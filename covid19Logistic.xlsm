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2.xml" ContentType="application/vnd.openxmlformats-officedocument.spreadsheetml.work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3.xml" ContentType="application/vnd.ms-excel.controlproperties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1.xml" ContentType="application/vnd.openxmlformats-officedocument.drawingml.chartshapes+xml"/>
  <Override PartName="/xl/drawings/drawing3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/>
  </bookViews>
  <sheets>
    <sheet name="myData" sheetId="4" r:id="rId1"/>
    <sheet name="chtAllcases" sheetId="35" r:id="rId2"/>
    <sheet name="chtAsymptoteNSW" sheetId="32" r:id="rId3"/>
    <sheet name="chtFutureAllSK2" sheetId="33" r:id="rId4"/>
    <sheet name="chtFutureNSW" sheetId="5" r:id="rId5"/>
    <sheet name="chtFutureUK" sheetId="30" r:id="rId6"/>
    <sheet name="chtFutureSKorea" sheetId="26" r:id="rId7"/>
    <sheet name="chtFutureNSWUS" sheetId="25" r:id="rId8"/>
    <sheet name="chtFutureAll" sheetId="15" r:id="rId9"/>
    <sheet name="Chart Index" sheetId="14" r:id="rId10"/>
    <sheet name="chtFutureNSWEarly" sheetId="8" r:id="rId11"/>
    <sheet name="chtFutureItalyEarly" sheetId="7" r:id="rId12"/>
    <sheet name="chtFutureItaly" sheetId="6" r:id="rId13"/>
    <sheet name="chtFutureUSEarly" sheetId="10" r:id="rId14"/>
    <sheet name="chtFutureUS" sheetId="11" r:id="rId15"/>
    <sheet name="chtFutureChina" sheetId="19" r:id="rId16"/>
    <sheet name="chtTests" sheetId="22" r:id="rId17"/>
    <sheet name="chtFutureAU" sheetId="24" r:id="rId18"/>
    <sheet name="chtFutureAllAU" sheetId="23" r:id="rId19"/>
    <sheet name="BedOccupancy" sheetId="16" state="hidden" r:id="rId20"/>
    <sheet name="Names" sheetId="20" state="hidden" r:id="rId21"/>
    <sheet name="time_series_19-covid-Confirmed" sheetId="1" r:id="rId22"/>
    <sheet name="solvMsgs" sheetId="21" r:id="rId23"/>
  </sheets>
  <functionGroups builtInGroupCount="18"/>
  <externalReferences>
    <externalReference r:id="rId24"/>
  </externalReferences>
  <definedNames>
    <definedName name="_xlnm._FilterDatabase" localSheetId="20" hidden="1">Names!$A$1:$P$56</definedName>
    <definedName name="_xlnm._FilterDatabase" localSheetId="21" hidden="1">'time_series_19-covid-Confirmed'!$A$1:$DP$488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Capita],0)+1,0,COUNTA(tblData[New South Wales])-MATCH(0,tblData[NSW Cases per Capita],0),1)</definedName>
    <definedName name="AuDates" localSheetId="0">myData!NSWDates</definedName>
    <definedName name="AuLogi" localSheetId="0">OFFSET(tblData[[#Headers],[Au LogiP(t) Per Capita]],MATCH(0,tblData[NSW],0)+1,0,COUNTA(tblData[Date])-MATCH(0,tblData[NSW],0),1)</definedName>
    <definedName name="AuLogiDates" localSheetId="0">OFFSET(tblData[[#Headers],[Date]],MATCH(0,tblData[NSW],0)+1,0,COUNTA(tblData[Date])-MATCH(0,tblData[NSW],0),1)</definedName>
    <definedName name="AuMaxCasespc" localSheetId="0">myData!$CR$11</definedName>
    <definedName name="AuPop" localSheetId="0">myData!$AE$8</definedName>
    <definedName name="AuSeries" localSheetId="0">myData!$CO$11</definedName>
    <definedName name="beta" localSheetId="0">myData!$A$2</definedName>
    <definedName name="betaAu" localSheetId="0">myData!$BX$11</definedName>
    <definedName name="betaChina" localSheetId="0">myData!$BX$15</definedName>
    <definedName name="betaItaly" localSheetId="0">myData!$BX$13</definedName>
    <definedName name="betaNSW" localSheetId="0">myData!$BX$12</definedName>
    <definedName name="betaPodelta" localSheetId="0">myData!$F$2</definedName>
    <definedName name="betaPodeltaAu" localSheetId="0">myData!$CC$11</definedName>
    <definedName name="betaPodeltaChina" localSheetId="0">myData!$CC$15</definedName>
    <definedName name="betaPodeltaItaly" localSheetId="0">myData!$CC$13</definedName>
    <definedName name="betaPodeltaNSW" localSheetId="0">myData!$CC$12</definedName>
    <definedName name="betaPodeltaSingapore" localSheetId="0">myData!$CC$18</definedName>
    <definedName name="betaPodeltaSKorea" localSheetId="0">myData!$CC$16</definedName>
    <definedName name="betaPodeltaTest" localSheetId="0">myData!$AM$2</definedName>
    <definedName name="betaPodeltaUK" localSheetId="0">myData!$CC$17</definedName>
    <definedName name="betaPodeltaUS" localSheetId="0">myData!$CC$14</definedName>
    <definedName name="betaSingapore" localSheetId="0">myData!$BX$18</definedName>
    <definedName name="betaSKorea" localSheetId="0">myData!$BX$16</definedName>
    <definedName name="betaTest" localSheetId="0">myData!$AH$2</definedName>
    <definedName name="betaTests" localSheetId="0">myData!$BX$19</definedName>
    <definedName name="betaUK" localSheetId="0">myData!$BX$17</definedName>
    <definedName name="betaUS" localSheetId="0">myData!$BX$14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myData!$CO$15</definedName>
    <definedName name="Countries" comment="List of Countries for running solver">solvMsgs!$E$1:$G$10</definedName>
    <definedName name="delta" localSheetId="0">myData!$B$2</definedName>
    <definedName name="deltaAu" localSheetId="0">myData!$BY$11</definedName>
    <definedName name="deltaChina" localSheetId="0">myData!$BY$15</definedName>
    <definedName name="deltaconstraint" localSheetId="0">myData!$B$3</definedName>
    <definedName name="deltaItaly" localSheetId="0">myData!$BY$13</definedName>
    <definedName name="deltaNSW" localSheetId="0">myData!$BY$12</definedName>
    <definedName name="deltaSingapore" localSheetId="0">myData!$BY$18</definedName>
    <definedName name="deltaSKorea" localSheetId="0">myData!$BY$16</definedName>
    <definedName name="deltaTest" localSheetId="0">myData!$AI$2</definedName>
    <definedName name="deltaTests" localSheetId="0">myData!$BY$19</definedName>
    <definedName name="deltaUK" localSheetId="0">myData!$BY$17</definedName>
    <definedName name="deltaUS" localSheetId="0">myData!$BY$14</definedName>
    <definedName name="HisTableBL" localSheetId="0">OFFSET(myData!HisTableTL,0,COUNTA(myData!$DL:$DL)+1,1,1)</definedName>
    <definedName name="HisTableTL" localSheetId="0">myData!$DN$10</definedName>
    <definedName name="ItalyCases" localSheetId="0">OFFSET(tblData[[#Headers],[Italy Cases per Capita]],MATCH(0,tblData[Italy Cases per Capita],0)+1,0,COUNTA(tblData[Italy Cases per Capita])-1,1)</definedName>
    <definedName name="ItalyDates" localSheetId="0">OFFSET(tblData[[#Headers],[Date]],MATCH(0,tblData[Italy],0)+1,0,COUNTA(tblData[Italy])-1,1)</definedName>
    <definedName name="ItalyLogi" localSheetId="0">OFFSET(tblData[[#Headers],[Italy LogiP(t) Per Capita]],MATCH(0,tblData[Italy],0)+2,0,COUNTA(tblData[Date])-MATCH(0,tblData[Italy],0),1)</definedName>
    <definedName name="ItalyLogiDates" localSheetId="0">OFFSET(tblData[[#Headers],[Date]],MATCH(0,tblData[Italy],0)+1,0,COUNTA(tblData[Date])-MATCH(0,tblData[Italy],0),1)</definedName>
    <definedName name="ItalyPop" localSheetId="0">myData!$N$8</definedName>
    <definedName name="ItalySeries" localSheetId="0">myData!$CO$13</definedName>
    <definedName name="ItalyStart" localSheetId="0">myData!$BU$13</definedName>
    <definedName name="LogestBNSW" localSheetId="0">myData!$EX$2</definedName>
    <definedName name="LogEstMNSW" localSheetId="0">myData!$EW$2</definedName>
    <definedName name="LogFormula" localSheetId="0">myData!$CX$4</definedName>
    <definedName name="MaxAusCases" localSheetId="0">myData!$CI$11</definedName>
    <definedName name="MaxNSWCases" localSheetId="0">myData!$CI$12</definedName>
    <definedName name="msqAu" localSheetId="0">myData!$CB$11</definedName>
    <definedName name="msqChina" localSheetId="0">myData!$CB$15</definedName>
    <definedName name="msqItaly" localSheetId="0">myData!$CB$13</definedName>
    <definedName name="msqNSW" localSheetId="0">myData!$CB$12</definedName>
    <definedName name="msqSingapore" localSheetId="0">myData!$CB$18</definedName>
    <definedName name="msqSKorea" localSheetId="0">myData!$CB$16</definedName>
    <definedName name="msqTest" localSheetId="0">myData!$AL$2</definedName>
    <definedName name="msqTests" localSheetId="0">myData!$CB$19</definedName>
    <definedName name="msqUK" localSheetId="0">myData!$CB$17</definedName>
    <definedName name="msqUS" localSheetId="0">myData!$CB$14</definedName>
    <definedName name="mySolverPar" localSheetId="0">myData!$A$2:$E$2</definedName>
    <definedName name="NSWCases" localSheetId="0">OFFSET(tblData[[#Headers],[NSW Cases per Capita]],MATCH(0,tblData[NSW Cases per Capita],0)+1,0,COUNTA(tblData[New South Wales])-MATCH(0,tblData[NSW Cases per Capita],0),1)</definedName>
    <definedName name="NSWDates" localSheetId="0">OFFSET(tblData[[#Headers],[Date]],MATCH(0,tblData[NSW],0)+1,0,COUNTA(tblData[New South Wales])-MATCH(0,tblData[NSW],0),1)</definedName>
    <definedName name="NSWLogi" localSheetId="0">OFFSET(tblData[[#Headers],[Nsw LogiP(t) Per Capita]],MATCH(0,tblData[NSW],0)+1,0,COUNTA(tblData[Date])-MATCH(0,tblData[NSW],0),1)</definedName>
    <definedName name="NSWLogiDates" localSheetId="0">OFFSET(tblData[[#Headers],[Date]],MATCH(0,tblData[NSW],0)+1,0,COUNTA(tblData[Date])-MATCH(0,tblData[NSW],0),1)</definedName>
    <definedName name="NSWMaxCasespc" localSheetId="0">myData!$CR$12</definedName>
    <definedName name="NSWpop" comment="NSW population" localSheetId="0">myData!$L$8</definedName>
    <definedName name="NSWSeries" localSheetId="0">myData!$CO$12</definedName>
    <definedName name="PerPerson" localSheetId="0">myData!$L$2</definedName>
    <definedName name="PerPersonLabel">myData!$L$3</definedName>
    <definedName name="Po" localSheetId="0">myData!$C$2</definedName>
    <definedName name="PoAu" localSheetId="0">myData!$BZ$11</definedName>
    <definedName name="PoChina" localSheetId="0">myData!$BZ$15</definedName>
    <definedName name="PoItaly" localSheetId="0">myData!$BZ$13</definedName>
    <definedName name="PoNSW" localSheetId="0">myData!$BZ$12</definedName>
    <definedName name="PopScaling" comment="Value of 1 applies population scaling so result is per 10m people" localSheetId="0">myData!$J$2</definedName>
    <definedName name="PoSingapore" localSheetId="0">myData!$BZ$18</definedName>
    <definedName name="PoSKorea" localSheetId="0">myData!$BZ$16</definedName>
    <definedName name="PoTest" localSheetId="0">myData!$AJ$2</definedName>
    <definedName name="PoTests" localSheetId="0">myData!$BZ$19</definedName>
    <definedName name="PoUK" localSheetId="0">myData!$BZ$17</definedName>
    <definedName name="PoUS" localSheetId="0">myData!$BZ$14</definedName>
    <definedName name="RunRange" localSheetId="0">OFFSET(myData!RunTableTL,0,0,COUNTA(myData!$BQ:$BQ),COLUMN(myData!RunTableTR)-COLUMN(myData!RunTableTL)+1)</definedName>
    <definedName name="RunTableTL" localSheetId="0">myData!$BS$10</definedName>
    <definedName name="RunTableTR" localSheetId="0">myData!$CV$10</definedName>
    <definedName name="RunTimeAu" localSheetId="0">myData!$BT$11</definedName>
    <definedName name="SingaporeCases" localSheetId="0">OFFSET(tblData[[#Headers],[Singapore Cases Per Capita]],MATCH(0,tblData[Singapore Cases Per Capita],0)+1,0,COUNTA(tblData[Singapore Cases Per Capita])-1,1)</definedName>
    <definedName name="SingaporeDates" localSheetId="0">OFFSET(tblData[[#Headers],[Date]],MATCH(0,tblData[Singapore],0)+1,0,COUNTA(tblData[Singapore])-1,1)</definedName>
    <definedName name="SingaporeLogi" localSheetId="0">OFFSET(tblData[[#Headers],[Singapore LogiP(t) Per Capita]],MATCH(0,tblData[Singapore],0)+1,0,COUNTA(tblData[Singapore LogiP(t)]),1)</definedName>
    <definedName name="SingaporeLogiDates" localSheetId="0">OFFSET(tblData[[#Headers],[Date]],MATCH(0,tblData[Singapore],0)+1,0,COUNTA(tblData[Date])-MATCH(0,tblData[Singapore],0),1)</definedName>
    <definedName name="SingaporePop" localSheetId="0">myData!$X$8</definedName>
    <definedName name="SingaporeSeries" localSheetId="0">myData!$CO$18</definedName>
    <definedName name="SingaporeStart" localSheetId="0">myData!$BU$18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Capita]],COUNTA(tblData[Date])-COUNT(tblData[Skorea LogiP(t) Per Capita])+1,0,COUNT(tblData[SKorea LogiP(t)]),1)</definedName>
    <definedName name="SKoreaLogiDates" localSheetId="0">OFFSET(tblData[[#Headers],[Date]],COUNTA(tblData[Date])-COUNT(tblData[Skorea LogiP(t) Per Capita])+1,0,COUNT(tblData[SKorea LogiP(t)]),1)</definedName>
    <definedName name="SKoreaPop" localSheetId="0">myData!$R$8</definedName>
    <definedName name="SKoreaSeries" localSheetId="0">myData!$CO$16</definedName>
    <definedName name="SKoreaStart" localSheetId="0">myData!$BU$16</definedName>
    <definedName name="solver_adj" localSheetId="0" hidden="1">myData!$BX$19:$BZ$19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myData!$AI$2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myData!$CB$19</definedName>
    <definedName name="solver_pre" localSheetId="0" hidden="1">0.0000000001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myData!$B$3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StartDt2Au" localSheetId="0">myData!$BV$11</definedName>
    <definedName name="StartDt2China" localSheetId="0">myData!$BV$15</definedName>
    <definedName name="StartDt2Italy" localSheetId="0">myData!$BV$13</definedName>
    <definedName name="StartDt2Korea" localSheetId="0">myData!$BV$16</definedName>
    <definedName name="StartDt2NSW" localSheetId="0">myData!$BV$12</definedName>
    <definedName name="StartDt2Singapore" localSheetId="0">myData!$BV$18</definedName>
    <definedName name="StartDt2Tests" localSheetId="0">myData!$BV$19</definedName>
    <definedName name="StartDt2UK" localSheetId="0">myData!$BV$17</definedName>
    <definedName name="StartDt2US" localSheetId="0">myData!$BV$14</definedName>
    <definedName name="TitleAll" localSheetId="0">myData!$CX$8</definedName>
    <definedName name="TitleAllSK" localSheetId="0">myData!$CX$9</definedName>
    <definedName name="TitleCases" localSheetId="0">myData!$CX$7</definedName>
    <definedName name="UKCases" localSheetId="0">OFFSET(tblData[[#Headers],[UK Cases Per Capita]],MATCH(0,tblData[UK Cases Per Capita],0)+1,0,COUNTA(tblData[UK Cases Per Capita])-1,1)</definedName>
    <definedName name="UKDates" localSheetId="0">OFFSET(tblData[[#Headers],[Date]],MATCH(0,tblData[UK],0)+1,0,COUNTA(tblData[UK])-1,1)</definedName>
    <definedName name="UKLogi" localSheetId="0">OFFSET(tblData[[#Headers],[UK LogiP(t) Per Capita]],MATCH(0,tblData[UK],0)+1,0,COUNTA(tblData[Date])-MATCH(0,tblData[UK],0),1)</definedName>
    <definedName name="UKLogiDates" localSheetId="0">OFFSET(tblData[[#Headers],[Date]],MATCH(0,tblData[UK],0)+1,0,COUNTA(tblData[Date])-MATCH(0,tblData[UK],0),1)</definedName>
    <definedName name="UKPop" localSheetId="0">myData!$T$8</definedName>
    <definedName name="UKSeries" localSheetId="0">myData!$CO$17</definedName>
    <definedName name="UKStart" localSheetId="0">myData!$BU$17</definedName>
    <definedName name="USCases" localSheetId="0">OFFSET(tblData[[#Headers],[US Cases Per Capita]],MATCH(0,tblData[US Cases Per Capita],0)+1,0,COUNT(tblData[US])-1,1)</definedName>
    <definedName name="USDates" localSheetId="0">OFFSET(tblData[[#Headers],[Date]],MATCH(0,tblData[US],0)+1,0,COUNT(tblData[US])-1,1)</definedName>
    <definedName name="USDays" localSheetId="0">OFFSET(tblData[[#Headers],[Days'# US]],MATCH(0,tblData[US],0)+1,0,COUNTA(tblData[US])-1,1)</definedName>
    <definedName name="USLogi" localSheetId="0">OFFSET(tblData[[#Headers],[US LogiP(t) Per Capita]],MATCH(0,tblData[US],0)+1,0,COUNT(tblData[US LogiP(t) Per Capita])-1,1)</definedName>
    <definedName name="USLogiDates" localSheetId="0">OFFSET(tblData[[#Headers],[Date]],MATCH(0,tblData[US],0)+1,0,COUNTA(tblData[Date])-MATCH(0,tblData[US],0),1)</definedName>
    <definedName name="USpop" localSheetId="0">myData!$P$8</definedName>
    <definedName name="USSeries" localSheetId="0">myData!$CO$14</definedName>
  </definedNames>
  <calcPr calcId="152511" calcOnSave="0"/>
</workbook>
</file>

<file path=xl/calcChain.xml><?xml version="1.0" encoding="utf-8"?>
<calcChain xmlns="http://schemas.openxmlformats.org/spreadsheetml/2006/main">
  <c r="E2" i="4" l="1"/>
  <c r="C2" i="4"/>
  <c r="B2" i="4"/>
  <c r="A2" i="4"/>
  <c r="D2" i="4" s="1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BH11" i="4"/>
  <c r="BH9" i="4"/>
  <c r="BH8" i="4"/>
  <c r="AF11" i="4"/>
  <c r="BG11" i="4" s="1"/>
  <c r="AF12" i="4"/>
  <c r="BG12" i="4" s="1"/>
  <c r="BH12" i="4" s="1"/>
  <c r="AF13" i="4"/>
  <c r="BG13" i="4" s="1"/>
  <c r="AF14" i="4"/>
  <c r="BG14" i="4" s="1"/>
  <c r="AF15" i="4"/>
  <c r="BG15" i="4" s="1"/>
  <c r="BI15" i="4" s="1"/>
  <c r="AF16" i="4"/>
  <c r="BG16" i="4" s="1"/>
  <c r="AF17" i="4"/>
  <c r="BG17" i="4" s="1"/>
  <c r="BH17" i="4" s="1"/>
  <c r="AF18" i="4"/>
  <c r="BG18" i="4" s="1"/>
  <c r="BH18" i="4" s="1"/>
  <c r="AF19" i="4"/>
  <c r="BG19" i="4" s="1"/>
  <c r="BH19" i="4" s="1"/>
  <c r="AF20" i="4"/>
  <c r="BG20" i="4" s="1"/>
  <c r="BH20" i="4" s="1"/>
  <c r="AF21" i="4"/>
  <c r="BG21" i="4" s="1"/>
  <c r="AF22" i="4"/>
  <c r="BG22" i="4" s="1"/>
  <c r="AF23" i="4"/>
  <c r="BG23" i="4" s="1"/>
  <c r="BI23" i="4" s="1"/>
  <c r="AF24" i="4"/>
  <c r="BG24" i="4" s="1"/>
  <c r="AF25" i="4"/>
  <c r="BG25" i="4" s="1"/>
  <c r="BH25" i="4" s="1"/>
  <c r="AF26" i="4"/>
  <c r="BG26" i="4" s="1"/>
  <c r="BH26" i="4" s="1"/>
  <c r="AF27" i="4"/>
  <c r="BG27" i="4" s="1"/>
  <c r="BH27" i="4" s="1"/>
  <c r="AF28" i="4"/>
  <c r="BG28" i="4" s="1"/>
  <c r="BH28" i="4" s="1"/>
  <c r="AF29" i="4"/>
  <c r="BG29" i="4" s="1"/>
  <c r="BH29" i="4" s="1"/>
  <c r="AF30" i="4"/>
  <c r="BG30" i="4" s="1"/>
  <c r="AF31" i="4"/>
  <c r="BG31" i="4" s="1"/>
  <c r="BI31" i="4" s="1"/>
  <c r="AF32" i="4"/>
  <c r="BG32" i="4" s="1"/>
  <c r="AF33" i="4"/>
  <c r="BG33" i="4" s="1"/>
  <c r="BH33" i="4" s="1"/>
  <c r="AF34" i="4"/>
  <c r="BG34" i="4" s="1"/>
  <c r="BH34" i="4" s="1"/>
  <c r="AF35" i="4"/>
  <c r="BG35" i="4" s="1"/>
  <c r="BH35" i="4" s="1"/>
  <c r="AF36" i="4"/>
  <c r="BG36" i="4" s="1"/>
  <c r="BH36" i="4" s="1"/>
  <c r="AF37" i="4"/>
  <c r="BG37" i="4" s="1"/>
  <c r="BH37" i="4" s="1"/>
  <c r="AF38" i="4"/>
  <c r="BG38" i="4" s="1"/>
  <c r="AF39" i="4"/>
  <c r="BG39" i="4" s="1"/>
  <c r="BI39" i="4" s="1"/>
  <c r="AF40" i="4"/>
  <c r="BG40" i="4" s="1"/>
  <c r="AF41" i="4"/>
  <c r="BG41" i="4" s="1"/>
  <c r="BH41" i="4" s="1"/>
  <c r="AF42" i="4"/>
  <c r="BG42" i="4" s="1"/>
  <c r="BH42" i="4" s="1"/>
  <c r="AF43" i="4"/>
  <c r="BG43" i="4" s="1"/>
  <c r="BH43" i="4" s="1"/>
  <c r="AF44" i="4"/>
  <c r="BG44" i="4" s="1"/>
  <c r="BH44" i="4" s="1"/>
  <c r="AF45" i="4"/>
  <c r="BG45" i="4" s="1"/>
  <c r="BH45" i="4" s="1"/>
  <c r="AF46" i="4"/>
  <c r="BG46" i="4" s="1"/>
  <c r="AF47" i="4"/>
  <c r="BG47" i="4" s="1"/>
  <c r="BI47" i="4" s="1"/>
  <c r="AF48" i="4"/>
  <c r="BG48" i="4" s="1"/>
  <c r="AF49" i="4"/>
  <c r="BG49" i="4" s="1"/>
  <c r="BH49" i="4" s="1"/>
  <c r="AF50" i="4"/>
  <c r="BG50" i="4" s="1"/>
  <c r="BH50" i="4" s="1"/>
  <c r="AF51" i="4"/>
  <c r="BG51" i="4" s="1"/>
  <c r="BH51" i="4" s="1"/>
  <c r="AF52" i="4"/>
  <c r="BG52" i="4" s="1"/>
  <c r="BH52" i="4" s="1"/>
  <c r="AF53" i="4"/>
  <c r="BG53" i="4" s="1"/>
  <c r="AF54" i="4"/>
  <c r="BG54" i="4" s="1"/>
  <c r="AF55" i="4"/>
  <c r="BG55" i="4" s="1"/>
  <c r="BI55" i="4" s="1"/>
  <c r="AF56" i="4"/>
  <c r="BG56" i="4" s="1"/>
  <c r="AF57" i="4"/>
  <c r="BG57" i="4" s="1"/>
  <c r="BH57" i="4" s="1"/>
  <c r="AF58" i="4"/>
  <c r="BG58" i="4" s="1"/>
  <c r="BH58" i="4" s="1"/>
  <c r="AF59" i="4"/>
  <c r="BG59" i="4" s="1"/>
  <c r="BH59" i="4" s="1"/>
  <c r="AF60" i="4"/>
  <c r="BG60" i="4" s="1"/>
  <c r="BH60" i="4" s="1"/>
  <c r="AF61" i="4"/>
  <c r="BG61" i="4" s="1"/>
  <c r="CI18" i="4"/>
  <c r="BI56" i="4" l="1"/>
  <c r="BI48" i="4"/>
  <c r="BI40" i="4"/>
  <c r="BI32" i="4"/>
  <c r="BI24" i="4"/>
  <c r="BI16" i="4"/>
  <c r="BI54" i="4"/>
  <c r="BI46" i="4"/>
  <c r="BI38" i="4"/>
  <c r="BI30" i="4"/>
  <c r="BI22" i="4"/>
  <c r="BI14" i="4"/>
  <c r="BI61" i="4"/>
  <c r="BI53" i="4"/>
  <c r="BI21" i="4"/>
  <c r="BI13" i="4"/>
  <c r="BH61" i="4"/>
  <c r="BH53" i="4"/>
  <c r="BH21" i="4"/>
  <c r="BH13" i="4"/>
  <c r="BH56" i="4"/>
  <c r="BH48" i="4"/>
  <c r="BH40" i="4"/>
  <c r="BH32" i="4"/>
  <c r="BH24" i="4"/>
  <c r="BH16" i="4"/>
  <c r="BH55" i="4"/>
  <c r="BH47" i="4"/>
  <c r="BH39" i="4"/>
  <c r="BH31" i="4"/>
  <c r="BH23" i="4"/>
  <c r="BH15" i="4"/>
  <c r="BH54" i="4"/>
  <c r="BH46" i="4"/>
  <c r="BH38" i="4"/>
  <c r="BH30" i="4"/>
  <c r="BH22" i="4"/>
  <c r="BH14" i="4"/>
  <c r="BI45" i="4"/>
  <c r="BI60" i="4"/>
  <c r="BI52" i="4"/>
  <c r="BI44" i="4"/>
  <c r="BI36" i="4"/>
  <c r="BI28" i="4"/>
  <c r="BI20" i="4"/>
  <c r="BI12" i="4"/>
  <c r="BI29" i="4"/>
  <c r="BI59" i="4"/>
  <c r="BI51" i="4"/>
  <c r="BI43" i="4"/>
  <c r="BI35" i="4"/>
  <c r="BI27" i="4"/>
  <c r="BI19" i="4"/>
  <c r="BI11" i="4"/>
  <c r="BI37" i="4"/>
  <c r="BI58" i="4"/>
  <c r="BI50" i="4"/>
  <c r="BI42" i="4"/>
  <c r="BI34" i="4"/>
  <c r="BI26" i="4"/>
  <c r="BI18" i="4"/>
  <c r="BI57" i="4"/>
  <c r="BI49" i="4"/>
  <c r="BI41" i="4"/>
  <c r="BI33" i="4"/>
  <c r="BI25" i="4"/>
  <c r="BI17" i="4"/>
  <c r="CA18" i="4"/>
  <c r="X9" i="4"/>
  <c r="DH20" i="4"/>
  <c r="DH21" i="4"/>
  <c r="DH22" i="4"/>
  <c r="DH19" i="4"/>
  <c r="AN72" i="4"/>
  <c r="CG18" i="4"/>
  <c r="CJ18" i="4"/>
  <c r="X16" i="4" l="1"/>
  <c r="X24" i="4"/>
  <c r="X32" i="4"/>
  <c r="X40" i="4"/>
  <c r="X48" i="4"/>
  <c r="X56" i="4"/>
  <c r="X64" i="4"/>
  <c r="X13" i="4"/>
  <c r="X21" i="4"/>
  <c r="X37" i="4"/>
  <c r="X17" i="4"/>
  <c r="X25" i="4"/>
  <c r="X33" i="4"/>
  <c r="X41" i="4"/>
  <c r="X49" i="4"/>
  <c r="X57" i="4"/>
  <c r="X65" i="4"/>
  <c r="X69" i="4"/>
  <c r="X18" i="4"/>
  <c r="X26" i="4"/>
  <c r="X34" i="4"/>
  <c r="X42" i="4"/>
  <c r="X50" i="4"/>
  <c r="X58" i="4"/>
  <c r="X66" i="4"/>
  <c r="X45" i="4"/>
  <c r="X11" i="4"/>
  <c r="X19" i="4"/>
  <c r="X27" i="4"/>
  <c r="X35" i="4"/>
  <c r="X43" i="4"/>
  <c r="X51" i="4"/>
  <c r="X59" i="4"/>
  <c r="X67" i="4"/>
  <c r="X29" i="4"/>
  <c r="X53" i="4"/>
  <c r="X12" i="4"/>
  <c r="X20" i="4"/>
  <c r="X28" i="4"/>
  <c r="X36" i="4"/>
  <c r="X44" i="4"/>
  <c r="X52" i="4"/>
  <c r="X60" i="4"/>
  <c r="X68" i="4"/>
  <c r="X61" i="4"/>
  <c r="X14" i="4"/>
  <c r="X22" i="4"/>
  <c r="X30" i="4"/>
  <c r="X38" i="4"/>
  <c r="X46" i="4"/>
  <c r="X54" i="4"/>
  <c r="X62" i="4"/>
  <c r="X70" i="4"/>
  <c r="X15" i="4"/>
  <c r="X23" i="4"/>
  <c r="X31" i="4"/>
  <c r="X39" i="4"/>
  <c r="X47" i="4"/>
  <c r="X55" i="4"/>
  <c r="X63" i="4"/>
  <c r="X71" i="4"/>
  <c r="CO18" i="4"/>
  <c r="CP16" i="4"/>
  <c r="AN71" i="4"/>
  <c r="AH14" i="4" l="1"/>
  <c r="AH11" i="4"/>
  <c r="AH12" i="4"/>
  <c r="AH13" i="4"/>
  <c r="AS11" i="4" l="1"/>
  <c r="AS12" i="4"/>
  <c r="AS13" i="4"/>
  <c r="AS14" i="4"/>
  <c r="AS15" i="4"/>
  <c r="AS16" i="4"/>
  <c r="AS17" i="4"/>
  <c r="AS18" i="4"/>
  <c r="AA11" i="4"/>
  <c r="AG11" i="4"/>
  <c r="AQ11" i="4" s="1"/>
  <c r="AG12" i="4"/>
  <c r="AQ12" i="4" s="1"/>
  <c r="AG13" i="4"/>
  <c r="AQ13" i="4" s="1"/>
  <c r="AG14" i="4"/>
  <c r="AQ14" i="4" s="1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P14" i="4"/>
  <c r="AO11" i="4"/>
  <c r="AO12" i="4"/>
  <c r="AO13" i="4"/>
  <c r="AO14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Y11" i="4"/>
  <c r="AY12" i="4"/>
  <c r="AY13" i="4"/>
  <c r="AY14" i="4"/>
  <c r="AY15" i="4"/>
  <c r="AY16" i="4"/>
  <c r="AY17" i="4"/>
  <c r="AY18" i="4"/>
  <c r="AY19" i="4"/>
  <c r="AY20" i="4"/>
  <c r="AY21" i="4"/>
  <c r="AY22" i="4"/>
  <c r="AY23" i="4"/>
  <c r="AY24" i="4"/>
  <c r="AY25" i="4"/>
  <c r="AY26" i="4"/>
  <c r="AY27" i="4"/>
  <c r="AY28" i="4"/>
  <c r="AY29" i="4"/>
  <c r="AY30" i="4"/>
  <c r="AY31" i="4"/>
  <c r="AY32" i="4"/>
  <c r="AY33" i="4"/>
  <c r="AY34" i="4"/>
  <c r="AY35" i="4"/>
  <c r="AY36" i="4"/>
  <c r="AY37" i="4"/>
  <c r="AY38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BB8" i="4" l="1"/>
  <c r="BB9" i="4" s="1"/>
  <c r="AY8" i="4"/>
  <c r="AY9" i="4" s="1"/>
  <c r="BE8" i="4"/>
  <c r="BB11" i="4"/>
  <c r="BB12" i="4"/>
  <c r="BB13" i="4"/>
  <c r="BB14" i="4"/>
  <c r="BB15" i="4"/>
  <c r="BB16" i="4"/>
  <c r="BB17" i="4"/>
  <c r="BB18" i="4"/>
  <c r="BB72" i="4"/>
  <c r="BB73" i="4"/>
  <c r="BB74" i="4"/>
  <c r="BB75" i="4"/>
  <c r="BB76" i="4"/>
  <c r="BB77" i="4"/>
  <c r="BB78" i="4"/>
  <c r="BB79" i="4"/>
  <c r="BB80" i="4"/>
  <c r="BB81" i="4"/>
  <c r="BB82" i="4"/>
  <c r="BB83" i="4"/>
  <c r="BB84" i="4"/>
  <c r="BB85" i="4"/>
  <c r="BB86" i="4"/>
  <c r="BB87" i="4"/>
  <c r="BB88" i="4"/>
  <c r="BB89" i="4"/>
  <c r="BB90" i="4"/>
  <c r="BB91" i="4"/>
  <c r="BB92" i="4"/>
  <c r="BB93" i="4"/>
  <c r="BB94" i="4"/>
  <c r="BB95" i="4"/>
  <c r="BB96" i="4"/>
  <c r="BB97" i="4"/>
  <c r="BB98" i="4"/>
  <c r="BB99" i="4"/>
  <c r="BB100" i="4"/>
  <c r="BB101" i="4"/>
  <c r="BB102" i="4"/>
  <c r="BB103" i="4"/>
  <c r="BB104" i="4"/>
  <c r="BB105" i="4"/>
  <c r="BB106" i="4"/>
  <c r="BB107" i="4"/>
  <c r="BB108" i="4"/>
  <c r="BB109" i="4"/>
  <c r="BB110" i="4"/>
  <c r="BB111" i="4"/>
  <c r="BB112" i="4"/>
  <c r="BB113" i="4"/>
  <c r="BB114" i="4"/>
  <c r="BB115" i="4"/>
  <c r="BB116" i="4"/>
  <c r="BB117" i="4"/>
  <c r="CI17" i="4"/>
  <c r="CI16" i="4"/>
  <c r="CD17" i="4"/>
  <c r="CD16" i="4"/>
  <c r="CC17" i="4"/>
  <c r="CC16" i="4"/>
  <c r="CA17" i="4"/>
  <c r="CA16" i="4"/>
  <c r="AE11" i="4"/>
  <c r="BA11" i="4" s="1"/>
  <c r="AE12" i="4"/>
  <c r="BA12" i="4" s="1"/>
  <c r="AE13" i="4"/>
  <c r="BA13" i="4" s="1"/>
  <c r="AE14" i="4"/>
  <c r="BA14" i="4" s="1"/>
  <c r="AE15" i="4"/>
  <c r="BA15" i="4" s="1"/>
  <c r="AE16" i="4"/>
  <c r="BA16" i="4" s="1"/>
  <c r="AE17" i="4"/>
  <c r="BA17" i="4" s="1"/>
  <c r="AE18" i="4"/>
  <c r="BA18" i="4" s="1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BA55" i="4" s="1"/>
  <c r="BB55" i="4" s="1"/>
  <c r="AE56" i="4"/>
  <c r="AE57" i="4"/>
  <c r="AE58" i="4"/>
  <c r="AE59" i="4"/>
  <c r="AE60" i="4"/>
  <c r="AE61" i="4"/>
  <c r="AA12" i="4"/>
  <c r="AA13" i="4"/>
  <c r="AA14" i="4"/>
  <c r="AA15" i="4"/>
  <c r="AA16" i="4"/>
  <c r="AA17" i="4"/>
  <c r="AA18" i="4"/>
  <c r="AA19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20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71" i="4" s="1"/>
  <c r="R9" i="4"/>
  <c r="R18" i="4" s="1"/>
  <c r="CJ16" i="4"/>
  <c r="CG17" i="4"/>
  <c r="CG16" i="4"/>
  <c r="CJ17" i="4"/>
  <c r="T28" i="4" l="1"/>
  <c r="R71" i="4"/>
  <c r="R70" i="4"/>
  <c r="BA23" i="4"/>
  <c r="BB23" i="4" s="1"/>
  <c r="BA47" i="4"/>
  <c r="BB47" i="4" s="1"/>
  <c r="BA39" i="4"/>
  <c r="BB39" i="4" s="1"/>
  <c r="BA31" i="4"/>
  <c r="BB31" i="4" s="1"/>
  <c r="AT15" i="4"/>
  <c r="AR15" i="4"/>
  <c r="AR14" i="4"/>
  <c r="AT14" i="4"/>
  <c r="AT13" i="4"/>
  <c r="AR13" i="4"/>
  <c r="AT12" i="4"/>
  <c r="AR12" i="4"/>
  <c r="AT16" i="4"/>
  <c r="AR16" i="4"/>
  <c r="AT18" i="4"/>
  <c r="AR18" i="4"/>
  <c r="AT17" i="4"/>
  <c r="AR17" i="4"/>
  <c r="AX43" i="4"/>
  <c r="AX51" i="4"/>
  <c r="AX59" i="4"/>
  <c r="AX44" i="4"/>
  <c r="AX52" i="4"/>
  <c r="AX60" i="4"/>
  <c r="AX50" i="4"/>
  <c r="AX45" i="4"/>
  <c r="AX53" i="4"/>
  <c r="AX61" i="4"/>
  <c r="AX58" i="4"/>
  <c r="AX46" i="4"/>
  <c r="AX54" i="4"/>
  <c r="AX39" i="4"/>
  <c r="AX47" i="4"/>
  <c r="AX55" i="4"/>
  <c r="AX42" i="4"/>
  <c r="AX40" i="4"/>
  <c r="AX48" i="4"/>
  <c r="AX56" i="4"/>
  <c r="AX41" i="4"/>
  <c r="AX49" i="4"/>
  <c r="AX57" i="4"/>
  <c r="T70" i="4"/>
  <c r="R68" i="4"/>
  <c r="R69" i="4"/>
  <c r="T69" i="4"/>
  <c r="T68" i="4"/>
  <c r="CO16" i="4"/>
  <c r="CO17" i="4"/>
  <c r="BA54" i="4"/>
  <c r="BB54" i="4" s="1"/>
  <c r="BA46" i="4"/>
  <c r="BB46" i="4" s="1"/>
  <c r="BA38" i="4"/>
  <c r="BB38" i="4" s="1"/>
  <c r="BA30" i="4"/>
  <c r="BB30" i="4" s="1"/>
  <c r="BA22" i="4"/>
  <c r="BB22" i="4" s="1"/>
  <c r="BA61" i="4"/>
  <c r="BB61" i="4" s="1"/>
  <c r="BA53" i="4"/>
  <c r="BB53" i="4" s="1"/>
  <c r="BA45" i="4"/>
  <c r="BB45" i="4" s="1"/>
  <c r="BA37" i="4"/>
  <c r="BB37" i="4" s="1"/>
  <c r="BA29" i="4"/>
  <c r="BB29" i="4" s="1"/>
  <c r="BA21" i="4"/>
  <c r="BB21" i="4" s="1"/>
  <c r="BA60" i="4"/>
  <c r="BB60" i="4" s="1"/>
  <c r="BA52" i="4"/>
  <c r="BB52" i="4" s="1"/>
  <c r="BA44" i="4"/>
  <c r="BB44" i="4" s="1"/>
  <c r="BA36" i="4"/>
  <c r="BB36" i="4" s="1"/>
  <c r="BA28" i="4"/>
  <c r="BB28" i="4" s="1"/>
  <c r="BA20" i="4"/>
  <c r="BB20" i="4" s="1"/>
  <c r="BA59" i="4"/>
  <c r="BB59" i="4" s="1"/>
  <c r="BA51" i="4"/>
  <c r="BB51" i="4" s="1"/>
  <c r="BA43" i="4"/>
  <c r="BB43" i="4" s="1"/>
  <c r="BA35" i="4"/>
  <c r="BB35" i="4" s="1"/>
  <c r="BA27" i="4"/>
  <c r="BB27" i="4" s="1"/>
  <c r="BA19" i="4"/>
  <c r="BB19" i="4" s="1"/>
  <c r="BA58" i="4"/>
  <c r="BB58" i="4" s="1"/>
  <c r="BA50" i="4"/>
  <c r="BB50" i="4" s="1"/>
  <c r="BA42" i="4"/>
  <c r="BB42" i="4" s="1"/>
  <c r="BA34" i="4"/>
  <c r="BB34" i="4" s="1"/>
  <c r="BA26" i="4"/>
  <c r="BB26" i="4" s="1"/>
  <c r="BA57" i="4"/>
  <c r="BB57" i="4" s="1"/>
  <c r="BA49" i="4"/>
  <c r="BB49" i="4" s="1"/>
  <c r="BA41" i="4"/>
  <c r="BB41" i="4" s="1"/>
  <c r="BA33" i="4"/>
  <c r="BB33" i="4" s="1"/>
  <c r="BA25" i="4"/>
  <c r="BB25" i="4" s="1"/>
  <c r="BA56" i="4"/>
  <c r="BB56" i="4" s="1"/>
  <c r="BA48" i="4"/>
  <c r="BB48" i="4" s="1"/>
  <c r="BA40" i="4"/>
  <c r="BB40" i="4" s="1"/>
  <c r="BA32" i="4"/>
  <c r="BB32" i="4" s="1"/>
  <c r="BA24" i="4"/>
  <c r="BB24" i="4" s="1"/>
  <c r="BC16" i="4"/>
  <c r="BC11" i="4"/>
  <c r="BC18" i="4"/>
  <c r="BC17" i="4"/>
  <c r="BC55" i="4"/>
  <c r="BC15" i="4"/>
  <c r="BC14" i="4"/>
  <c r="BC13" i="4"/>
  <c r="BC12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CR18" i="4" l="1"/>
  <c r="BC23" i="4"/>
  <c r="BC47" i="4"/>
  <c r="BC39" i="4"/>
  <c r="BC31" i="4"/>
  <c r="AY42" i="4"/>
  <c r="AZ42" i="4"/>
  <c r="AZ55" i="4"/>
  <c r="AY55" i="4"/>
  <c r="AZ45" i="4"/>
  <c r="AY45" i="4"/>
  <c r="AY57" i="4"/>
  <c r="AZ57" i="4"/>
  <c r="AZ47" i="4"/>
  <c r="AY47" i="4"/>
  <c r="AY49" i="4"/>
  <c r="AZ49" i="4"/>
  <c r="AZ39" i="4"/>
  <c r="AY39" i="4"/>
  <c r="AY50" i="4"/>
  <c r="AZ50" i="4"/>
  <c r="AZ60" i="4"/>
  <c r="AY60" i="4"/>
  <c r="AY41" i="4"/>
  <c r="AZ41" i="4"/>
  <c r="AZ54" i="4"/>
  <c r="AY54" i="4"/>
  <c r="AZ52" i="4"/>
  <c r="AY52" i="4"/>
  <c r="AY56" i="4"/>
  <c r="AZ56" i="4"/>
  <c r="AZ46" i="4"/>
  <c r="AY46" i="4"/>
  <c r="AZ44" i="4"/>
  <c r="AY44" i="4"/>
  <c r="AY48" i="4"/>
  <c r="AZ48" i="4"/>
  <c r="AZ59" i="4"/>
  <c r="AY59" i="4"/>
  <c r="AY40" i="4"/>
  <c r="AZ40" i="4"/>
  <c r="AY58" i="4"/>
  <c r="AZ58" i="4"/>
  <c r="AZ61" i="4"/>
  <c r="AY61" i="4"/>
  <c r="AZ51" i="4"/>
  <c r="AY51" i="4"/>
  <c r="AZ53" i="4"/>
  <c r="AY53" i="4"/>
  <c r="AZ43" i="4"/>
  <c r="AY43" i="4"/>
  <c r="BC30" i="4"/>
  <c r="BC59" i="4"/>
  <c r="BC29" i="4"/>
  <c r="BC46" i="4"/>
  <c r="BC37" i="4"/>
  <c r="BC54" i="4"/>
  <c r="BC20" i="4"/>
  <c r="BC50" i="4"/>
  <c r="BC51" i="4"/>
  <c r="BC25" i="4"/>
  <c r="BC19" i="4"/>
  <c r="BC56" i="4"/>
  <c r="BC42" i="4"/>
  <c r="BC43" i="4"/>
  <c r="BC60" i="4"/>
  <c r="BC26" i="4"/>
  <c r="BC34" i="4"/>
  <c r="BC40" i="4"/>
  <c r="BC27" i="4"/>
  <c r="BC49" i="4"/>
  <c r="BC44" i="4"/>
  <c r="BC35" i="4"/>
  <c r="BC61" i="4"/>
  <c r="BC52" i="4"/>
  <c r="BC38" i="4"/>
  <c r="BC22" i="4"/>
  <c r="BC21" i="4"/>
  <c r="BC24" i="4"/>
  <c r="BC48" i="4"/>
  <c r="BC28" i="4"/>
  <c r="BC32" i="4"/>
  <c r="BC53" i="4"/>
  <c r="BC33" i="4"/>
  <c r="BC45" i="4"/>
  <c r="BC41" i="4"/>
  <c r="BC58" i="4"/>
  <c r="BC36" i="4"/>
  <c r="BC57" i="4"/>
  <c r="CR17" i="4"/>
  <c r="CR16" i="4"/>
  <c r="BO11" i="4"/>
  <c r="BO12" i="4"/>
  <c r="BO13" i="4"/>
  <c r="BO14" i="4"/>
  <c r="BO15" i="4"/>
  <c r="BO16" i="4"/>
  <c r="BO17" i="4"/>
  <c r="BO18" i="4"/>
  <c r="BO19" i="4"/>
  <c r="BO20" i="4"/>
  <c r="BO21" i="4"/>
  <c r="BO22" i="4"/>
  <c r="BO23" i="4"/>
  <c r="BO24" i="4"/>
  <c r="BO25" i="4"/>
  <c r="BO26" i="4"/>
  <c r="BO27" i="4"/>
  <c r="BO28" i="4"/>
  <c r="BO29" i="4"/>
  <c r="BO30" i="4"/>
  <c r="BO31" i="4"/>
  <c r="BO32" i="4"/>
  <c r="BO33" i="4"/>
  <c r="BO34" i="4"/>
  <c r="BO35" i="4"/>
  <c r="BO36" i="4"/>
  <c r="BO37" i="4"/>
  <c r="BO38" i="4"/>
  <c r="BO39" i="4"/>
  <c r="BO40" i="4"/>
  <c r="BO41" i="4"/>
  <c r="BO42" i="4"/>
  <c r="BO43" i="4"/>
  <c r="BO44" i="4"/>
  <c r="BO45" i="4"/>
  <c r="BO46" i="4"/>
  <c r="BO47" i="4"/>
  <c r="BO48" i="4"/>
  <c r="BO49" i="4"/>
  <c r="BO50" i="4"/>
  <c r="BO51" i="4"/>
  <c r="BO52" i="4"/>
  <c r="BO53" i="4"/>
  <c r="BO54" i="4"/>
  <c r="BO97" i="4"/>
  <c r="BO98" i="4"/>
  <c r="BO99" i="4"/>
  <c r="BO100" i="4"/>
  <c r="BO101" i="4"/>
  <c r="BO102" i="4"/>
  <c r="BO103" i="4"/>
  <c r="BO104" i="4"/>
  <c r="BO105" i="4"/>
  <c r="BO106" i="4"/>
  <c r="BO107" i="4"/>
  <c r="BO108" i="4"/>
  <c r="BO109" i="4"/>
  <c r="BO110" i="4"/>
  <c r="BO111" i="4"/>
  <c r="BO112" i="4"/>
  <c r="BO113" i="4"/>
  <c r="BO114" i="4"/>
  <c r="BO115" i="4"/>
  <c r="BO116" i="4"/>
  <c r="BO117" i="4"/>
  <c r="AV73" i="4"/>
  <c r="AV74" i="4"/>
  <c r="AV75" i="4"/>
  <c r="AV76" i="4"/>
  <c r="AV77" i="4"/>
  <c r="AV78" i="4"/>
  <c r="AV79" i="4"/>
  <c r="AV80" i="4"/>
  <c r="AV81" i="4"/>
  <c r="AV82" i="4"/>
  <c r="AV83" i="4"/>
  <c r="AV84" i="4"/>
  <c r="AV85" i="4"/>
  <c r="AV86" i="4"/>
  <c r="AV87" i="4"/>
  <c r="AV88" i="4"/>
  <c r="AV89" i="4"/>
  <c r="AV90" i="4"/>
  <c r="AV91" i="4"/>
  <c r="AV92" i="4"/>
  <c r="AV93" i="4"/>
  <c r="AV94" i="4"/>
  <c r="AV95" i="4"/>
  <c r="AV96" i="4"/>
  <c r="AV97" i="4"/>
  <c r="AV98" i="4"/>
  <c r="AV99" i="4"/>
  <c r="AV100" i="4"/>
  <c r="AV101" i="4"/>
  <c r="AV102" i="4"/>
  <c r="AV103" i="4"/>
  <c r="AV104" i="4"/>
  <c r="AV105" i="4"/>
  <c r="AV106" i="4"/>
  <c r="AV107" i="4"/>
  <c r="AV108" i="4"/>
  <c r="AV109" i="4"/>
  <c r="AV110" i="4"/>
  <c r="AV111" i="4"/>
  <c r="AV112" i="4"/>
  <c r="AV113" i="4"/>
  <c r="AV114" i="4"/>
  <c r="AV115" i="4"/>
  <c r="AV116" i="4"/>
  <c r="AV117" i="4"/>
  <c r="CI19" i="4"/>
  <c r="CD19" i="4"/>
  <c r="CC19" i="4"/>
  <c r="BE9" i="4"/>
  <c r="CA19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V8" i="4"/>
  <c r="AV9" i="4" s="1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29" i="4"/>
  <c r="CG19" i="4"/>
  <c r="CJ19" i="4"/>
  <c r="CM19" i="4" l="1"/>
  <c r="CO19" i="4"/>
  <c r="AS8" i="4" l="1"/>
  <c r="AI9" i="4"/>
  <c r="AI8" i="4"/>
  <c r="CD11" i="4"/>
  <c r="CC11" i="4"/>
  <c r="AE9" i="4"/>
  <c r="CA11" i="4"/>
  <c r="DV41" i="4"/>
  <c r="DX41" i="4"/>
  <c r="DY41" i="4"/>
  <c r="CG11" i="4"/>
  <c r="EB41" i="4"/>
  <c r="CJ11" i="4"/>
  <c r="AI14" i="4" l="1"/>
  <c r="AI11" i="4"/>
  <c r="AI13" i="4"/>
  <c r="AI12" i="4"/>
  <c r="CO11" i="4"/>
  <c r="DJ12" i="4"/>
  <c r="DJ11" i="4"/>
  <c r="DI11" i="4"/>
  <c r="DI12" i="4" s="1"/>
  <c r="V9" i="4"/>
  <c r="P9" i="4"/>
  <c r="N9" i="4"/>
  <c r="L9" i="4"/>
  <c r="L71" i="4" s="1"/>
  <c r="L3" i="4"/>
  <c r="K8" i="4" l="1"/>
  <c r="L63" i="4"/>
  <c r="L14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11" i="4"/>
  <c r="AL8" i="4" l="1"/>
  <c r="AP8" i="4" s="1"/>
  <c r="AL9" i="4" l="1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S9" i="4"/>
  <c r="AP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R13" i="4" l="1"/>
  <c r="CR15" i="4"/>
  <c r="CR14" i="4"/>
  <c r="BP11" i="4"/>
  <c r="BP12" i="4"/>
  <c r="BP13" i="4"/>
  <c r="BP14" i="4"/>
  <c r="BP15" i="4"/>
  <c r="BP16" i="4"/>
  <c r="BP17" i="4"/>
  <c r="BP18" i="4"/>
  <c r="BP19" i="4"/>
  <c r="BP20" i="4"/>
  <c r="BP21" i="4"/>
  <c r="BP22" i="4"/>
  <c r="BP23" i="4"/>
  <c r="BP24" i="4"/>
  <c r="BP25" i="4"/>
  <c r="BP26" i="4"/>
  <c r="BP27" i="4"/>
  <c r="BP28" i="4"/>
  <c r="BP29" i="4"/>
  <c r="BP30" i="4"/>
  <c r="BP31" i="4"/>
  <c r="BP32" i="4"/>
  <c r="BP33" i="4"/>
  <c r="BP34" i="4"/>
  <c r="BP35" i="4"/>
  <c r="BP36" i="4"/>
  <c r="BP37" i="4"/>
  <c r="BP38" i="4"/>
  <c r="BP39" i="4"/>
  <c r="BP40" i="4"/>
  <c r="BP41" i="4"/>
  <c r="BP42" i="4"/>
  <c r="BP43" i="4"/>
  <c r="BP44" i="4"/>
  <c r="BP45" i="4"/>
  <c r="BP46" i="4"/>
  <c r="BP47" i="4"/>
  <c r="BP48" i="4"/>
  <c r="BP49" i="4"/>
  <c r="BP50" i="4"/>
  <c r="BP51" i="4"/>
  <c r="BP52" i="4"/>
  <c r="BP53" i="4"/>
  <c r="BP54" i="4"/>
  <c r="BP73" i="4"/>
  <c r="BP74" i="4"/>
  <c r="BP75" i="4"/>
  <c r="BP76" i="4"/>
  <c r="BP77" i="4"/>
  <c r="BP78" i="4"/>
  <c r="BP79" i="4"/>
  <c r="BP80" i="4"/>
  <c r="BP81" i="4"/>
  <c r="BP82" i="4"/>
  <c r="BP83" i="4"/>
  <c r="BP84" i="4"/>
  <c r="BP85" i="4"/>
  <c r="BP86" i="4"/>
  <c r="BP87" i="4"/>
  <c r="BP88" i="4"/>
  <c r="BP89" i="4"/>
  <c r="BP90" i="4"/>
  <c r="BP91" i="4"/>
  <c r="BP92" i="4"/>
  <c r="BP93" i="4"/>
  <c r="BP94" i="4"/>
  <c r="BP95" i="4"/>
  <c r="BP96" i="4"/>
  <c r="BP97" i="4"/>
  <c r="BP98" i="4"/>
  <c r="BP99" i="4"/>
  <c r="BP100" i="4"/>
  <c r="BP101" i="4"/>
  <c r="BP102" i="4"/>
  <c r="BP103" i="4"/>
  <c r="BP104" i="4"/>
  <c r="BP105" i="4"/>
  <c r="BP106" i="4"/>
  <c r="BP107" i="4"/>
  <c r="BP108" i="4"/>
  <c r="BP109" i="4"/>
  <c r="BP110" i="4"/>
  <c r="BP111" i="4"/>
  <c r="BP112" i="4"/>
  <c r="BP113" i="4"/>
  <c r="BP114" i="4"/>
  <c r="BP115" i="4"/>
  <c r="BP116" i="4"/>
  <c r="BP117" i="4"/>
  <c r="BN56" i="4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75" i="4" s="1"/>
  <c r="BN76" i="4" s="1"/>
  <c r="BN77" i="4" s="1"/>
  <c r="BN78" i="4" s="1"/>
  <c r="BN79" i="4" s="1"/>
  <c r="BN80" i="4" s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s="1"/>
  <c r="BN94" i="4" s="1"/>
  <c r="BN95" i="4" s="1"/>
  <c r="BN96" i="4" s="1"/>
  <c r="AN2" i="4"/>
  <c r="AM2" i="4"/>
  <c r="AK2" i="4"/>
  <c r="CI15" i="4"/>
  <c r="CI14" i="4"/>
  <c r="CI13" i="4"/>
  <c r="AQ2" i="4"/>
  <c r="BO59" i="4" l="1"/>
  <c r="BP59" i="4" s="1"/>
  <c r="BO67" i="4"/>
  <c r="BP67" i="4" s="1"/>
  <c r="BO75" i="4"/>
  <c r="BO83" i="4"/>
  <c r="BO91" i="4"/>
  <c r="BO79" i="4"/>
  <c r="BO60" i="4"/>
  <c r="BP60" i="4" s="1"/>
  <c r="BO68" i="4"/>
  <c r="BP68" i="4" s="1"/>
  <c r="BO76" i="4"/>
  <c r="BO84" i="4"/>
  <c r="BO92" i="4"/>
  <c r="BO55" i="4"/>
  <c r="BP55" i="4" s="1"/>
  <c r="BO71" i="4"/>
  <c r="BP71" i="4" s="1"/>
  <c r="BO61" i="4"/>
  <c r="BP61" i="4" s="1"/>
  <c r="BO69" i="4"/>
  <c r="BP69" i="4" s="1"/>
  <c r="BO77" i="4"/>
  <c r="BO85" i="4"/>
  <c r="BO93" i="4"/>
  <c r="BO87" i="4"/>
  <c r="BO62" i="4"/>
  <c r="BP62" i="4" s="1"/>
  <c r="BO70" i="4"/>
  <c r="BP70" i="4" s="1"/>
  <c r="BO78" i="4"/>
  <c r="BO86" i="4"/>
  <c r="BO94" i="4"/>
  <c r="BO63" i="4"/>
  <c r="BP63" i="4" s="1"/>
  <c r="BO95" i="4"/>
  <c r="BO56" i="4"/>
  <c r="BP56" i="4" s="1"/>
  <c r="BO64" i="4"/>
  <c r="BP64" i="4" s="1"/>
  <c r="BO72" i="4"/>
  <c r="BP72" i="4" s="1"/>
  <c r="BO80" i="4"/>
  <c r="BO88" i="4"/>
  <c r="BO96" i="4"/>
  <c r="BO57" i="4"/>
  <c r="BP57" i="4" s="1"/>
  <c r="BO65" i="4"/>
  <c r="BP65" i="4" s="1"/>
  <c r="BO73" i="4"/>
  <c r="BO81" i="4"/>
  <c r="BO89" i="4"/>
  <c r="BO58" i="4"/>
  <c r="BP58" i="4" s="1"/>
  <c r="BO66" i="4"/>
  <c r="BP66" i="4" s="1"/>
  <c r="BO74" i="4"/>
  <c r="BO82" i="4"/>
  <c r="BO90" i="4"/>
  <c r="CA12" i="4"/>
  <c r="CJ12" i="4"/>
  <c r="CG12" i="4"/>
  <c r="CB19" i="4" l="1"/>
  <c r="CO12" i="4"/>
  <c r="AN107" i="4"/>
  <c r="L107" i="4" s="1"/>
  <c r="AN108" i="4"/>
  <c r="L108" i="4" s="1"/>
  <c r="AN109" i="4"/>
  <c r="L109" i="4" s="1"/>
  <c r="AN110" i="4"/>
  <c r="L110" i="4" s="1"/>
  <c r="AN111" i="4"/>
  <c r="L111" i="4" s="1"/>
  <c r="AN112" i="4"/>
  <c r="L112" i="4" s="1"/>
  <c r="AN113" i="4"/>
  <c r="L113" i="4" s="1"/>
  <c r="AN114" i="4"/>
  <c r="L114" i="4" s="1"/>
  <c r="AN115" i="4"/>
  <c r="L115" i="4" s="1"/>
  <c r="AN116" i="4"/>
  <c r="L116" i="4" s="1"/>
  <c r="AN117" i="4"/>
  <c r="L117" i="4" s="1"/>
  <c r="AH105" i="4"/>
  <c r="AI105" i="4" s="1"/>
  <c r="AH106" i="4"/>
  <c r="AI106" i="4" s="1"/>
  <c r="AH107" i="4"/>
  <c r="AI107" i="4" s="1"/>
  <c r="AH108" i="4"/>
  <c r="AI108" i="4" s="1"/>
  <c r="AH109" i="4"/>
  <c r="AI109" i="4" s="1"/>
  <c r="AH110" i="4"/>
  <c r="AI110" i="4" s="1"/>
  <c r="AH111" i="4"/>
  <c r="AI111" i="4" s="1"/>
  <c r="AH112" i="4"/>
  <c r="AI112" i="4" s="1"/>
  <c r="AH113" i="4"/>
  <c r="AI113" i="4" s="1"/>
  <c r="AH114" i="4"/>
  <c r="AI114" i="4" s="1"/>
  <c r="AH115" i="4"/>
  <c r="AI115" i="4" s="1"/>
  <c r="AH116" i="4"/>
  <c r="AI116" i="4" s="1"/>
  <c r="AH117" i="4"/>
  <c r="AI117" i="4" s="1"/>
  <c r="AC11" i="4"/>
  <c r="AB27" i="4"/>
  <c r="AW27" i="4" s="1"/>
  <c r="AB28" i="4"/>
  <c r="AW28" i="4" s="1"/>
  <c r="BE108" i="4"/>
  <c r="BE109" i="4"/>
  <c r="BE110" i="4"/>
  <c r="BE111" i="4"/>
  <c r="BE112" i="4"/>
  <c r="BE113" i="4"/>
  <c r="BE114" i="4"/>
  <c r="BE115" i="4"/>
  <c r="BE116" i="4"/>
  <c r="BE117" i="4"/>
  <c r="BL108" i="4"/>
  <c r="BL109" i="4"/>
  <c r="BL110" i="4"/>
  <c r="BL111" i="4"/>
  <c r="BL112" i="4"/>
  <c r="BL113" i="4"/>
  <c r="BL114" i="4"/>
  <c r="BL115" i="4"/>
  <c r="BL116" i="4"/>
  <c r="BL117" i="4"/>
  <c r="BM108" i="4"/>
  <c r="BM109" i="4"/>
  <c r="BM110" i="4"/>
  <c r="BM111" i="4"/>
  <c r="BM112" i="4"/>
  <c r="BM113" i="4"/>
  <c r="BM114" i="4"/>
  <c r="BM115" i="4"/>
  <c r="BM116" i="4"/>
  <c r="BM117" i="4"/>
  <c r="AH64" i="4"/>
  <c r="AI64" i="4" l="1"/>
  <c r="AU27" i="4"/>
  <c r="AU28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CD15" i="4"/>
  <c r="CC15" i="4"/>
  <c r="CA15" i="4"/>
  <c r="AC12" i="4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103" i="4" s="1"/>
  <c r="AC104" i="4" s="1"/>
  <c r="AC105" i="4" s="1"/>
  <c r="AC106" i="4" s="1"/>
  <c r="AC107" i="4" s="1"/>
  <c r="AC108" i="4" s="1"/>
  <c r="K23" i="16"/>
  <c r="H13" i="16"/>
  <c r="H12" i="16"/>
  <c r="H11" i="16"/>
  <c r="H10" i="16"/>
  <c r="H9" i="16"/>
  <c r="H8" i="16"/>
  <c r="H7" i="16"/>
  <c r="H6" i="16"/>
  <c r="H5" i="16"/>
  <c r="G5" i="16"/>
  <c r="CJ15" i="4"/>
  <c r="CG15" i="4"/>
  <c r="CO15" i="4" l="1"/>
  <c r="AC109" i="4"/>
  <c r="BD108" i="4"/>
  <c r="BF108" i="4" s="1"/>
  <c r="BD27" i="4"/>
  <c r="BF27" i="4" s="1"/>
  <c r="BD107" i="4"/>
  <c r="BF107" i="4" s="1"/>
  <c r="I11" i="16"/>
  <c r="BD11" i="4"/>
  <c r="BD81" i="4"/>
  <c r="BF81" i="4" s="1"/>
  <c r="BD73" i="4"/>
  <c r="BF73" i="4" s="1"/>
  <c r="BD65" i="4"/>
  <c r="BF65" i="4" s="1"/>
  <c r="BD57" i="4"/>
  <c r="BF57" i="4" s="1"/>
  <c r="BD49" i="4"/>
  <c r="BF49" i="4" s="1"/>
  <c r="BD41" i="4"/>
  <c r="BF41" i="4" s="1"/>
  <c r="BD33" i="4"/>
  <c r="BF33" i="4" s="1"/>
  <c r="BD25" i="4"/>
  <c r="BF25" i="4" s="1"/>
  <c r="BD17" i="4"/>
  <c r="BF17" i="4" s="1"/>
  <c r="BD59" i="4"/>
  <c r="BF59" i="4" s="1"/>
  <c r="BD90" i="4"/>
  <c r="BF90" i="4" s="1"/>
  <c r="BD50" i="4"/>
  <c r="BF50" i="4" s="1"/>
  <c r="BD89" i="4"/>
  <c r="BF89" i="4" s="1"/>
  <c r="BD104" i="4"/>
  <c r="BF104" i="4" s="1"/>
  <c r="BD96" i="4"/>
  <c r="BF96" i="4" s="1"/>
  <c r="BD88" i="4"/>
  <c r="BF88" i="4" s="1"/>
  <c r="BD80" i="4"/>
  <c r="BF80" i="4" s="1"/>
  <c r="BD72" i="4"/>
  <c r="BD64" i="4"/>
  <c r="BF64" i="4" s="1"/>
  <c r="BD56" i="4"/>
  <c r="BF56" i="4" s="1"/>
  <c r="BD48" i="4"/>
  <c r="BF48" i="4" s="1"/>
  <c r="BD40" i="4"/>
  <c r="BF40" i="4" s="1"/>
  <c r="BD32" i="4"/>
  <c r="BF32" i="4" s="1"/>
  <c r="BD24" i="4"/>
  <c r="BF24" i="4" s="1"/>
  <c r="BD16" i="4"/>
  <c r="BF16" i="4" s="1"/>
  <c r="BD75" i="4"/>
  <c r="BF75" i="4" s="1"/>
  <c r="BD74" i="4"/>
  <c r="BF74" i="4" s="1"/>
  <c r="BD18" i="4"/>
  <c r="BF18" i="4" s="1"/>
  <c r="BD103" i="4"/>
  <c r="BF103" i="4" s="1"/>
  <c r="BD95" i="4"/>
  <c r="BF95" i="4" s="1"/>
  <c r="BD87" i="4"/>
  <c r="BF87" i="4" s="1"/>
  <c r="BD79" i="4"/>
  <c r="BF79" i="4" s="1"/>
  <c r="BD71" i="4"/>
  <c r="BD63" i="4"/>
  <c r="BF63" i="4" s="1"/>
  <c r="BD55" i="4"/>
  <c r="BF55" i="4" s="1"/>
  <c r="BD47" i="4"/>
  <c r="BF47" i="4" s="1"/>
  <c r="BD39" i="4"/>
  <c r="BF39" i="4" s="1"/>
  <c r="BD31" i="4"/>
  <c r="BF31" i="4" s="1"/>
  <c r="BD23" i="4"/>
  <c r="BF23" i="4" s="1"/>
  <c r="BD15" i="4"/>
  <c r="BF15" i="4" s="1"/>
  <c r="BD91" i="4"/>
  <c r="BF91" i="4" s="1"/>
  <c r="BD98" i="4"/>
  <c r="BF98" i="4" s="1"/>
  <c r="BD58" i="4"/>
  <c r="BF58" i="4" s="1"/>
  <c r="BD34" i="4"/>
  <c r="BF34" i="4" s="1"/>
  <c r="BD105" i="4"/>
  <c r="BF105" i="4" s="1"/>
  <c r="BD102" i="4"/>
  <c r="BF102" i="4" s="1"/>
  <c r="BD94" i="4"/>
  <c r="BF94" i="4" s="1"/>
  <c r="BD86" i="4"/>
  <c r="BF86" i="4" s="1"/>
  <c r="BD78" i="4"/>
  <c r="BF78" i="4" s="1"/>
  <c r="BD70" i="4"/>
  <c r="BD62" i="4"/>
  <c r="BF62" i="4" s="1"/>
  <c r="BD54" i="4"/>
  <c r="BF54" i="4" s="1"/>
  <c r="BD46" i="4"/>
  <c r="BF46" i="4" s="1"/>
  <c r="BD38" i="4"/>
  <c r="BF38" i="4" s="1"/>
  <c r="BD30" i="4"/>
  <c r="BF30" i="4" s="1"/>
  <c r="BD22" i="4"/>
  <c r="BF22" i="4" s="1"/>
  <c r="BD14" i="4"/>
  <c r="BF14" i="4" s="1"/>
  <c r="BD67" i="4"/>
  <c r="BD82" i="4"/>
  <c r="BF82" i="4" s="1"/>
  <c r="BD42" i="4"/>
  <c r="BF42" i="4" s="1"/>
  <c r="BD97" i="4"/>
  <c r="BF97" i="4" s="1"/>
  <c r="BD101" i="4"/>
  <c r="BF101" i="4" s="1"/>
  <c r="BD93" i="4"/>
  <c r="BF93" i="4" s="1"/>
  <c r="BD85" i="4"/>
  <c r="BF85" i="4" s="1"/>
  <c r="BD77" i="4"/>
  <c r="BF77" i="4" s="1"/>
  <c r="BD69" i="4"/>
  <c r="BD61" i="4"/>
  <c r="BF61" i="4" s="1"/>
  <c r="BD53" i="4"/>
  <c r="BF53" i="4" s="1"/>
  <c r="BD45" i="4"/>
  <c r="BF45" i="4" s="1"/>
  <c r="BD37" i="4"/>
  <c r="BF37" i="4" s="1"/>
  <c r="BD29" i="4"/>
  <c r="BF29" i="4" s="1"/>
  <c r="BD21" i="4"/>
  <c r="BF21" i="4" s="1"/>
  <c r="BD13" i="4"/>
  <c r="BF13" i="4" s="1"/>
  <c r="BD83" i="4"/>
  <c r="BF83" i="4" s="1"/>
  <c r="BD106" i="4"/>
  <c r="BF106" i="4" s="1"/>
  <c r="BD66" i="4"/>
  <c r="BF66" i="4" s="1"/>
  <c r="BD26" i="4"/>
  <c r="BF26" i="4" s="1"/>
  <c r="BD100" i="4"/>
  <c r="BF100" i="4" s="1"/>
  <c r="BD92" i="4"/>
  <c r="BF92" i="4" s="1"/>
  <c r="BD84" i="4"/>
  <c r="BF84" i="4" s="1"/>
  <c r="BD76" i="4"/>
  <c r="BF76" i="4" s="1"/>
  <c r="BD68" i="4"/>
  <c r="BD60" i="4"/>
  <c r="BF60" i="4" s="1"/>
  <c r="BD52" i="4"/>
  <c r="BF52" i="4" s="1"/>
  <c r="BD44" i="4"/>
  <c r="BF44" i="4" s="1"/>
  <c r="BD36" i="4"/>
  <c r="BF36" i="4" s="1"/>
  <c r="BD28" i="4"/>
  <c r="BF28" i="4" s="1"/>
  <c r="BD20" i="4"/>
  <c r="BF20" i="4" s="1"/>
  <c r="BD12" i="4"/>
  <c r="BF12" i="4" s="1"/>
  <c r="BD99" i="4"/>
  <c r="BF99" i="4" s="1"/>
  <c r="BD51" i="4"/>
  <c r="BF51" i="4" s="1"/>
  <c r="BD43" i="4"/>
  <c r="BF43" i="4" s="1"/>
  <c r="BD35" i="4"/>
  <c r="BF35" i="4" s="1"/>
  <c r="BD19" i="4"/>
  <c r="BF19" i="4" s="1"/>
  <c r="BF72" i="4" l="1"/>
  <c r="BE72" i="4"/>
  <c r="BF71" i="4"/>
  <c r="BE71" i="4"/>
  <c r="BF11" i="4"/>
  <c r="BF70" i="4"/>
  <c r="BE70" i="4"/>
  <c r="BF69" i="4"/>
  <c r="BE69" i="4"/>
  <c r="BF68" i="4"/>
  <c r="BE68" i="4"/>
  <c r="BF67" i="4"/>
  <c r="BE67" i="4"/>
  <c r="BE66" i="4"/>
  <c r="BE65" i="4"/>
  <c r="BE28" i="4"/>
  <c r="BE19" i="4"/>
  <c r="BE36" i="4"/>
  <c r="BE37" i="4"/>
  <c r="BE38" i="4"/>
  <c r="BE31" i="4"/>
  <c r="BE40" i="4"/>
  <c r="BE41" i="4"/>
  <c r="BE23" i="4"/>
  <c r="BE44" i="4"/>
  <c r="BE46" i="4"/>
  <c r="BE52" i="4"/>
  <c r="BE53" i="4"/>
  <c r="BE42" i="4"/>
  <c r="BE54" i="4"/>
  <c r="BE34" i="4"/>
  <c r="BE47" i="4"/>
  <c r="BE18" i="4"/>
  <c r="BE56" i="4"/>
  <c r="BE50" i="4"/>
  <c r="BE57" i="4"/>
  <c r="BE27" i="4"/>
  <c r="BE29" i="4"/>
  <c r="BE26" i="4"/>
  <c r="BE43" i="4"/>
  <c r="BE51" i="4"/>
  <c r="BE60" i="4"/>
  <c r="BE61" i="4"/>
  <c r="BE62" i="4"/>
  <c r="BE58" i="4"/>
  <c r="BE55" i="4"/>
  <c r="BE64" i="4"/>
  <c r="BE32" i="4"/>
  <c r="BE39" i="4"/>
  <c r="BE63" i="4"/>
  <c r="BE59" i="4"/>
  <c r="BE35" i="4"/>
  <c r="BE49" i="4"/>
  <c r="BE12" i="4"/>
  <c r="BE13" i="4"/>
  <c r="BE14" i="4"/>
  <c r="BE16" i="4"/>
  <c r="BE17" i="4"/>
  <c r="BE30" i="4"/>
  <c r="BE33" i="4"/>
  <c r="BE45" i="4"/>
  <c r="BE48" i="4"/>
  <c r="BE20" i="4"/>
  <c r="BE21" i="4"/>
  <c r="BE22" i="4"/>
  <c r="BE15" i="4"/>
  <c r="BE24" i="4"/>
  <c r="BE25" i="4"/>
  <c r="BE11" i="4"/>
  <c r="AC110" i="4"/>
  <c r="BD109" i="4"/>
  <c r="BF109" i="4" s="1"/>
  <c r="CB15" i="4" l="1"/>
  <c r="BD110" i="4"/>
  <c r="AC111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5" i="4"/>
  <c r="AH66" i="4"/>
  <c r="AH67" i="4"/>
  <c r="AH68" i="4"/>
  <c r="AH69" i="4"/>
  <c r="AH70" i="4"/>
  <c r="AH71" i="4"/>
  <c r="AI71" i="4" s="1"/>
  <c r="AH72" i="4"/>
  <c r="AI72" i="4" s="1"/>
  <c r="AH73" i="4"/>
  <c r="AI73" i="4" s="1"/>
  <c r="AH74" i="4"/>
  <c r="AI74" i="4" s="1"/>
  <c r="AH75" i="4"/>
  <c r="AI75" i="4" s="1"/>
  <c r="AH76" i="4"/>
  <c r="AI76" i="4" s="1"/>
  <c r="AH77" i="4"/>
  <c r="AI77" i="4" s="1"/>
  <c r="AH78" i="4"/>
  <c r="AI78" i="4" s="1"/>
  <c r="AH79" i="4"/>
  <c r="AI79" i="4" s="1"/>
  <c r="AH80" i="4"/>
  <c r="AI80" i="4" s="1"/>
  <c r="AH81" i="4"/>
  <c r="AI81" i="4" s="1"/>
  <c r="AH82" i="4"/>
  <c r="AI82" i="4" s="1"/>
  <c r="AH83" i="4"/>
  <c r="AI83" i="4" s="1"/>
  <c r="AH84" i="4"/>
  <c r="AI84" i="4" s="1"/>
  <c r="AH85" i="4"/>
  <c r="AI85" i="4" s="1"/>
  <c r="AH86" i="4"/>
  <c r="AI86" i="4" s="1"/>
  <c r="AH87" i="4"/>
  <c r="AI87" i="4" s="1"/>
  <c r="AH88" i="4"/>
  <c r="AI88" i="4" s="1"/>
  <c r="AH89" i="4"/>
  <c r="AI89" i="4" s="1"/>
  <c r="AH90" i="4"/>
  <c r="AI90" i="4" s="1"/>
  <c r="AH91" i="4"/>
  <c r="AI91" i="4" s="1"/>
  <c r="AH92" i="4"/>
  <c r="AI92" i="4" s="1"/>
  <c r="AH93" i="4"/>
  <c r="AI93" i="4" s="1"/>
  <c r="AH94" i="4"/>
  <c r="AI94" i="4" s="1"/>
  <c r="AH95" i="4"/>
  <c r="AI95" i="4" s="1"/>
  <c r="AH96" i="4"/>
  <c r="AI96" i="4" s="1"/>
  <c r="AH97" i="4"/>
  <c r="AI97" i="4" s="1"/>
  <c r="AH98" i="4"/>
  <c r="AI98" i="4" s="1"/>
  <c r="AH99" i="4"/>
  <c r="AI99" i="4" s="1"/>
  <c r="AH100" i="4"/>
  <c r="AI100" i="4" s="1"/>
  <c r="AH101" i="4"/>
  <c r="AI101" i="4" s="1"/>
  <c r="AH102" i="4"/>
  <c r="AI102" i="4" s="1"/>
  <c r="AH103" i="4"/>
  <c r="AI103" i="4" s="1"/>
  <c r="AH104" i="4"/>
  <c r="AI104" i="4" s="1"/>
  <c r="AH15" i="4"/>
  <c r="BF110" i="4" l="1"/>
  <c r="AI69" i="4"/>
  <c r="AI44" i="4"/>
  <c r="AI20" i="4"/>
  <c r="AI68" i="4"/>
  <c r="AI43" i="4"/>
  <c r="AI35" i="4"/>
  <c r="AI27" i="4"/>
  <c r="AI19" i="4"/>
  <c r="AI67" i="4"/>
  <c r="AI58" i="4"/>
  <c r="AI50" i="4"/>
  <c r="AI42" i="4"/>
  <c r="AI34" i="4"/>
  <c r="AI26" i="4"/>
  <c r="AI18" i="4"/>
  <c r="AI52" i="4"/>
  <c r="AI41" i="4"/>
  <c r="AI59" i="4"/>
  <c r="AI49" i="4"/>
  <c r="AI17" i="4"/>
  <c r="AI65" i="4"/>
  <c r="AI56" i="4"/>
  <c r="AI48" i="4"/>
  <c r="AI40" i="4"/>
  <c r="AI32" i="4"/>
  <c r="AI24" i="4"/>
  <c r="AI16" i="4"/>
  <c r="AI28" i="4"/>
  <c r="AI66" i="4"/>
  <c r="AI33" i="4"/>
  <c r="AI15" i="4"/>
  <c r="AI63" i="4"/>
  <c r="AI55" i="4"/>
  <c r="AI47" i="4"/>
  <c r="AI39" i="4"/>
  <c r="AI31" i="4"/>
  <c r="AI23" i="4"/>
  <c r="AI62" i="4"/>
  <c r="AI54" i="4"/>
  <c r="AI46" i="4"/>
  <c r="AI38" i="4"/>
  <c r="AI30" i="4"/>
  <c r="AI22" i="4"/>
  <c r="AI60" i="4"/>
  <c r="AI36" i="4"/>
  <c r="AI51" i="4"/>
  <c r="AI57" i="4"/>
  <c r="AI25" i="4"/>
  <c r="AI70" i="4"/>
  <c r="AI61" i="4"/>
  <c r="AI53" i="4"/>
  <c r="AI45" i="4"/>
  <c r="AI37" i="4"/>
  <c r="AI29" i="4"/>
  <c r="AI21" i="4"/>
  <c r="CI11" i="4"/>
  <c r="BD111" i="4"/>
  <c r="BF111" i="4" s="1"/>
  <c r="AC112" i="4"/>
  <c r="DK12" i="4"/>
  <c r="CD14" i="4"/>
  <c r="BL62" i="4"/>
  <c r="CA14" i="4"/>
  <c r="CC14" i="4"/>
  <c r="AN62" i="4"/>
  <c r="AN60" i="4"/>
  <c r="AN61" i="4"/>
  <c r="CG14" i="4"/>
  <c r="CJ14" i="4"/>
  <c r="AU29" i="4" l="1"/>
  <c r="CO14" i="4"/>
  <c r="L60" i="4"/>
  <c r="L61" i="4"/>
  <c r="L62" i="4"/>
  <c r="AU53" i="4"/>
  <c r="AU44" i="4"/>
  <c r="AU35" i="4"/>
  <c r="AU50" i="4"/>
  <c r="AU30" i="4"/>
  <c r="AU33" i="4"/>
  <c r="AU40" i="4"/>
  <c r="AU31" i="4"/>
  <c r="AU38" i="4"/>
  <c r="AU52" i="4"/>
  <c r="AU59" i="4"/>
  <c r="AU42" i="4"/>
  <c r="AU57" i="4"/>
  <c r="AU32" i="4"/>
  <c r="AU45" i="4"/>
  <c r="AU51" i="4"/>
  <c r="AU55" i="4"/>
  <c r="AU54" i="4"/>
  <c r="AU47" i="4"/>
  <c r="AU36" i="4"/>
  <c r="AU34" i="4"/>
  <c r="AU49" i="4"/>
  <c r="AU56" i="4"/>
  <c r="AU37" i="4"/>
  <c r="AU46" i="4"/>
  <c r="AU61" i="4"/>
  <c r="AU43" i="4"/>
  <c r="AU58" i="4"/>
  <c r="AU60" i="4"/>
  <c r="AU41" i="4"/>
  <c r="AU48" i="4"/>
  <c r="AU39" i="4"/>
  <c r="BD112" i="4"/>
  <c r="BF112" i="4" s="1"/>
  <c r="AC113" i="4"/>
  <c r="D3" i="4"/>
  <c r="AV29" i="4" l="1"/>
  <c r="AW43" i="4"/>
  <c r="AV43" i="4"/>
  <c r="AW47" i="4"/>
  <c r="AV47" i="4"/>
  <c r="AW59" i="4"/>
  <c r="AV59" i="4"/>
  <c r="AW35" i="4"/>
  <c r="AV35" i="4"/>
  <c r="AW48" i="4"/>
  <c r="AV48" i="4"/>
  <c r="AW41" i="4"/>
  <c r="AV41" i="4"/>
  <c r="AW32" i="4"/>
  <c r="AV32" i="4"/>
  <c r="AW34" i="4"/>
  <c r="AV34" i="4"/>
  <c r="AW30" i="4"/>
  <c r="AV30" i="4"/>
  <c r="AW42" i="4"/>
  <c r="AV42" i="4"/>
  <c r="AW61" i="4"/>
  <c r="AV61" i="4"/>
  <c r="AW54" i="4"/>
  <c r="AV54" i="4"/>
  <c r="AW52" i="4"/>
  <c r="AV52" i="4"/>
  <c r="AW44" i="4"/>
  <c r="AV44" i="4"/>
  <c r="AW45" i="4"/>
  <c r="AV45" i="4"/>
  <c r="AW36" i="4"/>
  <c r="AV36" i="4"/>
  <c r="AW46" i="4"/>
  <c r="AV46" i="4"/>
  <c r="AW55" i="4"/>
  <c r="AV55" i="4"/>
  <c r="AW38" i="4"/>
  <c r="AV38" i="4"/>
  <c r="AW53" i="4"/>
  <c r="AV53" i="4"/>
  <c r="AW29" i="4"/>
  <c r="AW56" i="4"/>
  <c r="AV56" i="4"/>
  <c r="AW49" i="4"/>
  <c r="AV49" i="4"/>
  <c r="AW33" i="4"/>
  <c r="AV33" i="4"/>
  <c r="AW60" i="4"/>
  <c r="AV60" i="4"/>
  <c r="AW57" i="4"/>
  <c r="AV57" i="4"/>
  <c r="AW58" i="4"/>
  <c r="AV58" i="4"/>
  <c r="AW50" i="4"/>
  <c r="AV50" i="4"/>
  <c r="AW39" i="4"/>
  <c r="AV39" i="4"/>
  <c r="AW37" i="4"/>
  <c r="AV37" i="4"/>
  <c r="AW51" i="4"/>
  <c r="AV51" i="4"/>
  <c r="AW31" i="4"/>
  <c r="AV31" i="4"/>
  <c r="AW40" i="4"/>
  <c r="AV40" i="4"/>
  <c r="BD113" i="4"/>
  <c r="BF113" i="4" s="1"/>
  <c r="AC114" i="4"/>
  <c r="BM11" i="4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BM38" i="4"/>
  <c r="BM39" i="4"/>
  <c r="BM40" i="4"/>
  <c r="BM41" i="4"/>
  <c r="BM42" i="4"/>
  <c r="BM43" i="4"/>
  <c r="BM44" i="4"/>
  <c r="BM45" i="4"/>
  <c r="BM46" i="4"/>
  <c r="BM47" i="4"/>
  <c r="BM48" i="4"/>
  <c r="BM49" i="4"/>
  <c r="BM50" i="4"/>
  <c r="BM51" i="4"/>
  <c r="BM52" i="4"/>
  <c r="BM53" i="4"/>
  <c r="BM54" i="4"/>
  <c r="BM55" i="4"/>
  <c r="BM56" i="4"/>
  <c r="BM57" i="4"/>
  <c r="BM58" i="4"/>
  <c r="BM59" i="4"/>
  <c r="BM60" i="4"/>
  <c r="BM61" i="4"/>
  <c r="BM62" i="4"/>
  <c r="BM63" i="4"/>
  <c r="BM64" i="4"/>
  <c r="BM65" i="4"/>
  <c r="BM66" i="4"/>
  <c r="BM67" i="4"/>
  <c r="BM68" i="4"/>
  <c r="BM69" i="4"/>
  <c r="BM70" i="4"/>
  <c r="BM71" i="4"/>
  <c r="BM72" i="4"/>
  <c r="BM73" i="4"/>
  <c r="BM74" i="4"/>
  <c r="BM75" i="4"/>
  <c r="BM76" i="4"/>
  <c r="BM77" i="4"/>
  <c r="BM78" i="4"/>
  <c r="BM79" i="4"/>
  <c r="BM80" i="4"/>
  <c r="BM81" i="4"/>
  <c r="BM82" i="4"/>
  <c r="BM83" i="4"/>
  <c r="BM84" i="4"/>
  <c r="BM85" i="4"/>
  <c r="BM86" i="4"/>
  <c r="BM87" i="4"/>
  <c r="BM88" i="4"/>
  <c r="BM89" i="4"/>
  <c r="BM90" i="4"/>
  <c r="BM91" i="4"/>
  <c r="BM92" i="4"/>
  <c r="BM93" i="4"/>
  <c r="BM94" i="4"/>
  <c r="BM95" i="4"/>
  <c r="BM96" i="4"/>
  <c r="BM97" i="4"/>
  <c r="BM98" i="4"/>
  <c r="BM99" i="4"/>
  <c r="BM100" i="4"/>
  <c r="BM101" i="4"/>
  <c r="BM102" i="4"/>
  <c r="BM103" i="4"/>
  <c r="BM104" i="4"/>
  <c r="BM105" i="4"/>
  <c r="BM106" i="4"/>
  <c r="BM107" i="4"/>
  <c r="BL11" i="4"/>
  <c r="BL12" i="4"/>
  <c r="BL13" i="4"/>
  <c r="BL14" i="4"/>
  <c r="BL15" i="4"/>
  <c r="BL16" i="4"/>
  <c r="BL17" i="4"/>
  <c r="BL18" i="4"/>
  <c r="BL19" i="4"/>
  <c r="BL20" i="4"/>
  <c r="BL21" i="4"/>
  <c r="BL22" i="4"/>
  <c r="BL23" i="4"/>
  <c r="BL24" i="4"/>
  <c r="BL25" i="4"/>
  <c r="BL26" i="4"/>
  <c r="BL27" i="4"/>
  <c r="BL28" i="4"/>
  <c r="BL29" i="4"/>
  <c r="BL30" i="4"/>
  <c r="BL31" i="4"/>
  <c r="BL32" i="4"/>
  <c r="BL33" i="4"/>
  <c r="BL34" i="4"/>
  <c r="BL35" i="4"/>
  <c r="BL36" i="4"/>
  <c r="BL37" i="4"/>
  <c r="BL38" i="4"/>
  <c r="BL39" i="4"/>
  <c r="BL40" i="4"/>
  <c r="BL41" i="4"/>
  <c r="BL42" i="4"/>
  <c r="BL43" i="4"/>
  <c r="BL44" i="4"/>
  <c r="BL45" i="4"/>
  <c r="BL46" i="4"/>
  <c r="BL47" i="4"/>
  <c r="BL48" i="4"/>
  <c r="BL49" i="4"/>
  <c r="BL50" i="4"/>
  <c r="BL51" i="4"/>
  <c r="BL52" i="4"/>
  <c r="BL53" i="4"/>
  <c r="BL54" i="4"/>
  <c r="BL55" i="4"/>
  <c r="BL56" i="4"/>
  <c r="BL57" i="4"/>
  <c r="BL58" i="4"/>
  <c r="BL59" i="4"/>
  <c r="BL60" i="4"/>
  <c r="BL61" i="4"/>
  <c r="BL63" i="4"/>
  <c r="BL64" i="4"/>
  <c r="BL65" i="4"/>
  <c r="BL66" i="4"/>
  <c r="BL67" i="4"/>
  <c r="BL68" i="4"/>
  <c r="BL69" i="4"/>
  <c r="BL70" i="4"/>
  <c r="BL71" i="4"/>
  <c r="BL72" i="4"/>
  <c r="BL73" i="4"/>
  <c r="BL74" i="4"/>
  <c r="BL75" i="4"/>
  <c r="BL76" i="4"/>
  <c r="BL77" i="4"/>
  <c r="BL78" i="4"/>
  <c r="BL79" i="4"/>
  <c r="BL80" i="4"/>
  <c r="BL81" i="4"/>
  <c r="BL82" i="4"/>
  <c r="BL83" i="4"/>
  <c r="BL84" i="4"/>
  <c r="BL85" i="4"/>
  <c r="BL86" i="4"/>
  <c r="BL87" i="4"/>
  <c r="BL88" i="4"/>
  <c r="BL89" i="4"/>
  <c r="BL90" i="4"/>
  <c r="BL91" i="4"/>
  <c r="BL92" i="4"/>
  <c r="BL93" i="4"/>
  <c r="BL94" i="4"/>
  <c r="BL95" i="4"/>
  <c r="BL96" i="4"/>
  <c r="BL97" i="4"/>
  <c r="BL98" i="4"/>
  <c r="BL99" i="4"/>
  <c r="BL100" i="4"/>
  <c r="BL101" i="4"/>
  <c r="BL102" i="4"/>
  <c r="BL103" i="4"/>
  <c r="BL104" i="4"/>
  <c r="BL105" i="4"/>
  <c r="BL106" i="4"/>
  <c r="BL107" i="4"/>
  <c r="CD13" i="4"/>
  <c r="CD12" i="4"/>
  <c r="CC13" i="4"/>
  <c r="CC12" i="4"/>
  <c r="AO15" i="4" s="1"/>
  <c r="CA13" i="4"/>
  <c r="CJ13" i="4"/>
  <c r="CG13" i="4"/>
  <c r="AQ15" i="4" l="1"/>
  <c r="AO19" i="4"/>
  <c r="AQ19" i="4" s="1"/>
  <c r="AO27" i="4"/>
  <c r="AQ27" i="4" s="1"/>
  <c r="AO35" i="4"/>
  <c r="AQ35" i="4" s="1"/>
  <c r="AO43" i="4"/>
  <c r="AQ43" i="4" s="1"/>
  <c r="AO44" i="4"/>
  <c r="AQ44" i="4" s="1"/>
  <c r="AO41" i="4"/>
  <c r="AQ41" i="4" s="1"/>
  <c r="AO16" i="4"/>
  <c r="AQ16" i="4" s="1"/>
  <c r="AO30" i="4"/>
  <c r="AQ30" i="4" s="1"/>
  <c r="AO36" i="4"/>
  <c r="AQ36" i="4" s="1"/>
  <c r="AO33" i="4"/>
  <c r="AQ33" i="4" s="1"/>
  <c r="AO47" i="4"/>
  <c r="AQ47" i="4" s="1"/>
  <c r="AO22" i="4"/>
  <c r="AQ22" i="4" s="1"/>
  <c r="AO28" i="4"/>
  <c r="AQ28" i="4" s="1"/>
  <c r="AO25" i="4"/>
  <c r="AQ25" i="4" s="1"/>
  <c r="AO39" i="4"/>
  <c r="AQ39" i="4" s="1"/>
  <c r="AO45" i="4"/>
  <c r="AQ45" i="4" s="1"/>
  <c r="AO20" i="4"/>
  <c r="AQ20" i="4" s="1"/>
  <c r="AO17" i="4"/>
  <c r="AQ17" i="4" s="1"/>
  <c r="AO31" i="4"/>
  <c r="AQ31" i="4" s="1"/>
  <c r="AO37" i="4"/>
  <c r="AQ37" i="4" s="1"/>
  <c r="AO42" i="4"/>
  <c r="AQ42" i="4" s="1"/>
  <c r="AO48" i="4"/>
  <c r="AQ48" i="4" s="1"/>
  <c r="AO23" i="4"/>
  <c r="AQ23" i="4" s="1"/>
  <c r="AO29" i="4"/>
  <c r="AQ29" i="4" s="1"/>
  <c r="AO34" i="4"/>
  <c r="AQ34" i="4" s="1"/>
  <c r="AO40" i="4"/>
  <c r="AQ40" i="4" s="1"/>
  <c r="AO21" i="4"/>
  <c r="AQ21" i="4" s="1"/>
  <c r="AO26" i="4"/>
  <c r="AQ26" i="4" s="1"/>
  <c r="AO32" i="4"/>
  <c r="AQ32" i="4" s="1"/>
  <c r="AO46" i="4"/>
  <c r="AQ46" i="4" s="1"/>
  <c r="AO18" i="4"/>
  <c r="AQ18" i="4" s="1"/>
  <c r="AO24" i="4"/>
  <c r="AQ24" i="4" s="1"/>
  <c r="AO38" i="4"/>
  <c r="AQ38" i="4" s="1"/>
  <c r="AR26" i="4"/>
  <c r="AT26" i="4" s="1"/>
  <c r="AR34" i="4"/>
  <c r="AT34" i="4" s="1"/>
  <c r="AR19" i="4"/>
  <c r="AT19" i="4" s="1"/>
  <c r="AR27" i="4"/>
  <c r="AT27" i="4" s="1"/>
  <c r="AR35" i="4"/>
  <c r="AT35" i="4" s="1"/>
  <c r="AR20" i="4"/>
  <c r="AT20" i="4" s="1"/>
  <c r="AR28" i="4"/>
  <c r="AT28" i="4" s="1"/>
  <c r="AR36" i="4"/>
  <c r="AT36" i="4" s="1"/>
  <c r="AR21" i="4"/>
  <c r="AT21" i="4" s="1"/>
  <c r="AR29" i="4"/>
  <c r="AT29" i="4" s="1"/>
  <c r="AR37" i="4"/>
  <c r="AT37" i="4" s="1"/>
  <c r="AR22" i="4"/>
  <c r="AT22" i="4" s="1"/>
  <c r="AR30" i="4"/>
  <c r="AT30" i="4" s="1"/>
  <c r="AR38" i="4"/>
  <c r="AT38" i="4" s="1"/>
  <c r="AR23" i="4"/>
  <c r="AT23" i="4" s="1"/>
  <c r="AR31" i="4"/>
  <c r="AT31" i="4" s="1"/>
  <c r="AR39" i="4"/>
  <c r="AT39" i="4" s="1"/>
  <c r="AR24" i="4"/>
  <c r="AT24" i="4" s="1"/>
  <c r="AR32" i="4"/>
  <c r="AT32" i="4" s="1"/>
  <c r="AR25" i="4"/>
  <c r="AT25" i="4" s="1"/>
  <c r="AR33" i="4"/>
  <c r="AT33" i="4" s="1"/>
  <c r="AR11" i="4"/>
  <c r="AR47" i="4"/>
  <c r="AT47" i="4" s="1"/>
  <c r="AR55" i="4"/>
  <c r="AT55" i="4" s="1"/>
  <c r="AR40" i="4"/>
  <c r="AT40" i="4" s="1"/>
  <c r="AR48" i="4"/>
  <c r="AT48" i="4" s="1"/>
  <c r="AR56" i="4"/>
  <c r="AT56" i="4" s="1"/>
  <c r="AR41" i="4"/>
  <c r="AT41" i="4" s="1"/>
  <c r="AR49" i="4"/>
  <c r="AT49" i="4" s="1"/>
  <c r="AR57" i="4"/>
  <c r="AT57" i="4" s="1"/>
  <c r="AR42" i="4"/>
  <c r="AT42" i="4" s="1"/>
  <c r="AR50" i="4"/>
  <c r="AT50" i="4" s="1"/>
  <c r="AR58" i="4"/>
  <c r="AT58" i="4" s="1"/>
  <c r="AR43" i="4"/>
  <c r="AT43" i="4" s="1"/>
  <c r="AR51" i="4"/>
  <c r="AT51" i="4" s="1"/>
  <c r="AR59" i="4"/>
  <c r="AT59" i="4" s="1"/>
  <c r="AR44" i="4"/>
  <c r="AT44" i="4" s="1"/>
  <c r="AR52" i="4"/>
  <c r="AT52" i="4" s="1"/>
  <c r="AR60" i="4"/>
  <c r="AT60" i="4" s="1"/>
  <c r="AR45" i="4"/>
  <c r="AT45" i="4" s="1"/>
  <c r="AR53" i="4"/>
  <c r="AT53" i="4" s="1"/>
  <c r="AR61" i="4"/>
  <c r="AT61" i="4" s="1"/>
  <c r="AR46" i="4"/>
  <c r="AT46" i="4" s="1"/>
  <c r="AR54" i="4"/>
  <c r="AT54" i="4" s="1"/>
  <c r="AO51" i="4"/>
  <c r="AO52" i="4"/>
  <c r="AO60" i="4"/>
  <c r="AO53" i="4"/>
  <c r="AO61" i="4"/>
  <c r="AO54" i="4"/>
  <c r="AO55" i="4"/>
  <c r="AO56" i="4"/>
  <c r="AO49" i="4"/>
  <c r="AO57" i="4"/>
  <c r="AO50" i="4"/>
  <c r="AO58" i="4"/>
  <c r="AO59" i="4"/>
  <c r="CO13" i="4"/>
  <c r="BD114" i="4"/>
  <c r="AC115" i="4"/>
  <c r="AN64" i="4"/>
  <c r="AN65" i="4"/>
  <c r="AN66" i="4"/>
  <c r="AN67" i="4"/>
  <c r="AN68" i="4"/>
  <c r="AN69" i="4"/>
  <c r="AN70" i="4"/>
  <c r="L70" i="4" s="1"/>
  <c r="L72" i="4"/>
  <c r="AN73" i="4"/>
  <c r="L73" i="4" s="1"/>
  <c r="AN74" i="4"/>
  <c r="L74" i="4" s="1"/>
  <c r="AN75" i="4"/>
  <c r="L75" i="4" s="1"/>
  <c r="AN76" i="4"/>
  <c r="L76" i="4" s="1"/>
  <c r="AN77" i="4"/>
  <c r="L77" i="4" s="1"/>
  <c r="AN78" i="4"/>
  <c r="L78" i="4" s="1"/>
  <c r="AN79" i="4"/>
  <c r="L79" i="4" s="1"/>
  <c r="AN80" i="4"/>
  <c r="L80" i="4" s="1"/>
  <c r="AN81" i="4"/>
  <c r="L81" i="4" s="1"/>
  <c r="AN82" i="4"/>
  <c r="L82" i="4" s="1"/>
  <c r="AN83" i="4"/>
  <c r="L83" i="4" s="1"/>
  <c r="AN84" i="4"/>
  <c r="L84" i="4" s="1"/>
  <c r="AN85" i="4"/>
  <c r="L85" i="4" s="1"/>
  <c r="AN86" i="4"/>
  <c r="L86" i="4" s="1"/>
  <c r="AN87" i="4"/>
  <c r="L87" i="4" s="1"/>
  <c r="AN88" i="4"/>
  <c r="L88" i="4" s="1"/>
  <c r="AN89" i="4"/>
  <c r="L89" i="4" s="1"/>
  <c r="AN90" i="4"/>
  <c r="L90" i="4" s="1"/>
  <c r="AN91" i="4"/>
  <c r="L91" i="4" s="1"/>
  <c r="AN92" i="4"/>
  <c r="L92" i="4" s="1"/>
  <c r="AN93" i="4"/>
  <c r="L93" i="4" s="1"/>
  <c r="AN94" i="4"/>
  <c r="L94" i="4" s="1"/>
  <c r="AN95" i="4"/>
  <c r="L95" i="4" s="1"/>
  <c r="AN96" i="4"/>
  <c r="L96" i="4" s="1"/>
  <c r="AN97" i="4"/>
  <c r="L97" i="4" s="1"/>
  <c r="AN98" i="4"/>
  <c r="L98" i="4" s="1"/>
  <c r="AN99" i="4"/>
  <c r="L99" i="4" s="1"/>
  <c r="AN100" i="4"/>
  <c r="L100" i="4" s="1"/>
  <c r="AN101" i="4"/>
  <c r="L101" i="4" s="1"/>
  <c r="AN102" i="4"/>
  <c r="L102" i="4" s="1"/>
  <c r="AN103" i="4"/>
  <c r="L103" i="4" s="1"/>
  <c r="AN104" i="4"/>
  <c r="L104" i="4" s="1"/>
  <c r="AN105" i="4"/>
  <c r="L105" i="4" s="1"/>
  <c r="AN106" i="4"/>
  <c r="L106" i="4" s="1"/>
  <c r="AN12" i="4"/>
  <c r="AL12" i="4" s="1"/>
  <c r="AN13" i="4"/>
  <c r="AL13" i="4" s="1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11" i="4"/>
  <c r="AL11" i="4" s="1"/>
  <c r="B62" i="4"/>
  <c r="AJ60" i="4"/>
  <c r="AL60" i="4" s="1"/>
  <c r="AJ61" i="4"/>
  <c r="AL61" i="4" s="1"/>
  <c r="AF62" i="4" l="1"/>
  <c r="BG62" i="4" s="1"/>
  <c r="BF114" i="4"/>
  <c r="AT11" i="4"/>
  <c r="AP43" i="4"/>
  <c r="AP35" i="4"/>
  <c r="AP27" i="4"/>
  <c r="AP19" i="4"/>
  <c r="AP37" i="4"/>
  <c r="AP42" i="4"/>
  <c r="AP34" i="4"/>
  <c r="AP26" i="4"/>
  <c r="AP18" i="4"/>
  <c r="AP41" i="4"/>
  <c r="AP33" i="4"/>
  <c r="AP25" i="4"/>
  <c r="AP17" i="4"/>
  <c r="AP45" i="4"/>
  <c r="AP21" i="4"/>
  <c r="AP48" i="4"/>
  <c r="AP40" i="4"/>
  <c r="AP32" i="4"/>
  <c r="AP24" i="4"/>
  <c r="AP16" i="4"/>
  <c r="AP39" i="4"/>
  <c r="AP31" i="4"/>
  <c r="AP23" i="4"/>
  <c r="AP15" i="4"/>
  <c r="AP47" i="4"/>
  <c r="AP46" i="4"/>
  <c r="AP38" i="4"/>
  <c r="AP30" i="4"/>
  <c r="AP22" i="4"/>
  <c r="AD62" i="4"/>
  <c r="AM62" i="4"/>
  <c r="AG62" i="4"/>
  <c r="AJ62" i="4" s="1"/>
  <c r="AL62" i="4" s="1"/>
  <c r="AX62" i="4"/>
  <c r="AP29" i="4"/>
  <c r="AP44" i="4"/>
  <c r="AP36" i="4"/>
  <c r="AP28" i="4"/>
  <c r="AP20" i="4"/>
  <c r="AP13" i="4"/>
  <c r="AP12" i="4"/>
  <c r="AP11" i="4"/>
  <c r="AP51" i="4"/>
  <c r="AQ51" i="4"/>
  <c r="AP59" i="4"/>
  <c r="AQ59" i="4"/>
  <c r="AP58" i="4"/>
  <c r="AQ58" i="4"/>
  <c r="AP56" i="4"/>
  <c r="AQ56" i="4"/>
  <c r="AP60" i="4"/>
  <c r="AQ60" i="4"/>
  <c r="AP50" i="4"/>
  <c r="AQ50" i="4"/>
  <c r="AP57" i="4"/>
  <c r="AQ57" i="4"/>
  <c r="AP61" i="4"/>
  <c r="AQ61" i="4"/>
  <c r="AP52" i="4"/>
  <c r="AQ52" i="4"/>
  <c r="AP49" i="4"/>
  <c r="AQ49" i="4"/>
  <c r="AP55" i="4"/>
  <c r="AQ55" i="4"/>
  <c r="AP54" i="4"/>
  <c r="AQ54" i="4"/>
  <c r="AP53" i="4"/>
  <c r="AQ53" i="4"/>
  <c r="AS31" i="4"/>
  <c r="AS36" i="4"/>
  <c r="AS23" i="4"/>
  <c r="AS28" i="4"/>
  <c r="AS38" i="4"/>
  <c r="AS20" i="4"/>
  <c r="AS33" i="4"/>
  <c r="AS30" i="4"/>
  <c r="AS35" i="4"/>
  <c r="AS25" i="4"/>
  <c r="AS22" i="4"/>
  <c r="AS27" i="4"/>
  <c r="AS32" i="4"/>
  <c r="AS37" i="4"/>
  <c r="AS19" i="4"/>
  <c r="AS24" i="4"/>
  <c r="AS29" i="4"/>
  <c r="AS34" i="4"/>
  <c r="AS39" i="4"/>
  <c r="AS21" i="4"/>
  <c r="AS26" i="4"/>
  <c r="AS43" i="4"/>
  <c r="AS58" i="4"/>
  <c r="AS54" i="4"/>
  <c r="AS50" i="4"/>
  <c r="AS46" i="4"/>
  <c r="AS61" i="4"/>
  <c r="AS42" i="4"/>
  <c r="AS57" i="4"/>
  <c r="AS53" i="4"/>
  <c r="AS49" i="4"/>
  <c r="AS45" i="4"/>
  <c r="AS60" i="4"/>
  <c r="AS41" i="4"/>
  <c r="AS56" i="4"/>
  <c r="AS52" i="4"/>
  <c r="AS48" i="4"/>
  <c r="AS44" i="4"/>
  <c r="AS59" i="4"/>
  <c r="AS40" i="4"/>
  <c r="AS55" i="4"/>
  <c r="AS51" i="4"/>
  <c r="AS47" i="4"/>
  <c r="AA62" i="4"/>
  <c r="AR62" i="4" s="1"/>
  <c r="AT62" i="4" s="1"/>
  <c r="AE62" i="4"/>
  <c r="AB62" i="4"/>
  <c r="AK61" i="4"/>
  <c r="AK60" i="4"/>
  <c r="L11" i="4"/>
  <c r="L34" i="4"/>
  <c r="L26" i="4"/>
  <c r="L18" i="4"/>
  <c r="L33" i="4"/>
  <c r="L25" i="4"/>
  <c r="L17" i="4"/>
  <c r="L35" i="4"/>
  <c r="L40" i="4"/>
  <c r="L24" i="4"/>
  <c r="L39" i="4"/>
  <c r="L15" i="4"/>
  <c r="L38" i="4"/>
  <c r="L30" i="4"/>
  <c r="L22" i="4"/>
  <c r="L27" i="4"/>
  <c r="L32" i="4"/>
  <c r="L16" i="4"/>
  <c r="L31" i="4"/>
  <c r="L23" i="4"/>
  <c r="L37" i="4"/>
  <c r="L29" i="4"/>
  <c r="L21" i="4"/>
  <c r="L12" i="4"/>
  <c r="L67" i="4"/>
  <c r="L19" i="4"/>
  <c r="L36" i="4"/>
  <c r="L28" i="4"/>
  <c r="L20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L13" i="4"/>
  <c r="CI12" i="4"/>
  <c r="AC116" i="4"/>
  <c r="BD115" i="4"/>
  <c r="BF115" i="4" s="1"/>
  <c r="B63" i="4"/>
  <c r="G2" i="4"/>
  <c r="F2" i="4"/>
  <c r="AJ23" i="4"/>
  <c r="AL23" i="4" s="1"/>
  <c r="AJ24" i="4"/>
  <c r="AL24" i="4" s="1"/>
  <c r="AJ25" i="4"/>
  <c r="AL25" i="4" s="1"/>
  <c r="AJ26" i="4"/>
  <c r="AL26" i="4" s="1"/>
  <c r="AJ27" i="4"/>
  <c r="AL27" i="4" s="1"/>
  <c r="AJ28" i="4"/>
  <c r="AL28" i="4" s="1"/>
  <c r="AJ29" i="4"/>
  <c r="AL29" i="4" s="1"/>
  <c r="AJ30" i="4"/>
  <c r="AL30" i="4" s="1"/>
  <c r="AJ31" i="4"/>
  <c r="AL31" i="4" s="1"/>
  <c r="AJ32" i="4"/>
  <c r="AL32" i="4" s="1"/>
  <c r="AJ33" i="4"/>
  <c r="AL33" i="4" s="1"/>
  <c r="AJ34" i="4"/>
  <c r="AL34" i="4" s="1"/>
  <c r="AJ35" i="4"/>
  <c r="AL35" i="4" s="1"/>
  <c r="AJ36" i="4"/>
  <c r="AL36" i="4" s="1"/>
  <c r="AJ37" i="4"/>
  <c r="AL37" i="4" s="1"/>
  <c r="AJ38" i="4"/>
  <c r="AL38" i="4" s="1"/>
  <c r="AJ39" i="4"/>
  <c r="AL39" i="4" s="1"/>
  <c r="AJ40" i="4"/>
  <c r="AL40" i="4" s="1"/>
  <c r="AJ41" i="4"/>
  <c r="AL41" i="4" s="1"/>
  <c r="AJ42" i="4"/>
  <c r="AL42" i="4" s="1"/>
  <c r="AJ43" i="4"/>
  <c r="AL43" i="4" s="1"/>
  <c r="AJ44" i="4"/>
  <c r="AL44" i="4" s="1"/>
  <c r="AJ45" i="4"/>
  <c r="AL45" i="4" s="1"/>
  <c r="AJ46" i="4"/>
  <c r="AL46" i="4" s="1"/>
  <c r="AJ47" i="4"/>
  <c r="AL47" i="4" s="1"/>
  <c r="AJ48" i="4"/>
  <c r="AL48" i="4" s="1"/>
  <c r="AJ49" i="4"/>
  <c r="AL49" i="4" s="1"/>
  <c r="AJ50" i="4"/>
  <c r="AL50" i="4" s="1"/>
  <c r="AJ51" i="4"/>
  <c r="AL51" i="4" s="1"/>
  <c r="AJ52" i="4"/>
  <c r="AL52" i="4" s="1"/>
  <c r="AJ53" i="4"/>
  <c r="AL53" i="4" s="1"/>
  <c r="AJ54" i="4"/>
  <c r="AL54" i="4" s="1"/>
  <c r="AJ55" i="4"/>
  <c r="AL55" i="4" s="1"/>
  <c r="AJ56" i="4"/>
  <c r="AL56" i="4" s="1"/>
  <c r="AJ57" i="4"/>
  <c r="AL57" i="4" s="1"/>
  <c r="AJ58" i="4"/>
  <c r="AL58" i="4" s="1"/>
  <c r="AJ59" i="4"/>
  <c r="AL59" i="4" s="1"/>
  <c r="AJ15" i="4"/>
  <c r="AL15" i="4" s="1"/>
  <c r="AJ16" i="4"/>
  <c r="AL16" i="4" s="1"/>
  <c r="AJ17" i="4"/>
  <c r="AL17" i="4" s="1"/>
  <c r="AJ18" i="4"/>
  <c r="AL18" i="4" s="1"/>
  <c r="AJ19" i="4"/>
  <c r="AL19" i="4" s="1"/>
  <c r="AJ20" i="4"/>
  <c r="AL20" i="4" s="1"/>
  <c r="AJ21" i="4"/>
  <c r="AL21" i="4" s="1"/>
  <c r="AJ22" i="4"/>
  <c r="AL22" i="4" s="1"/>
  <c r="AJ14" i="4"/>
  <c r="AL14" i="4" s="1"/>
  <c r="BH62" i="4" l="1"/>
  <c r="AF63" i="4"/>
  <c r="BG63" i="4" s="1"/>
  <c r="BI63" i="4" s="1"/>
  <c r="BI62" i="4"/>
  <c r="AO62" i="4"/>
  <c r="AP62" i="4" s="1"/>
  <c r="AZ62" i="4"/>
  <c r="AY62" i="4"/>
  <c r="AG63" i="4"/>
  <c r="AJ63" i="4" s="1"/>
  <c r="AL63" i="4" s="1"/>
  <c r="AD63" i="4"/>
  <c r="AM63" i="4"/>
  <c r="AX63" i="4"/>
  <c r="AZ63" i="4" s="1"/>
  <c r="AS62" i="4"/>
  <c r="BA62" i="4"/>
  <c r="AE63" i="4"/>
  <c r="AB63" i="4"/>
  <c r="AA63" i="4"/>
  <c r="AR63" i="4" s="1"/>
  <c r="CR11" i="4"/>
  <c r="CR12" i="4"/>
  <c r="AK53" i="4"/>
  <c r="AK15" i="4"/>
  <c r="AK52" i="4"/>
  <c r="AK44" i="4"/>
  <c r="AK36" i="4"/>
  <c r="AK28" i="4"/>
  <c r="AK16" i="4"/>
  <c r="AK22" i="4"/>
  <c r="AK59" i="4"/>
  <c r="AK51" i="4"/>
  <c r="AK43" i="4"/>
  <c r="AK35" i="4"/>
  <c r="AK27" i="4"/>
  <c r="AK14" i="4"/>
  <c r="AK50" i="4"/>
  <c r="AK34" i="4"/>
  <c r="AK26" i="4"/>
  <c r="AK42" i="4"/>
  <c r="AK20" i="4"/>
  <c r="AK57" i="4"/>
  <c r="AK49" i="4"/>
  <c r="AK41" i="4"/>
  <c r="AK33" i="4"/>
  <c r="AK25" i="4"/>
  <c r="AK37" i="4"/>
  <c r="AK21" i="4"/>
  <c r="AK56" i="4"/>
  <c r="AK48" i="4"/>
  <c r="AK40" i="4"/>
  <c r="AK32" i="4"/>
  <c r="AK24" i="4"/>
  <c r="AK62" i="4"/>
  <c r="AK45" i="4"/>
  <c r="AK19" i="4"/>
  <c r="AK55" i="4"/>
  <c r="AK47" i="4"/>
  <c r="AK31" i="4"/>
  <c r="AK23" i="4"/>
  <c r="AK29" i="4"/>
  <c r="AK58" i="4"/>
  <c r="AK18" i="4"/>
  <c r="AK39" i="4"/>
  <c r="AK17" i="4"/>
  <c r="AK54" i="4"/>
  <c r="AK46" i="4"/>
  <c r="AK38" i="4"/>
  <c r="AK30" i="4"/>
  <c r="AK12" i="4"/>
  <c r="AJ12" i="4"/>
  <c r="AK11" i="4"/>
  <c r="AJ11" i="4"/>
  <c r="AJ13" i="4"/>
  <c r="AK13" i="4"/>
  <c r="AU62" i="4"/>
  <c r="AC117" i="4"/>
  <c r="BD117" i="4" s="1"/>
  <c r="BD116" i="4"/>
  <c r="BF116" i="4" s="1"/>
  <c r="B64" i="4"/>
  <c r="AF64" i="4" l="1"/>
  <c r="BG64" i="4" s="1"/>
  <c r="BH64" i="4" s="1"/>
  <c r="BH63" i="4"/>
  <c r="AQ62" i="4"/>
  <c r="AO63" i="4"/>
  <c r="AQ63" i="4" s="1"/>
  <c r="BB62" i="4"/>
  <c r="BF117" i="4"/>
  <c r="CH15" i="4"/>
  <c r="AY63" i="4"/>
  <c r="AG64" i="4"/>
  <c r="AJ64" i="4" s="1"/>
  <c r="AL64" i="4" s="1"/>
  <c r="AD64" i="4"/>
  <c r="AM64" i="4"/>
  <c r="AX64" i="4"/>
  <c r="AZ64" i="4" s="1"/>
  <c r="AT63" i="4"/>
  <c r="AS63" i="4"/>
  <c r="CS16" i="4"/>
  <c r="CU16" i="4"/>
  <c r="BC62" i="4"/>
  <c r="BA63" i="4"/>
  <c r="BB63" i="4" s="1"/>
  <c r="AE64" i="4"/>
  <c r="AB64" i="4"/>
  <c r="AA64" i="4"/>
  <c r="AR64" i="4" s="1"/>
  <c r="CS13" i="4"/>
  <c r="CU13" i="4"/>
  <c r="AW62" i="4"/>
  <c r="AV62" i="4"/>
  <c r="AK63" i="4"/>
  <c r="AU63" i="4"/>
  <c r="B65" i="4"/>
  <c r="AL2" i="4"/>
  <c r="CM15" i="4"/>
  <c r="AF65" i="4" l="1"/>
  <c r="BI64" i="4"/>
  <c r="AP63" i="4"/>
  <c r="AO64" i="4"/>
  <c r="AP64" i="4" s="1"/>
  <c r="AY64" i="4"/>
  <c r="AM65" i="4"/>
  <c r="AG65" i="4"/>
  <c r="AJ65" i="4" s="1"/>
  <c r="AL65" i="4" s="1"/>
  <c r="AD65" i="4"/>
  <c r="AX65" i="4"/>
  <c r="AY65" i="4" s="1"/>
  <c r="AT64" i="4"/>
  <c r="AS64" i="4"/>
  <c r="BC63" i="4"/>
  <c r="BA64" i="4"/>
  <c r="AE65" i="4"/>
  <c r="AB65" i="4"/>
  <c r="AA65" i="4"/>
  <c r="AR65" i="4" s="1"/>
  <c r="AW63" i="4"/>
  <c r="AV63" i="4"/>
  <c r="AK64" i="4"/>
  <c r="AU64" i="4"/>
  <c r="B66" i="4"/>
  <c r="AF66" i="4" s="1"/>
  <c r="BG66" i="4" l="1"/>
  <c r="BH66" i="4" s="1"/>
  <c r="BG65" i="4"/>
  <c r="AQ64" i="4"/>
  <c r="AO65" i="4"/>
  <c r="AP65" i="4" s="1"/>
  <c r="BB64" i="4"/>
  <c r="AZ65" i="4"/>
  <c r="AM66" i="4"/>
  <c r="AG66" i="4"/>
  <c r="AJ66" i="4" s="1"/>
  <c r="AL66" i="4" s="1"/>
  <c r="AD66" i="4"/>
  <c r="AX66" i="4"/>
  <c r="AZ66" i="4" s="1"/>
  <c r="AT65" i="4"/>
  <c r="AS65" i="4"/>
  <c r="BC64" i="4"/>
  <c r="BA65" i="4"/>
  <c r="BB65" i="4" s="1"/>
  <c r="AE66" i="4"/>
  <c r="AB66" i="4"/>
  <c r="AA66" i="4"/>
  <c r="AR66" i="4" s="1"/>
  <c r="AW64" i="4"/>
  <c r="AV64" i="4"/>
  <c r="AK65" i="4"/>
  <c r="AU65" i="4"/>
  <c r="B67" i="4"/>
  <c r="BI65" i="4" l="1"/>
  <c r="BI66" i="4"/>
  <c r="BH65" i="4"/>
  <c r="AF67" i="4"/>
  <c r="AQ65" i="4"/>
  <c r="AO66" i="4"/>
  <c r="AP66" i="4" s="1"/>
  <c r="AY66" i="4"/>
  <c r="AM67" i="4"/>
  <c r="AG67" i="4"/>
  <c r="AJ67" i="4" s="1"/>
  <c r="AD67" i="4"/>
  <c r="AX67" i="4"/>
  <c r="AZ67" i="4" s="1"/>
  <c r="AT66" i="4"/>
  <c r="AS66" i="4"/>
  <c r="BC65" i="4"/>
  <c r="BA66" i="4"/>
  <c r="BB66" i="4" s="1"/>
  <c r="AE67" i="4"/>
  <c r="AA67" i="4"/>
  <c r="AR67" i="4" s="1"/>
  <c r="AW65" i="4"/>
  <c r="AV65" i="4"/>
  <c r="AB67" i="4"/>
  <c r="AK66" i="4"/>
  <c r="AU66" i="4"/>
  <c r="B68" i="4"/>
  <c r="AF68" i="4" s="1"/>
  <c r="BG67" i="4" l="1"/>
  <c r="BI67" i="4" s="1"/>
  <c r="BG68" i="4"/>
  <c r="BH68" i="4" s="1"/>
  <c r="AQ66" i="4"/>
  <c r="AO67" i="4"/>
  <c r="AP67" i="4" s="1"/>
  <c r="AL67" i="4"/>
  <c r="AY67" i="4"/>
  <c r="AM68" i="4"/>
  <c r="AG68" i="4"/>
  <c r="AJ68" i="4" s="1"/>
  <c r="AL68" i="4" s="1"/>
  <c r="AD68" i="4"/>
  <c r="AX68" i="4"/>
  <c r="AZ68" i="4" s="1"/>
  <c r="AT67" i="4"/>
  <c r="AS67" i="4"/>
  <c r="BC66" i="4"/>
  <c r="BA67" i="4"/>
  <c r="BB67" i="4" s="1"/>
  <c r="AA68" i="4"/>
  <c r="AR68" i="4" s="1"/>
  <c r="AE68" i="4"/>
  <c r="AB68" i="4"/>
  <c r="AW66" i="4"/>
  <c r="AV66" i="4"/>
  <c r="AK67" i="4"/>
  <c r="AU67" i="4"/>
  <c r="B69" i="4"/>
  <c r="BI68" i="4" l="1"/>
  <c r="AF69" i="4"/>
  <c r="CU18" i="4"/>
  <c r="BH67" i="4"/>
  <c r="AQ67" i="4"/>
  <c r="AO68" i="4"/>
  <c r="AP68" i="4" s="1"/>
  <c r="AY68" i="4"/>
  <c r="AD69" i="4"/>
  <c r="AM69" i="4"/>
  <c r="AG69" i="4"/>
  <c r="AJ69" i="4" s="1"/>
  <c r="AL69" i="4" s="1"/>
  <c r="AX69" i="4"/>
  <c r="AZ69" i="4" s="1"/>
  <c r="AT68" i="4"/>
  <c r="AS68" i="4"/>
  <c r="BC67" i="4"/>
  <c r="BA68" i="4"/>
  <c r="AA69" i="4"/>
  <c r="AR69" i="4" s="1"/>
  <c r="AE69" i="4"/>
  <c r="AK68" i="4"/>
  <c r="AW67" i="4"/>
  <c r="AV67" i="4"/>
  <c r="AB69" i="4"/>
  <c r="AU68" i="4"/>
  <c r="B70" i="4"/>
  <c r="CU17" i="4" s="1"/>
  <c r="CU14" i="4" l="1"/>
  <c r="AF70" i="4"/>
  <c r="BG70" i="4" s="1"/>
  <c r="BI70" i="4" s="1"/>
  <c r="BG69" i="4"/>
  <c r="BI69" i="4" s="1"/>
  <c r="AQ68" i="4"/>
  <c r="AO69" i="4"/>
  <c r="AP69" i="4" s="1"/>
  <c r="AY69" i="4"/>
  <c r="AD70" i="4"/>
  <c r="AM70" i="4"/>
  <c r="AG70" i="4"/>
  <c r="AJ70" i="4" s="1"/>
  <c r="AX70" i="4"/>
  <c r="AZ70" i="4" s="1"/>
  <c r="AT69" i="4"/>
  <c r="AS69" i="4"/>
  <c r="AK69" i="4"/>
  <c r="BC68" i="4"/>
  <c r="BB68" i="4"/>
  <c r="BA69" i="4"/>
  <c r="AE70" i="4"/>
  <c r="AB70" i="4"/>
  <c r="AA70" i="4"/>
  <c r="AR70" i="4" s="1"/>
  <c r="AT70" i="4" s="1"/>
  <c r="AW68" i="4"/>
  <c r="AV68" i="4"/>
  <c r="AU69" i="4"/>
  <c r="B71" i="4"/>
  <c r="BH70" i="4" l="1"/>
  <c r="BH69" i="4"/>
  <c r="AF71" i="4"/>
  <c r="BG71" i="4" s="1"/>
  <c r="BI71" i="4" s="1"/>
  <c r="AQ69" i="4"/>
  <c r="AO70" i="4"/>
  <c r="AP70" i="4" s="1"/>
  <c r="CS15" i="4"/>
  <c r="EW2" i="4" a="1"/>
  <c r="ET2" i="4" a="1"/>
  <c r="AY70" i="4"/>
  <c r="AS70" i="4"/>
  <c r="AK70" i="4"/>
  <c r="AL70" i="4"/>
  <c r="AD71" i="4"/>
  <c r="AG71" i="4"/>
  <c r="AJ71" i="4" s="1"/>
  <c r="AK71" i="4" s="1"/>
  <c r="AM71" i="4"/>
  <c r="AX71" i="4"/>
  <c r="AZ71" i="4" s="1"/>
  <c r="AW69" i="4"/>
  <c r="AV69" i="4"/>
  <c r="BC69" i="4"/>
  <c r="BB69" i="4"/>
  <c r="BA70" i="4"/>
  <c r="AE71" i="4"/>
  <c r="AB71" i="4"/>
  <c r="AA71" i="4"/>
  <c r="AR71" i="4" s="1"/>
  <c r="AT71" i="4" s="1"/>
  <c r="AU70" i="4"/>
  <c r="B72" i="4"/>
  <c r="BH71" i="4" l="1"/>
  <c r="BH72" i="4"/>
  <c r="AF72" i="4"/>
  <c r="BG72" i="4" s="1"/>
  <c r="BI72" i="4" s="1"/>
  <c r="CS18" i="4"/>
  <c r="AS71" i="4"/>
  <c r="AQ70" i="4"/>
  <c r="CU15" i="4"/>
  <c r="CS17" i="4"/>
  <c r="CS14" i="4"/>
  <c r="AO71" i="4"/>
  <c r="AP71" i="4" s="1"/>
  <c r="ET2" i="4"/>
  <c r="EU2" i="4"/>
  <c r="ET5" i="4"/>
  <c r="EU4" i="4"/>
  <c r="EU5" i="4"/>
  <c r="ET6" i="4"/>
  <c r="ET3" i="4"/>
  <c r="EU6" i="4"/>
  <c r="ET4" i="4"/>
  <c r="EU3" i="4"/>
  <c r="EW2" i="4"/>
  <c r="FA2" i="4" s="1"/>
  <c r="EX5" i="4"/>
  <c r="EW6" i="4"/>
  <c r="EW5" i="4"/>
  <c r="EX4" i="4"/>
  <c r="EX2" i="4"/>
  <c r="EX3" i="4"/>
  <c r="EW4" i="4"/>
  <c r="EX6" i="4"/>
  <c r="EW3" i="4"/>
  <c r="AY71" i="4"/>
  <c r="AL71" i="4"/>
  <c r="AG72" i="4"/>
  <c r="AJ72" i="4" s="1"/>
  <c r="AK72" i="4" s="1"/>
  <c r="AM72" i="4"/>
  <c r="AD72" i="4"/>
  <c r="AS72" i="4"/>
  <c r="AX72" i="4"/>
  <c r="AZ72" i="4" s="1"/>
  <c r="BC70" i="4"/>
  <c r="BB70" i="4"/>
  <c r="AW70" i="4"/>
  <c r="AV70" i="4"/>
  <c r="BA71" i="4"/>
  <c r="AA72" i="4"/>
  <c r="AR72" i="4" s="1"/>
  <c r="AT72" i="4" s="1"/>
  <c r="AE72" i="4"/>
  <c r="AB72" i="4"/>
  <c r="AU71" i="4"/>
  <c r="B73" i="4"/>
  <c r="AY72" i="4" l="1"/>
  <c r="AL73" i="4"/>
  <c r="BH73" i="4"/>
  <c r="AF73" i="4"/>
  <c r="BG73" i="4" s="1"/>
  <c r="BI73" i="4" s="1"/>
  <c r="BC71" i="4"/>
  <c r="BB71" i="4"/>
  <c r="CB17" i="4" s="1"/>
  <c r="AQ71" i="4"/>
  <c r="AL72" i="4"/>
  <c r="AO72" i="4"/>
  <c r="AP72" i="4" s="1"/>
  <c r="FB2" i="4"/>
  <c r="EZ2" i="4"/>
  <c r="AW71" i="4"/>
  <c r="AV71" i="4"/>
  <c r="AM73" i="4"/>
  <c r="AY73" i="4"/>
  <c r="AG73" i="4"/>
  <c r="AJ73" i="4" s="1"/>
  <c r="AK73" i="4" s="1"/>
  <c r="AD73" i="4"/>
  <c r="AS73" i="4"/>
  <c r="AX73" i="4"/>
  <c r="AZ73" i="4" s="1"/>
  <c r="AP73" i="4"/>
  <c r="BA72" i="4"/>
  <c r="BC72" i="4" s="1"/>
  <c r="AE73" i="4"/>
  <c r="AB73" i="4"/>
  <c r="AA73" i="4"/>
  <c r="AR73" i="4" s="1"/>
  <c r="AT73" i="4" s="1"/>
  <c r="AU72" i="4"/>
  <c r="B74" i="4"/>
  <c r="AW72" i="4" l="1"/>
  <c r="AV72" i="4"/>
  <c r="AL74" i="4"/>
  <c r="BH74" i="4"/>
  <c r="AF74" i="4"/>
  <c r="BG74" i="4" s="1"/>
  <c r="BI74" i="4" s="1"/>
  <c r="AQ72" i="4"/>
  <c r="AO73" i="4"/>
  <c r="AQ73" i="4" s="1"/>
  <c r="AM74" i="4"/>
  <c r="AG74" i="4"/>
  <c r="AJ74" i="4" s="1"/>
  <c r="AK74" i="4" s="1"/>
  <c r="AD74" i="4"/>
  <c r="AY74" i="4"/>
  <c r="AS74" i="4"/>
  <c r="AX74" i="4"/>
  <c r="AZ74" i="4" s="1"/>
  <c r="AP74" i="4"/>
  <c r="BA73" i="4"/>
  <c r="BC73" i="4" s="1"/>
  <c r="AA74" i="4"/>
  <c r="AR74" i="4" s="1"/>
  <c r="AT74" i="4" s="1"/>
  <c r="AE74" i="4"/>
  <c r="AB74" i="4"/>
  <c r="AU73" i="4"/>
  <c r="AW73" i="4" s="1"/>
  <c r="B75" i="4"/>
  <c r="AL75" i="4" l="1"/>
  <c r="BH75" i="4"/>
  <c r="AF75" i="4"/>
  <c r="BG75" i="4" s="1"/>
  <c r="BI75" i="4" s="1"/>
  <c r="AO74" i="4"/>
  <c r="AQ74" i="4" s="1"/>
  <c r="AM75" i="4"/>
  <c r="AO75" i="4" s="1"/>
  <c r="AQ75" i="4" s="1"/>
  <c r="AG75" i="4"/>
  <c r="AJ75" i="4" s="1"/>
  <c r="AK75" i="4" s="1"/>
  <c r="AD75" i="4"/>
  <c r="AY75" i="4"/>
  <c r="AS75" i="4"/>
  <c r="AX75" i="4"/>
  <c r="AZ75" i="4" s="1"/>
  <c r="AP75" i="4"/>
  <c r="BA74" i="4"/>
  <c r="BC74" i="4" s="1"/>
  <c r="AE75" i="4"/>
  <c r="AB75" i="4"/>
  <c r="AA75" i="4"/>
  <c r="AR75" i="4" s="1"/>
  <c r="AT75" i="4" s="1"/>
  <c r="AU74" i="4"/>
  <c r="AW74" i="4" s="1"/>
  <c r="B76" i="4"/>
  <c r="AL76" i="4" l="1"/>
  <c r="AF76" i="4"/>
  <c r="BG76" i="4" s="1"/>
  <c r="BI76" i="4" s="1"/>
  <c r="BH76" i="4"/>
  <c r="AS76" i="4"/>
  <c r="AM76" i="4"/>
  <c r="AG76" i="4"/>
  <c r="AJ76" i="4" s="1"/>
  <c r="AK76" i="4" s="1"/>
  <c r="AD76" i="4"/>
  <c r="AY76" i="4"/>
  <c r="AX76" i="4"/>
  <c r="AZ76" i="4" s="1"/>
  <c r="AO76" i="4"/>
  <c r="AP76" i="4"/>
  <c r="BA75" i="4"/>
  <c r="BC75" i="4" s="1"/>
  <c r="AA76" i="4"/>
  <c r="AR76" i="4" s="1"/>
  <c r="AT76" i="4" s="1"/>
  <c r="AE76" i="4"/>
  <c r="AB76" i="4"/>
  <c r="AU75" i="4"/>
  <c r="AW75" i="4" s="1"/>
  <c r="B77" i="4"/>
  <c r="AQ76" i="4" l="1"/>
  <c r="AL77" i="4"/>
  <c r="AF77" i="4"/>
  <c r="BG77" i="4" s="1"/>
  <c r="BI77" i="4" s="1"/>
  <c r="BH77" i="4"/>
  <c r="AS77" i="4"/>
  <c r="AM77" i="4"/>
  <c r="AG77" i="4"/>
  <c r="AJ77" i="4" s="1"/>
  <c r="AK77" i="4" s="1"/>
  <c r="AD77" i="4"/>
  <c r="AY77" i="4"/>
  <c r="AX77" i="4"/>
  <c r="AZ77" i="4" s="1"/>
  <c r="AO77" i="4"/>
  <c r="AQ77" i="4" s="1"/>
  <c r="AP77" i="4"/>
  <c r="BA76" i="4"/>
  <c r="BC76" i="4" s="1"/>
  <c r="AE77" i="4"/>
  <c r="AB77" i="4"/>
  <c r="AA77" i="4"/>
  <c r="AR77" i="4" s="1"/>
  <c r="AT77" i="4" s="1"/>
  <c r="AU76" i="4"/>
  <c r="AW76" i="4" s="1"/>
  <c r="B78" i="4"/>
  <c r="AL78" i="4" l="1"/>
  <c r="BH78" i="4"/>
  <c r="AF78" i="4"/>
  <c r="BG78" i="4" s="1"/>
  <c r="BI78" i="4" s="1"/>
  <c r="AD78" i="4"/>
  <c r="AY78" i="4"/>
  <c r="AS78" i="4"/>
  <c r="AM78" i="4"/>
  <c r="AO78" i="4" s="1"/>
  <c r="AQ78" i="4" s="1"/>
  <c r="AG78" i="4"/>
  <c r="AJ78" i="4" s="1"/>
  <c r="AK78" i="4" s="1"/>
  <c r="AX78" i="4"/>
  <c r="AZ78" i="4" s="1"/>
  <c r="AP78" i="4"/>
  <c r="BA77" i="4"/>
  <c r="BC77" i="4" s="1"/>
  <c r="AA78" i="4"/>
  <c r="AR78" i="4" s="1"/>
  <c r="AT78" i="4" s="1"/>
  <c r="AE78" i="4"/>
  <c r="AB78" i="4"/>
  <c r="AU77" i="4"/>
  <c r="AW77" i="4" s="1"/>
  <c r="B79" i="4"/>
  <c r="AL79" i="4" l="1"/>
  <c r="BH79" i="4"/>
  <c r="AF79" i="4"/>
  <c r="BG79" i="4" s="1"/>
  <c r="BI79" i="4" s="1"/>
  <c r="AG79" i="4"/>
  <c r="AJ79" i="4" s="1"/>
  <c r="AK79" i="4" s="1"/>
  <c r="AD79" i="4"/>
  <c r="AY79" i="4"/>
  <c r="AS79" i="4"/>
  <c r="AM79" i="4"/>
  <c r="AX79" i="4"/>
  <c r="AZ79" i="4" s="1"/>
  <c r="AP79" i="4"/>
  <c r="BA78" i="4"/>
  <c r="BC78" i="4" s="1"/>
  <c r="AE79" i="4"/>
  <c r="AB79" i="4"/>
  <c r="AA79" i="4"/>
  <c r="AR79" i="4" s="1"/>
  <c r="AT79" i="4" s="1"/>
  <c r="AU78" i="4"/>
  <c r="AW78" i="4" s="1"/>
  <c r="B80" i="4"/>
  <c r="AL80" i="4" l="1"/>
  <c r="BH80" i="4"/>
  <c r="AF80" i="4"/>
  <c r="BG80" i="4" s="1"/>
  <c r="BI80" i="4" s="1"/>
  <c r="AO79" i="4"/>
  <c r="AQ79" i="4" s="1"/>
  <c r="AG80" i="4"/>
  <c r="AJ80" i="4" s="1"/>
  <c r="AK80" i="4" s="1"/>
  <c r="AD80" i="4"/>
  <c r="AY80" i="4"/>
  <c r="AM80" i="4"/>
  <c r="AS80" i="4"/>
  <c r="AX80" i="4"/>
  <c r="AZ80" i="4" s="1"/>
  <c r="AP80" i="4"/>
  <c r="BA79" i="4"/>
  <c r="BC79" i="4" s="1"/>
  <c r="AA80" i="4"/>
  <c r="AR80" i="4" s="1"/>
  <c r="AT80" i="4" s="1"/>
  <c r="AE80" i="4"/>
  <c r="AB80" i="4"/>
  <c r="AU79" i="4"/>
  <c r="AW79" i="4" s="1"/>
  <c r="B81" i="4"/>
  <c r="AL81" i="4" l="1"/>
  <c r="BH81" i="4"/>
  <c r="AF81" i="4"/>
  <c r="BG81" i="4" s="1"/>
  <c r="BI81" i="4" s="1"/>
  <c r="AO80" i="4"/>
  <c r="AQ80" i="4" s="1"/>
  <c r="AM81" i="4"/>
  <c r="AO81" i="4" s="1"/>
  <c r="AY81" i="4"/>
  <c r="AG81" i="4"/>
  <c r="AJ81" i="4" s="1"/>
  <c r="AK81" i="4" s="1"/>
  <c r="AD81" i="4"/>
  <c r="AS81" i="4"/>
  <c r="AX81" i="4"/>
  <c r="AZ81" i="4" s="1"/>
  <c r="AP81" i="4"/>
  <c r="BA80" i="4"/>
  <c r="BC80" i="4" s="1"/>
  <c r="AE81" i="4"/>
  <c r="AB81" i="4"/>
  <c r="AA81" i="4"/>
  <c r="AR81" i="4" s="1"/>
  <c r="AT81" i="4" s="1"/>
  <c r="AU80" i="4"/>
  <c r="AW80" i="4" s="1"/>
  <c r="B82" i="4"/>
  <c r="AQ81" i="4" l="1"/>
  <c r="AL82" i="4"/>
  <c r="AF82" i="4"/>
  <c r="BG82" i="4" s="1"/>
  <c r="BI82" i="4" s="1"/>
  <c r="BH82" i="4"/>
  <c r="AM82" i="4"/>
  <c r="AG82" i="4"/>
  <c r="AD82" i="4"/>
  <c r="AY82" i="4"/>
  <c r="AS82" i="4"/>
  <c r="AX82" i="4"/>
  <c r="AZ82" i="4" s="1"/>
  <c r="AO82" i="4"/>
  <c r="AQ82" i="4" s="1"/>
  <c r="AP82" i="4"/>
  <c r="BA81" i="4"/>
  <c r="BC81" i="4" s="1"/>
  <c r="AA82" i="4"/>
  <c r="AR82" i="4" s="1"/>
  <c r="AT82" i="4" s="1"/>
  <c r="AE82" i="4"/>
  <c r="AB82" i="4"/>
  <c r="AU82" i="4" s="1"/>
  <c r="AU81" i="4"/>
  <c r="AW81" i="4" s="1"/>
  <c r="B83" i="4"/>
  <c r="AJ82" i="4"/>
  <c r="AK82" i="4" s="1"/>
  <c r="AL83" i="4" l="1"/>
  <c r="BH83" i="4"/>
  <c r="AF83" i="4"/>
  <c r="BG83" i="4" s="1"/>
  <c r="BI83" i="4" s="1"/>
  <c r="AM83" i="4"/>
  <c r="AO83" i="4" s="1"/>
  <c r="AQ83" i="4" s="1"/>
  <c r="AG83" i="4"/>
  <c r="AS83" i="4"/>
  <c r="AD83" i="4"/>
  <c r="AY83" i="4"/>
  <c r="AX83" i="4"/>
  <c r="AZ83" i="4" s="1"/>
  <c r="AP83" i="4"/>
  <c r="BA82" i="4"/>
  <c r="BC82" i="4" s="1"/>
  <c r="AE83" i="4"/>
  <c r="AB83" i="4"/>
  <c r="AA83" i="4"/>
  <c r="AR83" i="4" s="1"/>
  <c r="AT83" i="4" s="1"/>
  <c r="AW82" i="4"/>
  <c r="B84" i="4"/>
  <c r="AJ83" i="4"/>
  <c r="AK83" i="4" s="1"/>
  <c r="AL84" i="4" l="1"/>
  <c r="BH84" i="4"/>
  <c r="AF84" i="4"/>
  <c r="BG84" i="4" s="1"/>
  <c r="BI84" i="4" s="1"/>
  <c r="AS84" i="4"/>
  <c r="AM84" i="4"/>
  <c r="AO84" i="4" s="1"/>
  <c r="AG84" i="4"/>
  <c r="AJ84" i="4" s="1"/>
  <c r="AK84" i="4" s="1"/>
  <c r="AD84" i="4"/>
  <c r="AY84" i="4"/>
  <c r="AX84" i="4"/>
  <c r="AZ84" i="4" s="1"/>
  <c r="AP84" i="4"/>
  <c r="BA83" i="4"/>
  <c r="BC83" i="4" s="1"/>
  <c r="AA84" i="4"/>
  <c r="AR84" i="4" s="1"/>
  <c r="AT84" i="4" s="1"/>
  <c r="AE84" i="4"/>
  <c r="AB84" i="4"/>
  <c r="AU83" i="4"/>
  <c r="AW83" i="4" s="1"/>
  <c r="B85" i="4"/>
  <c r="AQ84" i="4" l="1"/>
  <c r="AL85" i="4"/>
  <c r="BH85" i="4"/>
  <c r="AF85" i="4"/>
  <c r="BG85" i="4" s="1"/>
  <c r="BI85" i="4" s="1"/>
  <c r="AS85" i="4"/>
  <c r="AY85" i="4"/>
  <c r="AM85" i="4"/>
  <c r="AO85" i="4" s="1"/>
  <c r="AQ85" i="4" s="1"/>
  <c r="AG85" i="4"/>
  <c r="AJ85" i="4" s="1"/>
  <c r="AK85" i="4" s="1"/>
  <c r="AD85" i="4"/>
  <c r="AX85" i="4"/>
  <c r="AZ85" i="4" s="1"/>
  <c r="AP85" i="4"/>
  <c r="BA84" i="4"/>
  <c r="BC84" i="4" s="1"/>
  <c r="AE85" i="4"/>
  <c r="AB85" i="4"/>
  <c r="AA85" i="4"/>
  <c r="AR85" i="4" s="1"/>
  <c r="AT85" i="4" s="1"/>
  <c r="AU84" i="4"/>
  <c r="AW84" i="4" s="1"/>
  <c r="B86" i="4"/>
  <c r="AL86" i="4" l="1"/>
  <c r="BH86" i="4"/>
  <c r="AF86" i="4"/>
  <c r="BG86" i="4" s="1"/>
  <c r="BI86" i="4" s="1"/>
  <c r="AD86" i="4"/>
  <c r="AY86" i="4"/>
  <c r="AS86" i="4"/>
  <c r="AM86" i="4"/>
  <c r="AO86" i="4" s="1"/>
  <c r="AG86" i="4"/>
  <c r="AJ86" i="4" s="1"/>
  <c r="AK86" i="4" s="1"/>
  <c r="AX86" i="4"/>
  <c r="AZ86" i="4" s="1"/>
  <c r="AP86" i="4"/>
  <c r="BA85" i="4"/>
  <c r="BC85" i="4" s="1"/>
  <c r="AA86" i="4"/>
  <c r="AR86" i="4" s="1"/>
  <c r="AT86" i="4" s="1"/>
  <c r="AE86" i="4"/>
  <c r="AB86" i="4"/>
  <c r="AU85" i="4"/>
  <c r="AW85" i="4" s="1"/>
  <c r="B87" i="4"/>
  <c r="AL87" i="4" l="1"/>
  <c r="BH87" i="4"/>
  <c r="AF87" i="4"/>
  <c r="BG87" i="4" s="1"/>
  <c r="BI87" i="4" s="1"/>
  <c r="AQ86" i="4"/>
  <c r="AD87" i="4"/>
  <c r="AY87" i="4"/>
  <c r="AS87" i="4"/>
  <c r="AG87" i="4"/>
  <c r="AJ87" i="4" s="1"/>
  <c r="AK87" i="4" s="1"/>
  <c r="AM87" i="4"/>
  <c r="AX87" i="4"/>
  <c r="AZ87" i="4" s="1"/>
  <c r="AP87" i="4"/>
  <c r="BA86" i="4"/>
  <c r="BC86" i="4" s="1"/>
  <c r="AE87" i="4"/>
  <c r="AB87" i="4"/>
  <c r="AA87" i="4"/>
  <c r="AR87" i="4" s="1"/>
  <c r="AT87" i="4" s="1"/>
  <c r="AU86" i="4"/>
  <c r="AW86" i="4" s="1"/>
  <c r="B88" i="4"/>
  <c r="AL88" i="4" l="1"/>
  <c r="BH88" i="4"/>
  <c r="AF88" i="4"/>
  <c r="BG88" i="4" s="1"/>
  <c r="BI88" i="4" s="1"/>
  <c r="AO87" i="4"/>
  <c r="AQ87" i="4" s="1"/>
  <c r="AG88" i="4"/>
  <c r="AY88" i="4"/>
  <c r="AD88" i="4"/>
  <c r="AS88" i="4"/>
  <c r="AM88" i="4"/>
  <c r="AX88" i="4"/>
  <c r="AZ88" i="4" s="1"/>
  <c r="AP88" i="4"/>
  <c r="BA87" i="4"/>
  <c r="BC87" i="4" s="1"/>
  <c r="AA88" i="4"/>
  <c r="AR88" i="4" s="1"/>
  <c r="AT88" i="4" s="1"/>
  <c r="AE88" i="4"/>
  <c r="AB88" i="4"/>
  <c r="AU87" i="4"/>
  <c r="AW87" i="4" s="1"/>
  <c r="B89" i="4"/>
  <c r="AJ88" i="4"/>
  <c r="AK88" i="4" s="1"/>
  <c r="AL89" i="4" l="1"/>
  <c r="BH89" i="4"/>
  <c r="AF89" i="4"/>
  <c r="BG89" i="4" s="1"/>
  <c r="BI89" i="4" s="1"/>
  <c r="AO88" i="4"/>
  <c r="AQ88" i="4" s="1"/>
  <c r="AM89" i="4"/>
  <c r="AO89" i="4" s="1"/>
  <c r="AQ89" i="4" s="1"/>
  <c r="AG89" i="4"/>
  <c r="AJ89" i="4" s="1"/>
  <c r="AK89" i="4" s="1"/>
  <c r="AY89" i="4"/>
  <c r="AD89" i="4"/>
  <c r="AS89" i="4"/>
  <c r="AX89" i="4"/>
  <c r="AZ89" i="4" s="1"/>
  <c r="AP89" i="4"/>
  <c r="BA88" i="4"/>
  <c r="BC88" i="4" s="1"/>
  <c r="AE89" i="4"/>
  <c r="AB89" i="4"/>
  <c r="AA89" i="4"/>
  <c r="AR89" i="4" s="1"/>
  <c r="AT89" i="4" s="1"/>
  <c r="AU88" i="4"/>
  <c r="AW88" i="4" s="1"/>
  <c r="B90" i="4"/>
  <c r="AL90" i="4" l="1"/>
  <c r="BH90" i="4"/>
  <c r="AF90" i="4"/>
  <c r="BG90" i="4" s="1"/>
  <c r="BI90" i="4" s="1"/>
  <c r="AM90" i="4"/>
  <c r="AO90" i="4" s="1"/>
  <c r="AQ90" i="4" s="1"/>
  <c r="AG90" i="4"/>
  <c r="AD90" i="4"/>
  <c r="AY90" i="4"/>
  <c r="AS90" i="4"/>
  <c r="AX90" i="4"/>
  <c r="AZ90" i="4" s="1"/>
  <c r="AP90" i="4"/>
  <c r="BA89" i="4"/>
  <c r="BC89" i="4" s="1"/>
  <c r="AA90" i="4"/>
  <c r="AR90" i="4" s="1"/>
  <c r="AT90" i="4" s="1"/>
  <c r="AE90" i="4"/>
  <c r="AB90" i="4"/>
  <c r="AU89" i="4"/>
  <c r="AW89" i="4" s="1"/>
  <c r="B91" i="4"/>
  <c r="AJ90" i="4"/>
  <c r="AK90" i="4" s="1"/>
  <c r="AL91" i="4" l="1"/>
  <c r="BH91" i="4"/>
  <c r="AF91" i="4"/>
  <c r="BG91" i="4" s="1"/>
  <c r="BI91" i="4" s="1"/>
  <c r="AM91" i="4"/>
  <c r="AO91" i="4" s="1"/>
  <c r="AQ91" i="4" s="1"/>
  <c r="AG91" i="4"/>
  <c r="AS91" i="4"/>
  <c r="AD91" i="4"/>
  <c r="AY91" i="4"/>
  <c r="AX91" i="4"/>
  <c r="AZ91" i="4" s="1"/>
  <c r="AP91" i="4"/>
  <c r="BA90" i="4"/>
  <c r="BC90" i="4" s="1"/>
  <c r="AE91" i="4"/>
  <c r="AB91" i="4"/>
  <c r="AA91" i="4"/>
  <c r="AR91" i="4" s="1"/>
  <c r="AT91" i="4" s="1"/>
  <c r="AU90" i="4"/>
  <c r="AW90" i="4" s="1"/>
  <c r="B92" i="4"/>
  <c r="AJ91" i="4"/>
  <c r="AK91" i="4" s="1"/>
  <c r="AL92" i="4" l="1"/>
  <c r="AF92" i="4"/>
  <c r="BG92" i="4" s="1"/>
  <c r="BI92" i="4" s="1"/>
  <c r="BH92" i="4"/>
  <c r="AS92" i="4"/>
  <c r="AM92" i="4"/>
  <c r="AG92" i="4"/>
  <c r="AJ92" i="4" s="1"/>
  <c r="AK92" i="4" s="1"/>
  <c r="AD92" i="4"/>
  <c r="AY92" i="4"/>
  <c r="AX92" i="4"/>
  <c r="AZ92" i="4" s="1"/>
  <c r="AO92" i="4"/>
  <c r="AP92" i="4"/>
  <c r="BA91" i="4"/>
  <c r="BC91" i="4" s="1"/>
  <c r="AA92" i="4"/>
  <c r="AR92" i="4" s="1"/>
  <c r="AT92" i="4" s="1"/>
  <c r="AE92" i="4"/>
  <c r="AB92" i="4"/>
  <c r="AU91" i="4"/>
  <c r="AW91" i="4" s="1"/>
  <c r="B93" i="4"/>
  <c r="AQ92" i="4" l="1"/>
  <c r="AL93" i="4"/>
  <c r="BH93" i="4"/>
  <c r="AF93" i="4"/>
  <c r="BG93" i="4" s="1"/>
  <c r="BI93" i="4" s="1"/>
  <c r="AS93" i="4"/>
  <c r="AD93" i="4"/>
  <c r="AM93" i="4"/>
  <c r="AO93" i="4" s="1"/>
  <c r="AG93" i="4"/>
  <c r="AJ93" i="4" s="1"/>
  <c r="AK93" i="4" s="1"/>
  <c r="AY93" i="4"/>
  <c r="AX93" i="4"/>
  <c r="AZ93" i="4" s="1"/>
  <c r="AP93" i="4"/>
  <c r="BA92" i="4"/>
  <c r="BC92" i="4" s="1"/>
  <c r="AE93" i="4"/>
  <c r="AB93" i="4"/>
  <c r="AA93" i="4"/>
  <c r="AR93" i="4" s="1"/>
  <c r="AT93" i="4" s="1"/>
  <c r="AU92" i="4"/>
  <c r="AW92" i="4" s="1"/>
  <c r="B94" i="4"/>
  <c r="AQ93" i="4" l="1"/>
  <c r="AL94" i="4"/>
  <c r="BH94" i="4"/>
  <c r="AF94" i="4"/>
  <c r="BG94" i="4" s="1"/>
  <c r="BI94" i="4" s="1"/>
  <c r="AD94" i="4"/>
  <c r="AY94" i="4"/>
  <c r="AS94" i="4"/>
  <c r="AM94" i="4"/>
  <c r="AG94" i="4"/>
  <c r="AJ94" i="4" s="1"/>
  <c r="AK94" i="4" s="1"/>
  <c r="AX94" i="4"/>
  <c r="AZ94" i="4" s="1"/>
  <c r="AP94" i="4"/>
  <c r="BA93" i="4"/>
  <c r="BC93" i="4" s="1"/>
  <c r="AA94" i="4"/>
  <c r="AR94" i="4" s="1"/>
  <c r="AT94" i="4" s="1"/>
  <c r="AE94" i="4"/>
  <c r="AB94" i="4"/>
  <c r="AU93" i="4"/>
  <c r="AW93" i="4" s="1"/>
  <c r="B95" i="4"/>
  <c r="AL95" i="4" l="1"/>
  <c r="BH95" i="4"/>
  <c r="AF95" i="4"/>
  <c r="BG95" i="4" s="1"/>
  <c r="BI95" i="4" s="1"/>
  <c r="AO94" i="4"/>
  <c r="AQ94" i="4" s="1"/>
  <c r="AD95" i="4"/>
  <c r="AY95" i="4"/>
  <c r="AS95" i="4"/>
  <c r="AG95" i="4"/>
  <c r="AJ95" i="4" s="1"/>
  <c r="AK95" i="4" s="1"/>
  <c r="AM95" i="4"/>
  <c r="AX95" i="4"/>
  <c r="AZ95" i="4" s="1"/>
  <c r="AP95" i="4"/>
  <c r="BA94" i="4"/>
  <c r="BC94" i="4" s="1"/>
  <c r="AE95" i="4"/>
  <c r="AB95" i="4"/>
  <c r="AA95" i="4"/>
  <c r="AR95" i="4" s="1"/>
  <c r="AT95" i="4" s="1"/>
  <c r="AU94" i="4"/>
  <c r="AW94" i="4" s="1"/>
  <c r="B96" i="4"/>
  <c r="AL96" i="4" l="1"/>
  <c r="BH96" i="4"/>
  <c r="AF96" i="4"/>
  <c r="BG96" i="4" s="1"/>
  <c r="BI96" i="4" s="1"/>
  <c r="AO95" i="4"/>
  <c r="AQ95" i="4" s="1"/>
  <c r="AG96" i="4"/>
  <c r="AJ96" i="4" s="1"/>
  <c r="AK96" i="4" s="1"/>
  <c r="AY96" i="4"/>
  <c r="AD96" i="4"/>
  <c r="AS96" i="4"/>
  <c r="AM96" i="4"/>
  <c r="AX96" i="4"/>
  <c r="AZ96" i="4" s="1"/>
  <c r="AP96" i="4"/>
  <c r="BA95" i="4"/>
  <c r="BC95" i="4" s="1"/>
  <c r="AA96" i="4"/>
  <c r="AR96" i="4" s="1"/>
  <c r="AT96" i="4" s="1"/>
  <c r="AE96" i="4"/>
  <c r="AB96" i="4"/>
  <c r="AU95" i="4"/>
  <c r="AW95" i="4" s="1"/>
  <c r="B97" i="4"/>
  <c r="AL97" i="4" l="1"/>
  <c r="BH97" i="4"/>
  <c r="AF97" i="4"/>
  <c r="BG97" i="4" s="1"/>
  <c r="BI97" i="4" s="1"/>
  <c r="AO96" i="4"/>
  <c r="AQ96" i="4" s="1"/>
  <c r="AM97" i="4"/>
  <c r="AO97" i="4" s="1"/>
  <c r="AY97" i="4"/>
  <c r="AG97" i="4"/>
  <c r="AJ97" i="4" s="1"/>
  <c r="AK97" i="4" s="1"/>
  <c r="AD97" i="4"/>
  <c r="AS97" i="4"/>
  <c r="AX97" i="4"/>
  <c r="AZ97" i="4" s="1"/>
  <c r="AP97" i="4"/>
  <c r="BA96" i="4"/>
  <c r="BC96" i="4" s="1"/>
  <c r="AE97" i="4"/>
  <c r="AB97" i="4"/>
  <c r="AA97" i="4"/>
  <c r="AR97" i="4" s="1"/>
  <c r="AT97" i="4" s="1"/>
  <c r="AU96" i="4"/>
  <c r="AW96" i="4" s="1"/>
  <c r="B98" i="4"/>
  <c r="AQ97" i="4" l="1"/>
  <c r="AL98" i="4"/>
  <c r="BH98" i="4"/>
  <c r="AF98" i="4"/>
  <c r="BG98" i="4" s="1"/>
  <c r="BI98" i="4" s="1"/>
  <c r="AM98" i="4"/>
  <c r="AG98" i="4"/>
  <c r="AJ98" i="4" s="1"/>
  <c r="AK98" i="4" s="1"/>
  <c r="AD98" i="4"/>
  <c r="AY98" i="4"/>
  <c r="AS98" i="4"/>
  <c r="AX98" i="4"/>
  <c r="AZ98" i="4" s="1"/>
  <c r="AO98" i="4"/>
  <c r="AP98" i="4"/>
  <c r="BA97" i="4"/>
  <c r="BC97" i="4" s="1"/>
  <c r="AA98" i="4"/>
  <c r="AR98" i="4" s="1"/>
  <c r="AT98" i="4" s="1"/>
  <c r="AE98" i="4"/>
  <c r="AB98" i="4"/>
  <c r="AU97" i="4"/>
  <c r="AW97" i="4" s="1"/>
  <c r="B99" i="4"/>
  <c r="AQ98" i="4" l="1"/>
  <c r="AL99" i="4"/>
  <c r="BH99" i="4"/>
  <c r="AF99" i="4"/>
  <c r="BG99" i="4" s="1"/>
  <c r="BI99" i="4" s="1"/>
  <c r="AM99" i="4"/>
  <c r="AS99" i="4"/>
  <c r="AG99" i="4"/>
  <c r="AJ99" i="4" s="1"/>
  <c r="AK99" i="4" s="1"/>
  <c r="AD99" i="4"/>
  <c r="AY99" i="4"/>
  <c r="AX99" i="4"/>
  <c r="AZ99" i="4" s="1"/>
  <c r="AO99" i="4"/>
  <c r="AP99" i="4"/>
  <c r="BA98" i="4"/>
  <c r="BC98" i="4" s="1"/>
  <c r="AE99" i="4"/>
  <c r="AB99" i="4"/>
  <c r="AA99" i="4"/>
  <c r="AR99" i="4" s="1"/>
  <c r="AT99" i="4" s="1"/>
  <c r="AU98" i="4"/>
  <c r="AW98" i="4" s="1"/>
  <c r="B100" i="4"/>
  <c r="AQ99" i="4" l="1"/>
  <c r="AL100" i="4"/>
  <c r="BH100" i="4"/>
  <c r="AF100" i="4"/>
  <c r="BG100" i="4" s="1"/>
  <c r="BI100" i="4" s="1"/>
  <c r="AS100" i="4"/>
  <c r="AM100" i="4"/>
  <c r="AO100" i="4" s="1"/>
  <c r="AG100" i="4"/>
  <c r="AJ100" i="4" s="1"/>
  <c r="AK100" i="4" s="1"/>
  <c r="AD100" i="4"/>
  <c r="AY100" i="4"/>
  <c r="AX100" i="4"/>
  <c r="AZ100" i="4" s="1"/>
  <c r="AP100" i="4"/>
  <c r="BA99" i="4"/>
  <c r="BC99" i="4" s="1"/>
  <c r="AA100" i="4"/>
  <c r="AR100" i="4" s="1"/>
  <c r="AT100" i="4" s="1"/>
  <c r="AE100" i="4"/>
  <c r="AB100" i="4"/>
  <c r="AU99" i="4"/>
  <c r="AW99" i="4" s="1"/>
  <c r="B101" i="4"/>
  <c r="AQ100" i="4" l="1"/>
  <c r="AL101" i="4"/>
  <c r="BH101" i="4"/>
  <c r="AF101" i="4"/>
  <c r="BG101" i="4" s="1"/>
  <c r="BI101" i="4" s="1"/>
  <c r="AS101" i="4"/>
  <c r="AM101" i="4"/>
  <c r="AO101" i="4" s="1"/>
  <c r="AQ101" i="4" s="1"/>
  <c r="AD101" i="4"/>
  <c r="AY101" i="4"/>
  <c r="AG101" i="4"/>
  <c r="AJ101" i="4" s="1"/>
  <c r="AK101" i="4" s="1"/>
  <c r="AX101" i="4"/>
  <c r="AZ101" i="4" s="1"/>
  <c r="AP101" i="4"/>
  <c r="BA100" i="4"/>
  <c r="BC100" i="4" s="1"/>
  <c r="AE101" i="4"/>
  <c r="AB101" i="4"/>
  <c r="AA101" i="4"/>
  <c r="AR101" i="4" s="1"/>
  <c r="AT101" i="4" s="1"/>
  <c r="AU100" i="4"/>
  <c r="AW100" i="4" s="1"/>
  <c r="B102" i="4"/>
  <c r="AL102" i="4" l="1"/>
  <c r="BH102" i="4"/>
  <c r="AF102" i="4"/>
  <c r="BG102" i="4" s="1"/>
  <c r="BI102" i="4" s="1"/>
  <c r="AD102" i="4"/>
  <c r="AY102" i="4"/>
  <c r="AS102" i="4"/>
  <c r="AM102" i="4"/>
  <c r="AG102" i="4"/>
  <c r="AJ102" i="4" s="1"/>
  <c r="AK102" i="4" s="1"/>
  <c r="AX102" i="4"/>
  <c r="AZ102" i="4" s="1"/>
  <c r="AP102" i="4"/>
  <c r="BA101" i="4"/>
  <c r="BC101" i="4" s="1"/>
  <c r="AA102" i="4"/>
  <c r="AR102" i="4" s="1"/>
  <c r="AT102" i="4" s="1"/>
  <c r="AE102" i="4"/>
  <c r="AB102" i="4"/>
  <c r="AU101" i="4"/>
  <c r="AW101" i="4" s="1"/>
  <c r="B103" i="4"/>
  <c r="AL103" i="4" l="1"/>
  <c r="BH103" i="4"/>
  <c r="AF103" i="4"/>
  <c r="BG103" i="4" s="1"/>
  <c r="BI103" i="4" s="1"/>
  <c r="AO102" i="4"/>
  <c r="AQ102" i="4" s="1"/>
  <c r="AD103" i="4"/>
  <c r="AY103" i="4"/>
  <c r="AS103" i="4"/>
  <c r="AG103" i="4"/>
  <c r="AJ103" i="4" s="1"/>
  <c r="AK103" i="4" s="1"/>
  <c r="AM103" i="4"/>
  <c r="AX103" i="4"/>
  <c r="AZ103" i="4" s="1"/>
  <c r="AP103" i="4"/>
  <c r="BA102" i="4"/>
  <c r="BC102" i="4" s="1"/>
  <c r="AE103" i="4"/>
  <c r="AB103" i="4"/>
  <c r="AA103" i="4"/>
  <c r="AR103" i="4" s="1"/>
  <c r="AT103" i="4" s="1"/>
  <c r="AU102" i="4"/>
  <c r="AW102" i="4" s="1"/>
  <c r="B104" i="4"/>
  <c r="AL104" i="4" l="1"/>
  <c r="BH104" i="4"/>
  <c r="AF104" i="4"/>
  <c r="BG104" i="4" s="1"/>
  <c r="BI104" i="4" s="1"/>
  <c r="AO103" i="4"/>
  <c r="AQ103" i="4" s="1"/>
  <c r="AG104" i="4"/>
  <c r="AJ104" i="4" s="1"/>
  <c r="AK104" i="4" s="1"/>
  <c r="AY104" i="4"/>
  <c r="AM104" i="4"/>
  <c r="AO104" i="4" s="1"/>
  <c r="AQ104" i="4" s="1"/>
  <c r="AD104" i="4"/>
  <c r="AS104" i="4"/>
  <c r="AX104" i="4"/>
  <c r="AZ104" i="4" s="1"/>
  <c r="AP104" i="4"/>
  <c r="BA103" i="4"/>
  <c r="BC103" i="4" s="1"/>
  <c r="AA104" i="4"/>
  <c r="AR104" i="4" s="1"/>
  <c r="AT104" i="4" s="1"/>
  <c r="AE104" i="4"/>
  <c r="AB104" i="4"/>
  <c r="AU103" i="4"/>
  <c r="AW103" i="4" s="1"/>
  <c r="B105" i="4"/>
  <c r="AL105" i="4" l="1"/>
  <c r="BH105" i="4"/>
  <c r="AF105" i="4"/>
  <c r="BG105" i="4" s="1"/>
  <c r="BI105" i="4" s="1"/>
  <c r="AM105" i="4"/>
  <c r="AO105" i="4" s="1"/>
  <c r="AG105" i="4"/>
  <c r="AJ105" i="4" s="1"/>
  <c r="AK105" i="4" s="1"/>
  <c r="AY105" i="4"/>
  <c r="AD105" i="4"/>
  <c r="AS105" i="4"/>
  <c r="AX105" i="4"/>
  <c r="AZ105" i="4" s="1"/>
  <c r="AP105" i="4"/>
  <c r="BA104" i="4"/>
  <c r="BC104" i="4" s="1"/>
  <c r="AE105" i="4"/>
  <c r="AB105" i="4"/>
  <c r="AA105" i="4"/>
  <c r="AR105" i="4" s="1"/>
  <c r="AT105" i="4" s="1"/>
  <c r="AU104" i="4"/>
  <c r="AW104" i="4" s="1"/>
  <c r="B106" i="4"/>
  <c r="AL106" i="4" l="1"/>
  <c r="AF106" i="4"/>
  <c r="BG106" i="4" s="1"/>
  <c r="BI106" i="4" s="1"/>
  <c r="BH106" i="4"/>
  <c r="AQ105" i="4"/>
  <c r="AM106" i="4"/>
  <c r="AO106" i="4" s="1"/>
  <c r="AG106" i="4"/>
  <c r="AJ106" i="4" s="1"/>
  <c r="AK106" i="4" s="1"/>
  <c r="AD106" i="4"/>
  <c r="AY106" i="4"/>
  <c r="AS106" i="4"/>
  <c r="AX106" i="4"/>
  <c r="AZ106" i="4" s="1"/>
  <c r="AP106" i="4"/>
  <c r="BA105" i="4"/>
  <c r="BC105" i="4" s="1"/>
  <c r="AA106" i="4"/>
  <c r="AR106" i="4" s="1"/>
  <c r="AT106" i="4" s="1"/>
  <c r="AE106" i="4"/>
  <c r="AB106" i="4"/>
  <c r="AU105" i="4"/>
  <c r="AW105" i="4" s="1"/>
  <c r="B107" i="4"/>
  <c r="AL107" i="4" l="1"/>
  <c r="BH107" i="4"/>
  <c r="AF107" i="4"/>
  <c r="BG107" i="4" s="1"/>
  <c r="BI107" i="4" s="1"/>
  <c r="AQ106" i="4"/>
  <c r="AS107" i="4"/>
  <c r="AM107" i="4"/>
  <c r="AG107" i="4"/>
  <c r="AJ107" i="4" s="1"/>
  <c r="AK107" i="4" s="1"/>
  <c r="AD107" i="4"/>
  <c r="AY107" i="4"/>
  <c r="AX107" i="4"/>
  <c r="AZ107" i="4" s="1"/>
  <c r="AP107" i="4"/>
  <c r="BA106" i="4"/>
  <c r="BC106" i="4" s="1"/>
  <c r="AE107" i="4"/>
  <c r="AB107" i="4"/>
  <c r="AA107" i="4"/>
  <c r="AR107" i="4" s="1"/>
  <c r="AT107" i="4" s="1"/>
  <c r="AU106" i="4"/>
  <c r="AW106" i="4" s="1"/>
  <c r="B108" i="4"/>
  <c r="AL108" i="4" l="1"/>
  <c r="AF108" i="4"/>
  <c r="BG108" i="4" s="1"/>
  <c r="BI108" i="4" s="1"/>
  <c r="BH108" i="4"/>
  <c r="AO107" i="4"/>
  <c r="AQ107" i="4" s="1"/>
  <c r="AS108" i="4"/>
  <c r="AM108" i="4"/>
  <c r="AG108" i="4"/>
  <c r="AJ108" i="4" s="1"/>
  <c r="AK108" i="4" s="1"/>
  <c r="AD108" i="4"/>
  <c r="AY108" i="4"/>
  <c r="AX108" i="4"/>
  <c r="AZ108" i="4" s="1"/>
  <c r="AP108" i="4"/>
  <c r="BA107" i="4"/>
  <c r="BC107" i="4" s="1"/>
  <c r="AA108" i="4"/>
  <c r="AR108" i="4" s="1"/>
  <c r="AT108" i="4" s="1"/>
  <c r="AE108" i="4"/>
  <c r="AB108" i="4"/>
  <c r="AU107" i="4"/>
  <c r="AW107" i="4" s="1"/>
  <c r="B109" i="4"/>
  <c r="AL109" i="4" l="1"/>
  <c r="BH109" i="4"/>
  <c r="AF109" i="4"/>
  <c r="BG109" i="4" s="1"/>
  <c r="BI109" i="4" s="1"/>
  <c r="AO108" i="4"/>
  <c r="AQ108" i="4" s="1"/>
  <c r="AS109" i="4"/>
  <c r="AD109" i="4"/>
  <c r="AY109" i="4"/>
  <c r="AM109" i="4"/>
  <c r="AG109" i="4"/>
  <c r="AJ109" i="4" s="1"/>
  <c r="AK109" i="4" s="1"/>
  <c r="AX109" i="4"/>
  <c r="AZ109" i="4" s="1"/>
  <c r="AP109" i="4"/>
  <c r="BA108" i="4"/>
  <c r="BC108" i="4" s="1"/>
  <c r="AE109" i="4"/>
  <c r="AB109" i="4"/>
  <c r="AA109" i="4"/>
  <c r="AR109" i="4" s="1"/>
  <c r="AT109" i="4" s="1"/>
  <c r="AU108" i="4"/>
  <c r="AW108" i="4" s="1"/>
  <c r="B110" i="4"/>
  <c r="CB14" i="4"/>
  <c r="AL110" i="4" l="1"/>
  <c r="BH110" i="4"/>
  <c r="AF110" i="4"/>
  <c r="BG110" i="4" s="1"/>
  <c r="BI110" i="4" s="1"/>
  <c r="AO109" i="4"/>
  <c r="AQ109" i="4" s="1"/>
  <c r="AD110" i="4"/>
  <c r="AY110" i="4"/>
  <c r="AS110" i="4"/>
  <c r="AM110" i="4"/>
  <c r="AG110" i="4"/>
  <c r="AJ110" i="4" s="1"/>
  <c r="AK110" i="4" s="1"/>
  <c r="AX110" i="4"/>
  <c r="AZ110" i="4" s="1"/>
  <c r="AP110" i="4"/>
  <c r="BA109" i="4"/>
  <c r="BC109" i="4" s="1"/>
  <c r="AA110" i="4"/>
  <c r="AR110" i="4" s="1"/>
  <c r="AT110" i="4" s="1"/>
  <c r="AE110" i="4"/>
  <c r="AB110" i="4"/>
  <c r="AU109" i="4"/>
  <c r="AW109" i="4" s="1"/>
  <c r="B111" i="4"/>
  <c r="AL111" i="4" l="1"/>
  <c r="BH111" i="4"/>
  <c r="AF111" i="4"/>
  <c r="BG111" i="4" s="1"/>
  <c r="BI111" i="4" s="1"/>
  <c r="AO110" i="4"/>
  <c r="AQ110" i="4" s="1"/>
  <c r="AY111" i="4"/>
  <c r="AD111" i="4"/>
  <c r="AG111" i="4"/>
  <c r="AJ111" i="4" s="1"/>
  <c r="AK111" i="4" s="1"/>
  <c r="AS111" i="4"/>
  <c r="AM111" i="4"/>
  <c r="AX111" i="4"/>
  <c r="AZ111" i="4" s="1"/>
  <c r="AP111" i="4"/>
  <c r="BA110" i="4"/>
  <c r="BC110" i="4" s="1"/>
  <c r="AE111" i="4"/>
  <c r="AB111" i="4"/>
  <c r="AA111" i="4"/>
  <c r="AR111" i="4" s="1"/>
  <c r="AT111" i="4" s="1"/>
  <c r="AU110" i="4"/>
  <c r="AW110" i="4" s="1"/>
  <c r="B112" i="4"/>
  <c r="AL112" i="4" l="1"/>
  <c r="BH112" i="4"/>
  <c r="AF112" i="4"/>
  <c r="BG112" i="4" s="1"/>
  <c r="BI112" i="4" s="1"/>
  <c r="AO111" i="4"/>
  <c r="AQ111" i="4" s="1"/>
  <c r="AG112" i="4"/>
  <c r="AJ112" i="4" s="1"/>
  <c r="AK112" i="4" s="1"/>
  <c r="AY112" i="4"/>
  <c r="AM112" i="4"/>
  <c r="AD112" i="4"/>
  <c r="AS112" i="4"/>
  <c r="AX112" i="4"/>
  <c r="AZ112" i="4" s="1"/>
  <c r="AP112" i="4"/>
  <c r="BA111" i="4"/>
  <c r="BC111" i="4" s="1"/>
  <c r="AA112" i="4"/>
  <c r="AR112" i="4" s="1"/>
  <c r="AT112" i="4" s="1"/>
  <c r="AE112" i="4"/>
  <c r="AB112" i="4"/>
  <c r="AU111" i="4"/>
  <c r="AW111" i="4" s="1"/>
  <c r="B113" i="4"/>
  <c r="AL113" i="4" l="1"/>
  <c r="BH113" i="4"/>
  <c r="AF113" i="4"/>
  <c r="BG113" i="4" s="1"/>
  <c r="BI113" i="4" s="1"/>
  <c r="AO112" i="4"/>
  <c r="AQ112" i="4" s="1"/>
  <c r="AM113" i="4"/>
  <c r="AO113" i="4" s="1"/>
  <c r="AG113" i="4"/>
  <c r="AJ113" i="4" s="1"/>
  <c r="AK113" i="4" s="1"/>
  <c r="AD113" i="4"/>
  <c r="AY113" i="4"/>
  <c r="AS113" i="4"/>
  <c r="AX113" i="4"/>
  <c r="AZ113" i="4" s="1"/>
  <c r="AP113" i="4"/>
  <c r="BA112" i="4"/>
  <c r="BC112" i="4" s="1"/>
  <c r="AE113" i="4"/>
  <c r="AB113" i="4"/>
  <c r="AA113" i="4"/>
  <c r="AR113" i="4" s="1"/>
  <c r="AT113" i="4" s="1"/>
  <c r="AU112" i="4"/>
  <c r="AW112" i="4" s="1"/>
  <c r="B114" i="4"/>
  <c r="AL114" i="4" l="1"/>
  <c r="BH114" i="4"/>
  <c r="AF114" i="4"/>
  <c r="BG114" i="4" s="1"/>
  <c r="BI114" i="4" s="1"/>
  <c r="AQ113" i="4"/>
  <c r="AM114" i="4"/>
  <c r="AG114" i="4"/>
  <c r="AJ114" i="4" s="1"/>
  <c r="AK114" i="4" s="1"/>
  <c r="AD114" i="4"/>
  <c r="AY114" i="4"/>
  <c r="AS114" i="4"/>
  <c r="AX114" i="4"/>
  <c r="AZ114" i="4" s="1"/>
  <c r="AP114" i="4"/>
  <c r="BA113" i="4"/>
  <c r="BC113" i="4" s="1"/>
  <c r="AA114" i="4"/>
  <c r="AR114" i="4" s="1"/>
  <c r="AT114" i="4" s="1"/>
  <c r="AE114" i="4"/>
  <c r="AB114" i="4"/>
  <c r="AU113" i="4"/>
  <c r="AW113" i="4" s="1"/>
  <c r="B115" i="4"/>
  <c r="AL115" i="4" l="1"/>
  <c r="BH115" i="4"/>
  <c r="AF115" i="4"/>
  <c r="BG115" i="4" s="1"/>
  <c r="BI115" i="4" s="1"/>
  <c r="AO114" i="4"/>
  <c r="AQ114" i="4" s="1"/>
  <c r="AS115" i="4"/>
  <c r="AM115" i="4"/>
  <c r="AG115" i="4"/>
  <c r="AJ115" i="4" s="1"/>
  <c r="AK115" i="4" s="1"/>
  <c r="AD115" i="4"/>
  <c r="AY115" i="4"/>
  <c r="AX115" i="4"/>
  <c r="AZ115" i="4" s="1"/>
  <c r="AP115" i="4"/>
  <c r="BA114" i="4"/>
  <c r="BC114" i="4" s="1"/>
  <c r="AE115" i="4"/>
  <c r="AB115" i="4"/>
  <c r="AA115" i="4"/>
  <c r="AR115" i="4" s="1"/>
  <c r="AT115" i="4" s="1"/>
  <c r="AU114" i="4"/>
  <c r="AW114" i="4" s="1"/>
  <c r="B116" i="4"/>
  <c r="AL116" i="4" l="1"/>
  <c r="BH116" i="4"/>
  <c r="AF116" i="4"/>
  <c r="BG116" i="4" s="1"/>
  <c r="BI116" i="4" s="1"/>
  <c r="CL18" i="4" a="1"/>
  <c r="CL18" i="4" s="1"/>
  <c r="AO115" i="4"/>
  <c r="AQ115" i="4" s="1"/>
  <c r="AS116" i="4"/>
  <c r="AM116" i="4"/>
  <c r="AG116" i="4"/>
  <c r="AJ116" i="4" s="1"/>
  <c r="AK116" i="4" s="1"/>
  <c r="AD116" i="4"/>
  <c r="AY116" i="4"/>
  <c r="AX116" i="4"/>
  <c r="AZ116" i="4" s="1"/>
  <c r="AP116" i="4"/>
  <c r="BA115" i="4"/>
  <c r="BC115" i="4" s="1"/>
  <c r="AA116" i="4"/>
  <c r="AR116" i="4" s="1"/>
  <c r="AT116" i="4" s="1"/>
  <c r="AE116" i="4"/>
  <c r="AB116" i="4"/>
  <c r="AU115" i="4"/>
  <c r="AW115" i="4" s="1"/>
  <c r="B117" i="4"/>
  <c r="CF14" i="4" l="1" a="1"/>
  <c r="CF14" i="4" s="1"/>
  <c r="BH117" i="4"/>
  <c r="CB18" i="4" s="1"/>
  <c r="AF117" i="4"/>
  <c r="BG117" i="4" s="1"/>
  <c r="CH18" i="4" s="1" a="1"/>
  <c r="CK18" i="4" a="1"/>
  <c r="CK18" i="4" s="1"/>
  <c r="CF18" i="4" a="1"/>
  <c r="CF18" i="4" s="1"/>
  <c r="CF19" i="4" a="1"/>
  <c r="CF19" i="4" s="1"/>
  <c r="CF11" i="4" a="1"/>
  <c r="CF11" i="4" s="1"/>
  <c r="CL12" i="4" a="1"/>
  <c r="CL12" i="4" s="1"/>
  <c r="AO116" i="4"/>
  <c r="AQ116" i="4" s="1"/>
  <c r="CL19" i="4" a="1"/>
  <c r="CL19" i="4" s="1"/>
  <c r="AL117" i="4"/>
  <c r="CB11" i="4" s="1"/>
  <c r="CF16" i="4" a="1"/>
  <c r="CF16" i="4" s="1"/>
  <c r="CL11" i="4" a="1"/>
  <c r="CL11" i="4" s="1"/>
  <c r="CL16" i="4" a="1"/>
  <c r="CL16" i="4" s="1"/>
  <c r="CF17" i="4" a="1"/>
  <c r="CF17" i="4" s="1"/>
  <c r="CK19" i="4" a="1"/>
  <c r="CK19" i="4" s="1"/>
  <c r="CQ19" i="4" s="1"/>
  <c r="CF12" i="4" a="1"/>
  <c r="CF12" i="4" s="1"/>
  <c r="AD117" i="4"/>
  <c r="AS117" i="4"/>
  <c r="AM117" i="4"/>
  <c r="AG117" i="4"/>
  <c r="AJ117" i="4" s="1"/>
  <c r="AY117" i="4"/>
  <c r="CB16" i="4" s="1" a="1"/>
  <c r="AX117" i="4"/>
  <c r="AP117" i="4"/>
  <c r="CB12" i="4" s="1"/>
  <c r="CK16" i="4" a="1"/>
  <c r="CK16" i="4" s="1"/>
  <c r="CK17" i="4" a="1"/>
  <c r="CK17" i="4" s="1"/>
  <c r="BA116" i="4"/>
  <c r="BC116" i="4" s="1"/>
  <c r="AA117" i="4"/>
  <c r="AR117" i="4" s="1"/>
  <c r="AE117" i="4"/>
  <c r="CL17" i="4" a="1"/>
  <c r="CL17" i="4" s="1"/>
  <c r="EA41" i="4" a="1"/>
  <c r="EA41" i="4" s="1"/>
  <c r="AB117" i="4"/>
  <c r="CK11" i="4" a="1"/>
  <c r="CK11" i="4" s="1"/>
  <c r="CK14" i="4" a="1"/>
  <c r="CK14" i="4" s="1"/>
  <c r="CL15" i="4" a="1"/>
  <c r="CL15" i="4" s="1"/>
  <c r="CF15" i="4" a="1"/>
  <c r="CF15" i="4" s="1"/>
  <c r="CK12" i="4" a="1"/>
  <c r="CK12" i="4" s="1"/>
  <c r="AO2" i="4" a="1"/>
  <c r="AO2" i="4" s="1"/>
  <c r="AP2" i="4" s="1"/>
  <c r="AU116" i="4"/>
  <c r="AW116" i="4" s="1"/>
  <c r="CK13" i="4" a="1"/>
  <c r="CK13" i="4" s="1"/>
  <c r="CL13" i="4" a="1"/>
  <c r="CL13" i="4" s="1"/>
  <c r="CL14" i="4" a="1"/>
  <c r="CL14" i="4" s="1"/>
  <c r="CF13" i="4" a="1"/>
  <c r="CF13" i="4" s="1"/>
  <c r="CV18" i="4" s="1"/>
  <c r="CK15" i="4" a="1"/>
  <c r="CK15" i="4" s="1"/>
  <c r="CQ15" i="4" s="1"/>
  <c r="BI117" i="4" l="1"/>
  <c r="CH18" i="4"/>
  <c r="CT13" i="4"/>
  <c r="CT18" i="4"/>
  <c r="CX7" i="4"/>
  <c r="AO117" i="4"/>
  <c r="CH12" i="4" s="1"/>
  <c r="AZ117" i="4"/>
  <c r="CH16" i="4"/>
  <c r="AT117" i="4"/>
  <c r="CH13" i="4"/>
  <c r="AK117" i="4"/>
  <c r="CH11" i="4"/>
  <c r="CT15" i="4"/>
  <c r="CT14" i="4"/>
  <c r="CT17" i="4"/>
  <c r="CT16" i="4"/>
  <c r="CB13" i="4"/>
  <c r="DW41" i="4"/>
  <c r="CE12" i="4"/>
  <c r="CX9" i="4"/>
  <c r="CV16" i="4"/>
  <c r="CV17" i="4"/>
  <c r="BA117" i="4"/>
  <c r="CV15" i="4"/>
  <c r="CV14" i="4"/>
  <c r="CV13" i="4"/>
  <c r="CX8" i="4"/>
  <c r="AU117" i="4"/>
  <c r="CM18" i="4"/>
  <c r="CM12" i="4"/>
  <c r="CM16" i="4"/>
  <c r="AJ119" i="4"/>
  <c r="CM11" i="4"/>
  <c r="CM13" i="4"/>
  <c r="CQ18" i="4" l="1"/>
  <c r="CW12" i="4"/>
  <c r="AQ117" i="4"/>
  <c r="AZ5" i="4"/>
  <c r="AZ6" i="4"/>
  <c r="CQ12" i="4"/>
  <c r="CW11" i="4"/>
  <c r="CW14" i="4" s="1"/>
  <c r="BC117" i="4"/>
  <c r="CH17" i="4"/>
  <c r="CQ16" i="4"/>
  <c r="AW117" i="4"/>
  <c r="CH14" i="4"/>
  <c r="CQ13" i="4"/>
  <c r="CQ11" i="4"/>
  <c r="CB16" i="4"/>
  <c r="CM14" i="4"/>
  <c r="CM17" i="4"/>
  <c r="CQ17" i="4" l="1"/>
  <c r="CQ14" i="4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<sst xmlns="http://schemas.openxmlformats.org/spreadsheetml/2006/main" count="4106" uniqueCount="1918">
  <si>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</si>
  <si>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</si>
  <si>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</si>
  <si>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</si>
  <si>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</si>
  <si>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</si>
  <si>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</si>
  <si>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</si>
  <si>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</si>
  <si>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</si>
  <si>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</si>
  <si>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</si>
  <si>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</si>
  <si>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</si>
  <si>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</si>
  <si>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</si>
  <si>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</si>
  <si>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</si>
  <si>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</si>
  <si>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</si>
  <si>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</si>
  <si>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</si>
  <si>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</si>
  <si>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</si>
  <si>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</si>
  <si>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</si>
  <si>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</si>
  <si>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</si>
  <si>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</si>
  <si>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</si>
  <si>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</si>
  <si>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</si>
  <si>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</si>
  <si>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</si>
  <si>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</si>
  <si>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</si>
  <si>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</si>
  <si>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</si>
  <si>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</si>
  <si>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</si>
  <si>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</si>
  <si>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</si>
  <si>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</si>
  <si>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</si>
  <si>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</si>
  <si>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</si>
  <si>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</si>
  <si>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</si>
  <si>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</si>
  <si>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</si>
  <si>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</si>
  <si>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</si>
  <si>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</si>
  <si>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</si>
  <si>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</si>
  <si>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</si>
  <si>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</si>
  <si>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</si>
  <si>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</si>
  <si>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</si>
  <si>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</si>
  <si>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</si>
  <si>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</si>
  <si>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</si>
  <si>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</si>
  <si>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</si>
  <si>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</si>
  <si>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</si>
  <si>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</si>
  <si>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</si>
  <si>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</si>
  <si>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</si>
  <si>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</si>
  <si>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</si>
  <si>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</si>
  <si>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</si>
  <si>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</si>
  <si>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</si>
  <si>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</si>
  <si>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</si>
  <si>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</si>
  <si>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</si>
  <si>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</si>
  <si>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</si>
  <si>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</si>
  <si>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</si>
  <si>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</si>
  <si>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</si>
  <si>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</si>
  <si>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</si>
  <si>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</si>
  <si>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</si>
  <si>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</si>
  <si>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</si>
  <si>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</si>
  <si>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</si>
  <si>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</si>
  <si>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</si>
  <si>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</si>
  <si>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</si>
  <si>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</si>
  <si>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</si>
  <si>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</si>
  <si>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</si>
  <si>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</si>
  <si>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</si>
  <si>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</si>
  <si>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</si>
  <si>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</si>
  <si>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</si>
  <si>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</si>
  <si>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</si>
  <si>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</si>
  <si>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</si>
  <si>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</si>
  <si>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</si>
  <si>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</si>
  <si>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</si>
  <si>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</si>
  <si>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</si>
  <si>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</si>
  <si>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</si>
  <si>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</si>
  <si>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</si>
  <si>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</si>
  <si>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</si>
  <si>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</si>
  <si>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</si>
  <si>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</si>
  <si>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</si>
  <si>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</si>
  <si>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</si>
  <si>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</si>
  <si>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</si>
  <si>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</si>
  <si>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</si>
  <si>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</si>
  <si>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</si>
  <si>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</si>
  <si>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</si>
  <si>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</si>
  <si>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</si>
  <si>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</si>
  <si>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</si>
  <si>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</si>
  <si>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</si>
  <si>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</si>
  <si>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</si>
  <si>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</si>
  <si>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</si>
  <si>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</si>
  <si>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</si>
  <si>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</si>
  <si>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</si>
  <si>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</si>
  <si>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</si>
  <si>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</si>
  <si>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</si>
  <si>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</si>
  <si>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</si>
  <si>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</si>
  <si>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</si>
  <si>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</si>
  <si>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</si>
  <si>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</si>
  <si>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</si>
  <si>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</si>
  <si>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</si>
  <si>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</si>
  <si>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</si>
  <si>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</si>
  <si>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</si>
  <si>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</si>
  <si>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</si>
  <si>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</si>
  <si>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</si>
  <si>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</si>
  <si>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</si>
  <si>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</si>
  <si>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</si>
  <si>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</si>
  <si>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</si>
  <si>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</si>
  <si>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</si>
  <si>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</si>
  <si>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</si>
  <si>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</si>
  <si>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</si>
  <si>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</si>
  <si>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</si>
  <si>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</si>
  <si>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</si>
  <si>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</si>
  <si>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</si>
  <si>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</si>
  <si>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</si>
  <si>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</si>
  <si>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</si>
  <si>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</si>
  <si>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</si>
  <si>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</si>
  <si>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</si>
  <si>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</si>
  <si>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</si>
  <si>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</si>
  <si>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</si>
  <si>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</si>
  <si>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</si>
  <si>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</si>
  <si>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</si>
  <si>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</si>
  <si>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</si>
  <si>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</si>
  <si>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</si>
  <si>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</si>
  <si>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</si>
  <si>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</si>
  <si>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</si>
  <si>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</si>
  <si>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</si>
  <si>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</si>
  <si>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</si>
  <si>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</si>
  <si>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</si>
  <si>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</si>
  <si>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</si>
  <si>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</si>
  <si>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</si>
  <si>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</si>
  <si>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</si>
  <si>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</si>
  <si>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</si>
  <si>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</si>
  <si>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</si>
  <si>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</si>
  <si>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</si>
  <si>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</si>
  <si>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</si>
  <si>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</si>
  <si>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</si>
  <si>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</si>
  <si>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</si>
  <si>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</si>
  <si>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</si>
  <si>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</si>
  <si>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</si>
  <si>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</si>
  <si>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</si>
  <si>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</si>
  <si>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</si>
  <si>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</si>
  <si>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</si>
  <si>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</si>
  <si>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</si>
  <si>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</si>
  <si>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</si>
  <si>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</si>
  <si>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</si>
  <si>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</si>
  <si>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</si>
  <si>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</si>
  <si>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</si>
  <si>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</si>
  <si>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</si>
  <si>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</si>
  <si>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</si>
  <si>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</si>
  <si>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</si>
  <si>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</si>
  <si>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</si>
  <si>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</si>
  <si>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</si>
  <si>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</si>
  <si>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</si>
  <si>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</si>
  <si>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</si>
  <si>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</si>
  <si>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</si>
  <si>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</si>
  <si>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</si>
  <si>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</si>
  <si>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</si>
  <si>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</si>
  <si>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</si>
  <si>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</si>
  <si>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</si>
  <si>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</si>
  <si>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</si>
  <si>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</si>
  <si>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</si>
  <si>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</si>
  <si>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</si>
  <si>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</si>
  <si>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</si>
  <si>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</si>
  <si>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</si>
  <si>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</si>
  <si>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</si>
  <si>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</si>
  <si>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</si>
  <si>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</si>
  <si>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</si>
  <si>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</si>
  <si>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</si>
  <si>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</si>
  <si>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</si>
  <si>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</si>
  <si>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</si>
  <si>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</si>
  <si>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</si>
  <si>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</si>
  <si>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</si>
  <si>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</si>
  <si>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</si>
  <si>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</si>
  <si>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</si>
  <si>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</si>
  <si>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</si>
  <si>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</si>
  <si>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</si>
  <si>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</si>
  <si>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</si>
  <si>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</si>
  <si>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</si>
  <si>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</si>
  <si>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</si>
  <si>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</si>
  <si>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</si>
  <si>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</si>
  <si>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</si>
  <si>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</si>
  <si>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</si>
  <si>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</si>
  <si>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</si>
  <si>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</si>
  <si>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</si>
  <si>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</si>
  <si>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</si>
  <si>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</si>
  <si>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</si>
  <si>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</si>
  <si>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</si>
  <si>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</si>
  <si>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</si>
  <si>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</si>
  <si>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</si>
  <si>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</si>
  <si>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</si>
  <si>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</si>
  <si>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</si>
  <si>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</si>
  <si>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</si>
  <si>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</si>
  <si>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</si>
  <si>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</si>
  <si>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</si>
  <si>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</si>
  <si>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</si>
  <si>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</si>
  <si>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</si>
  <si>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</si>
  <si>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</si>
  <si>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</si>
  <si>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</si>
  <si>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</si>
  <si>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</si>
  <si>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</si>
  <si>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</si>
  <si>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</si>
  <si>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</si>
  <si>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</si>
  <si>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</si>
  <si>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</si>
  <si>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</si>
  <si>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</si>
  <si>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</si>
  <si>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</si>
  <si>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</si>
  <si>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</si>
  <si>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</si>
  <si>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</si>
  <si>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</si>
  <si>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</si>
  <si>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</si>
  <si>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</si>
  <si>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</si>
  <si>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</si>
  <si>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</si>
  <si>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</si>
  <si>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</si>
  <si>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</si>
  <si>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</si>
  <si>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</si>
  <si>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</si>
  <si>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</si>
  <si>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</si>
  <si>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</si>
  <si>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</si>
  <si>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</si>
  <si>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</si>
  <si>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</si>
  <si>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</si>
  <si>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</si>
  <si>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</si>
  <si>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</si>
  <si>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</si>
  <si>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</si>
  <si>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</si>
  <si>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</si>
  <si>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</si>
  <si>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</si>
  <si>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</si>
  <si>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</si>
  <si>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</si>
  <si>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</si>
  <si>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</si>
  <si>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</si>
  <si>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</si>
  <si>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</si>
  <si>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</si>
  <si>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</si>
  <si>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</si>
  <si>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</si>
  <si>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</si>
  <si>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</si>
  <si>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</si>
  <si>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</si>
  <si>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</si>
  <si>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</si>
  <si>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</si>
  <si>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</si>
  <si>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</si>
  <si>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</si>
  <si>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</si>
  <si>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</si>
  <si>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</si>
  <si>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</si>
  <si>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</si>
  <si>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</si>
  <si>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</si>
  <si>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</si>
  <si>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</si>
  <si>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3_x000D_</t>
  </si>
  <si>
    <t>2_x000D_</t>
  </si>
  <si>
    <t>0_x000D_</t>
  </si>
  <si>
    <t>18_x000D_</t>
  </si>
  <si>
    <t>7_x000D_</t>
  </si>
  <si>
    <t>24_x000D_</t>
  </si>
  <si>
    <t>49_x000D_</t>
  </si>
  <si>
    <t>5_x000D_</t>
  </si>
  <si>
    <t>11_x000D_</t>
  </si>
  <si>
    <t>4_x000D_</t>
  </si>
  <si>
    <t>10_x000D_</t>
  </si>
  <si>
    <t>6_x000D_</t>
  </si>
  <si>
    <t>14_x000D_</t>
  </si>
  <si>
    <t>1273_x000D_</t>
  </si>
  <si>
    <t>1018_x000D_</t>
  </si>
  <si>
    <t>990_x000D_</t>
  </si>
  <si>
    <t>168_x000D_</t>
  </si>
  <si>
    <t>146_x000D_</t>
  </si>
  <si>
    <t>136_x000D_</t>
  </si>
  <si>
    <t>133_x000D_</t>
  </si>
  <si>
    <t>93_x000D_</t>
  </si>
  <si>
    <t>76_x000D_</t>
  </si>
  <si>
    <t>75_x000D_</t>
  </si>
  <si>
    <t>28_x000D_</t>
  </si>
  <si>
    <t>26_x000D_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</si>
  <si>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</si>
  <si>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</si>
  <si>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</si>
  <si>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</si>
  <si>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</si>
  <si>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</si>
  <si>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</si>
  <si>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</si>
  <si>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</si>
  <si>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</si>
  <si>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</si>
  <si>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</si>
  <si>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</si>
  <si>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</si>
  <si>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</si>
  <si>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</si>
  <si>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</si>
  <si>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</si>
  <si>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</si>
  <si>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</si>
  <si>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</si>
  <si>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</si>
  <si>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</si>
  <si>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</si>
  <si>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</si>
  <si>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</si>
  <si>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</si>
  <si>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</si>
  <si>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</si>
  <si>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</si>
  <si>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</si>
  <si>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</si>
  <si>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</si>
  <si>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</si>
  <si>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</si>
  <si>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</si>
  <si>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</si>
  <si>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</si>
  <si>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</si>
  <si>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</si>
  <si>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</si>
  <si>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</si>
  <si>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</si>
  <si>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</si>
  <si>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</si>
  <si>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</si>
  <si>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</si>
  <si>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</si>
  <si>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</si>
  <si>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</si>
  <si>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</si>
  <si>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</si>
  <si>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</si>
  <si>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</si>
  <si>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</si>
  <si>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</si>
  <si>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</si>
  <si>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</si>
  <si>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</si>
  <si>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</si>
  <si>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</si>
  <si>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</si>
  <si>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</si>
  <si>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</si>
  <si>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</si>
  <si>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</si>
  <si>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</si>
  <si>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</si>
  <si>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</si>
  <si>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</si>
  <si>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</si>
  <si>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</si>
  <si>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</si>
  <si>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</si>
  <si>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</si>
  <si>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</si>
  <si>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</si>
  <si>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</si>
  <si>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</si>
  <si>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</si>
  <si>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</si>
  <si>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</si>
  <si>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</si>
  <si>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</si>
  <si>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</si>
  <si>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</si>
  <si>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</si>
  <si>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</si>
  <si>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</si>
  <si>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</si>
  <si>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</si>
  <si>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</si>
  <si>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</si>
  <si>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</si>
  <si>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</si>
  <si>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</si>
  <si>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</si>
  <si>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</si>
  <si>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</si>
  <si>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</si>
  <si>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</si>
  <si>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</si>
  <si>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</si>
  <si>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</si>
  <si>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</si>
  <si>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</si>
  <si>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</si>
  <si>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</si>
  <si>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</si>
  <si>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</si>
  <si>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</si>
  <si>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</si>
  <si>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</si>
  <si>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</si>
  <si>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</si>
  <si>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</si>
  <si>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</si>
  <si>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</si>
  <si>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</si>
  <si>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</si>
  <si>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</si>
  <si>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</si>
  <si>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</si>
  <si>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</si>
  <si>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</si>
  <si>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</si>
  <si>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</si>
  <si>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</si>
  <si>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</si>
  <si>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</si>
  <si>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</si>
  <si>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</si>
  <si>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</si>
  <si>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</si>
  <si>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</si>
  <si>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</si>
  <si>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</si>
  <si>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</si>
  <si>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</si>
  <si>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</si>
  <si>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</si>
  <si>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</si>
  <si>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</si>
  <si>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</si>
  <si>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</si>
  <si>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</si>
  <si>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</si>
  <si>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</si>
  <si>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</si>
  <si>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</si>
  <si>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</si>
  <si>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</si>
  <si>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</si>
  <si>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</si>
  <si>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</si>
  <si>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</si>
  <si>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</si>
  <si>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</si>
  <si>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</si>
  <si>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</si>
  <si>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</si>
  <si>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</si>
  <si>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</si>
  <si>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</si>
  <si>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</si>
  <si>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</si>
  <si>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</si>
  <si>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</si>
  <si>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</si>
  <si>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</si>
  <si>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</si>
  <si>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</si>
  <si>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</si>
  <si>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</si>
  <si>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</si>
  <si>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</si>
  <si>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</si>
  <si>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</si>
  <si>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</si>
  <si>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</si>
  <si>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</si>
  <si>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</si>
  <si>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</si>
  <si>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</si>
  <si>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</si>
  <si>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</si>
  <si>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</si>
  <si>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</si>
  <si>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</si>
  <si>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</si>
  <si>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</si>
  <si>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</si>
  <si>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</si>
  <si>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</si>
  <si>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</si>
  <si>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</si>
  <si>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</si>
  <si>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</si>
  <si>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</si>
  <si>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</si>
  <si>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</si>
  <si>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</si>
  <si>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</si>
  <si>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</si>
  <si>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</si>
  <si>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</si>
  <si>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</si>
  <si>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</si>
  <si>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</si>
  <si>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</si>
  <si>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</si>
  <si>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</si>
  <si>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</si>
  <si>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</si>
  <si>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</si>
  <si>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</si>
  <si>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</si>
  <si>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</si>
  <si>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</si>
  <si>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</si>
  <si>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</si>
  <si>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</si>
  <si>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</si>
  <si>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</si>
  <si>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</si>
  <si>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</si>
  <si>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</si>
  <si>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</si>
  <si>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</si>
  <si>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</si>
  <si>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</si>
  <si>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</si>
  <si>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</si>
  <si>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</si>
  <si>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</si>
  <si>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</si>
  <si>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</si>
  <si>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</si>
  <si>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</si>
  <si>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</si>
  <si>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</si>
  <si>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</si>
  <si>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</si>
  <si>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</si>
  <si>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</si>
  <si>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</si>
  <si>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</si>
  <si>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</si>
  <si>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</si>
  <si>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</si>
  <si>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</si>
  <si>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</si>
  <si>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</si>
  <si>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</si>
  <si>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</si>
  <si>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</si>
  <si>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</si>
  <si>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</si>
  <si>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</si>
  <si>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</si>
  <si>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</si>
  <si>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</si>
  <si>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</si>
  <si>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</si>
  <si>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</si>
  <si>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</si>
  <si>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</si>
  <si>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</si>
  <si>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</si>
  <si>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</si>
  <si>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</si>
  <si>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</si>
  <si>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</si>
  <si>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</si>
  <si>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</si>
  <si>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</si>
  <si>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</si>
  <si>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</si>
  <si>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</si>
  <si>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</si>
  <si>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</si>
  <si>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</si>
  <si>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</si>
  <si>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</si>
  <si>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</si>
  <si>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</si>
  <si>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</si>
  <si>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</si>
  <si>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</si>
  <si>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</si>
  <si>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</si>
  <si>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</si>
  <si>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</si>
  <si>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</si>
  <si>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</si>
  <si>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</si>
  <si>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</si>
  <si>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</si>
  <si>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</si>
  <si>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</si>
  <si>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</si>
  <si>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</si>
  <si>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</si>
  <si>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</si>
  <si>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</si>
  <si>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</si>
  <si>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</si>
  <si>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</si>
  <si>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</si>
  <si>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</si>
  <si>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</si>
  <si>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</si>
  <si>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</si>
  <si>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</si>
  <si>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</si>
  <si>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</si>
  <si>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</si>
  <si>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</si>
  <si>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</si>
  <si>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</si>
  <si>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</si>
  <si>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</si>
  <si>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</si>
  <si>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</si>
  <si>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</si>
  <si>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</si>
  <si>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</si>
  <si>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</si>
  <si>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</si>
  <si>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</si>
  <si>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</si>
  <si>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</si>
  <si>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</si>
  <si>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23_x000D_</t>
  </si>
  <si>
    <t>13_x000D_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</si>
  <si>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</si>
  <si>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</si>
  <si>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</si>
  <si>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</si>
  <si>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</si>
  <si>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</si>
  <si>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</si>
  <si>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</si>
  <si>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</si>
  <si>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</si>
  <si>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</si>
  <si>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</si>
  <si>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</si>
  <si>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</si>
  <si>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</si>
  <si>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</si>
  <si>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</si>
  <si>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</si>
  <si>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</si>
  <si>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</si>
  <si>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</si>
  <si>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</si>
  <si>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</si>
  <si>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</si>
  <si>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</si>
  <si>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</si>
  <si>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</si>
  <si>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</si>
  <si>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</si>
  <si>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</si>
  <si>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</si>
  <si>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</si>
  <si>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</si>
  <si>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</si>
  <si>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</si>
  <si>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</si>
  <si>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</si>
  <si>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</si>
  <si>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</si>
  <si>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</si>
  <si>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37_x000D_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</si>
  <si>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</si>
  <si>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</si>
  <si>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</si>
  <si>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</si>
  <si>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</si>
  <si>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</si>
  <si>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</si>
  <si>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</si>
  <si>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</si>
  <si>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</si>
  <si>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</si>
  <si>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</si>
  <si>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</si>
  <si>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</si>
  <si>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</si>
  <si>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</si>
  <si>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</si>
  <si>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</si>
  <si>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</si>
  <si>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</si>
  <si>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</si>
  <si>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</si>
  <si>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</si>
  <si>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</si>
  <si>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</si>
  <si>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</si>
  <si>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</si>
  <si>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</si>
  <si>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</si>
  <si>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</si>
  <si>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</si>
  <si>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</si>
  <si>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</si>
  <si>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</si>
  <si>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</si>
  <si>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</si>
  <si>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</si>
  <si>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</si>
  <si>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</si>
  <si>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</si>
  <si>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</si>
  <si>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</si>
  <si>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</si>
  <si>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</si>
  <si>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</si>
  <si>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</si>
  <si>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</si>
  <si>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</si>
  <si>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</si>
  <si>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</si>
  <si>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</si>
  <si>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</si>
  <si>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</si>
  <si>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</si>
  <si>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</si>
  <si>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</si>
  <si>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</si>
  <si>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</si>
  <si>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</si>
  <si>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</si>
  <si>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</si>
  <si>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</si>
  <si>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</si>
  <si>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</si>
  <si>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</si>
  <si>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</si>
  <si>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</si>
  <si>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</si>
  <si>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</si>
  <si>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</si>
  <si>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</si>
  <si>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</si>
  <si>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</si>
  <si>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</si>
  <si>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</si>
  <si>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</si>
  <si>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</si>
  <si>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</si>
  <si>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</si>
  <si>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</si>
  <si>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</si>
  <si>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</si>
  <si>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</si>
  <si>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</si>
  <si>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</si>
  <si>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</si>
  <si>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</si>
  <si>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</si>
  <si>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</si>
  <si>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</si>
  <si>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</si>
  <si>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</si>
  <si>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</si>
  <si>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</si>
  <si>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</si>
  <si>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</si>
  <si>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</si>
  <si>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</si>
  <si>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</si>
  <si>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</si>
  <si>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</si>
  <si>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</si>
  <si>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</si>
  <si>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</si>
  <si>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</si>
  <si>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</si>
  <si>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</si>
  <si>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</si>
  <si>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</si>
  <si>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</si>
  <si>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</si>
  <si>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</si>
  <si>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</si>
  <si>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</si>
  <si>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</si>
  <si>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</si>
  <si>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</si>
  <si>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</si>
  <si>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</si>
  <si>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</si>
  <si>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</si>
  <si>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</si>
  <si>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</si>
  <si>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</si>
  <si>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</si>
  <si>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</si>
  <si>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</si>
  <si>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</si>
  <si>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</si>
  <si>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</si>
  <si>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</si>
  <si>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</si>
  <si>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</si>
  <si>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</si>
  <si>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</si>
  <si>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</si>
  <si>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</si>
  <si>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</si>
  <si>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</si>
  <si>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</si>
  <si>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</si>
  <si>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</si>
  <si>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</si>
  <si>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</si>
  <si>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</si>
  <si>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</si>
  <si>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</si>
  <si>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</si>
  <si>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</si>
  <si>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</si>
  <si>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</si>
  <si>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</si>
  <si>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</si>
  <si>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</si>
  <si>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</si>
  <si>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</si>
  <si>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</si>
  <si>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</si>
  <si>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</si>
  <si>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</si>
  <si>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</si>
  <si>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</si>
  <si>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</si>
  <si>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</si>
  <si>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</si>
  <si>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</si>
  <si>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</si>
  <si>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</si>
  <si>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</si>
  <si>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</si>
  <si>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</si>
  <si>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</si>
  <si>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</si>
  <si>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</si>
  <si>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</si>
  <si>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</si>
  <si>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</si>
  <si>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</si>
  <si>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</si>
  <si>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</si>
  <si>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</si>
  <si>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</si>
  <si>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</si>
  <si>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</si>
  <si>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</si>
  <si>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</si>
  <si>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</si>
  <si>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</si>
  <si>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</si>
  <si>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</si>
  <si>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</si>
  <si>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</si>
  <si>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</si>
  <si>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</si>
  <si>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</si>
  <si>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</si>
  <si>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</si>
  <si>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</si>
  <si>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</si>
  <si>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</si>
  <si>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</si>
  <si>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</si>
  <si>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</si>
  <si>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</si>
  <si>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</si>
  <si>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</si>
  <si>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</si>
  <si>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</si>
  <si>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</si>
  <si>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</si>
  <si>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</si>
  <si>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</si>
  <si>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</si>
  <si>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</si>
  <si>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</si>
  <si>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</si>
  <si>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</si>
  <si>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</si>
  <si>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</si>
  <si>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</si>
  <si>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</si>
  <si>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</si>
  <si>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</si>
  <si>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</si>
  <si>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</si>
  <si>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</si>
  <si>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</si>
  <si>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</si>
  <si>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</si>
  <si>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</si>
  <si>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</si>
  <si>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</si>
  <si>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</si>
  <si>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</si>
  <si>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</si>
  <si>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</si>
  <si>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</si>
  <si>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</si>
  <si>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</si>
  <si>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</si>
  <si>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</si>
  <si>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</si>
  <si>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</si>
  <si>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</si>
  <si>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</si>
  <si>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</si>
  <si>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</si>
  <si>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</si>
  <si>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</si>
  <si>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</si>
  <si>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</si>
  <si>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</si>
  <si>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</si>
  <si>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</si>
  <si>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</si>
  <si>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</si>
  <si>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</si>
  <si>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</si>
  <si>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</si>
  <si>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</si>
  <si>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</si>
  <si>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</si>
  <si>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</si>
  <si>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</si>
  <si>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</si>
  <si>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</si>
  <si>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</si>
  <si>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</si>
  <si>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</si>
  <si>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</si>
  <si>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</si>
  <si>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</si>
  <si>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</si>
  <si>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</si>
  <si>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</si>
  <si>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</si>
  <si>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</si>
  <si>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</si>
  <si>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</si>
  <si>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</si>
  <si>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</si>
  <si>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</si>
  <si>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</si>
  <si>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</si>
  <si>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</si>
  <si>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</si>
  <si>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</si>
  <si>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</si>
  <si>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</si>
  <si>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</si>
  <si>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</si>
  <si>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</si>
  <si>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</si>
  <si>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</si>
  <si>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</si>
  <si>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</si>
  <si>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</si>
  <si>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</si>
  <si>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</si>
  <si>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</si>
  <si>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</si>
  <si>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</si>
  <si>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</si>
  <si>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</si>
  <si>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</si>
  <si>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</si>
  <si>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</si>
  <si>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</si>
  <si>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</si>
  <si>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</si>
  <si>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</si>
  <si>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</si>
  <si>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</si>
  <si>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</si>
  <si>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</si>
  <si>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</si>
  <si>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</si>
  <si>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</si>
  <si>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</si>
  <si>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</si>
  <si>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</si>
  <si>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</si>
  <si>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</si>
  <si>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</si>
  <si>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</si>
  <si>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</si>
  <si>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</si>
  <si>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</si>
  <si>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</si>
  <si>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</si>
  <si>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</si>
  <si>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</si>
  <si>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</si>
  <si>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</si>
  <si>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</si>
  <si>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</si>
  <si>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</si>
  <si>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</si>
  <si>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</si>
  <si>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</si>
  <si>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</si>
  <si>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</si>
  <si>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</si>
  <si>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</si>
  <si>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</si>
  <si>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</si>
  <si>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</si>
  <si>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</si>
  <si>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</si>
  <si>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</si>
  <si>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</si>
  <si>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</si>
  <si>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</si>
  <si>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</si>
  <si>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</si>
  <si>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</si>
  <si>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</si>
  <si>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</si>
  <si>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</si>
  <si>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</si>
  <si>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</si>
  <si>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</si>
  <si>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</si>
  <si>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</si>
  <si>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</si>
  <si>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</si>
  <si>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</si>
  <si>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</si>
  <si>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</si>
  <si>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</si>
  <si>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</si>
  <si>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</si>
  <si>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</si>
  <si>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</si>
  <si>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</si>
  <si>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</si>
  <si>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</si>
  <si>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</si>
  <si>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</si>
  <si>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</si>
  <si>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</si>
  <si>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</si>
  <si>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</si>
  <si>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</si>
  <si>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</si>
  <si>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</si>
  <si>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</si>
  <si>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</si>
  <si>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</si>
  <si>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</si>
  <si>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</si>
  <si>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</si>
  <si>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</si>
  <si>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</si>
  <si>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Ireland</t>
  </si>
  <si>
    <t>83_x000D_</t>
  </si>
  <si>
    <t>19_x000D_</t>
  </si>
  <si>
    <t>47_x000D_</t>
  </si>
  <si>
    <t>70_x000D_</t>
  </si>
  <si>
    <t>15_x000D_</t>
  </si>
  <si>
    <t>67800_x000D_</t>
  </si>
  <si>
    <t>712_x000D_</t>
  </si>
  <si>
    <t>176_x000D_</t>
  </si>
  <si>
    <t>Nova Scotia</t>
  </si>
  <si>
    <t>Benin</t>
  </si>
  <si>
    <t>Greenland</t>
  </si>
  <si>
    <t>Liberia</t>
  </si>
  <si>
    <t>Somalia</t>
  </si>
  <si>
    <t>Tanzania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</si>
  <si>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</si>
  <si>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</si>
  <si>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</si>
  <si>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</si>
  <si>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</si>
  <si>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</si>
  <si>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</si>
  <si>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</si>
  <si>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</si>
  <si>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</si>
  <si>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</si>
  <si>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</si>
  <si>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</si>
  <si>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</si>
  <si>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</si>
  <si>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</si>
  <si>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</si>
  <si>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</si>
  <si>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</si>
  <si>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</si>
  <si>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</si>
  <si>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</si>
  <si>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</si>
  <si>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</si>
  <si>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</si>
  <si>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</si>
  <si>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</si>
  <si>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</si>
  <si>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</si>
  <si>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</si>
  <si>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</si>
  <si>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</si>
  <si>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</si>
  <si>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</si>
  <si>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</si>
  <si>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</si>
  <si>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</si>
  <si>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</si>
  <si>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</si>
  <si>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</si>
  <si>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</si>
  <si>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</si>
  <si>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</si>
  <si>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</si>
  <si>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</si>
  <si>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</si>
  <si>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</si>
  <si>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</si>
  <si>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</si>
  <si>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</si>
  <si>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</si>
  <si>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</si>
  <si>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</si>
  <si>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</si>
  <si>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</si>
  <si>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</si>
  <si>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</si>
  <si>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</si>
  <si>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</si>
  <si>
    <t xml:space="preserve">Date Start Log Fit </t>
  </si>
  <si>
    <t>RunTime</t>
  </si>
  <si>
    <t>Logistic Start2</t>
  </si>
  <si>
    <t>Start Logistic</t>
  </si>
  <si>
    <t>55.4 k</t>
  </si>
  <si>
    <t>9.17 k</t>
  </si>
  <si>
    <t>b=0.26, d=4.70E-06, P0=.442 Limit=9.17 k</t>
  </si>
  <si>
    <t>Italy Limit 9.17 k</t>
  </si>
  <si>
    <t>73_x000D_</t>
  </si>
  <si>
    <t>90_x000D_</t>
  </si>
  <si>
    <t>43_x000D_</t>
  </si>
  <si>
    <t>67_x000D_</t>
  </si>
  <si>
    <t>64_x000D_</t>
  </si>
  <si>
    <t>484_x000D_</t>
  </si>
  <si>
    <t>367_x000D_</t>
  </si>
  <si>
    <t>137_x000D_</t>
  </si>
  <si>
    <t>32_x000D_</t>
  </si>
  <si>
    <t>139_x000D_</t>
  </si>
  <si>
    <t>114_x000D_</t>
  </si>
  <si>
    <t>126_x000D_</t>
  </si>
  <si>
    <t>194_x000D_</t>
  </si>
  <si>
    <t>254_x000D_</t>
  </si>
  <si>
    <t>134_x000D_</t>
  </si>
  <si>
    <t>17_x000D_</t>
  </si>
  <si>
    <t>66_x000D_</t>
  </si>
  <si>
    <t>Channel Islands</t>
  </si>
  <si>
    <t>16_x000D_</t>
  </si>
  <si>
    <t>Gibraltar</t>
  </si>
  <si>
    <t>Cayman Islands</t>
  </si>
  <si>
    <t>Montserrat</t>
  </si>
  <si>
    <t>Bahamas The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</si>
  <si>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</si>
  <si>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</si>
  <si>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</si>
  <si>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</si>
  <si>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</si>
  <si>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</si>
  <si>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</si>
  <si>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</si>
  <si>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</si>
  <si>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</si>
  <si>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</si>
  <si>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</si>
  <si>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</si>
  <si>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</si>
  <si>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</si>
  <si>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At Sat 21-Mar Australia 421 cases per 10M was 17 days behind Italy, 1 days behind USA &amp; 36 days behind China, 22 days behind South Korea, 1 days behind UK</t>
  </si>
  <si>
    <t>At Sat 21-Mar NSW 540 cases per 10M was 16 days behind Italy, 1 days behind USA &amp; 25 days behind China, 21 days behind South Korea, 1 days behind UK</t>
  </si>
  <si>
    <t xml:space="preserve">b=0.222, d=2.74E-06, P0=1537.6493 Limit=562  </t>
  </si>
  <si>
    <t>81.0 k</t>
  </si>
  <si>
    <t>8.32 k</t>
  </si>
  <si>
    <t>1.62 k</t>
  </si>
  <si>
    <t>b=0.326, d=3.91E-05, P0=174.6165 Limit=1.62 k</t>
  </si>
  <si>
    <t>Skorea Limit 1.62 k fr 19th Feb</t>
  </si>
  <si>
    <t>231 M</t>
  </si>
  <si>
    <t>34.7 M</t>
  </si>
  <si>
    <t>b=0.231, d=1.00E-09, P0=.0381 Limit=34.7 M</t>
  </si>
  <si>
    <t>UK Limit 34.7 M</t>
  </si>
  <si>
    <t>2.72 k</t>
  </si>
  <si>
    <t>3.37 k</t>
  </si>
  <si>
    <t>b=0.209, d=7.68E-05, P0=.0043 Limit=3.37 k</t>
  </si>
  <si>
    <t>NSW Limit 3.37 k</t>
  </si>
  <si>
    <t>COVID19 NSW P(t) = b / {d+[( b/Po - d ) ]* exp(-b*t)}
b=0.209, d=7.68E-05, P0=.0043 Limit=3.37 k
 21-Mar, Cases per 10 M population</t>
  </si>
  <si>
    <t xml:space="preserve">COVID19 UK P(t) = b / {d+[( b/Po - d ) ]* exp(-b*t)}
b=0.231, d=1.00E-09, P0=.0381 Limit=34.7 M
 20-Mar, Cases per 10 M population
</t>
  </si>
  <si>
    <t>206 M</t>
  </si>
  <si>
    <t>81.4 M</t>
  </si>
  <si>
    <t>b=0.206, d=1.00E-09, P0=.0102 Limit=81.4 M</t>
  </si>
  <si>
    <t>Australia Limit 81.4 M</t>
  </si>
  <si>
    <t>COVID19 Australia P(t) = b / {d+[( b/Po - d ) ]* exp(-b*t)}
b=0.206, d=1.00E-09, P0=.0102 Limit=81.4 M
 21-Mar, Cases per 10 M population</t>
  </si>
  <si>
    <t>COVID19 Italy P(t) = b / {d+[( b/Po - d ) ]* exp(-b*t)}
b=0.26, d=4.70E-06, P0=.442 Limit=9.17 k
 20-Mar, Cases per 10 M population</t>
  </si>
  <si>
    <t>348 M</t>
  </si>
  <si>
    <t>10.6 M</t>
  </si>
  <si>
    <t>b=0.348, d=1.00E-09, P0=.0171 Limit=10.6 M</t>
  </si>
  <si>
    <t>USA Limit 10.6 M</t>
  </si>
  <si>
    <t>COVID19 USA P(t) = b / {d+[( b/Po - d ) ]* exp(-b*t)}
b=0.348, d=1.00E-09, P0=.0171 Limit=10.6 M
 20-Mar, Cases per 10 M population
 - Prediction without last day</t>
  </si>
  <si>
    <t xml:space="preserve">COVID19 China P(t) = b / {d+[( b/Po - d ) ]* exp(-b*t)}
b=0.222, d=2.74E-06, P0=1537.6493 Limit=562  
 20-Mar, Cases per 10 M population
</t>
  </si>
  <si>
    <t xml:space="preserve">COVID19 Skorea P(t) = b / {d+[( b/Po - d ) ]* exp(-b*t)}
b=0.326, d=3.91E-05, P0=174.6165 Limit=1.62 k
 20-Mar, Cases per 10 M population
log fit from 19th Feb </t>
  </si>
  <si>
    <t xml:space="preserve">COVID19 Tests P(t) = b / {d+[( b/Po - d ) ]* exp(-b*t)}
b=0.202, d=1.00E-10, P0=.0058 Limit=2.50 G
 20-Mar, Cases per 10 M population
</t>
  </si>
  <si>
    <t xml:space="preserve">COVID19 Tests P(t) = b / {d+[( b/Po - d ) ]* exp(-b*t)}
b=0.202, d=1.00E-10, P0=.0058 Limit=2.50 G
 21-Mar, Cases per 10 M population
</t>
  </si>
  <si>
    <t>At Sat 21-Mar Australia 423 cases per 10M was 18 days behind Italy, 2 days behind USA &amp; 37 days behind China, 23 days behind South Korea, 2 days behind UK</t>
  </si>
  <si>
    <t>207 M</t>
  </si>
  <si>
    <t>81.6 M</t>
  </si>
  <si>
    <t>b=0.207, d=1.00E-09, P0=.0099 Limit=81.6 M</t>
  </si>
  <si>
    <t>Australia Limit 81.6 M</t>
  </si>
  <si>
    <t>COVID19 Australia P(t) = b / {d+[( b/Po - d ) ]* exp(-b*t)}
b=0.207, d=1.00E-09, P0=.0099 Limit=81.6 M
 21-Mar, Cases per 10 M population</t>
  </si>
  <si>
    <t>60.6 k</t>
  </si>
  <si>
    <t>b=0.259, d=4.28E-06, P0=.4422 Limit=10.0 k</t>
  </si>
  <si>
    <t>Italy Limit 10.0 k</t>
  </si>
  <si>
    <t>COVID19 Italy P(t) = b / {d+[( b/Po - d ) ]* exp(-b*t)}
b=0.259, d=4.28E-06, P0=.4422 Limit=10.0 k
 21-Mar, Cases per 10 M population</t>
  </si>
  <si>
    <t>385 k</t>
  </si>
  <si>
    <t>11.7 k</t>
  </si>
  <si>
    <t>b=0.348, d=9.04E-07, P0=.0171 Limit=11.7 k</t>
  </si>
  <si>
    <t>USA Limit 11.7 k</t>
  </si>
  <si>
    <t>COVID19 USA P(t) = b / {d+[( b/Po - d ) ]* exp(-b*t)}
b=0.348, d=9.04E-07, P0=.0171 Limit=11.7 k
 21-Mar, Cases per 10 M population
 - Prediction without last day</t>
  </si>
  <si>
    <t xml:space="preserve">COVID19 China P(t) = b / {d+[( b/Po - d ) ]* exp(-b*t)}
b=0.222, d=2.74E-06, P0=1537.6493 Limit=562  
 21-Mar, Cases per 10 M population
</t>
  </si>
  <si>
    <t>8.38 k</t>
  </si>
  <si>
    <t>1.63 k</t>
  </si>
  <si>
    <t>b=0.321, d=3.83E-05, P0=182.7881 Limit=1.63 k</t>
  </si>
  <si>
    <t>Skorea Limit 1.63 k fr 19th Feb</t>
  </si>
  <si>
    <t xml:space="preserve">COVID19 Skorea P(t) = b / {d+[( b/Po - d ) ]* exp(-b*t)}
b=0.321, d=3.83E-05, P0=182.7881 Limit=1.63 k
 21-Mar, Cases per 10 M population
log fit from 19th Feb </t>
  </si>
  <si>
    <t>236 M</t>
  </si>
  <si>
    <t>35.4 M</t>
  </si>
  <si>
    <t>b=0.236, d=1.00E-09, P0=.0303 Limit=35.4 M</t>
  </si>
  <si>
    <t>UK Limit 35.4 M</t>
  </si>
  <si>
    <t xml:space="preserve">COVID19 UK P(t) = b / {d+[( b/Po - d ) ]* exp(-b*t)}
b=0.236, d=1.00E-09, P0=.0303 Limit=35.4 M
 21-Mar, Cases per 10 M population
</t>
  </si>
  <si>
    <t>424_x000D_</t>
  </si>
  <si>
    <t>221_x000D_</t>
  </si>
  <si>
    <t>153_x000D_</t>
  </si>
  <si>
    <t>307_x000D_</t>
  </si>
  <si>
    <t>187_x000D_</t>
  </si>
  <si>
    <t>52_x000D_</t>
  </si>
  <si>
    <t>22_x000D_</t>
  </si>
  <si>
    <t>160_x000D_</t>
  </si>
  <si>
    <t>112_x000D_</t>
  </si>
  <si>
    <t>88_x000D_</t>
  </si>
  <si>
    <t>60_x000D_</t>
  </si>
  <si>
    <t>27_x000D_</t>
  </si>
  <si>
    <t>196_x000D_</t>
  </si>
  <si>
    <t>181_x000D_</t>
  </si>
  <si>
    <t>84_x000D_</t>
  </si>
  <si>
    <t>396_x000D_</t>
  </si>
  <si>
    <t>161_x000D_</t>
  </si>
  <si>
    <t>55_x000D_</t>
  </si>
  <si>
    <t>138_x000D_</t>
  </si>
  <si>
    <t>248_x000D_</t>
  </si>
  <si>
    <t>57_x000D_</t>
  </si>
  <si>
    <t>21_x000D_</t>
  </si>
  <si>
    <t>8_x000D_</t>
  </si>
  <si>
    <t>1236_x000D_</t>
  </si>
  <si>
    <t>380_x000D_</t>
  </si>
  <si>
    <t>131_x000D_</t>
  </si>
  <si>
    <t>Northwest Territories</t>
  </si>
  <si>
    <t>Cape Verde</t>
  </si>
  <si>
    <t>East Timor</t>
  </si>
  <si>
    <t>Eritrea</t>
  </si>
  <si>
    <t>Uganda</t>
  </si>
  <si>
    <t>At Sun 22-Mar Australia 500 cases per 10M was 18 days behind Italy, 2 days behind USA &amp; 34 days behind China, 22 days behind South Korea, 2 days behind UK</t>
  </si>
  <si>
    <t>64.3 k</t>
  </si>
  <si>
    <t>25.3 k</t>
  </si>
  <si>
    <t>b=0.207, d=3.22E-06, P0=.0099 Limit=25.3 k</t>
  </si>
  <si>
    <t>Australia Limit 25.3 k</t>
  </si>
  <si>
    <t>COVID19 Australia P(t) = b / {d+[( b/Po - d ) ]* exp(-b*t)}
b=0.207, d=3.22E-06, P0=.0099 Limit=25.3 k
 22-Mar, Cases per 10 M population</t>
  </si>
  <si>
    <t>At Sun 22-Mar NSW 660 cases per 10M was 16 days behind Italy, 1 days behind USA &amp; 0 days behind China, 21 days behind South Korea, 1 days behind UK</t>
  </si>
  <si>
    <t>3.26 k</t>
  </si>
  <si>
    <t>4.04 k</t>
  </si>
  <si>
    <t>b=0.207, d=6.34E-05, P0=.0048 Limit=4.04 k</t>
  </si>
  <si>
    <t>NSW Limit 4.04 k</t>
  </si>
  <si>
    <t>COVID19 NSW P(t) = b / {d+[( b/Po - d ) ]* exp(-b*t)}
b=0.207, d=6.34E-05, P0=.0048 Limit=4.04 k
 22-Mar, Cases per 10 M population</t>
  </si>
  <si>
    <t>3.37 G</t>
  </si>
  <si>
    <t>102 M</t>
  </si>
  <si>
    <t>b=0.337, d=1.00E-10, P0=.0255 Limit=102 M</t>
  </si>
  <si>
    <t>USA Limit 102 M</t>
  </si>
  <si>
    <t>COVID19 USA P(t) = b / {d+[( b/Po - d ) ]* exp(-b*t)}
b=0.337, d=1.00E-10, P0=.0255 Limit=102 M
 21-Mar, Cases per 10 M population
 - Prediction without last day</t>
  </si>
  <si>
    <t>35.5 M</t>
  </si>
  <si>
    <t>b=0.236, d=1.00E-09, P0=.0297 Limit=35.5 M</t>
  </si>
  <si>
    <t>UK Limit 35.5 M</t>
  </si>
  <si>
    <t xml:space="preserve">COVID19 UK P(t) = b / {d+[( b/Po - d ) ]* exp(-b*t)}
b=0.236, d=1.00E-09, P0=.0297 Limit=35.5 M
 21-Mar, Cases per 10 M population
</t>
  </si>
  <si>
    <t>Limit Cases</t>
  </si>
  <si>
    <t>At Sun 22-Mar Australia 532 cases per 10M was 17 days behind Italy, 2 days behind USA &amp; 29 days behind China, 22 days behind South Korea, 2 days behind UK</t>
  </si>
  <si>
    <t>2.10 G</t>
  </si>
  <si>
    <t>828 M</t>
  </si>
  <si>
    <t xml:space="preserve">b=0.21, d=1.00E-10, P0=.008 Limit=828 M=&gt;2.10 G cases </t>
  </si>
  <si>
    <t>Australia Limit 828 M</t>
  </si>
  <si>
    <t>COVID19 Australia P(t) = b / {d+[( b/Po - d ) ]* exp(-b*t)}
b=0.21, d=1.00E-10, P0=.008 Limit=828 M=&gt;2.10 G cases 
 22-Mar, Cases per 10 M population</t>
  </si>
  <si>
    <t xml:space="preserve">b=0.207, d=6.34E-05, P0=.005 Limit=4.04 k=&gt;3.26 k cases </t>
  </si>
  <si>
    <t>COVID19 NSW P(t) = b / {d+[( b/Po - d ) ]* exp(-b*t)}
b=0.207, d=6.34E-05, P0=.005 Limit=4.04 k=&gt;3.26 k cases 
 22-Mar, Cases per 10 M population</t>
  </si>
  <si>
    <t xml:space="preserve">b=0.259, d=4.28E-06, P0=.442 Limit=10.0 k=&gt;60.6 k cases </t>
  </si>
  <si>
    <t>COVID19 Italy P(t) = b / {d+[( b/Po - d ) ]* exp(-b*t)}
b=0.259, d=4.28E-06, P0=.442 Limit=10.0 k=&gt;60.6 k cases 
 21-Mar, Cases per 10 M population</t>
  </si>
  <si>
    <t xml:space="preserve">b=0.337, d=1.00E-10, P0=.025 Limit=102 M=&gt;3.37 G cases </t>
  </si>
  <si>
    <t>COVID19 USA P(t) = b / {d+[( b/Po - d ) ]* exp(-b*t)}
b=0.337, d=1.00E-10, P0=.025 Limit=102 M=&gt;3.37 G cases 
 21-Mar, Cases per 10 M population</t>
  </si>
  <si>
    <t>164 k</t>
  </si>
  <si>
    <t>4.97 k</t>
  </si>
  <si>
    <t xml:space="preserve">b=0.337, d=2.06E-06, P0=.025 Limit=4.97 k=&gt;164 k cases </t>
  </si>
  <si>
    <t>USA Limit 4.97 k</t>
  </si>
  <si>
    <t>COVID19 USA P(t) = b / {d+[( b/Po - d ) ]* exp(-b*t)}
b=0.337, d=2.06E-06, P0=.025 Limit=4.97 k=&gt;164 k cases 
 21-Mar, Cases per 10 M population</t>
  </si>
  <si>
    <t xml:space="preserve">563  </t>
  </si>
  <si>
    <t xml:space="preserve">b=0.222, d=2.74E-06, P0=1537.649 Limit=563  =&gt;81.0 k cases </t>
  </si>
  <si>
    <t xml:space="preserve">China Limit 563  </t>
  </si>
  <si>
    <t>COVID19 China P(t) = b / {d+[( b/Po - d ) ]* exp(-b*t)}
b=0.222, d=2.74E-06, P0=1537.649 Limit=563  =&gt;81.0 k cases 
 22-Mar, Cases per 10 M population</t>
  </si>
  <si>
    <t xml:space="preserve">, log fit from 19th Feb </t>
  </si>
  <si>
    <t>8.44 k</t>
  </si>
  <si>
    <t>1.64 k</t>
  </si>
  <si>
    <t xml:space="preserve">b=0.315, d=3.74E-05, P0=191.459 Limit=1.64 k=&gt;8.44 k cases , log fit from 19th Feb </t>
  </si>
  <si>
    <t>Skorea Limit 1.64 k fr 19th Feb</t>
  </si>
  <si>
    <t>COVID19 Skorea P(t) = b / {d+[( b/Po - d ) ]* exp(-b*t)}
b=0.315, d=3.74E-05, P0=191.459 Limit=1.64 k=&gt;8.44 k cases , log fit from 19th Feb 
 22-Mar, Cases per 10 M population</t>
  </si>
  <si>
    <t xml:space="preserve">b=0.236, d=1.00E-09, P0=.03 Limit=35.5 M=&gt;236 M cases </t>
  </si>
  <si>
    <t>COVID19 UK P(t) = b / {d+[( b/Po - d ) ]* exp(-b*t)}
b=0.236, d=1.00E-09, P0=.03 Limit=35.5 M=&gt;236 M cases 
 21-Mar, Cases per 10 M population</t>
  </si>
  <si>
    <t>b=0.202, d=1.00E-10, P0=.006 Limit=2.50 G</t>
  </si>
  <si>
    <t>COVID19 Tests P(t) = b / {d+[( b/Po - d ) ]* exp(-b*t)}
b=0.202, d=1.00E-10, P0=.006 Limit=2.50 G
 21-Mar, Cases per 10 M population</t>
  </si>
  <si>
    <t>At Sun 22-Mar Australia 534 cases per 10M was 17 days behind Italy, 2 days behind USA &amp; 29 days behind China, 22 days behind South Korea, 2 days behind UK</t>
  </si>
  <si>
    <t>829 M</t>
  </si>
  <si>
    <t xml:space="preserve">b=0.21, d=1.00E-10, P0=.008 Limit=829 M=&gt;2.10 G cases </t>
  </si>
  <si>
    <t>Australia Limit 829 M</t>
  </si>
  <si>
    <t>COVID19 Australia P(t) = b / {d+[( b/Po - d ) ]* exp(-b*t)}
b=0.21, d=1.00E-10, P0=.008 Limit=829 M=&gt;2.10 G cases 
 22-Mar, Cases per 10 M population</t>
  </si>
  <si>
    <t>NSW Logest</t>
  </si>
  <si>
    <t>='time_series_19-covid-Confirmed'!$A$1:$DP$483</t>
  </si>
  <si>
    <t>aaaTest</t>
  </si>
  <si>
    <t>=MATCH(1,tblData[SKorea Cases Per Capita],0)</t>
  </si>
  <si>
    <t>=OFFSET(tblData[[#Headers],[Au Cases Per Capita]],MATCH(0,tblData[Au Cases Per Capita],0)+1,0,COUNTA(tblData[New South Wales])-MATCH(0,tblData[NSW Cases per Capita],0),1)</t>
  </si>
  <si>
    <t>=OFFSET(tblData[[#Headers],[Au LogiP(t) Per Capita]],MATCH(0,tblData[NSW],0)+1,0,COUNTA(tblData[Date])-MATCH(0,tblData[NSW],0),1)</t>
  </si>
  <si>
    <t>=OFFSET(tblData[[#Headers],[Date]],MATCH(0,tblData[NSW],0)+1,0,COUNTA(tblData[Date])-MATCH(0,tblData[NSW],0),1)</t>
  </si>
  <si>
    <t>=myData!$CJ$11</t>
  </si>
  <si>
    <t>=myData!$AA$8</t>
  </si>
  <si>
    <t>=myData!$CG$11</t>
  </si>
  <si>
    <t>=myData!$BP$11</t>
  </si>
  <si>
    <t>=myData!$BP$15</t>
  </si>
  <si>
    <t>=myData!$BP$13</t>
  </si>
  <si>
    <t>=myData!$BP$12</t>
  </si>
  <si>
    <t>=myData!$BU$11</t>
  </si>
  <si>
    <t>=myData!$BU$15</t>
  </si>
  <si>
    <t>=myData!$BU$13</t>
  </si>
  <si>
    <t>=myData!$BU$12</t>
  </si>
  <si>
    <t>betaPodeltaSKorea</t>
  </si>
  <si>
    <t>myData!betaPodeltaSKorea</t>
  </si>
  <si>
    <t>=myData!$BU$16</t>
  </si>
  <si>
    <t>betaPodeltaUK</t>
  </si>
  <si>
    <t>myData!betaPodeltaUK</t>
  </si>
  <si>
    <t>=myData!$BU$17</t>
  </si>
  <si>
    <t>=myData!$BU$14</t>
  </si>
  <si>
    <t>betaSKorea</t>
  </si>
  <si>
    <t>myData!betaSKorea</t>
  </si>
  <si>
    <t>=myData!$BP$16</t>
  </si>
  <si>
    <t>=myData!$BP$18</t>
  </si>
  <si>
    <t>betaUK</t>
  </si>
  <si>
    <t>myData!betaUK</t>
  </si>
  <si>
    <t>=myData!$BP$17</t>
  </si>
  <si>
    <t>=myData!$BP$14</t>
  </si>
  <si>
    <t>=myData!$V$8</t>
  </si>
  <si>
    <t>=myData!$CG$15</t>
  </si>
  <si>
    <t>=solvMsgs!$E$1:$G$9</t>
  </si>
  <si>
    <t>=myData!$BQ$11</t>
  </si>
  <si>
    <t>=myData!$BQ$15</t>
  </si>
  <si>
    <t>deltaconstraint</t>
  </si>
  <si>
    <t>myData!deltaconstraint</t>
  </si>
  <si>
    <t>=myData!$B$3</t>
  </si>
  <si>
    <t>=myData!$BQ$13</t>
  </si>
  <si>
    <t>=myData!$BQ$12</t>
  </si>
  <si>
    <t>deltaSKorea</t>
  </si>
  <si>
    <t>myData!deltaSKorea</t>
  </si>
  <si>
    <t>=myData!$BQ$16</t>
  </si>
  <si>
    <t>=myData!$BQ$18</t>
  </si>
  <si>
    <t>deltaUK</t>
  </si>
  <si>
    <t>myData!deltaUK</t>
  </si>
  <si>
    <t>=myData!$BQ$17</t>
  </si>
  <si>
    <t>=myData!$BQ$14</t>
  </si>
  <si>
    <t>HisTableBL</t>
  </si>
  <si>
    <t>myData!HisTableBL</t>
  </si>
  <si>
    <t>=OFFSET(myData!HisTableTL,0,COUNTA(myData!$DF:$DF)+1,1,1)</t>
  </si>
  <si>
    <t>HisTableTL</t>
  </si>
  <si>
    <t>myData!HisTableTL</t>
  </si>
  <si>
    <t>=myData!$DF$10</t>
  </si>
  <si>
    <t>=OFFSET(tblData[[#Headers],[Italy Cases per Capita]],MATCH(0,tblData[Italy Cases per Capita],0)+1,0,COUNTA(tblData[Italy Cases per Capita])-1,1)</t>
  </si>
  <si>
    <t>=OFFSET(tblData[[#Headers],[Date]],MATCH(0,tblData[Italy],0)+1,0,COUNTA(tblData[Italy])-1,1)</t>
  </si>
  <si>
    <t>=OFFSET(tblData[[#Headers],[Italy LogiP(t) Per Capita]],MATCH(0,tblData[Italy],0)+2,0,COUNTA(tblData[Date])-MATCH(0,tblData[Italy],0),1)</t>
  </si>
  <si>
    <t>=OFFSET(tblData[[#Headers],[Date]],MATCH(0,tblData[Italy],0)+1,0,COUNTA(tblData[Date])-MATCH(0,tblData[Italy],0),1)</t>
  </si>
  <si>
    <t>=myData!$CG$13</t>
  </si>
  <si>
    <t>ItalyStart</t>
  </si>
  <si>
    <t>myData!ItalyStart</t>
  </si>
  <si>
    <t>=myData!$BM$13</t>
  </si>
  <si>
    <t>LogestBNSW</t>
  </si>
  <si>
    <t>myData!LogestBNSW</t>
  </si>
  <si>
    <t>=myData!$EP$2</t>
  </si>
  <si>
    <t>LogEstMNSW</t>
  </si>
  <si>
    <t>myData!LogEstMNSW</t>
  </si>
  <si>
    <t>=myData!$EO$2</t>
  </si>
  <si>
    <t>LogFormula</t>
  </si>
  <si>
    <t>myData!LogFormula</t>
  </si>
  <si>
    <t>=myData!$DZ$6</t>
  </si>
  <si>
    <t>=myData!$CA$11</t>
  </si>
  <si>
    <t>=myData!$CA$12</t>
  </si>
  <si>
    <t>=myData!$BT$11</t>
  </si>
  <si>
    <t>=myData!$BT$15</t>
  </si>
  <si>
    <t>=myData!$BT$13</t>
  </si>
  <si>
    <t>=myData!$BT$12</t>
  </si>
  <si>
    <t>msqSKorea</t>
  </si>
  <si>
    <t>myData!msqSKorea</t>
  </si>
  <si>
    <t>=myData!$BT$16</t>
  </si>
  <si>
    <t>=myData!$BT$18</t>
  </si>
  <si>
    <t>msqUK</t>
  </si>
  <si>
    <t>myData!msqUK</t>
  </si>
  <si>
    <t>=myData!$BT$17</t>
  </si>
  <si>
    <t>=myData!$BT$14</t>
  </si>
  <si>
    <t>=OFFSET(tblData[[#Headers],[NSW Cases per Capita]],MATCH(0,tblData[NSW Cases per Capita],0)+1,0,COUNTA(tblData[New South Wales])-MATCH(0,tblData[NSW Cases per Capita],0),1)</t>
  </si>
  <si>
    <t>=OFFSET(tblData[[#Headers],[Date]],MATCH(0,tblData[NSW],0)+1,0,COUNTA(tblData[New South Wales])-MATCH(0,tblData[NSW],0),1)</t>
  </si>
  <si>
    <t>=OFFSET(tblData[[#Headers],[Nsw LogiP(t) Per Capita]],MATCH(0,tblData[NSW],0)+1,0,COUNTA(tblData[Date])-MATCH(0,tblData[NSW],0),1)</t>
  </si>
  <si>
    <t>=myData!$CJ$12</t>
  </si>
  <si>
    <t>=myData!$CG$12</t>
  </si>
  <si>
    <t>=myData!$L$2</t>
  </si>
  <si>
    <t>=myData!$L$3</t>
  </si>
  <si>
    <t>=myData!$BR$11</t>
  </si>
  <si>
    <t>=myData!$BR$15</t>
  </si>
  <si>
    <t>=myData!$BR$13</t>
  </si>
  <si>
    <t>=myData!$BR$12</t>
  </si>
  <si>
    <t>PoSKorea</t>
  </si>
  <si>
    <t>myData!PoSKorea</t>
  </si>
  <si>
    <t>=myData!$BR$16</t>
  </si>
  <si>
    <t>=myData!$BR$18</t>
  </si>
  <si>
    <t>PoUK</t>
  </si>
  <si>
    <t>myData!PoUK</t>
  </si>
  <si>
    <t>=myData!$BR$17</t>
  </si>
  <si>
    <t>=myData!$BR$14</t>
  </si>
  <si>
    <t>RunRange</t>
  </si>
  <si>
    <t>myData!RunRange</t>
  </si>
  <si>
    <t>=OFFSET(myData!RunTableTL,0,0,COUNTA(myData!$BK:$BK),COLUMN(myData!RunTableTR)-COLUMN(myData!RunTableTL)+1)</t>
  </si>
  <si>
    <t>RunTableTL</t>
  </si>
  <si>
    <t>myData!RunTableTL</t>
  </si>
  <si>
    <t>=myData!$BK$10</t>
  </si>
  <si>
    <t>RunTableTR</t>
  </si>
  <si>
    <t>myData!RunTableTR</t>
  </si>
  <si>
    <t>=myData!$CN$10</t>
  </si>
  <si>
    <t>RunTimeAu</t>
  </si>
  <si>
    <t>myData!RunTimeAu</t>
  </si>
  <si>
    <t>=myData!$BL$11</t>
  </si>
  <si>
    <t>SKoreaCases</t>
  </si>
  <si>
    <t>myData!SKoreaCases</t>
  </si>
  <si>
    <t>=OFFSET(tblData[[#Headers],[SKorea Cases Per Capita]],1,0,COUNT(tblData[SKorea Cases Per Capita]),1)</t>
  </si>
  <si>
    <t>SKoreaDates</t>
  </si>
  <si>
    <t>myData!SKoreaDates</t>
  </si>
  <si>
    <t>=OFFSET(tblData[[#Headers],[Date]],1,0,COUNTA(tblData[SKorea]),1)</t>
  </si>
  <si>
    <t>SKoreaLogi</t>
  </si>
  <si>
    <t>myData!SKoreaLogi</t>
  </si>
  <si>
    <t>=OFFSET(tblData[[#Headers],[Skorea LogiP(t) Per Capita]],1,0,COUNTA(tblData[Date]),1)</t>
  </si>
  <si>
    <t>SKoreaLogiDates</t>
  </si>
  <si>
    <t>myData!SKoreaLogiDates</t>
  </si>
  <si>
    <t>SKoreaPop</t>
  </si>
  <si>
    <t>myData!SKoreaPop</t>
  </si>
  <si>
    <t>SKoreaSeries</t>
  </si>
  <si>
    <t>myData!SKoreaSeries</t>
  </si>
  <si>
    <t>=myData!$CG$16</t>
  </si>
  <si>
    <t>SKoreaStart</t>
  </si>
  <si>
    <t>myData!SKoreaStart</t>
  </si>
  <si>
    <t>=myData!$BM$16</t>
  </si>
  <si>
    <t>=myData!$BP$14:$BR$14</t>
  </si>
  <si>
    <t>=4</t>
  </si>
  <si>
    <t>=0.001</t>
  </si>
  <si>
    <t>StartDt2Au</t>
  </si>
  <si>
    <t>myData!StartDt2Au</t>
  </si>
  <si>
    <t>=myData!$BN$11</t>
  </si>
  <si>
    <t>StartDt2China</t>
  </si>
  <si>
    <t>myData!StartDt2China</t>
  </si>
  <si>
    <t>=myData!$BN$15</t>
  </si>
  <si>
    <t>StartDt2Italy</t>
  </si>
  <si>
    <t>myData!StartDt2Italy</t>
  </si>
  <si>
    <t>=myData!$BN$13</t>
  </si>
  <si>
    <t>StartDt2Korea</t>
  </si>
  <si>
    <t>myData!StartDt2Korea</t>
  </si>
  <si>
    <t>=myData!$BN$16</t>
  </si>
  <si>
    <t>StartDt2NSW</t>
  </si>
  <si>
    <t>myData!StartDt2NSW</t>
  </si>
  <si>
    <t>=myData!$BN$12</t>
  </si>
  <si>
    <t>StartDt2Tests</t>
  </si>
  <si>
    <t>myData!StartDt2Tests</t>
  </si>
  <si>
    <t>=myData!$BN$18</t>
  </si>
  <si>
    <t>StartDt2UK</t>
  </si>
  <si>
    <t>myData!StartDt2UK</t>
  </si>
  <si>
    <t>=myData!$BN$17</t>
  </si>
  <si>
    <t>StartDt2US</t>
  </si>
  <si>
    <t>myData!StartDt2US</t>
  </si>
  <si>
    <t>=myData!$BN$14</t>
  </si>
  <si>
    <t>TitleAll</t>
  </si>
  <si>
    <t>myData!TitleAll</t>
  </si>
  <si>
    <t>=myData!$CP$8</t>
  </si>
  <si>
    <t>TitleAllSK</t>
  </si>
  <si>
    <t>myData!TitleAllSK</t>
  </si>
  <si>
    <t>=myData!$CP$9</t>
  </si>
  <si>
    <t>UKCases</t>
  </si>
  <si>
    <t>myData!UKCases</t>
  </si>
  <si>
    <t>=OFFSET(tblData[[#Headers],[UK Cases Per Capita]],MATCH(0,tblData[UK Cases Per Capita],0)+1,0,COUNTA(tblData[UK Cases Per Capita])-1,1)</t>
  </si>
  <si>
    <t>UKDates</t>
  </si>
  <si>
    <t>myData!UKDates</t>
  </si>
  <si>
    <t>=OFFSET(tblData[[#Headers],[Date]],MATCH(0,tblData[UK],0)+1,0,COUNTA(tblData[UK])-1,1)</t>
  </si>
  <si>
    <t>UKLogi</t>
  </si>
  <si>
    <t>myData!UKLogi</t>
  </si>
  <si>
    <t>=OFFSET(tblData[[#Headers],[UK LogiP(t) Per Capita]],MATCH(0,tblData[UK],0)+1,0,COUNTA(tblData[Date])-MATCH(0,tblData[UK],0),1)</t>
  </si>
  <si>
    <t>UKLogiDates</t>
  </si>
  <si>
    <t>myData!UKLogiDates</t>
  </si>
  <si>
    <t>=OFFSET(tblData[[#Headers],[Date]],MATCH(0,tblData[UK],0)+1,0,COUNTA(tblData[Date])-MATCH(0,tblData[UK],0),1)</t>
  </si>
  <si>
    <t>UKPop</t>
  </si>
  <si>
    <t>myData!UKPop</t>
  </si>
  <si>
    <t>=myData!$T$8</t>
  </si>
  <si>
    <t>UKSeries</t>
  </si>
  <si>
    <t>myData!UKSeries</t>
  </si>
  <si>
    <t>=myData!$CG$17</t>
  </si>
  <si>
    <t>UKStart</t>
  </si>
  <si>
    <t>myData!UKStart</t>
  </si>
  <si>
    <t>=myData!$BM$17</t>
  </si>
  <si>
    <t>=OFFSET(tblData[[#Headers],[US Cases Per Capita]],MATCH(0,tblData[US Cases Per Capita],0)+1,0,COUNT(tblData[US])-1,1)</t>
  </si>
  <si>
    <t>=OFFSET(tblData[[#Headers],[Date]],MATCH(0,tblData[US],0)+1,0,COUNT(tblData[US])-1,1)</t>
  </si>
  <si>
    <t>=OFFSET(tblData[[#Headers],[Days'# US]],MATCH(0,tblData[US],0)+1,0,COUNTA(tblData[US])-1,1)</t>
  </si>
  <si>
    <t>=OFFSET(tblData[[#Headers],[US LogiP(t) Per Capita]],MATCH(0,tblData[US],0)+1,0,COUNT(tblData[US LogiP(t) Per Capita])-1,1)</t>
  </si>
  <si>
    <t>=OFFSET(tblData[[#Headers],[Date]],MATCH(0,tblData[US],0)+1,0,COUNTA(tblData[Date])-MATCH(0,tblData[US],0),1)</t>
  </si>
  <si>
    <t>=myData!$CG$14</t>
  </si>
  <si>
    <t>Chart Titles</t>
  </si>
  <si>
    <t>Chinese New Year</t>
  </si>
  <si>
    <t>Vert Val</t>
  </si>
  <si>
    <t>COVID19 Tests P(t) = b / {d+[( b/Po - d ) ]* exp(-b*t)}
b=0.202, d=1.00E-10, P0=.006 Limit=2.50 G
 23-Mar, Cases per 10 M population</t>
  </si>
  <si>
    <t>At Mon 23-Mar Australia 638 cases per 10M was 16 days behind Italy, 1 days behind USA &amp; 1 days behind China, 21 days behind South Korea, 1 days behind UK</t>
  </si>
  <si>
    <t>165 k</t>
  </si>
  <si>
    <t>65.0 k</t>
  </si>
  <si>
    <t xml:space="preserve">b=0.21, d=1.27E-06, P0=.008 Limit=65.0 k=&gt;165 k cases </t>
  </si>
  <si>
    <t>Australia Limit 65.0 k</t>
  </si>
  <si>
    <t>COVID19 Australia P(t) = b / {d+[( b/Po - d ) ]* exp(-b*t)}
b=0.21, d=1.27E-06, P0=.008 Limit=65.0 k=&gt;165 k cases 
 23-Mar, Cases per 10 M population</t>
  </si>
  <si>
    <t>At Mon 23-Mar NSW 828 cases per 10M was 16 days behind Italy, 0 days ahead of USA &amp; -1 days behind China, 21 days behind South Korea, 0 days behind UK</t>
  </si>
  <si>
    <t>249 k</t>
  </si>
  <si>
    <t>309 k</t>
  </si>
  <si>
    <t xml:space="preserve">b=0.193, d=7.74E-07, P0=.009 Limit=309 k=&gt;249 k cases </t>
  </si>
  <si>
    <t>NSW Limit 309 k</t>
  </si>
  <si>
    <t>COVID19 NSW P(t) = b / {d+[( b/Po - d ) ]* exp(-b*t)}
b=0.193, d=7.74E-07, P0=.009 Limit=309 k=&gt;249 k cases 
 23-Mar, Cases per 10 M population</t>
  </si>
  <si>
    <t>COVID19 China P(t) = b / {d+[( b/Po - d ) ]* exp(-b*t)}
b=0.222, d=2.74E-06, P0=1537.649 Limit=563  =&gt;81.0 k cases 
 21-Mar, Cases per 10 M population</t>
  </si>
  <si>
    <t xml:space="preserve">b=0.32, d=3.83E-05, P0=182.8 Limit=1.63 k=&gt;8.38 k cases , log fit from 19th Feb </t>
  </si>
  <si>
    <t>COVID19 Skorea P(t) = b / {d+[( b/Po - d ) ]* exp(-b*t)}
b=0.32, d=3.83E-05, P0=182.8 Limit=1.63 k=&gt;8.38 k cases , log fit from 19th Feb 
 21-Mar, Cases per 10 M population</t>
  </si>
  <si>
    <t>23.6 G</t>
  </si>
  <si>
    <t>3.55 G</t>
  </si>
  <si>
    <t xml:space="preserve">b=0.236, d=1.00E-11, P0=.03 Limit=3.55 G=&gt;23.6 G cases </t>
  </si>
  <si>
    <t>UK Limit 3.55 G</t>
  </si>
  <si>
    <t>COVID19 UK P(t) = b / {d+[( b/Po - d ) ]* exp(-b*t)}
b=0.236, d=1.00E-11, P0=.03 Limit=3.55 G=&gt;23.6 G cases 
 21-Mar, Cases per 10 M population</t>
  </si>
  <si>
    <t>599_x000D_</t>
  </si>
  <si>
    <t>1086_x000D_</t>
  </si>
  <si>
    <t>455_x000D_</t>
  </si>
  <si>
    <t>1306_x000D_</t>
  </si>
  <si>
    <t>533_x000D_</t>
  </si>
  <si>
    <t>296_x000D_</t>
  </si>
  <si>
    <t>82_x000D_</t>
  </si>
  <si>
    <t>24873_x000D_</t>
  </si>
  <si>
    <t>626_x000D_</t>
  </si>
  <si>
    <t>59138_x000D_</t>
  </si>
  <si>
    <t>1934_x000D_</t>
  </si>
  <si>
    <t>28768_x000D_</t>
  </si>
  <si>
    <t>100_x000D_</t>
  </si>
  <si>
    <t>3401_x000D_</t>
  </si>
  <si>
    <t>327_x000D_</t>
  </si>
  <si>
    <t>233_x000D_</t>
  </si>
  <si>
    <t>40_x000D_</t>
  </si>
  <si>
    <t>332_x000D_</t>
  </si>
  <si>
    <t>188_x000D_</t>
  </si>
  <si>
    <t>201_x000D_</t>
  </si>
  <si>
    <t>7245_x000D_</t>
  </si>
  <si>
    <t>3244_x000D_</t>
  </si>
  <si>
    <t>1071_x000D_</t>
  </si>
  <si>
    <t>776_x000D_</t>
  </si>
  <si>
    <t>1593_x000D_</t>
  </si>
  <si>
    <t>54_x000D_</t>
  </si>
  <si>
    <t>624_x000D_</t>
  </si>
  <si>
    <t>2383_x000D_</t>
  </si>
  <si>
    <t>433_x000D_</t>
  </si>
  <si>
    <t>326_x000D_</t>
  </si>
  <si>
    <t>568_x000D_</t>
  </si>
  <si>
    <t>251_x000D_</t>
  </si>
  <si>
    <t>30_x000D_</t>
  </si>
  <si>
    <t>120_x000D_</t>
  </si>
  <si>
    <t>906_x000D_</t>
  </si>
  <si>
    <t>798_x000D_</t>
  </si>
  <si>
    <t>494_x000D_</t>
  </si>
  <si>
    <t>789_x000D_</t>
  </si>
  <si>
    <t>65_x000D_</t>
  </si>
  <si>
    <t>202_x000D_</t>
  </si>
  <si>
    <t>514_x000D_</t>
  </si>
  <si>
    <t>1600_x000D_</t>
  </si>
  <si>
    <t>113_x000D_</t>
  </si>
  <si>
    <t>115_x000D_</t>
  </si>
  <si>
    <t>511_x000D_</t>
  </si>
  <si>
    <t>225_x000D_</t>
  </si>
  <si>
    <t>632_x000D_</t>
  </si>
  <si>
    <t>634_x000D_</t>
  </si>
  <si>
    <t>414_x000D_</t>
  </si>
  <si>
    <t>274_x000D_</t>
  </si>
  <si>
    <t>231_x000D_</t>
  </si>
  <si>
    <t>363_x000D_</t>
  </si>
  <si>
    <t>222_x000D_</t>
  </si>
  <si>
    <t>185_x000D_</t>
  </si>
  <si>
    <t>425_x000D_</t>
  </si>
  <si>
    <t>259_x000D_</t>
  </si>
  <si>
    <t>219_x000D_</t>
  </si>
  <si>
    <t>89_x000D_</t>
  </si>
  <si>
    <t>95_x000D_</t>
  </si>
  <si>
    <t>1996_x000D_</t>
  </si>
  <si>
    <t>15793_x000D_</t>
  </si>
  <si>
    <t>1642_x000D_</t>
  </si>
  <si>
    <t>646_x000D_</t>
  </si>
  <si>
    <t>600_x000D_</t>
  </si>
  <si>
    <t>476_x000D_</t>
  </si>
  <si>
    <t>830_x000D_</t>
  </si>
  <si>
    <t>1914_x000D_</t>
  </si>
  <si>
    <t>627_x000D_</t>
  </si>
  <si>
    <t>1049_x000D_</t>
  </si>
  <si>
    <t>509_x000D_</t>
  </si>
  <si>
    <t>244_x000D_</t>
  </si>
  <si>
    <t>302_x000D_</t>
  </si>
  <si>
    <t>505_x000D_</t>
  </si>
  <si>
    <t>152_x000D_</t>
  </si>
  <si>
    <t>99_x000D_</t>
  </si>
  <si>
    <t>102_x000D_</t>
  </si>
  <si>
    <t>190_x000D_</t>
  </si>
  <si>
    <t>169_x000D_</t>
  </si>
  <si>
    <t>51_x000D_</t>
  </si>
  <si>
    <t>355_x000D_</t>
  </si>
  <si>
    <t>381_x000D_</t>
  </si>
  <si>
    <t>223_x000D_</t>
  </si>
  <si>
    <t>48_x000D_</t>
  </si>
  <si>
    <t>245_x000D_</t>
  </si>
  <si>
    <t>837_x000D_</t>
  </si>
  <si>
    <t>165_x000D_</t>
  </si>
  <si>
    <t>42_x000D_</t>
  </si>
  <si>
    <t>1037_x000D_</t>
  </si>
  <si>
    <t>207_x000D_</t>
  </si>
  <si>
    <t>31_x000D_</t>
  </si>
  <si>
    <t>12_x000D_</t>
  </si>
  <si>
    <t>21638_x000D_</t>
  </si>
  <si>
    <t>8897_x000D_</t>
  </si>
  <si>
    <t>16018_x000D_</t>
  </si>
  <si>
    <t>1407_x000D_</t>
  </si>
  <si>
    <t>1237_x000D_</t>
  </si>
  <si>
    <t>936_x000D_</t>
  </si>
  <si>
    <t>766_x000D_</t>
  </si>
  <si>
    <t>633_x000D_</t>
  </si>
  <si>
    <t>577_x000D_</t>
  </si>
  <si>
    <t>543_x000D_</t>
  </si>
  <si>
    <t>1395_x000D_</t>
  </si>
  <si>
    <t>394_x000D_</t>
  </si>
  <si>
    <t>319_x000D_</t>
  </si>
  <si>
    <t>317_x000D_</t>
  </si>
  <si>
    <t>1120_x000D_</t>
  </si>
  <si>
    <t>20_x000D_</t>
  </si>
  <si>
    <t>35_x000D_</t>
  </si>
  <si>
    <t>5683_x000D_</t>
  </si>
  <si>
    <t>135_x000D_</t>
  </si>
  <si>
    <t>50_x000D_</t>
  </si>
  <si>
    <t>4204_x000D_</t>
  </si>
  <si>
    <t>56_x000D_</t>
  </si>
  <si>
    <t>Dominica</t>
  </si>
  <si>
    <t>Grenada</t>
  </si>
  <si>
    <t>Mozambique</t>
  </si>
  <si>
    <t>Syria</t>
  </si>
  <si>
    <t>Timor-Leste</t>
  </si>
  <si>
    <t>Singapore LogiP(t)</t>
  </si>
  <si>
    <t>Singapore Sq Err</t>
  </si>
  <si>
    <t>Singapore LogiP(t) Per Capita</t>
  </si>
  <si>
    <t>Singapore Cases Per Capita</t>
  </si>
  <si>
    <t>Day# Singapore</t>
  </si>
  <si>
    <t>14.3 k</t>
  </si>
  <si>
    <t xml:space="preserve">b=0.32, d=3.83E-05, P0=182.8 Limit=14.3 k=&gt;8.38 k cases </t>
  </si>
  <si>
    <t>Singapore Limit 14.3 k</t>
  </si>
  <si>
    <t>COVID19 Singapore P(t) = b / {d+[( b/Po - d ) ]* exp(-b*t)}
b=0.32, d=3.83E-05, P0=182.8 Limit=14.3 k=&gt;8.38 k cases 
 22-Mar, Cases per 10 M population</t>
  </si>
  <si>
    <t>At Mon 23-Mar Australia 646 cases per 10M was 17 days behind Italy, 2 days behind USA &amp; 0 days behind China, 22 days behind South Korea, 2 days behind UK</t>
  </si>
  <si>
    <t>209 G</t>
  </si>
  <si>
    <t>82.6 G</t>
  </si>
  <si>
    <t xml:space="preserve">b=0.209, d=1.00E-12, P0=.009 Limit=82.6 G=&gt;209 G cases </t>
  </si>
  <si>
    <t>Australia Limit 82.6 G</t>
  </si>
  <si>
    <t>COVID19 Australia P(t) = b / {d+[( b/Po - d ) ]* exp(-b*t)}
b=0.209, d=1.00E-12, P0=.009 Limit=82.6 G=&gt;209 G cases 
 23-Mar, Cases per 10 M population</t>
  </si>
  <si>
    <t>At Mon 23-Mar NSW 828 cases per 10M was 16 days behind Italy, 1 days behind USA &amp; -1 days behind China, 21 days behind South Korea, 1 days behind UK</t>
  </si>
  <si>
    <t>250 k</t>
  </si>
  <si>
    <t>310 k</t>
  </si>
  <si>
    <t xml:space="preserve">b=0.193, d=7.71E-07, P0=.009 Limit=310 k=&gt;250 k cases </t>
  </si>
  <si>
    <t>NSW Limit 310 k</t>
  </si>
  <si>
    <t>COVID19 NSW P(t) = b / {d+[( b/Po - d ) ]* exp(-b*t)}
b=0.193, d=7.71E-07, P0=.009 Limit=310 k=&gt;250 k cases 
 23-Mar, Cases per 10 M population</t>
  </si>
  <si>
    <t>65.4 k</t>
  </si>
  <si>
    <t>10.8 k</t>
  </si>
  <si>
    <t xml:space="preserve">b=0.259, d=3.95E-06, P0=.442 Limit=10.8 k=&gt;65.4 k cases </t>
  </si>
  <si>
    <t>Italy Limit 10.8 k</t>
  </si>
  <si>
    <t>COVID19 Italy P(t) = b / {d+[( b/Po - d ) ]* exp(-b*t)}
b=0.259, d=3.95E-06, P0=.442 Limit=10.8 k=&gt;65.4 k cases 
 22-Mar, Cases per 10 M population</t>
  </si>
  <si>
    <t>At Mon 23-Mar Australia 646 cases per 10M was 17 days behind Italy, 2 days behind USA &amp; 0 days behind China, 22 days behind South Korea, 2 days behind UK
At Mon 23-Mar NSW 828 cases per 10M was 16 days behind Italy, 1 days behind USA &amp; -1 days behind China, 21 days behind South Korea, 1 days behind UK</t>
  </si>
  <si>
    <t>605 k</t>
  </si>
  <si>
    <t>18.4 k</t>
  </si>
  <si>
    <t xml:space="preserve">b=0.337, d=5.57E-07, P0=.025 Limit=18.4 k=&gt;605 k cases </t>
  </si>
  <si>
    <t>USA Limit 18.4 k</t>
  </si>
  <si>
    <t>COVID19 USA P(t) = b / {d+[( b/Po - d ) ]* exp(-b*t)}
b=0.337, d=5.57E-07, P0=.025 Limit=18.4 k=&gt;605 k cases 
 22-Mar, Cases per 10 M population</t>
  </si>
  <si>
    <t>111 k</t>
  </si>
  <si>
    <t>16.7 k</t>
  </si>
  <si>
    <t xml:space="preserve">b=0.236, d=2.13E-06, P0=.03 Limit=16.7 k=&gt;111 k cases </t>
  </si>
  <si>
    <t>UK Limit 16.7 k</t>
  </si>
  <si>
    <t>COVID19 UK P(t) = b / {d+[( b/Po - d ) ]* exp(-b*t)}
b=0.236, d=2.13E-06, P0=.03 Limit=16.7 k=&gt;111 k cases 
 22-Mar, Cases per 10 M population</t>
  </si>
  <si>
    <t>43.9 G</t>
  </si>
  <si>
    <t>75.1 G</t>
  </si>
  <si>
    <t xml:space="preserve">b=0.044, d=1.00E-12, P0=625.273 Limit=75.1 G=&gt;44.6 M cases </t>
  </si>
  <si>
    <t>Singapore Limit 75.1 G</t>
  </si>
  <si>
    <t>COVID19 Singapore P(t) = b / {d+[( b/Po - d ) ]* exp(-b*t)}
b=0.044, d=1.00E-12, P0=625.273 Limit=75.1 G=&gt;44.6 M cases 
 22-Mar, Cases per 10 M population</t>
  </si>
  <si>
    <t>At Mon 23-Mar Australia 647 cases per 10M was 17 days behind Italy, 2 days behind USA &amp; 0 days behind China, 22 days behind South Korea, 2 days behind UK</t>
  </si>
  <si>
    <t>210 G</t>
  </si>
  <si>
    <t>82.7 G</t>
  </si>
  <si>
    <t xml:space="preserve">b=0.21, d=1.00E-12, P0=.009 Limit=82.7 G=&gt;210 G cases </t>
  </si>
  <si>
    <t>Australia Limit 82.7 G</t>
  </si>
  <si>
    <t>COVID19 Australia P(t) = b / {d+[( b/Po - d ) ]* exp(-b*t)}
b=0.21, d=1.00E-12, P0=.009 Limit=82.7 G=&gt;210 G cases 
 23-Mar, Cases per 10 M population</t>
  </si>
  <si>
    <t>Hubei Cases Per Capita</t>
  </si>
  <si>
    <t>At Mon 23-Mar Australia 675 cases per 10M was 17 days behind Italy, 2 days behind USA &amp; 0 days behind China, 22 days behind South Korea, 2 days behind UK</t>
  </si>
  <si>
    <t>215 G</t>
  </si>
  <si>
    <t>84.7 G</t>
  </si>
  <si>
    <t xml:space="preserve">b=0.215, d=1.00E-12, P0=.007 Limit=84.7 G=&gt;215 G cases </t>
  </si>
  <si>
    <t>Australia Limit 84.7 G</t>
  </si>
  <si>
    <t>COVID19 Australia P(t) = b / {d+[( b/Po - d ) ]* exp(-b*t)}
b=0.215, d=1.00E-12, P0=.007 Limit=84.7 G=&gt;215 G cases 
 23-Mar, Cases per 10 M population</t>
  </si>
  <si>
    <t>At Mon 23-Mar NSW 871 cases per 10M was 16 days behind Italy, 1 days behind USA &amp; -1 days behind China, 20 days behind South Korea, 0 days behind UK</t>
  </si>
  <si>
    <t>198 G</t>
  </si>
  <si>
    <t>245 G</t>
  </si>
  <si>
    <t xml:space="preserve">b=0.198, d=1.00E-12, P0=.007 Limit=245 G=&gt;198 G cases </t>
  </si>
  <si>
    <t>NSW Limit 245 G</t>
  </si>
  <si>
    <t>COVID19 NSW P(t) = b / {d+[( b/Po - d ) ]* exp(-b*t)}
b=0.198, d=1.00E-12, P0=.007 Limit=245 G=&gt;198 G cases 
 23-Mar, Cases per 10 M population</t>
  </si>
  <si>
    <t>At Mon 23-Mar Australia 675 cases per 10M was 17 days behind Italy, 2 days behind USA &amp; 0 days behind China, 22 days behind South Korea, 2 days behind UK
At Mon 23-Mar NSW 871 cases per 10M was 16 days behind Italy, 1 days behind USA &amp; -1 days behind China, 20 days behind South Korea, 0 days behind UK</t>
  </si>
  <si>
    <t>162 k</t>
  </si>
  <si>
    <t>4.92 k</t>
  </si>
  <si>
    <t xml:space="preserve">b=0.337, d=2.08E-06, P0=.025 Limit=4.92 k=&gt;162 k cases </t>
  </si>
  <si>
    <t>USA Limit 4.92 k</t>
  </si>
  <si>
    <t>COVID19 USA P(t) = b / {d+[( b/Po - d ) ]* exp(-b*t)}
b=0.337, d=2.08E-06, P0=.025 Limit=4.92 k=&gt;162 k cases 
 22-Mar, Cases per 10 M population</t>
  </si>
  <si>
    <t>COVID19 China P(t) = b / {d+[( b/Po - d ) ]* exp(-b*t)}
b=0.222, d=2.74E-06, P0=1537.649 Limit=563  =&gt;81.0 k cases 
 23-Mar, Cases per 10 M population</t>
  </si>
  <si>
    <t>8.49 k</t>
  </si>
  <si>
    <t>1.65 k</t>
  </si>
  <si>
    <t xml:space="preserve">b=0.31, d=3.65E-05, P0=200.102 Limit=1.65 k=&gt;8.49 k cases , log fit from 19th Feb </t>
  </si>
  <si>
    <t>Skorea Limit 1.65 k fr 19th Feb</t>
  </si>
  <si>
    <t>COVID19 Skorea P(t) = b / {d+[( b/Po - d ) ]* exp(-b*t)}
b=0.31, d=3.65E-05, P0=200.102 Limit=1.65 k=&gt;8.49 k cases , log fit from 19th Feb 
 23-Mar, Cases per 10 M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</si>
</sst>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"/>
    <numFmt numFmtId="165" formatCode="0.000"/>
    <numFmt numFmtId="166" formatCode="0.000E+00"/>
    <numFmt numFmtId="167" formatCode="0.0"/>
    <numFmt numFmtId="169" formatCode="0.00000"/>
    <numFmt numFmtId="170" formatCode="0.000000"/>
    <numFmt numFmtId="171" formatCode="0.00000E+00"/>
    <numFmt numFmtId="172" formatCode="ddd\ dd/mm/yyyy"/>
    <numFmt numFmtId="173" formatCode="dd/mm/yyyy\ hh:mm"/>
    <numFmt numFmtId="174" formatCode="d/mm/yy;@"/>
    <numFmt numFmtId="180" formatCode="##0.00E+0"/>
    <numFmt numFmtId="181" formatCode="##0.000E+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14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2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  <xf numFmtId="173" fontId="0" fillId="0" borderId="0" xfId="0" applyNumberFormat="1"/>
    <xf numFmtId="22" fontId="0" fillId="0" borderId="0" xfId="0" applyNumberFormat="1"/>
    <xf numFmtId="22" fontId="0" fillId="41" borderId="0" xfId="0" applyNumberFormat="1" applyFill="1"/>
    <xf numFmtId="166" fontId="0" fillId="0" borderId="0" xfId="0" applyNumberFormat="1"/>
    <xf numFmtId="0" fontId="0" fillId="44" borderId="0" xfId="0" applyFill="1"/>
    <xf numFmtId="173" fontId="0" fillId="44" borderId="0" xfId="0" applyNumberFormat="1" applyFill="1"/>
    <xf numFmtId="14" fontId="0" fillId="44" borderId="0" xfId="0" applyNumberFormat="1" applyFill="1"/>
    <xf numFmtId="164" fontId="18" fillId="44" borderId="10" xfId="0" applyNumberFormat="1" applyFont="1" applyFill="1" applyBorder="1" applyAlignment="1">
      <alignment horizontal="center" wrapText="1"/>
    </xf>
    <xf numFmtId="0" fontId="18" fillId="44" borderId="11" xfId="0" applyFont="1" applyFill="1" applyBorder="1" applyAlignment="1">
      <alignment horizontal="center"/>
    </xf>
    <xf numFmtId="0" fontId="0" fillId="44" borderId="11" xfId="0" applyFill="1" applyBorder="1"/>
    <xf numFmtId="0" fontId="0" fillId="44" borderId="11" xfId="0" applyFill="1" applyBorder="1" applyAlignment="1">
      <alignment wrapText="1"/>
    </xf>
    <xf numFmtId="0" fontId="0" fillId="44" borderId="10" xfId="0" applyFill="1" applyBorder="1" applyAlignment="1">
      <alignment wrapText="1"/>
    </xf>
    <xf numFmtId="0" fontId="0" fillId="44" borderId="0" xfId="0" applyFill="1" applyBorder="1"/>
    <xf numFmtId="0" fontId="0" fillId="44" borderId="0" xfId="0" applyFill="1" applyAlignment="1">
      <alignment wrapText="1"/>
    </xf>
    <xf numFmtId="174" fontId="0" fillId="0" borderId="0" xfId="0" applyNumberFormat="1"/>
    <xf numFmtId="174" fontId="0" fillId="44" borderId="0" xfId="0" applyNumberFormat="1" applyFill="1" applyAlignment="1">
      <alignment wrapText="1"/>
    </xf>
    <xf numFmtId="174" fontId="21" fillId="0" borderId="0" xfId="0" quotePrefix="1" applyNumberFormat="1" applyFont="1"/>
    <xf numFmtId="174" fontId="0" fillId="41" borderId="0" xfId="0" applyNumberFormat="1" applyFill="1"/>
    <xf numFmtId="174" fontId="0" fillId="40" borderId="0" xfId="0" applyNumberFormat="1" applyFill="1"/>
    <xf numFmtId="14" fontId="0" fillId="46" borderId="0" xfId="0" applyNumberFormat="1" applyFill="1"/>
    <xf numFmtId="0" fontId="0" fillId="46" borderId="0" xfId="0" applyFill="1"/>
    <xf numFmtId="11" fontId="0" fillId="46" borderId="0" xfId="0" applyNumberFormat="1" applyFill="1"/>
    <xf numFmtId="171" fontId="0" fillId="46" borderId="0" xfId="0" applyNumberFormat="1" applyFill="1"/>
    <xf numFmtId="14" fontId="17" fillId="45" borderId="0" xfId="0" applyNumberFormat="1" applyFont="1" applyFill="1"/>
    <xf numFmtId="0" fontId="17" fillId="45" borderId="0" xfId="0" applyFont="1" applyFill="1"/>
    <xf numFmtId="164" fontId="17" fillId="45" borderId="0" xfId="0" applyNumberFormat="1" applyFont="1" applyFill="1" applyBorder="1"/>
    <xf numFmtId="166" fontId="17" fillId="45" borderId="0" xfId="0" applyNumberFormat="1" applyFont="1" applyFill="1" applyBorder="1"/>
    <xf numFmtId="48" fontId="0" fillId="0" borderId="0" xfId="0" applyNumberFormat="1"/>
    <xf numFmtId="48" fontId="0" fillId="0" borderId="0" xfId="0" applyNumberFormat="1" applyBorder="1"/>
    <xf numFmtId="48" fontId="19" fillId="44" borderId="12" xfId="0" applyNumberFormat="1" applyFont="1" applyFill="1" applyBorder="1" applyAlignment="1">
      <alignment horizontal="center" wrapText="1"/>
    </xf>
    <xf numFmtId="180" fontId="0" fillId="0" borderId="0" xfId="0" applyNumberFormat="1"/>
    <xf numFmtId="180" fontId="19" fillId="44" borderId="12" xfId="0" applyNumberFormat="1" applyFont="1" applyFill="1" applyBorder="1" applyAlignment="1">
      <alignment horizontal="center" wrapText="1"/>
    </xf>
    <xf numFmtId="180" fontId="0" fillId="0" borderId="0" xfId="0" applyNumberFormat="1" applyBorder="1"/>
    <xf numFmtId="181" fontId="0" fillId="0" borderId="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1">
    <dxf>
      <numFmt numFmtId="167" formatCode="0.0"/>
    </dxf>
    <dxf>
      <numFmt numFmtId="167" formatCode="0.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" formatCode="0"/>
    </dxf>
    <dxf>
      <numFmt numFmtId="0" formatCode="General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chartsheet" Target="chartsheets/sheet11.xml"/><Relationship Id="rId18" Type="http://schemas.openxmlformats.org/officeDocument/2006/relationships/chartsheet" Target="chartsheets/sheet16.xml"/><Relationship Id="rId26" Type="http://schemas.openxmlformats.org/officeDocument/2006/relationships/styles" Target="styles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4.xml"/><Relationship Id="rId7" Type="http://schemas.openxmlformats.org/officeDocument/2006/relationships/chartsheet" Target="chartsheets/sheet6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externalLink" Target="externalLinks/externalLink1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worksheet" Target="worksheets/sheet6.xml"/><Relationship Id="rId28" Type="http://schemas.openxmlformats.org/officeDocument/2006/relationships/calcChain" Target="calcChain.xml"/><Relationship Id="rId10" Type="http://schemas.openxmlformats.org/officeDocument/2006/relationships/worksheet" Target="worksheets/sheet2.xml"/><Relationship Id="rId19" Type="http://schemas.openxmlformats.org/officeDocument/2006/relationships/chartsheet" Target="chartsheets/sheet17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chartsheet" Target="chartsheets/sheet12.xml"/><Relationship Id="rId22" Type="http://schemas.openxmlformats.org/officeDocument/2006/relationships/worksheet" Target="worksheets/sheet5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47625" cap="rnd">
                <a:solidFill>
                  <a:srgbClr val="FF0000">
                    <a:alpha val="63000"/>
                  </a:srgbClr>
                </a:solidFill>
                <a:prstDash val="solid"/>
              </a:ln>
              <a:effectLst/>
            </c:spPr>
            <c:trendlineType val="exp"/>
            <c:forward val="14"/>
            <c:dispRSqr val="1"/>
            <c:dispEq val="1"/>
            <c:trendlineLbl>
              <c:layout>
                <c:manualLayout>
                  <c:x val="-0.12645660793149946"/>
                  <c:y val="2.14038146408110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1.0353344974657584E-2</c:v>
                </c:pt>
                <c:pt idx="1">
                  <c:v>1.2624616493400635E-2</c:v>
                </c:pt>
                <c:pt idx="2">
                  <c:v>1.5394149619815426E-2</c:v>
                </c:pt>
                <c:pt idx="3">
                  <c:v>1.8771250805213857E-2</c:v>
                </c:pt>
                <c:pt idx="4">
                  <c:v>2.2889205671918475E-2</c:v>
                </c:pt>
                <c:pt idx="5">
                  <c:v>2.7910539458876202E-2</c:v>
                </c:pt>
                <c:pt idx="6">
                  <c:v>3.4033431480813364E-2</c:v>
                </c:pt>
                <c:pt idx="7">
                  <c:v>4.1499536763373195E-2</c:v>
                </c:pt>
                <c:pt idx="8">
                  <c:v>5.0603523554345782E-2</c:v>
                </c:pt>
                <c:pt idx="9">
                  <c:v>6.1704703132379399E-2</c:v>
                </c:pt>
                <c:pt idx="10">
                  <c:v>7.5241210912239953E-2</c:v>
                </c:pt>
                <c:pt idx="11">
                  <c:v>9.1747298538891908E-2</c:v>
                </c:pt>
                <c:pt idx="12">
                  <c:v>0.11187441944551547</c:v>
                </c:pt>
                <c:pt idx="13">
                  <c:v>0.13641694006898078</c:v>
                </c:pt>
                <c:pt idx="14">
                  <c:v>0.16634349147927094</c:v>
                </c:pt>
                <c:pt idx="15">
                  <c:v>0.20283519879218678</c:v>
                </c:pt>
                <c:pt idx="16">
                  <c:v>0.24733229718333499</c:v>
                </c:pt>
                <c:pt idx="17">
                  <c:v>0.30159097431929299</c:v>
                </c:pt>
                <c:pt idx="18">
                  <c:v>0.36775268263260458</c:v>
                </c:pt>
                <c:pt idx="19">
                  <c:v>0.44842865702038243</c:v>
                </c:pt>
                <c:pt idx="20">
                  <c:v>0.54680297366581598</c:v>
                </c:pt>
                <c:pt idx="21">
                  <c:v>0.66675821745299968</c:v>
                </c:pt>
                <c:pt idx="22">
                  <c:v>0.81302871774935725</c:v>
                </c:pt>
                <c:pt idx="23">
                  <c:v>0.9913874003835188</c:v>
                </c:pt>
                <c:pt idx="24">
                  <c:v>1.2088736303925112</c:v>
                </c:pt>
                <c:pt idx="25">
                  <c:v>1.4740710379138893</c:v>
                </c:pt>
                <c:pt idx="26">
                  <c:v>1.7974462923064154</c:v>
                </c:pt>
                <c:pt idx="27">
                  <c:v>2.1917621950549986</c:v>
                </c:pt>
                <c:pt idx="28">
                  <c:v>2.6725813951895772</c:v>
                </c:pt>
                <c:pt idx="29">
                  <c:v>3.2588806075885284</c:v>
                </c:pt>
                <c:pt idx="30">
                  <c:v>3.9737995758058724</c:v>
                </c:pt>
                <c:pt idx="31">
                  <c:v>4.8455543390863163</c:v>
                </c:pt>
                <c:pt idx="32">
                  <c:v>5.9085508479018829</c:v>
                </c:pt>
                <c:pt idx="33">
                  <c:v>7.2047428795921329</c:v>
                </c:pt>
                <c:pt idx="34">
                  <c:v>8.7852878475956508</c:v>
                </c:pt>
                <c:pt idx="35">
                  <c:v>10.712565854865336</c:v>
                </c:pt>
                <c:pt idx="36">
                  <c:v>13.06264167838691</c:v>
                </c:pt>
                <c:pt idx="37">
                  <c:v>15.928266853087868</c:v>
                </c:pt>
                <c:pt idx="38">
                  <c:v>19.422540339777449</c:v>
                </c:pt>
                <c:pt idx="39">
                  <c:v>23.68337225440024</c:v>
                </c:pt>
                <c:pt idx="40">
                  <c:v>28.878926830679781</c:v>
                </c:pt>
                <c:pt idx="41">
                  <c:v>35.214259436087389</c:v>
                </c:pt>
                <c:pt idx="42">
                  <c:v>42.939409587328463</c:v>
                </c:pt>
                <c:pt idx="43">
                  <c:v>52.359269376147012</c:v>
                </c:pt>
                <c:pt idx="44">
                  <c:v>63.845616787191908</c:v>
                </c:pt>
                <c:pt idx="45">
                  <c:v>77.851788832487316</c:v>
                </c:pt>
                <c:pt idx="46">
                  <c:v>94.930573613915016</c:v>
                </c:pt>
                <c:pt idx="47">
                  <c:v>115.75602746803939</c:v>
                </c:pt>
                <c:pt idx="48">
                  <c:v>141.15007826064556</c:v>
                </c:pt>
                <c:pt idx="49">
                  <c:v>172.1149647955491</c:v>
                </c:pt>
                <c:pt idx="50">
                  <c:v>209.87279263884577</c:v>
                </c:pt>
                <c:pt idx="51">
                  <c:v>255.91376752662643</c:v>
                </c:pt>
                <c:pt idx="52">
                  <c:v>312.05501000635849</c:v>
                </c:pt>
                <c:pt idx="53">
                  <c:v>380.51227257654676</c:v>
                </c:pt>
                <c:pt idx="54">
                  <c:v>463.98738981809544</c:v>
                </c:pt>
                <c:pt idx="55">
                  <c:v>565.77491295196126</c:v>
                </c:pt>
                <c:pt idx="56">
                  <c:v>689.89213741816377</c:v>
                </c:pt>
                <c:pt idx="57">
                  <c:v>841.23765533418077</c:v>
                </c:pt>
                <c:pt idx="58">
                  <c:v>1025.7846904950086</c:v>
                </c:pt>
                <c:pt idx="59">
                  <c:v>1250.8168463552631</c:v>
                </c:pt>
                <c:pt idx="60">
                  <c:v>1525.2155713656482</c:v>
                </c:pt>
                <c:pt idx="61">
                  <c:v>1859.8106871875657</c:v>
                </c:pt>
                <c:pt idx="62">
                  <c:v>2267.8078142394993</c:v>
                </c:pt>
                <c:pt idx="63">
                  <c:v>2765.3095639684311</c:v>
                </c:pt>
                <c:pt idx="64">
                  <c:v>3371.9510679698792</c:v>
                </c:pt>
                <c:pt idx="65">
                  <c:v>4111.6749266588331</c:v>
                </c:pt>
                <c:pt idx="66">
                  <c:v>16480.914776566304</c:v>
                </c:pt>
                <c:pt idx="67">
                  <c:v>66060.794090597527</c:v>
                </c:pt>
                <c:pt idx="68">
                  <c:v>264792.69648370583</c:v>
                </c:pt>
                <c:pt idx="69" formatCode="0.00E+00">
                  <c:v>1061370.8525395524</c:v>
                </c:pt>
                <c:pt idx="70" formatCode="0.00E+00">
                  <c:v>4254260.4245313462</c:v>
                </c:pt>
                <c:pt idx="71" formatCode="0.00E+00">
                  <c:v>17051555.115948118</c:v>
                </c:pt>
                <c:pt idx="72" formatCode="0.00E+00">
                  <c:v>68333837.483001396</c:v>
                </c:pt>
                <c:pt idx="73" formatCode="0.00E+00">
                  <c:v>273674808.51854914</c:v>
                </c:pt>
                <c:pt idx="74" formatCode="0.00E+00">
                  <c:v>1093309703.116997</c:v>
                </c:pt>
                <c:pt idx="75" formatCode="0.00E+00">
                  <c:v>4324394592.1002007</c:v>
                </c:pt>
                <c:pt idx="76" formatCode="0.00E+00">
                  <c:v>16461168559.709417</c:v>
                </c:pt>
                <c:pt idx="77" formatCode="0.00E+00">
                  <c:v>54905181814.931358</c:v>
                </c:pt>
                <c:pt idx="78" formatCode="0.00E+00">
                  <c:v>131555728303.08841</c:v>
                </c:pt>
                <c:pt idx="79" formatCode="0.00E+00">
                  <c:v>201861965534.86621</c:v>
                </c:pt>
                <c:pt idx="80" formatCode="0.00E+00">
                  <c:v>232916232706.71393</c:v>
                </c:pt>
                <c:pt idx="81" formatCode="0.00E+00">
                  <c:v>242212325781.9668</c:v>
                </c:pt>
                <c:pt idx="82" formatCode="0.00E+00">
                  <c:v>244648343381.90469</c:v>
                </c:pt>
                <c:pt idx="83" formatCode="0.00E+00">
                  <c:v>245263739799.81592</c:v>
                </c:pt>
                <c:pt idx="84" formatCode="0.00E+00">
                  <c:v>245417752343.948</c:v>
                </c:pt>
                <c:pt idx="85" formatCode="0.00E+00">
                  <c:v>245456205695.77094</c:v>
                </c:pt>
                <c:pt idx="86" formatCode="0.00E+00">
                  <c:v>245465800953.77081</c:v>
                </c:pt>
                <c:pt idx="87" formatCode="0.00E+00">
                  <c:v>245468194905.03656</c:v>
                </c:pt>
                <c:pt idx="88" formatCode="0.00E+00">
                  <c:v>245468792157.61505</c:v>
                </c:pt>
                <c:pt idx="89" formatCode="0.00E+00">
                  <c:v>245468941161.22479</c:v>
                </c:pt>
                <c:pt idx="90" formatCode="0.00E+00">
                  <c:v>245468978334.81909</c:v>
                </c:pt>
                <c:pt idx="91" formatCode="0.00E+00">
                  <c:v>245468987608.92554</c:v>
                </c:pt>
                <c:pt idx="92" formatCode="0.00E+00">
                  <c:v>245468989922.63876</c:v>
                </c:pt>
                <c:pt idx="93" formatCode="0.00E+00">
                  <c:v>245468990499.86618</c:v>
                </c:pt>
                <c:pt idx="94" formatCode="0.00E+00">
                  <c:v>245468990643.87347</c:v>
                </c:pt>
                <c:pt idx="95" formatCode="0.00E+00">
                  <c:v>245468990679.80054</c:v>
                </c:pt>
                <c:pt idx="96" formatCode="0.00E+00">
                  <c:v>245468990688.76367</c:v>
                </c:pt>
                <c:pt idx="97" formatCode="0.00E+00">
                  <c:v>245468990690.99976</c:v>
                </c:pt>
                <c:pt idx="98" formatCode="0.00E+00">
                  <c:v>245468990691.55765</c:v>
                </c:pt>
                <c:pt idx="99" formatCode="0.00E+00">
                  <c:v>245468990691.69684</c:v>
                </c:pt>
                <c:pt idx="100" formatCode="0.00E+00">
                  <c:v>245468990691.73154</c:v>
                </c:pt>
                <c:pt idx="101" formatCode="0.00E+00">
                  <c:v>245468990691.7402</c:v>
                </c:pt>
                <c:pt idx="102" formatCode="0.00E+00">
                  <c:v>245468990691.74237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40928"/>
        <c:axId val="830033872"/>
      </c:scatterChart>
      <c:valAx>
        <c:axId val="8300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3872"/>
        <c:crosses val="autoZero"/>
        <c:crossBetween val="midCat"/>
      </c:valAx>
      <c:valAx>
        <c:axId val="83003387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4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myData!TitleCases</c:f>
          <c:strCache>
            <c:ptCount val="1"/>
            <c:pt idx="0">
              <c:v>COVID 19  Mon 23-Mar-2020, Cases per 10 M population</c:v>
            </c:pt>
          </c:strCache>
        </c:strRef>
      </c:tx>
      <c:layout>
        <c:manualLayout>
          <c:xMode val="edge"/>
          <c:yMode val="edge"/>
          <c:x val="0.21988155226886738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899602932735263E-2"/>
          <c:y val="8.8784513755633482E-2"/>
          <c:w val="0.72112299939910018"/>
          <c:h val="0.76714659526682405"/>
        </c:manualLayout>
      </c:layout>
      <c:scatterChart>
        <c:scatterStyle val="lineMarker"/>
        <c:varyColors val="0"/>
        <c:ser>
          <c:idx val="10"/>
          <c:order val="0"/>
          <c:tx>
            <c:v>Au Cases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3"/>
            <c:spPr>
              <a:noFill/>
              <a:ln w="6350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57.167639173631919</c:v>
                </c:pt>
                <c:pt idx="47">
                  <c:v>78.851916101561272</c:v>
                </c:pt>
                <c:pt idx="48">
                  <c:v>98.95915470745939</c:v>
                </c:pt>
                <c:pt idx="49">
                  <c:v>124.58602744046681</c:v>
                </c:pt>
                <c:pt idx="50">
                  <c:v>148.635861851443</c:v>
                </c:pt>
                <c:pt idx="51">
                  <c:v>179.78236871155968</c:v>
                </c:pt>
                <c:pt idx="52">
                  <c:v>223.93944172843399</c:v>
                </c:pt>
                <c:pt idx="53">
                  <c:v>279.92430216054248</c:v>
                </c:pt>
                <c:pt idx="54">
                  <c:v>345.76565210534613</c:v>
                </c:pt>
                <c:pt idx="55">
                  <c:v>423.04052988487621</c:v>
                </c:pt>
                <c:pt idx="56">
                  <c:v>533.82747200756978</c:v>
                </c:pt>
                <c:pt idx="57">
                  <c:v>674.57814224885669</c:v>
                </c:pt>
              </c:numCache>
            </c:numRef>
          </c:yVal>
          <c:smooth val="0"/>
        </c:ser>
        <c:ser>
          <c:idx val="3"/>
          <c:order val="1"/>
          <c:tx>
            <c:v>NSW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1"/>
          <c:order val="2"/>
          <c:tx>
            <c:v>Italy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0.33085194375516958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0.49627791563275436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3.3085194375516958</c:v>
                </c:pt>
                <c:pt idx="22">
                  <c:v>10.256410256410257</c:v>
                </c:pt>
                <c:pt idx="23">
                  <c:v>25.641025641025642</c:v>
                </c:pt>
                <c:pt idx="24">
                  <c:v>37.882547559966916</c:v>
                </c:pt>
                <c:pt idx="25">
                  <c:v>53.267162944582303</c:v>
                </c:pt>
                <c:pt idx="26">
                  <c:v>74.937965260545909</c:v>
                </c:pt>
                <c:pt idx="27">
                  <c:v>108.35401157981804</c:v>
                </c:pt>
                <c:pt idx="28">
                  <c:v>146.89826302729529</c:v>
                </c:pt>
                <c:pt idx="29">
                  <c:v>186.60049627791562</c:v>
                </c:pt>
                <c:pt idx="30">
                  <c:v>280.2315963606286</c:v>
                </c:pt>
                <c:pt idx="31">
                  <c:v>336.80727874276261</c:v>
                </c:pt>
                <c:pt idx="32">
                  <c:v>413.89578163771711</c:v>
                </c:pt>
                <c:pt idx="33">
                  <c:v>511.00082712985937</c:v>
                </c:pt>
                <c:pt idx="34">
                  <c:v>638.21339950372214</c:v>
                </c:pt>
                <c:pt idx="35">
                  <c:v>766.91480562448305</c:v>
                </c:pt>
                <c:pt idx="36">
                  <c:v>973.20099255583125</c:v>
                </c:pt>
                <c:pt idx="37">
                  <c:v>1220.0165425971877</c:v>
                </c:pt>
                <c:pt idx="38">
                  <c:v>1517.2870140612076</c:v>
                </c:pt>
                <c:pt idx="39">
                  <c:v>1678.9081885856081</c:v>
                </c:pt>
                <c:pt idx="40">
                  <c:v>2061.5384615384614</c:v>
                </c:pt>
                <c:pt idx="41">
                  <c:v>2500.082712985939</c:v>
                </c:pt>
                <c:pt idx="42">
                  <c:v>2921.4226633581475</c:v>
                </c:pt>
                <c:pt idx="43">
                  <c:v>3499.9172870140615</c:v>
                </c:pt>
                <c:pt idx="44">
                  <c:v>4093.7965260545907</c:v>
                </c:pt>
                <c:pt idx="45">
                  <c:v>4628.618693134822</c:v>
                </c:pt>
                <c:pt idx="46">
                  <c:v>5211.9106699751865</c:v>
                </c:pt>
                <c:pt idx="47">
                  <c:v>5907.8577336641856</c:v>
                </c:pt>
                <c:pt idx="48">
                  <c:v>6788.2547559966915</c:v>
                </c:pt>
                <c:pt idx="49">
                  <c:v>7778.4946236559144</c:v>
                </c:pt>
                <c:pt idx="50">
                  <c:v>8863.1927212572373</c:v>
                </c:pt>
                <c:pt idx="51">
                  <c:v>9782.9611248966085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SKorea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2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  <c:pt idx="60">
                  <c:v>1730.933852140078</c:v>
                </c:pt>
                <c:pt idx="61">
                  <c:v>1743.3852140077822</c:v>
                </c:pt>
              </c:numCache>
            </c:numRef>
          </c:yVal>
          <c:smooth val="0"/>
        </c:ser>
        <c:ser>
          <c:idx val="7"/>
          <c:order val="4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6"/>
                <c:pt idx="0">
                  <c:v>0.30102347983142685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0.45153521974714028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1.2040939193257074</c:v>
                </c:pt>
                <c:pt idx="11">
                  <c:v>1.2040939193257074</c:v>
                </c:pt>
                <c:pt idx="12">
                  <c:v>1.3546056592414208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1.9566526189042746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2.2576760987357014</c:v>
                </c:pt>
                <c:pt idx="28">
                  <c:v>3.0102347983142685</c:v>
                </c:pt>
                <c:pt idx="29">
                  <c:v>3.4617700180614088</c:v>
                </c:pt>
                <c:pt idx="30">
                  <c:v>5.4184226369656834</c:v>
                </c:pt>
                <c:pt idx="31">
                  <c:v>6.0204695966285371</c:v>
                </c:pt>
                <c:pt idx="32">
                  <c:v>7.6760987357013848</c:v>
                </c:pt>
                <c:pt idx="33">
                  <c:v>12.944009632751355</c:v>
                </c:pt>
                <c:pt idx="34">
                  <c:v>17.459361830222758</c:v>
                </c:pt>
                <c:pt idx="35">
                  <c:v>24.683925346177002</c:v>
                </c:pt>
                <c:pt idx="36">
                  <c:v>31.155930162552679</c:v>
                </c:pt>
                <c:pt idx="37">
                  <c:v>41.240216736905481</c:v>
                </c:pt>
                <c:pt idx="38">
                  <c:v>48.464780252859725</c:v>
                </c:pt>
                <c:pt idx="39">
                  <c:v>57.796508127633956</c:v>
                </c:pt>
                <c:pt idx="40">
                  <c:v>69.084888621312459</c:v>
                </c:pt>
                <c:pt idx="41">
                  <c:v>69.084888621312459</c:v>
                </c:pt>
                <c:pt idx="42">
                  <c:v>120.71041541240217</c:v>
                </c:pt>
                <c:pt idx="43">
                  <c:v>172.18543046357615</c:v>
                </c:pt>
                <c:pt idx="44">
                  <c:v>172.33594220349187</c:v>
                </c:pt>
                <c:pt idx="45">
                  <c:v>233.44370860927151</c:v>
                </c:pt>
                <c:pt idx="46">
                  <c:v>295.0030102347983</c:v>
                </c:pt>
                <c:pt idx="47">
                  <c:v>397.65201685731489</c:v>
                </c:pt>
                <c:pt idx="48">
                  <c:v>408.78988561107764</c:v>
                </c:pt>
                <c:pt idx="49">
                  <c:v>604.15412402167362</c:v>
                </c:pt>
                <c:pt idx="50">
                  <c:v>762.64298615291989</c:v>
                </c:pt>
                <c:pt idx="51">
                  <c:v>864.08789885611077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5"/>
          <c:tx>
            <c:v>Italy 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0.33085194375516958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0.49627791563275436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3.3085194375516958</c:v>
                </c:pt>
                <c:pt idx="22">
                  <c:v>10.256410256410257</c:v>
                </c:pt>
                <c:pt idx="23">
                  <c:v>25.641025641025642</c:v>
                </c:pt>
                <c:pt idx="24">
                  <c:v>37.882547559966916</c:v>
                </c:pt>
                <c:pt idx="25">
                  <c:v>53.267162944582303</c:v>
                </c:pt>
                <c:pt idx="26">
                  <c:v>74.937965260545909</c:v>
                </c:pt>
                <c:pt idx="27">
                  <c:v>108.35401157981804</c:v>
                </c:pt>
                <c:pt idx="28">
                  <c:v>146.89826302729529</c:v>
                </c:pt>
                <c:pt idx="29">
                  <c:v>186.60049627791562</c:v>
                </c:pt>
                <c:pt idx="30">
                  <c:v>280.2315963606286</c:v>
                </c:pt>
                <c:pt idx="31">
                  <c:v>336.80727874276261</c:v>
                </c:pt>
                <c:pt idx="32">
                  <c:v>413.89578163771711</c:v>
                </c:pt>
                <c:pt idx="33">
                  <c:v>511.00082712985937</c:v>
                </c:pt>
                <c:pt idx="34">
                  <c:v>638.21339950372214</c:v>
                </c:pt>
                <c:pt idx="35">
                  <c:v>766.91480562448305</c:v>
                </c:pt>
                <c:pt idx="36">
                  <c:v>973.20099255583125</c:v>
                </c:pt>
                <c:pt idx="37">
                  <c:v>1220.0165425971877</c:v>
                </c:pt>
                <c:pt idx="38">
                  <c:v>1517.2870140612076</c:v>
                </c:pt>
                <c:pt idx="39">
                  <c:v>1678.9081885856081</c:v>
                </c:pt>
                <c:pt idx="40">
                  <c:v>2061.5384615384614</c:v>
                </c:pt>
                <c:pt idx="41">
                  <c:v>2500.082712985939</c:v>
                </c:pt>
                <c:pt idx="42">
                  <c:v>2921.4226633581475</c:v>
                </c:pt>
                <c:pt idx="43">
                  <c:v>3499.9172870140615</c:v>
                </c:pt>
                <c:pt idx="44">
                  <c:v>4093.7965260545907</c:v>
                </c:pt>
                <c:pt idx="45">
                  <c:v>4628.618693134822</c:v>
                </c:pt>
                <c:pt idx="46">
                  <c:v>5211.9106699751865</c:v>
                </c:pt>
                <c:pt idx="47">
                  <c:v>5907.8577336641856</c:v>
                </c:pt>
                <c:pt idx="48">
                  <c:v>6788.2547559966915</c:v>
                </c:pt>
                <c:pt idx="49">
                  <c:v>7778.4946236559144</c:v>
                </c:pt>
                <c:pt idx="50">
                  <c:v>8863.1927212572373</c:v>
                </c:pt>
                <c:pt idx="51">
                  <c:v>9782.9611248966085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4"/>
          <c:order val="6"/>
          <c:tx>
            <c:v>China Cases</c:v>
          </c:tx>
          <c:spPr>
            <a:ln w="952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564.88332476486516</c:v>
                </c:pt>
                <c:pt idx="60">
                  <c:v>565.52251381693293</c:v>
                </c:pt>
                <c:pt idx="61">
                  <c:v>565.91853312093133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5"/>
          <c:order val="7"/>
          <c:tx>
            <c:v>US</c:v>
          </c:tx>
          <c:spPr>
            <a:ln w="1270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3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3"/>
                <c:pt idx="0">
                  <c:v>0.33411521761595392</c:v>
                </c:pt>
                <c:pt idx="1">
                  <c:v>0.36448932830831338</c:v>
                </c:pt>
                <c:pt idx="2">
                  <c:v>0.36448932830831338</c:v>
                </c:pt>
                <c:pt idx="3">
                  <c:v>0.39486343900067283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0.45561166038539175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1.5490796453103319</c:v>
                </c:pt>
                <c:pt idx="15">
                  <c:v>1.5490796453103319</c:v>
                </c:pt>
                <c:pt idx="16">
                  <c:v>1.7313243094644886</c:v>
                </c:pt>
                <c:pt idx="17">
                  <c:v>1.761698420156848</c:v>
                </c:pt>
                <c:pt idx="18">
                  <c:v>1.822446641541567</c:v>
                </c:pt>
                <c:pt idx="19">
                  <c:v>2.0654395270804424</c:v>
                </c:pt>
                <c:pt idx="20">
                  <c:v>2.2476841912345993</c:v>
                </c:pt>
                <c:pt idx="21">
                  <c:v>2.9766628478512263</c:v>
                </c:pt>
                <c:pt idx="22">
                  <c:v>3.5841450616984152</c:v>
                </c:pt>
                <c:pt idx="23">
                  <c:v>4.525742493161558</c:v>
                </c:pt>
                <c:pt idx="24">
                  <c:v>6.5911820202420008</c:v>
                </c:pt>
                <c:pt idx="25">
                  <c:v>7.9580170013981757</c:v>
                </c:pt>
                <c:pt idx="26">
                  <c:v>12.180018387636139</c:v>
                </c:pt>
                <c:pt idx="27">
                  <c:v>15.612292895872757</c:v>
                </c:pt>
                <c:pt idx="28">
                  <c:v>17.586610090876121</c:v>
                </c:pt>
                <c:pt idx="29">
                  <c:v>29.128772153972712</c:v>
                </c:pt>
                <c:pt idx="30">
                  <c:v>38.909235796912455</c:v>
                </c:pt>
                <c:pt idx="31">
                  <c:v>50.512146081393766</c:v>
                </c:pt>
                <c:pt idx="32">
                  <c:v>66.185187198651235</c:v>
                </c:pt>
                <c:pt idx="33">
                  <c:v>82.830199858064219</c:v>
                </c:pt>
                <c:pt idx="34">
                  <c:v>106.27901331256571</c:v>
                </c:pt>
                <c:pt idx="35">
                  <c:v>140.69288072700897</c:v>
                </c:pt>
                <c:pt idx="36">
                  <c:v>195.03216475564003</c:v>
                </c:pt>
                <c:pt idx="37">
                  <c:v>236.40170351863358</c:v>
                </c:pt>
                <c:pt idx="38">
                  <c:v>415.42671193940021</c:v>
                </c:pt>
                <c:pt idx="39">
                  <c:v>580.14551422406544</c:v>
                </c:pt>
                <c:pt idx="40">
                  <c:v>774.20570743755002</c:v>
                </c:pt>
                <c:pt idx="41">
                  <c:v>1010.6074109561836</c:v>
                </c:pt>
                <c:pt idx="42">
                  <c:v>1069.8976750276693</c:v>
                </c:pt>
              </c:numCache>
            </c:numRef>
          </c:yVal>
          <c:smooth val="0"/>
        </c:ser>
        <c:ser>
          <c:idx val="6"/>
          <c:order val="8"/>
          <c:tx>
            <c:v>Chinese New Year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myData!$DH$15:$DH$18</c:f>
              <c:numCache>
                <c:formatCode>m/d/yyyy</c:formatCode>
                <c:ptCount val="4"/>
                <c:pt idx="0">
                  <c:v>43854</c:v>
                </c:pt>
                <c:pt idx="1">
                  <c:v>43854</c:v>
                </c:pt>
                <c:pt idx="2">
                  <c:v>43860</c:v>
                </c:pt>
                <c:pt idx="3">
                  <c:v>43860</c:v>
                </c:pt>
              </c:numCache>
            </c:numRef>
          </c:xVal>
          <c:yVal>
            <c:numRef>
              <c:f>myData!$DI$15:$DI$18</c:f>
              <c:numCache>
                <c:formatCode>0.00E+00</c:formatCode>
                <c:ptCount val="4"/>
                <c:pt idx="0" formatCode="General">
                  <c:v>0.1</c:v>
                </c:pt>
                <c:pt idx="1">
                  <c:v>10000000</c:v>
                </c:pt>
                <c:pt idx="2" formatCode="General">
                  <c:v>10000000</c:v>
                </c:pt>
                <c:pt idx="3" formatCode="General">
                  <c:v>0.1</c:v>
                </c:pt>
              </c:numCache>
            </c:numRef>
          </c:yVal>
          <c:smooth val="0"/>
        </c:ser>
        <c:ser>
          <c:idx val="8"/>
          <c:order val="9"/>
          <c:tx>
            <c:v>Chinese NY +14 days</c:v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myData!$DH$19:$DH$22</c:f>
              <c:numCache>
                <c:formatCode>m/d/yyyy</c:formatCode>
                <c:ptCount val="4"/>
                <c:pt idx="0">
                  <c:v>43868</c:v>
                </c:pt>
                <c:pt idx="1">
                  <c:v>43868</c:v>
                </c:pt>
                <c:pt idx="2">
                  <c:v>43874</c:v>
                </c:pt>
                <c:pt idx="3">
                  <c:v>43874</c:v>
                </c:pt>
              </c:numCache>
            </c:numRef>
          </c:xVal>
          <c:yVal>
            <c:numRef>
              <c:f>myData!$DI$19:$DI$22</c:f>
              <c:numCache>
                <c:formatCode>0.00E+00</c:formatCode>
                <c:ptCount val="4"/>
                <c:pt idx="0" formatCode="General">
                  <c:v>0.1</c:v>
                </c:pt>
                <c:pt idx="1">
                  <c:v>10000000</c:v>
                </c:pt>
                <c:pt idx="2" formatCode="General">
                  <c:v>10000000</c:v>
                </c:pt>
                <c:pt idx="3" formatCode="General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40144"/>
        <c:axId val="830035832"/>
      </c:scatterChart>
      <c:valAx>
        <c:axId val="830040144"/>
        <c:scaling>
          <c:orientation val="minMax"/>
          <c:max val="43919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d\ 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5832"/>
        <c:crossesAt val="1.0000000000000002E-2"/>
        <c:crossBetween val="midCat"/>
        <c:majorUnit val="7"/>
        <c:minorUnit val="1"/>
      </c:valAx>
      <c:valAx>
        <c:axId val="830035832"/>
        <c:scaling>
          <c:logBase val="10"/>
          <c:orientation val="minMax"/>
          <c:max val="1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#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40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31388917729444"/>
          <c:y val="0.12337533556497449"/>
          <c:w val="0.12367647383180938"/>
          <c:h val="0.5787269046290233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0"/>
          <c:order val="0"/>
          <c:tx>
            <c:v>NSW Asymptote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myData!$EA$20:$EA$30</c:f>
              <c:numCache>
                <c:formatCode>m/d/yyyy</c:formatCode>
                <c:ptCount val="11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43908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43912</c:v>
                </c:pt>
              </c:numCache>
            </c:numRef>
          </c:xVal>
          <c:yVal>
            <c:numRef>
              <c:f>myData!$DV$20:$DV$30</c:f>
              <c:numCache>
                <c:formatCode>##0.0E+0</c:formatCode>
                <c:ptCount val="11"/>
                <c:pt idx="0">
                  <c:v>698.45143014252619</c:v>
                </c:pt>
                <c:pt idx="1">
                  <c:v>542.39562937001722</c:v>
                </c:pt>
                <c:pt idx="2">
                  <c:v>149466.80778825187</c:v>
                </c:pt>
                <c:pt idx="3">
                  <c:v>1903695418.3668838</c:v>
                </c:pt>
                <c:pt idx="4">
                  <c:v>1906532495.6548798</c:v>
                </c:pt>
                <c:pt idx="5">
                  <c:v>2020947810.4226243</c:v>
                </c:pt>
                <c:pt idx="6">
                  <c:v>2020947810.4226243</c:v>
                </c:pt>
                <c:pt idx="7">
                  <c:v>19837162.818940759</c:v>
                </c:pt>
                <c:pt idx="8">
                  <c:v>2724.7105763852951</c:v>
                </c:pt>
                <c:pt idx="9">
                  <c:v>3260.9876989496688</c:v>
                </c:pt>
                <c:pt idx="10">
                  <c:v>3260.9876989496688</c:v>
                </c:pt>
              </c:numCache>
            </c:numRef>
          </c:yVal>
          <c:smooth val="0"/>
        </c:ser>
        <c:ser>
          <c:idx val="1"/>
          <c:order val="1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myData!$EA$31:$EA$41</c:f>
              <c:numCache>
                <c:formatCode>m/d/yyyy</c:formatCode>
                <c:ptCount val="11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43907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  <c:pt idx="8">
                  <c:v>43911</c:v>
                </c:pt>
                <c:pt idx="9">
                  <c:v>43911</c:v>
                </c:pt>
                <c:pt idx="10">
                  <c:v>43912</c:v>
                </c:pt>
              </c:numCache>
            </c:numRef>
          </c:xVal>
          <c:yVal>
            <c:numRef>
              <c:f>myData!$DV$31:$DV$41</c:f>
              <c:numCache>
                <c:formatCode>##0.0E+0</c:formatCode>
                <c:ptCount val="11"/>
                <c:pt idx="0">
                  <c:v>32853.312146806733</c:v>
                </c:pt>
                <c:pt idx="1">
                  <c:v>36357.597379060448</c:v>
                </c:pt>
                <c:pt idx="2">
                  <c:v>42656.90071971056</c:v>
                </c:pt>
                <c:pt idx="3">
                  <c:v>44773.432595385282</c:v>
                </c:pt>
                <c:pt idx="4">
                  <c:v>44773.432595385282</c:v>
                </c:pt>
                <c:pt idx="5">
                  <c:v>47251.221157049207</c:v>
                </c:pt>
                <c:pt idx="6">
                  <c:v>55402.511466544704</c:v>
                </c:pt>
                <c:pt idx="7">
                  <c:v>60634.520713483966</c:v>
                </c:pt>
                <c:pt idx="8">
                  <c:v>60634.520713483966</c:v>
                </c:pt>
                <c:pt idx="9">
                  <c:v>60634.520713483966</c:v>
                </c:pt>
                <c:pt idx="10">
                  <c:v>65423.849218858661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36224"/>
        <c:axId val="830029168"/>
      </c:scatterChart>
      <c:valAx>
        <c:axId val="83003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29168"/>
        <c:crosses val="autoZero"/>
        <c:crossBetween val="midCat"/>
      </c:valAx>
      <c:valAx>
        <c:axId val="8300291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Mon 23-Mar-2020,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245 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1.0353344974657584E-2</c:v>
                </c:pt>
                <c:pt idx="1">
                  <c:v>1.2624616493400635E-2</c:v>
                </c:pt>
                <c:pt idx="2">
                  <c:v>1.5394149619815426E-2</c:v>
                </c:pt>
                <c:pt idx="3">
                  <c:v>1.8771250805213857E-2</c:v>
                </c:pt>
                <c:pt idx="4">
                  <c:v>2.2889205671918475E-2</c:v>
                </c:pt>
                <c:pt idx="5">
                  <c:v>2.7910539458876202E-2</c:v>
                </c:pt>
                <c:pt idx="6">
                  <c:v>3.4033431480813364E-2</c:v>
                </c:pt>
                <c:pt idx="7">
                  <c:v>4.1499536763373195E-2</c:v>
                </c:pt>
                <c:pt idx="8">
                  <c:v>5.0603523554345782E-2</c:v>
                </c:pt>
                <c:pt idx="9">
                  <c:v>6.1704703132379399E-2</c:v>
                </c:pt>
                <c:pt idx="10">
                  <c:v>7.5241210912239953E-2</c:v>
                </c:pt>
                <c:pt idx="11">
                  <c:v>9.1747298538891908E-2</c:v>
                </c:pt>
                <c:pt idx="12">
                  <c:v>0.11187441944551547</c:v>
                </c:pt>
                <c:pt idx="13">
                  <c:v>0.13641694006898078</c:v>
                </c:pt>
                <c:pt idx="14">
                  <c:v>0.16634349147927094</c:v>
                </c:pt>
                <c:pt idx="15">
                  <c:v>0.20283519879218678</c:v>
                </c:pt>
                <c:pt idx="16">
                  <c:v>0.24733229718333499</c:v>
                </c:pt>
                <c:pt idx="17">
                  <c:v>0.30159097431929299</c:v>
                </c:pt>
                <c:pt idx="18">
                  <c:v>0.36775268263260458</c:v>
                </c:pt>
                <c:pt idx="19">
                  <c:v>0.44842865702038243</c:v>
                </c:pt>
                <c:pt idx="20">
                  <c:v>0.54680297366581598</c:v>
                </c:pt>
                <c:pt idx="21">
                  <c:v>0.66675821745299968</c:v>
                </c:pt>
                <c:pt idx="22">
                  <c:v>0.81302871774935725</c:v>
                </c:pt>
                <c:pt idx="23">
                  <c:v>0.9913874003835188</c:v>
                </c:pt>
                <c:pt idx="24">
                  <c:v>1.2088736303925112</c:v>
                </c:pt>
                <c:pt idx="25">
                  <c:v>1.4740710379138893</c:v>
                </c:pt>
                <c:pt idx="26">
                  <c:v>1.7974462923064154</c:v>
                </c:pt>
                <c:pt idx="27">
                  <c:v>2.1917621950549986</c:v>
                </c:pt>
                <c:pt idx="28">
                  <c:v>2.6725813951895772</c:v>
                </c:pt>
                <c:pt idx="29">
                  <c:v>3.2588806075885284</c:v>
                </c:pt>
                <c:pt idx="30">
                  <c:v>3.9737995758058724</c:v>
                </c:pt>
                <c:pt idx="31">
                  <c:v>4.8455543390863163</c:v>
                </c:pt>
                <c:pt idx="32">
                  <c:v>5.9085508479018829</c:v>
                </c:pt>
                <c:pt idx="33">
                  <c:v>7.2047428795921329</c:v>
                </c:pt>
                <c:pt idx="34">
                  <c:v>8.7852878475956508</c:v>
                </c:pt>
                <c:pt idx="35">
                  <c:v>10.712565854865336</c:v>
                </c:pt>
                <c:pt idx="36">
                  <c:v>13.06264167838691</c:v>
                </c:pt>
                <c:pt idx="37">
                  <c:v>15.928266853087868</c:v>
                </c:pt>
                <c:pt idx="38">
                  <c:v>19.422540339777449</c:v>
                </c:pt>
                <c:pt idx="39">
                  <c:v>23.68337225440024</c:v>
                </c:pt>
                <c:pt idx="40">
                  <c:v>28.878926830679781</c:v>
                </c:pt>
                <c:pt idx="41">
                  <c:v>35.214259436087389</c:v>
                </c:pt>
                <c:pt idx="42">
                  <c:v>42.939409587328463</c:v>
                </c:pt>
                <c:pt idx="43">
                  <c:v>52.359269376147012</c:v>
                </c:pt>
                <c:pt idx="44">
                  <c:v>63.845616787191908</c:v>
                </c:pt>
                <c:pt idx="45">
                  <c:v>77.851788832487316</c:v>
                </c:pt>
                <c:pt idx="46">
                  <c:v>94.930573613915016</c:v>
                </c:pt>
                <c:pt idx="47">
                  <c:v>115.75602746803939</c:v>
                </c:pt>
                <c:pt idx="48">
                  <c:v>141.15007826064556</c:v>
                </c:pt>
                <c:pt idx="49">
                  <c:v>172.1149647955491</c:v>
                </c:pt>
                <c:pt idx="50">
                  <c:v>209.87279263884577</c:v>
                </c:pt>
                <c:pt idx="51">
                  <c:v>255.91376752662643</c:v>
                </c:pt>
                <c:pt idx="52">
                  <c:v>312.05501000635849</c:v>
                </c:pt>
                <c:pt idx="53">
                  <c:v>380.51227257654676</c:v>
                </c:pt>
                <c:pt idx="54">
                  <c:v>463.98738981809544</c:v>
                </c:pt>
                <c:pt idx="55">
                  <c:v>565.77491295196126</c:v>
                </c:pt>
                <c:pt idx="56">
                  <c:v>689.89213741816377</c:v>
                </c:pt>
                <c:pt idx="57">
                  <c:v>841.23765533418077</c:v>
                </c:pt>
                <c:pt idx="58">
                  <c:v>1025.7846904950086</c:v>
                </c:pt>
                <c:pt idx="59">
                  <c:v>1250.8168463552631</c:v>
                </c:pt>
                <c:pt idx="60">
                  <c:v>1525.2155713656482</c:v>
                </c:pt>
                <c:pt idx="61">
                  <c:v>1859.8106871875657</c:v>
                </c:pt>
                <c:pt idx="62">
                  <c:v>2267.8078142394993</c:v>
                </c:pt>
                <c:pt idx="63">
                  <c:v>2765.3095639684311</c:v>
                </c:pt>
                <c:pt idx="64">
                  <c:v>3371.9510679698792</c:v>
                </c:pt>
                <c:pt idx="65">
                  <c:v>4111.6749266588331</c:v>
                </c:pt>
                <c:pt idx="66">
                  <c:v>16480.914776566304</c:v>
                </c:pt>
                <c:pt idx="67">
                  <c:v>66060.794090597527</c:v>
                </c:pt>
                <c:pt idx="68">
                  <c:v>264792.69648370583</c:v>
                </c:pt>
                <c:pt idx="69" formatCode="0.00E+00">
                  <c:v>1061370.8525395524</c:v>
                </c:pt>
                <c:pt idx="70" formatCode="0.00E+00">
                  <c:v>4254260.4245313462</c:v>
                </c:pt>
                <c:pt idx="71" formatCode="0.00E+00">
                  <c:v>17051555.115948118</c:v>
                </c:pt>
                <c:pt idx="72" formatCode="0.00E+00">
                  <c:v>68333837.483001396</c:v>
                </c:pt>
                <c:pt idx="73" formatCode="0.00E+00">
                  <c:v>273674808.51854914</c:v>
                </c:pt>
                <c:pt idx="74" formatCode="0.00E+00">
                  <c:v>1093309703.116997</c:v>
                </c:pt>
                <c:pt idx="75" formatCode="0.00E+00">
                  <c:v>4324394592.1002007</c:v>
                </c:pt>
                <c:pt idx="76" formatCode="0.00E+00">
                  <c:v>16461168559.709417</c:v>
                </c:pt>
                <c:pt idx="77" formatCode="0.00E+00">
                  <c:v>54905181814.931358</c:v>
                </c:pt>
                <c:pt idx="78" formatCode="0.00E+00">
                  <c:v>131555728303.08841</c:v>
                </c:pt>
                <c:pt idx="79" formatCode="0.00E+00">
                  <c:v>201861965534.86621</c:v>
                </c:pt>
                <c:pt idx="80" formatCode="0.00E+00">
                  <c:v>232916232706.71393</c:v>
                </c:pt>
                <c:pt idx="81" formatCode="0.00E+00">
                  <c:v>242212325781.9668</c:v>
                </c:pt>
                <c:pt idx="82" formatCode="0.00E+00">
                  <c:v>244648343381.90469</c:v>
                </c:pt>
                <c:pt idx="83" formatCode="0.00E+00">
                  <c:v>245263739799.81592</c:v>
                </c:pt>
                <c:pt idx="84" formatCode="0.00E+00">
                  <c:v>245417752343.948</c:v>
                </c:pt>
                <c:pt idx="85" formatCode="0.00E+00">
                  <c:v>245456205695.77094</c:v>
                </c:pt>
                <c:pt idx="86" formatCode="0.00E+00">
                  <c:v>245465800953.77081</c:v>
                </c:pt>
                <c:pt idx="87" formatCode="0.00E+00">
                  <c:v>245468194905.03656</c:v>
                </c:pt>
                <c:pt idx="88" formatCode="0.00E+00">
                  <c:v>245468792157.61505</c:v>
                </c:pt>
                <c:pt idx="89" formatCode="0.00E+00">
                  <c:v>245468941161.22479</c:v>
                </c:pt>
                <c:pt idx="90" formatCode="0.00E+00">
                  <c:v>245468978334.81909</c:v>
                </c:pt>
                <c:pt idx="91" formatCode="0.00E+00">
                  <c:v>245468987608.92554</c:v>
                </c:pt>
                <c:pt idx="92" formatCode="0.00E+00">
                  <c:v>245468989922.63876</c:v>
                </c:pt>
                <c:pt idx="93" formatCode="0.00E+00">
                  <c:v>245468990499.86618</c:v>
                </c:pt>
                <c:pt idx="94" formatCode="0.00E+00">
                  <c:v>245468990643.87347</c:v>
                </c:pt>
                <c:pt idx="95" formatCode="0.00E+00">
                  <c:v>245468990679.80054</c:v>
                </c:pt>
                <c:pt idx="96" formatCode="0.00E+00">
                  <c:v>245468990688.76367</c:v>
                </c:pt>
                <c:pt idx="97" formatCode="0.00E+00">
                  <c:v>245468990690.99976</c:v>
                </c:pt>
                <c:pt idx="98" formatCode="0.00E+00">
                  <c:v>245468990691.55765</c:v>
                </c:pt>
                <c:pt idx="99" formatCode="0.00E+00">
                  <c:v>245468990691.69684</c:v>
                </c:pt>
                <c:pt idx="100" formatCode="0.00E+00">
                  <c:v>245468990691.73154</c:v>
                </c:pt>
                <c:pt idx="101" formatCode="0.00E+00">
                  <c:v>245468990691.7402</c:v>
                </c:pt>
                <c:pt idx="102" formatCode="0.00E+00">
                  <c:v>245468990691.74237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0.33085194375516958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0.49627791563275436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3.3085194375516958</c:v>
                </c:pt>
                <c:pt idx="22">
                  <c:v>10.256410256410257</c:v>
                </c:pt>
                <c:pt idx="23">
                  <c:v>25.641025641025642</c:v>
                </c:pt>
                <c:pt idx="24">
                  <c:v>37.882547559966916</c:v>
                </c:pt>
                <c:pt idx="25">
                  <c:v>53.267162944582303</c:v>
                </c:pt>
                <c:pt idx="26">
                  <c:v>74.937965260545909</c:v>
                </c:pt>
                <c:pt idx="27">
                  <c:v>108.35401157981804</c:v>
                </c:pt>
                <c:pt idx="28">
                  <c:v>146.89826302729529</c:v>
                </c:pt>
                <c:pt idx="29">
                  <c:v>186.60049627791562</c:v>
                </c:pt>
                <c:pt idx="30">
                  <c:v>280.2315963606286</c:v>
                </c:pt>
                <c:pt idx="31">
                  <c:v>336.80727874276261</c:v>
                </c:pt>
                <c:pt idx="32">
                  <c:v>413.89578163771711</c:v>
                </c:pt>
                <c:pt idx="33">
                  <c:v>511.00082712985937</c:v>
                </c:pt>
                <c:pt idx="34">
                  <c:v>638.21339950372214</c:v>
                </c:pt>
                <c:pt idx="35">
                  <c:v>766.91480562448305</c:v>
                </c:pt>
                <c:pt idx="36">
                  <c:v>973.20099255583125</c:v>
                </c:pt>
                <c:pt idx="37">
                  <c:v>1220.0165425971877</c:v>
                </c:pt>
                <c:pt idx="38">
                  <c:v>1517.2870140612076</c:v>
                </c:pt>
                <c:pt idx="39">
                  <c:v>1678.9081885856081</c:v>
                </c:pt>
                <c:pt idx="40">
                  <c:v>2061.5384615384614</c:v>
                </c:pt>
                <c:pt idx="41">
                  <c:v>2500.082712985939</c:v>
                </c:pt>
                <c:pt idx="42">
                  <c:v>2921.4226633581475</c:v>
                </c:pt>
                <c:pt idx="43">
                  <c:v>3499.9172870140615</c:v>
                </c:pt>
                <c:pt idx="44">
                  <c:v>4093.7965260545907</c:v>
                </c:pt>
                <c:pt idx="45">
                  <c:v>4628.618693134822</c:v>
                </c:pt>
                <c:pt idx="46">
                  <c:v>5211.9106699751865</c:v>
                </c:pt>
                <c:pt idx="47">
                  <c:v>5907.8577336641856</c:v>
                </c:pt>
                <c:pt idx="48">
                  <c:v>6788.2547559966915</c:v>
                </c:pt>
                <c:pt idx="49">
                  <c:v>7778.4946236559144</c:v>
                </c:pt>
                <c:pt idx="50">
                  <c:v>8863.1927212572373</c:v>
                </c:pt>
                <c:pt idx="51">
                  <c:v>9782.9611248966085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10.8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43928</c:v>
                </c:pt>
                <c:pt idx="62">
                  <c:v>43935</c:v>
                </c:pt>
                <c:pt idx="63">
                  <c:v>43942</c:v>
                </c:pt>
                <c:pt idx="64">
                  <c:v>43949</c:v>
                </c:pt>
                <c:pt idx="65">
                  <c:v>43956</c:v>
                </c:pt>
                <c:pt idx="66">
                  <c:v>43963</c:v>
                </c:pt>
                <c:pt idx="67">
                  <c:v>43970</c:v>
                </c:pt>
                <c:pt idx="68">
                  <c:v>43977</c:v>
                </c:pt>
                <c:pt idx="69">
                  <c:v>43984</c:v>
                </c:pt>
                <c:pt idx="70">
                  <c:v>43991</c:v>
                </c:pt>
                <c:pt idx="71">
                  <c:v>43998</c:v>
                </c:pt>
                <c:pt idx="72">
                  <c:v>44005</c:v>
                </c:pt>
                <c:pt idx="73">
                  <c:v>44012</c:v>
                </c:pt>
                <c:pt idx="74">
                  <c:v>44019</c:v>
                </c:pt>
                <c:pt idx="75">
                  <c:v>44026</c:v>
                </c:pt>
                <c:pt idx="76">
                  <c:v>44033</c:v>
                </c:pt>
                <c:pt idx="77">
                  <c:v>44040</c:v>
                </c:pt>
                <c:pt idx="78">
                  <c:v>44047</c:v>
                </c:pt>
                <c:pt idx="79">
                  <c:v>44054</c:v>
                </c:pt>
                <c:pt idx="80">
                  <c:v>44061</c:v>
                </c:pt>
                <c:pt idx="81">
                  <c:v>44068</c:v>
                </c:pt>
                <c:pt idx="82">
                  <c:v>44075</c:v>
                </c:pt>
                <c:pt idx="83">
                  <c:v>44082</c:v>
                </c:pt>
                <c:pt idx="84">
                  <c:v>44089</c:v>
                </c:pt>
                <c:pt idx="85">
                  <c:v>44096</c:v>
                </c:pt>
                <c:pt idx="86">
                  <c:v>44103</c:v>
                </c:pt>
                <c:pt idx="87">
                  <c:v>44110</c:v>
                </c:pt>
                <c:pt idx="88">
                  <c:v>44117</c:v>
                </c:pt>
                <c:pt idx="89">
                  <c:v>44124</c:v>
                </c:pt>
                <c:pt idx="90">
                  <c:v>44131</c:v>
                </c:pt>
                <c:pt idx="91">
                  <c:v>44138</c:v>
                </c:pt>
                <c:pt idx="92">
                  <c:v>44145</c:v>
                </c:pt>
                <c:pt idx="93">
                  <c:v>44152</c:v>
                </c:pt>
                <c:pt idx="94">
                  <c:v>44159</c:v>
                </c:pt>
                <c:pt idx="95">
                  <c:v>44166</c:v>
                </c:pt>
                <c:pt idx="96">
                  <c:v>44173</c:v>
                </c:pt>
                <c:pt idx="97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0.1227377949478253</c:v>
                </c:pt>
                <c:pt idx="1">
                  <c:v>0.15898225517500719</c:v>
                </c:pt>
                <c:pt idx="2">
                  <c:v>0.20592949771893365</c:v>
                </c:pt>
                <c:pt idx="3">
                  <c:v>0.26673985510033621</c:v>
                </c:pt>
                <c:pt idx="4">
                  <c:v>0.34550675368623363</c:v>
                </c:pt>
                <c:pt idx="5">
                  <c:v>0.44753214791099916</c:v>
                </c:pt>
                <c:pt idx="6">
                  <c:v>0.57968321524871813</c:v>
                </c:pt>
                <c:pt idx="7">
                  <c:v>0.75085425698523589</c:v>
                </c:pt>
                <c:pt idx="8">
                  <c:v>0.97256478595771245</c:v>
                </c:pt>
                <c:pt idx="9">
                  <c:v>1.2597338726728324</c:v>
                </c:pt>
                <c:pt idx="10">
                  <c:v>1.6316825561529313</c:v>
                </c:pt>
                <c:pt idx="11">
                  <c:v>2.1134312596311315</c:v>
                </c:pt>
                <c:pt idx="12">
                  <c:v>2.737378642524233</c:v>
                </c:pt>
                <c:pt idx="13">
                  <c:v>3.5454733804095451</c:v>
                </c:pt>
                <c:pt idx="14">
                  <c:v>4.5920225124458112</c:v>
                </c:pt>
                <c:pt idx="15">
                  <c:v>5.9473211127897621</c:v>
                </c:pt>
                <c:pt idx="16">
                  <c:v>7.7023404252032845</c:v>
                </c:pt>
                <c:pt idx="17">
                  <c:v>9.974777986456429</c:v>
                </c:pt>
                <c:pt idx="18">
                  <c:v>12.916856808778201</c:v>
                </c:pt>
                <c:pt idx="19">
                  <c:v>16.725364829759148</c:v>
                </c:pt>
                <c:pt idx="20">
                  <c:v>21.654553944107061</c:v>
                </c:pt>
                <c:pt idx="21">
                  <c:v>28.032672607410465</c:v>
                </c:pt>
                <c:pt idx="22">
                  <c:v>36.283087726078072</c:v>
                </c:pt>
                <c:pt idx="23">
                  <c:v>46.951156250943285</c:v>
                </c:pt>
                <c:pt idx="24">
                  <c:v>60.738221785212126</c:v>
                </c:pt>
                <c:pt idx="25">
                  <c:v>78.544308157366459</c:v>
                </c:pt>
                <c:pt idx="26">
                  <c:v>101.52120508207864</c:v>
                </c:pt>
                <c:pt idx="27">
                  <c:v>131.13759163928358</c:v>
                </c:pt>
                <c:pt idx="28">
                  <c:v>169.25745339610887</c:v>
                </c:pt>
                <c:pt idx="29">
                  <c:v>218.23204816174473</c:v>
                </c:pt>
                <c:pt idx="30">
                  <c:v>281.0036514211593</c:v>
                </c:pt>
                <c:pt idx="31">
                  <c:v>361.21567906055651</c:v>
                </c:pt>
                <c:pt idx="32">
                  <c:v>463.31778866856013</c:v>
                </c:pt>
                <c:pt idx="33">
                  <c:v>592.64539729411581</c:v>
                </c:pt>
                <c:pt idx="34">
                  <c:v>755.44021782067102</c:v>
                </c:pt>
                <c:pt idx="35">
                  <c:v>958.76246427763067</c:v>
                </c:pt>
                <c:pt idx="36">
                  <c:v>1210.2292654804742</c:v>
                </c:pt>
                <c:pt idx="37">
                  <c:v>1517.5047415121728</c:v>
                </c:pt>
                <c:pt idx="38">
                  <c:v>1887.4780235265077</c:v>
                </c:pt>
                <c:pt idx="39">
                  <c:v>2325.1136885506444</c:v>
                </c:pt>
                <c:pt idx="40">
                  <c:v>2832.0592826513116</c:v>
                </c:pt>
                <c:pt idx="41">
                  <c:v>3405.2424178096699</c:v>
                </c:pt>
                <c:pt idx="42">
                  <c:v>4035.841569001378</c:v>
                </c:pt>
                <c:pt idx="43">
                  <c:v>4709.0813124836568</c:v>
                </c:pt>
                <c:pt idx="44">
                  <c:v>5405.1858723556225</c:v>
                </c:pt>
                <c:pt idx="45">
                  <c:v>6101.4962119979273</c:v>
                </c:pt>
                <c:pt idx="46">
                  <c:v>6775.3267077044529</c:v>
                </c:pt>
                <c:pt idx="47">
                  <c:v>7406.8288602536086</c:v>
                </c:pt>
                <c:pt idx="48">
                  <c:v>7981.1264507564638</c:v>
                </c:pt>
                <c:pt idx="49">
                  <c:v>8489.2909372285667</c:v>
                </c:pt>
                <c:pt idx="50">
                  <c:v>8928.1550320698661</c:v>
                </c:pt>
                <c:pt idx="51">
                  <c:v>9299.2942359118097</c:v>
                </c:pt>
                <c:pt idx="52">
                  <c:v>9607.6268354438034</c:v>
                </c:pt>
                <c:pt idx="53">
                  <c:v>9860.0187302925078</c:v>
                </c:pt>
                <c:pt idx="54">
                  <c:v>10064.12843630878</c:v>
                </c:pt>
                <c:pt idx="55">
                  <c:v>10227.579208985562</c:v>
                </c:pt>
                <c:pt idx="56">
                  <c:v>10357.444057352119</c:v>
                </c:pt>
                <c:pt idx="57">
                  <c:v>10459.980404370523</c:v>
                </c:pt>
                <c:pt idx="58">
                  <c:v>10540.539819991731</c:v>
                </c:pt>
                <c:pt idx="59">
                  <c:v>10603.587114383055</c:v>
                </c:pt>
                <c:pt idx="60">
                  <c:v>10786.354219620207</c:v>
                </c:pt>
                <c:pt idx="61">
                  <c:v>10816.829145499038</c:v>
                </c:pt>
                <c:pt idx="62">
                  <c:v>10821.826797616888</c:v>
                </c:pt>
                <c:pt idx="63">
                  <c:v>10822.64412658855</c:v>
                </c:pt>
                <c:pt idx="64">
                  <c:v>10822.777734605355</c:v>
                </c:pt>
                <c:pt idx="65">
                  <c:v>10822.799573779879</c:v>
                </c:pt>
                <c:pt idx="66">
                  <c:v>10822.803143504394</c:v>
                </c:pt>
                <c:pt idx="67">
                  <c:v>10822.803726992937</c:v>
                </c:pt>
                <c:pt idx="68">
                  <c:v>10822.803822366897</c:v>
                </c:pt>
                <c:pt idx="69">
                  <c:v>10822.803837956222</c:v>
                </c:pt>
                <c:pt idx="70">
                  <c:v>10822.80384050437</c:v>
                </c:pt>
                <c:pt idx="71">
                  <c:v>10822.803840920878</c:v>
                </c:pt>
                <c:pt idx="72">
                  <c:v>10822.803840988958</c:v>
                </c:pt>
                <c:pt idx="73">
                  <c:v>10822.803841000086</c:v>
                </c:pt>
                <c:pt idx="74">
                  <c:v>10822.803841001905</c:v>
                </c:pt>
                <c:pt idx="75">
                  <c:v>10822.803841002202</c:v>
                </c:pt>
                <c:pt idx="76">
                  <c:v>10822.803841002251</c:v>
                </c:pt>
                <c:pt idx="77">
                  <c:v>10822.803841002258</c:v>
                </c:pt>
                <c:pt idx="78">
                  <c:v>10822.80384100226</c:v>
                </c:pt>
                <c:pt idx="79">
                  <c:v>10822.80384100226</c:v>
                </c:pt>
                <c:pt idx="80">
                  <c:v>10822.80384100226</c:v>
                </c:pt>
                <c:pt idx="81">
                  <c:v>10822.80384100226</c:v>
                </c:pt>
                <c:pt idx="82">
                  <c:v>10822.80384100226</c:v>
                </c:pt>
                <c:pt idx="83">
                  <c:v>10822.80384100226</c:v>
                </c:pt>
                <c:pt idx="84">
                  <c:v>10822.80384100226</c:v>
                </c:pt>
                <c:pt idx="85">
                  <c:v>10822.80384100226</c:v>
                </c:pt>
                <c:pt idx="86">
                  <c:v>10822.80384100226</c:v>
                </c:pt>
                <c:pt idx="87">
                  <c:v>10822.80384100226</c:v>
                </c:pt>
                <c:pt idx="88">
                  <c:v>10822.80384100226</c:v>
                </c:pt>
                <c:pt idx="89">
                  <c:v>10822.80384100226</c:v>
                </c:pt>
                <c:pt idx="90">
                  <c:v>10822.80384100226</c:v>
                </c:pt>
                <c:pt idx="91">
                  <c:v>10822.80384100226</c:v>
                </c:pt>
                <c:pt idx="92">
                  <c:v>10822.80384100226</c:v>
                </c:pt>
                <c:pt idx="93">
                  <c:v>10822.80384100226</c:v>
                </c:pt>
                <c:pt idx="94">
                  <c:v>10822.80384100226</c:v>
                </c:pt>
                <c:pt idx="95">
                  <c:v>10822.80384100226</c:v>
                </c:pt>
                <c:pt idx="96">
                  <c:v>10822.80384100226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2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  <c:pt idx="60">
                  <c:v>1730.933852140078</c:v>
                </c:pt>
                <c:pt idx="61">
                  <c:v>1743.3852140077822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1.65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79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43883</c:v>
                </c:pt>
                <c:pt idx="4">
                  <c:v>43884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43928</c:v>
                </c:pt>
                <c:pt idx="43">
                  <c:v>43935</c:v>
                </c:pt>
                <c:pt idx="44">
                  <c:v>43942</c:v>
                </c:pt>
                <c:pt idx="45">
                  <c:v>43949</c:v>
                </c:pt>
                <c:pt idx="46">
                  <c:v>43956</c:v>
                </c:pt>
                <c:pt idx="47">
                  <c:v>43963</c:v>
                </c:pt>
                <c:pt idx="48">
                  <c:v>43970</c:v>
                </c:pt>
                <c:pt idx="49">
                  <c:v>43977</c:v>
                </c:pt>
                <c:pt idx="50">
                  <c:v>43984</c:v>
                </c:pt>
                <c:pt idx="51">
                  <c:v>43991</c:v>
                </c:pt>
                <c:pt idx="52">
                  <c:v>43998</c:v>
                </c:pt>
                <c:pt idx="53">
                  <c:v>44005</c:v>
                </c:pt>
                <c:pt idx="54">
                  <c:v>44012</c:v>
                </c:pt>
                <c:pt idx="55">
                  <c:v>44019</c:v>
                </c:pt>
                <c:pt idx="56">
                  <c:v>44026</c:v>
                </c:pt>
                <c:pt idx="57">
                  <c:v>44033</c:v>
                </c:pt>
                <c:pt idx="58">
                  <c:v>44040</c:v>
                </c:pt>
                <c:pt idx="59">
                  <c:v>44047</c:v>
                </c:pt>
                <c:pt idx="60">
                  <c:v>44054</c:v>
                </c:pt>
                <c:pt idx="61">
                  <c:v>44061</c:v>
                </c:pt>
                <c:pt idx="62">
                  <c:v>44068</c:v>
                </c:pt>
                <c:pt idx="63">
                  <c:v>44075</c:v>
                </c:pt>
                <c:pt idx="64">
                  <c:v>44082</c:v>
                </c:pt>
                <c:pt idx="65">
                  <c:v>44089</c:v>
                </c:pt>
                <c:pt idx="66">
                  <c:v>44096</c:v>
                </c:pt>
                <c:pt idx="67">
                  <c:v>44103</c:v>
                </c:pt>
                <c:pt idx="68">
                  <c:v>44110</c:v>
                </c:pt>
                <c:pt idx="69">
                  <c:v>44117</c:v>
                </c:pt>
                <c:pt idx="70">
                  <c:v>44124</c:v>
                </c:pt>
                <c:pt idx="71">
                  <c:v>44131</c:v>
                </c:pt>
                <c:pt idx="72">
                  <c:v>44138</c:v>
                </c:pt>
                <c:pt idx="73">
                  <c:v>44145</c:v>
                </c:pt>
                <c:pt idx="74">
                  <c:v>44152</c:v>
                </c:pt>
                <c:pt idx="75">
                  <c:v>44159</c:v>
                </c:pt>
                <c:pt idx="76">
                  <c:v>44166</c:v>
                </c:pt>
                <c:pt idx="77">
                  <c:v>44173</c:v>
                </c:pt>
                <c:pt idx="78">
                  <c:v>44180</c:v>
                </c:pt>
              </c:numCache>
            </c:numRef>
          </c:xVal>
          <c:yVal>
            <c:numRef>
              <c:f>myData!SKoreaLogi</c:f>
              <c:numCache>
                <c:formatCode>0.0</c:formatCode>
                <c:ptCount val="79"/>
                <c:pt idx="0">
                  <c:v>38.930432875823321</c:v>
                </c:pt>
                <c:pt idx="1">
                  <c:v>52.647870417045922</c:v>
                </c:pt>
                <c:pt idx="2">
                  <c:v>70.986076740748018</c:v>
                </c:pt>
                <c:pt idx="3">
                  <c:v>95.331128459577826</c:v>
                </c:pt>
                <c:pt idx="4">
                  <c:v>127.3529919197719</c:v>
                </c:pt>
                <c:pt idx="5">
                  <c:v>168.96371198852941</c:v>
                </c:pt>
                <c:pt idx="6">
                  <c:v>222.18908620136907</c:v>
                </c:pt>
                <c:pt idx="7">
                  <c:v>288.91515252881646</c:v>
                </c:pt>
                <c:pt idx="8">
                  <c:v>370.48829989666217</c:v>
                </c:pt>
                <c:pt idx="9">
                  <c:v>467.2001790541612</c:v>
                </c:pt>
                <c:pt idx="10">
                  <c:v>577.77743953647382</c:v>
                </c:pt>
                <c:pt idx="11">
                  <c:v>699.0866432633195</c:v>
                </c:pt>
                <c:pt idx="12">
                  <c:v>826.27858277258372</c:v>
                </c:pt>
                <c:pt idx="13">
                  <c:v>953.46247524568332</c:v>
                </c:pt>
                <c:pt idx="14">
                  <c:v>1074.7490112328071</c:v>
                </c:pt>
                <c:pt idx="15">
                  <c:v>1185.2928588513412</c:v>
                </c:pt>
                <c:pt idx="16">
                  <c:v>1281.9655476656553</c:v>
                </c:pt>
                <c:pt idx="17">
                  <c:v>1363.4984097259442</c:v>
                </c:pt>
                <c:pt idx="18">
                  <c:v>1430.1866045406816</c:v>
                </c:pt>
                <c:pt idx="19">
                  <c:v>1483.378596716213</c:v>
                </c:pt>
                <c:pt idx="20">
                  <c:v>1524.9612581586989</c:v>
                </c:pt>
                <c:pt idx="21">
                  <c:v>1556.9603571951272</c:v>
                </c:pt>
                <c:pt idx="22">
                  <c:v>1581.2874200762215</c:v>
                </c:pt>
                <c:pt idx="23">
                  <c:v>1599.611687159902</c:v>
                </c:pt>
                <c:pt idx="24">
                  <c:v>1613.3184793156256</c:v>
                </c:pt>
                <c:pt idx="25">
                  <c:v>1623.5179651540725</c:v>
                </c:pt>
                <c:pt idx="26">
                  <c:v>1631.0781578448239</c:v>
                </c:pt>
                <c:pt idx="27">
                  <c:v>1636.6658917924742</c:v>
                </c:pt>
                <c:pt idx="28">
                  <c:v>1640.7869910376085</c:v>
                </c:pt>
                <c:pt idx="29">
                  <c:v>1643.8216343726604</c:v>
                </c:pt>
                <c:pt idx="30">
                  <c:v>1646.0536609522824</c:v>
                </c:pt>
                <c:pt idx="31">
                  <c:v>1647.6939528499627</c:v>
                </c:pt>
                <c:pt idx="32">
                  <c:v>1648.898630990338</c:v>
                </c:pt>
                <c:pt idx="33">
                  <c:v>1649.7829749654502</c:v>
                </c:pt>
                <c:pt idx="34">
                  <c:v>1650.4319452430186</c:v>
                </c:pt>
                <c:pt idx="35">
                  <c:v>1650.9080700411328</c:v>
                </c:pt>
                <c:pt idx="36">
                  <c:v>1651.2573212020075</c:v>
                </c:pt>
                <c:pt idx="37">
                  <c:v>1651.5134727652153</c:v>
                </c:pt>
                <c:pt idx="38">
                  <c:v>1651.7013238438251</c:v>
                </c:pt>
                <c:pt idx="39">
                  <c:v>1651.8390762614063</c:v>
                </c:pt>
                <c:pt idx="40">
                  <c:v>1651.9400856927743</c:v>
                </c:pt>
                <c:pt idx="41">
                  <c:v>1652.0141498141534</c:v>
                </c:pt>
                <c:pt idx="42">
                  <c:v>1652.1945037561979</c:v>
                </c:pt>
                <c:pt idx="43">
                  <c:v>1652.2150426902629</c:v>
                </c:pt>
                <c:pt idx="44">
                  <c:v>1652.2173814379266</c:v>
                </c:pt>
                <c:pt idx="45">
                  <c:v>1652.2176477454918</c:v>
                </c:pt>
                <c:pt idx="46">
                  <c:v>1652.2176780692505</c:v>
                </c:pt>
                <c:pt idx="47">
                  <c:v>1652.2176815221387</c:v>
                </c:pt>
                <c:pt idx="48">
                  <c:v>1652.2176819153103</c:v>
                </c:pt>
                <c:pt idx="49">
                  <c:v>1652.2176819600797</c:v>
                </c:pt>
                <c:pt idx="50">
                  <c:v>1652.2176819651777</c:v>
                </c:pt>
                <c:pt idx="51">
                  <c:v>1652.2176819657579</c:v>
                </c:pt>
                <c:pt idx="52">
                  <c:v>1652.2176819658239</c:v>
                </c:pt>
                <c:pt idx="53">
                  <c:v>1652.2176819658316</c:v>
                </c:pt>
                <c:pt idx="54">
                  <c:v>1652.2176819658328</c:v>
                </c:pt>
                <c:pt idx="55">
                  <c:v>1652.2176819658328</c:v>
                </c:pt>
                <c:pt idx="56">
                  <c:v>1652.2176819658328</c:v>
                </c:pt>
                <c:pt idx="57">
                  <c:v>1652.2176819658328</c:v>
                </c:pt>
                <c:pt idx="58">
                  <c:v>1652.2176819658328</c:v>
                </c:pt>
                <c:pt idx="59">
                  <c:v>1652.2176819658328</c:v>
                </c:pt>
                <c:pt idx="60">
                  <c:v>1652.2176819658328</c:v>
                </c:pt>
                <c:pt idx="61">
                  <c:v>1652.2176819658328</c:v>
                </c:pt>
                <c:pt idx="62">
                  <c:v>1652.2176819658328</c:v>
                </c:pt>
                <c:pt idx="63">
                  <c:v>1652.2176819658328</c:v>
                </c:pt>
                <c:pt idx="64">
                  <c:v>1652.2176819658328</c:v>
                </c:pt>
                <c:pt idx="65">
                  <c:v>1652.2176819658328</c:v>
                </c:pt>
                <c:pt idx="66">
                  <c:v>1652.2176819658328</c:v>
                </c:pt>
                <c:pt idx="67">
                  <c:v>1652.2176819658328</c:v>
                </c:pt>
                <c:pt idx="68">
                  <c:v>1652.2176819658328</c:v>
                </c:pt>
                <c:pt idx="69">
                  <c:v>1652.2176819658328</c:v>
                </c:pt>
                <c:pt idx="70">
                  <c:v>1652.2176819658328</c:v>
                </c:pt>
                <c:pt idx="71">
                  <c:v>1652.2176819658328</c:v>
                </c:pt>
                <c:pt idx="72">
                  <c:v>1652.2176819658328</c:v>
                </c:pt>
                <c:pt idx="73">
                  <c:v>1652.2176819658328</c:v>
                </c:pt>
                <c:pt idx="74">
                  <c:v>1652.2176819658328</c:v>
                </c:pt>
                <c:pt idx="75">
                  <c:v>1652.2176819658328</c:v>
                </c:pt>
                <c:pt idx="76">
                  <c:v>1652.2176819658328</c:v>
                </c:pt>
                <c:pt idx="77">
                  <c:v>1652.2176819658328</c:v>
                </c:pt>
                <c:pt idx="78">
                  <c:v>1652.2176819658328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57.167639173631919</c:v>
                </c:pt>
                <c:pt idx="47">
                  <c:v>78.851916101561272</c:v>
                </c:pt>
                <c:pt idx="48">
                  <c:v>98.95915470745939</c:v>
                </c:pt>
                <c:pt idx="49">
                  <c:v>124.58602744046681</c:v>
                </c:pt>
                <c:pt idx="50">
                  <c:v>148.635861851443</c:v>
                </c:pt>
                <c:pt idx="51">
                  <c:v>179.78236871155968</c:v>
                </c:pt>
                <c:pt idx="52">
                  <c:v>223.93944172843399</c:v>
                </c:pt>
                <c:pt idx="53">
                  <c:v>279.92430216054248</c:v>
                </c:pt>
                <c:pt idx="54">
                  <c:v>345.76565210534613</c:v>
                </c:pt>
                <c:pt idx="55">
                  <c:v>423.04052988487621</c:v>
                </c:pt>
                <c:pt idx="56">
                  <c:v>533.82747200756978</c:v>
                </c:pt>
                <c:pt idx="57">
                  <c:v>674.57814224885669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84.7 G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3.2032723800578824E-3</c:v>
                </c:pt>
                <c:pt idx="1">
                  <c:v>3.9707683672117553E-3</c:v>
                </c:pt>
                <c:pt idx="2">
                  <c:v>4.9221544581121643E-3</c:v>
                </c:pt>
                <c:pt idx="3">
                  <c:v>6.1014902580494353E-3</c:v>
                </c:pt>
                <c:pt idx="4">
                  <c:v>7.5633919426718868E-3</c:v>
                </c:pt>
                <c:pt idx="5">
                  <c:v>9.3755615856316084E-3</c:v>
                </c:pt>
                <c:pt idx="6">
                  <c:v>1.1621922506758019E-2</c:v>
                </c:pt>
                <c:pt idx="7">
                  <c:v>1.4406505841749894E-2</c:v>
                </c:pt>
                <c:pt idx="8">
                  <c:v>1.7858268324168026E-2</c:v>
                </c:pt>
                <c:pt idx="9">
                  <c:v>2.2137064395848161E-2</c:v>
                </c:pt>
                <c:pt idx="10">
                  <c:v>2.7441049219913801E-2</c:v>
                </c:pt>
                <c:pt idx="11">
                  <c:v>3.401585543704469E-2</c:v>
                </c:pt>
                <c:pt idx="12">
                  <c:v>4.2165968649413639E-2</c:v>
                </c:pt>
                <c:pt idx="13">
                  <c:v>5.2268828441898008E-2</c:v>
                </c:pt>
                <c:pt idx="14">
                  <c:v>6.4792307972426466E-2</c:v>
                </c:pt>
                <c:pt idx="15">
                  <c:v>8.0316381628108446E-2</c:v>
                </c:pt>
                <c:pt idx="16">
                  <c:v>9.9559984197150314E-2</c:v>
                </c:pt>
                <c:pt idx="17">
                  <c:v>0.12341430543065314</c:v>
                </c:pt>
                <c:pt idx="18">
                  <c:v>0.15298406189748553</c:v>
                </c:pt>
                <c:pt idx="19">
                  <c:v>0.18963865747154052</c:v>
                </c:pt>
                <c:pt idx="20">
                  <c:v>0.23507560174276967</c:v>
                </c:pt>
                <c:pt idx="21">
                  <c:v>0.29139912331962836</c:v>
                </c:pt>
                <c:pt idx="22">
                  <c:v>0.36121761868060848</c:v>
                </c:pt>
                <c:pt idx="23">
                  <c:v>0.44776444952494082</c:v>
                </c:pt>
                <c:pt idx="24">
                  <c:v>0.55504768286400186</c:v>
                </c:pt>
                <c:pt idx="25">
                  <c:v>0.68803570846113715</c:v>
                </c:pt>
                <c:pt idx="26">
                  <c:v>0.85288732974214054</c:v>
                </c:pt>
                <c:pt idx="27">
                  <c:v>1.0572369839078302</c:v>
                </c:pt>
                <c:pt idx="28">
                  <c:v>1.3105483000665699</c:v>
                </c:pt>
                <c:pt idx="29">
                  <c:v>1.6245523690040344</c:v>
                </c:pt>
                <c:pt idx="30">
                  <c:v>2.0137910212849235</c:v>
                </c:pt>
                <c:pt idx="31">
                  <c:v>2.4962902734182233</c:v>
                </c:pt>
                <c:pt idx="32">
                  <c:v>3.0943951300258861</c:v>
                </c:pt>
                <c:pt idx="33">
                  <c:v>3.8358044025064792</c:v>
                </c:pt>
                <c:pt idx="34">
                  <c:v>4.7548534676417136</c:v>
                </c:pt>
                <c:pt idx="35">
                  <c:v>5.894104371931002</c:v>
                </c:pt>
                <c:pt idx="36">
                  <c:v>7.306316920915461</c:v>
                </c:pt>
                <c:pt idx="37">
                  <c:v>9.0568920365340286</c:v>
                </c:pt>
                <c:pt idx="38">
                  <c:v>11.226900536741196</c:v>
                </c:pt>
                <c:pt idx="39">
                  <c:v>13.916837603083698</c:v>
                </c:pt>
                <c:pt idx="40">
                  <c:v>17.25127680924026</c:v>
                </c:pt>
                <c:pt idx="41">
                  <c:v>21.384639243061851</c:v>
                </c:pt>
                <c:pt idx="42">
                  <c:v>26.508344895701267</c:v>
                </c:pt>
                <c:pt idx="43">
                  <c:v>32.859677505537057</c:v>
                </c:pt>
                <c:pt idx="44">
                  <c:v>40.732773396334963</c:v>
                </c:pt>
                <c:pt idx="45">
                  <c:v>50.49224321330113</c:v>
                </c:pt>
                <c:pt idx="46">
                  <c:v>62.590057392707479</c:v>
                </c:pt>
                <c:pt idx="47">
                  <c:v>77.586477347402308</c:v>
                </c:pt>
                <c:pt idx="48">
                  <c:v>96.176001711494337</c:v>
                </c:pt>
                <c:pt idx="49">
                  <c:v>119.2195292396858</c:v>
                </c:pt>
                <c:pt idx="50">
                  <c:v>147.78422785594856</c:v>
                </c:pt>
                <c:pt idx="51">
                  <c:v>183.19295622536029</c:v>
                </c:pt>
                <c:pt idx="52">
                  <c:v>227.08552660935237</c:v>
                </c:pt>
                <c:pt idx="53">
                  <c:v>281.49464614570064</c:v>
                </c:pt>
                <c:pt idx="54">
                  <c:v>348.94005346632031</c:v>
                </c:pt>
                <c:pt idx="55">
                  <c:v>432.54521020915308</c:v>
                </c:pt>
                <c:pt idx="56">
                  <c:v>536.18195151873238</c:v>
                </c:pt>
                <c:pt idx="57">
                  <c:v>664.64979443680033</c:v>
                </c:pt>
                <c:pt idx="58">
                  <c:v>823.89820812324399</c:v>
                </c:pt>
                <c:pt idx="59">
                  <c:v>1021.3021394492929</c:v>
                </c:pt>
                <c:pt idx="60">
                  <c:v>1266.0035538092777</c:v>
                </c:pt>
                <c:pt idx="61">
                  <c:v>1569.3348082206915</c:v>
                </c:pt>
                <c:pt idx="62">
                  <c:v>1945.3434635068977</c:v>
                </c:pt>
                <c:pt idx="63">
                  <c:v>2411.4428400868997</c:v>
                </c:pt>
                <c:pt idx="64">
                  <c:v>2989.2184451864</c:v>
                </c:pt>
                <c:pt idx="65">
                  <c:v>3705.4276178129844</c:v>
                </c:pt>
                <c:pt idx="66">
                  <c:v>16664.91328837716</c:v>
                </c:pt>
                <c:pt idx="67">
                  <c:v>74949.294631472148</c:v>
                </c:pt>
                <c:pt idx="68">
                  <c:v>337078.45617904089</c:v>
                </c:pt>
                <c:pt idx="69" formatCode="0.00E+00">
                  <c:v>1515966.976140595</c:v>
                </c:pt>
                <c:pt idx="70" formatCode="0.00E+00">
                  <c:v>6817534.4412277648</c:v>
                </c:pt>
                <c:pt idx="71" formatCode="0.00E+00">
                  <c:v>30652779.694883805</c:v>
                </c:pt>
                <c:pt idx="72" formatCode="0.00E+00">
                  <c:v>137684543.96523103</c:v>
                </c:pt>
                <c:pt idx="73" formatCode="0.00E+00">
                  <c:v>615725812.8260783</c:v>
                </c:pt>
                <c:pt idx="74" formatCode="0.00E+00">
                  <c:v>2700511998.5739789</c:v>
                </c:pt>
                <c:pt idx="75" formatCode="0.00E+00">
                  <c:v>10926681457.68347</c:v>
                </c:pt>
                <c:pt idx="76" formatCode="0.00E+00">
                  <c:v>33861112821.491123</c:v>
                </c:pt>
                <c:pt idx="77" formatCode="0.00E+00">
                  <c:v>63493184222.197762</c:v>
                </c:pt>
                <c:pt idx="78" formatCode="0.00E+00">
                  <c:v>78832294136.517242</c:v>
                </c:pt>
                <c:pt idx="79" formatCode="0.00E+00">
                  <c:v>83307275081.296692</c:v>
                </c:pt>
                <c:pt idx="80" formatCode="0.00E+00">
                  <c:v>84372206502.717514</c:v>
                </c:pt>
                <c:pt idx="81" formatCode="0.00E+00">
                  <c:v>84612703408.221054</c:v>
                </c:pt>
                <c:pt idx="82" formatCode="0.00E+00">
                  <c:v>84666364092.313934</c:v>
                </c:pt>
                <c:pt idx="83" formatCode="0.00E+00">
                  <c:v>84678304743.123917</c:v>
                </c:pt>
                <c:pt idx="84" formatCode="0.00E+00">
                  <c:v>84680960192.775803</c:v>
                </c:pt>
                <c:pt idx="85" formatCode="0.00E+00">
                  <c:v>84681550652.0224</c:v>
                </c:pt>
                <c:pt idx="86" formatCode="0.00E+00">
                  <c:v>84681681941.173126</c:v>
                </c:pt>
                <c:pt idx="87" formatCode="0.00E+00">
                  <c:v>84681711133.24176</c:v>
                </c:pt>
                <c:pt idx="88" formatCode="0.00E+00">
                  <c:v>84681717624.072189</c:v>
                </c:pt>
                <c:pt idx="89" formatCode="0.00E+00">
                  <c:v>84681719067.302094</c:v>
                </c:pt>
                <c:pt idx="90" formatCode="0.00E+00">
                  <c:v>84681719388.20282</c:v>
                </c:pt>
                <c:pt idx="91" formatCode="0.00E+00">
                  <c:v>84681719459.554794</c:v>
                </c:pt>
                <c:pt idx="92" formatCode="0.00E+00">
                  <c:v>84681719475.41983</c:v>
                </c:pt>
                <c:pt idx="93" formatCode="0.00E+00">
                  <c:v>84681719478.947418</c:v>
                </c:pt>
                <c:pt idx="94" formatCode="0.00E+00">
                  <c:v>84681719479.731766</c:v>
                </c:pt>
                <c:pt idx="95" formatCode="0.00E+00">
                  <c:v>84681719479.906158</c:v>
                </c:pt>
                <c:pt idx="96" formatCode="0.00E+00">
                  <c:v>84681719479.944946</c:v>
                </c:pt>
                <c:pt idx="97" formatCode="0.00E+00">
                  <c:v>84681719479.953568</c:v>
                </c:pt>
                <c:pt idx="98" formatCode="0.00E+00">
                  <c:v>84681719479.955475</c:v>
                </c:pt>
                <c:pt idx="99" formatCode="0.00E+00">
                  <c:v>84681719479.955917</c:v>
                </c:pt>
                <c:pt idx="100" formatCode="0.00E+00">
                  <c:v>84681719479.955994</c:v>
                </c:pt>
                <c:pt idx="101" formatCode="0.00E+00">
                  <c:v>84681719479.956039</c:v>
                </c:pt>
                <c:pt idx="102" formatCode="0.00E+00">
                  <c:v>84681719479.956039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6"/>
                <c:pt idx="0">
                  <c:v>0.30102347983142685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0.45153521974714028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1.2040939193257074</c:v>
                </c:pt>
                <c:pt idx="11">
                  <c:v>1.2040939193257074</c:v>
                </c:pt>
                <c:pt idx="12">
                  <c:v>1.3546056592414208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1.9566526189042746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2.2576760987357014</c:v>
                </c:pt>
                <c:pt idx="28">
                  <c:v>3.0102347983142685</c:v>
                </c:pt>
                <c:pt idx="29">
                  <c:v>3.4617700180614088</c:v>
                </c:pt>
                <c:pt idx="30">
                  <c:v>5.4184226369656834</c:v>
                </c:pt>
                <c:pt idx="31">
                  <c:v>6.0204695966285371</c:v>
                </c:pt>
                <c:pt idx="32">
                  <c:v>7.6760987357013848</c:v>
                </c:pt>
                <c:pt idx="33">
                  <c:v>12.944009632751355</c:v>
                </c:pt>
                <c:pt idx="34">
                  <c:v>17.459361830222758</c:v>
                </c:pt>
                <c:pt idx="35">
                  <c:v>24.683925346177002</c:v>
                </c:pt>
                <c:pt idx="36">
                  <c:v>31.155930162552679</c:v>
                </c:pt>
                <c:pt idx="37">
                  <c:v>41.240216736905481</c:v>
                </c:pt>
                <c:pt idx="38">
                  <c:v>48.464780252859725</c:v>
                </c:pt>
                <c:pt idx="39">
                  <c:v>57.796508127633956</c:v>
                </c:pt>
                <c:pt idx="40">
                  <c:v>69.084888621312459</c:v>
                </c:pt>
                <c:pt idx="41">
                  <c:v>69.084888621312459</c:v>
                </c:pt>
                <c:pt idx="42">
                  <c:v>120.71041541240217</c:v>
                </c:pt>
                <c:pt idx="43">
                  <c:v>172.18543046357615</c:v>
                </c:pt>
                <c:pt idx="44">
                  <c:v>172.33594220349187</c:v>
                </c:pt>
                <c:pt idx="45">
                  <c:v>233.44370860927151</c:v>
                </c:pt>
                <c:pt idx="46">
                  <c:v>295.0030102347983</c:v>
                </c:pt>
                <c:pt idx="47">
                  <c:v>397.65201685731489</c:v>
                </c:pt>
                <c:pt idx="48">
                  <c:v>408.78988561107764</c:v>
                </c:pt>
                <c:pt idx="49">
                  <c:v>604.15412402167362</c:v>
                </c:pt>
                <c:pt idx="50">
                  <c:v>762.64298615291989</c:v>
                </c:pt>
                <c:pt idx="51">
                  <c:v>864.08789885611077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16.7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43928</c:v>
                </c:pt>
                <c:pt idx="62">
                  <c:v>43935</c:v>
                </c:pt>
                <c:pt idx="63">
                  <c:v>43942</c:v>
                </c:pt>
                <c:pt idx="64">
                  <c:v>43949</c:v>
                </c:pt>
                <c:pt idx="65">
                  <c:v>43956</c:v>
                </c:pt>
                <c:pt idx="66">
                  <c:v>43963</c:v>
                </c:pt>
                <c:pt idx="67">
                  <c:v>43970</c:v>
                </c:pt>
                <c:pt idx="68">
                  <c:v>43977</c:v>
                </c:pt>
                <c:pt idx="69">
                  <c:v>43984</c:v>
                </c:pt>
                <c:pt idx="70">
                  <c:v>43991</c:v>
                </c:pt>
                <c:pt idx="71">
                  <c:v>43998</c:v>
                </c:pt>
                <c:pt idx="72">
                  <c:v>44005</c:v>
                </c:pt>
                <c:pt idx="73">
                  <c:v>44012</c:v>
                </c:pt>
                <c:pt idx="74">
                  <c:v>44019</c:v>
                </c:pt>
                <c:pt idx="75">
                  <c:v>44026</c:v>
                </c:pt>
                <c:pt idx="76">
                  <c:v>44033</c:v>
                </c:pt>
                <c:pt idx="77">
                  <c:v>44040</c:v>
                </c:pt>
                <c:pt idx="78">
                  <c:v>44047</c:v>
                </c:pt>
                <c:pt idx="79">
                  <c:v>44054</c:v>
                </c:pt>
                <c:pt idx="80">
                  <c:v>44061</c:v>
                </c:pt>
                <c:pt idx="81">
                  <c:v>44068</c:v>
                </c:pt>
                <c:pt idx="82">
                  <c:v>44075</c:v>
                </c:pt>
                <c:pt idx="83">
                  <c:v>44082</c:v>
                </c:pt>
                <c:pt idx="84">
                  <c:v>44089</c:v>
                </c:pt>
                <c:pt idx="85">
                  <c:v>44096</c:v>
                </c:pt>
                <c:pt idx="86">
                  <c:v>44103</c:v>
                </c:pt>
                <c:pt idx="87">
                  <c:v>44110</c:v>
                </c:pt>
                <c:pt idx="88">
                  <c:v>44117</c:v>
                </c:pt>
                <c:pt idx="89">
                  <c:v>44124</c:v>
                </c:pt>
                <c:pt idx="90">
                  <c:v>44131</c:v>
                </c:pt>
                <c:pt idx="91">
                  <c:v>44138</c:v>
                </c:pt>
                <c:pt idx="92">
                  <c:v>44145</c:v>
                </c:pt>
                <c:pt idx="93">
                  <c:v>44152</c:v>
                </c:pt>
                <c:pt idx="94">
                  <c:v>44159</c:v>
                </c:pt>
                <c:pt idx="95">
                  <c:v>44166</c:v>
                </c:pt>
                <c:pt idx="96">
                  <c:v>44173</c:v>
                </c:pt>
                <c:pt idx="97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8"/>
                <c:pt idx="0">
                  <c:v>5.6548767069628837E-3</c:v>
                </c:pt>
                <c:pt idx="1">
                  <c:v>7.15962982576862E-3</c:v>
                </c:pt>
                <c:pt idx="2">
                  <c:v>9.0647949844315113E-3</c:v>
                </c:pt>
                <c:pt idx="3">
                  <c:v>1.1476920959694744E-2</c:v>
                </c:pt>
                <c:pt idx="4">
                  <c:v>1.4530908847903158E-2</c:v>
                </c:pt>
                <c:pt idx="5">
                  <c:v>1.8397556487050951E-2</c:v>
                </c:pt>
                <c:pt idx="6">
                  <c:v>2.3293110386105129E-2</c:v>
                </c:pt>
                <c:pt idx="7">
                  <c:v>2.9491359325054249E-2</c:v>
                </c:pt>
                <c:pt idx="8">
                  <c:v>3.7338945910448909E-2</c:v>
                </c:pt>
                <c:pt idx="9">
                  <c:v>4.7274752299479493E-2</c:v>
                </c:pt>
                <c:pt idx="10" formatCode="0.0">
                  <c:v>5.9854444094438825E-2</c:v>
                </c:pt>
                <c:pt idx="11" formatCode="0.0">
                  <c:v>7.5781544783434129E-2</c:v>
                </c:pt>
                <c:pt idx="12" formatCode="0.0">
                  <c:v>9.5946778166572697E-2</c:v>
                </c:pt>
                <c:pt idx="13" formatCode="0.0">
                  <c:v>0.12147787833840593</c:v>
                </c:pt>
                <c:pt idx="14" formatCode="0.0">
                  <c:v>0.15380265178190572</c:v>
                </c:pt>
                <c:pt idx="15" formatCode="0.0">
                  <c:v>0.19472881658555266</c:v>
                </c:pt>
                <c:pt idx="16" formatCode="0.0">
                  <c:v>0.246545080978506</c:v>
                </c:pt>
                <c:pt idx="17" formatCode="0.0">
                  <c:v>0.31214910945288521</c:v>
                </c:pt>
                <c:pt idx="18" formatCode="0.0">
                  <c:v>0.39520952563951245</c:v>
                </c:pt>
                <c:pt idx="19" formatCode="0.0">
                  <c:v>0.50037100012230729</c:v>
                </c:pt>
                <c:pt idx="20" formatCode="0.0">
                  <c:v>0.63351387369398904</c:v>
                </c:pt>
                <c:pt idx="21" formatCode="0.0">
                  <c:v>0.80208280487692452</c:v>
                </c:pt>
                <c:pt idx="22" formatCode="0.0">
                  <c:v>1.0155027721395893</c:v>
                </c:pt>
                <c:pt idx="23" formatCode="0.0">
                  <c:v>1.2857056167468126</c:v>
                </c:pt>
                <c:pt idx="24" formatCode="0.0">
                  <c:v>1.6277964463620842</c:v>
                </c:pt>
                <c:pt idx="25" formatCode="0.0">
                  <c:v>2.0608969645736002</c:v>
                </c:pt>
                <c:pt idx="26" formatCode="0.0">
                  <c:v>2.6092125631979002</c:v>
                </c:pt>
                <c:pt idx="27" formatCode="0.0">
                  <c:v>3.3033823311593529</c:v>
                </c:pt>
                <c:pt idx="28" formatCode="0.0">
                  <c:v>4.1821866401868935</c:v>
                </c:pt>
                <c:pt idx="29" formatCode="0.0">
                  <c:v>5.2947064593389284</c:v>
                </c:pt>
                <c:pt idx="30" formatCode="0.0">
                  <c:v>6.7030530033560538</c:v>
                </c:pt>
                <c:pt idx="31" formatCode="0.0">
                  <c:v>8.4858169189962407</c:v>
                </c:pt>
                <c:pt idx="32" formatCode="0.0">
                  <c:v>10.742424378328549</c:v>
                </c:pt>
                <c:pt idx="33" formatCode="0.0">
                  <c:v>13.598634847011418</c:v>
                </c:pt>
                <c:pt idx="34" formatCode="0.0">
                  <c:v>17.213473836796549</c:v>
                </c:pt>
                <c:pt idx="35" formatCode="0.0">
                  <c:v>21.787965725756759</c:v>
                </c:pt>
                <c:pt idx="36" formatCode="0.0">
                  <c:v>27.576118870299567</c:v>
                </c:pt>
                <c:pt idx="37" formatCode="0.0">
                  <c:v>34.898719630178583</c:v>
                </c:pt>
                <c:pt idx="38" formatCode="0.0">
                  <c:v>44.160614702007493</c:v>
                </c:pt>
                <c:pt idx="39" formatCode="0.0">
                  <c:v>55.872301740433983</c:v>
                </c:pt>
                <c:pt idx="40" formatCode="0.0">
                  <c:v>70.676802843303193</c:v>
                </c:pt>
                <c:pt idx="41" formatCode="0.0">
                  <c:v>89.38295456362323</c:v>
                </c:pt>
                <c:pt idx="42" formatCode="0.0">
                  <c:v>113.00639248974529</c:v>
                </c:pt>
                <c:pt idx="43" formatCode="0.0">
                  <c:v>142.81960319458156</c:v>
                </c:pt>
                <c:pt idx="44" formatCode="0.0">
                  <c:v>180.41240193060014</c:v>
                </c:pt>
                <c:pt idx="45" formatCode="0.0">
                  <c:v>227.76397396804725</c:v>
                </c:pt>
                <c:pt idx="46" formatCode="0.0">
                  <c:v>287.32703994573609</c:v>
                </c:pt>
                <c:pt idx="47" formatCode="0.0">
                  <c:v>362.12354576632367</c:v>
                </c:pt>
                <c:pt idx="48" formatCode="0.0">
                  <c:v>455.84921635538694</c:v>
                </c:pt>
                <c:pt idx="49" formatCode="0.0">
                  <c:v>572.98092858645668</c:v>
                </c:pt>
                <c:pt idx="50" formatCode="0.0">
                  <c:v>718.87565262414284</c:v>
                </c:pt>
                <c:pt idx="51" formatCode="0.0">
                  <c:v>899.84220441423145</c:v>
                </c:pt>
                <c:pt idx="52" formatCode="0.0">
                  <c:v>1123.1570252167842</c:v>
                </c:pt>
                <c:pt idx="53" formatCode="0.0">
                  <c:v>1396.9831567579624</c:v>
                </c:pt>
                <c:pt idx="54" formatCode="0.0">
                  <c:v>1730.1394815790807</c:v>
                </c:pt>
                <c:pt idx="55" formatCode="0.0">
                  <c:v>2131.6595646319856</c:v>
                </c:pt>
                <c:pt idx="56" formatCode="0.0">
                  <c:v>2610.0837569657333</c:v>
                </c:pt>
                <c:pt idx="57" formatCode="0.0">
                  <c:v>3172.4552889389734</c:v>
                </c:pt>
                <c:pt idx="58" formatCode="0.0">
                  <c:v>3823.0515638985376</c:v>
                </c:pt>
                <c:pt idx="59" formatCode="0.0">
                  <c:v>4561.9791719836039</c:v>
                </c:pt>
                <c:pt idx="60" formatCode="0.0">
                  <c:v>5383.8804994673665</c:v>
                </c:pt>
                <c:pt idx="61" formatCode="0.0">
                  <c:v>11891.040005851481</c:v>
                </c:pt>
                <c:pt idx="62" formatCode="0.000E+00">
                  <c:v>15478.129860474997</c:v>
                </c:pt>
                <c:pt idx="63" formatCode="0.000E+00">
                  <c:v>16428.396122109112</c:v>
                </c:pt>
                <c:pt idx="64" formatCode="0.000E+00">
                  <c:v>16624.096928656647</c:v>
                </c:pt>
                <c:pt idx="65" formatCode="0.000E+00">
                  <c:v>16662.155840798157</c:v>
                </c:pt>
                <c:pt idx="66" formatCode="0.000E+00">
                  <c:v>16669.473428193636</c:v>
                </c:pt>
                <c:pt idx="67" formatCode="0.000E+00">
                  <c:v>16670.877285315117</c:v>
                </c:pt>
                <c:pt idx="68" formatCode="0.000E+00">
                  <c:v>16671.146497197697</c:v>
                </c:pt>
                <c:pt idx="69" formatCode="0.000E+00">
                  <c:v>16671.198118661072</c:v>
                </c:pt>
                <c:pt idx="70" formatCode="0.000E+00">
                  <c:v>16671.208016938988</c:v>
                </c:pt>
                <c:pt idx="71" formatCode="0.000E+00">
                  <c:v>16671.209914901716</c:v>
                </c:pt>
                <c:pt idx="72" formatCode="0.000E+00">
                  <c:v>16671.210278829712</c:v>
                </c:pt>
                <c:pt idx="73" formatCode="0.000E+00">
                  <c:v>16671.210348611683</c:v>
                </c:pt>
                <c:pt idx="74" formatCode="0.000E+00">
                  <c:v>16671.210361992136</c:v>
                </c:pt>
                <c:pt idx="75" formatCode="0.000E+00">
                  <c:v>16671.210364557795</c:v>
                </c:pt>
                <c:pt idx="76" formatCode="0.000E+00">
                  <c:v>16671.210365049748</c:v>
                </c:pt>
                <c:pt idx="77" formatCode="0.000E+00">
                  <c:v>16671.210365144081</c:v>
                </c:pt>
                <c:pt idx="78" formatCode="0.000E+00">
                  <c:v>16671.210365162169</c:v>
                </c:pt>
                <c:pt idx="79" formatCode="0.000E+00">
                  <c:v>16671.21036516564</c:v>
                </c:pt>
                <c:pt idx="80" formatCode="0.000E+00">
                  <c:v>16671.210365166302</c:v>
                </c:pt>
                <c:pt idx="81" formatCode="0.000E+00">
                  <c:v>16671.210365166429</c:v>
                </c:pt>
                <c:pt idx="82" formatCode="0.000E+00">
                  <c:v>16671.210365166455</c:v>
                </c:pt>
                <c:pt idx="83" formatCode="0.000E+00">
                  <c:v>16671.210365166462</c:v>
                </c:pt>
                <c:pt idx="84" formatCode="0.000E+00">
                  <c:v>16671.210365166462</c:v>
                </c:pt>
                <c:pt idx="85" formatCode="0.000E+00">
                  <c:v>16671.210365166462</c:v>
                </c:pt>
                <c:pt idx="86" formatCode="0.000E+00">
                  <c:v>16671.210365166462</c:v>
                </c:pt>
                <c:pt idx="87" formatCode="0.000E+00">
                  <c:v>16671.210365166462</c:v>
                </c:pt>
                <c:pt idx="88" formatCode="0.000E+00">
                  <c:v>16671.210365166462</c:v>
                </c:pt>
                <c:pt idx="89" formatCode="0.000E+00">
                  <c:v>16671.210365166462</c:v>
                </c:pt>
                <c:pt idx="90" formatCode="0.000E+00">
                  <c:v>16671.210365166462</c:v>
                </c:pt>
                <c:pt idx="91" formatCode="0.000E+00">
                  <c:v>16671.210365166462</c:v>
                </c:pt>
                <c:pt idx="92" formatCode="0.000E+00">
                  <c:v>16671.210365166462</c:v>
                </c:pt>
                <c:pt idx="93" formatCode="0.000E+00">
                  <c:v>16671.210365166462</c:v>
                </c:pt>
                <c:pt idx="94" formatCode="0.000E+00">
                  <c:v>16671.210365166462</c:v>
                </c:pt>
                <c:pt idx="95" formatCode="0.000E+00">
                  <c:v>16671.210365166462</c:v>
                </c:pt>
                <c:pt idx="96" formatCode="0.000E+00">
                  <c:v>16671.210365166462</c:v>
                </c:pt>
                <c:pt idx="97" formatCode="0.000E+00">
                  <c:v>16671.210365166462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29560"/>
        <c:axId val="830031912"/>
      </c:scatterChart>
      <c:valAx>
        <c:axId val="830029560"/>
        <c:scaling>
          <c:orientation val="minMax"/>
          <c:max val="43952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1912"/>
        <c:crossesAt val="1.0000000000000002E-2"/>
        <c:crossBetween val="midCat"/>
        <c:majorUnit val="7"/>
        <c:minorUnit val="1"/>
      </c:valAx>
      <c:valAx>
        <c:axId val="830031912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29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089354390468662"/>
          <c:y val="0.67728075969062929"/>
          <c:w val="0.40090796657555433"/>
          <c:h val="0.2160644258417659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myData!$CQ$12</c:f>
          <c:strCache>
            <c:ptCount val="1"/>
            <c:pt idx="0">
              <c:v>COVID19 NSW P(t) = b / {d+[( b/Po - d ) ]* exp(-b*t)}
b=0.198, d=1.00E-12, P0=.007 Limit=245 G=&gt;198 G cases 
 23-Mar,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myData!NSWSeries</c:f>
              <c:strCache>
                <c:ptCount val="1"/>
                <c:pt idx="0">
                  <c:v>NSW Limit 245 G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1.0353344974657584E-2</c:v>
                </c:pt>
                <c:pt idx="1">
                  <c:v>1.2624616493400635E-2</c:v>
                </c:pt>
                <c:pt idx="2">
                  <c:v>1.5394149619815426E-2</c:v>
                </c:pt>
                <c:pt idx="3">
                  <c:v>1.8771250805213857E-2</c:v>
                </c:pt>
                <c:pt idx="4">
                  <c:v>2.2889205671918475E-2</c:v>
                </c:pt>
                <c:pt idx="5">
                  <c:v>2.7910539458876202E-2</c:v>
                </c:pt>
                <c:pt idx="6">
                  <c:v>3.4033431480813364E-2</c:v>
                </c:pt>
                <c:pt idx="7">
                  <c:v>4.1499536763373195E-2</c:v>
                </c:pt>
                <c:pt idx="8">
                  <c:v>5.0603523554345782E-2</c:v>
                </c:pt>
                <c:pt idx="9">
                  <c:v>6.1704703132379399E-2</c:v>
                </c:pt>
                <c:pt idx="10">
                  <c:v>7.5241210912239953E-2</c:v>
                </c:pt>
                <c:pt idx="11">
                  <c:v>9.1747298538891908E-2</c:v>
                </c:pt>
                <c:pt idx="12">
                  <c:v>0.11187441944551547</c:v>
                </c:pt>
                <c:pt idx="13">
                  <c:v>0.13641694006898078</c:v>
                </c:pt>
                <c:pt idx="14">
                  <c:v>0.16634349147927094</c:v>
                </c:pt>
                <c:pt idx="15">
                  <c:v>0.20283519879218678</c:v>
                </c:pt>
                <c:pt idx="16">
                  <c:v>0.24733229718333499</c:v>
                </c:pt>
                <c:pt idx="17">
                  <c:v>0.30159097431929299</c:v>
                </c:pt>
                <c:pt idx="18">
                  <c:v>0.36775268263260458</c:v>
                </c:pt>
                <c:pt idx="19">
                  <c:v>0.44842865702038243</c:v>
                </c:pt>
                <c:pt idx="20">
                  <c:v>0.54680297366581598</c:v>
                </c:pt>
                <c:pt idx="21">
                  <c:v>0.66675821745299968</c:v>
                </c:pt>
                <c:pt idx="22">
                  <c:v>0.81302871774935725</c:v>
                </c:pt>
                <c:pt idx="23">
                  <c:v>0.9913874003835188</c:v>
                </c:pt>
                <c:pt idx="24">
                  <c:v>1.2088736303925112</c:v>
                </c:pt>
                <c:pt idx="25">
                  <c:v>1.4740710379138893</c:v>
                </c:pt>
                <c:pt idx="26">
                  <c:v>1.7974462923064154</c:v>
                </c:pt>
                <c:pt idx="27">
                  <c:v>2.1917621950549986</c:v>
                </c:pt>
                <c:pt idx="28">
                  <c:v>2.6725813951895772</c:v>
                </c:pt>
                <c:pt idx="29">
                  <c:v>3.2588806075885284</c:v>
                </c:pt>
                <c:pt idx="30">
                  <c:v>3.9737995758058724</c:v>
                </c:pt>
                <c:pt idx="31">
                  <c:v>4.8455543390863163</c:v>
                </c:pt>
                <c:pt idx="32">
                  <c:v>5.9085508479018829</c:v>
                </c:pt>
                <c:pt idx="33">
                  <c:v>7.2047428795921329</c:v>
                </c:pt>
                <c:pt idx="34">
                  <c:v>8.7852878475956508</c:v>
                </c:pt>
                <c:pt idx="35">
                  <c:v>10.712565854865336</c:v>
                </c:pt>
                <c:pt idx="36">
                  <c:v>13.06264167838691</c:v>
                </c:pt>
                <c:pt idx="37">
                  <c:v>15.928266853087868</c:v>
                </c:pt>
                <c:pt idx="38">
                  <c:v>19.422540339777449</c:v>
                </c:pt>
                <c:pt idx="39">
                  <c:v>23.68337225440024</c:v>
                </c:pt>
                <c:pt idx="40">
                  <c:v>28.878926830679781</c:v>
                </c:pt>
                <c:pt idx="41">
                  <c:v>35.214259436087389</c:v>
                </c:pt>
                <c:pt idx="42">
                  <c:v>42.939409587328463</c:v>
                </c:pt>
                <c:pt idx="43">
                  <c:v>52.359269376147012</c:v>
                </c:pt>
                <c:pt idx="44">
                  <c:v>63.845616787191908</c:v>
                </c:pt>
                <c:pt idx="45">
                  <c:v>77.851788832487316</c:v>
                </c:pt>
                <c:pt idx="46">
                  <c:v>94.930573613915016</c:v>
                </c:pt>
                <c:pt idx="47">
                  <c:v>115.75602746803939</c:v>
                </c:pt>
                <c:pt idx="48">
                  <c:v>141.15007826064556</c:v>
                </c:pt>
                <c:pt idx="49">
                  <c:v>172.1149647955491</c:v>
                </c:pt>
                <c:pt idx="50">
                  <c:v>209.87279263884577</c:v>
                </c:pt>
                <c:pt idx="51">
                  <c:v>255.91376752662643</c:v>
                </c:pt>
                <c:pt idx="52">
                  <c:v>312.05501000635849</c:v>
                </c:pt>
                <c:pt idx="53">
                  <c:v>380.51227257654676</c:v>
                </c:pt>
                <c:pt idx="54">
                  <c:v>463.98738981809544</c:v>
                </c:pt>
                <c:pt idx="55">
                  <c:v>565.77491295196126</c:v>
                </c:pt>
                <c:pt idx="56">
                  <c:v>689.89213741816377</c:v>
                </c:pt>
                <c:pt idx="57">
                  <c:v>841.23765533418077</c:v>
                </c:pt>
                <c:pt idx="58">
                  <c:v>1025.7846904950086</c:v>
                </c:pt>
                <c:pt idx="59">
                  <c:v>1250.8168463552631</c:v>
                </c:pt>
                <c:pt idx="60">
                  <c:v>1525.2155713656482</c:v>
                </c:pt>
                <c:pt idx="61">
                  <c:v>1859.8106871875657</c:v>
                </c:pt>
                <c:pt idx="62">
                  <c:v>2267.8078142394993</c:v>
                </c:pt>
                <c:pt idx="63">
                  <c:v>2765.3095639684311</c:v>
                </c:pt>
                <c:pt idx="64">
                  <c:v>3371.9510679698792</c:v>
                </c:pt>
                <c:pt idx="65">
                  <c:v>4111.6749266588331</c:v>
                </c:pt>
                <c:pt idx="66">
                  <c:v>16480.914776566304</c:v>
                </c:pt>
                <c:pt idx="67">
                  <c:v>66060.794090597527</c:v>
                </c:pt>
                <c:pt idx="68">
                  <c:v>264792.69648370583</c:v>
                </c:pt>
                <c:pt idx="69" formatCode="0.00E+00">
                  <c:v>1061370.8525395524</c:v>
                </c:pt>
                <c:pt idx="70" formatCode="0.00E+00">
                  <c:v>4254260.4245313462</c:v>
                </c:pt>
                <c:pt idx="71" formatCode="0.00E+00">
                  <c:v>17051555.115948118</c:v>
                </c:pt>
                <c:pt idx="72" formatCode="0.00E+00">
                  <c:v>68333837.483001396</c:v>
                </c:pt>
                <c:pt idx="73" formatCode="0.00E+00">
                  <c:v>273674808.51854914</c:v>
                </c:pt>
                <c:pt idx="74" formatCode="0.00E+00">
                  <c:v>1093309703.116997</c:v>
                </c:pt>
                <c:pt idx="75" formatCode="0.00E+00">
                  <c:v>4324394592.1002007</c:v>
                </c:pt>
                <c:pt idx="76" formatCode="0.00E+00">
                  <c:v>16461168559.709417</c:v>
                </c:pt>
                <c:pt idx="77" formatCode="0.00E+00">
                  <c:v>54905181814.931358</c:v>
                </c:pt>
                <c:pt idx="78" formatCode="0.00E+00">
                  <c:v>131555728303.08841</c:v>
                </c:pt>
                <c:pt idx="79" formatCode="0.00E+00">
                  <c:v>201861965534.86621</c:v>
                </c:pt>
                <c:pt idx="80" formatCode="0.00E+00">
                  <c:v>232916232706.71393</c:v>
                </c:pt>
                <c:pt idx="81" formatCode="0.00E+00">
                  <c:v>242212325781.9668</c:v>
                </c:pt>
                <c:pt idx="82" formatCode="0.00E+00">
                  <c:v>244648343381.90469</c:v>
                </c:pt>
                <c:pt idx="83" formatCode="0.00E+00">
                  <c:v>245263739799.81592</c:v>
                </c:pt>
                <c:pt idx="84" formatCode="0.00E+00">
                  <c:v>245417752343.948</c:v>
                </c:pt>
                <c:pt idx="85" formatCode="0.00E+00">
                  <c:v>245456205695.77094</c:v>
                </c:pt>
                <c:pt idx="86" formatCode="0.00E+00">
                  <c:v>245465800953.77081</c:v>
                </c:pt>
                <c:pt idx="87" formatCode="0.00E+00">
                  <c:v>245468194905.03656</c:v>
                </c:pt>
                <c:pt idx="88" formatCode="0.00E+00">
                  <c:v>245468792157.61505</c:v>
                </c:pt>
                <c:pt idx="89" formatCode="0.00E+00">
                  <c:v>245468941161.22479</c:v>
                </c:pt>
                <c:pt idx="90" formatCode="0.00E+00">
                  <c:v>245468978334.81909</c:v>
                </c:pt>
                <c:pt idx="91" formatCode="0.00E+00">
                  <c:v>245468987608.92554</c:v>
                </c:pt>
                <c:pt idx="92" formatCode="0.00E+00">
                  <c:v>245468989922.63876</c:v>
                </c:pt>
                <c:pt idx="93" formatCode="0.00E+00">
                  <c:v>245468990499.86618</c:v>
                </c:pt>
                <c:pt idx="94" formatCode="0.00E+00">
                  <c:v>245468990643.87347</c:v>
                </c:pt>
                <c:pt idx="95" formatCode="0.00E+00">
                  <c:v>245468990679.80054</c:v>
                </c:pt>
                <c:pt idx="96" formatCode="0.00E+00">
                  <c:v>245468990688.76367</c:v>
                </c:pt>
                <c:pt idx="97" formatCode="0.00E+00">
                  <c:v>245468990690.99976</c:v>
                </c:pt>
                <c:pt idx="98" formatCode="0.00E+00">
                  <c:v>245468990691.55765</c:v>
                </c:pt>
                <c:pt idx="99" formatCode="0.00E+00">
                  <c:v>245468990691.69684</c:v>
                </c:pt>
                <c:pt idx="100" formatCode="0.00E+00">
                  <c:v>245468990691.73154</c:v>
                </c:pt>
                <c:pt idx="101" formatCode="0.00E+00">
                  <c:v>245468990691.7402</c:v>
                </c:pt>
                <c:pt idx="102" formatCode="0.00E+00">
                  <c:v>245468990691.74237</c:v>
                </c:pt>
              </c:numCache>
            </c:numRef>
          </c:yVal>
          <c:smooth val="0"/>
        </c:ser>
        <c:ser>
          <c:idx val="3"/>
          <c:order val="2"/>
          <c:tx>
            <c:v>Au Confirmed Cases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57.167639173631919</c:v>
                </c:pt>
                <c:pt idx="47">
                  <c:v>78.851916101561272</c:v>
                </c:pt>
                <c:pt idx="48">
                  <c:v>98.95915470745939</c:v>
                </c:pt>
                <c:pt idx="49">
                  <c:v>124.58602744046681</c:v>
                </c:pt>
                <c:pt idx="50">
                  <c:v>148.635861851443</c:v>
                </c:pt>
                <c:pt idx="51">
                  <c:v>179.78236871155968</c:v>
                </c:pt>
                <c:pt idx="52">
                  <c:v>223.93944172843399</c:v>
                </c:pt>
                <c:pt idx="53">
                  <c:v>279.92430216054248</c:v>
                </c:pt>
                <c:pt idx="54">
                  <c:v>345.76565210534613</c:v>
                </c:pt>
                <c:pt idx="55">
                  <c:v>423.04052988487621</c:v>
                </c:pt>
                <c:pt idx="56">
                  <c:v>533.82747200756978</c:v>
                </c:pt>
                <c:pt idx="57">
                  <c:v>674.57814224885669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myData!AuSeries</c:f>
              <c:strCache>
                <c:ptCount val="1"/>
                <c:pt idx="0">
                  <c:v>Australia Limit 84.7 G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3.2032723800578824E-3</c:v>
                </c:pt>
                <c:pt idx="1">
                  <c:v>3.9707683672117553E-3</c:v>
                </c:pt>
                <c:pt idx="2">
                  <c:v>4.9221544581121643E-3</c:v>
                </c:pt>
                <c:pt idx="3">
                  <c:v>6.1014902580494353E-3</c:v>
                </c:pt>
                <c:pt idx="4">
                  <c:v>7.5633919426718868E-3</c:v>
                </c:pt>
                <c:pt idx="5">
                  <c:v>9.3755615856316084E-3</c:v>
                </c:pt>
                <c:pt idx="6">
                  <c:v>1.1621922506758019E-2</c:v>
                </c:pt>
                <c:pt idx="7">
                  <c:v>1.4406505841749894E-2</c:v>
                </c:pt>
                <c:pt idx="8">
                  <c:v>1.7858268324168026E-2</c:v>
                </c:pt>
                <c:pt idx="9">
                  <c:v>2.2137064395848161E-2</c:v>
                </c:pt>
                <c:pt idx="10">
                  <c:v>2.7441049219913801E-2</c:v>
                </c:pt>
                <c:pt idx="11">
                  <c:v>3.401585543704469E-2</c:v>
                </c:pt>
                <c:pt idx="12">
                  <c:v>4.2165968649413639E-2</c:v>
                </c:pt>
                <c:pt idx="13">
                  <c:v>5.2268828441898008E-2</c:v>
                </c:pt>
                <c:pt idx="14">
                  <c:v>6.4792307972426466E-2</c:v>
                </c:pt>
                <c:pt idx="15">
                  <c:v>8.0316381628108446E-2</c:v>
                </c:pt>
                <c:pt idx="16">
                  <c:v>9.9559984197150314E-2</c:v>
                </c:pt>
                <c:pt idx="17">
                  <c:v>0.12341430543065314</c:v>
                </c:pt>
                <c:pt idx="18">
                  <c:v>0.15298406189748553</c:v>
                </c:pt>
                <c:pt idx="19">
                  <c:v>0.18963865747154052</c:v>
                </c:pt>
                <c:pt idx="20">
                  <c:v>0.23507560174276967</c:v>
                </c:pt>
                <c:pt idx="21">
                  <c:v>0.29139912331962836</c:v>
                </c:pt>
                <c:pt idx="22">
                  <c:v>0.36121761868060848</c:v>
                </c:pt>
                <c:pt idx="23">
                  <c:v>0.44776444952494082</c:v>
                </c:pt>
                <c:pt idx="24">
                  <c:v>0.55504768286400186</c:v>
                </c:pt>
                <c:pt idx="25">
                  <c:v>0.68803570846113715</c:v>
                </c:pt>
                <c:pt idx="26">
                  <c:v>0.85288732974214054</c:v>
                </c:pt>
                <c:pt idx="27">
                  <c:v>1.0572369839078302</c:v>
                </c:pt>
                <c:pt idx="28">
                  <c:v>1.3105483000665699</c:v>
                </c:pt>
                <c:pt idx="29">
                  <c:v>1.6245523690040344</c:v>
                </c:pt>
                <c:pt idx="30">
                  <c:v>2.0137910212849235</c:v>
                </c:pt>
                <c:pt idx="31">
                  <c:v>2.4962902734182233</c:v>
                </c:pt>
                <c:pt idx="32">
                  <c:v>3.0943951300258861</c:v>
                </c:pt>
                <c:pt idx="33">
                  <c:v>3.8358044025064792</c:v>
                </c:pt>
                <c:pt idx="34">
                  <c:v>4.7548534676417136</c:v>
                </c:pt>
                <c:pt idx="35">
                  <c:v>5.894104371931002</c:v>
                </c:pt>
                <c:pt idx="36">
                  <c:v>7.306316920915461</c:v>
                </c:pt>
                <c:pt idx="37">
                  <c:v>9.0568920365340286</c:v>
                </c:pt>
                <c:pt idx="38">
                  <c:v>11.226900536741196</c:v>
                </c:pt>
                <c:pt idx="39">
                  <c:v>13.916837603083698</c:v>
                </c:pt>
                <c:pt idx="40">
                  <c:v>17.25127680924026</c:v>
                </c:pt>
                <c:pt idx="41">
                  <c:v>21.384639243061851</c:v>
                </c:pt>
                <c:pt idx="42">
                  <c:v>26.508344895701267</c:v>
                </c:pt>
                <c:pt idx="43">
                  <c:v>32.859677505537057</c:v>
                </c:pt>
                <c:pt idx="44">
                  <c:v>40.732773396334963</c:v>
                </c:pt>
                <c:pt idx="45">
                  <c:v>50.49224321330113</c:v>
                </c:pt>
                <c:pt idx="46">
                  <c:v>62.590057392707479</c:v>
                </c:pt>
                <c:pt idx="47">
                  <c:v>77.586477347402308</c:v>
                </c:pt>
                <c:pt idx="48">
                  <c:v>96.176001711494337</c:v>
                </c:pt>
                <c:pt idx="49">
                  <c:v>119.2195292396858</c:v>
                </c:pt>
                <c:pt idx="50">
                  <c:v>147.78422785594856</c:v>
                </c:pt>
                <c:pt idx="51">
                  <c:v>183.19295622536029</c:v>
                </c:pt>
                <c:pt idx="52">
                  <c:v>227.08552660935237</c:v>
                </c:pt>
                <c:pt idx="53">
                  <c:v>281.49464614570064</c:v>
                </c:pt>
                <c:pt idx="54">
                  <c:v>348.94005346632031</c:v>
                </c:pt>
                <c:pt idx="55">
                  <c:v>432.54521020915308</c:v>
                </c:pt>
                <c:pt idx="56">
                  <c:v>536.18195151873238</c:v>
                </c:pt>
                <c:pt idx="57">
                  <c:v>664.64979443680033</c:v>
                </c:pt>
                <c:pt idx="58">
                  <c:v>823.89820812324399</c:v>
                </c:pt>
                <c:pt idx="59">
                  <c:v>1021.3021394492929</c:v>
                </c:pt>
                <c:pt idx="60">
                  <c:v>1266.0035538092777</c:v>
                </c:pt>
                <c:pt idx="61">
                  <c:v>1569.3348082206915</c:v>
                </c:pt>
                <c:pt idx="62">
                  <c:v>1945.3434635068977</c:v>
                </c:pt>
                <c:pt idx="63">
                  <c:v>2411.4428400868997</c:v>
                </c:pt>
                <c:pt idx="64">
                  <c:v>2989.2184451864</c:v>
                </c:pt>
                <c:pt idx="65">
                  <c:v>3705.4276178129844</c:v>
                </c:pt>
                <c:pt idx="66">
                  <c:v>16664.91328837716</c:v>
                </c:pt>
                <c:pt idx="67">
                  <c:v>74949.294631472148</c:v>
                </c:pt>
                <c:pt idx="68">
                  <c:v>337078.45617904089</c:v>
                </c:pt>
                <c:pt idx="69" formatCode="0.00E+00">
                  <c:v>1515966.976140595</c:v>
                </c:pt>
                <c:pt idx="70" formatCode="0.00E+00">
                  <c:v>6817534.4412277648</c:v>
                </c:pt>
                <c:pt idx="71" formatCode="0.00E+00">
                  <c:v>30652779.694883805</c:v>
                </c:pt>
                <c:pt idx="72" formatCode="0.00E+00">
                  <c:v>137684543.96523103</c:v>
                </c:pt>
                <c:pt idx="73" formatCode="0.00E+00">
                  <c:v>615725812.8260783</c:v>
                </c:pt>
                <c:pt idx="74" formatCode="0.00E+00">
                  <c:v>2700511998.5739789</c:v>
                </c:pt>
                <c:pt idx="75" formatCode="0.00E+00">
                  <c:v>10926681457.68347</c:v>
                </c:pt>
                <c:pt idx="76" formatCode="0.00E+00">
                  <c:v>33861112821.491123</c:v>
                </c:pt>
                <c:pt idx="77" formatCode="0.00E+00">
                  <c:v>63493184222.197762</c:v>
                </c:pt>
                <c:pt idx="78" formatCode="0.00E+00">
                  <c:v>78832294136.517242</c:v>
                </c:pt>
                <c:pt idx="79" formatCode="0.00E+00">
                  <c:v>83307275081.296692</c:v>
                </c:pt>
                <c:pt idx="80" formatCode="0.00E+00">
                  <c:v>84372206502.717514</c:v>
                </c:pt>
                <c:pt idx="81" formatCode="0.00E+00">
                  <c:v>84612703408.221054</c:v>
                </c:pt>
                <c:pt idx="82" formatCode="0.00E+00">
                  <c:v>84666364092.313934</c:v>
                </c:pt>
                <c:pt idx="83" formatCode="0.00E+00">
                  <c:v>84678304743.123917</c:v>
                </c:pt>
                <c:pt idx="84" formatCode="0.00E+00">
                  <c:v>84680960192.775803</c:v>
                </c:pt>
                <c:pt idx="85" formatCode="0.00E+00">
                  <c:v>84681550652.0224</c:v>
                </c:pt>
                <c:pt idx="86" formatCode="0.00E+00">
                  <c:v>84681681941.173126</c:v>
                </c:pt>
                <c:pt idx="87" formatCode="0.00E+00">
                  <c:v>84681711133.24176</c:v>
                </c:pt>
                <c:pt idx="88" formatCode="0.00E+00">
                  <c:v>84681717624.072189</c:v>
                </c:pt>
                <c:pt idx="89" formatCode="0.00E+00">
                  <c:v>84681719067.302094</c:v>
                </c:pt>
                <c:pt idx="90" formatCode="0.00E+00">
                  <c:v>84681719388.20282</c:v>
                </c:pt>
                <c:pt idx="91" formatCode="0.00E+00">
                  <c:v>84681719459.554794</c:v>
                </c:pt>
                <c:pt idx="92" formatCode="0.00E+00">
                  <c:v>84681719475.41983</c:v>
                </c:pt>
                <c:pt idx="93" formatCode="0.00E+00">
                  <c:v>84681719478.947418</c:v>
                </c:pt>
                <c:pt idx="94" formatCode="0.00E+00">
                  <c:v>84681719479.731766</c:v>
                </c:pt>
                <c:pt idx="95" formatCode="0.00E+00">
                  <c:v>84681719479.906158</c:v>
                </c:pt>
                <c:pt idx="96" formatCode="0.00E+00">
                  <c:v>84681719479.944946</c:v>
                </c:pt>
                <c:pt idx="97" formatCode="0.00E+00">
                  <c:v>84681719479.953568</c:v>
                </c:pt>
                <c:pt idx="98" formatCode="0.00E+00">
                  <c:v>84681719479.955475</c:v>
                </c:pt>
                <c:pt idx="99" formatCode="0.00E+00">
                  <c:v>84681719479.955917</c:v>
                </c:pt>
                <c:pt idx="100" formatCode="0.00E+00">
                  <c:v>84681719479.955994</c:v>
                </c:pt>
                <c:pt idx="101" formatCode="0.00E+00">
                  <c:v>84681719479.956039</c:v>
                </c:pt>
                <c:pt idx="102" formatCode="0.00E+00">
                  <c:v>84681719479.956039</c:v>
                </c:pt>
              </c:numCache>
            </c:numRef>
          </c:yVal>
          <c:smooth val="0"/>
        </c:ser>
        <c:ser>
          <c:idx val="5"/>
          <c:order val="4"/>
          <c:tx>
            <c:v>Singapore Cases</c:v>
          </c:tx>
          <c:spPr>
            <a:ln w="19050" cap="rnd">
              <a:solidFill>
                <a:schemeClr val="bg2">
                  <a:lumMod val="10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xVal>
            <c:numRef>
              <c:f>myData!SingaporeDates</c:f>
              <c:numCache>
                <c:formatCode>m/d/yyyy</c:formatCode>
                <c:ptCount val="60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</c:numCache>
            </c:numRef>
          </c:xVal>
          <c:yVal>
            <c:numRef>
              <c:f>myData!SingaporeCases</c:f>
              <c:numCache>
                <c:formatCode>0.0</c:formatCode>
                <c:ptCount val="106"/>
                <c:pt idx="0">
                  <c:v>1.7094017094017095</c:v>
                </c:pt>
                <c:pt idx="1">
                  <c:v>5.1282051282051286</c:v>
                </c:pt>
                <c:pt idx="2">
                  <c:v>5.1282051282051286</c:v>
                </c:pt>
                <c:pt idx="3">
                  <c:v>6.8376068376068382</c:v>
                </c:pt>
                <c:pt idx="4">
                  <c:v>8.5470085470085468</c:v>
                </c:pt>
                <c:pt idx="5">
                  <c:v>11.965811965811966</c:v>
                </c:pt>
                <c:pt idx="6">
                  <c:v>11.965811965811966</c:v>
                </c:pt>
                <c:pt idx="7">
                  <c:v>17.094017094017094</c:v>
                </c:pt>
                <c:pt idx="8">
                  <c:v>22.222222222222225</c:v>
                </c:pt>
                <c:pt idx="9">
                  <c:v>27.350427350427353</c:v>
                </c:pt>
                <c:pt idx="10">
                  <c:v>30.76923076923077</c:v>
                </c:pt>
                <c:pt idx="11">
                  <c:v>30.76923076923077</c:v>
                </c:pt>
                <c:pt idx="12">
                  <c:v>41.025641025641029</c:v>
                </c:pt>
                <c:pt idx="13">
                  <c:v>47.863247863247864</c:v>
                </c:pt>
                <c:pt idx="14">
                  <c:v>47.863247863247864</c:v>
                </c:pt>
                <c:pt idx="15">
                  <c:v>51.282051282051285</c:v>
                </c:pt>
                <c:pt idx="16">
                  <c:v>56.410256410256416</c:v>
                </c:pt>
                <c:pt idx="17">
                  <c:v>68.376068376068375</c:v>
                </c:pt>
                <c:pt idx="18">
                  <c:v>76.923076923076934</c:v>
                </c:pt>
                <c:pt idx="19">
                  <c:v>80.341880341880341</c:v>
                </c:pt>
                <c:pt idx="20">
                  <c:v>85.470085470085479</c:v>
                </c:pt>
                <c:pt idx="21">
                  <c:v>99.145299145299148</c:v>
                </c:pt>
                <c:pt idx="22">
                  <c:v>114.52991452991454</c:v>
                </c:pt>
                <c:pt idx="23">
                  <c:v>123.07692307692308</c:v>
                </c:pt>
                <c:pt idx="24">
                  <c:v>128.2051282051282</c:v>
                </c:pt>
                <c:pt idx="25">
                  <c:v>131.62393162393164</c:v>
                </c:pt>
                <c:pt idx="26">
                  <c:v>138.46153846153848</c:v>
                </c:pt>
                <c:pt idx="27">
                  <c:v>143.58974358974359</c:v>
                </c:pt>
                <c:pt idx="28">
                  <c:v>143.58974358974359</c:v>
                </c:pt>
                <c:pt idx="29">
                  <c:v>145.29914529914529</c:v>
                </c:pt>
                <c:pt idx="30">
                  <c:v>145.29914529914529</c:v>
                </c:pt>
                <c:pt idx="31">
                  <c:v>152.13675213675214</c:v>
                </c:pt>
                <c:pt idx="32">
                  <c:v>152.13675213675214</c:v>
                </c:pt>
                <c:pt idx="33">
                  <c:v>155.55555555555557</c:v>
                </c:pt>
                <c:pt idx="34">
                  <c:v>158.97435897435898</c:v>
                </c:pt>
                <c:pt idx="35">
                  <c:v>158.97435897435898</c:v>
                </c:pt>
                <c:pt idx="36">
                  <c:v>158.97435897435898</c:v>
                </c:pt>
                <c:pt idx="37">
                  <c:v>174.35897435897436</c:v>
                </c:pt>
                <c:pt idx="38">
                  <c:v>181.19658119658121</c:v>
                </c:pt>
                <c:pt idx="39">
                  <c:v>184.61538461538461</c:v>
                </c:pt>
                <c:pt idx="40">
                  <c:v>188.03418803418805</c:v>
                </c:pt>
                <c:pt idx="41">
                  <c:v>188.03418803418805</c:v>
                </c:pt>
                <c:pt idx="42">
                  <c:v>200</c:v>
                </c:pt>
                <c:pt idx="43">
                  <c:v>222.22222222222223</c:v>
                </c:pt>
                <c:pt idx="44">
                  <c:v>235.89743589743591</c:v>
                </c:pt>
                <c:pt idx="45">
                  <c:v>256.41025641025641</c:v>
                </c:pt>
                <c:pt idx="46">
                  <c:v>256.41025641025641</c:v>
                </c:pt>
                <c:pt idx="47">
                  <c:v>273.5042735042735</c:v>
                </c:pt>
                <c:pt idx="48">
                  <c:v>304.27350427350427</c:v>
                </c:pt>
                <c:pt idx="49">
                  <c:v>304.27350427350427</c:v>
                </c:pt>
                <c:pt idx="50">
                  <c:v>341.88034188034192</c:v>
                </c:pt>
                <c:pt idx="51">
                  <c:v>362.39316239316241</c:v>
                </c:pt>
                <c:pt idx="52">
                  <c:v>386.32478632478637</c:v>
                </c:pt>
                <c:pt idx="53">
                  <c:v>415.38461538461542</c:v>
                </c:pt>
                <c:pt idx="54">
                  <c:v>454.70085470085473</c:v>
                </c:pt>
                <c:pt idx="55">
                  <c:v>535.0427350427351</c:v>
                </c:pt>
                <c:pt idx="56">
                  <c:v>589.74358974358972</c:v>
                </c:pt>
                <c:pt idx="57">
                  <c:v>658.1196581196582</c:v>
                </c:pt>
                <c:pt idx="58">
                  <c:v>738.46153846153845</c:v>
                </c:pt>
                <c:pt idx="59">
                  <c:v>777.77777777777783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myData!SingaporeSeries</c:f>
              <c:strCache>
                <c:ptCount val="1"/>
                <c:pt idx="0">
                  <c:v>Singapore Limit 75.1 G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myData!SingaporeLogiDates</c:f>
              <c:numCache>
                <c:formatCode>m/d/yyyy</c:formatCode>
                <c:ptCount val="106"/>
                <c:pt idx="0">
                  <c:v>43853</c:v>
                </c:pt>
                <c:pt idx="1">
                  <c:v>43854</c:v>
                </c:pt>
                <c:pt idx="2">
                  <c:v>43855</c:v>
                </c:pt>
                <c:pt idx="3">
                  <c:v>43856</c:v>
                </c:pt>
                <c:pt idx="4">
                  <c:v>43857</c:v>
                </c:pt>
                <c:pt idx="5">
                  <c:v>43858</c:v>
                </c:pt>
                <c:pt idx="6">
                  <c:v>43859</c:v>
                </c:pt>
                <c:pt idx="7">
                  <c:v>43860</c:v>
                </c:pt>
                <c:pt idx="8">
                  <c:v>43861</c:v>
                </c:pt>
                <c:pt idx="9">
                  <c:v>43862</c:v>
                </c:pt>
                <c:pt idx="10">
                  <c:v>43863</c:v>
                </c:pt>
                <c:pt idx="11">
                  <c:v>43864</c:v>
                </c:pt>
                <c:pt idx="12">
                  <c:v>43865</c:v>
                </c:pt>
                <c:pt idx="13">
                  <c:v>43866</c:v>
                </c:pt>
                <c:pt idx="14">
                  <c:v>43867</c:v>
                </c:pt>
                <c:pt idx="15">
                  <c:v>43868</c:v>
                </c:pt>
                <c:pt idx="16">
                  <c:v>43869</c:v>
                </c:pt>
                <c:pt idx="17">
                  <c:v>43870</c:v>
                </c:pt>
                <c:pt idx="18">
                  <c:v>43871</c:v>
                </c:pt>
                <c:pt idx="19">
                  <c:v>43872</c:v>
                </c:pt>
                <c:pt idx="20">
                  <c:v>43873</c:v>
                </c:pt>
                <c:pt idx="21">
                  <c:v>43874</c:v>
                </c:pt>
                <c:pt idx="22">
                  <c:v>43875</c:v>
                </c:pt>
                <c:pt idx="23">
                  <c:v>43876</c:v>
                </c:pt>
                <c:pt idx="24">
                  <c:v>43877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43883</c:v>
                </c:pt>
                <c:pt idx="31">
                  <c:v>43884</c:v>
                </c:pt>
                <c:pt idx="32">
                  <c:v>43885</c:v>
                </c:pt>
                <c:pt idx="33">
                  <c:v>43886</c:v>
                </c:pt>
                <c:pt idx="34">
                  <c:v>43887</c:v>
                </c:pt>
                <c:pt idx="35">
                  <c:v>43888</c:v>
                </c:pt>
                <c:pt idx="36">
                  <c:v>43889</c:v>
                </c:pt>
                <c:pt idx="37">
                  <c:v>43890</c:v>
                </c:pt>
                <c:pt idx="38">
                  <c:v>43891</c:v>
                </c:pt>
                <c:pt idx="39">
                  <c:v>43892</c:v>
                </c:pt>
                <c:pt idx="40">
                  <c:v>43893</c:v>
                </c:pt>
                <c:pt idx="41">
                  <c:v>43894</c:v>
                </c:pt>
                <c:pt idx="42">
                  <c:v>43895</c:v>
                </c:pt>
                <c:pt idx="43">
                  <c:v>43896</c:v>
                </c:pt>
                <c:pt idx="44">
                  <c:v>43897</c:v>
                </c:pt>
                <c:pt idx="45">
                  <c:v>43898</c:v>
                </c:pt>
                <c:pt idx="46">
                  <c:v>43899</c:v>
                </c:pt>
                <c:pt idx="47">
                  <c:v>43900</c:v>
                </c:pt>
                <c:pt idx="48">
                  <c:v>43901</c:v>
                </c:pt>
                <c:pt idx="49">
                  <c:v>43902</c:v>
                </c:pt>
                <c:pt idx="50">
                  <c:v>43903</c:v>
                </c:pt>
                <c:pt idx="51">
                  <c:v>43904</c:v>
                </c:pt>
                <c:pt idx="52">
                  <c:v>43905</c:v>
                </c:pt>
                <c:pt idx="53">
                  <c:v>43906</c:v>
                </c:pt>
                <c:pt idx="54">
                  <c:v>43907</c:v>
                </c:pt>
                <c:pt idx="55">
                  <c:v>43908</c:v>
                </c:pt>
                <c:pt idx="56">
                  <c:v>43909</c:v>
                </c:pt>
                <c:pt idx="57">
                  <c:v>43910</c:v>
                </c:pt>
                <c:pt idx="58">
                  <c:v>43911</c:v>
                </c:pt>
                <c:pt idx="59">
                  <c:v>43912</c:v>
                </c:pt>
                <c:pt idx="60">
                  <c:v>43913</c:v>
                </c:pt>
                <c:pt idx="61">
                  <c:v>43914</c:v>
                </c:pt>
                <c:pt idx="62">
                  <c:v>43915</c:v>
                </c:pt>
                <c:pt idx="63">
                  <c:v>43916</c:v>
                </c:pt>
                <c:pt idx="64">
                  <c:v>43917</c:v>
                </c:pt>
                <c:pt idx="65">
                  <c:v>43918</c:v>
                </c:pt>
                <c:pt idx="66">
                  <c:v>43919</c:v>
                </c:pt>
                <c:pt idx="67">
                  <c:v>43920</c:v>
                </c:pt>
                <c:pt idx="68">
                  <c:v>43921</c:v>
                </c:pt>
                <c:pt idx="69">
                  <c:v>43928</c:v>
                </c:pt>
                <c:pt idx="70">
                  <c:v>43935</c:v>
                </c:pt>
                <c:pt idx="71">
                  <c:v>43942</c:v>
                </c:pt>
                <c:pt idx="72">
                  <c:v>43949</c:v>
                </c:pt>
                <c:pt idx="73">
                  <c:v>43956</c:v>
                </c:pt>
                <c:pt idx="74">
                  <c:v>43963</c:v>
                </c:pt>
                <c:pt idx="75">
                  <c:v>43970</c:v>
                </c:pt>
                <c:pt idx="76">
                  <c:v>43977</c:v>
                </c:pt>
                <c:pt idx="77">
                  <c:v>43984</c:v>
                </c:pt>
                <c:pt idx="78">
                  <c:v>43991</c:v>
                </c:pt>
                <c:pt idx="79">
                  <c:v>43998</c:v>
                </c:pt>
                <c:pt idx="80">
                  <c:v>44005</c:v>
                </c:pt>
                <c:pt idx="81">
                  <c:v>44012</c:v>
                </c:pt>
                <c:pt idx="82">
                  <c:v>44019</c:v>
                </c:pt>
                <c:pt idx="83">
                  <c:v>44026</c:v>
                </c:pt>
                <c:pt idx="84">
                  <c:v>44033</c:v>
                </c:pt>
                <c:pt idx="85">
                  <c:v>44040</c:v>
                </c:pt>
                <c:pt idx="86">
                  <c:v>44047</c:v>
                </c:pt>
                <c:pt idx="87">
                  <c:v>44054</c:v>
                </c:pt>
                <c:pt idx="88">
                  <c:v>44061</c:v>
                </c:pt>
                <c:pt idx="89">
                  <c:v>44068</c:v>
                </c:pt>
                <c:pt idx="90">
                  <c:v>44075</c:v>
                </c:pt>
                <c:pt idx="91">
                  <c:v>44082</c:v>
                </c:pt>
                <c:pt idx="92">
                  <c:v>44089</c:v>
                </c:pt>
                <c:pt idx="93">
                  <c:v>44096</c:v>
                </c:pt>
                <c:pt idx="94">
                  <c:v>44103</c:v>
                </c:pt>
                <c:pt idx="95">
                  <c:v>44110</c:v>
                </c:pt>
                <c:pt idx="96">
                  <c:v>44117</c:v>
                </c:pt>
                <c:pt idx="97">
                  <c:v>44124</c:v>
                </c:pt>
                <c:pt idx="98">
                  <c:v>44131</c:v>
                </c:pt>
                <c:pt idx="99">
                  <c:v>44138</c:v>
                </c:pt>
                <c:pt idx="100">
                  <c:v>44145</c:v>
                </c:pt>
                <c:pt idx="101">
                  <c:v>44152</c:v>
                </c:pt>
                <c:pt idx="102">
                  <c:v>44159</c:v>
                </c:pt>
                <c:pt idx="103">
                  <c:v>44166</c:v>
                </c:pt>
                <c:pt idx="104">
                  <c:v>44173</c:v>
                </c:pt>
                <c:pt idx="105">
                  <c:v>44180</c:v>
                </c:pt>
              </c:numCache>
            </c:numRef>
          </c:xVal>
          <c:yVal>
            <c:numRef>
              <c:f>myData!SingaporeLogi</c:f>
              <c:numCache>
                <c:formatCode>0</c:formatCode>
                <c:ptCount val="107"/>
                <c:pt idx="0">
                  <c:v>43.801866651603746</c:v>
                </c:pt>
                <c:pt idx="1">
                  <c:v>45.76968856162555</c:v>
                </c:pt>
                <c:pt idx="2">
                  <c:v>47.825915906463564</c:v>
                </c:pt>
                <c:pt idx="3">
                  <c:v>49.974520346792488</c:v>
                </c:pt>
                <c:pt idx="4">
                  <c:v>52.219651972232114</c:v>
                </c:pt>
                <c:pt idx="5">
                  <c:v>54.565647317361481</c:v>
                </c:pt>
                <c:pt idx="6">
                  <c:v>57.017037737856676</c:v>
                </c:pt>
                <c:pt idx="7">
                  <c:v>59.57855816293111</c:v>
                </c:pt>
                <c:pt idx="8">
                  <c:v>62.255156240983638</c:v>
                </c:pt>
                <c:pt idx="9">
                  <c:v>65.052001896119833</c:v>
                </c:pt>
                <c:pt idx="10">
                  <c:v>67.974497314004935</c:v>
                </c:pt>
                <c:pt idx="11">
                  <c:v>71.028287376336522</c:v>
                </c:pt>
                <c:pt idx="12">
                  <c:v>74.219270564091332</c:v>
                </c:pt>
                <c:pt idx="13">
                  <c:v>77.553610350606178</c:v>
                </c:pt>
                <c:pt idx="14">
                  <c:v>81.037747106498983</c:v>
                </c:pt>
                <c:pt idx="15">
                  <c:v>84.678410539424618</c:v>
                </c:pt>
                <c:pt idx="16">
                  <c:v>88.4826326926934</c:v>
                </c:pt>
                <c:pt idx="17">
                  <c:v>92.457761527859205</c:v>
                </c:pt>
                <c:pt idx="18">
                  <c:v>96.611475117512668</c:v>
                </c:pt>
                <c:pt idx="19">
                  <c:v>100.95179647569279</c:v>
                </c:pt>
                <c:pt idx="20">
                  <c:v>105.48710905456289</c:v>
                </c:pt>
                <c:pt idx="21">
                  <c:v>110.2261729372825</c:v>
                </c:pt>
                <c:pt idx="22">
                  <c:v>115.17814175835291</c:v>
                </c:pt>
                <c:pt idx="23">
                  <c:v>120.35258038411769</c:v>
                </c:pt>
                <c:pt idx="24">
                  <c:v>125.7594833875693</c:v>
                </c:pt>
                <c:pt idx="25">
                  <c:v>131.40929435314595</c:v>
                </c:pt>
                <c:pt idx="26">
                  <c:v>137.31292604880647</c:v>
                </c:pt>
                <c:pt idx="27">
                  <c:v>143.48178150434634</c:v>
                </c:pt>
                <c:pt idx="28">
                  <c:v>149.92777603666821</c:v>
                </c:pt>
                <c:pt idx="29">
                  <c:v>156.6633602645488</c:v>
                </c:pt>
                <c:pt idx="30">
                  <c:v>163.70154415735681</c:v>
                </c:pt>
                <c:pt idx="31">
                  <c:v>171.05592216417165</c:v>
                </c:pt>
                <c:pt idx="32">
                  <c:v>178.74069947184122</c:v>
                </c:pt>
                <c:pt idx="33">
                  <c:v>186.77071944269647</c:v>
                </c:pt>
                <c:pt idx="34">
                  <c:v>195.16149228491989</c:v>
                </c:pt>
                <c:pt idx="35">
                  <c:v>203.92922501094492</c:v>
                </c:pt>
                <c:pt idx="36">
                  <c:v>213.09085274175257</c:v>
                </c:pt>
                <c:pt idx="37">
                  <c:v>222.66407141752947</c:v>
                </c:pt>
                <c:pt idx="38">
                  <c:v>232.66737197786975</c:v>
                </c:pt>
                <c:pt idx="39">
                  <c:v>243.12007607754003</c:v>
                </c:pt>
                <c:pt idx="40">
                  <c:v>254.04237340679373</c:v>
                </c:pt>
                <c:pt idx="41">
                  <c:v>265.45536068832013</c:v>
                </c:pt>
                <c:pt idx="42">
                  <c:v>277.38108242615226</c:v>
                </c:pt>
                <c:pt idx="43">
                  <c:v>289.84257348523931</c:v>
                </c:pt>
                <c:pt idx="44">
                  <c:v>302.86390358392981</c:v>
                </c:pt>
                <c:pt idx="45">
                  <c:v>316.47022378530238</c:v>
                </c:pt>
                <c:pt idx="46">
                  <c:v>330.68781507714351</c:v>
                </c:pt>
                <c:pt idx="47">
                  <c:v>345.54413913440635</c:v>
                </c:pt>
                <c:pt idx="48">
                  <c:v>361.06789136219919</c:v>
                </c:pt>
                <c:pt idx="49">
                  <c:v>377.28905632175855</c:v>
                </c:pt>
                <c:pt idx="50">
                  <c:v>394.23896564646105</c:v>
                </c:pt>
                <c:pt idx="51">
                  <c:v>411.95035855974425</c:v>
                </c:pt>
                <c:pt idx="52">
                  <c:v>430.45744511182545</c:v>
                </c:pt>
                <c:pt idx="53">
                  <c:v>449.79597225736273</c:v>
                </c:pt>
                <c:pt idx="54">
                  <c:v>470.00329290168997</c:v>
                </c:pt>
                <c:pt idx="55">
                  <c:v>491.11843804898837</c:v>
                </c:pt>
                <c:pt idx="56">
                  <c:v>513.18219219175387</c:v>
                </c:pt>
                <c:pt idx="57">
                  <c:v>536.23717208717369</c:v>
                </c:pt>
                <c:pt idx="58">
                  <c:v>560.32790907257208</c:v>
                </c:pt>
                <c:pt idx="59">
                  <c:v>585.50093507892245</c:v>
                </c:pt>
                <c:pt idx="60">
                  <c:v>611.80487250855776</c:v>
                </c:pt>
                <c:pt idx="61">
                  <c:v>639.29052815068508</c:v>
                </c:pt>
                <c:pt idx="62">
                  <c:v>668.01099131610363</c:v>
                </c:pt>
                <c:pt idx="63">
                  <c:v>698.02173638067302</c:v>
                </c:pt>
                <c:pt idx="64">
                  <c:v>729.3807299356024</c:v>
                </c:pt>
                <c:pt idx="65">
                  <c:v>762.14854275151936</c:v>
                </c:pt>
                <c:pt idx="66">
                  <c:v>796.38846677258243</c:v>
                </c:pt>
                <c:pt idx="67">
                  <c:v>832.16663736661474</c:v>
                </c:pt>
                <c:pt idx="68">
                  <c:v>869.55216106738635</c:v>
                </c:pt>
                <c:pt idx="69">
                  <c:v>1182.7501373584412</c:v>
                </c:pt>
                <c:pt idx="70">
                  <c:v>1608.7567232350088</c:v>
                </c:pt>
                <c:pt idx="71">
                  <c:v>2188.2036683146821</c:v>
                </c:pt>
                <c:pt idx="72">
                  <c:v>2976.3575881716843</c:v>
                </c:pt>
                <c:pt idx="73">
                  <c:v>4048.3911929519459</c:v>
                </c:pt>
                <c:pt idx="74">
                  <c:v>5506.5531211909847</c:v>
                </c:pt>
                <c:pt idx="75">
                  <c:v>7489.9202224555011</c:v>
                </c:pt>
                <c:pt idx="76">
                  <c:v>10187.662439753391</c:v>
                </c:pt>
                <c:pt idx="77">
                  <c:v>13857.085464368196</c:v>
                </c:pt>
                <c:pt idx="78">
                  <c:v>18848.172024150674</c:v>
                </c:pt>
                <c:pt idx="79">
                  <c:v>25636.962481319428</c:v>
                </c:pt>
                <c:pt idx="80">
                  <c:v>34870.958469212062</c:v>
                </c:pt>
                <c:pt idx="81">
                  <c:v>47430.87998863079</c:v>
                </c:pt>
                <c:pt idx="82">
                  <c:v>64514.666065256293</c:v>
                </c:pt>
                <c:pt idx="83">
                  <c:v>87751.730467150279</c:v>
                </c:pt>
                <c:pt idx="84">
                  <c:v>119358.36937065051</c:v>
                </c:pt>
                <c:pt idx="85">
                  <c:v>162349.1423360545</c:v>
                </c:pt>
                <c:pt idx="86">
                  <c:v>220824.3856148741</c:v>
                </c:pt>
                <c:pt idx="87">
                  <c:v>300361.27637395542</c:v>
                </c:pt>
                <c:pt idx="88">
                  <c:v>408545.73958827654</c:v>
                </c:pt>
                <c:pt idx="89">
                  <c:v>555695.91650565912</c:v>
                </c:pt>
                <c:pt idx="90">
                  <c:v>755846.17296987725</c:v>
                </c:pt>
                <c:pt idx="91">
                  <c:v>1028085.4545910859</c:v>
                </c:pt>
                <c:pt idx="92">
                  <c:v>1398377.5536404462</c:v>
                </c:pt>
                <c:pt idx="93">
                  <c:v>1902036.744123003</c:v>
                </c:pt>
                <c:pt idx="94">
                  <c:v>2587094.6155715967</c:v>
                </c:pt>
                <c:pt idx="95">
                  <c:v>3518878.6896086382</c:v>
                </c:pt>
                <c:pt idx="96">
                  <c:v>4786238.5232867775</c:v>
                </c:pt>
                <c:pt idx="97">
                  <c:v>6510011.2909457041</c:v>
                </c:pt>
                <c:pt idx="98">
                  <c:v>8854530.8679471537</c:v>
                </c:pt>
                <c:pt idx="99">
                  <c:v>12043271.827730604</c:v>
                </c:pt>
                <c:pt idx="100">
                  <c:v>16380108.790148949</c:v>
                </c:pt>
                <c:pt idx="101">
                  <c:v>22278197.243593413</c:v>
                </c:pt>
                <c:pt idx="102">
                  <c:v>30299190.594651818</c:v>
                </c:pt>
                <c:pt idx="103">
                  <c:v>41206460.260202356</c:v>
                </c:pt>
                <c:pt idx="104">
                  <c:v>56037258.815836713</c:v>
                </c:pt>
                <c:pt idx="105">
                  <c:v>76200457.870923311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815504"/>
        <c:axId val="914814328"/>
      </c:scatterChart>
      <c:valAx>
        <c:axId val="914815504"/>
        <c:scaling>
          <c:orientation val="minMax"/>
          <c:max val="43954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814328"/>
        <c:crossesAt val="0.1"/>
        <c:crossBetween val="midCat"/>
        <c:majorUnit val="14"/>
        <c:minorUnit val="7"/>
      </c:valAx>
      <c:valAx>
        <c:axId val="914814328"/>
        <c:scaling>
          <c:logBase val="10"/>
          <c:orientation val="minMax"/>
          <c:max val="1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Australian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81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0130324971147"/>
          <c:y val="0.60496704070543283"/>
          <c:w val="0.18134182586853101"/>
          <c:h val="0.23189569095945173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myData!$CQ$17</c:f>
          <c:strCache>
            <c:ptCount val="1"/>
            <c:pt idx="0">
              <c:v>COVID19 UK P(t) = b / {d+[( b/Po - d ) ]* exp(-b*t)}
b=0.236, d=2.13E-06, P0=.03 Limit=16.7 k=&gt;111 k cases 
 22-Mar,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6"/>
                <c:pt idx="0">
                  <c:v>0.30102347983142685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0.45153521974714028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1.2040939193257074</c:v>
                </c:pt>
                <c:pt idx="11">
                  <c:v>1.2040939193257074</c:v>
                </c:pt>
                <c:pt idx="12">
                  <c:v>1.3546056592414208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1.9566526189042746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2.2576760987357014</c:v>
                </c:pt>
                <c:pt idx="28">
                  <c:v>3.0102347983142685</c:v>
                </c:pt>
                <c:pt idx="29">
                  <c:v>3.4617700180614088</c:v>
                </c:pt>
                <c:pt idx="30">
                  <c:v>5.4184226369656834</c:v>
                </c:pt>
                <c:pt idx="31">
                  <c:v>6.0204695966285371</c:v>
                </c:pt>
                <c:pt idx="32">
                  <c:v>7.6760987357013848</c:v>
                </c:pt>
                <c:pt idx="33">
                  <c:v>12.944009632751355</c:v>
                </c:pt>
                <c:pt idx="34">
                  <c:v>17.459361830222758</c:v>
                </c:pt>
                <c:pt idx="35">
                  <c:v>24.683925346177002</c:v>
                </c:pt>
                <c:pt idx="36">
                  <c:v>31.155930162552679</c:v>
                </c:pt>
                <c:pt idx="37">
                  <c:v>41.240216736905481</c:v>
                </c:pt>
                <c:pt idx="38">
                  <c:v>48.464780252859725</c:v>
                </c:pt>
                <c:pt idx="39">
                  <c:v>57.796508127633956</c:v>
                </c:pt>
                <c:pt idx="40">
                  <c:v>69.084888621312459</c:v>
                </c:pt>
                <c:pt idx="41">
                  <c:v>69.084888621312459</c:v>
                </c:pt>
                <c:pt idx="42">
                  <c:v>120.71041541240217</c:v>
                </c:pt>
                <c:pt idx="43">
                  <c:v>172.18543046357615</c:v>
                </c:pt>
                <c:pt idx="44">
                  <c:v>172.33594220349187</c:v>
                </c:pt>
                <c:pt idx="45">
                  <c:v>233.44370860927151</c:v>
                </c:pt>
                <c:pt idx="46">
                  <c:v>295.0030102347983</c:v>
                </c:pt>
                <c:pt idx="47">
                  <c:v>397.65201685731489</c:v>
                </c:pt>
                <c:pt idx="48">
                  <c:v>408.78988561107764</c:v>
                </c:pt>
                <c:pt idx="49">
                  <c:v>604.15412402167362</c:v>
                </c:pt>
                <c:pt idx="50">
                  <c:v>762.64298615291989</c:v>
                </c:pt>
                <c:pt idx="51">
                  <c:v>864.08789885611077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16.7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43928</c:v>
                </c:pt>
                <c:pt idx="62">
                  <c:v>43935</c:v>
                </c:pt>
                <c:pt idx="63">
                  <c:v>43942</c:v>
                </c:pt>
                <c:pt idx="64">
                  <c:v>43949</c:v>
                </c:pt>
                <c:pt idx="65">
                  <c:v>43956</c:v>
                </c:pt>
                <c:pt idx="66">
                  <c:v>43963</c:v>
                </c:pt>
                <c:pt idx="67">
                  <c:v>43970</c:v>
                </c:pt>
                <c:pt idx="68">
                  <c:v>43977</c:v>
                </c:pt>
                <c:pt idx="69">
                  <c:v>43984</c:v>
                </c:pt>
                <c:pt idx="70">
                  <c:v>43991</c:v>
                </c:pt>
                <c:pt idx="71">
                  <c:v>43998</c:v>
                </c:pt>
                <c:pt idx="72">
                  <c:v>44005</c:v>
                </c:pt>
                <c:pt idx="73">
                  <c:v>44012</c:v>
                </c:pt>
                <c:pt idx="74">
                  <c:v>44019</c:v>
                </c:pt>
                <c:pt idx="75">
                  <c:v>44026</c:v>
                </c:pt>
                <c:pt idx="76">
                  <c:v>44033</c:v>
                </c:pt>
                <c:pt idx="77">
                  <c:v>44040</c:v>
                </c:pt>
                <c:pt idx="78">
                  <c:v>44047</c:v>
                </c:pt>
                <c:pt idx="79">
                  <c:v>44054</c:v>
                </c:pt>
                <c:pt idx="80">
                  <c:v>44061</c:v>
                </c:pt>
                <c:pt idx="81">
                  <c:v>44068</c:v>
                </c:pt>
                <c:pt idx="82">
                  <c:v>44075</c:v>
                </c:pt>
                <c:pt idx="83">
                  <c:v>44082</c:v>
                </c:pt>
                <c:pt idx="84">
                  <c:v>44089</c:v>
                </c:pt>
                <c:pt idx="85">
                  <c:v>44096</c:v>
                </c:pt>
                <c:pt idx="86">
                  <c:v>44103</c:v>
                </c:pt>
                <c:pt idx="87">
                  <c:v>44110</c:v>
                </c:pt>
                <c:pt idx="88">
                  <c:v>44117</c:v>
                </c:pt>
                <c:pt idx="89">
                  <c:v>44124</c:v>
                </c:pt>
                <c:pt idx="90">
                  <c:v>44131</c:v>
                </c:pt>
                <c:pt idx="91">
                  <c:v>44138</c:v>
                </c:pt>
                <c:pt idx="92">
                  <c:v>44145</c:v>
                </c:pt>
                <c:pt idx="93">
                  <c:v>44152</c:v>
                </c:pt>
                <c:pt idx="94">
                  <c:v>44159</c:v>
                </c:pt>
                <c:pt idx="95">
                  <c:v>44166</c:v>
                </c:pt>
                <c:pt idx="96">
                  <c:v>44173</c:v>
                </c:pt>
                <c:pt idx="97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8"/>
                <c:pt idx="0">
                  <c:v>5.6548767069628837E-3</c:v>
                </c:pt>
                <c:pt idx="1">
                  <c:v>7.15962982576862E-3</c:v>
                </c:pt>
                <c:pt idx="2">
                  <c:v>9.0647949844315113E-3</c:v>
                </c:pt>
                <c:pt idx="3">
                  <c:v>1.1476920959694744E-2</c:v>
                </c:pt>
                <c:pt idx="4">
                  <c:v>1.4530908847903158E-2</c:v>
                </c:pt>
                <c:pt idx="5">
                  <c:v>1.8397556487050951E-2</c:v>
                </c:pt>
                <c:pt idx="6">
                  <c:v>2.3293110386105129E-2</c:v>
                </c:pt>
                <c:pt idx="7">
                  <c:v>2.9491359325054249E-2</c:v>
                </c:pt>
                <c:pt idx="8">
                  <c:v>3.7338945910448909E-2</c:v>
                </c:pt>
                <c:pt idx="9">
                  <c:v>4.7274752299479493E-2</c:v>
                </c:pt>
                <c:pt idx="10" formatCode="0.0">
                  <c:v>5.9854444094438825E-2</c:v>
                </c:pt>
                <c:pt idx="11" formatCode="0.0">
                  <c:v>7.5781544783434129E-2</c:v>
                </c:pt>
                <c:pt idx="12" formatCode="0.0">
                  <c:v>9.5946778166572697E-2</c:v>
                </c:pt>
                <c:pt idx="13" formatCode="0.0">
                  <c:v>0.12147787833840593</c:v>
                </c:pt>
                <c:pt idx="14" formatCode="0.0">
                  <c:v>0.15380265178190572</c:v>
                </c:pt>
                <c:pt idx="15" formatCode="0.0">
                  <c:v>0.19472881658555266</c:v>
                </c:pt>
                <c:pt idx="16" formatCode="0.0">
                  <c:v>0.246545080978506</c:v>
                </c:pt>
                <c:pt idx="17" formatCode="0.0">
                  <c:v>0.31214910945288521</c:v>
                </c:pt>
                <c:pt idx="18" formatCode="0.0">
                  <c:v>0.39520952563951245</c:v>
                </c:pt>
                <c:pt idx="19" formatCode="0.0">
                  <c:v>0.50037100012230729</c:v>
                </c:pt>
                <c:pt idx="20" formatCode="0.0">
                  <c:v>0.63351387369398904</c:v>
                </c:pt>
                <c:pt idx="21" formatCode="0.0">
                  <c:v>0.80208280487692452</c:v>
                </c:pt>
                <c:pt idx="22" formatCode="0.0">
                  <c:v>1.0155027721395893</c:v>
                </c:pt>
                <c:pt idx="23" formatCode="0.0">
                  <c:v>1.2857056167468126</c:v>
                </c:pt>
                <c:pt idx="24" formatCode="0.0">
                  <c:v>1.6277964463620842</c:v>
                </c:pt>
                <c:pt idx="25" formatCode="0.0">
                  <c:v>2.0608969645736002</c:v>
                </c:pt>
                <c:pt idx="26" formatCode="0.0">
                  <c:v>2.6092125631979002</c:v>
                </c:pt>
                <c:pt idx="27" formatCode="0.0">
                  <c:v>3.3033823311593529</c:v>
                </c:pt>
                <c:pt idx="28" formatCode="0.0">
                  <c:v>4.1821866401868935</c:v>
                </c:pt>
                <c:pt idx="29" formatCode="0.0">
                  <c:v>5.2947064593389284</c:v>
                </c:pt>
                <c:pt idx="30" formatCode="0.0">
                  <c:v>6.7030530033560538</c:v>
                </c:pt>
                <c:pt idx="31" formatCode="0.0">
                  <c:v>8.4858169189962407</c:v>
                </c:pt>
                <c:pt idx="32" formatCode="0.0">
                  <c:v>10.742424378328549</c:v>
                </c:pt>
                <c:pt idx="33" formatCode="0.0">
                  <c:v>13.598634847011418</c:v>
                </c:pt>
                <c:pt idx="34" formatCode="0.0">
                  <c:v>17.213473836796549</c:v>
                </c:pt>
                <c:pt idx="35" formatCode="0.0">
                  <c:v>21.787965725756759</c:v>
                </c:pt>
                <c:pt idx="36" formatCode="0.0">
                  <c:v>27.576118870299567</c:v>
                </c:pt>
                <c:pt idx="37" formatCode="0.0">
                  <c:v>34.898719630178583</c:v>
                </c:pt>
                <c:pt idx="38" formatCode="0.0">
                  <c:v>44.160614702007493</c:v>
                </c:pt>
                <c:pt idx="39" formatCode="0.0">
                  <c:v>55.872301740433983</c:v>
                </c:pt>
                <c:pt idx="40" formatCode="0.0">
                  <c:v>70.676802843303193</c:v>
                </c:pt>
                <c:pt idx="41" formatCode="0.0">
                  <c:v>89.38295456362323</c:v>
                </c:pt>
                <c:pt idx="42" formatCode="0.0">
                  <c:v>113.00639248974529</c:v>
                </c:pt>
                <c:pt idx="43" formatCode="0.0">
                  <c:v>142.81960319458156</c:v>
                </c:pt>
                <c:pt idx="44" formatCode="0.0">
                  <c:v>180.41240193060014</c:v>
                </c:pt>
                <c:pt idx="45" formatCode="0.0">
                  <c:v>227.76397396804725</c:v>
                </c:pt>
                <c:pt idx="46" formatCode="0.0">
                  <c:v>287.32703994573609</c:v>
                </c:pt>
                <c:pt idx="47" formatCode="0.0">
                  <c:v>362.12354576632367</c:v>
                </c:pt>
                <c:pt idx="48" formatCode="0.0">
                  <c:v>455.84921635538694</c:v>
                </c:pt>
                <c:pt idx="49" formatCode="0.0">
                  <c:v>572.98092858645668</c:v>
                </c:pt>
                <c:pt idx="50" formatCode="0.0">
                  <c:v>718.87565262414284</c:v>
                </c:pt>
                <c:pt idx="51" formatCode="0.0">
                  <c:v>899.84220441423145</c:v>
                </c:pt>
                <c:pt idx="52" formatCode="0.0">
                  <c:v>1123.1570252167842</c:v>
                </c:pt>
                <c:pt idx="53" formatCode="0.0">
                  <c:v>1396.9831567579624</c:v>
                </c:pt>
                <c:pt idx="54" formatCode="0.0">
                  <c:v>1730.1394815790807</c:v>
                </c:pt>
                <c:pt idx="55" formatCode="0.0">
                  <c:v>2131.6595646319856</c:v>
                </c:pt>
                <c:pt idx="56" formatCode="0.0">
                  <c:v>2610.0837569657333</c:v>
                </c:pt>
                <c:pt idx="57" formatCode="0.0">
                  <c:v>3172.4552889389734</c:v>
                </c:pt>
                <c:pt idx="58" formatCode="0.0">
                  <c:v>3823.0515638985376</c:v>
                </c:pt>
                <c:pt idx="59" formatCode="0.0">
                  <c:v>4561.9791719836039</c:v>
                </c:pt>
                <c:pt idx="60" formatCode="0.0">
                  <c:v>5383.8804994673665</c:v>
                </c:pt>
                <c:pt idx="61" formatCode="0.0">
                  <c:v>11891.040005851481</c:v>
                </c:pt>
                <c:pt idx="62" formatCode="0.000E+00">
                  <c:v>15478.129860474997</c:v>
                </c:pt>
                <c:pt idx="63" formatCode="0.000E+00">
                  <c:v>16428.396122109112</c:v>
                </c:pt>
                <c:pt idx="64" formatCode="0.000E+00">
                  <c:v>16624.096928656647</c:v>
                </c:pt>
                <c:pt idx="65" formatCode="0.000E+00">
                  <c:v>16662.155840798157</c:v>
                </c:pt>
                <c:pt idx="66" formatCode="0.000E+00">
                  <c:v>16669.473428193636</c:v>
                </c:pt>
                <c:pt idx="67" formatCode="0.000E+00">
                  <c:v>16670.877285315117</c:v>
                </c:pt>
                <c:pt idx="68" formatCode="0.000E+00">
                  <c:v>16671.146497197697</c:v>
                </c:pt>
                <c:pt idx="69" formatCode="0.000E+00">
                  <c:v>16671.198118661072</c:v>
                </c:pt>
                <c:pt idx="70" formatCode="0.000E+00">
                  <c:v>16671.208016938988</c:v>
                </c:pt>
                <c:pt idx="71" formatCode="0.000E+00">
                  <c:v>16671.209914901716</c:v>
                </c:pt>
                <c:pt idx="72" formatCode="0.000E+00">
                  <c:v>16671.210278829712</c:v>
                </c:pt>
                <c:pt idx="73" formatCode="0.000E+00">
                  <c:v>16671.210348611683</c:v>
                </c:pt>
                <c:pt idx="74" formatCode="0.000E+00">
                  <c:v>16671.210361992136</c:v>
                </c:pt>
                <c:pt idx="75" formatCode="0.000E+00">
                  <c:v>16671.210364557795</c:v>
                </c:pt>
                <c:pt idx="76" formatCode="0.000E+00">
                  <c:v>16671.210365049748</c:v>
                </c:pt>
                <c:pt idx="77" formatCode="0.000E+00">
                  <c:v>16671.210365144081</c:v>
                </c:pt>
                <c:pt idx="78" formatCode="0.000E+00">
                  <c:v>16671.210365162169</c:v>
                </c:pt>
                <c:pt idx="79" formatCode="0.000E+00">
                  <c:v>16671.21036516564</c:v>
                </c:pt>
                <c:pt idx="80" formatCode="0.000E+00">
                  <c:v>16671.210365166302</c:v>
                </c:pt>
                <c:pt idx="81" formatCode="0.000E+00">
                  <c:v>16671.210365166429</c:v>
                </c:pt>
                <c:pt idx="82" formatCode="0.000E+00">
                  <c:v>16671.210365166455</c:v>
                </c:pt>
                <c:pt idx="83" formatCode="0.000E+00">
                  <c:v>16671.210365166462</c:v>
                </c:pt>
                <c:pt idx="84" formatCode="0.000E+00">
                  <c:v>16671.210365166462</c:v>
                </c:pt>
                <c:pt idx="85" formatCode="0.000E+00">
                  <c:v>16671.210365166462</c:v>
                </c:pt>
                <c:pt idx="86" formatCode="0.000E+00">
                  <c:v>16671.210365166462</c:v>
                </c:pt>
                <c:pt idx="87" formatCode="0.000E+00">
                  <c:v>16671.210365166462</c:v>
                </c:pt>
                <c:pt idx="88" formatCode="0.000E+00">
                  <c:v>16671.210365166462</c:v>
                </c:pt>
                <c:pt idx="89" formatCode="0.000E+00">
                  <c:v>16671.210365166462</c:v>
                </c:pt>
                <c:pt idx="90" formatCode="0.000E+00">
                  <c:v>16671.210365166462</c:v>
                </c:pt>
                <c:pt idx="91" formatCode="0.000E+00">
                  <c:v>16671.210365166462</c:v>
                </c:pt>
                <c:pt idx="92" formatCode="0.000E+00">
                  <c:v>16671.210365166462</c:v>
                </c:pt>
                <c:pt idx="93" formatCode="0.000E+00">
                  <c:v>16671.210365166462</c:v>
                </c:pt>
                <c:pt idx="94" formatCode="0.000E+00">
                  <c:v>16671.210365166462</c:v>
                </c:pt>
                <c:pt idx="95" formatCode="0.000E+00">
                  <c:v>16671.210365166462</c:v>
                </c:pt>
                <c:pt idx="96" formatCode="0.000E+00">
                  <c:v>16671.210365166462</c:v>
                </c:pt>
                <c:pt idx="97" formatCode="0.000E+00">
                  <c:v>16671.210365166462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34656"/>
        <c:axId val="830035440"/>
      </c:scatterChart>
      <c:valAx>
        <c:axId val="83003465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5440"/>
        <c:crossesAt val="0.1"/>
        <c:crossBetween val="midCat"/>
        <c:majorUnit val="14"/>
        <c:minorUnit val="7"/>
      </c:valAx>
      <c:valAx>
        <c:axId val="83003544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myData!$CQ$16</c:f>
          <c:strCache>
            <c:ptCount val="1"/>
            <c:pt idx="0">
              <c:v>COVID19 Skorea P(t) = b / {d+[( b/Po - d ) ]* exp(-b*t)}
b=0.31, d=3.65E-05, P0=200.102 Limit=1.65 k=&gt;8.49 k cases , log fit from 19th Feb 
 23-Mar,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2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  <c:pt idx="60">
                  <c:v>1730.933852140078</c:v>
                </c:pt>
                <c:pt idx="61">
                  <c:v>1743.3852140077822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1.65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79"/>
                <c:pt idx="0">
                  <c:v>43880</c:v>
                </c:pt>
                <c:pt idx="1">
                  <c:v>43881</c:v>
                </c:pt>
                <c:pt idx="2">
                  <c:v>43882</c:v>
                </c:pt>
                <c:pt idx="3">
                  <c:v>43883</c:v>
                </c:pt>
                <c:pt idx="4">
                  <c:v>43884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43928</c:v>
                </c:pt>
                <c:pt idx="43">
                  <c:v>43935</c:v>
                </c:pt>
                <c:pt idx="44">
                  <c:v>43942</c:v>
                </c:pt>
                <c:pt idx="45">
                  <c:v>43949</c:v>
                </c:pt>
                <c:pt idx="46">
                  <c:v>43956</c:v>
                </c:pt>
                <c:pt idx="47">
                  <c:v>43963</c:v>
                </c:pt>
                <c:pt idx="48">
                  <c:v>43970</c:v>
                </c:pt>
                <c:pt idx="49">
                  <c:v>43977</c:v>
                </c:pt>
                <c:pt idx="50">
                  <c:v>43984</c:v>
                </c:pt>
                <c:pt idx="51">
                  <c:v>43991</c:v>
                </c:pt>
                <c:pt idx="52">
                  <c:v>43998</c:v>
                </c:pt>
                <c:pt idx="53">
                  <c:v>44005</c:v>
                </c:pt>
                <c:pt idx="54">
                  <c:v>44012</c:v>
                </c:pt>
                <c:pt idx="55">
                  <c:v>44019</c:v>
                </c:pt>
                <c:pt idx="56">
                  <c:v>44026</c:v>
                </c:pt>
                <c:pt idx="57">
                  <c:v>44033</c:v>
                </c:pt>
                <c:pt idx="58">
                  <c:v>44040</c:v>
                </c:pt>
                <c:pt idx="59">
                  <c:v>44047</c:v>
                </c:pt>
                <c:pt idx="60">
                  <c:v>44054</c:v>
                </c:pt>
                <c:pt idx="61">
                  <c:v>44061</c:v>
                </c:pt>
                <c:pt idx="62">
                  <c:v>44068</c:v>
                </c:pt>
                <c:pt idx="63">
                  <c:v>44075</c:v>
                </c:pt>
                <c:pt idx="64">
                  <c:v>44082</c:v>
                </c:pt>
                <c:pt idx="65">
                  <c:v>44089</c:v>
                </c:pt>
                <c:pt idx="66">
                  <c:v>44096</c:v>
                </c:pt>
                <c:pt idx="67">
                  <c:v>44103</c:v>
                </c:pt>
                <c:pt idx="68">
                  <c:v>44110</c:v>
                </c:pt>
                <c:pt idx="69">
                  <c:v>44117</c:v>
                </c:pt>
                <c:pt idx="70">
                  <c:v>44124</c:v>
                </c:pt>
                <c:pt idx="71">
                  <c:v>44131</c:v>
                </c:pt>
                <c:pt idx="72">
                  <c:v>44138</c:v>
                </c:pt>
                <c:pt idx="73">
                  <c:v>44145</c:v>
                </c:pt>
                <c:pt idx="74">
                  <c:v>44152</c:v>
                </c:pt>
                <c:pt idx="75">
                  <c:v>44159</c:v>
                </c:pt>
                <c:pt idx="76">
                  <c:v>44166</c:v>
                </c:pt>
                <c:pt idx="77">
                  <c:v>44173</c:v>
                </c:pt>
                <c:pt idx="78">
                  <c:v>44180</c:v>
                </c:pt>
              </c:numCache>
            </c:numRef>
          </c:xVal>
          <c:yVal>
            <c:numRef>
              <c:f>myData!SKoreaLogi</c:f>
              <c:numCache>
                <c:formatCode>0.0</c:formatCode>
                <c:ptCount val="79"/>
                <c:pt idx="0">
                  <c:v>38.930432875823321</c:v>
                </c:pt>
                <c:pt idx="1">
                  <c:v>52.647870417045922</c:v>
                </c:pt>
                <c:pt idx="2">
                  <c:v>70.986076740748018</c:v>
                </c:pt>
                <c:pt idx="3">
                  <c:v>95.331128459577826</c:v>
                </c:pt>
                <c:pt idx="4">
                  <c:v>127.3529919197719</c:v>
                </c:pt>
                <c:pt idx="5">
                  <c:v>168.96371198852941</c:v>
                </c:pt>
                <c:pt idx="6">
                  <c:v>222.18908620136907</c:v>
                </c:pt>
                <c:pt idx="7">
                  <c:v>288.91515252881646</c:v>
                </c:pt>
                <c:pt idx="8">
                  <c:v>370.48829989666217</c:v>
                </c:pt>
                <c:pt idx="9">
                  <c:v>467.2001790541612</c:v>
                </c:pt>
                <c:pt idx="10">
                  <c:v>577.77743953647382</c:v>
                </c:pt>
                <c:pt idx="11">
                  <c:v>699.0866432633195</c:v>
                </c:pt>
                <c:pt idx="12">
                  <c:v>826.27858277258372</c:v>
                </c:pt>
                <c:pt idx="13">
                  <c:v>953.46247524568332</c:v>
                </c:pt>
                <c:pt idx="14">
                  <c:v>1074.7490112328071</c:v>
                </c:pt>
                <c:pt idx="15">
                  <c:v>1185.2928588513412</c:v>
                </c:pt>
                <c:pt idx="16">
                  <c:v>1281.9655476656553</c:v>
                </c:pt>
                <c:pt idx="17">
                  <c:v>1363.4984097259442</c:v>
                </c:pt>
                <c:pt idx="18">
                  <c:v>1430.1866045406816</c:v>
                </c:pt>
                <c:pt idx="19">
                  <c:v>1483.378596716213</c:v>
                </c:pt>
                <c:pt idx="20">
                  <c:v>1524.9612581586989</c:v>
                </c:pt>
                <c:pt idx="21">
                  <c:v>1556.9603571951272</c:v>
                </c:pt>
                <c:pt idx="22">
                  <c:v>1581.2874200762215</c:v>
                </c:pt>
                <c:pt idx="23">
                  <c:v>1599.611687159902</c:v>
                </c:pt>
                <c:pt idx="24">
                  <c:v>1613.3184793156256</c:v>
                </c:pt>
                <c:pt idx="25">
                  <c:v>1623.5179651540725</c:v>
                </c:pt>
                <c:pt idx="26">
                  <c:v>1631.0781578448239</c:v>
                </c:pt>
                <c:pt idx="27">
                  <c:v>1636.6658917924742</c:v>
                </c:pt>
                <c:pt idx="28">
                  <c:v>1640.7869910376085</c:v>
                </c:pt>
                <c:pt idx="29">
                  <c:v>1643.8216343726604</c:v>
                </c:pt>
                <c:pt idx="30">
                  <c:v>1646.0536609522824</c:v>
                </c:pt>
                <c:pt idx="31">
                  <c:v>1647.6939528499627</c:v>
                </c:pt>
                <c:pt idx="32">
                  <c:v>1648.898630990338</c:v>
                </c:pt>
                <c:pt idx="33">
                  <c:v>1649.7829749654502</c:v>
                </c:pt>
                <c:pt idx="34">
                  <c:v>1650.4319452430186</c:v>
                </c:pt>
                <c:pt idx="35">
                  <c:v>1650.9080700411328</c:v>
                </c:pt>
                <c:pt idx="36">
                  <c:v>1651.2573212020075</c:v>
                </c:pt>
                <c:pt idx="37">
                  <c:v>1651.5134727652153</c:v>
                </c:pt>
                <c:pt idx="38">
                  <c:v>1651.7013238438251</c:v>
                </c:pt>
                <c:pt idx="39">
                  <c:v>1651.8390762614063</c:v>
                </c:pt>
                <c:pt idx="40">
                  <c:v>1651.9400856927743</c:v>
                </c:pt>
                <c:pt idx="41">
                  <c:v>1652.0141498141534</c:v>
                </c:pt>
                <c:pt idx="42">
                  <c:v>1652.1945037561979</c:v>
                </c:pt>
                <c:pt idx="43">
                  <c:v>1652.2150426902629</c:v>
                </c:pt>
                <c:pt idx="44">
                  <c:v>1652.2173814379266</c:v>
                </c:pt>
                <c:pt idx="45">
                  <c:v>1652.2176477454918</c:v>
                </c:pt>
                <c:pt idx="46">
                  <c:v>1652.2176780692505</c:v>
                </c:pt>
                <c:pt idx="47">
                  <c:v>1652.2176815221387</c:v>
                </c:pt>
                <c:pt idx="48">
                  <c:v>1652.2176819153103</c:v>
                </c:pt>
                <c:pt idx="49">
                  <c:v>1652.2176819600797</c:v>
                </c:pt>
                <c:pt idx="50">
                  <c:v>1652.2176819651777</c:v>
                </c:pt>
                <c:pt idx="51">
                  <c:v>1652.2176819657579</c:v>
                </c:pt>
                <c:pt idx="52">
                  <c:v>1652.2176819658239</c:v>
                </c:pt>
                <c:pt idx="53">
                  <c:v>1652.2176819658316</c:v>
                </c:pt>
                <c:pt idx="54">
                  <c:v>1652.2176819658328</c:v>
                </c:pt>
                <c:pt idx="55">
                  <c:v>1652.2176819658328</c:v>
                </c:pt>
                <c:pt idx="56">
                  <c:v>1652.2176819658328</c:v>
                </c:pt>
                <c:pt idx="57">
                  <c:v>1652.2176819658328</c:v>
                </c:pt>
                <c:pt idx="58">
                  <c:v>1652.2176819658328</c:v>
                </c:pt>
                <c:pt idx="59">
                  <c:v>1652.2176819658328</c:v>
                </c:pt>
                <c:pt idx="60">
                  <c:v>1652.2176819658328</c:v>
                </c:pt>
                <c:pt idx="61">
                  <c:v>1652.2176819658328</c:v>
                </c:pt>
                <c:pt idx="62">
                  <c:v>1652.2176819658328</c:v>
                </c:pt>
                <c:pt idx="63">
                  <c:v>1652.2176819658328</c:v>
                </c:pt>
                <c:pt idx="64">
                  <c:v>1652.2176819658328</c:v>
                </c:pt>
                <c:pt idx="65">
                  <c:v>1652.2176819658328</c:v>
                </c:pt>
                <c:pt idx="66">
                  <c:v>1652.2176819658328</c:v>
                </c:pt>
                <c:pt idx="67">
                  <c:v>1652.2176819658328</c:v>
                </c:pt>
                <c:pt idx="68">
                  <c:v>1652.2176819658328</c:v>
                </c:pt>
                <c:pt idx="69">
                  <c:v>1652.2176819658328</c:v>
                </c:pt>
                <c:pt idx="70">
                  <c:v>1652.2176819658328</c:v>
                </c:pt>
                <c:pt idx="71">
                  <c:v>1652.2176819658328</c:v>
                </c:pt>
                <c:pt idx="72">
                  <c:v>1652.2176819658328</c:v>
                </c:pt>
                <c:pt idx="73">
                  <c:v>1652.2176819658328</c:v>
                </c:pt>
                <c:pt idx="74">
                  <c:v>1652.2176819658328</c:v>
                </c:pt>
                <c:pt idx="75">
                  <c:v>1652.2176819658328</c:v>
                </c:pt>
                <c:pt idx="76">
                  <c:v>1652.2176819658328</c:v>
                </c:pt>
                <c:pt idx="77">
                  <c:v>1652.2176819658328</c:v>
                </c:pt>
                <c:pt idx="78">
                  <c:v>1652.2176819658328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30736"/>
        <c:axId val="830032696"/>
      </c:scatterChart>
      <c:valAx>
        <c:axId val="83003073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2696"/>
        <c:crossesAt val="0.1"/>
        <c:crossBetween val="midCat"/>
        <c:majorUnit val="14"/>
        <c:minorUnit val="7"/>
      </c:valAx>
      <c:valAx>
        <c:axId val="830032696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myData!$CO$11</c:f>
          <c:strCache>
            <c:ptCount val="1"/>
            <c:pt idx="0">
              <c:v>Australia Limit 84.7 G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245 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1.0353344974657584E-2</c:v>
                </c:pt>
                <c:pt idx="1">
                  <c:v>1.2624616493400635E-2</c:v>
                </c:pt>
                <c:pt idx="2">
                  <c:v>1.5394149619815426E-2</c:v>
                </c:pt>
                <c:pt idx="3">
                  <c:v>1.8771250805213857E-2</c:v>
                </c:pt>
                <c:pt idx="4">
                  <c:v>2.2889205671918475E-2</c:v>
                </c:pt>
                <c:pt idx="5">
                  <c:v>2.7910539458876202E-2</c:v>
                </c:pt>
                <c:pt idx="6">
                  <c:v>3.4033431480813364E-2</c:v>
                </c:pt>
                <c:pt idx="7">
                  <c:v>4.1499536763373195E-2</c:v>
                </c:pt>
                <c:pt idx="8">
                  <c:v>5.0603523554345782E-2</c:v>
                </c:pt>
                <c:pt idx="9">
                  <c:v>6.1704703132379399E-2</c:v>
                </c:pt>
                <c:pt idx="10">
                  <c:v>7.5241210912239953E-2</c:v>
                </c:pt>
                <c:pt idx="11">
                  <c:v>9.1747298538891908E-2</c:v>
                </c:pt>
                <c:pt idx="12">
                  <c:v>0.11187441944551547</c:v>
                </c:pt>
                <c:pt idx="13">
                  <c:v>0.13641694006898078</c:v>
                </c:pt>
                <c:pt idx="14">
                  <c:v>0.16634349147927094</c:v>
                </c:pt>
                <c:pt idx="15">
                  <c:v>0.20283519879218678</c:v>
                </c:pt>
                <c:pt idx="16">
                  <c:v>0.24733229718333499</c:v>
                </c:pt>
                <c:pt idx="17">
                  <c:v>0.30159097431929299</c:v>
                </c:pt>
                <c:pt idx="18">
                  <c:v>0.36775268263260458</c:v>
                </c:pt>
                <c:pt idx="19">
                  <c:v>0.44842865702038243</c:v>
                </c:pt>
                <c:pt idx="20">
                  <c:v>0.54680297366581598</c:v>
                </c:pt>
                <c:pt idx="21">
                  <c:v>0.66675821745299968</c:v>
                </c:pt>
                <c:pt idx="22">
                  <c:v>0.81302871774935725</c:v>
                </c:pt>
                <c:pt idx="23">
                  <c:v>0.9913874003835188</c:v>
                </c:pt>
                <c:pt idx="24">
                  <c:v>1.2088736303925112</c:v>
                </c:pt>
                <c:pt idx="25">
                  <c:v>1.4740710379138893</c:v>
                </c:pt>
                <c:pt idx="26">
                  <c:v>1.7974462923064154</c:v>
                </c:pt>
                <c:pt idx="27">
                  <c:v>2.1917621950549986</c:v>
                </c:pt>
                <c:pt idx="28">
                  <c:v>2.6725813951895772</c:v>
                </c:pt>
                <c:pt idx="29">
                  <c:v>3.2588806075885284</c:v>
                </c:pt>
                <c:pt idx="30">
                  <c:v>3.9737995758058724</c:v>
                </c:pt>
                <c:pt idx="31">
                  <c:v>4.8455543390863163</c:v>
                </c:pt>
                <c:pt idx="32">
                  <c:v>5.9085508479018829</c:v>
                </c:pt>
                <c:pt idx="33">
                  <c:v>7.2047428795921329</c:v>
                </c:pt>
                <c:pt idx="34">
                  <c:v>8.7852878475956508</c:v>
                </c:pt>
                <c:pt idx="35">
                  <c:v>10.712565854865336</c:v>
                </c:pt>
                <c:pt idx="36">
                  <c:v>13.06264167838691</c:v>
                </c:pt>
                <c:pt idx="37">
                  <c:v>15.928266853087868</c:v>
                </c:pt>
                <c:pt idx="38">
                  <c:v>19.422540339777449</c:v>
                </c:pt>
                <c:pt idx="39">
                  <c:v>23.68337225440024</c:v>
                </c:pt>
                <c:pt idx="40">
                  <c:v>28.878926830679781</c:v>
                </c:pt>
                <c:pt idx="41">
                  <c:v>35.214259436087389</c:v>
                </c:pt>
                <c:pt idx="42">
                  <c:v>42.939409587328463</c:v>
                </c:pt>
                <c:pt idx="43">
                  <c:v>52.359269376147012</c:v>
                </c:pt>
                <c:pt idx="44">
                  <c:v>63.845616787191908</c:v>
                </c:pt>
                <c:pt idx="45">
                  <c:v>77.851788832487316</c:v>
                </c:pt>
                <c:pt idx="46">
                  <c:v>94.930573613915016</c:v>
                </c:pt>
                <c:pt idx="47">
                  <c:v>115.75602746803939</c:v>
                </c:pt>
                <c:pt idx="48">
                  <c:v>141.15007826064556</c:v>
                </c:pt>
                <c:pt idx="49">
                  <c:v>172.1149647955491</c:v>
                </c:pt>
                <c:pt idx="50">
                  <c:v>209.87279263884577</c:v>
                </c:pt>
                <c:pt idx="51">
                  <c:v>255.91376752662643</c:v>
                </c:pt>
                <c:pt idx="52">
                  <c:v>312.05501000635849</c:v>
                </c:pt>
                <c:pt idx="53">
                  <c:v>380.51227257654676</c:v>
                </c:pt>
                <c:pt idx="54">
                  <c:v>463.98738981809544</c:v>
                </c:pt>
                <c:pt idx="55">
                  <c:v>565.77491295196126</c:v>
                </c:pt>
                <c:pt idx="56">
                  <c:v>689.89213741816377</c:v>
                </c:pt>
                <c:pt idx="57">
                  <c:v>841.23765533418077</c:v>
                </c:pt>
                <c:pt idx="58">
                  <c:v>1025.7846904950086</c:v>
                </c:pt>
                <c:pt idx="59">
                  <c:v>1250.8168463552631</c:v>
                </c:pt>
                <c:pt idx="60">
                  <c:v>1525.2155713656482</c:v>
                </c:pt>
                <c:pt idx="61">
                  <c:v>1859.8106871875657</c:v>
                </c:pt>
                <c:pt idx="62">
                  <c:v>2267.8078142394993</c:v>
                </c:pt>
                <c:pt idx="63">
                  <c:v>2765.3095639684311</c:v>
                </c:pt>
                <c:pt idx="64">
                  <c:v>3371.9510679698792</c:v>
                </c:pt>
                <c:pt idx="65">
                  <c:v>4111.6749266588331</c:v>
                </c:pt>
                <c:pt idx="66">
                  <c:v>16480.914776566304</c:v>
                </c:pt>
                <c:pt idx="67">
                  <c:v>66060.794090597527</c:v>
                </c:pt>
                <c:pt idx="68">
                  <c:v>264792.69648370583</c:v>
                </c:pt>
                <c:pt idx="69" formatCode="0.00E+00">
                  <c:v>1061370.8525395524</c:v>
                </c:pt>
                <c:pt idx="70" formatCode="0.00E+00">
                  <c:v>4254260.4245313462</c:v>
                </c:pt>
                <c:pt idx="71" formatCode="0.00E+00">
                  <c:v>17051555.115948118</c:v>
                </c:pt>
                <c:pt idx="72" formatCode="0.00E+00">
                  <c:v>68333837.483001396</c:v>
                </c:pt>
                <c:pt idx="73" formatCode="0.00E+00">
                  <c:v>273674808.51854914</c:v>
                </c:pt>
                <c:pt idx="74" formatCode="0.00E+00">
                  <c:v>1093309703.116997</c:v>
                </c:pt>
                <c:pt idx="75" formatCode="0.00E+00">
                  <c:v>4324394592.1002007</c:v>
                </c:pt>
                <c:pt idx="76" formatCode="0.00E+00">
                  <c:v>16461168559.709417</c:v>
                </c:pt>
                <c:pt idx="77" formatCode="0.00E+00">
                  <c:v>54905181814.931358</c:v>
                </c:pt>
                <c:pt idx="78" formatCode="0.00E+00">
                  <c:v>131555728303.08841</c:v>
                </c:pt>
                <c:pt idx="79" formatCode="0.00E+00">
                  <c:v>201861965534.86621</c:v>
                </c:pt>
                <c:pt idx="80" formatCode="0.00E+00">
                  <c:v>232916232706.71393</c:v>
                </c:pt>
                <c:pt idx="81" formatCode="0.00E+00">
                  <c:v>242212325781.9668</c:v>
                </c:pt>
                <c:pt idx="82" formatCode="0.00E+00">
                  <c:v>244648343381.90469</c:v>
                </c:pt>
                <c:pt idx="83" formatCode="0.00E+00">
                  <c:v>245263739799.81592</c:v>
                </c:pt>
                <c:pt idx="84" formatCode="0.00E+00">
                  <c:v>245417752343.948</c:v>
                </c:pt>
                <c:pt idx="85" formatCode="0.00E+00">
                  <c:v>245456205695.77094</c:v>
                </c:pt>
                <c:pt idx="86" formatCode="0.00E+00">
                  <c:v>245465800953.77081</c:v>
                </c:pt>
                <c:pt idx="87" formatCode="0.00E+00">
                  <c:v>245468194905.03656</c:v>
                </c:pt>
                <c:pt idx="88" formatCode="0.00E+00">
                  <c:v>245468792157.61505</c:v>
                </c:pt>
                <c:pt idx="89" formatCode="0.00E+00">
                  <c:v>245468941161.22479</c:v>
                </c:pt>
                <c:pt idx="90" formatCode="0.00E+00">
                  <c:v>245468978334.81909</c:v>
                </c:pt>
                <c:pt idx="91" formatCode="0.00E+00">
                  <c:v>245468987608.92554</c:v>
                </c:pt>
                <c:pt idx="92" formatCode="0.00E+00">
                  <c:v>245468989922.63876</c:v>
                </c:pt>
                <c:pt idx="93" formatCode="0.00E+00">
                  <c:v>245468990499.86618</c:v>
                </c:pt>
                <c:pt idx="94" formatCode="0.00E+00">
                  <c:v>245468990643.87347</c:v>
                </c:pt>
                <c:pt idx="95" formatCode="0.00E+00">
                  <c:v>245468990679.80054</c:v>
                </c:pt>
                <c:pt idx="96" formatCode="0.00E+00">
                  <c:v>245468990688.76367</c:v>
                </c:pt>
                <c:pt idx="97" formatCode="0.00E+00">
                  <c:v>245468990690.99976</c:v>
                </c:pt>
                <c:pt idx="98" formatCode="0.00E+00">
                  <c:v>245468990691.55765</c:v>
                </c:pt>
                <c:pt idx="99" formatCode="0.00E+00">
                  <c:v>245468990691.69684</c:v>
                </c:pt>
                <c:pt idx="100" formatCode="0.00E+00">
                  <c:v>245468990691.73154</c:v>
                </c:pt>
                <c:pt idx="101" formatCode="0.00E+00">
                  <c:v>245468990691.7402</c:v>
                </c:pt>
                <c:pt idx="102" formatCode="0.00E+00">
                  <c:v>245468990691.74237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3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3"/>
                <c:pt idx="0">
                  <c:v>0.33411521761595392</c:v>
                </c:pt>
                <c:pt idx="1">
                  <c:v>0.36448932830831338</c:v>
                </c:pt>
                <c:pt idx="2">
                  <c:v>0.36448932830831338</c:v>
                </c:pt>
                <c:pt idx="3">
                  <c:v>0.39486343900067283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0.45561166038539175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1.5490796453103319</c:v>
                </c:pt>
                <c:pt idx="15">
                  <c:v>1.5490796453103319</c:v>
                </c:pt>
                <c:pt idx="16">
                  <c:v>1.7313243094644886</c:v>
                </c:pt>
                <c:pt idx="17">
                  <c:v>1.761698420156848</c:v>
                </c:pt>
                <c:pt idx="18">
                  <c:v>1.822446641541567</c:v>
                </c:pt>
                <c:pt idx="19">
                  <c:v>2.0654395270804424</c:v>
                </c:pt>
                <c:pt idx="20">
                  <c:v>2.2476841912345993</c:v>
                </c:pt>
                <c:pt idx="21">
                  <c:v>2.9766628478512263</c:v>
                </c:pt>
                <c:pt idx="22">
                  <c:v>3.5841450616984152</c:v>
                </c:pt>
                <c:pt idx="23">
                  <c:v>4.525742493161558</c:v>
                </c:pt>
                <c:pt idx="24">
                  <c:v>6.5911820202420008</c:v>
                </c:pt>
                <c:pt idx="25">
                  <c:v>7.9580170013981757</c:v>
                </c:pt>
                <c:pt idx="26">
                  <c:v>12.180018387636139</c:v>
                </c:pt>
                <c:pt idx="27">
                  <c:v>15.612292895872757</c:v>
                </c:pt>
                <c:pt idx="28">
                  <c:v>17.586610090876121</c:v>
                </c:pt>
                <c:pt idx="29">
                  <c:v>29.128772153972712</c:v>
                </c:pt>
                <c:pt idx="30">
                  <c:v>38.909235796912455</c:v>
                </c:pt>
                <c:pt idx="31">
                  <c:v>50.512146081393766</c:v>
                </c:pt>
                <c:pt idx="32">
                  <c:v>66.185187198651235</c:v>
                </c:pt>
                <c:pt idx="33">
                  <c:v>82.830199858064219</c:v>
                </c:pt>
                <c:pt idx="34">
                  <c:v>106.27901331256571</c:v>
                </c:pt>
                <c:pt idx="35">
                  <c:v>140.69288072700897</c:v>
                </c:pt>
                <c:pt idx="36">
                  <c:v>195.03216475564003</c:v>
                </c:pt>
                <c:pt idx="37">
                  <c:v>236.40170351863358</c:v>
                </c:pt>
                <c:pt idx="38">
                  <c:v>415.42671193940021</c:v>
                </c:pt>
                <c:pt idx="39">
                  <c:v>580.14551422406544</c:v>
                </c:pt>
                <c:pt idx="40">
                  <c:v>774.20570743755002</c:v>
                </c:pt>
                <c:pt idx="41">
                  <c:v>1010.6074109561836</c:v>
                </c:pt>
                <c:pt idx="42">
                  <c:v>1069.8976750276693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4.92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8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  <c:pt idx="43">
                  <c:v>43914</c:v>
                </c:pt>
                <c:pt idx="44">
                  <c:v>43915</c:v>
                </c:pt>
                <c:pt idx="45">
                  <c:v>43916</c:v>
                </c:pt>
                <c:pt idx="46">
                  <c:v>43917</c:v>
                </c:pt>
                <c:pt idx="47">
                  <c:v>43918</c:v>
                </c:pt>
                <c:pt idx="48">
                  <c:v>43919</c:v>
                </c:pt>
                <c:pt idx="49">
                  <c:v>43920</c:v>
                </c:pt>
                <c:pt idx="50">
                  <c:v>43921</c:v>
                </c:pt>
                <c:pt idx="51">
                  <c:v>43928</c:v>
                </c:pt>
                <c:pt idx="52">
                  <c:v>43935</c:v>
                </c:pt>
                <c:pt idx="53">
                  <c:v>43942</c:v>
                </c:pt>
                <c:pt idx="54">
                  <c:v>43949</c:v>
                </c:pt>
                <c:pt idx="55">
                  <c:v>43956</c:v>
                </c:pt>
                <c:pt idx="56">
                  <c:v>43963</c:v>
                </c:pt>
                <c:pt idx="57">
                  <c:v>43970</c:v>
                </c:pt>
                <c:pt idx="58">
                  <c:v>43977</c:v>
                </c:pt>
                <c:pt idx="59">
                  <c:v>43984</c:v>
                </c:pt>
                <c:pt idx="60">
                  <c:v>43991</c:v>
                </c:pt>
                <c:pt idx="61">
                  <c:v>43998</c:v>
                </c:pt>
                <c:pt idx="62">
                  <c:v>44005</c:v>
                </c:pt>
                <c:pt idx="63">
                  <c:v>44012</c:v>
                </c:pt>
                <c:pt idx="64">
                  <c:v>44019</c:v>
                </c:pt>
                <c:pt idx="65">
                  <c:v>44026</c:v>
                </c:pt>
                <c:pt idx="66">
                  <c:v>44033</c:v>
                </c:pt>
                <c:pt idx="67">
                  <c:v>44040</c:v>
                </c:pt>
                <c:pt idx="68">
                  <c:v>44047</c:v>
                </c:pt>
                <c:pt idx="69">
                  <c:v>44054</c:v>
                </c:pt>
                <c:pt idx="70">
                  <c:v>44061</c:v>
                </c:pt>
                <c:pt idx="71">
                  <c:v>44068</c:v>
                </c:pt>
                <c:pt idx="72">
                  <c:v>44075</c:v>
                </c:pt>
                <c:pt idx="73">
                  <c:v>44082</c:v>
                </c:pt>
                <c:pt idx="74">
                  <c:v>44089</c:v>
                </c:pt>
                <c:pt idx="75">
                  <c:v>44096</c:v>
                </c:pt>
                <c:pt idx="76">
                  <c:v>44103</c:v>
                </c:pt>
                <c:pt idx="77">
                  <c:v>44110</c:v>
                </c:pt>
                <c:pt idx="78">
                  <c:v>44117</c:v>
                </c:pt>
                <c:pt idx="79">
                  <c:v>44124</c:v>
                </c:pt>
                <c:pt idx="80">
                  <c:v>44131</c:v>
                </c:pt>
                <c:pt idx="81">
                  <c:v>44138</c:v>
                </c:pt>
                <c:pt idx="82">
                  <c:v>44145</c:v>
                </c:pt>
                <c:pt idx="83">
                  <c:v>44152</c:v>
                </c:pt>
                <c:pt idx="84">
                  <c:v>44159</c:v>
                </c:pt>
                <c:pt idx="85">
                  <c:v>44166</c:v>
                </c:pt>
                <c:pt idx="86">
                  <c:v>44173</c:v>
                </c:pt>
                <c:pt idx="87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8"/>
                <c:pt idx="0">
                  <c:v>1.0836347793099039E-3</c:v>
                </c:pt>
                <c:pt idx="1">
                  <c:v>1.5182437190588839E-3</c:v>
                </c:pt>
                <c:pt idx="2">
                  <c:v>2.1271594016447218E-3</c:v>
                </c:pt>
                <c:pt idx="3">
                  <c:v>2.9802902119717427E-3</c:v>
                </c:pt>
                <c:pt idx="4">
                  <c:v>4.1755822919064814E-3</c:v>
                </c:pt>
                <c:pt idx="5">
                  <c:v>5.8502644161182189E-3</c:v>
                </c:pt>
                <c:pt idx="6">
                  <c:v>8.1966026942549043E-3</c:v>
                </c:pt>
                <c:pt idx="7">
                  <c:v>1.1483973730492082E-2</c:v>
                </c:pt>
                <c:pt idx="8">
                  <c:v>1.6089790148880099E-2</c:v>
                </c:pt>
                <c:pt idx="9">
                  <c:v>2.2542828455184603E-2</c:v>
                </c:pt>
                <c:pt idx="10">
                  <c:v>3.1583932581452367E-2</c:v>
                </c:pt>
                <c:pt idx="11">
                  <c:v>4.4251060320297214E-2</c:v>
                </c:pt>
                <c:pt idx="12">
                  <c:v>6.1998432635991745E-2</c:v>
                </c:pt>
                <c:pt idx="13">
                  <c:v>8.6863457235688182E-2</c:v>
                </c:pt>
                <c:pt idx="14">
                  <c:v>0.12170057501717667</c:v>
                </c:pt>
                <c:pt idx="15">
                  <c:v>0.17050884630002369</c:v>
                </c:pt>
                <c:pt idx="16">
                  <c:v>0.23889082639085327</c:v>
                </c:pt>
                <c:pt idx="17">
                  <c:v>0.33469529531990772</c:v>
                </c:pt>
                <c:pt idx="18">
                  <c:v>0.46891740110605828</c:v>
                </c:pt>
                <c:pt idx="19">
                  <c:v>0.65695910647291522</c:v>
                </c:pt>
                <c:pt idx="20">
                  <c:v>0.92039375794738532</c:v>
                </c:pt>
                <c:pt idx="21">
                  <c:v>1.2894356168594008</c:v>
                </c:pt>
                <c:pt idx="22">
                  <c:v>1.8063944469565998</c:v>
                </c:pt>
                <c:pt idx="23">
                  <c:v>2.5305050522921926</c:v>
                </c:pt>
                <c:pt idx="24">
                  <c:v>3.5446730619201188</c:v>
                </c:pt>
                <c:pt idx="25">
                  <c:v>4.9648856270476101</c:v>
                </c:pt>
                <c:pt idx="26">
                  <c:v>6.9533169497434564</c:v>
                </c:pt>
                <c:pt idx="27">
                  <c:v>9.7365345347922929</c:v>
                </c:pt>
                <c:pt idx="28">
                  <c:v>13.630703714325175</c:v>
                </c:pt>
                <c:pt idx="29">
                  <c:v>19.076308996902515</c:v>
                </c:pt>
                <c:pt idx="30">
                  <c:v>26.68565057918784</c:v>
                </c:pt>
                <c:pt idx="31">
                  <c:v>37.307162951155085</c:v>
                </c:pt>
                <c:pt idx="32">
                  <c:v>52.11124184184203</c:v>
                </c:pt>
                <c:pt idx="33">
                  <c:v>72.702303677313651</c:v>
                </c:pt>
                <c:pt idx="34">
                  <c:v>101.26031833309068</c:v>
                </c:pt>
                <c:pt idx="35">
                  <c:v>140.71034125560007</c:v>
                </c:pt>
                <c:pt idx="36">
                  <c:v>194.90774318496787</c:v>
                </c:pt>
                <c:pt idx="37">
                  <c:v>268.80567616632618</c:v>
                </c:pt>
                <c:pt idx="38">
                  <c:v>368.53514688546142</c:v>
                </c:pt>
                <c:pt idx="39">
                  <c:v>501.27549710525466</c:v>
                </c:pt>
                <c:pt idx="40">
                  <c:v>674.73531803270805</c:v>
                </c:pt>
                <c:pt idx="41">
                  <c:v>896.04041716736913</c:v>
                </c:pt>
                <c:pt idx="42">
                  <c:v>1169.9166150132119</c:v>
                </c:pt>
                <c:pt idx="43">
                  <c:v>1496.356454404108</c:v>
                </c:pt>
                <c:pt idx="44">
                  <c:v>1868.4703213038326</c:v>
                </c:pt>
                <c:pt idx="45">
                  <c:v>2271.6781973185171</c:v>
                </c:pt>
                <c:pt idx="46">
                  <c:v>2685.2702746632672</c:v>
                </c:pt>
                <c:pt idx="47">
                  <c:v>3086.3301200715691</c:v>
                </c:pt>
                <c:pt idx="48">
                  <c:v>3454.5944474769171</c:v>
                </c:pt>
                <c:pt idx="49">
                  <c:v>3776.1920093945446</c:v>
                </c:pt>
                <c:pt idx="50">
                  <c:v>4044.9558685600687</c:v>
                </c:pt>
                <c:pt idx="51">
                  <c:v>4819.5258420146438</c:v>
                </c:pt>
                <c:pt idx="52">
                  <c:v>4908.2128667891293</c:v>
                </c:pt>
                <c:pt idx="53">
                  <c:v>4916.7502297493111</c:v>
                </c:pt>
                <c:pt idx="54">
                  <c:v>4917.557352550114</c:v>
                </c:pt>
                <c:pt idx="55">
                  <c:v>4917.6335266720407</c:v>
                </c:pt>
                <c:pt idx="56">
                  <c:v>4917.6407146153833</c:v>
                </c:pt>
                <c:pt idx="57">
                  <c:v>4917.6413928737602</c:v>
                </c:pt>
                <c:pt idx="58">
                  <c:v>4917.6414568745085</c:v>
                </c:pt>
                <c:pt idx="59">
                  <c:v>4917.641462913647</c:v>
                </c:pt>
                <c:pt idx="60">
                  <c:v>4917.6414634835019</c:v>
                </c:pt>
                <c:pt idx="61">
                  <c:v>4917.6414635372739</c:v>
                </c:pt>
                <c:pt idx="62">
                  <c:v>4917.6414635423471</c:v>
                </c:pt>
                <c:pt idx="63">
                  <c:v>4917.6414635428264</c:v>
                </c:pt>
                <c:pt idx="64">
                  <c:v>4917.641463542871</c:v>
                </c:pt>
                <c:pt idx="65">
                  <c:v>4917.6414635428755</c:v>
                </c:pt>
                <c:pt idx="66">
                  <c:v>4917.6414635428755</c:v>
                </c:pt>
                <c:pt idx="67">
                  <c:v>4917.6414635428755</c:v>
                </c:pt>
                <c:pt idx="68">
                  <c:v>4917.6414635428755</c:v>
                </c:pt>
                <c:pt idx="69">
                  <c:v>4917.6414635428755</c:v>
                </c:pt>
                <c:pt idx="70">
                  <c:v>4917.6414635428755</c:v>
                </c:pt>
                <c:pt idx="71">
                  <c:v>4917.6414635428755</c:v>
                </c:pt>
                <c:pt idx="72">
                  <c:v>4917.6414635428755</c:v>
                </c:pt>
                <c:pt idx="73">
                  <c:v>4917.6414635428755</c:v>
                </c:pt>
                <c:pt idx="74">
                  <c:v>4917.6414635428755</c:v>
                </c:pt>
                <c:pt idx="75">
                  <c:v>4917.6414635428755</c:v>
                </c:pt>
                <c:pt idx="76">
                  <c:v>4917.6414635428755</c:v>
                </c:pt>
                <c:pt idx="77">
                  <c:v>4917.6414635428755</c:v>
                </c:pt>
                <c:pt idx="78">
                  <c:v>4917.6414635428755</c:v>
                </c:pt>
                <c:pt idx="79">
                  <c:v>4917.6414635428755</c:v>
                </c:pt>
                <c:pt idx="80">
                  <c:v>4917.6414635428755</c:v>
                </c:pt>
                <c:pt idx="81">
                  <c:v>4917.6414635428755</c:v>
                </c:pt>
                <c:pt idx="82">
                  <c:v>4917.6414635428755</c:v>
                </c:pt>
                <c:pt idx="83">
                  <c:v>4917.6414635428755</c:v>
                </c:pt>
                <c:pt idx="84">
                  <c:v>4917.6414635428755</c:v>
                </c:pt>
                <c:pt idx="85">
                  <c:v>4917.6414635428755</c:v>
                </c:pt>
                <c:pt idx="86">
                  <c:v>4917.6414635428755</c:v>
                </c:pt>
                <c:pt idx="87">
                  <c:v>4917.6414635428755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myData!$DH$11:$DH$12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myData!$DJ$11:$DJ$12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34264"/>
        <c:axId val="830044456"/>
      </c:scatterChart>
      <c:valAx>
        <c:axId val="830034264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44456"/>
        <c:crossesAt val="1.0000000000000002E-2"/>
        <c:crossBetween val="midCat"/>
        <c:majorUnit val="14"/>
        <c:minorUnit val="7"/>
      </c:valAx>
      <c:valAx>
        <c:axId val="830044456"/>
        <c:scaling>
          <c:logBase val="10"/>
          <c:orientation val="minMax"/>
          <c:max val="1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34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myData!$CO$12</c:f>
          <c:strCache>
            <c:ptCount val="1"/>
            <c:pt idx="0">
              <c:v>NSW Limit 245 G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245 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1.0353344974657584E-2</c:v>
                </c:pt>
                <c:pt idx="1">
                  <c:v>1.2624616493400635E-2</c:v>
                </c:pt>
                <c:pt idx="2">
                  <c:v>1.5394149619815426E-2</c:v>
                </c:pt>
                <c:pt idx="3">
                  <c:v>1.8771250805213857E-2</c:v>
                </c:pt>
                <c:pt idx="4">
                  <c:v>2.2889205671918475E-2</c:v>
                </c:pt>
                <c:pt idx="5">
                  <c:v>2.7910539458876202E-2</c:v>
                </c:pt>
                <c:pt idx="6">
                  <c:v>3.4033431480813364E-2</c:v>
                </c:pt>
                <c:pt idx="7">
                  <c:v>4.1499536763373195E-2</c:v>
                </c:pt>
                <c:pt idx="8">
                  <c:v>5.0603523554345782E-2</c:v>
                </c:pt>
                <c:pt idx="9">
                  <c:v>6.1704703132379399E-2</c:v>
                </c:pt>
                <c:pt idx="10">
                  <c:v>7.5241210912239953E-2</c:v>
                </c:pt>
                <c:pt idx="11">
                  <c:v>9.1747298538891908E-2</c:v>
                </c:pt>
                <c:pt idx="12">
                  <c:v>0.11187441944551547</c:v>
                </c:pt>
                <c:pt idx="13">
                  <c:v>0.13641694006898078</c:v>
                </c:pt>
                <c:pt idx="14">
                  <c:v>0.16634349147927094</c:v>
                </c:pt>
                <c:pt idx="15">
                  <c:v>0.20283519879218678</c:v>
                </c:pt>
                <c:pt idx="16">
                  <c:v>0.24733229718333499</c:v>
                </c:pt>
                <c:pt idx="17">
                  <c:v>0.30159097431929299</c:v>
                </c:pt>
                <c:pt idx="18">
                  <c:v>0.36775268263260458</c:v>
                </c:pt>
                <c:pt idx="19">
                  <c:v>0.44842865702038243</c:v>
                </c:pt>
                <c:pt idx="20">
                  <c:v>0.54680297366581598</c:v>
                </c:pt>
                <c:pt idx="21">
                  <c:v>0.66675821745299968</c:v>
                </c:pt>
                <c:pt idx="22">
                  <c:v>0.81302871774935725</c:v>
                </c:pt>
                <c:pt idx="23">
                  <c:v>0.9913874003835188</c:v>
                </c:pt>
                <c:pt idx="24">
                  <c:v>1.2088736303925112</c:v>
                </c:pt>
                <c:pt idx="25">
                  <c:v>1.4740710379138893</c:v>
                </c:pt>
                <c:pt idx="26">
                  <c:v>1.7974462923064154</c:v>
                </c:pt>
                <c:pt idx="27">
                  <c:v>2.1917621950549986</c:v>
                </c:pt>
                <c:pt idx="28">
                  <c:v>2.6725813951895772</c:v>
                </c:pt>
                <c:pt idx="29">
                  <c:v>3.2588806075885284</c:v>
                </c:pt>
                <c:pt idx="30">
                  <c:v>3.9737995758058724</c:v>
                </c:pt>
                <c:pt idx="31">
                  <c:v>4.8455543390863163</c:v>
                </c:pt>
                <c:pt idx="32">
                  <c:v>5.9085508479018829</c:v>
                </c:pt>
                <c:pt idx="33">
                  <c:v>7.2047428795921329</c:v>
                </c:pt>
                <c:pt idx="34">
                  <c:v>8.7852878475956508</c:v>
                </c:pt>
                <c:pt idx="35">
                  <c:v>10.712565854865336</c:v>
                </c:pt>
                <c:pt idx="36">
                  <c:v>13.06264167838691</c:v>
                </c:pt>
                <c:pt idx="37">
                  <c:v>15.928266853087868</c:v>
                </c:pt>
                <c:pt idx="38">
                  <c:v>19.422540339777449</c:v>
                </c:pt>
                <c:pt idx="39">
                  <c:v>23.68337225440024</c:v>
                </c:pt>
                <c:pt idx="40">
                  <c:v>28.878926830679781</c:v>
                </c:pt>
                <c:pt idx="41">
                  <c:v>35.214259436087389</c:v>
                </c:pt>
                <c:pt idx="42">
                  <c:v>42.939409587328463</c:v>
                </c:pt>
                <c:pt idx="43">
                  <c:v>52.359269376147012</c:v>
                </c:pt>
                <c:pt idx="44">
                  <c:v>63.845616787191908</c:v>
                </c:pt>
                <c:pt idx="45">
                  <c:v>77.851788832487316</c:v>
                </c:pt>
                <c:pt idx="46">
                  <c:v>94.930573613915016</c:v>
                </c:pt>
                <c:pt idx="47">
                  <c:v>115.75602746803939</c:v>
                </c:pt>
                <c:pt idx="48">
                  <c:v>141.15007826064556</c:v>
                </c:pt>
                <c:pt idx="49">
                  <c:v>172.1149647955491</c:v>
                </c:pt>
                <c:pt idx="50">
                  <c:v>209.87279263884577</c:v>
                </c:pt>
                <c:pt idx="51">
                  <c:v>255.91376752662643</c:v>
                </c:pt>
                <c:pt idx="52">
                  <c:v>312.05501000635849</c:v>
                </c:pt>
                <c:pt idx="53">
                  <c:v>380.51227257654676</c:v>
                </c:pt>
                <c:pt idx="54">
                  <c:v>463.98738981809544</c:v>
                </c:pt>
                <c:pt idx="55">
                  <c:v>565.77491295196126</c:v>
                </c:pt>
                <c:pt idx="56">
                  <c:v>689.89213741816377</c:v>
                </c:pt>
                <c:pt idx="57">
                  <c:v>841.23765533418077</c:v>
                </c:pt>
                <c:pt idx="58">
                  <c:v>1025.7846904950086</c:v>
                </c:pt>
                <c:pt idx="59">
                  <c:v>1250.8168463552631</c:v>
                </c:pt>
                <c:pt idx="60">
                  <c:v>1525.2155713656482</c:v>
                </c:pt>
                <c:pt idx="61">
                  <c:v>1859.8106871875657</c:v>
                </c:pt>
                <c:pt idx="62">
                  <c:v>2267.8078142394993</c:v>
                </c:pt>
                <c:pt idx="63">
                  <c:v>2765.3095639684311</c:v>
                </c:pt>
                <c:pt idx="64">
                  <c:v>3371.9510679698792</c:v>
                </c:pt>
                <c:pt idx="65">
                  <c:v>4111.6749266588331</c:v>
                </c:pt>
                <c:pt idx="66">
                  <c:v>16480.914776566304</c:v>
                </c:pt>
                <c:pt idx="67">
                  <c:v>66060.794090597527</c:v>
                </c:pt>
                <c:pt idx="68">
                  <c:v>264792.69648370583</c:v>
                </c:pt>
                <c:pt idx="69" formatCode="0.00E+00">
                  <c:v>1061370.8525395524</c:v>
                </c:pt>
                <c:pt idx="70" formatCode="0.00E+00">
                  <c:v>4254260.4245313462</c:v>
                </c:pt>
                <c:pt idx="71" formatCode="0.00E+00">
                  <c:v>17051555.115948118</c:v>
                </c:pt>
                <c:pt idx="72" formatCode="0.00E+00">
                  <c:v>68333837.483001396</c:v>
                </c:pt>
                <c:pt idx="73" formatCode="0.00E+00">
                  <c:v>273674808.51854914</c:v>
                </c:pt>
                <c:pt idx="74" formatCode="0.00E+00">
                  <c:v>1093309703.116997</c:v>
                </c:pt>
                <c:pt idx="75" formatCode="0.00E+00">
                  <c:v>4324394592.1002007</c:v>
                </c:pt>
                <c:pt idx="76" formatCode="0.00E+00">
                  <c:v>16461168559.709417</c:v>
                </c:pt>
                <c:pt idx="77" formatCode="0.00E+00">
                  <c:v>54905181814.931358</c:v>
                </c:pt>
                <c:pt idx="78" formatCode="0.00E+00">
                  <c:v>131555728303.08841</c:v>
                </c:pt>
                <c:pt idx="79" formatCode="0.00E+00">
                  <c:v>201861965534.86621</c:v>
                </c:pt>
                <c:pt idx="80" formatCode="0.00E+00">
                  <c:v>232916232706.71393</c:v>
                </c:pt>
                <c:pt idx="81" formatCode="0.00E+00">
                  <c:v>242212325781.9668</c:v>
                </c:pt>
                <c:pt idx="82" formatCode="0.00E+00">
                  <c:v>244648343381.90469</c:v>
                </c:pt>
                <c:pt idx="83" formatCode="0.00E+00">
                  <c:v>245263739799.81592</c:v>
                </c:pt>
                <c:pt idx="84" formatCode="0.00E+00">
                  <c:v>245417752343.948</c:v>
                </c:pt>
                <c:pt idx="85" formatCode="0.00E+00">
                  <c:v>245456205695.77094</c:v>
                </c:pt>
                <c:pt idx="86" formatCode="0.00E+00">
                  <c:v>245465800953.77081</c:v>
                </c:pt>
                <c:pt idx="87" formatCode="0.00E+00">
                  <c:v>245468194905.03656</c:v>
                </c:pt>
                <c:pt idx="88" formatCode="0.00E+00">
                  <c:v>245468792157.61505</c:v>
                </c:pt>
                <c:pt idx="89" formatCode="0.00E+00">
                  <c:v>245468941161.22479</c:v>
                </c:pt>
                <c:pt idx="90" formatCode="0.00E+00">
                  <c:v>245468978334.81909</c:v>
                </c:pt>
                <c:pt idx="91" formatCode="0.00E+00">
                  <c:v>245468987608.92554</c:v>
                </c:pt>
                <c:pt idx="92" formatCode="0.00E+00">
                  <c:v>245468989922.63876</c:v>
                </c:pt>
                <c:pt idx="93" formatCode="0.00E+00">
                  <c:v>245468990499.86618</c:v>
                </c:pt>
                <c:pt idx="94" formatCode="0.00E+00">
                  <c:v>245468990643.87347</c:v>
                </c:pt>
                <c:pt idx="95" formatCode="0.00E+00">
                  <c:v>245468990679.80054</c:v>
                </c:pt>
                <c:pt idx="96" formatCode="0.00E+00">
                  <c:v>245468990688.76367</c:v>
                </c:pt>
                <c:pt idx="97" formatCode="0.00E+00">
                  <c:v>245468990690.99976</c:v>
                </c:pt>
                <c:pt idx="98" formatCode="0.00E+00">
                  <c:v>245468990691.55765</c:v>
                </c:pt>
                <c:pt idx="99" formatCode="0.00E+00">
                  <c:v>245468990691.69684</c:v>
                </c:pt>
                <c:pt idx="100" formatCode="0.00E+00">
                  <c:v>245468990691.73154</c:v>
                </c:pt>
                <c:pt idx="101" formatCode="0.00E+00">
                  <c:v>245468990691.7402</c:v>
                </c:pt>
                <c:pt idx="102" formatCode="0.00E+00">
                  <c:v>245468990691.74237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0.33085194375516958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0.49627791563275436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3.3085194375516958</c:v>
                </c:pt>
                <c:pt idx="22">
                  <c:v>10.256410256410257</c:v>
                </c:pt>
                <c:pt idx="23">
                  <c:v>25.641025641025642</c:v>
                </c:pt>
                <c:pt idx="24">
                  <c:v>37.882547559966916</c:v>
                </c:pt>
                <c:pt idx="25">
                  <c:v>53.267162944582303</c:v>
                </c:pt>
                <c:pt idx="26">
                  <c:v>74.937965260545909</c:v>
                </c:pt>
                <c:pt idx="27">
                  <c:v>108.35401157981804</c:v>
                </c:pt>
                <c:pt idx="28">
                  <c:v>146.89826302729529</c:v>
                </c:pt>
                <c:pt idx="29">
                  <c:v>186.60049627791562</c:v>
                </c:pt>
                <c:pt idx="30">
                  <c:v>280.2315963606286</c:v>
                </c:pt>
                <c:pt idx="31">
                  <c:v>336.80727874276261</c:v>
                </c:pt>
                <c:pt idx="32">
                  <c:v>413.89578163771711</c:v>
                </c:pt>
                <c:pt idx="33">
                  <c:v>511.00082712985937</c:v>
                </c:pt>
                <c:pt idx="34">
                  <c:v>638.21339950372214</c:v>
                </c:pt>
                <c:pt idx="35">
                  <c:v>766.91480562448305</c:v>
                </c:pt>
                <c:pt idx="36">
                  <c:v>973.20099255583125</c:v>
                </c:pt>
                <c:pt idx="37">
                  <c:v>1220.0165425971877</c:v>
                </c:pt>
                <c:pt idx="38">
                  <c:v>1517.2870140612076</c:v>
                </c:pt>
                <c:pt idx="39">
                  <c:v>1678.9081885856081</c:v>
                </c:pt>
                <c:pt idx="40">
                  <c:v>2061.5384615384614</c:v>
                </c:pt>
                <c:pt idx="41">
                  <c:v>2500.082712985939</c:v>
                </c:pt>
                <c:pt idx="42">
                  <c:v>2921.4226633581475</c:v>
                </c:pt>
                <c:pt idx="43">
                  <c:v>3499.9172870140615</c:v>
                </c:pt>
                <c:pt idx="44">
                  <c:v>4093.7965260545907</c:v>
                </c:pt>
                <c:pt idx="45">
                  <c:v>4628.618693134822</c:v>
                </c:pt>
                <c:pt idx="46">
                  <c:v>5211.9106699751865</c:v>
                </c:pt>
                <c:pt idx="47">
                  <c:v>5907.8577336641856</c:v>
                </c:pt>
                <c:pt idx="48">
                  <c:v>6788.2547559966915</c:v>
                </c:pt>
                <c:pt idx="49">
                  <c:v>7778.4946236559144</c:v>
                </c:pt>
                <c:pt idx="50">
                  <c:v>8863.1927212572373</c:v>
                </c:pt>
                <c:pt idx="51">
                  <c:v>9782.9611248966085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10.8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43928</c:v>
                </c:pt>
                <c:pt idx="62">
                  <c:v>43935</c:v>
                </c:pt>
                <c:pt idx="63">
                  <c:v>43942</c:v>
                </c:pt>
                <c:pt idx="64">
                  <c:v>43949</c:v>
                </c:pt>
                <c:pt idx="65">
                  <c:v>43956</c:v>
                </c:pt>
                <c:pt idx="66">
                  <c:v>43963</c:v>
                </c:pt>
                <c:pt idx="67">
                  <c:v>43970</c:v>
                </c:pt>
                <c:pt idx="68">
                  <c:v>43977</c:v>
                </c:pt>
                <c:pt idx="69">
                  <c:v>43984</c:v>
                </c:pt>
                <c:pt idx="70">
                  <c:v>43991</c:v>
                </c:pt>
                <c:pt idx="71">
                  <c:v>43998</c:v>
                </c:pt>
                <c:pt idx="72">
                  <c:v>44005</c:v>
                </c:pt>
                <c:pt idx="73">
                  <c:v>44012</c:v>
                </c:pt>
                <c:pt idx="74">
                  <c:v>44019</c:v>
                </c:pt>
                <c:pt idx="75">
                  <c:v>44026</c:v>
                </c:pt>
                <c:pt idx="76">
                  <c:v>44033</c:v>
                </c:pt>
                <c:pt idx="77">
                  <c:v>44040</c:v>
                </c:pt>
                <c:pt idx="78">
                  <c:v>44047</c:v>
                </c:pt>
                <c:pt idx="79">
                  <c:v>44054</c:v>
                </c:pt>
                <c:pt idx="80">
                  <c:v>44061</c:v>
                </c:pt>
                <c:pt idx="81">
                  <c:v>44068</c:v>
                </c:pt>
                <c:pt idx="82">
                  <c:v>44075</c:v>
                </c:pt>
                <c:pt idx="83">
                  <c:v>44082</c:v>
                </c:pt>
                <c:pt idx="84">
                  <c:v>44089</c:v>
                </c:pt>
                <c:pt idx="85">
                  <c:v>44096</c:v>
                </c:pt>
                <c:pt idx="86">
                  <c:v>44103</c:v>
                </c:pt>
                <c:pt idx="87">
                  <c:v>44110</c:v>
                </c:pt>
                <c:pt idx="88">
                  <c:v>44117</c:v>
                </c:pt>
                <c:pt idx="89">
                  <c:v>44124</c:v>
                </c:pt>
                <c:pt idx="90">
                  <c:v>44131</c:v>
                </c:pt>
                <c:pt idx="91">
                  <c:v>44138</c:v>
                </c:pt>
                <c:pt idx="92">
                  <c:v>44145</c:v>
                </c:pt>
                <c:pt idx="93">
                  <c:v>44152</c:v>
                </c:pt>
                <c:pt idx="94">
                  <c:v>44159</c:v>
                </c:pt>
                <c:pt idx="95">
                  <c:v>44166</c:v>
                </c:pt>
                <c:pt idx="96">
                  <c:v>44173</c:v>
                </c:pt>
                <c:pt idx="97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0.1227377949478253</c:v>
                </c:pt>
                <c:pt idx="1">
                  <c:v>0.15898225517500719</c:v>
                </c:pt>
                <c:pt idx="2">
                  <c:v>0.20592949771893365</c:v>
                </c:pt>
                <c:pt idx="3">
                  <c:v>0.26673985510033621</c:v>
                </c:pt>
                <c:pt idx="4">
                  <c:v>0.34550675368623363</c:v>
                </c:pt>
                <c:pt idx="5">
                  <c:v>0.44753214791099916</c:v>
                </c:pt>
                <c:pt idx="6">
                  <c:v>0.57968321524871813</c:v>
                </c:pt>
                <c:pt idx="7">
                  <c:v>0.75085425698523589</c:v>
                </c:pt>
                <c:pt idx="8">
                  <c:v>0.97256478595771245</c:v>
                </c:pt>
                <c:pt idx="9">
                  <c:v>1.2597338726728324</c:v>
                </c:pt>
                <c:pt idx="10">
                  <c:v>1.6316825561529313</c:v>
                </c:pt>
                <c:pt idx="11">
                  <c:v>2.1134312596311315</c:v>
                </c:pt>
                <c:pt idx="12">
                  <c:v>2.737378642524233</c:v>
                </c:pt>
                <c:pt idx="13">
                  <c:v>3.5454733804095451</c:v>
                </c:pt>
                <c:pt idx="14">
                  <c:v>4.5920225124458112</c:v>
                </c:pt>
                <c:pt idx="15">
                  <c:v>5.9473211127897621</c:v>
                </c:pt>
                <c:pt idx="16">
                  <c:v>7.7023404252032845</c:v>
                </c:pt>
                <c:pt idx="17">
                  <c:v>9.974777986456429</c:v>
                </c:pt>
                <c:pt idx="18">
                  <c:v>12.916856808778201</c:v>
                </c:pt>
                <c:pt idx="19">
                  <c:v>16.725364829759148</c:v>
                </c:pt>
                <c:pt idx="20">
                  <c:v>21.654553944107061</c:v>
                </c:pt>
                <c:pt idx="21">
                  <c:v>28.032672607410465</c:v>
                </c:pt>
                <c:pt idx="22">
                  <c:v>36.283087726078072</c:v>
                </c:pt>
                <c:pt idx="23">
                  <c:v>46.951156250943285</c:v>
                </c:pt>
                <c:pt idx="24">
                  <c:v>60.738221785212126</c:v>
                </c:pt>
                <c:pt idx="25">
                  <c:v>78.544308157366459</c:v>
                </c:pt>
                <c:pt idx="26">
                  <c:v>101.52120508207864</c:v>
                </c:pt>
                <c:pt idx="27">
                  <c:v>131.13759163928358</c:v>
                </c:pt>
                <c:pt idx="28">
                  <c:v>169.25745339610887</c:v>
                </c:pt>
                <c:pt idx="29">
                  <c:v>218.23204816174473</c:v>
                </c:pt>
                <c:pt idx="30">
                  <c:v>281.0036514211593</c:v>
                </c:pt>
                <c:pt idx="31">
                  <c:v>361.21567906055651</c:v>
                </c:pt>
                <c:pt idx="32">
                  <c:v>463.31778866856013</c:v>
                </c:pt>
                <c:pt idx="33">
                  <c:v>592.64539729411581</c:v>
                </c:pt>
                <c:pt idx="34">
                  <c:v>755.44021782067102</c:v>
                </c:pt>
                <c:pt idx="35">
                  <c:v>958.76246427763067</c:v>
                </c:pt>
                <c:pt idx="36">
                  <c:v>1210.2292654804742</c:v>
                </c:pt>
                <c:pt idx="37">
                  <c:v>1517.5047415121728</c:v>
                </c:pt>
                <c:pt idx="38">
                  <c:v>1887.4780235265077</c:v>
                </c:pt>
                <c:pt idx="39">
                  <c:v>2325.1136885506444</c:v>
                </c:pt>
                <c:pt idx="40">
                  <c:v>2832.0592826513116</c:v>
                </c:pt>
                <c:pt idx="41">
                  <c:v>3405.2424178096699</c:v>
                </c:pt>
                <c:pt idx="42">
                  <c:v>4035.841569001378</c:v>
                </c:pt>
                <c:pt idx="43">
                  <c:v>4709.0813124836568</c:v>
                </c:pt>
                <c:pt idx="44">
                  <c:v>5405.1858723556225</c:v>
                </c:pt>
                <c:pt idx="45">
                  <c:v>6101.4962119979273</c:v>
                </c:pt>
                <c:pt idx="46">
                  <c:v>6775.3267077044529</c:v>
                </c:pt>
                <c:pt idx="47">
                  <c:v>7406.8288602536086</c:v>
                </c:pt>
                <c:pt idx="48">
                  <c:v>7981.1264507564638</c:v>
                </c:pt>
                <c:pt idx="49">
                  <c:v>8489.2909372285667</c:v>
                </c:pt>
                <c:pt idx="50">
                  <c:v>8928.1550320698661</c:v>
                </c:pt>
                <c:pt idx="51">
                  <c:v>9299.2942359118097</c:v>
                </c:pt>
                <c:pt idx="52">
                  <c:v>9607.6268354438034</c:v>
                </c:pt>
                <c:pt idx="53">
                  <c:v>9860.0187302925078</c:v>
                </c:pt>
                <c:pt idx="54">
                  <c:v>10064.12843630878</c:v>
                </c:pt>
                <c:pt idx="55">
                  <c:v>10227.579208985562</c:v>
                </c:pt>
                <c:pt idx="56">
                  <c:v>10357.444057352119</c:v>
                </c:pt>
                <c:pt idx="57">
                  <c:v>10459.980404370523</c:v>
                </c:pt>
                <c:pt idx="58">
                  <c:v>10540.539819991731</c:v>
                </c:pt>
                <c:pt idx="59">
                  <c:v>10603.587114383055</c:v>
                </c:pt>
                <c:pt idx="60">
                  <c:v>10786.354219620207</c:v>
                </c:pt>
                <c:pt idx="61">
                  <c:v>10816.829145499038</c:v>
                </c:pt>
                <c:pt idx="62">
                  <c:v>10821.826797616888</c:v>
                </c:pt>
                <c:pt idx="63">
                  <c:v>10822.64412658855</c:v>
                </c:pt>
                <c:pt idx="64">
                  <c:v>10822.777734605355</c:v>
                </c:pt>
                <c:pt idx="65">
                  <c:v>10822.799573779879</c:v>
                </c:pt>
                <c:pt idx="66">
                  <c:v>10822.803143504394</c:v>
                </c:pt>
                <c:pt idx="67">
                  <c:v>10822.803726992937</c:v>
                </c:pt>
                <c:pt idx="68">
                  <c:v>10822.803822366897</c:v>
                </c:pt>
                <c:pt idx="69">
                  <c:v>10822.803837956222</c:v>
                </c:pt>
                <c:pt idx="70">
                  <c:v>10822.80384050437</c:v>
                </c:pt>
                <c:pt idx="71">
                  <c:v>10822.803840920878</c:v>
                </c:pt>
                <c:pt idx="72">
                  <c:v>10822.803840988958</c:v>
                </c:pt>
                <c:pt idx="73">
                  <c:v>10822.803841000086</c:v>
                </c:pt>
                <c:pt idx="74">
                  <c:v>10822.803841001905</c:v>
                </c:pt>
                <c:pt idx="75">
                  <c:v>10822.803841002202</c:v>
                </c:pt>
                <c:pt idx="76">
                  <c:v>10822.803841002251</c:v>
                </c:pt>
                <c:pt idx="77">
                  <c:v>10822.803841002258</c:v>
                </c:pt>
                <c:pt idx="78">
                  <c:v>10822.80384100226</c:v>
                </c:pt>
                <c:pt idx="79">
                  <c:v>10822.80384100226</c:v>
                </c:pt>
                <c:pt idx="80">
                  <c:v>10822.80384100226</c:v>
                </c:pt>
                <c:pt idx="81">
                  <c:v>10822.80384100226</c:v>
                </c:pt>
                <c:pt idx="82">
                  <c:v>10822.80384100226</c:v>
                </c:pt>
                <c:pt idx="83">
                  <c:v>10822.80384100226</c:v>
                </c:pt>
                <c:pt idx="84">
                  <c:v>10822.80384100226</c:v>
                </c:pt>
                <c:pt idx="85">
                  <c:v>10822.80384100226</c:v>
                </c:pt>
                <c:pt idx="86">
                  <c:v>10822.80384100226</c:v>
                </c:pt>
                <c:pt idx="87">
                  <c:v>10822.80384100226</c:v>
                </c:pt>
                <c:pt idx="88">
                  <c:v>10822.80384100226</c:v>
                </c:pt>
                <c:pt idx="89">
                  <c:v>10822.80384100226</c:v>
                </c:pt>
                <c:pt idx="90">
                  <c:v>10822.80384100226</c:v>
                </c:pt>
                <c:pt idx="91">
                  <c:v>10822.80384100226</c:v>
                </c:pt>
                <c:pt idx="92">
                  <c:v>10822.80384100226</c:v>
                </c:pt>
                <c:pt idx="93">
                  <c:v>10822.80384100226</c:v>
                </c:pt>
                <c:pt idx="94">
                  <c:v>10822.80384100226</c:v>
                </c:pt>
                <c:pt idx="95">
                  <c:v>10822.80384100226</c:v>
                </c:pt>
                <c:pt idx="96">
                  <c:v>10822.80384100226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3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3"/>
                <c:pt idx="0">
                  <c:v>0.33411521761595392</c:v>
                </c:pt>
                <c:pt idx="1">
                  <c:v>0.36448932830831338</c:v>
                </c:pt>
                <c:pt idx="2">
                  <c:v>0.36448932830831338</c:v>
                </c:pt>
                <c:pt idx="3">
                  <c:v>0.39486343900067283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0.45561166038539175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1.5490796453103319</c:v>
                </c:pt>
                <c:pt idx="15">
                  <c:v>1.5490796453103319</c:v>
                </c:pt>
                <c:pt idx="16">
                  <c:v>1.7313243094644886</c:v>
                </c:pt>
                <c:pt idx="17">
                  <c:v>1.761698420156848</c:v>
                </c:pt>
                <c:pt idx="18">
                  <c:v>1.822446641541567</c:v>
                </c:pt>
                <c:pt idx="19">
                  <c:v>2.0654395270804424</c:v>
                </c:pt>
                <c:pt idx="20">
                  <c:v>2.2476841912345993</c:v>
                </c:pt>
                <c:pt idx="21">
                  <c:v>2.9766628478512263</c:v>
                </c:pt>
                <c:pt idx="22">
                  <c:v>3.5841450616984152</c:v>
                </c:pt>
                <c:pt idx="23">
                  <c:v>4.525742493161558</c:v>
                </c:pt>
                <c:pt idx="24">
                  <c:v>6.5911820202420008</c:v>
                </c:pt>
                <c:pt idx="25">
                  <c:v>7.9580170013981757</c:v>
                </c:pt>
                <c:pt idx="26">
                  <c:v>12.180018387636139</c:v>
                </c:pt>
                <c:pt idx="27">
                  <c:v>15.612292895872757</c:v>
                </c:pt>
                <c:pt idx="28">
                  <c:v>17.586610090876121</c:v>
                </c:pt>
                <c:pt idx="29">
                  <c:v>29.128772153972712</c:v>
                </c:pt>
                <c:pt idx="30">
                  <c:v>38.909235796912455</c:v>
                </c:pt>
                <c:pt idx="31">
                  <c:v>50.512146081393766</c:v>
                </c:pt>
                <c:pt idx="32">
                  <c:v>66.185187198651235</c:v>
                </c:pt>
                <c:pt idx="33">
                  <c:v>82.830199858064219</c:v>
                </c:pt>
                <c:pt idx="34">
                  <c:v>106.27901331256571</c:v>
                </c:pt>
                <c:pt idx="35">
                  <c:v>140.69288072700897</c:v>
                </c:pt>
                <c:pt idx="36">
                  <c:v>195.03216475564003</c:v>
                </c:pt>
                <c:pt idx="37">
                  <c:v>236.40170351863358</c:v>
                </c:pt>
                <c:pt idx="38">
                  <c:v>415.42671193940021</c:v>
                </c:pt>
                <c:pt idx="39">
                  <c:v>580.14551422406544</c:v>
                </c:pt>
                <c:pt idx="40">
                  <c:v>774.20570743755002</c:v>
                </c:pt>
                <c:pt idx="41">
                  <c:v>1010.6074109561836</c:v>
                </c:pt>
                <c:pt idx="42">
                  <c:v>1069.8976750276693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4.92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8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  <c:pt idx="43">
                  <c:v>43914</c:v>
                </c:pt>
                <c:pt idx="44">
                  <c:v>43915</c:v>
                </c:pt>
                <c:pt idx="45">
                  <c:v>43916</c:v>
                </c:pt>
                <c:pt idx="46">
                  <c:v>43917</c:v>
                </c:pt>
                <c:pt idx="47">
                  <c:v>43918</c:v>
                </c:pt>
                <c:pt idx="48">
                  <c:v>43919</c:v>
                </c:pt>
                <c:pt idx="49">
                  <c:v>43920</c:v>
                </c:pt>
                <c:pt idx="50">
                  <c:v>43921</c:v>
                </c:pt>
                <c:pt idx="51">
                  <c:v>43928</c:v>
                </c:pt>
                <c:pt idx="52">
                  <c:v>43935</c:v>
                </c:pt>
                <c:pt idx="53">
                  <c:v>43942</c:v>
                </c:pt>
                <c:pt idx="54">
                  <c:v>43949</c:v>
                </c:pt>
                <c:pt idx="55">
                  <c:v>43956</c:v>
                </c:pt>
                <c:pt idx="56">
                  <c:v>43963</c:v>
                </c:pt>
                <c:pt idx="57">
                  <c:v>43970</c:v>
                </c:pt>
                <c:pt idx="58">
                  <c:v>43977</c:v>
                </c:pt>
                <c:pt idx="59">
                  <c:v>43984</c:v>
                </c:pt>
                <c:pt idx="60">
                  <c:v>43991</c:v>
                </c:pt>
                <c:pt idx="61">
                  <c:v>43998</c:v>
                </c:pt>
                <c:pt idx="62">
                  <c:v>44005</c:v>
                </c:pt>
                <c:pt idx="63">
                  <c:v>44012</c:v>
                </c:pt>
                <c:pt idx="64">
                  <c:v>44019</c:v>
                </c:pt>
                <c:pt idx="65">
                  <c:v>44026</c:v>
                </c:pt>
                <c:pt idx="66">
                  <c:v>44033</c:v>
                </c:pt>
                <c:pt idx="67">
                  <c:v>44040</c:v>
                </c:pt>
                <c:pt idx="68">
                  <c:v>44047</c:v>
                </c:pt>
                <c:pt idx="69">
                  <c:v>44054</c:v>
                </c:pt>
                <c:pt idx="70">
                  <c:v>44061</c:v>
                </c:pt>
                <c:pt idx="71">
                  <c:v>44068</c:v>
                </c:pt>
                <c:pt idx="72">
                  <c:v>44075</c:v>
                </c:pt>
                <c:pt idx="73">
                  <c:v>44082</c:v>
                </c:pt>
                <c:pt idx="74">
                  <c:v>44089</c:v>
                </c:pt>
                <c:pt idx="75">
                  <c:v>44096</c:v>
                </c:pt>
                <c:pt idx="76">
                  <c:v>44103</c:v>
                </c:pt>
                <c:pt idx="77">
                  <c:v>44110</c:v>
                </c:pt>
                <c:pt idx="78">
                  <c:v>44117</c:v>
                </c:pt>
                <c:pt idx="79">
                  <c:v>44124</c:v>
                </c:pt>
                <c:pt idx="80">
                  <c:v>44131</c:v>
                </c:pt>
                <c:pt idx="81">
                  <c:v>44138</c:v>
                </c:pt>
                <c:pt idx="82">
                  <c:v>44145</c:v>
                </c:pt>
                <c:pt idx="83">
                  <c:v>44152</c:v>
                </c:pt>
                <c:pt idx="84">
                  <c:v>44159</c:v>
                </c:pt>
                <c:pt idx="85">
                  <c:v>44166</c:v>
                </c:pt>
                <c:pt idx="86">
                  <c:v>44173</c:v>
                </c:pt>
                <c:pt idx="87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8"/>
                <c:pt idx="0">
                  <c:v>1.0836347793099039E-3</c:v>
                </c:pt>
                <c:pt idx="1">
                  <c:v>1.5182437190588839E-3</c:v>
                </c:pt>
                <c:pt idx="2">
                  <c:v>2.1271594016447218E-3</c:v>
                </c:pt>
                <c:pt idx="3">
                  <c:v>2.9802902119717427E-3</c:v>
                </c:pt>
                <c:pt idx="4">
                  <c:v>4.1755822919064814E-3</c:v>
                </c:pt>
                <c:pt idx="5">
                  <c:v>5.8502644161182189E-3</c:v>
                </c:pt>
                <c:pt idx="6">
                  <c:v>8.1966026942549043E-3</c:v>
                </c:pt>
                <c:pt idx="7">
                  <c:v>1.1483973730492082E-2</c:v>
                </c:pt>
                <c:pt idx="8">
                  <c:v>1.6089790148880099E-2</c:v>
                </c:pt>
                <c:pt idx="9">
                  <c:v>2.2542828455184603E-2</c:v>
                </c:pt>
                <c:pt idx="10">
                  <c:v>3.1583932581452367E-2</c:v>
                </c:pt>
                <c:pt idx="11">
                  <c:v>4.4251060320297214E-2</c:v>
                </c:pt>
                <c:pt idx="12">
                  <c:v>6.1998432635991745E-2</c:v>
                </c:pt>
                <c:pt idx="13">
                  <c:v>8.6863457235688182E-2</c:v>
                </c:pt>
                <c:pt idx="14">
                  <c:v>0.12170057501717667</c:v>
                </c:pt>
                <c:pt idx="15">
                  <c:v>0.17050884630002369</c:v>
                </c:pt>
                <c:pt idx="16">
                  <c:v>0.23889082639085327</c:v>
                </c:pt>
                <c:pt idx="17">
                  <c:v>0.33469529531990772</c:v>
                </c:pt>
                <c:pt idx="18">
                  <c:v>0.46891740110605828</c:v>
                </c:pt>
                <c:pt idx="19">
                  <c:v>0.65695910647291522</c:v>
                </c:pt>
                <c:pt idx="20">
                  <c:v>0.92039375794738532</c:v>
                </c:pt>
                <c:pt idx="21">
                  <c:v>1.2894356168594008</c:v>
                </c:pt>
                <c:pt idx="22">
                  <c:v>1.8063944469565998</c:v>
                </c:pt>
                <c:pt idx="23">
                  <c:v>2.5305050522921926</c:v>
                </c:pt>
                <c:pt idx="24">
                  <c:v>3.5446730619201188</c:v>
                </c:pt>
                <c:pt idx="25">
                  <c:v>4.9648856270476101</c:v>
                </c:pt>
                <c:pt idx="26">
                  <c:v>6.9533169497434564</c:v>
                </c:pt>
                <c:pt idx="27">
                  <c:v>9.7365345347922929</c:v>
                </c:pt>
                <c:pt idx="28">
                  <c:v>13.630703714325175</c:v>
                </c:pt>
                <c:pt idx="29">
                  <c:v>19.076308996902515</c:v>
                </c:pt>
                <c:pt idx="30">
                  <c:v>26.68565057918784</c:v>
                </c:pt>
                <c:pt idx="31">
                  <c:v>37.307162951155085</c:v>
                </c:pt>
                <c:pt idx="32">
                  <c:v>52.11124184184203</c:v>
                </c:pt>
                <c:pt idx="33">
                  <c:v>72.702303677313651</c:v>
                </c:pt>
                <c:pt idx="34">
                  <c:v>101.26031833309068</c:v>
                </c:pt>
                <c:pt idx="35">
                  <c:v>140.71034125560007</c:v>
                </c:pt>
                <c:pt idx="36">
                  <c:v>194.90774318496787</c:v>
                </c:pt>
                <c:pt idx="37">
                  <c:v>268.80567616632618</c:v>
                </c:pt>
                <c:pt idx="38">
                  <c:v>368.53514688546142</c:v>
                </c:pt>
                <c:pt idx="39">
                  <c:v>501.27549710525466</c:v>
                </c:pt>
                <c:pt idx="40">
                  <c:v>674.73531803270805</c:v>
                </c:pt>
                <c:pt idx="41">
                  <c:v>896.04041716736913</c:v>
                </c:pt>
                <c:pt idx="42">
                  <c:v>1169.9166150132119</c:v>
                </c:pt>
                <c:pt idx="43">
                  <c:v>1496.356454404108</c:v>
                </c:pt>
                <c:pt idx="44">
                  <c:v>1868.4703213038326</c:v>
                </c:pt>
                <c:pt idx="45">
                  <c:v>2271.6781973185171</c:v>
                </c:pt>
                <c:pt idx="46">
                  <c:v>2685.2702746632672</c:v>
                </c:pt>
                <c:pt idx="47">
                  <c:v>3086.3301200715691</c:v>
                </c:pt>
                <c:pt idx="48">
                  <c:v>3454.5944474769171</c:v>
                </c:pt>
                <c:pt idx="49">
                  <c:v>3776.1920093945446</c:v>
                </c:pt>
                <c:pt idx="50">
                  <c:v>4044.9558685600687</c:v>
                </c:pt>
                <c:pt idx="51">
                  <c:v>4819.5258420146438</c:v>
                </c:pt>
                <c:pt idx="52">
                  <c:v>4908.2128667891293</c:v>
                </c:pt>
                <c:pt idx="53">
                  <c:v>4916.7502297493111</c:v>
                </c:pt>
                <c:pt idx="54">
                  <c:v>4917.557352550114</c:v>
                </c:pt>
                <c:pt idx="55">
                  <c:v>4917.6335266720407</c:v>
                </c:pt>
                <c:pt idx="56">
                  <c:v>4917.6407146153833</c:v>
                </c:pt>
                <c:pt idx="57">
                  <c:v>4917.6413928737602</c:v>
                </c:pt>
                <c:pt idx="58">
                  <c:v>4917.6414568745085</c:v>
                </c:pt>
                <c:pt idx="59">
                  <c:v>4917.641462913647</c:v>
                </c:pt>
                <c:pt idx="60">
                  <c:v>4917.6414634835019</c:v>
                </c:pt>
                <c:pt idx="61">
                  <c:v>4917.6414635372739</c:v>
                </c:pt>
                <c:pt idx="62">
                  <c:v>4917.6414635423471</c:v>
                </c:pt>
                <c:pt idx="63">
                  <c:v>4917.6414635428264</c:v>
                </c:pt>
                <c:pt idx="64">
                  <c:v>4917.641463542871</c:v>
                </c:pt>
                <c:pt idx="65">
                  <c:v>4917.6414635428755</c:v>
                </c:pt>
                <c:pt idx="66">
                  <c:v>4917.6414635428755</c:v>
                </c:pt>
                <c:pt idx="67">
                  <c:v>4917.6414635428755</c:v>
                </c:pt>
                <c:pt idx="68">
                  <c:v>4917.6414635428755</c:v>
                </c:pt>
                <c:pt idx="69">
                  <c:v>4917.6414635428755</c:v>
                </c:pt>
                <c:pt idx="70">
                  <c:v>4917.6414635428755</c:v>
                </c:pt>
                <c:pt idx="71">
                  <c:v>4917.6414635428755</c:v>
                </c:pt>
                <c:pt idx="72">
                  <c:v>4917.6414635428755</c:v>
                </c:pt>
                <c:pt idx="73">
                  <c:v>4917.6414635428755</c:v>
                </c:pt>
                <c:pt idx="74">
                  <c:v>4917.6414635428755</c:v>
                </c:pt>
                <c:pt idx="75">
                  <c:v>4917.6414635428755</c:v>
                </c:pt>
                <c:pt idx="76">
                  <c:v>4917.6414635428755</c:v>
                </c:pt>
                <c:pt idx="77">
                  <c:v>4917.6414635428755</c:v>
                </c:pt>
                <c:pt idx="78">
                  <c:v>4917.6414635428755</c:v>
                </c:pt>
                <c:pt idx="79">
                  <c:v>4917.6414635428755</c:v>
                </c:pt>
                <c:pt idx="80">
                  <c:v>4917.6414635428755</c:v>
                </c:pt>
                <c:pt idx="81">
                  <c:v>4917.6414635428755</c:v>
                </c:pt>
                <c:pt idx="82">
                  <c:v>4917.6414635428755</c:v>
                </c:pt>
                <c:pt idx="83">
                  <c:v>4917.6414635428755</c:v>
                </c:pt>
                <c:pt idx="84">
                  <c:v>4917.6414635428755</c:v>
                </c:pt>
                <c:pt idx="85">
                  <c:v>4917.6414635428755</c:v>
                </c:pt>
                <c:pt idx="86">
                  <c:v>4917.6414635428755</c:v>
                </c:pt>
                <c:pt idx="87">
                  <c:v>4917.6414635428755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563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13.27785095931347</c:v>
                </c:pt>
                <c:pt idx="2">
                  <c:v>16.483946092123499</c:v>
                </c:pt>
                <c:pt idx="3">
                  <c:v>20.435392777158128</c:v>
                </c:pt>
                <c:pt idx="4">
                  <c:v>25.290196365421465</c:v>
                </c:pt>
                <c:pt idx="5">
                  <c:v>31.231910410497697</c:v>
                </c:pt>
                <c:pt idx="6">
                  <c:v>38.469636635344116</c:v>
                </c:pt>
                <c:pt idx="7">
                  <c:v>47.235548152251951</c:v>
                </c:pt>
                <c:pt idx="8">
                  <c:v>57.778724493838759</c:v>
                </c:pt>
                <c:pt idx="9">
                  <c:v>70.353940715232071</c:v>
                </c:pt>
                <c:pt idx="10">
                  <c:v>85.204158561885393</c:v>
                </c:pt>
                <c:pt idx="11">
                  <c:v>102.53602795496396</c:v>
                </c:pt>
                <c:pt idx="12">
                  <c:v>122.48892495082372</c:v>
                </c:pt>
                <c:pt idx="13">
                  <c:v>145.10001194246928</c:v>
                </c:pt>
                <c:pt idx="14">
                  <c:v>170.27029014569609</c:v>
                </c:pt>
                <c:pt idx="15">
                  <c:v>197.73893836520026</c:v>
                </c:pt>
                <c:pt idx="16">
                  <c:v>227.07425896283078</c:v>
                </c:pt>
                <c:pt idx="17">
                  <c:v>257.68807624865849</c:v>
                </c:pt>
                <c:pt idx="18">
                  <c:v>288.87592756088998</c:v>
                </c:pt>
                <c:pt idx="19">
                  <c:v>319.87873504365183</c:v>
                </c:pt>
                <c:pt idx="20">
                  <c:v>349.95518889190674</c:v>
                </c:pt>
                <c:pt idx="21">
                  <c:v>378.45060373362571</c:v>
                </c:pt>
                <c:pt idx="22">
                  <c:v>404.84916877225407</c:v>
                </c:pt>
                <c:pt idx="23">
                  <c:v>428.80174224440805</c:v>
                </c:pt>
                <c:pt idx="24">
                  <c:v>450.128248761973</c:v>
                </c:pt>
                <c:pt idx="25">
                  <c:v>468.79956346160662</c:v>
                </c:pt>
                <c:pt idx="26">
                  <c:v>484.90681495455084</c:v>
                </c:pt>
                <c:pt idx="27">
                  <c:v>498.62617441165344</c:v>
                </c:pt>
                <c:pt idx="28">
                  <c:v>510.18538245825016</c:v>
                </c:pt>
                <c:pt idx="29">
                  <c:v>519.83574590776402</c:v>
                </c:pt>
                <c:pt idx="30">
                  <c:v>527.83105240122961</c:v>
                </c:pt>
                <c:pt idx="31">
                  <c:v>534.41324693297213</c:v>
                </c:pt>
                <c:pt idx="32">
                  <c:v>539.80383649202781</c:v>
                </c:pt>
                <c:pt idx="33">
                  <c:v>544.19967624197739</c:v>
                </c:pt>
                <c:pt idx="34">
                  <c:v>547.77182964308088</c:v>
                </c:pt>
                <c:pt idx="35">
                  <c:v>550.6664054356221</c:v>
                </c:pt>
                <c:pt idx="36">
                  <c:v>553.00653561549984</c:v>
                </c:pt>
                <c:pt idx="37">
                  <c:v>554.89490388132174</c:v>
                </c:pt>
                <c:pt idx="38">
                  <c:v>556.41643521642345</c:v>
                </c:pt>
                <c:pt idx="39">
                  <c:v>557.64090849606612</c:v>
                </c:pt>
                <c:pt idx="40">
                  <c:v>558.62536046657624</c:v>
                </c:pt>
                <c:pt idx="41">
                  <c:v>559.41622023438811</c:v>
                </c:pt>
                <c:pt idx="42">
                  <c:v>560.05115784926647</c:v>
                </c:pt>
                <c:pt idx="43">
                  <c:v>560.56065661551554</c:v>
                </c:pt>
                <c:pt idx="44">
                  <c:v>560.96933256348848</c:v>
                </c:pt>
                <c:pt idx="45">
                  <c:v>561.2970305190712</c:v>
                </c:pt>
                <c:pt idx="46">
                  <c:v>561.55972750431283</c:v>
                </c:pt>
                <c:pt idx="47">
                  <c:v>561.77027283765369</c:v>
                </c:pt>
                <c:pt idx="48">
                  <c:v>561.93899158987199</c:v>
                </c:pt>
                <c:pt idx="49">
                  <c:v>562.07417479971355</c:v>
                </c:pt>
                <c:pt idx="50">
                  <c:v>562.18247653435094</c:v>
                </c:pt>
                <c:pt idx="51">
                  <c:v>562.26923475255592</c:v>
                </c:pt>
                <c:pt idx="52">
                  <c:v>562.33873011710432</c:v>
                </c:pt>
                <c:pt idx="53">
                  <c:v>562.39439445162145</c:v>
                </c:pt>
                <c:pt idx="54">
                  <c:v>562.43897844423202</c:v>
                </c:pt>
                <c:pt idx="55">
                  <c:v>562.4746864403478</c:v>
                </c:pt>
                <c:pt idx="56">
                  <c:v>562.5032847031481</c:v>
                </c:pt>
                <c:pt idx="57">
                  <c:v>562.52618831304665</c:v>
                </c:pt>
                <c:pt idx="58">
                  <c:v>562.5445308880594</c:v>
                </c:pt>
                <c:pt idx="59">
                  <c:v>562.55922050013805</c:v>
                </c:pt>
                <c:pt idx="60">
                  <c:v>562.57098450705394</c:v>
                </c:pt>
                <c:pt idx="61">
                  <c:v>562.58040548847714</c:v>
                </c:pt>
                <c:pt idx="62">
                  <c:v>562.58795004586079</c:v>
                </c:pt>
                <c:pt idx="63">
                  <c:v>562.59399187968359</c:v>
                </c:pt>
                <c:pt idx="64">
                  <c:v>562.59883027887497</c:v>
                </c:pt>
                <c:pt idx="65">
                  <c:v>562.60270493303437</c:v>
                </c:pt>
                <c:pt idx="66">
                  <c:v>562.60580779783515</c:v>
                </c:pt>
                <c:pt idx="67">
                  <c:v>562.60829259926243</c:v>
                </c:pt>
                <c:pt idx="68">
                  <c:v>562.61028244616682</c:v>
                </c:pt>
                <c:pt idx="69">
                  <c:v>562.61187592739486</c:v>
                </c:pt>
                <c:pt idx="70">
                  <c:v>562.61315199501462</c:v>
                </c:pt>
                <c:pt idx="71">
                  <c:v>562.61417387521442</c:v>
                </c:pt>
                <c:pt idx="72">
                  <c:v>562.61499220041662</c:v>
                </c:pt>
                <c:pt idx="73">
                  <c:v>562.61564751764524</c:v>
                </c:pt>
                <c:pt idx="74">
                  <c:v>562.6161722973352</c:v>
                </c:pt>
                <c:pt idx="75">
                  <c:v>562.61659254205927</c:v>
                </c:pt>
                <c:pt idx="76">
                  <c:v>562.61692907484155</c:v>
                </c:pt>
                <c:pt idx="77">
                  <c:v>562.61719857086746</c:v>
                </c:pt>
                <c:pt idx="78">
                  <c:v>562.61741438369859</c:v>
                </c:pt>
                <c:pt idx="79">
                  <c:v>562.617587206915</c:v>
                </c:pt>
                <c:pt idx="80">
                  <c:v>562.61772560396912</c:v>
                </c:pt>
                <c:pt idx="81">
                  <c:v>562.61783643249601</c:v>
                </c:pt>
                <c:pt idx="82">
                  <c:v>562.61792518410505</c:v>
                </c:pt>
                <c:pt idx="83">
                  <c:v>562.6179962564886</c:v>
                </c:pt>
                <c:pt idx="84">
                  <c:v>562.61805317132632</c:v>
                </c:pt>
                <c:pt idx="85">
                  <c:v>562.61809874878463</c:v>
                </c:pt>
                <c:pt idx="86">
                  <c:v>562.61813524725699</c:v>
                </c:pt>
                <c:pt idx="87">
                  <c:v>562.61816447526792</c:v>
                </c:pt>
                <c:pt idx="88">
                  <c:v>562.61818788108599</c:v>
                </c:pt>
                <c:pt idx="89">
                  <c:v>562.61820662448599</c:v>
                </c:pt>
                <c:pt idx="90">
                  <c:v>562.61822163421766</c:v>
                </c:pt>
                <c:pt idx="91">
                  <c:v>562.61823365402381</c:v>
                </c:pt>
                <c:pt idx="92">
                  <c:v>562.61824327949523</c:v>
                </c:pt>
                <c:pt idx="93">
                  <c:v>562.61825098758106</c:v>
                </c:pt>
                <c:pt idx="94">
                  <c:v>562.61825716022281</c:v>
                </c:pt>
                <c:pt idx="95">
                  <c:v>562.61826210327968</c:v>
                </c:pt>
                <c:pt idx="96">
                  <c:v>562.6182660616837</c:v>
                </c:pt>
                <c:pt idx="97">
                  <c:v>562.61826923157719</c:v>
                </c:pt>
                <c:pt idx="98">
                  <c:v>562.61827177003056</c:v>
                </c:pt>
                <c:pt idx="99">
                  <c:v>562.61827380282614</c:v>
                </c:pt>
                <c:pt idx="100">
                  <c:v>562.61827543069057</c:v>
                </c:pt>
                <c:pt idx="101">
                  <c:v>562.61827673428593</c:v>
                </c:pt>
                <c:pt idx="102">
                  <c:v>562.61827777820599</c:v>
                </c:pt>
                <c:pt idx="103">
                  <c:v>562.61827861417817</c:v>
                </c:pt>
                <c:pt idx="104">
                  <c:v>562.61827928362527</c:v>
                </c:pt>
                <c:pt idx="105">
                  <c:v>562.61827981971931</c:v>
                </c:pt>
                <c:pt idx="106">
                  <c:v>562.61828024902366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564.88332476486516</c:v>
                </c:pt>
                <c:pt idx="60">
                  <c:v>565.52251381693293</c:v>
                </c:pt>
                <c:pt idx="61">
                  <c:v>565.91853312093133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myData!$DH$11:$DH$12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myData!$DJ$11:$DJ$12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44848"/>
        <c:axId val="830044064"/>
      </c:scatterChart>
      <c:valAx>
        <c:axId val="830044848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44064"/>
        <c:crossesAt val="1.0000000000000002E-2"/>
        <c:crossBetween val="midCat"/>
        <c:majorUnit val="14"/>
        <c:minorUnit val="7"/>
      </c:valAx>
      <c:valAx>
        <c:axId val="830044064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44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myData!$CQ$12</c:f>
          <c:strCache>
            <c:ptCount val="1"/>
            <c:pt idx="0">
              <c:v>COVID19 NSW P(t) = b / {d+[( b/Po - d ) ]* exp(-b*t)}
b=0.198, d=1.00E-12, P0=.007 Limit=245 G=&gt;198 G cases 
 23-Mar,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myData!$CO$12</c:f>
              <c:strCache>
                <c:ptCount val="1"/>
                <c:pt idx="0">
                  <c:v>NSW Limit 245 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1.0353344974657584E-2</c:v>
                </c:pt>
                <c:pt idx="1">
                  <c:v>1.2624616493400635E-2</c:v>
                </c:pt>
                <c:pt idx="2">
                  <c:v>1.5394149619815426E-2</c:v>
                </c:pt>
                <c:pt idx="3">
                  <c:v>1.8771250805213857E-2</c:v>
                </c:pt>
                <c:pt idx="4">
                  <c:v>2.2889205671918475E-2</c:v>
                </c:pt>
                <c:pt idx="5">
                  <c:v>2.7910539458876202E-2</c:v>
                </c:pt>
                <c:pt idx="6">
                  <c:v>3.4033431480813364E-2</c:v>
                </c:pt>
                <c:pt idx="7">
                  <c:v>4.1499536763373195E-2</c:v>
                </c:pt>
                <c:pt idx="8">
                  <c:v>5.0603523554345782E-2</c:v>
                </c:pt>
                <c:pt idx="9">
                  <c:v>6.1704703132379399E-2</c:v>
                </c:pt>
                <c:pt idx="10">
                  <c:v>7.5241210912239953E-2</c:v>
                </c:pt>
                <c:pt idx="11">
                  <c:v>9.1747298538891908E-2</c:v>
                </c:pt>
                <c:pt idx="12">
                  <c:v>0.11187441944551547</c:v>
                </c:pt>
                <c:pt idx="13">
                  <c:v>0.13641694006898078</c:v>
                </c:pt>
                <c:pt idx="14">
                  <c:v>0.16634349147927094</c:v>
                </c:pt>
                <c:pt idx="15">
                  <c:v>0.20283519879218678</c:v>
                </c:pt>
                <c:pt idx="16">
                  <c:v>0.24733229718333499</c:v>
                </c:pt>
                <c:pt idx="17">
                  <c:v>0.30159097431929299</c:v>
                </c:pt>
                <c:pt idx="18">
                  <c:v>0.36775268263260458</c:v>
                </c:pt>
                <c:pt idx="19">
                  <c:v>0.44842865702038243</c:v>
                </c:pt>
                <c:pt idx="20">
                  <c:v>0.54680297366581598</c:v>
                </c:pt>
                <c:pt idx="21">
                  <c:v>0.66675821745299968</c:v>
                </c:pt>
                <c:pt idx="22">
                  <c:v>0.81302871774935725</c:v>
                </c:pt>
                <c:pt idx="23">
                  <c:v>0.9913874003835188</c:v>
                </c:pt>
                <c:pt idx="24">
                  <c:v>1.2088736303925112</c:v>
                </c:pt>
                <c:pt idx="25">
                  <c:v>1.4740710379138893</c:v>
                </c:pt>
                <c:pt idx="26">
                  <c:v>1.7974462923064154</c:v>
                </c:pt>
                <c:pt idx="27">
                  <c:v>2.1917621950549986</c:v>
                </c:pt>
                <c:pt idx="28">
                  <c:v>2.6725813951895772</c:v>
                </c:pt>
                <c:pt idx="29">
                  <c:v>3.2588806075885284</c:v>
                </c:pt>
                <c:pt idx="30">
                  <c:v>3.9737995758058724</c:v>
                </c:pt>
                <c:pt idx="31">
                  <c:v>4.8455543390863163</c:v>
                </c:pt>
                <c:pt idx="32">
                  <c:v>5.9085508479018829</c:v>
                </c:pt>
                <c:pt idx="33">
                  <c:v>7.2047428795921329</c:v>
                </c:pt>
                <c:pt idx="34">
                  <c:v>8.7852878475956508</c:v>
                </c:pt>
                <c:pt idx="35">
                  <c:v>10.712565854865336</c:v>
                </c:pt>
                <c:pt idx="36">
                  <c:v>13.06264167838691</c:v>
                </c:pt>
                <c:pt idx="37">
                  <c:v>15.928266853087868</c:v>
                </c:pt>
                <c:pt idx="38">
                  <c:v>19.422540339777449</c:v>
                </c:pt>
                <c:pt idx="39">
                  <c:v>23.68337225440024</c:v>
                </c:pt>
                <c:pt idx="40">
                  <c:v>28.878926830679781</c:v>
                </c:pt>
                <c:pt idx="41">
                  <c:v>35.214259436087389</c:v>
                </c:pt>
                <c:pt idx="42">
                  <c:v>42.939409587328463</c:v>
                </c:pt>
                <c:pt idx="43">
                  <c:v>52.359269376147012</c:v>
                </c:pt>
                <c:pt idx="44">
                  <c:v>63.845616787191908</c:v>
                </c:pt>
                <c:pt idx="45">
                  <c:v>77.851788832487316</c:v>
                </c:pt>
                <c:pt idx="46">
                  <c:v>94.930573613915016</c:v>
                </c:pt>
                <c:pt idx="47">
                  <c:v>115.75602746803939</c:v>
                </c:pt>
                <c:pt idx="48">
                  <c:v>141.15007826064556</c:v>
                </c:pt>
                <c:pt idx="49">
                  <c:v>172.1149647955491</c:v>
                </c:pt>
                <c:pt idx="50">
                  <c:v>209.87279263884577</c:v>
                </c:pt>
                <c:pt idx="51">
                  <c:v>255.91376752662643</c:v>
                </c:pt>
                <c:pt idx="52">
                  <c:v>312.05501000635849</c:v>
                </c:pt>
                <c:pt idx="53">
                  <c:v>380.51227257654676</c:v>
                </c:pt>
                <c:pt idx="54">
                  <c:v>463.98738981809544</c:v>
                </c:pt>
                <c:pt idx="55">
                  <c:v>565.77491295196126</c:v>
                </c:pt>
                <c:pt idx="56">
                  <c:v>689.89213741816377</c:v>
                </c:pt>
                <c:pt idx="57">
                  <c:v>841.23765533418077</c:v>
                </c:pt>
                <c:pt idx="58">
                  <c:v>1025.7846904950086</c:v>
                </c:pt>
                <c:pt idx="59">
                  <c:v>1250.8168463552631</c:v>
                </c:pt>
                <c:pt idx="60">
                  <c:v>1525.2155713656482</c:v>
                </c:pt>
                <c:pt idx="61">
                  <c:v>1859.8106871875657</c:v>
                </c:pt>
                <c:pt idx="62">
                  <c:v>2267.8078142394993</c:v>
                </c:pt>
                <c:pt idx="63">
                  <c:v>2765.3095639684311</c:v>
                </c:pt>
                <c:pt idx="64">
                  <c:v>3371.9510679698792</c:v>
                </c:pt>
                <c:pt idx="65">
                  <c:v>4111.6749266588331</c:v>
                </c:pt>
                <c:pt idx="66">
                  <c:v>16480.914776566304</c:v>
                </c:pt>
                <c:pt idx="67">
                  <c:v>66060.794090597527</c:v>
                </c:pt>
                <c:pt idx="68">
                  <c:v>264792.69648370583</c:v>
                </c:pt>
                <c:pt idx="69" formatCode="0.00E+00">
                  <c:v>1061370.8525395524</c:v>
                </c:pt>
                <c:pt idx="70" formatCode="0.00E+00">
                  <c:v>4254260.4245313462</c:v>
                </c:pt>
                <c:pt idx="71" formatCode="0.00E+00">
                  <c:v>17051555.115948118</c:v>
                </c:pt>
                <c:pt idx="72" formatCode="0.00E+00">
                  <c:v>68333837.483001396</c:v>
                </c:pt>
                <c:pt idx="73" formatCode="0.00E+00">
                  <c:v>273674808.51854914</c:v>
                </c:pt>
                <c:pt idx="74" formatCode="0.00E+00">
                  <c:v>1093309703.116997</c:v>
                </c:pt>
                <c:pt idx="75" formatCode="0.00E+00">
                  <c:v>4324394592.1002007</c:v>
                </c:pt>
                <c:pt idx="76" formatCode="0.00E+00">
                  <c:v>16461168559.709417</c:v>
                </c:pt>
                <c:pt idx="77" formatCode="0.00E+00">
                  <c:v>54905181814.931358</c:v>
                </c:pt>
                <c:pt idx="78" formatCode="0.00E+00">
                  <c:v>131555728303.08841</c:v>
                </c:pt>
                <c:pt idx="79" formatCode="0.00E+00">
                  <c:v>201861965534.86621</c:v>
                </c:pt>
                <c:pt idx="80" formatCode="0.00E+00">
                  <c:v>232916232706.71393</c:v>
                </c:pt>
                <c:pt idx="81" formatCode="0.00E+00">
                  <c:v>242212325781.9668</c:v>
                </c:pt>
                <c:pt idx="82" formatCode="0.00E+00">
                  <c:v>244648343381.90469</c:v>
                </c:pt>
                <c:pt idx="83" formatCode="0.00E+00">
                  <c:v>245263739799.81592</c:v>
                </c:pt>
                <c:pt idx="84" formatCode="0.00E+00">
                  <c:v>245417752343.948</c:v>
                </c:pt>
                <c:pt idx="85" formatCode="0.00E+00">
                  <c:v>245456205695.77094</c:v>
                </c:pt>
                <c:pt idx="86" formatCode="0.00E+00">
                  <c:v>245465800953.77081</c:v>
                </c:pt>
                <c:pt idx="87" formatCode="0.00E+00">
                  <c:v>245468194905.03656</c:v>
                </c:pt>
                <c:pt idx="88" formatCode="0.00E+00">
                  <c:v>245468792157.61505</c:v>
                </c:pt>
                <c:pt idx="89" formatCode="0.00E+00">
                  <c:v>245468941161.22479</c:v>
                </c:pt>
                <c:pt idx="90" formatCode="0.00E+00">
                  <c:v>245468978334.81909</c:v>
                </c:pt>
                <c:pt idx="91" formatCode="0.00E+00">
                  <c:v>245468987608.92554</c:v>
                </c:pt>
                <c:pt idx="92" formatCode="0.00E+00">
                  <c:v>245468989922.63876</c:v>
                </c:pt>
                <c:pt idx="93" formatCode="0.00E+00">
                  <c:v>245468990499.86618</c:v>
                </c:pt>
                <c:pt idx="94" formatCode="0.00E+00">
                  <c:v>245468990643.87347</c:v>
                </c:pt>
                <c:pt idx="95" formatCode="0.00E+00">
                  <c:v>245468990679.80054</c:v>
                </c:pt>
                <c:pt idx="96" formatCode="0.00E+00">
                  <c:v>245468990688.76367</c:v>
                </c:pt>
                <c:pt idx="97" formatCode="0.00E+00">
                  <c:v>245468990690.99976</c:v>
                </c:pt>
                <c:pt idx="98" formatCode="0.00E+00">
                  <c:v>245468990691.55765</c:v>
                </c:pt>
                <c:pt idx="99" formatCode="0.00E+00">
                  <c:v>245468990691.69684</c:v>
                </c:pt>
                <c:pt idx="100" formatCode="0.00E+00">
                  <c:v>245468990691.73154</c:v>
                </c:pt>
                <c:pt idx="101" formatCode="0.00E+00">
                  <c:v>245468990691.7402</c:v>
                </c:pt>
                <c:pt idx="102" formatCode="0.00E+00">
                  <c:v>245468990691.74237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myData!$DH$11:$DH$12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myData!$DI$11:$DI$12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43672"/>
        <c:axId val="914815112"/>
      </c:scatterChart>
      <c:valAx>
        <c:axId val="830043672"/>
        <c:scaling>
          <c:orientation val="minMax"/>
          <c:max val="43920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815112"/>
        <c:crosses val="autoZero"/>
        <c:crossBetween val="midCat"/>
        <c:majorUnit val="7"/>
        <c:minorUnit val="1"/>
      </c:valAx>
      <c:valAx>
        <c:axId val="914815112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43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45048715175372056"/>
          <c:h val="3.522124167227354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myData!$CQ$13</c:f>
          <c:strCache>
            <c:ptCount val="1"/>
            <c:pt idx="0">
              <c:v>COVID19 Italy P(t) = b / {d+[( b/Po - d ) ]* exp(-b*t)}
b=0.259, d=3.95E-06, P0=.442 Limit=10.8 k=&gt;65.4 k cases 
 22-Mar,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0.33085194375516958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0.49627791563275436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3.3085194375516958</c:v>
                </c:pt>
                <c:pt idx="22">
                  <c:v>10.256410256410257</c:v>
                </c:pt>
                <c:pt idx="23">
                  <c:v>25.641025641025642</c:v>
                </c:pt>
                <c:pt idx="24">
                  <c:v>37.882547559966916</c:v>
                </c:pt>
                <c:pt idx="25">
                  <c:v>53.267162944582303</c:v>
                </c:pt>
                <c:pt idx="26">
                  <c:v>74.937965260545909</c:v>
                </c:pt>
                <c:pt idx="27">
                  <c:v>108.35401157981804</c:v>
                </c:pt>
                <c:pt idx="28">
                  <c:v>146.89826302729529</c:v>
                </c:pt>
                <c:pt idx="29">
                  <c:v>186.60049627791562</c:v>
                </c:pt>
                <c:pt idx="30">
                  <c:v>280.2315963606286</c:v>
                </c:pt>
                <c:pt idx="31">
                  <c:v>336.80727874276261</c:v>
                </c:pt>
                <c:pt idx="32">
                  <c:v>413.89578163771711</c:v>
                </c:pt>
                <c:pt idx="33">
                  <c:v>511.00082712985937</c:v>
                </c:pt>
                <c:pt idx="34">
                  <c:v>638.21339950372214</c:v>
                </c:pt>
                <c:pt idx="35">
                  <c:v>766.91480562448305</c:v>
                </c:pt>
                <c:pt idx="36">
                  <c:v>973.20099255583125</c:v>
                </c:pt>
                <c:pt idx="37">
                  <c:v>1220.0165425971877</c:v>
                </c:pt>
                <c:pt idx="38">
                  <c:v>1517.2870140612076</c:v>
                </c:pt>
                <c:pt idx="39">
                  <c:v>1678.9081885856081</c:v>
                </c:pt>
                <c:pt idx="40">
                  <c:v>2061.5384615384614</c:v>
                </c:pt>
                <c:pt idx="41">
                  <c:v>2500.082712985939</c:v>
                </c:pt>
                <c:pt idx="42">
                  <c:v>2921.4226633581475</c:v>
                </c:pt>
                <c:pt idx="43">
                  <c:v>3499.9172870140615</c:v>
                </c:pt>
                <c:pt idx="44">
                  <c:v>4093.7965260545907</c:v>
                </c:pt>
                <c:pt idx="45">
                  <c:v>4628.618693134822</c:v>
                </c:pt>
                <c:pt idx="46">
                  <c:v>5211.9106699751865</c:v>
                </c:pt>
                <c:pt idx="47">
                  <c:v>5907.8577336641856</c:v>
                </c:pt>
                <c:pt idx="48">
                  <c:v>6788.2547559966915</c:v>
                </c:pt>
                <c:pt idx="49">
                  <c:v>7778.4946236559144</c:v>
                </c:pt>
                <c:pt idx="50">
                  <c:v>8863.1927212572373</c:v>
                </c:pt>
                <c:pt idx="51">
                  <c:v>9782.9611248966085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43928</c:v>
                </c:pt>
                <c:pt idx="62">
                  <c:v>43935</c:v>
                </c:pt>
                <c:pt idx="63">
                  <c:v>43942</c:v>
                </c:pt>
                <c:pt idx="64">
                  <c:v>43949</c:v>
                </c:pt>
                <c:pt idx="65">
                  <c:v>43956</c:v>
                </c:pt>
                <c:pt idx="66">
                  <c:v>43963</c:v>
                </c:pt>
                <c:pt idx="67">
                  <c:v>43970</c:v>
                </c:pt>
                <c:pt idx="68">
                  <c:v>43977</c:v>
                </c:pt>
                <c:pt idx="69">
                  <c:v>43984</c:v>
                </c:pt>
                <c:pt idx="70">
                  <c:v>43991</c:v>
                </c:pt>
                <c:pt idx="71">
                  <c:v>43998</c:v>
                </c:pt>
                <c:pt idx="72">
                  <c:v>44005</c:v>
                </c:pt>
                <c:pt idx="73">
                  <c:v>44012</c:v>
                </c:pt>
                <c:pt idx="74">
                  <c:v>44019</c:v>
                </c:pt>
                <c:pt idx="75">
                  <c:v>44026</c:v>
                </c:pt>
                <c:pt idx="76">
                  <c:v>44033</c:v>
                </c:pt>
                <c:pt idx="77">
                  <c:v>44040</c:v>
                </c:pt>
                <c:pt idx="78">
                  <c:v>44047</c:v>
                </c:pt>
                <c:pt idx="79">
                  <c:v>44054</c:v>
                </c:pt>
                <c:pt idx="80">
                  <c:v>44061</c:v>
                </c:pt>
                <c:pt idx="81">
                  <c:v>44068</c:v>
                </c:pt>
                <c:pt idx="82">
                  <c:v>44075</c:v>
                </c:pt>
                <c:pt idx="83">
                  <c:v>44082</c:v>
                </c:pt>
                <c:pt idx="84">
                  <c:v>44089</c:v>
                </c:pt>
                <c:pt idx="85">
                  <c:v>44096</c:v>
                </c:pt>
                <c:pt idx="86">
                  <c:v>44103</c:v>
                </c:pt>
                <c:pt idx="87">
                  <c:v>44110</c:v>
                </c:pt>
                <c:pt idx="88">
                  <c:v>44117</c:v>
                </c:pt>
                <c:pt idx="89">
                  <c:v>44124</c:v>
                </c:pt>
                <c:pt idx="90">
                  <c:v>44131</c:v>
                </c:pt>
                <c:pt idx="91">
                  <c:v>44138</c:v>
                </c:pt>
                <c:pt idx="92">
                  <c:v>44145</c:v>
                </c:pt>
                <c:pt idx="93">
                  <c:v>44152</c:v>
                </c:pt>
                <c:pt idx="94">
                  <c:v>44159</c:v>
                </c:pt>
                <c:pt idx="95">
                  <c:v>44166</c:v>
                </c:pt>
                <c:pt idx="96">
                  <c:v>44173</c:v>
                </c:pt>
                <c:pt idx="97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0.1227377949478253</c:v>
                </c:pt>
                <c:pt idx="1">
                  <c:v>0.15898225517500719</c:v>
                </c:pt>
                <c:pt idx="2">
                  <c:v>0.20592949771893365</c:v>
                </c:pt>
                <c:pt idx="3">
                  <c:v>0.26673985510033621</c:v>
                </c:pt>
                <c:pt idx="4">
                  <c:v>0.34550675368623363</c:v>
                </c:pt>
                <c:pt idx="5">
                  <c:v>0.44753214791099916</c:v>
                </c:pt>
                <c:pt idx="6">
                  <c:v>0.57968321524871813</c:v>
                </c:pt>
                <c:pt idx="7">
                  <c:v>0.75085425698523589</c:v>
                </c:pt>
                <c:pt idx="8">
                  <c:v>0.97256478595771245</c:v>
                </c:pt>
                <c:pt idx="9">
                  <c:v>1.2597338726728324</c:v>
                </c:pt>
                <c:pt idx="10">
                  <c:v>1.6316825561529313</c:v>
                </c:pt>
                <c:pt idx="11">
                  <c:v>2.1134312596311315</c:v>
                </c:pt>
                <c:pt idx="12">
                  <c:v>2.737378642524233</c:v>
                </c:pt>
                <c:pt idx="13">
                  <c:v>3.5454733804095451</c:v>
                </c:pt>
                <c:pt idx="14">
                  <c:v>4.5920225124458112</c:v>
                </c:pt>
                <c:pt idx="15">
                  <c:v>5.9473211127897621</c:v>
                </c:pt>
                <c:pt idx="16">
                  <c:v>7.7023404252032845</c:v>
                </c:pt>
                <c:pt idx="17">
                  <c:v>9.974777986456429</c:v>
                </c:pt>
                <c:pt idx="18">
                  <c:v>12.916856808778201</c:v>
                </c:pt>
                <c:pt idx="19">
                  <c:v>16.725364829759148</c:v>
                </c:pt>
                <c:pt idx="20">
                  <c:v>21.654553944107061</c:v>
                </c:pt>
                <c:pt idx="21">
                  <c:v>28.032672607410465</c:v>
                </c:pt>
                <c:pt idx="22">
                  <c:v>36.283087726078072</c:v>
                </c:pt>
                <c:pt idx="23">
                  <c:v>46.951156250943285</c:v>
                </c:pt>
                <c:pt idx="24">
                  <c:v>60.738221785212126</c:v>
                </c:pt>
                <c:pt idx="25">
                  <c:v>78.544308157366459</c:v>
                </c:pt>
                <c:pt idx="26">
                  <c:v>101.52120508207864</c:v>
                </c:pt>
                <c:pt idx="27">
                  <c:v>131.13759163928358</c:v>
                </c:pt>
                <c:pt idx="28">
                  <c:v>169.25745339610887</c:v>
                </c:pt>
                <c:pt idx="29">
                  <c:v>218.23204816174473</c:v>
                </c:pt>
                <c:pt idx="30">
                  <c:v>281.0036514211593</c:v>
                </c:pt>
                <c:pt idx="31">
                  <c:v>361.21567906055651</c:v>
                </c:pt>
                <c:pt idx="32">
                  <c:v>463.31778866856013</c:v>
                </c:pt>
                <c:pt idx="33">
                  <c:v>592.64539729411581</c:v>
                </c:pt>
                <c:pt idx="34">
                  <c:v>755.44021782067102</c:v>
                </c:pt>
                <c:pt idx="35">
                  <c:v>958.76246427763067</c:v>
                </c:pt>
                <c:pt idx="36">
                  <c:v>1210.2292654804742</c:v>
                </c:pt>
                <c:pt idx="37">
                  <c:v>1517.5047415121728</c:v>
                </c:pt>
                <c:pt idx="38">
                  <c:v>1887.4780235265077</c:v>
                </c:pt>
                <c:pt idx="39">
                  <c:v>2325.1136885506444</c:v>
                </c:pt>
                <c:pt idx="40">
                  <c:v>2832.0592826513116</c:v>
                </c:pt>
                <c:pt idx="41">
                  <c:v>3405.2424178096699</c:v>
                </c:pt>
                <c:pt idx="42">
                  <c:v>4035.841569001378</c:v>
                </c:pt>
                <c:pt idx="43">
                  <c:v>4709.0813124836568</c:v>
                </c:pt>
                <c:pt idx="44">
                  <c:v>5405.1858723556225</c:v>
                </c:pt>
                <c:pt idx="45">
                  <c:v>6101.4962119979273</c:v>
                </c:pt>
                <c:pt idx="46">
                  <c:v>6775.3267077044529</c:v>
                </c:pt>
                <c:pt idx="47">
                  <c:v>7406.8288602536086</c:v>
                </c:pt>
                <c:pt idx="48">
                  <c:v>7981.1264507564638</c:v>
                </c:pt>
                <c:pt idx="49">
                  <c:v>8489.2909372285667</c:v>
                </c:pt>
                <c:pt idx="50">
                  <c:v>8928.1550320698661</c:v>
                </c:pt>
                <c:pt idx="51">
                  <c:v>9299.2942359118097</c:v>
                </c:pt>
                <c:pt idx="52">
                  <c:v>9607.6268354438034</c:v>
                </c:pt>
                <c:pt idx="53">
                  <c:v>9860.0187302925078</c:v>
                </c:pt>
                <c:pt idx="54">
                  <c:v>10064.12843630878</c:v>
                </c:pt>
                <c:pt idx="55">
                  <c:v>10227.579208985562</c:v>
                </c:pt>
                <c:pt idx="56">
                  <c:v>10357.444057352119</c:v>
                </c:pt>
                <c:pt idx="57">
                  <c:v>10459.980404370523</c:v>
                </c:pt>
                <c:pt idx="58">
                  <c:v>10540.539819991731</c:v>
                </c:pt>
                <c:pt idx="59">
                  <c:v>10603.587114383055</c:v>
                </c:pt>
                <c:pt idx="60">
                  <c:v>10786.354219620207</c:v>
                </c:pt>
                <c:pt idx="61">
                  <c:v>10816.829145499038</c:v>
                </c:pt>
                <c:pt idx="62">
                  <c:v>10821.826797616888</c:v>
                </c:pt>
                <c:pt idx="63">
                  <c:v>10822.64412658855</c:v>
                </c:pt>
                <c:pt idx="64">
                  <c:v>10822.777734605355</c:v>
                </c:pt>
                <c:pt idx="65">
                  <c:v>10822.799573779879</c:v>
                </c:pt>
                <c:pt idx="66">
                  <c:v>10822.803143504394</c:v>
                </c:pt>
                <c:pt idx="67">
                  <c:v>10822.803726992937</c:v>
                </c:pt>
                <c:pt idx="68">
                  <c:v>10822.803822366897</c:v>
                </c:pt>
                <c:pt idx="69">
                  <c:v>10822.803837956222</c:v>
                </c:pt>
                <c:pt idx="70">
                  <c:v>10822.80384050437</c:v>
                </c:pt>
                <c:pt idx="71">
                  <c:v>10822.803840920878</c:v>
                </c:pt>
                <c:pt idx="72">
                  <c:v>10822.803840988958</c:v>
                </c:pt>
                <c:pt idx="73">
                  <c:v>10822.803841000086</c:v>
                </c:pt>
                <c:pt idx="74">
                  <c:v>10822.803841001905</c:v>
                </c:pt>
                <c:pt idx="75">
                  <c:v>10822.803841002202</c:v>
                </c:pt>
                <c:pt idx="76">
                  <c:v>10822.803841002251</c:v>
                </c:pt>
                <c:pt idx="77">
                  <c:v>10822.803841002258</c:v>
                </c:pt>
                <c:pt idx="78">
                  <c:v>10822.80384100226</c:v>
                </c:pt>
                <c:pt idx="79">
                  <c:v>10822.80384100226</c:v>
                </c:pt>
                <c:pt idx="80">
                  <c:v>10822.80384100226</c:v>
                </c:pt>
                <c:pt idx="81">
                  <c:v>10822.80384100226</c:v>
                </c:pt>
                <c:pt idx="82">
                  <c:v>10822.80384100226</c:v>
                </c:pt>
                <c:pt idx="83">
                  <c:v>10822.80384100226</c:v>
                </c:pt>
                <c:pt idx="84">
                  <c:v>10822.80384100226</c:v>
                </c:pt>
                <c:pt idx="85">
                  <c:v>10822.80384100226</c:v>
                </c:pt>
                <c:pt idx="86">
                  <c:v>10822.80384100226</c:v>
                </c:pt>
                <c:pt idx="87">
                  <c:v>10822.80384100226</c:v>
                </c:pt>
                <c:pt idx="88">
                  <c:v>10822.80384100226</c:v>
                </c:pt>
                <c:pt idx="89">
                  <c:v>10822.80384100226</c:v>
                </c:pt>
                <c:pt idx="90">
                  <c:v>10822.80384100226</c:v>
                </c:pt>
                <c:pt idx="91">
                  <c:v>10822.80384100226</c:v>
                </c:pt>
                <c:pt idx="92">
                  <c:v>10822.80384100226</c:v>
                </c:pt>
                <c:pt idx="93">
                  <c:v>10822.80384100226</c:v>
                </c:pt>
                <c:pt idx="94">
                  <c:v>10822.80384100226</c:v>
                </c:pt>
                <c:pt idx="95">
                  <c:v>10822.80384100226</c:v>
                </c:pt>
                <c:pt idx="96">
                  <c:v>10822.80384100226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816680"/>
        <c:axId val="828162560"/>
      </c:scatterChart>
      <c:valAx>
        <c:axId val="914816680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62560"/>
        <c:crossesAt val="0.1"/>
        <c:crossBetween val="midCat"/>
        <c:majorUnit val="7"/>
        <c:minorUnit val="3.5"/>
      </c:valAx>
      <c:valAx>
        <c:axId val="82816256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816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myData!$CQ$13</c:f>
          <c:strCache>
            <c:ptCount val="1"/>
            <c:pt idx="0">
              <c:v>COVID19 Italy P(t) = b / {d+[( b/Po - d ) ]* exp(-b*t)}
b=0.259, d=3.95E-06, P0=.442 Limit=10.8 k=&gt;65.4 k cases 
 22-Mar,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0.33085194375516958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0.49627791563275436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3.3085194375516958</c:v>
                </c:pt>
                <c:pt idx="22">
                  <c:v>10.256410256410257</c:v>
                </c:pt>
                <c:pt idx="23">
                  <c:v>25.641025641025642</c:v>
                </c:pt>
                <c:pt idx="24">
                  <c:v>37.882547559966916</c:v>
                </c:pt>
                <c:pt idx="25">
                  <c:v>53.267162944582303</c:v>
                </c:pt>
                <c:pt idx="26">
                  <c:v>74.937965260545909</c:v>
                </c:pt>
                <c:pt idx="27">
                  <c:v>108.35401157981804</c:v>
                </c:pt>
                <c:pt idx="28">
                  <c:v>146.89826302729529</c:v>
                </c:pt>
                <c:pt idx="29">
                  <c:v>186.60049627791562</c:v>
                </c:pt>
                <c:pt idx="30">
                  <c:v>280.2315963606286</c:v>
                </c:pt>
                <c:pt idx="31">
                  <c:v>336.80727874276261</c:v>
                </c:pt>
                <c:pt idx="32">
                  <c:v>413.89578163771711</c:v>
                </c:pt>
                <c:pt idx="33">
                  <c:v>511.00082712985937</c:v>
                </c:pt>
                <c:pt idx="34">
                  <c:v>638.21339950372214</c:v>
                </c:pt>
                <c:pt idx="35">
                  <c:v>766.91480562448305</c:v>
                </c:pt>
                <c:pt idx="36">
                  <c:v>973.20099255583125</c:v>
                </c:pt>
                <c:pt idx="37">
                  <c:v>1220.0165425971877</c:v>
                </c:pt>
                <c:pt idx="38">
                  <c:v>1517.2870140612076</c:v>
                </c:pt>
                <c:pt idx="39">
                  <c:v>1678.9081885856081</c:v>
                </c:pt>
                <c:pt idx="40">
                  <c:v>2061.5384615384614</c:v>
                </c:pt>
                <c:pt idx="41">
                  <c:v>2500.082712985939</c:v>
                </c:pt>
                <c:pt idx="42">
                  <c:v>2921.4226633581475</c:v>
                </c:pt>
                <c:pt idx="43">
                  <c:v>3499.9172870140615</c:v>
                </c:pt>
                <c:pt idx="44">
                  <c:v>4093.7965260545907</c:v>
                </c:pt>
                <c:pt idx="45">
                  <c:v>4628.618693134822</c:v>
                </c:pt>
                <c:pt idx="46">
                  <c:v>5211.9106699751865</c:v>
                </c:pt>
                <c:pt idx="47">
                  <c:v>5907.8577336641856</c:v>
                </c:pt>
                <c:pt idx="48">
                  <c:v>6788.2547559966915</c:v>
                </c:pt>
                <c:pt idx="49">
                  <c:v>7778.4946236559144</c:v>
                </c:pt>
                <c:pt idx="50">
                  <c:v>8863.1927212572373</c:v>
                </c:pt>
                <c:pt idx="51">
                  <c:v>9782.9611248966085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10.8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43928</c:v>
                </c:pt>
                <c:pt idx="62">
                  <c:v>43935</c:v>
                </c:pt>
                <c:pt idx="63">
                  <c:v>43942</c:v>
                </c:pt>
                <c:pt idx="64">
                  <c:v>43949</c:v>
                </c:pt>
                <c:pt idx="65">
                  <c:v>43956</c:v>
                </c:pt>
                <c:pt idx="66">
                  <c:v>43963</c:v>
                </c:pt>
                <c:pt idx="67">
                  <c:v>43970</c:v>
                </c:pt>
                <c:pt idx="68">
                  <c:v>43977</c:v>
                </c:pt>
                <c:pt idx="69">
                  <c:v>43984</c:v>
                </c:pt>
                <c:pt idx="70">
                  <c:v>43991</c:v>
                </c:pt>
                <c:pt idx="71">
                  <c:v>43998</c:v>
                </c:pt>
                <c:pt idx="72">
                  <c:v>44005</c:v>
                </c:pt>
                <c:pt idx="73">
                  <c:v>44012</c:v>
                </c:pt>
                <c:pt idx="74">
                  <c:v>44019</c:v>
                </c:pt>
                <c:pt idx="75">
                  <c:v>44026</c:v>
                </c:pt>
                <c:pt idx="76">
                  <c:v>44033</c:v>
                </c:pt>
                <c:pt idx="77">
                  <c:v>44040</c:v>
                </c:pt>
                <c:pt idx="78">
                  <c:v>44047</c:v>
                </c:pt>
                <c:pt idx="79">
                  <c:v>44054</c:v>
                </c:pt>
                <c:pt idx="80">
                  <c:v>44061</c:v>
                </c:pt>
                <c:pt idx="81">
                  <c:v>44068</c:v>
                </c:pt>
                <c:pt idx="82">
                  <c:v>44075</c:v>
                </c:pt>
                <c:pt idx="83">
                  <c:v>44082</c:v>
                </c:pt>
                <c:pt idx="84">
                  <c:v>44089</c:v>
                </c:pt>
                <c:pt idx="85">
                  <c:v>44096</c:v>
                </c:pt>
                <c:pt idx="86">
                  <c:v>44103</c:v>
                </c:pt>
                <c:pt idx="87">
                  <c:v>44110</c:v>
                </c:pt>
                <c:pt idx="88">
                  <c:v>44117</c:v>
                </c:pt>
                <c:pt idx="89">
                  <c:v>44124</c:v>
                </c:pt>
                <c:pt idx="90">
                  <c:v>44131</c:v>
                </c:pt>
                <c:pt idx="91">
                  <c:v>44138</c:v>
                </c:pt>
                <c:pt idx="92">
                  <c:v>44145</c:v>
                </c:pt>
                <c:pt idx="93">
                  <c:v>44152</c:v>
                </c:pt>
                <c:pt idx="94">
                  <c:v>44159</c:v>
                </c:pt>
                <c:pt idx="95">
                  <c:v>44166</c:v>
                </c:pt>
                <c:pt idx="96">
                  <c:v>44173</c:v>
                </c:pt>
                <c:pt idx="97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0.1227377949478253</c:v>
                </c:pt>
                <c:pt idx="1">
                  <c:v>0.15898225517500719</c:v>
                </c:pt>
                <c:pt idx="2">
                  <c:v>0.20592949771893365</c:v>
                </c:pt>
                <c:pt idx="3">
                  <c:v>0.26673985510033621</c:v>
                </c:pt>
                <c:pt idx="4">
                  <c:v>0.34550675368623363</c:v>
                </c:pt>
                <c:pt idx="5">
                  <c:v>0.44753214791099916</c:v>
                </c:pt>
                <c:pt idx="6">
                  <c:v>0.57968321524871813</c:v>
                </c:pt>
                <c:pt idx="7">
                  <c:v>0.75085425698523589</c:v>
                </c:pt>
                <c:pt idx="8">
                  <c:v>0.97256478595771245</c:v>
                </c:pt>
                <c:pt idx="9">
                  <c:v>1.2597338726728324</c:v>
                </c:pt>
                <c:pt idx="10">
                  <c:v>1.6316825561529313</c:v>
                </c:pt>
                <c:pt idx="11">
                  <c:v>2.1134312596311315</c:v>
                </c:pt>
                <c:pt idx="12">
                  <c:v>2.737378642524233</c:v>
                </c:pt>
                <c:pt idx="13">
                  <c:v>3.5454733804095451</c:v>
                </c:pt>
                <c:pt idx="14">
                  <c:v>4.5920225124458112</c:v>
                </c:pt>
                <c:pt idx="15">
                  <c:v>5.9473211127897621</c:v>
                </c:pt>
                <c:pt idx="16">
                  <c:v>7.7023404252032845</c:v>
                </c:pt>
                <c:pt idx="17">
                  <c:v>9.974777986456429</c:v>
                </c:pt>
                <c:pt idx="18">
                  <c:v>12.916856808778201</c:v>
                </c:pt>
                <c:pt idx="19">
                  <c:v>16.725364829759148</c:v>
                </c:pt>
                <c:pt idx="20">
                  <c:v>21.654553944107061</c:v>
                </c:pt>
                <c:pt idx="21">
                  <c:v>28.032672607410465</c:v>
                </c:pt>
                <c:pt idx="22">
                  <c:v>36.283087726078072</c:v>
                </c:pt>
                <c:pt idx="23">
                  <c:v>46.951156250943285</c:v>
                </c:pt>
                <c:pt idx="24">
                  <c:v>60.738221785212126</c:v>
                </c:pt>
                <c:pt idx="25">
                  <c:v>78.544308157366459</c:v>
                </c:pt>
                <c:pt idx="26">
                  <c:v>101.52120508207864</c:v>
                </c:pt>
                <c:pt idx="27">
                  <c:v>131.13759163928358</c:v>
                </c:pt>
                <c:pt idx="28">
                  <c:v>169.25745339610887</c:v>
                </c:pt>
                <c:pt idx="29">
                  <c:v>218.23204816174473</c:v>
                </c:pt>
                <c:pt idx="30">
                  <c:v>281.0036514211593</c:v>
                </c:pt>
                <c:pt idx="31">
                  <c:v>361.21567906055651</c:v>
                </c:pt>
                <c:pt idx="32">
                  <c:v>463.31778866856013</c:v>
                </c:pt>
                <c:pt idx="33">
                  <c:v>592.64539729411581</c:v>
                </c:pt>
                <c:pt idx="34">
                  <c:v>755.44021782067102</c:v>
                </c:pt>
                <c:pt idx="35">
                  <c:v>958.76246427763067</c:v>
                </c:pt>
                <c:pt idx="36">
                  <c:v>1210.2292654804742</c:v>
                </c:pt>
                <c:pt idx="37">
                  <c:v>1517.5047415121728</c:v>
                </c:pt>
                <c:pt idx="38">
                  <c:v>1887.4780235265077</c:v>
                </c:pt>
                <c:pt idx="39">
                  <c:v>2325.1136885506444</c:v>
                </c:pt>
                <c:pt idx="40">
                  <c:v>2832.0592826513116</c:v>
                </c:pt>
                <c:pt idx="41">
                  <c:v>3405.2424178096699</c:v>
                </c:pt>
                <c:pt idx="42">
                  <c:v>4035.841569001378</c:v>
                </c:pt>
                <c:pt idx="43">
                  <c:v>4709.0813124836568</c:v>
                </c:pt>
                <c:pt idx="44">
                  <c:v>5405.1858723556225</c:v>
                </c:pt>
                <c:pt idx="45">
                  <c:v>6101.4962119979273</c:v>
                </c:pt>
                <c:pt idx="46">
                  <c:v>6775.3267077044529</c:v>
                </c:pt>
                <c:pt idx="47">
                  <c:v>7406.8288602536086</c:v>
                </c:pt>
                <c:pt idx="48">
                  <c:v>7981.1264507564638</c:v>
                </c:pt>
                <c:pt idx="49">
                  <c:v>8489.2909372285667</c:v>
                </c:pt>
                <c:pt idx="50">
                  <c:v>8928.1550320698661</c:v>
                </c:pt>
                <c:pt idx="51">
                  <c:v>9299.2942359118097</c:v>
                </c:pt>
                <c:pt idx="52">
                  <c:v>9607.6268354438034</c:v>
                </c:pt>
                <c:pt idx="53">
                  <c:v>9860.0187302925078</c:v>
                </c:pt>
                <c:pt idx="54">
                  <c:v>10064.12843630878</c:v>
                </c:pt>
                <c:pt idx="55">
                  <c:v>10227.579208985562</c:v>
                </c:pt>
                <c:pt idx="56">
                  <c:v>10357.444057352119</c:v>
                </c:pt>
                <c:pt idx="57">
                  <c:v>10459.980404370523</c:v>
                </c:pt>
                <c:pt idx="58">
                  <c:v>10540.539819991731</c:v>
                </c:pt>
                <c:pt idx="59">
                  <c:v>10603.587114383055</c:v>
                </c:pt>
                <c:pt idx="60">
                  <c:v>10786.354219620207</c:v>
                </c:pt>
                <c:pt idx="61">
                  <c:v>10816.829145499038</c:v>
                </c:pt>
                <c:pt idx="62">
                  <c:v>10821.826797616888</c:v>
                </c:pt>
                <c:pt idx="63">
                  <c:v>10822.64412658855</c:v>
                </c:pt>
                <c:pt idx="64">
                  <c:v>10822.777734605355</c:v>
                </c:pt>
                <c:pt idx="65">
                  <c:v>10822.799573779879</c:v>
                </c:pt>
                <c:pt idx="66">
                  <c:v>10822.803143504394</c:v>
                </c:pt>
                <c:pt idx="67">
                  <c:v>10822.803726992937</c:v>
                </c:pt>
                <c:pt idx="68">
                  <c:v>10822.803822366897</c:v>
                </c:pt>
                <c:pt idx="69">
                  <c:v>10822.803837956222</c:v>
                </c:pt>
                <c:pt idx="70">
                  <c:v>10822.80384050437</c:v>
                </c:pt>
                <c:pt idx="71">
                  <c:v>10822.803840920878</c:v>
                </c:pt>
                <c:pt idx="72">
                  <c:v>10822.803840988958</c:v>
                </c:pt>
                <c:pt idx="73">
                  <c:v>10822.803841000086</c:v>
                </c:pt>
                <c:pt idx="74">
                  <c:v>10822.803841001905</c:v>
                </c:pt>
                <c:pt idx="75">
                  <c:v>10822.803841002202</c:v>
                </c:pt>
                <c:pt idx="76">
                  <c:v>10822.803841002251</c:v>
                </c:pt>
                <c:pt idx="77">
                  <c:v>10822.803841002258</c:v>
                </c:pt>
                <c:pt idx="78">
                  <c:v>10822.80384100226</c:v>
                </c:pt>
                <c:pt idx="79">
                  <c:v>10822.80384100226</c:v>
                </c:pt>
                <c:pt idx="80">
                  <c:v>10822.80384100226</c:v>
                </c:pt>
                <c:pt idx="81">
                  <c:v>10822.80384100226</c:v>
                </c:pt>
                <c:pt idx="82">
                  <c:v>10822.80384100226</c:v>
                </c:pt>
                <c:pt idx="83">
                  <c:v>10822.80384100226</c:v>
                </c:pt>
                <c:pt idx="84">
                  <c:v>10822.80384100226</c:v>
                </c:pt>
                <c:pt idx="85">
                  <c:v>10822.80384100226</c:v>
                </c:pt>
                <c:pt idx="86">
                  <c:v>10822.80384100226</c:v>
                </c:pt>
                <c:pt idx="87">
                  <c:v>10822.80384100226</c:v>
                </c:pt>
                <c:pt idx="88">
                  <c:v>10822.80384100226</c:v>
                </c:pt>
                <c:pt idx="89">
                  <c:v>10822.80384100226</c:v>
                </c:pt>
                <c:pt idx="90">
                  <c:v>10822.80384100226</c:v>
                </c:pt>
                <c:pt idx="91">
                  <c:v>10822.80384100226</c:v>
                </c:pt>
                <c:pt idx="92">
                  <c:v>10822.80384100226</c:v>
                </c:pt>
                <c:pt idx="93">
                  <c:v>10822.80384100226</c:v>
                </c:pt>
                <c:pt idx="94">
                  <c:v>10822.80384100226</c:v>
                </c:pt>
                <c:pt idx="95">
                  <c:v>10822.80384100226</c:v>
                </c:pt>
                <c:pt idx="96">
                  <c:v>10822.80384100226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62168"/>
        <c:axId val="828160600"/>
      </c:scatterChart>
      <c:valAx>
        <c:axId val="828162168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60600"/>
        <c:crossesAt val="0.1"/>
        <c:crossBetween val="midCat"/>
        <c:majorUnit val="14"/>
        <c:minorUnit val="7"/>
      </c:valAx>
      <c:valAx>
        <c:axId val="828160600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62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myData!$CQ$14</c:f>
          <c:strCache>
            <c:ptCount val="1"/>
            <c:pt idx="0">
              <c:v>COVID19 USA P(t) = b / {d+[( b/Po - d ) ]* exp(-b*t)}
b=0.337, d=2.08E-06, P0=.025 Limit=4.92 k=&gt;162 k cases 
 22-Mar, Cases per 10 M population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3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3"/>
                <c:pt idx="0">
                  <c:v>0.33411521761595392</c:v>
                </c:pt>
                <c:pt idx="1">
                  <c:v>0.36448932830831338</c:v>
                </c:pt>
                <c:pt idx="2">
                  <c:v>0.36448932830831338</c:v>
                </c:pt>
                <c:pt idx="3">
                  <c:v>0.39486343900067283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0.45561166038539175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1.5490796453103319</c:v>
                </c:pt>
                <c:pt idx="15">
                  <c:v>1.5490796453103319</c:v>
                </c:pt>
                <c:pt idx="16">
                  <c:v>1.7313243094644886</c:v>
                </c:pt>
                <c:pt idx="17">
                  <c:v>1.761698420156848</c:v>
                </c:pt>
                <c:pt idx="18">
                  <c:v>1.822446641541567</c:v>
                </c:pt>
                <c:pt idx="19">
                  <c:v>2.0654395270804424</c:v>
                </c:pt>
                <c:pt idx="20">
                  <c:v>2.2476841912345993</c:v>
                </c:pt>
                <c:pt idx="21">
                  <c:v>2.9766628478512263</c:v>
                </c:pt>
                <c:pt idx="22">
                  <c:v>3.5841450616984152</c:v>
                </c:pt>
                <c:pt idx="23">
                  <c:v>4.525742493161558</c:v>
                </c:pt>
                <c:pt idx="24">
                  <c:v>6.5911820202420008</c:v>
                </c:pt>
                <c:pt idx="25">
                  <c:v>7.9580170013981757</c:v>
                </c:pt>
                <c:pt idx="26">
                  <c:v>12.180018387636139</c:v>
                </c:pt>
                <c:pt idx="27">
                  <c:v>15.612292895872757</c:v>
                </c:pt>
                <c:pt idx="28">
                  <c:v>17.586610090876121</c:v>
                </c:pt>
                <c:pt idx="29">
                  <c:v>29.128772153972712</c:v>
                </c:pt>
                <c:pt idx="30">
                  <c:v>38.909235796912455</c:v>
                </c:pt>
                <c:pt idx="31">
                  <c:v>50.512146081393766</c:v>
                </c:pt>
                <c:pt idx="32">
                  <c:v>66.185187198651235</c:v>
                </c:pt>
                <c:pt idx="33">
                  <c:v>82.830199858064219</c:v>
                </c:pt>
                <c:pt idx="34">
                  <c:v>106.27901331256571</c:v>
                </c:pt>
                <c:pt idx="35">
                  <c:v>140.69288072700897</c:v>
                </c:pt>
                <c:pt idx="36">
                  <c:v>195.03216475564003</c:v>
                </c:pt>
                <c:pt idx="37">
                  <c:v>236.40170351863358</c:v>
                </c:pt>
                <c:pt idx="38">
                  <c:v>415.42671193940021</c:v>
                </c:pt>
                <c:pt idx="39">
                  <c:v>580.14551422406544</c:v>
                </c:pt>
                <c:pt idx="40">
                  <c:v>774.20570743755002</c:v>
                </c:pt>
                <c:pt idx="41">
                  <c:v>1010.6074109561836</c:v>
                </c:pt>
                <c:pt idx="42">
                  <c:v>1069.8976750276693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8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  <c:pt idx="43">
                  <c:v>43914</c:v>
                </c:pt>
                <c:pt idx="44">
                  <c:v>43915</c:v>
                </c:pt>
                <c:pt idx="45">
                  <c:v>43916</c:v>
                </c:pt>
                <c:pt idx="46">
                  <c:v>43917</c:v>
                </c:pt>
                <c:pt idx="47">
                  <c:v>43918</c:v>
                </c:pt>
                <c:pt idx="48">
                  <c:v>43919</c:v>
                </c:pt>
                <c:pt idx="49">
                  <c:v>43920</c:v>
                </c:pt>
                <c:pt idx="50">
                  <c:v>43921</c:v>
                </c:pt>
                <c:pt idx="51">
                  <c:v>43928</c:v>
                </c:pt>
                <c:pt idx="52">
                  <c:v>43935</c:v>
                </c:pt>
                <c:pt idx="53">
                  <c:v>43942</c:v>
                </c:pt>
                <c:pt idx="54">
                  <c:v>43949</c:v>
                </c:pt>
                <c:pt idx="55">
                  <c:v>43956</c:v>
                </c:pt>
                <c:pt idx="56">
                  <c:v>43963</c:v>
                </c:pt>
                <c:pt idx="57">
                  <c:v>43970</c:v>
                </c:pt>
                <c:pt idx="58">
                  <c:v>43977</c:v>
                </c:pt>
                <c:pt idx="59">
                  <c:v>43984</c:v>
                </c:pt>
                <c:pt idx="60">
                  <c:v>43991</c:v>
                </c:pt>
                <c:pt idx="61">
                  <c:v>43998</c:v>
                </c:pt>
                <c:pt idx="62">
                  <c:v>44005</c:v>
                </c:pt>
                <c:pt idx="63">
                  <c:v>44012</c:v>
                </c:pt>
                <c:pt idx="64">
                  <c:v>44019</c:v>
                </c:pt>
                <c:pt idx="65">
                  <c:v>44026</c:v>
                </c:pt>
                <c:pt idx="66">
                  <c:v>44033</c:v>
                </c:pt>
                <c:pt idx="67">
                  <c:v>44040</c:v>
                </c:pt>
                <c:pt idx="68">
                  <c:v>44047</c:v>
                </c:pt>
                <c:pt idx="69">
                  <c:v>44054</c:v>
                </c:pt>
                <c:pt idx="70">
                  <c:v>44061</c:v>
                </c:pt>
                <c:pt idx="71">
                  <c:v>44068</c:v>
                </c:pt>
                <c:pt idx="72">
                  <c:v>44075</c:v>
                </c:pt>
                <c:pt idx="73">
                  <c:v>44082</c:v>
                </c:pt>
                <c:pt idx="74">
                  <c:v>44089</c:v>
                </c:pt>
                <c:pt idx="75">
                  <c:v>44096</c:v>
                </c:pt>
                <c:pt idx="76">
                  <c:v>44103</c:v>
                </c:pt>
                <c:pt idx="77">
                  <c:v>44110</c:v>
                </c:pt>
                <c:pt idx="78">
                  <c:v>44117</c:v>
                </c:pt>
                <c:pt idx="79">
                  <c:v>44124</c:v>
                </c:pt>
                <c:pt idx="80">
                  <c:v>44131</c:v>
                </c:pt>
                <c:pt idx="81">
                  <c:v>44138</c:v>
                </c:pt>
                <c:pt idx="82">
                  <c:v>44145</c:v>
                </c:pt>
                <c:pt idx="83">
                  <c:v>44152</c:v>
                </c:pt>
                <c:pt idx="84">
                  <c:v>44159</c:v>
                </c:pt>
                <c:pt idx="85">
                  <c:v>44166</c:v>
                </c:pt>
                <c:pt idx="86">
                  <c:v>44173</c:v>
                </c:pt>
                <c:pt idx="87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8"/>
                <c:pt idx="0">
                  <c:v>1.0836347793099039E-3</c:v>
                </c:pt>
                <c:pt idx="1">
                  <c:v>1.5182437190588839E-3</c:v>
                </c:pt>
                <c:pt idx="2">
                  <c:v>2.1271594016447218E-3</c:v>
                </c:pt>
                <c:pt idx="3">
                  <c:v>2.9802902119717427E-3</c:v>
                </c:pt>
                <c:pt idx="4">
                  <c:v>4.1755822919064814E-3</c:v>
                </c:pt>
                <c:pt idx="5">
                  <c:v>5.8502644161182189E-3</c:v>
                </c:pt>
                <c:pt idx="6">
                  <c:v>8.1966026942549043E-3</c:v>
                </c:pt>
                <c:pt idx="7">
                  <c:v>1.1483973730492082E-2</c:v>
                </c:pt>
                <c:pt idx="8">
                  <c:v>1.6089790148880099E-2</c:v>
                </c:pt>
                <c:pt idx="9">
                  <c:v>2.2542828455184603E-2</c:v>
                </c:pt>
                <c:pt idx="10">
                  <c:v>3.1583932581452367E-2</c:v>
                </c:pt>
                <c:pt idx="11">
                  <c:v>4.4251060320297214E-2</c:v>
                </c:pt>
                <c:pt idx="12">
                  <c:v>6.1998432635991745E-2</c:v>
                </c:pt>
                <c:pt idx="13">
                  <c:v>8.6863457235688182E-2</c:v>
                </c:pt>
                <c:pt idx="14">
                  <c:v>0.12170057501717667</c:v>
                </c:pt>
                <c:pt idx="15">
                  <c:v>0.17050884630002369</c:v>
                </c:pt>
                <c:pt idx="16">
                  <c:v>0.23889082639085327</c:v>
                </c:pt>
                <c:pt idx="17">
                  <c:v>0.33469529531990772</c:v>
                </c:pt>
                <c:pt idx="18">
                  <c:v>0.46891740110605828</c:v>
                </c:pt>
                <c:pt idx="19">
                  <c:v>0.65695910647291522</c:v>
                </c:pt>
                <c:pt idx="20">
                  <c:v>0.92039375794738532</c:v>
                </c:pt>
                <c:pt idx="21">
                  <c:v>1.2894356168594008</c:v>
                </c:pt>
                <c:pt idx="22">
                  <c:v>1.8063944469565998</c:v>
                </c:pt>
                <c:pt idx="23">
                  <c:v>2.5305050522921926</c:v>
                </c:pt>
                <c:pt idx="24">
                  <c:v>3.5446730619201188</c:v>
                </c:pt>
                <c:pt idx="25">
                  <c:v>4.9648856270476101</c:v>
                </c:pt>
                <c:pt idx="26">
                  <c:v>6.9533169497434564</c:v>
                </c:pt>
                <c:pt idx="27">
                  <c:v>9.7365345347922929</c:v>
                </c:pt>
                <c:pt idx="28">
                  <c:v>13.630703714325175</c:v>
                </c:pt>
                <c:pt idx="29">
                  <c:v>19.076308996902515</c:v>
                </c:pt>
                <c:pt idx="30">
                  <c:v>26.68565057918784</c:v>
                </c:pt>
                <c:pt idx="31">
                  <c:v>37.307162951155085</c:v>
                </c:pt>
                <c:pt idx="32">
                  <c:v>52.11124184184203</c:v>
                </c:pt>
                <c:pt idx="33">
                  <c:v>72.702303677313651</c:v>
                </c:pt>
                <c:pt idx="34">
                  <c:v>101.26031833309068</c:v>
                </c:pt>
                <c:pt idx="35">
                  <c:v>140.71034125560007</c:v>
                </c:pt>
                <c:pt idx="36">
                  <c:v>194.90774318496787</c:v>
                </c:pt>
                <c:pt idx="37">
                  <c:v>268.80567616632618</c:v>
                </c:pt>
                <c:pt idx="38">
                  <c:v>368.53514688546142</c:v>
                </c:pt>
                <c:pt idx="39">
                  <c:v>501.27549710525466</c:v>
                </c:pt>
                <c:pt idx="40">
                  <c:v>674.73531803270805</c:v>
                </c:pt>
                <c:pt idx="41">
                  <c:v>896.04041716736913</c:v>
                </c:pt>
                <c:pt idx="42">
                  <c:v>1169.9166150132119</c:v>
                </c:pt>
                <c:pt idx="43">
                  <c:v>1496.356454404108</c:v>
                </c:pt>
                <c:pt idx="44">
                  <c:v>1868.4703213038326</c:v>
                </c:pt>
                <c:pt idx="45">
                  <c:v>2271.6781973185171</c:v>
                </c:pt>
                <c:pt idx="46">
                  <c:v>2685.2702746632672</c:v>
                </c:pt>
                <c:pt idx="47">
                  <c:v>3086.3301200715691</c:v>
                </c:pt>
                <c:pt idx="48">
                  <c:v>3454.5944474769171</c:v>
                </c:pt>
                <c:pt idx="49">
                  <c:v>3776.1920093945446</c:v>
                </c:pt>
                <c:pt idx="50">
                  <c:v>4044.9558685600687</c:v>
                </c:pt>
                <c:pt idx="51">
                  <c:v>4819.5258420146438</c:v>
                </c:pt>
                <c:pt idx="52">
                  <c:v>4908.2128667891293</c:v>
                </c:pt>
                <c:pt idx="53">
                  <c:v>4916.7502297493111</c:v>
                </c:pt>
                <c:pt idx="54">
                  <c:v>4917.557352550114</c:v>
                </c:pt>
                <c:pt idx="55">
                  <c:v>4917.6335266720407</c:v>
                </c:pt>
                <c:pt idx="56">
                  <c:v>4917.6407146153833</c:v>
                </c:pt>
                <c:pt idx="57">
                  <c:v>4917.6413928737602</c:v>
                </c:pt>
                <c:pt idx="58">
                  <c:v>4917.6414568745085</c:v>
                </c:pt>
                <c:pt idx="59">
                  <c:v>4917.641462913647</c:v>
                </c:pt>
                <c:pt idx="60">
                  <c:v>4917.6414634835019</c:v>
                </c:pt>
                <c:pt idx="61">
                  <c:v>4917.6414635372739</c:v>
                </c:pt>
                <c:pt idx="62">
                  <c:v>4917.6414635423471</c:v>
                </c:pt>
                <c:pt idx="63">
                  <c:v>4917.6414635428264</c:v>
                </c:pt>
                <c:pt idx="64">
                  <c:v>4917.641463542871</c:v>
                </c:pt>
                <c:pt idx="65">
                  <c:v>4917.6414635428755</c:v>
                </c:pt>
                <c:pt idx="66">
                  <c:v>4917.6414635428755</c:v>
                </c:pt>
                <c:pt idx="67">
                  <c:v>4917.6414635428755</c:v>
                </c:pt>
                <c:pt idx="68">
                  <c:v>4917.6414635428755</c:v>
                </c:pt>
                <c:pt idx="69">
                  <c:v>4917.6414635428755</c:v>
                </c:pt>
                <c:pt idx="70">
                  <c:v>4917.6414635428755</c:v>
                </c:pt>
                <c:pt idx="71">
                  <c:v>4917.6414635428755</c:v>
                </c:pt>
                <c:pt idx="72">
                  <c:v>4917.6414635428755</c:v>
                </c:pt>
                <c:pt idx="73">
                  <c:v>4917.6414635428755</c:v>
                </c:pt>
                <c:pt idx="74">
                  <c:v>4917.6414635428755</c:v>
                </c:pt>
                <c:pt idx="75">
                  <c:v>4917.6414635428755</c:v>
                </c:pt>
                <c:pt idx="76">
                  <c:v>4917.6414635428755</c:v>
                </c:pt>
                <c:pt idx="77">
                  <c:v>4917.6414635428755</c:v>
                </c:pt>
                <c:pt idx="78">
                  <c:v>4917.6414635428755</c:v>
                </c:pt>
                <c:pt idx="79">
                  <c:v>4917.6414635428755</c:v>
                </c:pt>
                <c:pt idx="80">
                  <c:v>4917.6414635428755</c:v>
                </c:pt>
                <c:pt idx="81">
                  <c:v>4917.6414635428755</c:v>
                </c:pt>
                <c:pt idx="82">
                  <c:v>4917.6414635428755</c:v>
                </c:pt>
                <c:pt idx="83">
                  <c:v>4917.6414635428755</c:v>
                </c:pt>
                <c:pt idx="84">
                  <c:v>4917.6414635428755</c:v>
                </c:pt>
                <c:pt idx="85">
                  <c:v>4917.6414635428755</c:v>
                </c:pt>
                <c:pt idx="86">
                  <c:v>4917.6414635428755</c:v>
                </c:pt>
                <c:pt idx="87">
                  <c:v>4917.6414635428755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61384"/>
        <c:axId val="828162952"/>
      </c:scatterChart>
      <c:valAx>
        <c:axId val="828161384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62952"/>
        <c:crosses val="autoZero"/>
        <c:crossBetween val="midCat"/>
        <c:majorUnit val="7"/>
        <c:minorUnit val="3.5"/>
      </c:valAx>
      <c:valAx>
        <c:axId val="828162952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61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myData!$CQ$14</c:f>
          <c:strCache>
            <c:ptCount val="1"/>
            <c:pt idx="0">
              <c:v>COVID19 USA P(t) = b / {d+[( b/Po - d ) ]* exp(-b*t)}
b=0.337, d=2.08E-06, P0=.025 Limit=4.92 k=&gt;162 k cases 
 22-Mar, Cases per 10 M population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3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3"/>
                <c:pt idx="0">
                  <c:v>0.33411521761595392</c:v>
                </c:pt>
                <c:pt idx="1">
                  <c:v>0.36448932830831338</c:v>
                </c:pt>
                <c:pt idx="2">
                  <c:v>0.36448932830831338</c:v>
                </c:pt>
                <c:pt idx="3">
                  <c:v>0.39486343900067283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0.45561166038539175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1.5490796453103319</c:v>
                </c:pt>
                <c:pt idx="15">
                  <c:v>1.5490796453103319</c:v>
                </c:pt>
                <c:pt idx="16">
                  <c:v>1.7313243094644886</c:v>
                </c:pt>
                <c:pt idx="17">
                  <c:v>1.761698420156848</c:v>
                </c:pt>
                <c:pt idx="18">
                  <c:v>1.822446641541567</c:v>
                </c:pt>
                <c:pt idx="19">
                  <c:v>2.0654395270804424</c:v>
                </c:pt>
                <c:pt idx="20">
                  <c:v>2.2476841912345993</c:v>
                </c:pt>
                <c:pt idx="21">
                  <c:v>2.9766628478512263</c:v>
                </c:pt>
                <c:pt idx="22">
                  <c:v>3.5841450616984152</c:v>
                </c:pt>
                <c:pt idx="23">
                  <c:v>4.525742493161558</c:v>
                </c:pt>
                <c:pt idx="24">
                  <c:v>6.5911820202420008</c:v>
                </c:pt>
                <c:pt idx="25">
                  <c:v>7.9580170013981757</c:v>
                </c:pt>
                <c:pt idx="26">
                  <c:v>12.180018387636139</c:v>
                </c:pt>
                <c:pt idx="27">
                  <c:v>15.612292895872757</c:v>
                </c:pt>
                <c:pt idx="28">
                  <c:v>17.586610090876121</c:v>
                </c:pt>
                <c:pt idx="29">
                  <c:v>29.128772153972712</c:v>
                </c:pt>
                <c:pt idx="30">
                  <c:v>38.909235796912455</c:v>
                </c:pt>
                <c:pt idx="31">
                  <c:v>50.512146081393766</c:v>
                </c:pt>
                <c:pt idx="32">
                  <c:v>66.185187198651235</c:v>
                </c:pt>
                <c:pt idx="33">
                  <c:v>82.830199858064219</c:v>
                </c:pt>
                <c:pt idx="34">
                  <c:v>106.27901331256571</c:v>
                </c:pt>
                <c:pt idx="35">
                  <c:v>140.69288072700897</c:v>
                </c:pt>
                <c:pt idx="36">
                  <c:v>195.03216475564003</c:v>
                </c:pt>
                <c:pt idx="37">
                  <c:v>236.40170351863358</c:v>
                </c:pt>
                <c:pt idx="38">
                  <c:v>415.42671193940021</c:v>
                </c:pt>
                <c:pt idx="39">
                  <c:v>580.14551422406544</c:v>
                </c:pt>
                <c:pt idx="40">
                  <c:v>774.20570743755002</c:v>
                </c:pt>
                <c:pt idx="41">
                  <c:v>1010.6074109561836</c:v>
                </c:pt>
                <c:pt idx="42">
                  <c:v>1069.8976750276693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myData!$CO$14</c:f>
              <c:strCache>
                <c:ptCount val="1"/>
                <c:pt idx="0">
                  <c:v>USA Limit 4.92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8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  <c:pt idx="43">
                  <c:v>43914</c:v>
                </c:pt>
                <c:pt idx="44">
                  <c:v>43915</c:v>
                </c:pt>
                <c:pt idx="45">
                  <c:v>43916</c:v>
                </c:pt>
                <c:pt idx="46">
                  <c:v>43917</c:v>
                </c:pt>
                <c:pt idx="47">
                  <c:v>43918</c:v>
                </c:pt>
                <c:pt idx="48">
                  <c:v>43919</c:v>
                </c:pt>
                <c:pt idx="49">
                  <c:v>43920</c:v>
                </c:pt>
                <c:pt idx="50">
                  <c:v>43921</c:v>
                </c:pt>
                <c:pt idx="51">
                  <c:v>43928</c:v>
                </c:pt>
                <c:pt idx="52">
                  <c:v>43935</c:v>
                </c:pt>
                <c:pt idx="53">
                  <c:v>43942</c:v>
                </c:pt>
                <c:pt idx="54">
                  <c:v>43949</c:v>
                </c:pt>
                <c:pt idx="55">
                  <c:v>43956</c:v>
                </c:pt>
                <c:pt idx="56">
                  <c:v>43963</c:v>
                </c:pt>
                <c:pt idx="57">
                  <c:v>43970</c:v>
                </c:pt>
                <c:pt idx="58">
                  <c:v>43977</c:v>
                </c:pt>
                <c:pt idx="59">
                  <c:v>43984</c:v>
                </c:pt>
                <c:pt idx="60">
                  <c:v>43991</c:v>
                </c:pt>
                <c:pt idx="61">
                  <c:v>43998</c:v>
                </c:pt>
                <c:pt idx="62">
                  <c:v>44005</c:v>
                </c:pt>
                <c:pt idx="63">
                  <c:v>44012</c:v>
                </c:pt>
                <c:pt idx="64">
                  <c:v>44019</c:v>
                </c:pt>
                <c:pt idx="65">
                  <c:v>44026</c:v>
                </c:pt>
                <c:pt idx="66">
                  <c:v>44033</c:v>
                </c:pt>
                <c:pt idx="67">
                  <c:v>44040</c:v>
                </c:pt>
                <c:pt idx="68">
                  <c:v>44047</c:v>
                </c:pt>
                <c:pt idx="69">
                  <c:v>44054</c:v>
                </c:pt>
                <c:pt idx="70">
                  <c:v>44061</c:v>
                </c:pt>
                <c:pt idx="71">
                  <c:v>44068</c:v>
                </c:pt>
                <c:pt idx="72">
                  <c:v>44075</c:v>
                </c:pt>
                <c:pt idx="73">
                  <c:v>44082</c:v>
                </c:pt>
                <c:pt idx="74">
                  <c:v>44089</c:v>
                </c:pt>
                <c:pt idx="75">
                  <c:v>44096</c:v>
                </c:pt>
                <c:pt idx="76">
                  <c:v>44103</c:v>
                </c:pt>
                <c:pt idx="77">
                  <c:v>44110</c:v>
                </c:pt>
                <c:pt idx="78">
                  <c:v>44117</c:v>
                </c:pt>
                <c:pt idx="79">
                  <c:v>44124</c:v>
                </c:pt>
                <c:pt idx="80">
                  <c:v>44131</c:v>
                </c:pt>
                <c:pt idx="81">
                  <c:v>44138</c:v>
                </c:pt>
                <c:pt idx="82">
                  <c:v>44145</c:v>
                </c:pt>
                <c:pt idx="83">
                  <c:v>44152</c:v>
                </c:pt>
                <c:pt idx="84">
                  <c:v>44159</c:v>
                </c:pt>
                <c:pt idx="85">
                  <c:v>44166</c:v>
                </c:pt>
                <c:pt idx="86">
                  <c:v>44173</c:v>
                </c:pt>
                <c:pt idx="87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8"/>
                <c:pt idx="0">
                  <c:v>1.0836347793099039E-3</c:v>
                </c:pt>
                <c:pt idx="1">
                  <c:v>1.5182437190588839E-3</c:v>
                </c:pt>
                <c:pt idx="2">
                  <c:v>2.1271594016447218E-3</c:v>
                </c:pt>
                <c:pt idx="3">
                  <c:v>2.9802902119717427E-3</c:v>
                </c:pt>
                <c:pt idx="4">
                  <c:v>4.1755822919064814E-3</c:v>
                </c:pt>
                <c:pt idx="5">
                  <c:v>5.8502644161182189E-3</c:v>
                </c:pt>
                <c:pt idx="6">
                  <c:v>8.1966026942549043E-3</c:v>
                </c:pt>
                <c:pt idx="7">
                  <c:v>1.1483973730492082E-2</c:v>
                </c:pt>
                <c:pt idx="8">
                  <c:v>1.6089790148880099E-2</c:v>
                </c:pt>
                <c:pt idx="9">
                  <c:v>2.2542828455184603E-2</c:v>
                </c:pt>
                <c:pt idx="10">
                  <c:v>3.1583932581452367E-2</c:v>
                </c:pt>
                <c:pt idx="11">
                  <c:v>4.4251060320297214E-2</c:v>
                </c:pt>
                <c:pt idx="12">
                  <c:v>6.1998432635991745E-2</c:v>
                </c:pt>
                <c:pt idx="13">
                  <c:v>8.6863457235688182E-2</c:v>
                </c:pt>
                <c:pt idx="14">
                  <c:v>0.12170057501717667</c:v>
                </c:pt>
                <c:pt idx="15">
                  <c:v>0.17050884630002369</c:v>
                </c:pt>
                <c:pt idx="16">
                  <c:v>0.23889082639085327</c:v>
                </c:pt>
                <c:pt idx="17">
                  <c:v>0.33469529531990772</c:v>
                </c:pt>
                <c:pt idx="18">
                  <c:v>0.46891740110605828</c:v>
                </c:pt>
                <c:pt idx="19">
                  <c:v>0.65695910647291522</c:v>
                </c:pt>
                <c:pt idx="20">
                  <c:v>0.92039375794738532</c:v>
                </c:pt>
                <c:pt idx="21">
                  <c:v>1.2894356168594008</c:v>
                </c:pt>
                <c:pt idx="22">
                  <c:v>1.8063944469565998</c:v>
                </c:pt>
                <c:pt idx="23">
                  <c:v>2.5305050522921926</c:v>
                </c:pt>
                <c:pt idx="24">
                  <c:v>3.5446730619201188</c:v>
                </c:pt>
                <c:pt idx="25">
                  <c:v>4.9648856270476101</c:v>
                </c:pt>
                <c:pt idx="26">
                  <c:v>6.9533169497434564</c:v>
                </c:pt>
                <c:pt idx="27">
                  <c:v>9.7365345347922929</c:v>
                </c:pt>
                <c:pt idx="28">
                  <c:v>13.630703714325175</c:v>
                </c:pt>
                <c:pt idx="29">
                  <c:v>19.076308996902515</c:v>
                </c:pt>
                <c:pt idx="30">
                  <c:v>26.68565057918784</c:v>
                </c:pt>
                <c:pt idx="31">
                  <c:v>37.307162951155085</c:v>
                </c:pt>
                <c:pt idx="32">
                  <c:v>52.11124184184203</c:v>
                </c:pt>
                <c:pt idx="33">
                  <c:v>72.702303677313651</c:v>
                </c:pt>
                <c:pt idx="34">
                  <c:v>101.26031833309068</c:v>
                </c:pt>
                <c:pt idx="35">
                  <c:v>140.71034125560007</c:v>
                </c:pt>
                <c:pt idx="36">
                  <c:v>194.90774318496787</c:v>
                </c:pt>
                <c:pt idx="37">
                  <c:v>268.80567616632618</c:v>
                </c:pt>
                <c:pt idx="38">
                  <c:v>368.53514688546142</c:v>
                </c:pt>
                <c:pt idx="39">
                  <c:v>501.27549710525466</c:v>
                </c:pt>
                <c:pt idx="40">
                  <c:v>674.73531803270805</c:v>
                </c:pt>
                <c:pt idx="41">
                  <c:v>896.04041716736913</c:v>
                </c:pt>
                <c:pt idx="42">
                  <c:v>1169.9166150132119</c:v>
                </c:pt>
                <c:pt idx="43">
                  <c:v>1496.356454404108</c:v>
                </c:pt>
                <c:pt idx="44">
                  <c:v>1868.4703213038326</c:v>
                </c:pt>
                <c:pt idx="45">
                  <c:v>2271.6781973185171</c:v>
                </c:pt>
                <c:pt idx="46">
                  <c:v>2685.2702746632672</c:v>
                </c:pt>
                <c:pt idx="47">
                  <c:v>3086.3301200715691</c:v>
                </c:pt>
                <c:pt idx="48">
                  <c:v>3454.5944474769171</c:v>
                </c:pt>
                <c:pt idx="49">
                  <c:v>3776.1920093945446</c:v>
                </c:pt>
                <c:pt idx="50">
                  <c:v>4044.9558685600687</c:v>
                </c:pt>
                <c:pt idx="51">
                  <c:v>4819.5258420146438</c:v>
                </c:pt>
                <c:pt idx="52">
                  <c:v>4908.2128667891293</c:v>
                </c:pt>
                <c:pt idx="53">
                  <c:v>4916.7502297493111</c:v>
                </c:pt>
                <c:pt idx="54">
                  <c:v>4917.557352550114</c:v>
                </c:pt>
                <c:pt idx="55">
                  <c:v>4917.6335266720407</c:v>
                </c:pt>
                <c:pt idx="56">
                  <c:v>4917.6407146153833</c:v>
                </c:pt>
                <c:pt idx="57">
                  <c:v>4917.6413928737602</c:v>
                </c:pt>
                <c:pt idx="58">
                  <c:v>4917.6414568745085</c:v>
                </c:pt>
                <c:pt idx="59">
                  <c:v>4917.641462913647</c:v>
                </c:pt>
                <c:pt idx="60">
                  <c:v>4917.6414634835019</c:v>
                </c:pt>
                <c:pt idx="61">
                  <c:v>4917.6414635372739</c:v>
                </c:pt>
                <c:pt idx="62">
                  <c:v>4917.6414635423471</c:v>
                </c:pt>
                <c:pt idx="63">
                  <c:v>4917.6414635428264</c:v>
                </c:pt>
                <c:pt idx="64">
                  <c:v>4917.641463542871</c:v>
                </c:pt>
                <c:pt idx="65">
                  <c:v>4917.6414635428755</c:v>
                </c:pt>
                <c:pt idx="66">
                  <c:v>4917.6414635428755</c:v>
                </c:pt>
                <c:pt idx="67">
                  <c:v>4917.6414635428755</c:v>
                </c:pt>
                <c:pt idx="68">
                  <c:v>4917.6414635428755</c:v>
                </c:pt>
                <c:pt idx="69">
                  <c:v>4917.6414635428755</c:v>
                </c:pt>
                <c:pt idx="70">
                  <c:v>4917.6414635428755</c:v>
                </c:pt>
                <c:pt idx="71">
                  <c:v>4917.6414635428755</c:v>
                </c:pt>
                <c:pt idx="72">
                  <c:v>4917.6414635428755</c:v>
                </c:pt>
                <c:pt idx="73">
                  <c:v>4917.6414635428755</c:v>
                </c:pt>
                <c:pt idx="74">
                  <c:v>4917.6414635428755</c:v>
                </c:pt>
                <c:pt idx="75">
                  <c:v>4917.6414635428755</c:v>
                </c:pt>
                <c:pt idx="76">
                  <c:v>4917.6414635428755</c:v>
                </c:pt>
                <c:pt idx="77">
                  <c:v>4917.6414635428755</c:v>
                </c:pt>
                <c:pt idx="78">
                  <c:v>4917.6414635428755</c:v>
                </c:pt>
                <c:pt idx="79">
                  <c:v>4917.6414635428755</c:v>
                </c:pt>
                <c:pt idx="80">
                  <c:v>4917.6414635428755</c:v>
                </c:pt>
                <c:pt idx="81">
                  <c:v>4917.6414635428755</c:v>
                </c:pt>
                <c:pt idx="82">
                  <c:v>4917.6414635428755</c:v>
                </c:pt>
                <c:pt idx="83">
                  <c:v>4917.6414635428755</c:v>
                </c:pt>
                <c:pt idx="84">
                  <c:v>4917.6414635428755</c:v>
                </c:pt>
                <c:pt idx="85">
                  <c:v>4917.6414635428755</c:v>
                </c:pt>
                <c:pt idx="86">
                  <c:v>4917.6414635428755</c:v>
                </c:pt>
                <c:pt idx="87">
                  <c:v>4917.6414635428755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63736"/>
        <c:axId val="828160208"/>
      </c:scatterChart>
      <c:valAx>
        <c:axId val="828163736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60208"/>
        <c:crosses val="autoZero"/>
        <c:crossBetween val="midCat"/>
        <c:majorUnit val="7"/>
        <c:minorUnit val="3.5"/>
      </c:valAx>
      <c:valAx>
        <c:axId val="828160208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63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myData!$CQ$15</c:f>
          <c:strCache>
            <c:ptCount val="1"/>
            <c:pt idx="0">
              <c:v>COVID19 China P(t) = b / {d+[( b/Po - d ) ]* exp(-b*t)}
b=0.222, d=2.74E-06, P0=1537.649 Limit=563  =&gt;81.0 k cases 
 23-Mar, Cases per 10 M population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13.27785095931347</c:v>
                </c:pt>
                <c:pt idx="2">
                  <c:v>16.483946092123499</c:v>
                </c:pt>
                <c:pt idx="3">
                  <c:v>20.435392777158128</c:v>
                </c:pt>
                <c:pt idx="4">
                  <c:v>25.290196365421465</c:v>
                </c:pt>
                <c:pt idx="5">
                  <c:v>31.231910410497697</c:v>
                </c:pt>
                <c:pt idx="6">
                  <c:v>38.469636635344116</c:v>
                </c:pt>
                <c:pt idx="7">
                  <c:v>47.235548152251951</c:v>
                </c:pt>
                <c:pt idx="8">
                  <c:v>57.778724493838759</c:v>
                </c:pt>
                <c:pt idx="9">
                  <c:v>70.353940715232071</c:v>
                </c:pt>
                <c:pt idx="10">
                  <c:v>85.204158561885393</c:v>
                </c:pt>
                <c:pt idx="11">
                  <c:v>102.53602795496396</c:v>
                </c:pt>
                <c:pt idx="12">
                  <c:v>122.48892495082372</c:v>
                </c:pt>
                <c:pt idx="13">
                  <c:v>145.10001194246928</c:v>
                </c:pt>
                <c:pt idx="14">
                  <c:v>170.27029014569609</c:v>
                </c:pt>
                <c:pt idx="15">
                  <c:v>197.73893836520026</c:v>
                </c:pt>
                <c:pt idx="16">
                  <c:v>227.07425896283078</c:v>
                </c:pt>
                <c:pt idx="17">
                  <c:v>257.68807624865849</c:v>
                </c:pt>
                <c:pt idx="18">
                  <c:v>288.87592756088998</c:v>
                </c:pt>
                <c:pt idx="19">
                  <c:v>319.87873504365183</c:v>
                </c:pt>
                <c:pt idx="20">
                  <c:v>349.95518889190674</c:v>
                </c:pt>
                <c:pt idx="21">
                  <c:v>378.45060373362571</c:v>
                </c:pt>
                <c:pt idx="22">
                  <c:v>404.84916877225407</c:v>
                </c:pt>
                <c:pt idx="23">
                  <c:v>428.80174224440805</c:v>
                </c:pt>
                <c:pt idx="24">
                  <c:v>450.128248761973</c:v>
                </c:pt>
                <c:pt idx="25">
                  <c:v>468.79956346160662</c:v>
                </c:pt>
                <c:pt idx="26">
                  <c:v>484.90681495455084</c:v>
                </c:pt>
                <c:pt idx="27">
                  <c:v>498.62617441165344</c:v>
                </c:pt>
                <c:pt idx="28">
                  <c:v>510.18538245825016</c:v>
                </c:pt>
                <c:pt idx="29">
                  <c:v>519.83574590776402</c:v>
                </c:pt>
                <c:pt idx="30">
                  <c:v>527.83105240122961</c:v>
                </c:pt>
                <c:pt idx="31">
                  <c:v>534.41324693297213</c:v>
                </c:pt>
                <c:pt idx="32">
                  <c:v>539.80383649202781</c:v>
                </c:pt>
                <c:pt idx="33">
                  <c:v>544.19967624197739</c:v>
                </c:pt>
                <c:pt idx="34">
                  <c:v>547.77182964308088</c:v>
                </c:pt>
                <c:pt idx="35">
                  <c:v>550.6664054356221</c:v>
                </c:pt>
                <c:pt idx="36">
                  <c:v>553.00653561549984</c:v>
                </c:pt>
                <c:pt idx="37">
                  <c:v>554.89490388132174</c:v>
                </c:pt>
                <c:pt idx="38">
                  <c:v>556.41643521642345</c:v>
                </c:pt>
                <c:pt idx="39">
                  <c:v>557.64090849606612</c:v>
                </c:pt>
                <c:pt idx="40">
                  <c:v>558.62536046657624</c:v>
                </c:pt>
                <c:pt idx="41">
                  <c:v>559.41622023438811</c:v>
                </c:pt>
                <c:pt idx="42">
                  <c:v>560.05115784926647</c:v>
                </c:pt>
                <c:pt idx="43">
                  <c:v>560.56065661551554</c:v>
                </c:pt>
                <c:pt idx="44">
                  <c:v>560.96933256348848</c:v>
                </c:pt>
                <c:pt idx="45">
                  <c:v>561.2970305190712</c:v>
                </c:pt>
                <c:pt idx="46">
                  <c:v>561.55972750431283</c:v>
                </c:pt>
                <c:pt idx="47">
                  <c:v>561.77027283765369</c:v>
                </c:pt>
                <c:pt idx="48">
                  <c:v>561.93899158987199</c:v>
                </c:pt>
                <c:pt idx="49">
                  <c:v>562.07417479971355</c:v>
                </c:pt>
                <c:pt idx="50">
                  <c:v>562.18247653435094</c:v>
                </c:pt>
                <c:pt idx="51">
                  <c:v>562.26923475255592</c:v>
                </c:pt>
                <c:pt idx="52">
                  <c:v>562.33873011710432</c:v>
                </c:pt>
                <c:pt idx="53">
                  <c:v>562.39439445162145</c:v>
                </c:pt>
                <c:pt idx="54">
                  <c:v>562.43897844423202</c:v>
                </c:pt>
                <c:pt idx="55">
                  <c:v>562.4746864403478</c:v>
                </c:pt>
                <c:pt idx="56">
                  <c:v>562.5032847031481</c:v>
                </c:pt>
                <c:pt idx="57">
                  <c:v>562.52618831304665</c:v>
                </c:pt>
                <c:pt idx="58">
                  <c:v>562.5445308880594</c:v>
                </c:pt>
                <c:pt idx="59">
                  <c:v>562.55922050013805</c:v>
                </c:pt>
                <c:pt idx="60">
                  <c:v>562.57098450705394</c:v>
                </c:pt>
                <c:pt idx="61">
                  <c:v>562.58040548847714</c:v>
                </c:pt>
                <c:pt idx="62">
                  <c:v>562.58795004586079</c:v>
                </c:pt>
                <c:pt idx="63">
                  <c:v>562.59399187968359</c:v>
                </c:pt>
                <c:pt idx="64">
                  <c:v>562.59883027887497</c:v>
                </c:pt>
                <c:pt idx="65">
                  <c:v>562.60270493303437</c:v>
                </c:pt>
                <c:pt idx="66">
                  <c:v>562.60580779783515</c:v>
                </c:pt>
                <c:pt idx="67">
                  <c:v>562.60829259926243</c:v>
                </c:pt>
                <c:pt idx="68">
                  <c:v>562.61028244616682</c:v>
                </c:pt>
                <c:pt idx="69">
                  <c:v>562.61187592739486</c:v>
                </c:pt>
                <c:pt idx="70">
                  <c:v>562.61315199501462</c:v>
                </c:pt>
                <c:pt idx="71">
                  <c:v>562.61417387521442</c:v>
                </c:pt>
                <c:pt idx="72">
                  <c:v>562.61499220041662</c:v>
                </c:pt>
                <c:pt idx="73">
                  <c:v>562.61564751764524</c:v>
                </c:pt>
                <c:pt idx="74">
                  <c:v>562.6161722973352</c:v>
                </c:pt>
                <c:pt idx="75">
                  <c:v>562.61659254205927</c:v>
                </c:pt>
                <c:pt idx="76">
                  <c:v>562.61692907484155</c:v>
                </c:pt>
                <c:pt idx="77">
                  <c:v>562.61719857086746</c:v>
                </c:pt>
                <c:pt idx="78">
                  <c:v>562.61741438369859</c:v>
                </c:pt>
                <c:pt idx="79">
                  <c:v>562.617587206915</c:v>
                </c:pt>
                <c:pt idx="80">
                  <c:v>562.61772560396912</c:v>
                </c:pt>
                <c:pt idx="81">
                  <c:v>562.61783643249601</c:v>
                </c:pt>
                <c:pt idx="82">
                  <c:v>562.61792518410505</c:v>
                </c:pt>
                <c:pt idx="83">
                  <c:v>562.6179962564886</c:v>
                </c:pt>
                <c:pt idx="84">
                  <c:v>562.61805317132632</c:v>
                </c:pt>
                <c:pt idx="85">
                  <c:v>562.61809874878463</c:v>
                </c:pt>
                <c:pt idx="86">
                  <c:v>562.61813524725699</c:v>
                </c:pt>
                <c:pt idx="87">
                  <c:v>562.61816447526792</c:v>
                </c:pt>
                <c:pt idx="88">
                  <c:v>562.61818788108599</c:v>
                </c:pt>
                <c:pt idx="89">
                  <c:v>562.61820662448599</c:v>
                </c:pt>
                <c:pt idx="90">
                  <c:v>562.61822163421766</c:v>
                </c:pt>
                <c:pt idx="91">
                  <c:v>562.61823365402381</c:v>
                </c:pt>
                <c:pt idx="92">
                  <c:v>562.61824327949523</c:v>
                </c:pt>
                <c:pt idx="93">
                  <c:v>562.61825098758106</c:v>
                </c:pt>
                <c:pt idx="94">
                  <c:v>562.61825716022281</c:v>
                </c:pt>
                <c:pt idx="95">
                  <c:v>562.61826210327968</c:v>
                </c:pt>
                <c:pt idx="96">
                  <c:v>562.6182660616837</c:v>
                </c:pt>
                <c:pt idx="97">
                  <c:v>562.61826923157719</c:v>
                </c:pt>
                <c:pt idx="98">
                  <c:v>562.61827177003056</c:v>
                </c:pt>
                <c:pt idx="99">
                  <c:v>562.61827380282614</c:v>
                </c:pt>
                <c:pt idx="100">
                  <c:v>562.61827543069057</c:v>
                </c:pt>
                <c:pt idx="101">
                  <c:v>562.61827673428593</c:v>
                </c:pt>
                <c:pt idx="102">
                  <c:v>562.61827777820599</c:v>
                </c:pt>
                <c:pt idx="103">
                  <c:v>562.61827861417817</c:v>
                </c:pt>
                <c:pt idx="104">
                  <c:v>562.61827928362527</c:v>
                </c:pt>
                <c:pt idx="105">
                  <c:v>562.61827981971931</c:v>
                </c:pt>
                <c:pt idx="106">
                  <c:v>562.61828024902366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564.88332476486516</c:v>
                </c:pt>
                <c:pt idx="60">
                  <c:v>565.52251381693293</c:v>
                </c:pt>
                <c:pt idx="61">
                  <c:v>565.91853312093133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802008"/>
        <c:axId val="1095800832"/>
      </c:scatterChart>
      <c:valAx>
        <c:axId val="1095802008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0832"/>
        <c:crosses val="autoZero"/>
        <c:crossBetween val="midCat"/>
        <c:majorUnit val="14"/>
        <c:minorUnit val="7"/>
      </c:valAx>
      <c:valAx>
        <c:axId val="10958008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2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myData!$AM$55:$AM$73</c:f>
              <c:numCache>
                <c:formatCode>General</c:formatCode>
                <c:ptCount val="19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</c:numCache>
            </c:numRef>
          </c:xVal>
          <c:yVal>
            <c:numRef>
              <c:f>myData!$BJ$55:$BJ$73</c:f>
              <c:numCache>
                <c:formatCode>0</c:formatCode>
                <c:ptCount val="19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  <c:pt idx="15">
                  <c:v>46456</c:v>
                </c:pt>
                <c:pt idx="16">
                  <c:v>52130</c:v>
                </c:pt>
                <c:pt idx="17">
                  <c:v>56272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myData!$AM$55:$AM$67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myData!$BK$55:$BK$67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myData!$AQ$2</c:f>
              <c:strCache>
                <c:ptCount val="1"/>
                <c:pt idx="0">
                  <c:v>Logistic Forecast, Limit 291 k at 23-Mar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myData!$AM$55:$AM$79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myData!$BO$55:$BO$79</c:f>
              <c:numCache>
                <c:formatCode>0</c:formatCode>
                <c:ptCount val="25"/>
                <c:pt idx="0">
                  <c:v>5831.3706112455338</c:v>
                </c:pt>
                <c:pt idx="1">
                  <c:v>6875.2112147925036</c:v>
                </c:pt>
                <c:pt idx="2">
                  <c:v>8100.6049825657465</c:v>
                </c:pt>
                <c:pt idx="3">
                  <c:v>9537.0863898022344</c:v>
                </c:pt>
                <c:pt idx="4">
                  <c:v>11218.215202018408</c:v>
                </c:pt>
                <c:pt idx="5">
                  <c:v>13181.826573284892</c:v>
                </c:pt>
                <c:pt idx="6">
                  <c:v>15470.17201149113</c:v>
                </c:pt>
                <c:pt idx="7">
                  <c:v>18129.891717165989</c:v>
                </c:pt>
                <c:pt idx="8">
                  <c:v>21211.743642330875</c:v>
                </c:pt>
                <c:pt idx="9">
                  <c:v>24770.000005985781</c:v>
                </c:pt>
                <c:pt idx="10">
                  <c:v>28861.410853591464</c:v>
                </c:pt>
                <c:pt idx="11">
                  <c:v>33543.630978759677</c:v>
                </c:pt>
                <c:pt idx="12">
                  <c:v>38873.017142243072</c:v>
                </c:pt>
                <c:pt idx="13">
                  <c:v>44901.734221300751</c:v>
                </c:pt>
                <c:pt idx="14">
                  <c:v>51674.168884514424</c:v>
                </c:pt>
                <c:pt idx="15">
                  <c:v>59222.742484940776</c:v>
                </c:pt>
                <c:pt idx="16">
                  <c:v>67563.340223320425</c:v>
                </c:pt>
                <c:pt idx="17">
                  <c:v>76690.720598271175</c:v>
                </c:pt>
                <c:pt idx="18">
                  <c:v>86574.414084765027</c:v>
                </c:pt>
                <c:pt idx="19">
                  <c:v>97155.726134002703</c:v>
                </c:pt>
                <c:pt idx="20">
                  <c:v>108346.48269569721</c:v>
                </c:pt>
                <c:pt idx="21">
                  <c:v>120030.05711722217</c:v>
                </c:pt>
                <c:pt idx="22">
                  <c:v>132064.97818109719</c:v>
                </c:pt>
                <c:pt idx="23">
                  <c:v>144291.06090658344</c:v>
                </c:pt>
                <c:pt idx="24">
                  <c:v>156537.58880360742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801224"/>
        <c:axId val="1095798872"/>
      </c:scatterChart>
      <c:valAx>
        <c:axId val="1095801224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798872"/>
        <c:crosses val="autoZero"/>
        <c:crossBetween val="midCat"/>
      </c:valAx>
      <c:valAx>
        <c:axId val="1095798872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1224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35740820736194"/>
          <c:y val="0.52721661299798817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myData!$CQ$11</c:f>
          <c:strCache>
            <c:ptCount val="1"/>
            <c:pt idx="0">
              <c:v>COVID19 Australia P(t) = b / {d+[( b/Po - d ) ]* exp(-b*t)}
b=0.215, d=1.00E-12, P0=.007 Limit=84.7 G=&gt;215 G cases 
 23-Mar,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57.167639173631919</c:v>
                </c:pt>
                <c:pt idx="47">
                  <c:v>78.851916101561272</c:v>
                </c:pt>
                <c:pt idx="48">
                  <c:v>98.95915470745939</c:v>
                </c:pt>
                <c:pt idx="49">
                  <c:v>124.58602744046681</c:v>
                </c:pt>
                <c:pt idx="50">
                  <c:v>148.635861851443</c:v>
                </c:pt>
                <c:pt idx="51">
                  <c:v>179.78236871155968</c:v>
                </c:pt>
                <c:pt idx="52">
                  <c:v>223.93944172843399</c:v>
                </c:pt>
                <c:pt idx="53">
                  <c:v>279.92430216054248</c:v>
                </c:pt>
                <c:pt idx="54">
                  <c:v>345.76565210534613</c:v>
                </c:pt>
                <c:pt idx="55">
                  <c:v>423.04052988487621</c:v>
                </c:pt>
                <c:pt idx="56">
                  <c:v>533.82747200756978</c:v>
                </c:pt>
                <c:pt idx="57">
                  <c:v>674.57814224885669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84.7 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3.2032723800578824E-3</c:v>
                </c:pt>
                <c:pt idx="1">
                  <c:v>3.9707683672117553E-3</c:v>
                </c:pt>
                <c:pt idx="2">
                  <c:v>4.9221544581121643E-3</c:v>
                </c:pt>
                <c:pt idx="3">
                  <c:v>6.1014902580494353E-3</c:v>
                </c:pt>
                <c:pt idx="4">
                  <c:v>7.5633919426718868E-3</c:v>
                </c:pt>
                <c:pt idx="5">
                  <c:v>9.3755615856316084E-3</c:v>
                </c:pt>
                <c:pt idx="6">
                  <c:v>1.1621922506758019E-2</c:v>
                </c:pt>
                <c:pt idx="7">
                  <c:v>1.4406505841749894E-2</c:v>
                </c:pt>
                <c:pt idx="8">
                  <c:v>1.7858268324168026E-2</c:v>
                </c:pt>
                <c:pt idx="9">
                  <c:v>2.2137064395848161E-2</c:v>
                </c:pt>
                <c:pt idx="10">
                  <c:v>2.7441049219913801E-2</c:v>
                </c:pt>
                <c:pt idx="11">
                  <c:v>3.401585543704469E-2</c:v>
                </c:pt>
                <c:pt idx="12">
                  <c:v>4.2165968649413639E-2</c:v>
                </c:pt>
                <c:pt idx="13">
                  <c:v>5.2268828441898008E-2</c:v>
                </c:pt>
                <c:pt idx="14">
                  <c:v>6.4792307972426466E-2</c:v>
                </c:pt>
                <c:pt idx="15">
                  <c:v>8.0316381628108446E-2</c:v>
                </c:pt>
                <c:pt idx="16">
                  <c:v>9.9559984197150314E-2</c:v>
                </c:pt>
                <c:pt idx="17">
                  <c:v>0.12341430543065314</c:v>
                </c:pt>
                <c:pt idx="18">
                  <c:v>0.15298406189748553</c:v>
                </c:pt>
                <c:pt idx="19">
                  <c:v>0.18963865747154052</c:v>
                </c:pt>
                <c:pt idx="20">
                  <c:v>0.23507560174276967</c:v>
                </c:pt>
                <c:pt idx="21">
                  <c:v>0.29139912331962836</c:v>
                </c:pt>
                <c:pt idx="22">
                  <c:v>0.36121761868060848</c:v>
                </c:pt>
                <c:pt idx="23">
                  <c:v>0.44776444952494082</c:v>
                </c:pt>
                <c:pt idx="24">
                  <c:v>0.55504768286400186</c:v>
                </c:pt>
                <c:pt idx="25">
                  <c:v>0.68803570846113715</c:v>
                </c:pt>
                <c:pt idx="26">
                  <c:v>0.85288732974214054</c:v>
                </c:pt>
                <c:pt idx="27">
                  <c:v>1.0572369839078302</c:v>
                </c:pt>
                <c:pt idx="28">
                  <c:v>1.3105483000665699</c:v>
                </c:pt>
                <c:pt idx="29">
                  <c:v>1.6245523690040344</c:v>
                </c:pt>
                <c:pt idx="30">
                  <c:v>2.0137910212849235</c:v>
                </c:pt>
                <c:pt idx="31">
                  <c:v>2.4962902734182233</c:v>
                </c:pt>
                <c:pt idx="32">
                  <c:v>3.0943951300258861</c:v>
                </c:pt>
                <c:pt idx="33">
                  <c:v>3.8358044025064792</c:v>
                </c:pt>
                <c:pt idx="34">
                  <c:v>4.7548534676417136</c:v>
                </c:pt>
                <c:pt idx="35">
                  <c:v>5.894104371931002</c:v>
                </c:pt>
                <c:pt idx="36">
                  <c:v>7.306316920915461</c:v>
                </c:pt>
                <c:pt idx="37">
                  <c:v>9.0568920365340286</c:v>
                </c:pt>
                <c:pt idx="38">
                  <c:v>11.226900536741196</c:v>
                </c:pt>
                <c:pt idx="39">
                  <c:v>13.916837603083698</c:v>
                </c:pt>
                <c:pt idx="40">
                  <c:v>17.25127680924026</c:v>
                </c:pt>
                <c:pt idx="41">
                  <c:v>21.384639243061851</c:v>
                </c:pt>
                <c:pt idx="42">
                  <c:v>26.508344895701267</c:v>
                </c:pt>
                <c:pt idx="43">
                  <c:v>32.859677505537057</c:v>
                </c:pt>
                <c:pt idx="44">
                  <c:v>40.732773396334963</c:v>
                </c:pt>
                <c:pt idx="45">
                  <c:v>50.49224321330113</c:v>
                </c:pt>
                <c:pt idx="46">
                  <c:v>62.590057392707479</c:v>
                </c:pt>
                <c:pt idx="47">
                  <c:v>77.586477347402308</c:v>
                </c:pt>
                <c:pt idx="48">
                  <c:v>96.176001711494337</c:v>
                </c:pt>
                <c:pt idx="49">
                  <c:v>119.2195292396858</c:v>
                </c:pt>
                <c:pt idx="50">
                  <c:v>147.78422785594856</c:v>
                </c:pt>
                <c:pt idx="51">
                  <c:v>183.19295622536029</c:v>
                </c:pt>
                <c:pt idx="52">
                  <c:v>227.08552660935237</c:v>
                </c:pt>
                <c:pt idx="53">
                  <c:v>281.49464614570064</c:v>
                </c:pt>
                <c:pt idx="54">
                  <c:v>348.94005346632031</c:v>
                </c:pt>
                <c:pt idx="55">
                  <c:v>432.54521020915308</c:v>
                </c:pt>
                <c:pt idx="56">
                  <c:v>536.18195151873238</c:v>
                </c:pt>
                <c:pt idx="57">
                  <c:v>664.64979443680033</c:v>
                </c:pt>
                <c:pt idx="58">
                  <c:v>823.89820812324399</c:v>
                </c:pt>
                <c:pt idx="59">
                  <c:v>1021.3021394492929</c:v>
                </c:pt>
                <c:pt idx="60">
                  <c:v>1266.0035538092777</c:v>
                </c:pt>
                <c:pt idx="61">
                  <c:v>1569.3348082206915</c:v>
                </c:pt>
                <c:pt idx="62">
                  <c:v>1945.3434635068977</c:v>
                </c:pt>
                <c:pt idx="63">
                  <c:v>2411.4428400868997</c:v>
                </c:pt>
                <c:pt idx="64">
                  <c:v>2989.2184451864</c:v>
                </c:pt>
                <c:pt idx="65">
                  <c:v>3705.4276178129844</c:v>
                </c:pt>
                <c:pt idx="66">
                  <c:v>16664.91328837716</c:v>
                </c:pt>
                <c:pt idx="67">
                  <c:v>74949.294631472148</c:v>
                </c:pt>
                <c:pt idx="68">
                  <c:v>337078.45617904089</c:v>
                </c:pt>
                <c:pt idx="69" formatCode="0.00E+00">
                  <c:v>1515966.976140595</c:v>
                </c:pt>
                <c:pt idx="70" formatCode="0.00E+00">
                  <c:v>6817534.4412277648</c:v>
                </c:pt>
                <c:pt idx="71" formatCode="0.00E+00">
                  <c:v>30652779.694883805</c:v>
                </c:pt>
                <c:pt idx="72" formatCode="0.00E+00">
                  <c:v>137684543.96523103</c:v>
                </c:pt>
                <c:pt idx="73" formatCode="0.00E+00">
                  <c:v>615725812.8260783</c:v>
                </c:pt>
                <c:pt idx="74" formatCode="0.00E+00">
                  <c:v>2700511998.5739789</c:v>
                </c:pt>
                <c:pt idx="75" formatCode="0.00E+00">
                  <c:v>10926681457.68347</c:v>
                </c:pt>
                <c:pt idx="76" formatCode="0.00E+00">
                  <c:v>33861112821.491123</c:v>
                </c:pt>
                <c:pt idx="77" formatCode="0.00E+00">
                  <c:v>63493184222.197762</c:v>
                </c:pt>
                <c:pt idx="78" formatCode="0.00E+00">
                  <c:v>78832294136.517242</c:v>
                </c:pt>
                <c:pt idx="79" formatCode="0.00E+00">
                  <c:v>83307275081.296692</c:v>
                </c:pt>
                <c:pt idx="80" formatCode="0.00E+00">
                  <c:v>84372206502.717514</c:v>
                </c:pt>
                <c:pt idx="81" formatCode="0.00E+00">
                  <c:v>84612703408.221054</c:v>
                </c:pt>
                <c:pt idx="82" formatCode="0.00E+00">
                  <c:v>84666364092.313934</c:v>
                </c:pt>
                <c:pt idx="83" formatCode="0.00E+00">
                  <c:v>84678304743.123917</c:v>
                </c:pt>
                <c:pt idx="84" formatCode="0.00E+00">
                  <c:v>84680960192.775803</c:v>
                </c:pt>
                <c:pt idx="85" formatCode="0.00E+00">
                  <c:v>84681550652.0224</c:v>
                </c:pt>
                <c:pt idx="86" formatCode="0.00E+00">
                  <c:v>84681681941.173126</c:v>
                </c:pt>
                <c:pt idx="87" formatCode="0.00E+00">
                  <c:v>84681711133.24176</c:v>
                </c:pt>
                <c:pt idx="88" formatCode="0.00E+00">
                  <c:v>84681717624.072189</c:v>
                </c:pt>
                <c:pt idx="89" formatCode="0.00E+00">
                  <c:v>84681719067.302094</c:v>
                </c:pt>
                <c:pt idx="90" formatCode="0.00E+00">
                  <c:v>84681719388.20282</c:v>
                </c:pt>
                <c:pt idx="91" formatCode="0.00E+00">
                  <c:v>84681719459.554794</c:v>
                </c:pt>
                <c:pt idx="92" formatCode="0.00E+00">
                  <c:v>84681719475.41983</c:v>
                </c:pt>
                <c:pt idx="93" formatCode="0.00E+00">
                  <c:v>84681719478.947418</c:v>
                </c:pt>
                <c:pt idx="94" formatCode="0.00E+00">
                  <c:v>84681719479.731766</c:v>
                </c:pt>
                <c:pt idx="95" formatCode="0.00E+00">
                  <c:v>84681719479.906158</c:v>
                </c:pt>
                <c:pt idx="96" formatCode="0.00E+00">
                  <c:v>84681719479.944946</c:v>
                </c:pt>
                <c:pt idx="97" formatCode="0.00E+00">
                  <c:v>84681719479.953568</c:v>
                </c:pt>
                <c:pt idx="98" formatCode="0.00E+00">
                  <c:v>84681719479.955475</c:v>
                </c:pt>
                <c:pt idx="99" formatCode="0.00E+00">
                  <c:v>84681719479.955917</c:v>
                </c:pt>
                <c:pt idx="100" formatCode="0.00E+00">
                  <c:v>84681719479.955994</c:v>
                </c:pt>
                <c:pt idx="101" formatCode="0.00E+00">
                  <c:v>84681719479.956039</c:v>
                </c:pt>
                <c:pt idx="102" formatCode="0.00E+00">
                  <c:v>84681719479.956039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myData!$DH$11:$DH$12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myData!$DI$11:$DI$12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802400"/>
        <c:axId val="1095799264"/>
      </c:scatterChart>
      <c:valAx>
        <c:axId val="1095802400"/>
        <c:scaling>
          <c:orientation val="minMax"/>
          <c:max val="43967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799264"/>
        <c:crosses val="autoZero"/>
        <c:crossBetween val="midCat"/>
        <c:majorUnit val="14"/>
        <c:minorUnit val="7"/>
      </c:valAx>
      <c:valAx>
        <c:axId val="1095799264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2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myData!$CQ$12</c:f>
          <c:strCache>
            <c:ptCount val="1"/>
            <c:pt idx="0">
              <c:v>COVID19 NSW P(t) = b / {d+[( b/Po - d ) ]* exp(-b*t)}
b=0.198, d=1.00E-12, P0=.007 Limit=245 G=&gt;198 G cases 
 23-Mar,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>
                  <c:v>3.7128712871287126</c:v>
                </c:pt>
                <c:pt idx="1">
                  <c:v>4.9504950495049505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7.4257425742574252</c:v>
                </c:pt>
                <c:pt idx="36">
                  <c:v>7.4257425742574252</c:v>
                </c:pt>
                <c:pt idx="37">
                  <c:v>16.089108910891088</c:v>
                </c:pt>
                <c:pt idx="38">
                  <c:v>27.227722772277225</c:v>
                </c:pt>
                <c:pt idx="39">
                  <c:v>27.227722772277225</c:v>
                </c:pt>
                <c:pt idx="40">
                  <c:v>32.178217821782177</c:v>
                </c:pt>
                <c:pt idx="41">
                  <c:v>34.653465346534652</c:v>
                </c:pt>
                <c:pt idx="42">
                  <c:v>47.029702970297024</c:v>
                </c:pt>
                <c:pt idx="43">
                  <c:v>59.405940594059402</c:v>
                </c:pt>
                <c:pt idx="44">
                  <c:v>68.06930693069306</c:v>
                </c:pt>
                <c:pt idx="45">
                  <c:v>80.445544554455438</c:v>
                </c:pt>
                <c:pt idx="46">
                  <c:v>92.821782178217816</c:v>
                </c:pt>
                <c:pt idx="47">
                  <c:v>113.86138613861385</c:v>
                </c:pt>
                <c:pt idx="48">
                  <c:v>138.61386138613861</c:v>
                </c:pt>
                <c:pt idx="49">
                  <c:v>165.84158415841583</c:v>
                </c:pt>
                <c:pt idx="50">
                  <c:v>211.63366336633663</c:v>
                </c:pt>
                <c:pt idx="51">
                  <c:v>259.9009900990099</c:v>
                </c:pt>
                <c:pt idx="52">
                  <c:v>330.44554455445541</c:v>
                </c:pt>
                <c:pt idx="53">
                  <c:v>379.95049504950492</c:v>
                </c:pt>
                <c:pt idx="54">
                  <c:v>472.77227722772273</c:v>
                </c:pt>
                <c:pt idx="55">
                  <c:v>539.60396039603961</c:v>
                </c:pt>
                <c:pt idx="56">
                  <c:v>659.65346534653463</c:v>
                </c:pt>
                <c:pt idx="57">
                  <c:v>871.28712871287121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245 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3"/>
                <c:pt idx="0">
                  <c:v>1.0353344974657584E-2</c:v>
                </c:pt>
                <c:pt idx="1">
                  <c:v>1.2624616493400635E-2</c:v>
                </c:pt>
                <c:pt idx="2">
                  <c:v>1.5394149619815426E-2</c:v>
                </c:pt>
                <c:pt idx="3">
                  <c:v>1.8771250805213857E-2</c:v>
                </c:pt>
                <c:pt idx="4">
                  <c:v>2.2889205671918475E-2</c:v>
                </c:pt>
                <c:pt idx="5">
                  <c:v>2.7910539458876202E-2</c:v>
                </c:pt>
                <c:pt idx="6">
                  <c:v>3.4033431480813364E-2</c:v>
                </c:pt>
                <c:pt idx="7">
                  <c:v>4.1499536763373195E-2</c:v>
                </c:pt>
                <c:pt idx="8">
                  <c:v>5.0603523554345782E-2</c:v>
                </c:pt>
                <c:pt idx="9">
                  <c:v>6.1704703132379399E-2</c:v>
                </c:pt>
                <c:pt idx="10">
                  <c:v>7.5241210912239953E-2</c:v>
                </c:pt>
                <c:pt idx="11">
                  <c:v>9.1747298538891908E-2</c:v>
                </c:pt>
                <c:pt idx="12">
                  <c:v>0.11187441944551547</c:v>
                </c:pt>
                <c:pt idx="13">
                  <c:v>0.13641694006898078</c:v>
                </c:pt>
                <c:pt idx="14">
                  <c:v>0.16634349147927094</c:v>
                </c:pt>
                <c:pt idx="15">
                  <c:v>0.20283519879218678</c:v>
                </c:pt>
                <c:pt idx="16">
                  <c:v>0.24733229718333499</c:v>
                </c:pt>
                <c:pt idx="17">
                  <c:v>0.30159097431929299</c:v>
                </c:pt>
                <c:pt idx="18">
                  <c:v>0.36775268263260458</c:v>
                </c:pt>
                <c:pt idx="19">
                  <c:v>0.44842865702038243</c:v>
                </c:pt>
                <c:pt idx="20">
                  <c:v>0.54680297366581598</c:v>
                </c:pt>
                <c:pt idx="21">
                  <c:v>0.66675821745299968</c:v>
                </c:pt>
                <c:pt idx="22">
                  <c:v>0.81302871774935725</c:v>
                </c:pt>
                <c:pt idx="23">
                  <c:v>0.9913874003835188</c:v>
                </c:pt>
                <c:pt idx="24">
                  <c:v>1.2088736303925112</c:v>
                </c:pt>
                <c:pt idx="25">
                  <c:v>1.4740710379138893</c:v>
                </c:pt>
                <c:pt idx="26">
                  <c:v>1.7974462923064154</c:v>
                </c:pt>
                <c:pt idx="27">
                  <c:v>2.1917621950549986</c:v>
                </c:pt>
                <c:pt idx="28">
                  <c:v>2.6725813951895772</c:v>
                </c:pt>
                <c:pt idx="29">
                  <c:v>3.2588806075885284</c:v>
                </c:pt>
                <c:pt idx="30">
                  <c:v>3.9737995758058724</c:v>
                </c:pt>
                <c:pt idx="31">
                  <c:v>4.8455543390863163</c:v>
                </c:pt>
                <c:pt idx="32">
                  <c:v>5.9085508479018829</c:v>
                </c:pt>
                <c:pt idx="33">
                  <c:v>7.2047428795921329</c:v>
                </c:pt>
                <c:pt idx="34">
                  <c:v>8.7852878475956508</c:v>
                </c:pt>
                <c:pt idx="35">
                  <c:v>10.712565854865336</c:v>
                </c:pt>
                <c:pt idx="36">
                  <c:v>13.06264167838691</c:v>
                </c:pt>
                <c:pt idx="37">
                  <c:v>15.928266853087868</c:v>
                </c:pt>
                <c:pt idx="38">
                  <c:v>19.422540339777449</c:v>
                </c:pt>
                <c:pt idx="39">
                  <c:v>23.68337225440024</c:v>
                </c:pt>
                <c:pt idx="40">
                  <c:v>28.878926830679781</c:v>
                </c:pt>
                <c:pt idx="41">
                  <c:v>35.214259436087389</c:v>
                </c:pt>
                <c:pt idx="42">
                  <c:v>42.939409587328463</c:v>
                </c:pt>
                <c:pt idx="43">
                  <c:v>52.359269376147012</c:v>
                </c:pt>
                <c:pt idx="44">
                  <c:v>63.845616787191908</c:v>
                </c:pt>
                <c:pt idx="45">
                  <c:v>77.851788832487316</c:v>
                </c:pt>
                <c:pt idx="46">
                  <c:v>94.930573613915016</c:v>
                </c:pt>
                <c:pt idx="47">
                  <c:v>115.75602746803939</c:v>
                </c:pt>
                <c:pt idx="48">
                  <c:v>141.15007826064556</c:v>
                </c:pt>
                <c:pt idx="49">
                  <c:v>172.1149647955491</c:v>
                </c:pt>
                <c:pt idx="50">
                  <c:v>209.87279263884577</c:v>
                </c:pt>
                <c:pt idx="51">
                  <c:v>255.91376752662643</c:v>
                </c:pt>
                <c:pt idx="52">
                  <c:v>312.05501000635849</c:v>
                </c:pt>
                <c:pt idx="53">
                  <c:v>380.51227257654676</c:v>
                </c:pt>
                <c:pt idx="54">
                  <c:v>463.98738981809544</c:v>
                </c:pt>
                <c:pt idx="55">
                  <c:v>565.77491295196126</c:v>
                </c:pt>
                <c:pt idx="56">
                  <c:v>689.89213741816377</c:v>
                </c:pt>
                <c:pt idx="57">
                  <c:v>841.23765533418077</c:v>
                </c:pt>
                <c:pt idx="58">
                  <c:v>1025.7846904950086</c:v>
                </c:pt>
                <c:pt idx="59">
                  <c:v>1250.8168463552631</c:v>
                </c:pt>
                <c:pt idx="60">
                  <c:v>1525.2155713656482</c:v>
                </c:pt>
                <c:pt idx="61">
                  <c:v>1859.8106871875657</c:v>
                </c:pt>
                <c:pt idx="62">
                  <c:v>2267.8078142394993</c:v>
                </c:pt>
                <c:pt idx="63">
                  <c:v>2765.3095639684311</c:v>
                </c:pt>
                <c:pt idx="64">
                  <c:v>3371.9510679698792</c:v>
                </c:pt>
                <c:pt idx="65">
                  <c:v>4111.6749266588331</c:v>
                </c:pt>
                <c:pt idx="66">
                  <c:v>16480.914776566304</c:v>
                </c:pt>
                <c:pt idx="67">
                  <c:v>66060.794090597527</c:v>
                </c:pt>
                <c:pt idx="68">
                  <c:v>264792.69648370583</c:v>
                </c:pt>
                <c:pt idx="69" formatCode="0.00E+00">
                  <c:v>1061370.8525395524</c:v>
                </c:pt>
                <c:pt idx="70" formatCode="0.00E+00">
                  <c:v>4254260.4245313462</c:v>
                </c:pt>
                <c:pt idx="71" formatCode="0.00E+00">
                  <c:v>17051555.115948118</c:v>
                </c:pt>
                <c:pt idx="72" formatCode="0.00E+00">
                  <c:v>68333837.483001396</c:v>
                </c:pt>
                <c:pt idx="73" formatCode="0.00E+00">
                  <c:v>273674808.51854914</c:v>
                </c:pt>
                <c:pt idx="74" formatCode="0.00E+00">
                  <c:v>1093309703.116997</c:v>
                </c:pt>
                <c:pt idx="75" formatCode="0.00E+00">
                  <c:v>4324394592.1002007</c:v>
                </c:pt>
                <c:pt idx="76" formatCode="0.00E+00">
                  <c:v>16461168559.709417</c:v>
                </c:pt>
                <c:pt idx="77" formatCode="0.00E+00">
                  <c:v>54905181814.931358</c:v>
                </c:pt>
                <c:pt idx="78" formatCode="0.00E+00">
                  <c:v>131555728303.08841</c:v>
                </c:pt>
                <c:pt idx="79" formatCode="0.00E+00">
                  <c:v>201861965534.86621</c:v>
                </c:pt>
                <c:pt idx="80" formatCode="0.00E+00">
                  <c:v>232916232706.71393</c:v>
                </c:pt>
                <c:pt idx="81" formatCode="0.00E+00">
                  <c:v>242212325781.9668</c:v>
                </c:pt>
                <c:pt idx="82" formatCode="0.00E+00">
                  <c:v>244648343381.90469</c:v>
                </c:pt>
                <c:pt idx="83" formatCode="0.00E+00">
                  <c:v>245263739799.81592</c:v>
                </c:pt>
                <c:pt idx="84" formatCode="0.00E+00">
                  <c:v>245417752343.948</c:v>
                </c:pt>
                <c:pt idx="85" formatCode="0.00E+00">
                  <c:v>245456205695.77094</c:v>
                </c:pt>
                <c:pt idx="86" formatCode="0.00E+00">
                  <c:v>245465800953.77081</c:v>
                </c:pt>
                <c:pt idx="87" formatCode="0.00E+00">
                  <c:v>245468194905.03656</c:v>
                </c:pt>
                <c:pt idx="88" formatCode="0.00E+00">
                  <c:v>245468792157.61505</c:v>
                </c:pt>
                <c:pt idx="89" formatCode="0.00E+00">
                  <c:v>245468941161.22479</c:v>
                </c:pt>
                <c:pt idx="90" formatCode="0.00E+00">
                  <c:v>245468978334.81909</c:v>
                </c:pt>
                <c:pt idx="91" formatCode="0.00E+00">
                  <c:v>245468987608.92554</c:v>
                </c:pt>
                <c:pt idx="92" formatCode="0.00E+00">
                  <c:v>245468989922.63876</c:v>
                </c:pt>
                <c:pt idx="93" formatCode="0.00E+00">
                  <c:v>245468990499.86618</c:v>
                </c:pt>
                <c:pt idx="94" formatCode="0.00E+00">
                  <c:v>245468990643.87347</c:v>
                </c:pt>
                <c:pt idx="95" formatCode="0.00E+00">
                  <c:v>245468990679.80054</c:v>
                </c:pt>
                <c:pt idx="96" formatCode="0.00E+00">
                  <c:v>245468990688.76367</c:v>
                </c:pt>
                <c:pt idx="97" formatCode="0.00E+00">
                  <c:v>245468990690.99976</c:v>
                </c:pt>
                <c:pt idx="98" formatCode="0.00E+00">
                  <c:v>245468990691.55765</c:v>
                </c:pt>
                <c:pt idx="99" formatCode="0.00E+00">
                  <c:v>245468990691.69684</c:v>
                </c:pt>
                <c:pt idx="100" formatCode="0.00E+00">
                  <c:v>245468990691.73154</c:v>
                </c:pt>
                <c:pt idx="101" formatCode="0.00E+00">
                  <c:v>245468990691.7402</c:v>
                </c:pt>
                <c:pt idx="102" formatCode="0.00E+00">
                  <c:v>245468990691.74237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4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6"/>
                <c:pt idx="0">
                  <c:v>0.33085194375516958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0.49627791563275436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3.3085194375516958</c:v>
                </c:pt>
                <c:pt idx="22">
                  <c:v>10.256410256410257</c:v>
                </c:pt>
                <c:pt idx="23">
                  <c:v>25.641025641025642</c:v>
                </c:pt>
                <c:pt idx="24">
                  <c:v>37.882547559966916</c:v>
                </c:pt>
                <c:pt idx="25">
                  <c:v>53.267162944582303</c:v>
                </c:pt>
                <c:pt idx="26">
                  <c:v>74.937965260545909</c:v>
                </c:pt>
                <c:pt idx="27">
                  <c:v>108.35401157981804</c:v>
                </c:pt>
                <c:pt idx="28">
                  <c:v>146.89826302729529</c:v>
                </c:pt>
                <c:pt idx="29">
                  <c:v>186.60049627791562</c:v>
                </c:pt>
                <c:pt idx="30">
                  <c:v>280.2315963606286</c:v>
                </c:pt>
                <c:pt idx="31">
                  <c:v>336.80727874276261</c:v>
                </c:pt>
                <c:pt idx="32">
                  <c:v>413.89578163771711</c:v>
                </c:pt>
                <c:pt idx="33">
                  <c:v>511.00082712985937</c:v>
                </c:pt>
                <c:pt idx="34">
                  <c:v>638.21339950372214</c:v>
                </c:pt>
                <c:pt idx="35">
                  <c:v>766.91480562448305</c:v>
                </c:pt>
                <c:pt idx="36">
                  <c:v>973.20099255583125</c:v>
                </c:pt>
                <c:pt idx="37">
                  <c:v>1220.0165425971877</c:v>
                </c:pt>
                <c:pt idx="38">
                  <c:v>1517.2870140612076</c:v>
                </c:pt>
                <c:pt idx="39">
                  <c:v>1678.9081885856081</c:v>
                </c:pt>
                <c:pt idx="40">
                  <c:v>2061.5384615384614</c:v>
                </c:pt>
                <c:pt idx="41">
                  <c:v>2500.082712985939</c:v>
                </c:pt>
                <c:pt idx="42">
                  <c:v>2921.4226633581475</c:v>
                </c:pt>
                <c:pt idx="43">
                  <c:v>3499.9172870140615</c:v>
                </c:pt>
                <c:pt idx="44">
                  <c:v>4093.7965260545907</c:v>
                </c:pt>
                <c:pt idx="45">
                  <c:v>4628.618693134822</c:v>
                </c:pt>
                <c:pt idx="46">
                  <c:v>5211.9106699751865</c:v>
                </c:pt>
                <c:pt idx="47">
                  <c:v>5907.8577336641856</c:v>
                </c:pt>
                <c:pt idx="48">
                  <c:v>6788.2547559966915</c:v>
                </c:pt>
                <c:pt idx="49">
                  <c:v>7778.4946236559144</c:v>
                </c:pt>
                <c:pt idx="50">
                  <c:v>8863.1927212572373</c:v>
                </c:pt>
                <c:pt idx="51">
                  <c:v>9782.9611248966085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10.8 k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8"/>
                <c:pt idx="0">
                  <c:v>43861</c:v>
                </c:pt>
                <c:pt idx="1">
                  <c:v>43862</c:v>
                </c:pt>
                <c:pt idx="2">
                  <c:v>43863</c:v>
                </c:pt>
                <c:pt idx="3">
                  <c:v>43864</c:v>
                </c:pt>
                <c:pt idx="4">
                  <c:v>43865</c:v>
                </c:pt>
                <c:pt idx="5">
                  <c:v>43866</c:v>
                </c:pt>
                <c:pt idx="6">
                  <c:v>43867</c:v>
                </c:pt>
                <c:pt idx="7">
                  <c:v>43868</c:v>
                </c:pt>
                <c:pt idx="8">
                  <c:v>43869</c:v>
                </c:pt>
                <c:pt idx="9">
                  <c:v>43870</c:v>
                </c:pt>
                <c:pt idx="10">
                  <c:v>43871</c:v>
                </c:pt>
                <c:pt idx="11">
                  <c:v>43872</c:v>
                </c:pt>
                <c:pt idx="12">
                  <c:v>43873</c:v>
                </c:pt>
                <c:pt idx="13">
                  <c:v>43874</c:v>
                </c:pt>
                <c:pt idx="14">
                  <c:v>43875</c:v>
                </c:pt>
                <c:pt idx="15">
                  <c:v>43876</c:v>
                </c:pt>
                <c:pt idx="16">
                  <c:v>43877</c:v>
                </c:pt>
                <c:pt idx="17">
                  <c:v>43878</c:v>
                </c:pt>
                <c:pt idx="18">
                  <c:v>43879</c:v>
                </c:pt>
                <c:pt idx="19">
                  <c:v>43880</c:v>
                </c:pt>
                <c:pt idx="20">
                  <c:v>43881</c:v>
                </c:pt>
                <c:pt idx="21">
                  <c:v>43882</c:v>
                </c:pt>
                <c:pt idx="22">
                  <c:v>43883</c:v>
                </c:pt>
                <c:pt idx="23">
                  <c:v>43884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43890</c:v>
                </c:pt>
                <c:pt idx="30">
                  <c:v>43891</c:v>
                </c:pt>
                <c:pt idx="31">
                  <c:v>43892</c:v>
                </c:pt>
                <c:pt idx="32">
                  <c:v>43893</c:v>
                </c:pt>
                <c:pt idx="33">
                  <c:v>43894</c:v>
                </c:pt>
                <c:pt idx="34">
                  <c:v>43895</c:v>
                </c:pt>
                <c:pt idx="35">
                  <c:v>43896</c:v>
                </c:pt>
                <c:pt idx="36">
                  <c:v>43897</c:v>
                </c:pt>
                <c:pt idx="37">
                  <c:v>43898</c:v>
                </c:pt>
                <c:pt idx="38">
                  <c:v>43899</c:v>
                </c:pt>
                <c:pt idx="39">
                  <c:v>43900</c:v>
                </c:pt>
                <c:pt idx="40">
                  <c:v>43901</c:v>
                </c:pt>
                <c:pt idx="41">
                  <c:v>43902</c:v>
                </c:pt>
                <c:pt idx="42">
                  <c:v>43903</c:v>
                </c:pt>
                <c:pt idx="43">
                  <c:v>43904</c:v>
                </c:pt>
                <c:pt idx="44">
                  <c:v>43905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43911</c:v>
                </c:pt>
                <c:pt idx="51">
                  <c:v>43912</c:v>
                </c:pt>
                <c:pt idx="52">
                  <c:v>43913</c:v>
                </c:pt>
                <c:pt idx="53">
                  <c:v>43914</c:v>
                </c:pt>
                <c:pt idx="54">
                  <c:v>43915</c:v>
                </c:pt>
                <c:pt idx="55">
                  <c:v>43916</c:v>
                </c:pt>
                <c:pt idx="56">
                  <c:v>43917</c:v>
                </c:pt>
                <c:pt idx="57">
                  <c:v>43918</c:v>
                </c:pt>
                <c:pt idx="58">
                  <c:v>43919</c:v>
                </c:pt>
                <c:pt idx="59">
                  <c:v>43920</c:v>
                </c:pt>
                <c:pt idx="60">
                  <c:v>43921</c:v>
                </c:pt>
                <c:pt idx="61">
                  <c:v>43928</c:v>
                </c:pt>
                <c:pt idx="62">
                  <c:v>43935</c:v>
                </c:pt>
                <c:pt idx="63">
                  <c:v>43942</c:v>
                </c:pt>
                <c:pt idx="64">
                  <c:v>43949</c:v>
                </c:pt>
                <c:pt idx="65">
                  <c:v>43956</c:v>
                </c:pt>
                <c:pt idx="66">
                  <c:v>43963</c:v>
                </c:pt>
                <c:pt idx="67">
                  <c:v>43970</c:v>
                </c:pt>
                <c:pt idx="68">
                  <c:v>43977</c:v>
                </c:pt>
                <c:pt idx="69">
                  <c:v>43984</c:v>
                </c:pt>
                <c:pt idx="70">
                  <c:v>43991</c:v>
                </c:pt>
                <c:pt idx="71">
                  <c:v>43998</c:v>
                </c:pt>
                <c:pt idx="72">
                  <c:v>44005</c:v>
                </c:pt>
                <c:pt idx="73">
                  <c:v>44012</c:v>
                </c:pt>
                <c:pt idx="74">
                  <c:v>44019</c:v>
                </c:pt>
                <c:pt idx="75">
                  <c:v>44026</c:v>
                </c:pt>
                <c:pt idx="76">
                  <c:v>44033</c:v>
                </c:pt>
                <c:pt idx="77">
                  <c:v>44040</c:v>
                </c:pt>
                <c:pt idx="78">
                  <c:v>44047</c:v>
                </c:pt>
                <c:pt idx="79">
                  <c:v>44054</c:v>
                </c:pt>
                <c:pt idx="80">
                  <c:v>44061</c:v>
                </c:pt>
                <c:pt idx="81">
                  <c:v>44068</c:v>
                </c:pt>
                <c:pt idx="82">
                  <c:v>44075</c:v>
                </c:pt>
                <c:pt idx="83">
                  <c:v>44082</c:v>
                </c:pt>
                <c:pt idx="84">
                  <c:v>44089</c:v>
                </c:pt>
                <c:pt idx="85">
                  <c:v>44096</c:v>
                </c:pt>
                <c:pt idx="86">
                  <c:v>44103</c:v>
                </c:pt>
                <c:pt idx="87">
                  <c:v>44110</c:v>
                </c:pt>
                <c:pt idx="88">
                  <c:v>44117</c:v>
                </c:pt>
                <c:pt idx="89">
                  <c:v>44124</c:v>
                </c:pt>
                <c:pt idx="90">
                  <c:v>44131</c:v>
                </c:pt>
                <c:pt idx="91">
                  <c:v>44138</c:v>
                </c:pt>
                <c:pt idx="92">
                  <c:v>44145</c:v>
                </c:pt>
                <c:pt idx="93">
                  <c:v>44152</c:v>
                </c:pt>
                <c:pt idx="94">
                  <c:v>44159</c:v>
                </c:pt>
                <c:pt idx="95">
                  <c:v>44166</c:v>
                </c:pt>
                <c:pt idx="96">
                  <c:v>44173</c:v>
                </c:pt>
                <c:pt idx="97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8"/>
                <c:pt idx="0">
                  <c:v>0.1227377949478253</c:v>
                </c:pt>
                <c:pt idx="1">
                  <c:v>0.15898225517500719</c:v>
                </c:pt>
                <c:pt idx="2">
                  <c:v>0.20592949771893365</c:v>
                </c:pt>
                <c:pt idx="3">
                  <c:v>0.26673985510033621</c:v>
                </c:pt>
                <c:pt idx="4">
                  <c:v>0.34550675368623363</c:v>
                </c:pt>
                <c:pt idx="5">
                  <c:v>0.44753214791099916</c:v>
                </c:pt>
                <c:pt idx="6">
                  <c:v>0.57968321524871813</c:v>
                </c:pt>
                <c:pt idx="7">
                  <c:v>0.75085425698523589</c:v>
                </c:pt>
                <c:pt idx="8">
                  <c:v>0.97256478595771245</c:v>
                </c:pt>
                <c:pt idx="9">
                  <c:v>1.2597338726728324</c:v>
                </c:pt>
                <c:pt idx="10">
                  <c:v>1.6316825561529313</c:v>
                </c:pt>
                <c:pt idx="11">
                  <c:v>2.1134312596311315</c:v>
                </c:pt>
                <c:pt idx="12">
                  <c:v>2.737378642524233</c:v>
                </c:pt>
                <c:pt idx="13">
                  <c:v>3.5454733804095451</c:v>
                </c:pt>
                <c:pt idx="14">
                  <c:v>4.5920225124458112</c:v>
                </c:pt>
                <c:pt idx="15">
                  <c:v>5.9473211127897621</c:v>
                </c:pt>
                <c:pt idx="16">
                  <c:v>7.7023404252032845</c:v>
                </c:pt>
                <c:pt idx="17">
                  <c:v>9.974777986456429</c:v>
                </c:pt>
                <c:pt idx="18">
                  <c:v>12.916856808778201</c:v>
                </c:pt>
                <c:pt idx="19">
                  <c:v>16.725364829759148</c:v>
                </c:pt>
                <c:pt idx="20">
                  <c:v>21.654553944107061</c:v>
                </c:pt>
                <c:pt idx="21">
                  <c:v>28.032672607410465</c:v>
                </c:pt>
                <c:pt idx="22">
                  <c:v>36.283087726078072</c:v>
                </c:pt>
                <c:pt idx="23">
                  <c:v>46.951156250943285</c:v>
                </c:pt>
                <c:pt idx="24">
                  <c:v>60.738221785212126</c:v>
                </c:pt>
                <c:pt idx="25">
                  <c:v>78.544308157366459</c:v>
                </c:pt>
                <c:pt idx="26">
                  <c:v>101.52120508207864</c:v>
                </c:pt>
                <c:pt idx="27">
                  <c:v>131.13759163928358</c:v>
                </c:pt>
                <c:pt idx="28">
                  <c:v>169.25745339610887</c:v>
                </c:pt>
                <c:pt idx="29">
                  <c:v>218.23204816174473</c:v>
                </c:pt>
                <c:pt idx="30">
                  <c:v>281.0036514211593</c:v>
                </c:pt>
                <c:pt idx="31">
                  <c:v>361.21567906055651</c:v>
                </c:pt>
                <c:pt idx="32">
                  <c:v>463.31778866856013</c:v>
                </c:pt>
                <c:pt idx="33">
                  <c:v>592.64539729411581</c:v>
                </c:pt>
                <c:pt idx="34">
                  <c:v>755.44021782067102</c:v>
                </c:pt>
                <c:pt idx="35">
                  <c:v>958.76246427763067</c:v>
                </c:pt>
                <c:pt idx="36">
                  <c:v>1210.2292654804742</c:v>
                </c:pt>
                <c:pt idx="37">
                  <c:v>1517.5047415121728</c:v>
                </c:pt>
                <c:pt idx="38">
                  <c:v>1887.4780235265077</c:v>
                </c:pt>
                <c:pt idx="39">
                  <c:v>2325.1136885506444</c:v>
                </c:pt>
                <c:pt idx="40">
                  <c:v>2832.0592826513116</c:v>
                </c:pt>
                <c:pt idx="41">
                  <c:v>3405.2424178096699</c:v>
                </c:pt>
                <c:pt idx="42">
                  <c:v>4035.841569001378</c:v>
                </c:pt>
                <c:pt idx="43">
                  <c:v>4709.0813124836568</c:v>
                </c:pt>
                <c:pt idx="44">
                  <c:v>5405.1858723556225</c:v>
                </c:pt>
                <c:pt idx="45">
                  <c:v>6101.4962119979273</c:v>
                </c:pt>
                <c:pt idx="46">
                  <c:v>6775.3267077044529</c:v>
                </c:pt>
                <c:pt idx="47">
                  <c:v>7406.8288602536086</c:v>
                </c:pt>
                <c:pt idx="48">
                  <c:v>7981.1264507564638</c:v>
                </c:pt>
                <c:pt idx="49">
                  <c:v>8489.2909372285667</c:v>
                </c:pt>
                <c:pt idx="50">
                  <c:v>8928.1550320698661</c:v>
                </c:pt>
                <c:pt idx="51">
                  <c:v>9299.2942359118097</c:v>
                </c:pt>
                <c:pt idx="52">
                  <c:v>9607.6268354438034</c:v>
                </c:pt>
                <c:pt idx="53">
                  <c:v>9860.0187302925078</c:v>
                </c:pt>
                <c:pt idx="54">
                  <c:v>10064.12843630878</c:v>
                </c:pt>
                <c:pt idx="55">
                  <c:v>10227.579208985562</c:v>
                </c:pt>
                <c:pt idx="56">
                  <c:v>10357.444057352119</c:v>
                </c:pt>
                <c:pt idx="57">
                  <c:v>10459.980404370523</c:v>
                </c:pt>
                <c:pt idx="58">
                  <c:v>10540.539819991731</c:v>
                </c:pt>
                <c:pt idx="59">
                  <c:v>10603.587114383055</c:v>
                </c:pt>
                <c:pt idx="60">
                  <c:v>10786.354219620207</c:v>
                </c:pt>
                <c:pt idx="61">
                  <c:v>10816.829145499038</c:v>
                </c:pt>
                <c:pt idx="62">
                  <c:v>10821.826797616888</c:v>
                </c:pt>
                <c:pt idx="63">
                  <c:v>10822.64412658855</c:v>
                </c:pt>
                <c:pt idx="64">
                  <c:v>10822.777734605355</c:v>
                </c:pt>
                <c:pt idx="65">
                  <c:v>10822.799573779879</c:v>
                </c:pt>
                <c:pt idx="66">
                  <c:v>10822.803143504394</c:v>
                </c:pt>
                <c:pt idx="67">
                  <c:v>10822.803726992937</c:v>
                </c:pt>
                <c:pt idx="68">
                  <c:v>10822.803822366897</c:v>
                </c:pt>
                <c:pt idx="69">
                  <c:v>10822.803837956222</c:v>
                </c:pt>
                <c:pt idx="70">
                  <c:v>10822.80384050437</c:v>
                </c:pt>
                <c:pt idx="71">
                  <c:v>10822.803840920878</c:v>
                </c:pt>
                <c:pt idx="72">
                  <c:v>10822.803840988958</c:v>
                </c:pt>
                <c:pt idx="73">
                  <c:v>10822.803841000086</c:v>
                </c:pt>
                <c:pt idx="74">
                  <c:v>10822.803841001905</c:v>
                </c:pt>
                <c:pt idx="75">
                  <c:v>10822.803841002202</c:v>
                </c:pt>
                <c:pt idx="76">
                  <c:v>10822.803841002251</c:v>
                </c:pt>
                <c:pt idx="77">
                  <c:v>10822.803841002258</c:v>
                </c:pt>
                <c:pt idx="78">
                  <c:v>10822.80384100226</c:v>
                </c:pt>
                <c:pt idx="79">
                  <c:v>10822.80384100226</c:v>
                </c:pt>
                <c:pt idx="80">
                  <c:v>10822.80384100226</c:v>
                </c:pt>
                <c:pt idx="81">
                  <c:v>10822.80384100226</c:v>
                </c:pt>
                <c:pt idx="82">
                  <c:v>10822.80384100226</c:v>
                </c:pt>
                <c:pt idx="83">
                  <c:v>10822.80384100226</c:v>
                </c:pt>
                <c:pt idx="84">
                  <c:v>10822.80384100226</c:v>
                </c:pt>
                <c:pt idx="85">
                  <c:v>10822.80384100226</c:v>
                </c:pt>
                <c:pt idx="86">
                  <c:v>10822.80384100226</c:v>
                </c:pt>
                <c:pt idx="87">
                  <c:v>10822.80384100226</c:v>
                </c:pt>
                <c:pt idx="88">
                  <c:v>10822.80384100226</c:v>
                </c:pt>
                <c:pt idx="89">
                  <c:v>10822.80384100226</c:v>
                </c:pt>
                <c:pt idx="90">
                  <c:v>10822.80384100226</c:v>
                </c:pt>
                <c:pt idx="91">
                  <c:v>10822.80384100226</c:v>
                </c:pt>
                <c:pt idx="92">
                  <c:v>10822.80384100226</c:v>
                </c:pt>
                <c:pt idx="93">
                  <c:v>10822.80384100226</c:v>
                </c:pt>
                <c:pt idx="94">
                  <c:v>10822.80384100226</c:v>
                </c:pt>
                <c:pt idx="95">
                  <c:v>10822.80384100226</c:v>
                </c:pt>
                <c:pt idx="96">
                  <c:v>10822.80384100226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3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3"/>
                <c:pt idx="0">
                  <c:v>0.33411521761595392</c:v>
                </c:pt>
                <c:pt idx="1">
                  <c:v>0.36448932830831338</c:v>
                </c:pt>
                <c:pt idx="2">
                  <c:v>0.36448932830831338</c:v>
                </c:pt>
                <c:pt idx="3">
                  <c:v>0.39486343900067283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0.45561166038539175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1.5490796453103319</c:v>
                </c:pt>
                <c:pt idx="15">
                  <c:v>1.5490796453103319</c:v>
                </c:pt>
                <c:pt idx="16">
                  <c:v>1.7313243094644886</c:v>
                </c:pt>
                <c:pt idx="17">
                  <c:v>1.761698420156848</c:v>
                </c:pt>
                <c:pt idx="18">
                  <c:v>1.822446641541567</c:v>
                </c:pt>
                <c:pt idx="19">
                  <c:v>2.0654395270804424</c:v>
                </c:pt>
                <c:pt idx="20">
                  <c:v>2.2476841912345993</c:v>
                </c:pt>
                <c:pt idx="21">
                  <c:v>2.9766628478512263</c:v>
                </c:pt>
                <c:pt idx="22">
                  <c:v>3.5841450616984152</c:v>
                </c:pt>
                <c:pt idx="23">
                  <c:v>4.525742493161558</c:v>
                </c:pt>
                <c:pt idx="24">
                  <c:v>6.5911820202420008</c:v>
                </c:pt>
                <c:pt idx="25">
                  <c:v>7.9580170013981757</c:v>
                </c:pt>
                <c:pt idx="26">
                  <c:v>12.180018387636139</c:v>
                </c:pt>
                <c:pt idx="27">
                  <c:v>15.612292895872757</c:v>
                </c:pt>
                <c:pt idx="28">
                  <c:v>17.586610090876121</c:v>
                </c:pt>
                <c:pt idx="29">
                  <c:v>29.128772153972712</c:v>
                </c:pt>
                <c:pt idx="30">
                  <c:v>38.909235796912455</c:v>
                </c:pt>
                <c:pt idx="31">
                  <c:v>50.512146081393766</c:v>
                </c:pt>
                <c:pt idx="32">
                  <c:v>66.185187198651235</c:v>
                </c:pt>
                <c:pt idx="33">
                  <c:v>82.830199858064219</c:v>
                </c:pt>
                <c:pt idx="34">
                  <c:v>106.27901331256571</c:v>
                </c:pt>
                <c:pt idx="35">
                  <c:v>140.69288072700897</c:v>
                </c:pt>
                <c:pt idx="36">
                  <c:v>195.03216475564003</c:v>
                </c:pt>
                <c:pt idx="37">
                  <c:v>236.40170351863358</c:v>
                </c:pt>
                <c:pt idx="38">
                  <c:v>415.42671193940021</c:v>
                </c:pt>
                <c:pt idx="39">
                  <c:v>580.14551422406544</c:v>
                </c:pt>
                <c:pt idx="40">
                  <c:v>774.20570743755002</c:v>
                </c:pt>
                <c:pt idx="41">
                  <c:v>1010.6074109561836</c:v>
                </c:pt>
                <c:pt idx="42">
                  <c:v>1069.8976750276693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4.92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8"/>
                <c:pt idx="0">
                  <c:v>43871</c:v>
                </c:pt>
                <c:pt idx="1">
                  <c:v>43872</c:v>
                </c:pt>
                <c:pt idx="2">
                  <c:v>43873</c:v>
                </c:pt>
                <c:pt idx="3">
                  <c:v>43874</c:v>
                </c:pt>
                <c:pt idx="4">
                  <c:v>43875</c:v>
                </c:pt>
                <c:pt idx="5">
                  <c:v>43876</c:v>
                </c:pt>
                <c:pt idx="6">
                  <c:v>43877</c:v>
                </c:pt>
                <c:pt idx="7">
                  <c:v>43878</c:v>
                </c:pt>
                <c:pt idx="8">
                  <c:v>43879</c:v>
                </c:pt>
                <c:pt idx="9">
                  <c:v>43880</c:v>
                </c:pt>
                <c:pt idx="10">
                  <c:v>43881</c:v>
                </c:pt>
                <c:pt idx="11">
                  <c:v>43882</c:v>
                </c:pt>
                <c:pt idx="12">
                  <c:v>43883</c:v>
                </c:pt>
                <c:pt idx="13">
                  <c:v>43884</c:v>
                </c:pt>
                <c:pt idx="14">
                  <c:v>43885</c:v>
                </c:pt>
                <c:pt idx="15">
                  <c:v>43886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43890</c:v>
                </c:pt>
                <c:pt idx="20">
                  <c:v>43891</c:v>
                </c:pt>
                <c:pt idx="21">
                  <c:v>43892</c:v>
                </c:pt>
                <c:pt idx="22">
                  <c:v>43893</c:v>
                </c:pt>
                <c:pt idx="23">
                  <c:v>43894</c:v>
                </c:pt>
                <c:pt idx="24">
                  <c:v>43895</c:v>
                </c:pt>
                <c:pt idx="25">
                  <c:v>43896</c:v>
                </c:pt>
                <c:pt idx="26">
                  <c:v>43897</c:v>
                </c:pt>
                <c:pt idx="27">
                  <c:v>43898</c:v>
                </c:pt>
                <c:pt idx="28">
                  <c:v>43899</c:v>
                </c:pt>
                <c:pt idx="29">
                  <c:v>43900</c:v>
                </c:pt>
                <c:pt idx="30">
                  <c:v>43901</c:v>
                </c:pt>
                <c:pt idx="31">
                  <c:v>43902</c:v>
                </c:pt>
                <c:pt idx="32">
                  <c:v>43903</c:v>
                </c:pt>
                <c:pt idx="33">
                  <c:v>43904</c:v>
                </c:pt>
                <c:pt idx="34">
                  <c:v>43905</c:v>
                </c:pt>
                <c:pt idx="35">
                  <c:v>43906</c:v>
                </c:pt>
                <c:pt idx="36">
                  <c:v>43907</c:v>
                </c:pt>
                <c:pt idx="37">
                  <c:v>43908</c:v>
                </c:pt>
                <c:pt idx="38">
                  <c:v>43909</c:v>
                </c:pt>
                <c:pt idx="39">
                  <c:v>43910</c:v>
                </c:pt>
                <c:pt idx="40">
                  <c:v>43911</c:v>
                </c:pt>
                <c:pt idx="41">
                  <c:v>43912</c:v>
                </c:pt>
                <c:pt idx="42">
                  <c:v>43913</c:v>
                </c:pt>
                <c:pt idx="43">
                  <c:v>43914</c:v>
                </c:pt>
                <c:pt idx="44">
                  <c:v>43915</c:v>
                </c:pt>
                <c:pt idx="45">
                  <c:v>43916</c:v>
                </c:pt>
                <c:pt idx="46">
                  <c:v>43917</c:v>
                </c:pt>
                <c:pt idx="47">
                  <c:v>43918</c:v>
                </c:pt>
                <c:pt idx="48">
                  <c:v>43919</c:v>
                </c:pt>
                <c:pt idx="49">
                  <c:v>43920</c:v>
                </c:pt>
                <c:pt idx="50">
                  <c:v>43921</c:v>
                </c:pt>
                <c:pt idx="51">
                  <c:v>43928</c:v>
                </c:pt>
                <c:pt idx="52">
                  <c:v>43935</c:v>
                </c:pt>
                <c:pt idx="53">
                  <c:v>43942</c:v>
                </c:pt>
                <c:pt idx="54">
                  <c:v>43949</c:v>
                </c:pt>
                <c:pt idx="55">
                  <c:v>43956</c:v>
                </c:pt>
                <c:pt idx="56">
                  <c:v>43963</c:v>
                </c:pt>
                <c:pt idx="57">
                  <c:v>43970</c:v>
                </c:pt>
                <c:pt idx="58">
                  <c:v>43977</c:v>
                </c:pt>
                <c:pt idx="59">
                  <c:v>43984</c:v>
                </c:pt>
                <c:pt idx="60">
                  <c:v>43991</c:v>
                </c:pt>
                <c:pt idx="61">
                  <c:v>43998</c:v>
                </c:pt>
                <c:pt idx="62">
                  <c:v>44005</c:v>
                </c:pt>
                <c:pt idx="63">
                  <c:v>44012</c:v>
                </c:pt>
                <c:pt idx="64">
                  <c:v>44019</c:v>
                </c:pt>
                <c:pt idx="65">
                  <c:v>44026</c:v>
                </c:pt>
                <c:pt idx="66">
                  <c:v>44033</c:v>
                </c:pt>
                <c:pt idx="67">
                  <c:v>44040</c:v>
                </c:pt>
                <c:pt idx="68">
                  <c:v>44047</c:v>
                </c:pt>
                <c:pt idx="69">
                  <c:v>44054</c:v>
                </c:pt>
                <c:pt idx="70">
                  <c:v>44061</c:v>
                </c:pt>
                <c:pt idx="71">
                  <c:v>44068</c:v>
                </c:pt>
                <c:pt idx="72">
                  <c:v>44075</c:v>
                </c:pt>
                <c:pt idx="73">
                  <c:v>44082</c:v>
                </c:pt>
                <c:pt idx="74">
                  <c:v>44089</c:v>
                </c:pt>
                <c:pt idx="75">
                  <c:v>44096</c:v>
                </c:pt>
                <c:pt idx="76">
                  <c:v>44103</c:v>
                </c:pt>
                <c:pt idx="77">
                  <c:v>44110</c:v>
                </c:pt>
                <c:pt idx="78">
                  <c:v>44117</c:v>
                </c:pt>
                <c:pt idx="79">
                  <c:v>44124</c:v>
                </c:pt>
                <c:pt idx="80">
                  <c:v>44131</c:v>
                </c:pt>
                <c:pt idx="81">
                  <c:v>44138</c:v>
                </c:pt>
                <c:pt idx="82">
                  <c:v>44145</c:v>
                </c:pt>
                <c:pt idx="83">
                  <c:v>44152</c:v>
                </c:pt>
                <c:pt idx="84">
                  <c:v>44159</c:v>
                </c:pt>
                <c:pt idx="85">
                  <c:v>44166</c:v>
                </c:pt>
                <c:pt idx="86">
                  <c:v>44173</c:v>
                </c:pt>
                <c:pt idx="87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8"/>
                <c:pt idx="0">
                  <c:v>1.0836347793099039E-3</c:v>
                </c:pt>
                <c:pt idx="1">
                  <c:v>1.5182437190588839E-3</c:v>
                </c:pt>
                <c:pt idx="2">
                  <c:v>2.1271594016447218E-3</c:v>
                </c:pt>
                <c:pt idx="3">
                  <c:v>2.9802902119717427E-3</c:v>
                </c:pt>
                <c:pt idx="4">
                  <c:v>4.1755822919064814E-3</c:v>
                </c:pt>
                <c:pt idx="5">
                  <c:v>5.8502644161182189E-3</c:v>
                </c:pt>
                <c:pt idx="6">
                  <c:v>8.1966026942549043E-3</c:v>
                </c:pt>
                <c:pt idx="7">
                  <c:v>1.1483973730492082E-2</c:v>
                </c:pt>
                <c:pt idx="8">
                  <c:v>1.6089790148880099E-2</c:v>
                </c:pt>
                <c:pt idx="9">
                  <c:v>2.2542828455184603E-2</c:v>
                </c:pt>
                <c:pt idx="10">
                  <c:v>3.1583932581452367E-2</c:v>
                </c:pt>
                <c:pt idx="11">
                  <c:v>4.4251060320297214E-2</c:v>
                </c:pt>
                <c:pt idx="12">
                  <c:v>6.1998432635991745E-2</c:v>
                </c:pt>
                <c:pt idx="13">
                  <c:v>8.6863457235688182E-2</c:v>
                </c:pt>
                <c:pt idx="14">
                  <c:v>0.12170057501717667</c:v>
                </c:pt>
                <c:pt idx="15">
                  <c:v>0.17050884630002369</c:v>
                </c:pt>
                <c:pt idx="16">
                  <c:v>0.23889082639085327</c:v>
                </c:pt>
                <c:pt idx="17">
                  <c:v>0.33469529531990772</c:v>
                </c:pt>
                <c:pt idx="18">
                  <c:v>0.46891740110605828</c:v>
                </c:pt>
                <c:pt idx="19">
                  <c:v>0.65695910647291522</c:v>
                </c:pt>
                <c:pt idx="20">
                  <c:v>0.92039375794738532</c:v>
                </c:pt>
                <c:pt idx="21">
                  <c:v>1.2894356168594008</c:v>
                </c:pt>
                <c:pt idx="22">
                  <c:v>1.8063944469565998</c:v>
                </c:pt>
                <c:pt idx="23">
                  <c:v>2.5305050522921926</c:v>
                </c:pt>
                <c:pt idx="24">
                  <c:v>3.5446730619201188</c:v>
                </c:pt>
                <c:pt idx="25">
                  <c:v>4.9648856270476101</c:v>
                </c:pt>
                <c:pt idx="26">
                  <c:v>6.9533169497434564</c:v>
                </c:pt>
                <c:pt idx="27">
                  <c:v>9.7365345347922929</c:v>
                </c:pt>
                <c:pt idx="28">
                  <c:v>13.630703714325175</c:v>
                </c:pt>
                <c:pt idx="29">
                  <c:v>19.076308996902515</c:v>
                </c:pt>
                <c:pt idx="30">
                  <c:v>26.68565057918784</c:v>
                </c:pt>
                <c:pt idx="31">
                  <c:v>37.307162951155085</c:v>
                </c:pt>
                <c:pt idx="32">
                  <c:v>52.11124184184203</c:v>
                </c:pt>
                <c:pt idx="33">
                  <c:v>72.702303677313651</c:v>
                </c:pt>
                <c:pt idx="34">
                  <c:v>101.26031833309068</c:v>
                </c:pt>
                <c:pt idx="35">
                  <c:v>140.71034125560007</c:v>
                </c:pt>
                <c:pt idx="36">
                  <c:v>194.90774318496787</c:v>
                </c:pt>
                <c:pt idx="37">
                  <c:v>268.80567616632618</c:v>
                </c:pt>
                <c:pt idx="38">
                  <c:v>368.53514688546142</c:v>
                </c:pt>
                <c:pt idx="39">
                  <c:v>501.27549710525466</c:v>
                </c:pt>
                <c:pt idx="40">
                  <c:v>674.73531803270805</c:v>
                </c:pt>
                <c:pt idx="41">
                  <c:v>896.04041716736913</c:v>
                </c:pt>
                <c:pt idx="42">
                  <c:v>1169.9166150132119</c:v>
                </c:pt>
                <c:pt idx="43">
                  <c:v>1496.356454404108</c:v>
                </c:pt>
                <c:pt idx="44">
                  <c:v>1868.4703213038326</c:v>
                </c:pt>
                <c:pt idx="45">
                  <c:v>2271.6781973185171</c:v>
                </c:pt>
                <c:pt idx="46">
                  <c:v>2685.2702746632672</c:v>
                </c:pt>
                <c:pt idx="47">
                  <c:v>3086.3301200715691</c:v>
                </c:pt>
                <c:pt idx="48">
                  <c:v>3454.5944474769171</c:v>
                </c:pt>
                <c:pt idx="49">
                  <c:v>3776.1920093945446</c:v>
                </c:pt>
                <c:pt idx="50">
                  <c:v>4044.9558685600687</c:v>
                </c:pt>
                <c:pt idx="51">
                  <c:v>4819.5258420146438</c:v>
                </c:pt>
                <c:pt idx="52">
                  <c:v>4908.2128667891293</c:v>
                </c:pt>
                <c:pt idx="53">
                  <c:v>4916.7502297493111</c:v>
                </c:pt>
                <c:pt idx="54">
                  <c:v>4917.557352550114</c:v>
                </c:pt>
                <c:pt idx="55">
                  <c:v>4917.6335266720407</c:v>
                </c:pt>
                <c:pt idx="56">
                  <c:v>4917.6407146153833</c:v>
                </c:pt>
                <c:pt idx="57">
                  <c:v>4917.6413928737602</c:v>
                </c:pt>
                <c:pt idx="58">
                  <c:v>4917.6414568745085</c:v>
                </c:pt>
                <c:pt idx="59">
                  <c:v>4917.641462913647</c:v>
                </c:pt>
                <c:pt idx="60">
                  <c:v>4917.6414634835019</c:v>
                </c:pt>
                <c:pt idx="61">
                  <c:v>4917.6414635372739</c:v>
                </c:pt>
                <c:pt idx="62">
                  <c:v>4917.6414635423471</c:v>
                </c:pt>
                <c:pt idx="63">
                  <c:v>4917.6414635428264</c:v>
                </c:pt>
                <c:pt idx="64">
                  <c:v>4917.641463542871</c:v>
                </c:pt>
                <c:pt idx="65">
                  <c:v>4917.6414635428755</c:v>
                </c:pt>
                <c:pt idx="66">
                  <c:v>4917.6414635428755</c:v>
                </c:pt>
                <c:pt idx="67">
                  <c:v>4917.6414635428755</c:v>
                </c:pt>
                <c:pt idx="68">
                  <c:v>4917.6414635428755</c:v>
                </c:pt>
                <c:pt idx="69">
                  <c:v>4917.6414635428755</c:v>
                </c:pt>
                <c:pt idx="70">
                  <c:v>4917.6414635428755</c:v>
                </c:pt>
                <c:pt idx="71">
                  <c:v>4917.6414635428755</c:v>
                </c:pt>
                <c:pt idx="72">
                  <c:v>4917.6414635428755</c:v>
                </c:pt>
                <c:pt idx="73">
                  <c:v>4917.6414635428755</c:v>
                </c:pt>
                <c:pt idx="74">
                  <c:v>4917.6414635428755</c:v>
                </c:pt>
                <c:pt idx="75">
                  <c:v>4917.6414635428755</c:v>
                </c:pt>
                <c:pt idx="76">
                  <c:v>4917.6414635428755</c:v>
                </c:pt>
                <c:pt idx="77">
                  <c:v>4917.6414635428755</c:v>
                </c:pt>
                <c:pt idx="78">
                  <c:v>4917.6414635428755</c:v>
                </c:pt>
                <c:pt idx="79">
                  <c:v>4917.6414635428755</c:v>
                </c:pt>
                <c:pt idx="80">
                  <c:v>4917.6414635428755</c:v>
                </c:pt>
                <c:pt idx="81">
                  <c:v>4917.6414635428755</c:v>
                </c:pt>
                <c:pt idx="82">
                  <c:v>4917.6414635428755</c:v>
                </c:pt>
                <c:pt idx="83">
                  <c:v>4917.6414635428755</c:v>
                </c:pt>
                <c:pt idx="84">
                  <c:v>4917.6414635428755</c:v>
                </c:pt>
                <c:pt idx="85">
                  <c:v>4917.6414635428755</c:v>
                </c:pt>
                <c:pt idx="86">
                  <c:v>4917.6414635428755</c:v>
                </c:pt>
                <c:pt idx="87">
                  <c:v>4917.6414635428755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564.88332476486516</c:v>
                </c:pt>
                <c:pt idx="60">
                  <c:v>565.52251381693293</c:v>
                </c:pt>
                <c:pt idx="61">
                  <c:v>565.91853312093133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563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13.27785095931347</c:v>
                </c:pt>
                <c:pt idx="2">
                  <c:v>16.483946092123499</c:v>
                </c:pt>
                <c:pt idx="3">
                  <c:v>20.435392777158128</c:v>
                </c:pt>
                <c:pt idx="4">
                  <c:v>25.290196365421465</c:v>
                </c:pt>
                <c:pt idx="5">
                  <c:v>31.231910410497697</c:v>
                </c:pt>
                <c:pt idx="6">
                  <c:v>38.469636635344116</c:v>
                </c:pt>
                <c:pt idx="7">
                  <c:v>47.235548152251951</c:v>
                </c:pt>
                <c:pt idx="8">
                  <c:v>57.778724493838759</c:v>
                </c:pt>
                <c:pt idx="9">
                  <c:v>70.353940715232071</c:v>
                </c:pt>
                <c:pt idx="10">
                  <c:v>85.204158561885393</c:v>
                </c:pt>
                <c:pt idx="11">
                  <c:v>102.53602795496396</c:v>
                </c:pt>
                <c:pt idx="12">
                  <c:v>122.48892495082372</c:v>
                </c:pt>
                <c:pt idx="13">
                  <c:v>145.10001194246928</c:v>
                </c:pt>
                <c:pt idx="14">
                  <c:v>170.27029014569609</c:v>
                </c:pt>
                <c:pt idx="15">
                  <c:v>197.73893836520026</c:v>
                </c:pt>
                <c:pt idx="16">
                  <c:v>227.07425896283078</c:v>
                </c:pt>
                <c:pt idx="17">
                  <c:v>257.68807624865849</c:v>
                </c:pt>
                <c:pt idx="18">
                  <c:v>288.87592756088998</c:v>
                </c:pt>
                <c:pt idx="19">
                  <c:v>319.87873504365183</c:v>
                </c:pt>
                <c:pt idx="20">
                  <c:v>349.95518889190674</c:v>
                </c:pt>
                <c:pt idx="21">
                  <c:v>378.45060373362571</c:v>
                </c:pt>
                <c:pt idx="22">
                  <c:v>404.84916877225407</c:v>
                </c:pt>
                <c:pt idx="23">
                  <c:v>428.80174224440805</c:v>
                </c:pt>
                <c:pt idx="24">
                  <c:v>450.128248761973</c:v>
                </c:pt>
                <c:pt idx="25">
                  <c:v>468.79956346160662</c:v>
                </c:pt>
                <c:pt idx="26">
                  <c:v>484.90681495455084</c:v>
                </c:pt>
                <c:pt idx="27">
                  <c:v>498.62617441165344</c:v>
                </c:pt>
                <c:pt idx="28">
                  <c:v>510.18538245825016</c:v>
                </c:pt>
                <c:pt idx="29">
                  <c:v>519.83574590776402</c:v>
                </c:pt>
                <c:pt idx="30">
                  <c:v>527.83105240122961</c:v>
                </c:pt>
                <c:pt idx="31">
                  <c:v>534.41324693297213</c:v>
                </c:pt>
                <c:pt idx="32">
                  <c:v>539.80383649202781</c:v>
                </c:pt>
                <c:pt idx="33">
                  <c:v>544.19967624197739</c:v>
                </c:pt>
                <c:pt idx="34">
                  <c:v>547.77182964308088</c:v>
                </c:pt>
                <c:pt idx="35">
                  <c:v>550.6664054356221</c:v>
                </c:pt>
                <c:pt idx="36">
                  <c:v>553.00653561549984</c:v>
                </c:pt>
                <c:pt idx="37">
                  <c:v>554.89490388132174</c:v>
                </c:pt>
                <c:pt idx="38">
                  <c:v>556.41643521642345</c:v>
                </c:pt>
                <c:pt idx="39">
                  <c:v>557.64090849606612</c:v>
                </c:pt>
                <c:pt idx="40">
                  <c:v>558.62536046657624</c:v>
                </c:pt>
                <c:pt idx="41">
                  <c:v>559.41622023438811</c:v>
                </c:pt>
                <c:pt idx="42">
                  <c:v>560.05115784926647</c:v>
                </c:pt>
                <c:pt idx="43">
                  <c:v>560.56065661551554</c:v>
                </c:pt>
                <c:pt idx="44">
                  <c:v>560.96933256348848</c:v>
                </c:pt>
                <c:pt idx="45">
                  <c:v>561.2970305190712</c:v>
                </c:pt>
                <c:pt idx="46">
                  <c:v>561.55972750431283</c:v>
                </c:pt>
                <c:pt idx="47">
                  <c:v>561.77027283765369</c:v>
                </c:pt>
                <c:pt idx="48">
                  <c:v>561.93899158987199</c:v>
                </c:pt>
                <c:pt idx="49">
                  <c:v>562.07417479971355</c:v>
                </c:pt>
                <c:pt idx="50">
                  <c:v>562.18247653435094</c:v>
                </c:pt>
                <c:pt idx="51">
                  <c:v>562.26923475255592</c:v>
                </c:pt>
                <c:pt idx="52">
                  <c:v>562.33873011710432</c:v>
                </c:pt>
                <c:pt idx="53">
                  <c:v>562.39439445162145</c:v>
                </c:pt>
                <c:pt idx="54">
                  <c:v>562.43897844423202</c:v>
                </c:pt>
                <c:pt idx="55">
                  <c:v>562.4746864403478</c:v>
                </c:pt>
                <c:pt idx="56">
                  <c:v>562.5032847031481</c:v>
                </c:pt>
                <c:pt idx="57">
                  <c:v>562.52618831304665</c:v>
                </c:pt>
                <c:pt idx="58">
                  <c:v>562.5445308880594</c:v>
                </c:pt>
                <c:pt idx="59">
                  <c:v>562.55922050013805</c:v>
                </c:pt>
                <c:pt idx="60">
                  <c:v>562.57098450705394</c:v>
                </c:pt>
                <c:pt idx="61">
                  <c:v>562.58040548847714</c:v>
                </c:pt>
                <c:pt idx="62">
                  <c:v>562.58795004586079</c:v>
                </c:pt>
                <c:pt idx="63">
                  <c:v>562.59399187968359</c:v>
                </c:pt>
                <c:pt idx="64">
                  <c:v>562.59883027887497</c:v>
                </c:pt>
                <c:pt idx="65">
                  <c:v>562.60270493303437</c:v>
                </c:pt>
                <c:pt idx="66">
                  <c:v>562.60580779783515</c:v>
                </c:pt>
                <c:pt idx="67">
                  <c:v>562.60829259926243</c:v>
                </c:pt>
                <c:pt idx="68">
                  <c:v>562.61028244616682</c:v>
                </c:pt>
                <c:pt idx="69">
                  <c:v>562.61187592739486</c:v>
                </c:pt>
                <c:pt idx="70">
                  <c:v>562.61315199501462</c:v>
                </c:pt>
                <c:pt idx="71">
                  <c:v>562.61417387521442</c:v>
                </c:pt>
                <c:pt idx="72">
                  <c:v>562.61499220041662</c:v>
                </c:pt>
                <c:pt idx="73">
                  <c:v>562.61564751764524</c:v>
                </c:pt>
                <c:pt idx="74">
                  <c:v>562.6161722973352</c:v>
                </c:pt>
                <c:pt idx="75">
                  <c:v>562.61659254205927</c:v>
                </c:pt>
                <c:pt idx="76">
                  <c:v>562.61692907484155</c:v>
                </c:pt>
                <c:pt idx="77">
                  <c:v>562.61719857086746</c:v>
                </c:pt>
                <c:pt idx="78">
                  <c:v>562.61741438369859</c:v>
                </c:pt>
                <c:pt idx="79">
                  <c:v>562.617587206915</c:v>
                </c:pt>
                <c:pt idx="80">
                  <c:v>562.61772560396912</c:v>
                </c:pt>
                <c:pt idx="81">
                  <c:v>562.61783643249601</c:v>
                </c:pt>
                <c:pt idx="82">
                  <c:v>562.61792518410505</c:v>
                </c:pt>
                <c:pt idx="83">
                  <c:v>562.6179962564886</c:v>
                </c:pt>
                <c:pt idx="84">
                  <c:v>562.61805317132632</c:v>
                </c:pt>
                <c:pt idx="85">
                  <c:v>562.61809874878463</c:v>
                </c:pt>
                <c:pt idx="86">
                  <c:v>562.61813524725699</c:v>
                </c:pt>
                <c:pt idx="87">
                  <c:v>562.61816447526792</c:v>
                </c:pt>
                <c:pt idx="88">
                  <c:v>562.61818788108599</c:v>
                </c:pt>
                <c:pt idx="89">
                  <c:v>562.61820662448599</c:v>
                </c:pt>
                <c:pt idx="90">
                  <c:v>562.61822163421766</c:v>
                </c:pt>
                <c:pt idx="91">
                  <c:v>562.61823365402381</c:v>
                </c:pt>
                <c:pt idx="92">
                  <c:v>562.61824327949523</c:v>
                </c:pt>
                <c:pt idx="93">
                  <c:v>562.61825098758106</c:v>
                </c:pt>
                <c:pt idx="94">
                  <c:v>562.61825716022281</c:v>
                </c:pt>
                <c:pt idx="95">
                  <c:v>562.61826210327968</c:v>
                </c:pt>
                <c:pt idx="96">
                  <c:v>562.6182660616837</c:v>
                </c:pt>
                <c:pt idx="97">
                  <c:v>562.61826923157719</c:v>
                </c:pt>
                <c:pt idx="98">
                  <c:v>562.61827177003056</c:v>
                </c:pt>
                <c:pt idx="99">
                  <c:v>562.61827380282614</c:v>
                </c:pt>
                <c:pt idx="100">
                  <c:v>562.61827543069057</c:v>
                </c:pt>
                <c:pt idx="101">
                  <c:v>562.61827673428593</c:v>
                </c:pt>
                <c:pt idx="102">
                  <c:v>562.61827777820599</c:v>
                </c:pt>
                <c:pt idx="103">
                  <c:v>562.61827861417817</c:v>
                </c:pt>
                <c:pt idx="104">
                  <c:v>562.61827928362527</c:v>
                </c:pt>
                <c:pt idx="105">
                  <c:v>562.61827981971931</c:v>
                </c:pt>
                <c:pt idx="106">
                  <c:v>562.61828024902366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9525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FF0000"/>
              </a:solidFill>
              <a:ln w="6350">
                <a:noFill/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>
                  <c:v>1.5770383220312254</c:v>
                </c:pt>
                <c:pt idx="1">
                  <c:v>1.9712979025390318</c:v>
                </c:pt>
                <c:pt idx="2">
                  <c:v>1.9712979025390318</c:v>
                </c:pt>
                <c:pt idx="3">
                  <c:v>2.365557483046838</c:v>
                </c:pt>
                <c:pt idx="4">
                  <c:v>3.548336224570257</c:v>
                </c:pt>
                <c:pt idx="5">
                  <c:v>3.548336224570257</c:v>
                </c:pt>
                <c:pt idx="6">
                  <c:v>4.731114966093676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5.1253745466014822</c:v>
                </c:pt>
                <c:pt idx="10">
                  <c:v>5.1253745466014822</c:v>
                </c:pt>
                <c:pt idx="11">
                  <c:v>5.5196341271092884</c:v>
                </c:pt>
                <c:pt idx="12">
                  <c:v>5.9138937076170954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9.856489512695159</c:v>
                </c:pt>
                <c:pt idx="35">
                  <c:v>10.645008673710771</c:v>
                </c:pt>
                <c:pt idx="36">
                  <c:v>11.827787415234191</c:v>
                </c:pt>
                <c:pt idx="37">
                  <c:v>15.376123639804447</c:v>
                </c:pt>
                <c:pt idx="38">
                  <c:v>20.501498186405929</c:v>
                </c:pt>
                <c:pt idx="39">
                  <c:v>21.68427692792935</c:v>
                </c:pt>
                <c:pt idx="40">
                  <c:v>23.655574830468382</c:v>
                </c:pt>
                <c:pt idx="41">
                  <c:v>24.838353571991799</c:v>
                </c:pt>
                <c:pt idx="42">
                  <c:v>29.963728118593281</c:v>
                </c:pt>
                <c:pt idx="43">
                  <c:v>35.87762182621038</c:v>
                </c:pt>
                <c:pt idx="44">
                  <c:v>42.185775114335279</c:v>
                </c:pt>
                <c:pt idx="45">
                  <c:v>50.465226304999213</c:v>
                </c:pt>
                <c:pt idx="46">
                  <c:v>57.167639173631919</c:v>
                </c:pt>
                <c:pt idx="47">
                  <c:v>78.851916101561272</c:v>
                </c:pt>
                <c:pt idx="48">
                  <c:v>98.95915470745939</c:v>
                </c:pt>
                <c:pt idx="49">
                  <c:v>124.58602744046681</c:v>
                </c:pt>
                <c:pt idx="50">
                  <c:v>148.635861851443</c:v>
                </c:pt>
                <c:pt idx="51">
                  <c:v>179.78236871155968</c:v>
                </c:pt>
                <c:pt idx="52">
                  <c:v>223.93944172843399</c:v>
                </c:pt>
                <c:pt idx="53">
                  <c:v>279.92430216054248</c:v>
                </c:pt>
                <c:pt idx="54">
                  <c:v>345.76565210534613</c:v>
                </c:pt>
                <c:pt idx="55">
                  <c:v>423.04052988487621</c:v>
                </c:pt>
                <c:pt idx="56">
                  <c:v>533.82747200756978</c:v>
                </c:pt>
                <c:pt idx="57">
                  <c:v>674.57814224885669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84.7 G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3"/>
                <c:pt idx="0">
                  <c:v>43856</c:v>
                </c:pt>
                <c:pt idx="1">
                  <c:v>43857</c:v>
                </c:pt>
                <c:pt idx="2">
                  <c:v>43858</c:v>
                </c:pt>
                <c:pt idx="3">
                  <c:v>43859</c:v>
                </c:pt>
                <c:pt idx="4">
                  <c:v>43860</c:v>
                </c:pt>
                <c:pt idx="5">
                  <c:v>43861</c:v>
                </c:pt>
                <c:pt idx="6">
                  <c:v>43862</c:v>
                </c:pt>
                <c:pt idx="7">
                  <c:v>43863</c:v>
                </c:pt>
                <c:pt idx="8">
                  <c:v>43864</c:v>
                </c:pt>
                <c:pt idx="9">
                  <c:v>43865</c:v>
                </c:pt>
                <c:pt idx="10">
                  <c:v>43866</c:v>
                </c:pt>
                <c:pt idx="11">
                  <c:v>43867</c:v>
                </c:pt>
                <c:pt idx="12">
                  <c:v>43868</c:v>
                </c:pt>
                <c:pt idx="13">
                  <c:v>43869</c:v>
                </c:pt>
                <c:pt idx="14">
                  <c:v>43870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43876</c:v>
                </c:pt>
                <c:pt idx="21">
                  <c:v>43877</c:v>
                </c:pt>
                <c:pt idx="22">
                  <c:v>43878</c:v>
                </c:pt>
                <c:pt idx="23">
                  <c:v>43879</c:v>
                </c:pt>
                <c:pt idx="24">
                  <c:v>43880</c:v>
                </c:pt>
                <c:pt idx="25">
                  <c:v>43881</c:v>
                </c:pt>
                <c:pt idx="26">
                  <c:v>43882</c:v>
                </c:pt>
                <c:pt idx="27">
                  <c:v>43883</c:v>
                </c:pt>
                <c:pt idx="28">
                  <c:v>43884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  <c:pt idx="33">
                  <c:v>43889</c:v>
                </c:pt>
                <c:pt idx="34">
                  <c:v>43890</c:v>
                </c:pt>
                <c:pt idx="35">
                  <c:v>43891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43897</c:v>
                </c:pt>
                <c:pt idx="42">
                  <c:v>43898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43904</c:v>
                </c:pt>
                <c:pt idx="49">
                  <c:v>43905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43911</c:v>
                </c:pt>
                <c:pt idx="56">
                  <c:v>43912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43918</c:v>
                </c:pt>
                <c:pt idx="63">
                  <c:v>43919</c:v>
                </c:pt>
                <c:pt idx="64">
                  <c:v>43920</c:v>
                </c:pt>
                <c:pt idx="65">
                  <c:v>43921</c:v>
                </c:pt>
                <c:pt idx="66">
                  <c:v>43928</c:v>
                </c:pt>
                <c:pt idx="67">
                  <c:v>43935</c:v>
                </c:pt>
                <c:pt idx="68">
                  <c:v>43942</c:v>
                </c:pt>
                <c:pt idx="69">
                  <c:v>43949</c:v>
                </c:pt>
                <c:pt idx="70">
                  <c:v>43956</c:v>
                </c:pt>
                <c:pt idx="71">
                  <c:v>43963</c:v>
                </c:pt>
                <c:pt idx="72">
                  <c:v>43970</c:v>
                </c:pt>
                <c:pt idx="73">
                  <c:v>43977</c:v>
                </c:pt>
                <c:pt idx="74">
                  <c:v>43984</c:v>
                </c:pt>
                <c:pt idx="75">
                  <c:v>43991</c:v>
                </c:pt>
                <c:pt idx="76">
                  <c:v>43998</c:v>
                </c:pt>
                <c:pt idx="77">
                  <c:v>44005</c:v>
                </c:pt>
                <c:pt idx="78">
                  <c:v>44012</c:v>
                </c:pt>
                <c:pt idx="79">
                  <c:v>44019</c:v>
                </c:pt>
                <c:pt idx="80">
                  <c:v>44026</c:v>
                </c:pt>
                <c:pt idx="81">
                  <c:v>44033</c:v>
                </c:pt>
                <c:pt idx="82">
                  <c:v>44040</c:v>
                </c:pt>
                <c:pt idx="83">
                  <c:v>44047</c:v>
                </c:pt>
                <c:pt idx="84">
                  <c:v>44054</c:v>
                </c:pt>
                <c:pt idx="85">
                  <c:v>44061</c:v>
                </c:pt>
                <c:pt idx="86">
                  <c:v>44068</c:v>
                </c:pt>
                <c:pt idx="87">
                  <c:v>44075</c:v>
                </c:pt>
                <c:pt idx="88">
                  <c:v>44082</c:v>
                </c:pt>
                <c:pt idx="89">
                  <c:v>44089</c:v>
                </c:pt>
                <c:pt idx="90">
                  <c:v>44096</c:v>
                </c:pt>
                <c:pt idx="91">
                  <c:v>44103</c:v>
                </c:pt>
                <c:pt idx="92">
                  <c:v>44110</c:v>
                </c:pt>
                <c:pt idx="93">
                  <c:v>44117</c:v>
                </c:pt>
                <c:pt idx="94">
                  <c:v>44124</c:v>
                </c:pt>
                <c:pt idx="95">
                  <c:v>44131</c:v>
                </c:pt>
                <c:pt idx="96">
                  <c:v>44138</c:v>
                </c:pt>
                <c:pt idx="97">
                  <c:v>44145</c:v>
                </c:pt>
                <c:pt idx="98">
                  <c:v>44152</c:v>
                </c:pt>
                <c:pt idx="99">
                  <c:v>44159</c:v>
                </c:pt>
                <c:pt idx="100">
                  <c:v>44166</c:v>
                </c:pt>
                <c:pt idx="101">
                  <c:v>44173</c:v>
                </c:pt>
                <c:pt idx="102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3"/>
                <c:pt idx="0">
                  <c:v>3.2032723800578824E-3</c:v>
                </c:pt>
                <c:pt idx="1">
                  <c:v>3.9707683672117553E-3</c:v>
                </c:pt>
                <c:pt idx="2">
                  <c:v>4.9221544581121643E-3</c:v>
                </c:pt>
                <c:pt idx="3">
                  <c:v>6.1014902580494353E-3</c:v>
                </c:pt>
                <c:pt idx="4">
                  <c:v>7.5633919426718868E-3</c:v>
                </c:pt>
                <c:pt idx="5">
                  <c:v>9.3755615856316084E-3</c:v>
                </c:pt>
                <c:pt idx="6">
                  <c:v>1.1621922506758019E-2</c:v>
                </c:pt>
                <c:pt idx="7">
                  <c:v>1.4406505841749894E-2</c:v>
                </c:pt>
                <c:pt idx="8">
                  <c:v>1.7858268324168026E-2</c:v>
                </c:pt>
                <c:pt idx="9">
                  <c:v>2.2137064395848161E-2</c:v>
                </c:pt>
                <c:pt idx="10">
                  <c:v>2.7441049219913801E-2</c:v>
                </c:pt>
                <c:pt idx="11">
                  <c:v>3.401585543704469E-2</c:v>
                </c:pt>
                <c:pt idx="12">
                  <c:v>4.2165968649413639E-2</c:v>
                </c:pt>
                <c:pt idx="13">
                  <c:v>5.2268828441898008E-2</c:v>
                </c:pt>
                <c:pt idx="14">
                  <c:v>6.4792307972426466E-2</c:v>
                </c:pt>
                <c:pt idx="15">
                  <c:v>8.0316381628108446E-2</c:v>
                </c:pt>
                <c:pt idx="16">
                  <c:v>9.9559984197150314E-2</c:v>
                </c:pt>
                <c:pt idx="17">
                  <c:v>0.12341430543065314</c:v>
                </c:pt>
                <c:pt idx="18">
                  <c:v>0.15298406189748553</c:v>
                </c:pt>
                <c:pt idx="19">
                  <c:v>0.18963865747154052</c:v>
                </c:pt>
                <c:pt idx="20">
                  <c:v>0.23507560174276967</c:v>
                </c:pt>
                <c:pt idx="21">
                  <c:v>0.29139912331962836</c:v>
                </c:pt>
                <c:pt idx="22">
                  <c:v>0.36121761868060848</c:v>
                </c:pt>
                <c:pt idx="23">
                  <c:v>0.44776444952494082</c:v>
                </c:pt>
                <c:pt idx="24">
                  <c:v>0.55504768286400186</c:v>
                </c:pt>
                <c:pt idx="25">
                  <c:v>0.68803570846113715</c:v>
                </c:pt>
                <c:pt idx="26">
                  <c:v>0.85288732974214054</c:v>
                </c:pt>
                <c:pt idx="27">
                  <c:v>1.0572369839078302</c:v>
                </c:pt>
                <c:pt idx="28">
                  <c:v>1.3105483000665699</c:v>
                </c:pt>
                <c:pt idx="29">
                  <c:v>1.6245523690040344</c:v>
                </c:pt>
                <c:pt idx="30">
                  <c:v>2.0137910212849235</c:v>
                </c:pt>
                <c:pt idx="31">
                  <c:v>2.4962902734182233</c:v>
                </c:pt>
                <c:pt idx="32">
                  <c:v>3.0943951300258861</c:v>
                </c:pt>
                <c:pt idx="33">
                  <c:v>3.8358044025064792</c:v>
                </c:pt>
                <c:pt idx="34">
                  <c:v>4.7548534676417136</c:v>
                </c:pt>
                <c:pt idx="35">
                  <c:v>5.894104371931002</c:v>
                </c:pt>
                <c:pt idx="36">
                  <c:v>7.306316920915461</c:v>
                </c:pt>
                <c:pt idx="37">
                  <c:v>9.0568920365340286</c:v>
                </c:pt>
                <c:pt idx="38">
                  <c:v>11.226900536741196</c:v>
                </c:pt>
                <c:pt idx="39">
                  <c:v>13.916837603083698</c:v>
                </c:pt>
                <c:pt idx="40">
                  <c:v>17.25127680924026</c:v>
                </c:pt>
                <c:pt idx="41">
                  <c:v>21.384639243061851</c:v>
                </c:pt>
                <c:pt idx="42">
                  <c:v>26.508344895701267</c:v>
                </c:pt>
                <c:pt idx="43">
                  <c:v>32.859677505537057</c:v>
                </c:pt>
                <c:pt idx="44">
                  <c:v>40.732773396334963</c:v>
                </c:pt>
                <c:pt idx="45">
                  <c:v>50.49224321330113</c:v>
                </c:pt>
                <c:pt idx="46">
                  <c:v>62.590057392707479</c:v>
                </c:pt>
                <c:pt idx="47">
                  <c:v>77.586477347402308</c:v>
                </c:pt>
                <c:pt idx="48">
                  <c:v>96.176001711494337</c:v>
                </c:pt>
                <c:pt idx="49">
                  <c:v>119.2195292396858</c:v>
                </c:pt>
                <c:pt idx="50">
                  <c:v>147.78422785594856</c:v>
                </c:pt>
                <c:pt idx="51">
                  <c:v>183.19295622536029</c:v>
                </c:pt>
                <c:pt idx="52">
                  <c:v>227.08552660935237</c:v>
                </c:pt>
                <c:pt idx="53">
                  <c:v>281.49464614570064</c:v>
                </c:pt>
                <c:pt idx="54">
                  <c:v>348.94005346632031</c:v>
                </c:pt>
                <c:pt idx="55">
                  <c:v>432.54521020915308</c:v>
                </c:pt>
                <c:pt idx="56">
                  <c:v>536.18195151873238</c:v>
                </c:pt>
                <c:pt idx="57">
                  <c:v>664.64979443680033</c:v>
                </c:pt>
                <c:pt idx="58">
                  <c:v>823.89820812324399</c:v>
                </c:pt>
                <c:pt idx="59">
                  <c:v>1021.3021394492929</c:v>
                </c:pt>
                <c:pt idx="60">
                  <c:v>1266.0035538092777</c:v>
                </c:pt>
                <c:pt idx="61">
                  <c:v>1569.3348082206915</c:v>
                </c:pt>
                <c:pt idx="62">
                  <c:v>1945.3434635068977</c:v>
                </c:pt>
                <c:pt idx="63">
                  <c:v>2411.4428400868997</c:v>
                </c:pt>
                <c:pt idx="64">
                  <c:v>2989.2184451864</c:v>
                </c:pt>
                <c:pt idx="65">
                  <c:v>3705.4276178129844</c:v>
                </c:pt>
                <c:pt idx="66">
                  <c:v>16664.91328837716</c:v>
                </c:pt>
                <c:pt idx="67">
                  <c:v>74949.294631472148</c:v>
                </c:pt>
                <c:pt idx="68">
                  <c:v>337078.45617904089</c:v>
                </c:pt>
                <c:pt idx="69" formatCode="0.00E+00">
                  <c:v>1515966.976140595</c:v>
                </c:pt>
                <c:pt idx="70" formatCode="0.00E+00">
                  <c:v>6817534.4412277648</c:v>
                </c:pt>
                <c:pt idx="71" formatCode="0.00E+00">
                  <c:v>30652779.694883805</c:v>
                </c:pt>
                <c:pt idx="72" formatCode="0.00E+00">
                  <c:v>137684543.96523103</c:v>
                </c:pt>
                <c:pt idx="73" formatCode="0.00E+00">
                  <c:v>615725812.8260783</c:v>
                </c:pt>
                <c:pt idx="74" formatCode="0.00E+00">
                  <c:v>2700511998.5739789</c:v>
                </c:pt>
                <c:pt idx="75" formatCode="0.00E+00">
                  <c:v>10926681457.68347</c:v>
                </c:pt>
                <c:pt idx="76" formatCode="0.00E+00">
                  <c:v>33861112821.491123</c:v>
                </c:pt>
                <c:pt idx="77" formatCode="0.00E+00">
                  <c:v>63493184222.197762</c:v>
                </c:pt>
                <c:pt idx="78" formatCode="0.00E+00">
                  <c:v>78832294136.517242</c:v>
                </c:pt>
                <c:pt idx="79" formatCode="0.00E+00">
                  <c:v>83307275081.296692</c:v>
                </c:pt>
                <c:pt idx="80" formatCode="0.00E+00">
                  <c:v>84372206502.717514</c:v>
                </c:pt>
                <c:pt idx="81" formatCode="0.00E+00">
                  <c:v>84612703408.221054</c:v>
                </c:pt>
                <c:pt idx="82" formatCode="0.00E+00">
                  <c:v>84666364092.313934</c:v>
                </c:pt>
                <c:pt idx="83" formatCode="0.00E+00">
                  <c:v>84678304743.123917</c:v>
                </c:pt>
                <c:pt idx="84" formatCode="0.00E+00">
                  <c:v>84680960192.775803</c:v>
                </c:pt>
                <c:pt idx="85" formatCode="0.00E+00">
                  <c:v>84681550652.0224</c:v>
                </c:pt>
                <c:pt idx="86" formatCode="0.00E+00">
                  <c:v>84681681941.173126</c:v>
                </c:pt>
                <c:pt idx="87" formatCode="0.00E+00">
                  <c:v>84681711133.24176</c:v>
                </c:pt>
                <c:pt idx="88" formatCode="0.00E+00">
                  <c:v>84681717624.072189</c:v>
                </c:pt>
                <c:pt idx="89" formatCode="0.00E+00">
                  <c:v>84681719067.302094</c:v>
                </c:pt>
                <c:pt idx="90" formatCode="0.00E+00">
                  <c:v>84681719388.20282</c:v>
                </c:pt>
                <c:pt idx="91" formatCode="0.00E+00">
                  <c:v>84681719459.554794</c:v>
                </c:pt>
                <c:pt idx="92" formatCode="0.00E+00">
                  <c:v>84681719475.41983</c:v>
                </c:pt>
                <c:pt idx="93" formatCode="0.00E+00">
                  <c:v>84681719478.947418</c:v>
                </c:pt>
                <c:pt idx="94" formatCode="0.00E+00">
                  <c:v>84681719479.731766</c:v>
                </c:pt>
                <c:pt idx="95" formatCode="0.00E+00">
                  <c:v>84681719479.906158</c:v>
                </c:pt>
                <c:pt idx="96" formatCode="0.00E+00">
                  <c:v>84681719479.944946</c:v>
                </c:pt>
                <c:pt idx="97" formatCode="0.00E+00">
                  <c:v>84681719479.953568</c:v>
                </c:pt>
                <c:pt idx="98" formatCode="0.00E+00">
                  <c:v>84681719479.955475</c:v>
                </c:pt>
                <c:pt idx="99" formatCode="0.00E+00">
                  <c:v>84681719479.955917</c:v>
                </c:pt>
                <c:pt idx="100" formatCode="0.00E+00">
                  <c:v>84681719479.955994</c:v>
                </c:pt>
                <c:pt idx="101" formatCode="0.00E+00">
                  <c:v>84681719479.956039</c:v>
                </c:pt>
                <c:pt idx="102" formatCode="0.00E+00">
                  <c:v>84681719479.956039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myData!$DH$11:$DH$12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myData!$DJ$11:$DJ$12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813360"/>
        <c:axId val="1251814536"/>
      </c:scatterChart>
      <c:valAx>
        <c:axId val="1251813360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814536"/>
        <c:crossesAt val="1.0000000000000002E-2"/>
        <c:crossBetween val="midCat"/>
        <c:majorUnit val="14"/>
        <c:minorUnit val="7"/>
      </c:valAx>
      <c:valAx>
        <c:axId val="1251814536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813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8"/>
  <sheetViews>
    <sheetView zoomScale="9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6"/>
  <sheetViews>
    <sheetView zoomScale="8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7"/>
  <sheetViews>
    <sheetView zoomScale="9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4"/>
  <sheetViews>
    <sheetView zoomScale="11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3"/>
  <sheetViews>
    <sheetView zoomScale="11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"/>
  <sheetViews>
    <sheetView zoomScale="11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2"/>
  <sheetViews>
    <sheetView zoomScale="11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3"/>
  <sheetViews>
    <sheetView zoomScale="11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5"/>
  <sheetViews>
    <sheetView zoomScale="11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6"/>
  <sheetViews>
    <sheetView zoomScale="8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8"/>
  <sheetViews>
    <sheetView zoomScale="85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9"/>
  <sheetViews>
    <sheetView zoomScale="85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1"/>
  <sheetViews>
    <sheetView zoomScale="112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74</xdr:col>
      <xdr:colOff>452006</xdr:colOff>
      <xdr:row>24</xdr:row>
      <xdr:rowOff>47524</xdr:rowOff>
    </xdr:from>
    <xdr:to>
      <xdr:col>85</xdr:col>
      <xdr:colOff>891029</xdr:colOff>
      <xdr:row>49</xdr:row>
      <xdr:rowOff>57165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0.60086</cdr:x>
      <cdr:y>0.67161</cdr:y>
    </cdr:from>
    <cdr:to>
      <cdr:x>0.82848</cdr:x>
      <cdr:y>0.81188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5584630" y="4080683"/>
          <a:ext cx="2115591" cy="852273"/>
        </a:xfrm>
        <a:prstGeom xmlns:a="http://schemas.openxmlformats.org/drawingml/2006/main" prst="wedgeRectCallout">
          <a:avLst>
            <a:gd name="adj1" fmla="val -40738"/>
            <a:gd name="adj2" fmla="val -169265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baseline="0"/>
            <a:t>For last 2 weesk Au, NSW, UK and US cases virtually straight line on Log Scale ==&gt; unlimited expoonetnial growth</a:t>
          </a:r>
          <a:endParaRPr lang="en-US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0.62936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60676" y="786216"/>
          <a:ext cx="3294503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707114" y="5775188"/>
          <a:ext cx="2316535" cy="270683"/>
        </a:xfrm>
        <a:prstGeom xmlns:a="http://schemas.openxmlformats.org/drawingml/2006/main" prst="wedgeRectCallout">
          <a:avLst>
            <a:gd name="adj1" fmla="val 31552"/>
            <a:gd name="adj2" fmla="val -88824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P117" totalsRowShown="0" headerRowDxfId="50">
  <autoFilter ref="B10:BP117"/>
  <tableColumns count="67">
    <tableColumn id="1" name="Date" dataDxfId="49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48">
      <calculatedColumnFormula>tblData[[#This Row],[New South Wales]]/$L$9</calculatedColumnFormula>
    </tableColumn>
    <tableColumn id="27" name="Italy"/>
    <tableColumn id="38" name="Italy Cases per Capita" dataDxfId="47">
      <calculatedColumnFormula>IF(ISNUMBER(tblData[Italy]),tblData[Italy]/$N$9,"")</calculatedColumnFormula>
    </tableColumn>
    <tableColumn id="28" name="US"/>
    <tableColumn id="39" name="US Cases Per Capita" dataDxfId="46">
      <calculatedColumnFormula>IF(ISNUMBER(tblData[US]),tblData[US]/$P$9,"")</calculatedColumnFormula>
    </tableColumn>
    <tableColumn id="49" name="SKorea" dataDxfId="45"/>
    <tableColumn id="50" name="SKorea Cases Per Capita" dataDxfId="44">
      <calculatedColumnFormula>IF(ISNUMBER(tblData[SKorea]),tblData[SKorea]/$R$9,"")</calculatedColumnFormula>
    </tableColumn>
    <tableColumn id="51" name="UK" dataDxfId="43"/>
    <tableColumn id="52" name="UK Cases Per Capita" dataDxfId="42">
      <calculatedColumnFormula>IF(ISNUMBER(tblData[UK]),tblData[UK]/$T$9,"")</calculatedColumnFormula>
    </tableColumn>
    <tableColumn id="31" name="China"/>
    <tableColumn id="40" name="China Cases Per Capita" dataDxfId="41">
      <calculatedColumnFormula>IF(ISNUMBER(tblData[China]),tblData[China]/$V$9,"")</calculatedColumnFormula>
    </tableColumn>
    <tableColumn id="61" name="Singapore" dataDxfId="40"/>
    <tableColumn id="60" name="Singapore Cases Per Capita" dataDxfId="2">
      <calculatedColumnFormula>IF(ISNUMBER(tblData[Singapore]),tblData[Singapore]/$X$9,"")</calculatedColumnFormula>
    </tableColumn>
    <tableColumn id="66" name="Hubei" dataDxfId="1"/>
    <tableColumn id="67" name="Hubei Cases Per Capita" dataDxfId="0"/>
    <tableColumn id="11" name="Days# Italy">
      <calculatedColumnFormula>IF($B11&lt;BU$13,"",$B11-BU$13)</calculatedColumnFormula>
    </tableColumn>
    <tableColumn id="26" name="Days# US"/>
    <tableColumn id="32" name="Days# China"/>
    <tableColumn id="54" name="Days# Skorea" dataDxfId="39">
      <calculatedColumnFormula>IF(tblData[[#This Row],[Date]]&lt;StartDt2Korea,"",tblData[[#This Row],[Date]]-StartDt2Korea)</calculatedColumnFormula>
    </tableColumn>
    <tableColumn id="53" name="Days# UK" dataDxfId="38">
      <calculatedColumnFormula>IF(tblData[[#This Row],[Date]]&lt;UKStart,"",tblData[[#This Row],[Date]]-UKStart)</calculatedColumnFormula>
    </tableColumn>
    <tableColumn id="65" name="Day# Singapore" dataDxfId="6">
      <calculatedColumnFormula>IF(tblData[[#This Row],[Date]]&lt;SingaporeStart,"",tblData[[#This Row],[Date]]-SingaporeStart)</calculatedColumnFormula>
    </tableColumn>
    <tableColumn id="13" name="Day# Aust" dataDxfId="37">
      <calculatedColumnFormula>IF(tblData[Date]&gt;=StartDt2Au,tblData[Date]-StartDt2Au,"")</calculatedColumnFormula>
    </tableColumn>
    <tableColumn id="14" name="Au">
      <calculatedColumnFormula>SUM(C11:K11)</calculatedColumnFormula>
    </tableColumn>
    <tableColumn id="42" name="Au Cases Per Capita" dataDxfId="36">
      <calculatedColumnFormula>IF(ISNUMBER(tblData[Au]),tblData[Au]/$AE$9,"")</calculatedColumnFormula>
    </tableColumn>
    <tableColumn id="19" name="Au LogiP(t)" dataDxfId="35">
      <calculatedColumnFormula>IF(ISNUMBER(tblData[[#This Row],[Day'# Aust]]),betaAu/(deltaAu+betaPodeltaAu*EXP(-betaAu*tblData[[#This Row],[Day'# Aust]])),"")</calculatedColumnFormula>
    </tableColumn>
    <tableColumn id="47" name="Au LogiP(t) Per Capita" dataDxfId="34">
      <calculatedColumnFormula>IF(ISNUMBER(tblData[Day'# Aust]),tblData[Au LogiP(t)]/$AI$9,"")</calculatedColumnFormula>
    </tableColumn>
    <tableColumn id="48" name="AU Sq Err" dataDxfId="33">
      <calculatedColumnFormula>IF(AND(tblData[Date]&gt;=StartDt2Au,ISNUMBER(tblData[NSW])),(tblData[[#This Row],[Au LogiP(t)]]-tblData[[#This Row],[Au]])^2,"")</calculatedColumnFormula>
    </tableColumn>
    <tableColumn id="15" name="Day # NSW" dataDxfId="32">
      <calculatedColumnFormula>IF(tblData[Date]&gt;StartDt2NSW,tblData[Date]-StartDt2NSW,"")</calculatedColumnFormula>
    </tableColumn>
    <tableColumn id="16" name="NSW">
      <calculatedColumnFormula>E11</calculatedColumnFormula>
    </tableColumn>
    <tableColumn id="17" name="NSW LogiP(t)" dataDxfId="31">
      <calculatedColumnFormula>IF(tblData[Date]&gt;StartDt2NSW,betaNSW/(deltaNSW+betaPodeltaNSW*EXP(-betaNSW*tblData[[#This Row],[Day '# NSW]])),"")</calculatedColumnFormula>
    </tableColumn>
    <tableColumn id="18" name="NSW Sq Err" dataDxfId="30">
      <calculatedColumnFormula>IF(AND(ISNUMBER(tblData[NSW]),tblData[Date]&gt;StartDt2NSW),(tblData[[#This Row],[NSW LogiP(t)]]-tblData[[#This Row],[NSW]])^2,"")</calculatedColumnFormula>
    </tableColumn>
    <tableColumn id="43" name="Nsw LogiP(t) Per Capita" dataDxfId="29">
      <calculatedColumnFormula>IF(AND(tblData[Date]&gt;StartDt2NSW,ISNUMBER(tblData[Day'# Aust])),tblData[NSW LogiP(t)]/$AL$9,"")</calculatedColumnFormula>
    </tableColumn>
    <tableColumn id="20" name="Italy LogiP(t)" dataDxfId="28">
      <calculatedColumnFormula>IF(AND(tblData[Date]&gt;StartDt2Italy,ISNUMBER(tblData[Days'# Italy])),betaItaly/(deltaItaly+betaPodeltaItaly*EXP(-betaItaly*tblData[Days'# Italy])),"")</calculatedColumnFormula>
    </tableColumn>
    <tableColumn id="21" name="Italy Sq Err" dataDxfId="27">
      <calculatedColumnFormula>IF(AND(tblData[Date]&gt;StartDt2Italy,ISNUMBER(tblData[Italy])),(tblData[[#This Row],[Italy LogiP(t)]]-tblData[[#This Row],[Italy]])^2,"")</calculatedColumnFormula>
    </tableColumn>
    <tableColumn id="44" name="Italy LogiP(t) Per Capita" dataDxfId="26">
      <calculatedColumnFormula>IF(AND(tblData[Date]&gt;StartDt2Italy,ISNUMBER(tblData[Days'# Italy])),tblData[[#This Row],[Italy LogiP(t)]]/$AS$9,"")</calculatedColumnFormula>
    </tableColumn>
    <tableColumn id="29" name="US LogiP(t)" dataDxfId="25">
      <calculatedColumnFormula>betaUS/(deltaUS+betaPodeltaUS*EXP(-betaUS*tblData[Days'# US]))</calculatedColumnFormula>
    </tableColumn>
    <tableColumn id="30" name="US Sq Err" dataDxfId="24">
      <calculatedColumnFormula>IF(ISNUMBER(tblData[US]),(tblData[[#This Row],[US LogiP(t)]]-tblData[US])^2,"")</calculatedColumnFormula>
    </tableColumn>
    <tableColumn id="46" name="US LogiP(t) Per Capita" dataDxfId="23">
      <calculatedColumnFormula>IF(ISNUMBER(tblData[[#This Row],[Days'# US]]),tblData[[#This Row],[US LogiP(t)]]/$AV$9,"")</calculatedColumnFormula>
    </tableColumn>
    <tableColumn id="41" name="SKorea LogiP(t)" dataDxfId="22">
      <calculatedColumnFormula>IF(tblData[Date]&gt;=StartDt2Korea,betaSKorea/(deltaSKorea+betaPodeltaSKorea*EXP(-betaSKorea*(tblData[Date]-StartDt2Korea))),"")</calculatedColumnFormula>
    </tableColumn>
    <tableColumn id="55" name="Skorea Sq Err" dataDxfId="21">
      <calculatedColumnFormula>IF(AND(tblData[Date]&gt;=StartDt2Korea,ISNUMBER(tblData[SKorea])),(tblData[[#This Row],[SKorea LogiP(t)]]-tblData[[#This Row],[SKorea]])^2,"")</calculatedColumnFormula>
    </tableColumn>
    <tableColumn id="56" name="Skorea LogiP(t) Per Capita" dataDxfId="20">
      <calculatedColumnFormula>IF(tblData[Date]&gt;=StartDt2Korea,tblData[[#This Row],[SKorea LogiP(t)]]/$AY$9,"")</calculatedColumnFormula>
    </tableColumn>
    <tableColumn id="57" name="UK LogiP(t)" dataDxfId="19">
      <calculatedColumnFormula>IF(ISNUMBER(tblData[Days'# UK]),betaUK/(deltaUK+betaPodeltaUK*EXP(-betaUK*tblData[Days'# UK])),"")</calculatedColumnFormula>
    </tableColumn>
    <tableColumn id="58" name="UK Sq Err" dataDxfId="18">
      <calculatedColumnFormula>IF(ISNUMBER(tblData[UK]),(tblData[[#This Row],[UK LogiP(t)]]-tblData[[#This Row],[UK]])^2,"")</calculatedColumnFormula>
    </tableColumn>
    <tableColumn id="59" name="UK LogiP(t) Per Capita" dataDxfId="17">
      <calculatedColumnFormula>IF(ISNUMBER(tblData[Days'# UK]),tblData[[#This Row],[UK LogiP(t)]]/$BB$9,"")</calculatedColumnFormula>
    </tableColumn>
    <tableColumn id="34" name="China LogiP(t)" dataDxfId="16">
      <calculatedColumnFormula>IF(ISNUMBER(tblData[Days'# China]),betaChina/(deltaChina+betaPodeltaChina*EXP(-betaChina*tblData[Days'# China])),"")</calculatedColumnFormula>
    </tableColumn>
    <tableColumn id="33" name="China Sq Err" dataDxfId="15">
      <calculatedColumnFormula>IF(ISNUMBER(tblData[China]),(tblData[[#This Row],[China LogiP(t)]]-tblData[[#This Row],[China]])^2,"")</calculatedColumnFormula>
    </tableColumn>
    <tableColumn id="45" name="China LogiP(t) Per Capita" dataDxfId="14">
      <calculatedColumnFormula>tblData[[#This Row],[China LogiP(t)]]/$BE$9</calculatedColumnFormula>
    </tableColumn>
    <tableColumn id="64" name="Singapore LogiP(t)" dataDxfId="5">
      <calculatedColumnFormula>IF(ISNUMBER(tblData[Day'# Singapore]),betaSingapore/(deltaSingapore+betaPodeltaSingapore*EXP(-betaSingapore*tblData[Day'# Singapore])),"")</calculatedColumnFormula>
    </tableColumn>
    <tableColumn id="63" name="Singapore Sq Err" dataDxfId="3">
      <calculatedColumnFormula>IF(AND(ISNUMBER(tblData[Singapore]),tblData[Date]&gt;=StartDt2Singapore),(tblData[[#This Row],[Singapore LogiP(t)]]-tblData[[#This Row],[Singapore]])^2,"")</calculatedColumnFormula>
    </tableColumn>
    <tableColumn id="62" name="Singapore LogiP(t) Per Capita" dataDxfId="4">
      <calculatedColumnFormula>IF(ISNUMBER(tblData[Day'# Singapore]),tblData[Singapore LogiP(t)]/$BH$9,"")</calculatedColumnFormula>
    </tableColumn>
    <tableColumn id="22" name="NSW Number of Tests" dataDxfId="13"/>
    <tableColumn id="23" name="NSW Under Investigation'" dataDxfId="12"/>
    <tableColumn id="24" name="Increase NSW Tests/Day " dataDxfId="11">
      <calculatedColumnFormula>IF(ISNUMBER(tblData[[#This Row],[NSW Number of Tests]]),tblData[[#This Row],[NSW Number of Tests]]-BJ10,"")</calculatedColumnFormula>
    </tableColumn>
    <tableColumn id="25" name="IncreasNSW Investig" dataDxfId="10">
      <calculatedColumnFormula>IF(ISNUMBER(tblData[[#This Row],[NSW Under Investigation'']]),tblData[[#This Row],[NSW Under Investigation'']]-BK10,"")</calculatedColumnFormula>
    </tableColumn>
    <tableColumn id="36" name="NSW Test Day Number" dataDxfId="9"/>
    <tableColumn id="2" name="NSW Test Logi" dataDxfId="8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7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A129"/>
  <sheetViews>
    <sheetView tabSelected="1" zoomScale="106" zoomScaleNormal="106" workbookViewId="0">
      <pane xSplit="2" ySplit="10" topLeftCell="AJ29" activePane="bottomRight" state="frozen"/>
      <selection pane="topRight" activeCell="C1" sqref="C1"/>
      <selection pane="bottomLeft" activeCell="A11" sqref="A11"/>
      <selection pane="bottomRight" activeCell="DN10" sqref="DN10:ER109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6" width="19.42578125" style="26" customWidth="1"/>
    <col min="27" max="27" width="14.85546875" customWidth="1"/>
    <col min="28" max="28" width="18" customWidth="1"/>
    <col min="29" max="29" width="15.5703125" customWidth="1"/>
    <col min="30" max="31" width="12.28515625" bestFit="1" customWidth="1"/>
    <col min="32" max="32" width="12.28515625" style="26" customWidth="1"/>
    <col min="33" max="33" width="14.5703125" customWidth="1"/>
    <col min="34" max="34" width="15" customWidth="1"/>
    <col min="35" max="35" width="12.28515625" bestFit="1" customWidth="1"/>
    <col min="36" max="36" width="16" customWidth="1"/>
    <col min="37" max="37" width="12.28515625" bestFit="1" customWidth="1"/>
    <col min="38" max="38" width="12.7109375" bestFit="1" customWidth="1"/>
    <col min="39" max="39" width="19.5703125" style="26" customWidth="1"/>
    <col min="40" max="40" width="15.42578125" customWidth="1"/>
    <col min="41" max="48" width="12.7109375" bestFit="1" customWidth="1"/>
    <col min="49" max="49" width="13.85546875" customWidth="1"/>
    <col min="50" max="55" width="11.42578125" bestFit="1" customWidth="1"/>
    <col min="56" max="56" width="12.28515625" bestFit="1" customWidth="1"/>
    <col min="57" max="57" width="12.85546875" customWidth="1"/>
    <col min="59" max="59" width="9.140625" style="26"/>
    <col min="60" max="60" width="11" style="26" bestFit="1" customWidth="1"/>
    <col min="61" max="61" width="9.140625" style="26"/>
    <col min="62" max="62" width="16.5703125" customWidth="1"/>
    <col min="64" max="64" width="10.7109375" bestFit="1" customWidth="1"/>
    <col min="65" max="65" width="14" customWidth="1"/>
    <col min="66" max="66" width="13" customWidth="1"/>
    <col min="69" max="69" width="14.5703125" customWidth="1"/>
    <col min="70" max="70" width="16.85546875" style="26" customWidth="1"/>
    <col min="71" max="71" width="11.140625" bestFit="1" customWidth="1"/>
    <col min="72" max="72" width="16.7109375" style="26" bestFit="1" customWidth="1"/>
    <col min="73" max="73" width="11.140625" bestFit="1" customWidth="1"/>
    <col min="74" max="74" width="13.28515625" bestFit="1" customWidth="1"/>
    <col min="75" max="75" width="13.140625" customWidth="1"/>
    <col min="77" max="77" width="13.5703125" customWidth="1"/>
    <col min="78" max="78" width="11.28515625" customWidth="1"/>
    <col min="81" max="81" width="13.5703125" customWidth="1"/>
    <col min="82" max="82" width="14.28515625" customWidth="1"/>
    <col min="83" max="85" width="14.140625" style="26" customWidth="1"/>
    <col min="86" max="86" width="13.42578125" customWidth="1"/>
    <col min="87" max="87" width="12.85546875" customWidth="1"/>
    <col min="89" max="89" width="62" customWidth="1"/>
    <col min="90" max="90" width="16.140625" customWidth="1"/>
    <col min="91" max="91" width="38.28515625" customWidth="1"/>
    <col min="92" max="92" width="15.7109375" customWidth="1"/>
    <col min="93" max="93" width="101.7109375" customWidth="1"/>
    <col min="95" max="95" width="11.140625" bestFit="1" customWidth="1"/>
    <col min="97" max="97" width="11.140625" bestFit="1" customWidth="1"/>
    <col min="99" max="99" width="44.42578125" customWidth="1"/>
    <col min="101" max="101" width="22.42578125" bestFit="1" customWidth="1"/>
    <col min="109" max="109" width="9.42578125" customWidth="1"/>
    <col min="110" max="110" width="12.140625" customWidth="1"/>
    <col min="112" max="112" width="12.5703125" customWidth="1"/>
    <col min="117" max="117" width="16.7109375" style="80" bestFit="1" customWidth="1"/>
    <col min="118" max="118" width="14.7109375" style="27" customWidth="1"/>
    <col min="119" max="119" width="16.7109375" style="27" bestFit="1" customWidth="1"/>
    <col min="120" max="120" width="11.140625" bestFit="1" customWidth="1"/>
    <col min="121" max="121" width="17.7109375" customWidth="1"/>
    <col min="124" max="124" width="17.42578125" bestFit="1" customWidth="1"/>
    <col min="125" max="125" width="9.5703125" bestFit="1" customWidth="1"/>
    <col min="126" max="126" width="11.7109375" style="107" customWidth="1"/>
    <col min="129" max="129" width="11.7109375" style="110" customWidth="1"/>
    <col min="131" max="131" width="11.140625" style="26" bestFit="1" customWidth="1"/>
    <col min="134" max="134" width="13.7109375" style="112" customWidth="1"/>
    <col min="136" max="136" width="13.140625" customWidth="1"/>
    <col min="142" max="142" width="9.140625" style="94"/>
    <col min="144" max="144" width="9.140625" style="94"/>
    <col min="146" max="146" width="143.28515625" bestFit="1" customWidth="1"/>
    <col min="154" max="154" width="12.85546875" bestFit="1" customWidth="1"/>
  </cols>
  <sheetData>
    <row r="1" spans="1:158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7" t="s">
        <v>843</v>
      </c>
      <c r="L1" s="26" t="s">
        <v>948</v>
      </c>
      <c r="W1" s="26"/>
      <c r="X1" s="26"/>
      <c r="AH1" s="2" t="s">
        <v>205</v>
      </c>
      <c r="AI1" s="3" t="s">
        <v>206</v>
      </c>
      <c r="AJ1" s="4" t="s">
        <v>207</v>
      </c>
      <c r="AK1" s="5" t="s">
        <v>208</v>
      </c>
      <c r="AL1" s="6" t="s">
        <v>209</v>
      </c>
      <c r="AM1" s="7" t="s">
        <v>210</v>
      </c>
      <c r="AN1" s="8" t="s">
        <v>211</v>
      </c>
      <c r="AO1" s="20"/>
      <c r="AP1" t="s">
        <v>977</v>
      </c>
      <c r="AQ1" t="s">
        <v>976</v>
      </c>
      <c r="BR1"/>
      <c r="BV1" s="26"/>
      <c r="CE1"/>
      <c r="CF1"/>
      <c r="CH1" s="26"/>
      <c r="CI1" s="26"/>
      <c r="DM1"/>
      <c r="DN1"/>
      <c r="DO1" s="80"/>
      <c r="DP1" s="27"/>
      <c r="DQ1" s="27"/>
      <c r="EA1" s="27"/>
      <c r="EC1" s="26"/>
      <c r="EF1" s="27"/>
      <c r="EL1"/>
      <c r="EP1" s="94"/>
      <c r="ET1" t="s">
        <v>1505</v>
      </c>
    </row>
    <row r="2" spans="1:158" ht="15.75" thickBot="1" x14ac:dyDescent="0.3">
      <c r="A2" s="9">
        <f>betaTests</f>
        <v>0.20209478104227763</v>
      </c>
      <c r="B2" s="38">
        <f>deltaTests</f>
        <v>1.0000000000000751E-10</v>
      </c>
      <c r="C2" s="9">
        <f>PoTests</f>
        <v>5.7886977342360797E-3</v>
      </c>
      <c r="D2" s="9">
        <f>beta/delta</f>
        <v>2020947810.4226243</v>
      </c>
      <c r="E2" s="9">
        <f>msqTests</f>
        <v>7900.5352282767808</v>
      </c>
      <c r="F2" s="42">
        <f>(beta/Po)-delta</f>
        <v>34.911959532184611</v>
      </c>
      <c r="G2" s="10">
        <f>delta*1000</f>
        <v>1.0000000000000751E-7</v>
      </c>
      <c r="J2">
        <v>1</v>
      </c>
      <c r="L2" s="43">
        <v>10000000</v>
      </c>
      <c r="W2" s="26"/>
      <c r="X2" s="26"/>
      <c r="AH2" s="9">
        <v>0.16833124287870344</v>
      </c>
      <c r="AI2" s="38">
        <v>5.7750090964641499E-7</v>
      </c>
      <c r="AJ2" s="9">
        <v>4943.2602326566102</v>
      </c>
      <c r="AK2" s="9">
        <f>AH2/AI2</f>
        <v>291482.21252459526</v>
      </c>
      <c r="AL2" s="9">
        <f>SQRT(SUM(tblData[NSW Test Sq Err])/COUNT(tblData[NSW Test Sq Err]))</f>
        <v>7900.5352282767808</v>
      </c>
      <c r="AM2" s="41">
        <f>(betaTest/PoTest)-deltaTest</f>
        <v>3.3475175857532143E-5</v>
      </c>
      <c r="AN2" s="10">
        <f>deltaTest*1000</f>
        <v>5.7750090964641494E-4</v>
      </c>
      <c r="AO2" s="51">
        <f t="array" ref="AO2">MAX(IF(ISNUMBER(tblData[NSW Number of Tests]),tblData[Date]))</f>
        <v>43913</v>
      </c>
      <c r="AP2" t="str">
        <f>"NSW COVID19 Tests at " &amp;TEXT(AO2,"ddd dd-mmm ")</f>
        <v xml:space="preserve">NSW COVID19 Tests at Mon 23-Mar </v>
      </c>
      <c r="AQ2" t="str">
        <f ca="1">"Logistic Forecast, Limit " &amp; Cengnotation(AK2,3) &amp; " at " &amp; TEXT(NOW(),"dd-mmm")</f>
        <v>Logistic Forecast, Limit 291 k at 23-Mar</v>
      </c>
      <c r="BR2"/>
      <c r="BV2" s="26"/>
      <c r="CE2"/>
      <c r="CF2"/>
      <c r="CH2" s="26"/>
      <c r="CI2" s="26"/>
      <c r="DM2"/>
      <c r="DN2"/>
      <c r="DO2" s="80"/>
      <c r="DP2" s="27"/>
      <c r="DQ2" s="27"/>
      <c r="EA2" s="27"/>
      <c r="EC2" s="26"/>
      <c r="EF2" s="27"/>
      <c r="EL2"/>
      <c r="EP2" s="94"/>
      <c r="ET2">
        <f t="array" aca="1" ref="ET2:EU6" ca="1">LOGEST(NSWCases,NSWDates,TRUE,TRUE)</f>
        <v>1.0899853703844042</v>
      </c>
      <c r="EU2" s="43">
        <f ca="1"/>
        <v>0</v>
      </c>
      <c r="EW2">
        <f t="array" aca="1" ref="EW2:EX6" ca="1">LINEST(LOG(NSWCases),NSWDates,TRUE,TRUE)</f>
        <v>3.7420668946161507E-2</v>
      </c>
      <c r="EX2">
        <f ca="1"/>
        <v>-1640.9868513301833</v>
      </c>
      <c r="EZ2">
        <f ca="1">EXP(EX2/10)</f>
        <v>5.4056330245174223E-72</v>
      </c>
      <c r="FA2">
        <f ca="1">LN(LogEstMNSW)</f>
        <v>-3.2855320815947104</v>
      </c>
      <c r="FB2">
        <f ca="1">LN(ABS(LogestBNSW))</f>
        <v>7.4030530784621238</v>
      </c>
    </row>
    <row r="3" spans="1:158" x14ac:dyDescent="0.25">
      <c r="B3" s="43">
        <v>9.9999999999999998E-13</v>
      </c>
      <c r="D3" t="str">
        <f>Cengnotation(D2)</f>
        <v>2.02 G</v>
      </c>
      <c r="L3" s="26" t="str">
        <f>"Cases per " &amp; Cengnotation(L2,2)  &amp; " population"</f>
        <v>Cases per 10 M population</v>
      </c>
      <c r="W3" s="26"/>
      <c r="X3" s="26"/>
      <c r="AM3"/>
      <c r="AO3" s="26"/>
      <c r="BR3"/>
      <c r="BV3" s="26"/>
      <c r="CE3"/>
      <c r="CF3"/>
      <c r="CH3" s="26"/>
      <c r="CI3" s="26"/>
      <c r="DM3"/>
      <c r="DN3"/>
      <c r="DO3" s="80"/>
      <c r="DP3" s="27"/>
      <c r="DQ3" s="27"/>
      <c r="EA3" s="27"/>
      <c r="EC3" s="26"/>
      <c r="EF3" s="27"/>
      <c r="EL3"/>
      <c r="EP3" s="94"/>
      <c r="ET3">
        <f ca="1"/>
        <v>6.8751130879921123E-3</v>
      </c>
      <c r="EU3">
        <f ca="1"/>
        <v>301.71092226250579</v>
      </c>
      <c r="EW3">
        <f ca="1"/>
        <v>2.9858236765758E-3</v>
      </c>
      <c r="EX3">
        <f ca="1"/>
        <v>131.03138866854724</v>
      </c>
    </row>
    <row r="4" spans="1:158" ht="18.75" x14ac:dyDescent="0.3">
      <c r="A4" s="31" t="s">
        <v>484</v>
      </c>
      <c r="W4" s="26"/>
      <c r="X4" s="26"/>
      <c r="AM4"/>
      <c r="AO4" s="26"/>
      <c r="BR4"/>
      <c r="BV4" s="26"/>
      <c r="CE4"/>
      <c r="CF4"/>
      <c r="CH4" s="26"/>
      <c r="CI4" s="26"/>
      <c r="CX4" s="17" t="s">
        <v>220</v>
      </c>
      <c r="DM4"/>
      <c r="DN4"/>
      <c r="DO4" s="80"/>
      <c r="DP4" s="27"/>
      <c r="DQ4" s="27"/>
      <c r="EA4" s="27"/>
      <c r="EC4" s="26"/>
      <c r="EF4" s="27"/>
      <c r="EL4"/>
      <c r="EP4" s="94"/>
      <c r="ET4">
        <f ca="1"/>
        <v>0.73717626085533972</v>
      </c>
      <c r="EU4">
        <f ca="1"/>
        <v>0.87652973530048273</v>
      </c>
      <c r="EW4">
        <f ca="1"/>
        <v>0.73717626085533983</v>
      </c>
      <c r="EX4">
        <f ca="1"/>
        <v>0.38067202726511756</v>
      </c>
    </row>
    <row r="5" spans="1:158" x14ac:dyDescent="0.25">
      <c r="W5" s="26"/>
      <c r="X5" s="26"/>
      <c r="AM5"/>
      <c r="AO5" s="26"/>
      <c r="AZ5">
        <f>COUNTA(tblData[Date])-COUNT(tblData[Skorea LogiP(t) Per Capita])</f>
        <v>28</v>
      </c>
      <c r="BR5"/>
      <c r="BV5" s="26"/>
      <c r="CE5"/>
      <c r="CF5"/>
      <c r="CH5" s="26"/>
      <c r="CI5" s="26"/>
      <c r="DM5"/>
      <c r="DN5"/>
      <c r="DO5" s="80"/>
      <c r="DP5" s="27"/>
      <c r="DQ5" s="27"/>
      <c r="EA5" s="27"/>
      <c r="EC5" s="26"/>
      <c r="EF5" s="27"/>
      <c r="EL5"/>
      <c r="EP5" s="94"/>
      <c r="ET5">
        <f ca="1"/>
        <v>157.07055512659434</v>
      </c>
      <c r="EU5">
        <f ca="1"/>
        <v>56</v>
      </c>
      <c r="EW5">
        <f ca="1"/>
        <v>157.0705551265944</v>
      </c>
      <c r="EX5">
        <f ca="1"/>
        <v>56</v>
      </c>
    </row>
    <row r="6" spans="1:158" s="26" customFormat="1" x14ac:dyDescent="0.25">
      <c r="M6" s="19"/>
      <c r="N6" s="19"/>
      <c r="O6" s="19"/>
      <c r="U6" s="19"/>
      <c r="AZ6" s="26">
        <f>COUNT(tblData[Skorea LogiP(t) Per Capita])</f>
        <v>79</v>
      </c>
      <c r="CX6" s="26" t="s">
        <v>1703</v>
      </c>
      <c r="DO6" s="80"/>
      <c r="DP6" s="27"/>
      <c r="DQ6" s="27"/>
      <c r="DV6" s="107"/>
      <c r="DY6" s="110"/>
      <c r="EA6" s="27"/>
      <c r="ED6" s="112"/>
      <c r="EF6" s="27"/>
      <c r="EN6" s="94"/>
      <c r="EP6" s="94"/>
      <c r="ET6" s="26">
        <f ca="1"/>
        <v>120.67799498052445</v>
      </c>
      <c r="EU6" s="26">
        <f ca="1"/>
        <v>43.025045104492321</v>
      </c>
      <c r="EW6" s="26">
        <f ca="1"/>
        <v>22.761281425235744</v>
      </c>
      <c r="EX6" s="26">
        <f ca="1"/>
        <v>8.1150267711595259</v>
      </c>
    </row>
    <row r="7" spans="1:158" s="26" customFormat="1" x14ac:dyDescent="0.25">
      <c r="B7" s="26" t="s">
        <v>1311</v>
      </c>
      <c r="M7" s="19"/>
      <c r="N7" s="19"/>
      <c r="O7" s="19"/>
      <c r="U7" s="19"/>
      <c r="CX7" s="26" t="str">
        <f>"COVID 19  " &amp; TEXT(MAX(CK11:CK21),"ddd dd-mmm-yyyy")&amp;IF(PopScaling=0,"",", "&amp;PerPersonLabel)</f>
        <v>COVID 19  Mon 23-Mar-2020, Cases per 10 M population</v>
      </c>
      <c r="DO7" s="80"/>
      <c r="DP7" s="27"/>
      <c r="DQ7" s="27"/>
      <c r="DV7" s="107"/>
      <c r="DY7" s="110"/>
      <c r="EA7" s="27"/>
      <c r="ED7" s="112"/>
      <c r="EF7" s="27"/>
      <c r="EN7" s="94"/>
      <c r="EP7" s="94"/>
    </row>
    <row r="8" spans="1:158" x14ac:dyDescent="0.25">
      <c r="B8" s="46" t="s">
        <v>841</v>
      </c>
      <c r="C8" s="44"/>
      <c r="D8" s="44"/>
      <c r="F8" s="44"/>
      <c r="G8" s="44"/>
      <c r="H8" s="44"/>
      <c r="I8" s="44"/>
      <c r="J8" s="44"/>
      <c r="K8" s="45">
        <f>NSWpop/L9</f>
        <v>10000000</v>
      </c>
      <c r="L8" s="45">
        <v>8080000</v>
      </c>
      <c r="N8" s="45">
        <v>60450000</v>
      </c>
      <c r="P8" s="45">
        <v>329227746</v>
      </c>
      <c r="Q8" s="45"/>
      <c r="R8" s="45">
        <v>51400000</v>
      </c>
      <c r="S8" s="45"/>
      <c r="T8" s="45">
        <v>66440000</v>
      </c>
      <c r="U8" s="45"/>
      <c r="V8" s="45">
        <v>1439323776</v>
      </c>
      <c r="W8" s="45"/>
      <c r="X8" s="45">
        <v>5850000</v>
      </c>
      <c r="Y8" s="45"/>
      <c r="Z8" s="45"/>
      <c r="AA8" s="44"/>
      <c r="AB8" s="44"/>
      <c r="AC8" s="44"/>
      <c r="AD8" s="44"/>
      <c r="AE8" s="45">
        <v>25364000</v>
      </c>
      <c r="AF8" s="45"/>
      <c r="AG8" s="44"/>
      <c r="AH8" s="44"/>
      <c r="AI8" s="45">
        <f>AuPop</f>
        <v>25364000</v>
      </c>
      <c r="AJ8" s="44"/>
      <c r="AK8" s="44"/>
      <c r="AL8" s="45">
        <f>L8</f>
        <v>8080000</v>
      </c>
      <c r="AM8" s="44"/>
      <c r="AN8" s="44"/>
      <c r="AO8" s="44"/>
      <c r="AP8" s="45">
        <f>AL8</f>
        <v>8080000</v>
      </c>
      <c r="AQ8" s="44"/>
      <c r="AR8" s="44"/>
      <c r="AS8" s="45">
        <f>ItalyPop</f>
        <v>60450000</v>
      </c>
      <c r="AT8" s="45"/>
      <c r="AU8" s="44"/>
      <c r="AV8" s="45">
        <f>USpop</f>
        <v>329227746</v>
      </c>
      <c r="AW8" s="45"/>
      <c r="AX8" s="45"/>
      <c r="AY8" s="45">
        <f>SKoreaPop</f>
        <v>51400000</v>
      </c>
      <c r="AZ8" s="45"/>
      <c r="BA8" s="45"/>
      <c r="BB8" s="45">
        <f>UKPop</f>
        <v>66440000</v>
      </c>
      <c r="BC8" s="45"/>
      <c r="BD8" s="45"/>
      <c r="BE8" s="45">
        <f>ChinaPop</f>
        <v>1439323776</v>
      </c>
      <c r="BF8" s="45"/>
      <c r="BG8" s="45"/>
      <c r="BH8" s="45">
        <f>SingaporePop</f>
        <v>5850000</v>
      </c>
      <c r="BI8" s="45"/>
      <c r="BJ8" s="45"/>
      <c r="BR8"/>
      <c r="BT8"/>
      <c r="BU8" s="26"/>
      <c r="BW8" s="26"/>
      <c r="CE8"/>
      <c r="CF8"/>
      <c r="CG8"/>
      <c r="CI8" s="26"/>
      <c r="CM8" s="26"/>
      <c r="CN8" s="26"/>
      <c r="CX8" s="26" t="str">
        <f>"COVID 19 Least Sq Err Logistic Eqns at " &amp; TEXT(MAX(CK16:CK23),"ddd dd-mmm-yyyy")&amp;IF(PopScaling=0,"",", "&amp;PerPersonLabel)</f>
        <v>COVID 19 Least Sq Err Logistic Eqns at Mon 23-Mar-2020, Cases per 10 M population</v>
      </c>
      <c r="DM8"/>
      <c r="DN8"/>
      <c r="DO8"/>
      <c r="DP8" s="80"/>
      <c r="DQ8" s="27" t="s">
        <v>1309</v>
      </c>
      <c r="DR8" s="27"/>
      <c r="EA8"/>
      <c r="EB8" s="27"/>
      <c r="EG8" s="27"/>
      <c r="EL8"/>
      <c r="EN8"/>
      <c r="EO8" s="94"/>
      <c r="EQ8" s="94"/>
    </row>
    <row r="9" spans="1:158" s="26" customFormat="1" ht="15.75" thickBot="1" x14ac:dyDescent="0.3">
      <c r="B9" s="46" t="s">
        <v>844</v>
      </c>
      <c r="C9" s="44"/>
      <c r="D9" s="44"/>
      <c r="F9" s="44"/>
      <c r="G9" s="44"/>
      <c r="H9" s="44"/>
      <c r="I9" s="44"/>
      <c r="J9" s="44"/>
      <c r="K9" s="44"/>
      <c r="L9" s="45">
        <f>IF(PopScaling=0,1,NSWpop/PerPerson)</f>
        <v>0.80800000000000005</v>
      </c>
      <c r="N9" s="45">
        <f>IF(PopScaling=0,1,ItalyPop/PerPerson)</f>
        <v>6.0449999999999999</v>
      </c>
      <c r="P9" s="45">
        <f>IF(PopScaling=0,1,USpop/PerPerson)</f>
        <v>32.922774599999997</v>
      </c>
      <c r="Q9" s="45"/>
      <c r="R9" s="45">
        <f>IF(PopScaling=0,1,SKoreaPop/PerPerson)</f>
        <v>5.14</v>
      </c>
      <c r="S9" s="45"/>
      <c r="T9" s="45">
        <f>IF(PopScaling=0,1,UKPop/PerPerson)</f>
        <v>6.6440000000000001</v>
      </c>
      <c r="U9" s="45"/>
      <c r="V9" s="45">
        <f>IF(PopScaling=0,1,ChinaPop/PerPerson)</f>
        <v>143.9323776</v>
      </c>
      <c r="W9" s="45"/>
      <c r="X9" s="45">
        <f>IF(PopScaling=0,1,SingaporePop/PerPerson)</f>
        <v>0.58499999999999996</v>
      </c>
      <c r="Y9" s="45"/>
      <c r="Z9" s="45"/>
      <c r="AA9" s="44"/>
      <c r="AB9" s="44"/>
      <c r="AC9" s="44"/>
      <c r="AD9" s="44"/>
      <c r="AE9" s="44">
        <f>IF(PopScaling=0,1,AuPop/PerPerson)</f>
        <v>2.5364</v>
      </c>
      <c r="AF9" s="44"/>
      <c r="AG9" s="44"/>
      <c r="AH9" s="44"/>
      <c r="AI9" s="44">
        <f>IF(PopScaling=0,1,AuPop/PerPerson)</f>
        <v>2.5364</v>
      </c>
      <c r="AJ9" s="44"/>
      <c r="AK9" s="44"/>
      <c r="AL9" s="45">
        <f>IF(PopScaling=0,1,AL8/10000000)</f>
        <v>0.80800000000000005</v>
      </c>
      <c r="AM9" s="44"/>
      <c r="AN9" s="44"/>
      <c r="AO9" s="44"/>
      <c r="AP9" s="45">
        <f>IF(PopScaling=0,1,AP8/10000000)</f>
        <v>0.80800000000000005</v>
      </c>
      <c r="AQ9" s="44"/>
      <c r="AR9" s="44"/>
      <c r="AS9" s="45">
        <f>IF(PopScaling=0,1,AS8/10000000)</f>
        <v>6.0449999999999999</v>
      </c>
      <c r="AT9" s="45"/>
      <c r="AU9" s="44"/>
      <c r="AV9" s="45">
        <f>IF(PopScaling=0,1,AV8/10000000)</f>
        <v>32.922774599999997</v>
      </c>
      <c r="AW9" s="45"/>
      <c r="AX9" s="45"/>
      <c r="AY9" s="45">
        <f>IF(PopScaling=0,1,AY8/10000000)</f>
        <v>5.14</v>
      </c>
      <c r="AZ9" s="45"/>
      <c r="BA9" s="45"/>
      <c r="BB9" s="45">
        <f>IF(PopScaling=0,1,BB8/10000000)</f>
        <v>6.6440000000000001</v>
      </c>
      <c r="BC9" s="45"/>
      <c r="BD9" s="45"/>
      <c r="BE9" s="45">
        <f>IF(PopScaling=0,1,BE8/10000000)</f>
        <v>143.9323776</v>
      </c>
      <c r="BF9" s="45"/>
      <c r="BG9" s="45"/>
      <c r="BH9" s="45">
        <f>IF(PopScaling=0,1,BH8/10000000)</f>
        <v>0.58499999999999996</v>
      </c>
      <c r="BI9" s="45"/>
      <c r="BJ9" s="45"/>
      <c r="CX9" s="26" t="str">
        <f>"COVID 19 Least Sq Err Logistic Eqns at " &amp; TEXT(MAX(CK16:CK23),"ddd dd-mmm-yyyy")&amp;IF(PopScaling=0,"",", "&amp;PerPersonLabel)</f>
        <v>COVID 19 Least Sq Err Logistic Eqns at Mon 23-Mar-2020, Cases per 10 M population</v>
      </c>
      <c r="DB9" s="26" t="s">
        <v>1022</v>
      </c>
      <c r="DP9" s="80"/>
      <c r="DQ9" s="27"/>
      <c r="DR9" s="27"/>
      <c r="DV9" s="107"/>
      <c r="DY9" s="110"/>
      <c r="EB9" s="27"/>
      <c r="ED9" s="112"/>
      <c r="EG9" s="27"/>
      <c r="EO9" s="94"/>
      <c r="EQ9" s="94"/>
    </row>
    <row r="10" spans="1:158" s="14" customFormat="1" ht="69.75" customHeight="1" x14ac:dyDescent="0.25">
      <c r="B10" s="14" t="s">
        <v>203</v>
      </c>
      <c r="C10" s="14" t="s">
        <v>66</v>
      </c>
      <c r="D10" s="67" t="s">
        <v>467</v>
      </c>
      <c r="E10" s="67" t="s">
        <v>47</v>
      </c>
      <c r="F10" s="67" t="s">
        <v>117</v>
      </c>
      <c r="G10" s="67" t="s">
        <v>50</v>
      </c>
      <c r="H10" s="67" t="s">
        <v>62</v>
      </c>
      <c r="I10" s="67" t="s">
        <v>106</v>
      </c>
      <c r="J10" s="67" t="s">
        <v>49</v>
      </c>
      <c r="K10" s="67" t="s">
        <v>95</v>
      </c>
      <c r="L10" s="29" t="s">
        <v>845</v>
      </c>
      <c r="M10" s="68" t="s">
        <v>58</v>
      </c>
      <c r="N10" s="73" t="s">
        <v>846</v>
      </c>
      <c r="O10" s="14" t="s">
        <v>37</v>
      </c>
      <c r="P10" s="29" t="s">
        <v>920</v>
      </c>
      <c r="Q10" s="29" t="s">
        <v>1266</v>
      </c>
      <c r="R10" s="29" t="s">
        <v>1264</v>
      </c>
      <c r="S10" s="29" t="s">
        <v>1236</v>
      </c>
      <c r="T10" s="29" t="s">
        <v>1263</v>
      </c>
      <c r="U10" s="68" t="s">
        <v>225</v>
      </c>
      <c r="V10" s="73" t="s">
        <v>919</v>
      </c>
      <c r="W10" s="73" t="s">
        <v>40</v>
      </c>
      <c r="X10" s="73" t="s">
        <v>1848</v>
      </c>
      <c r="Y10" s="73" t="s">
        <v>16</v>
      </c>
      <c r="Z10" s="73" t="s">
        <v>1893</v>
      </c>
      <c r="AA10" s="14" t="s">
        <v>212</v>
      </c>
      <c r="AB10" s="14" t="s">
        <v>483</v>
      </c>
      <c r="AC10" s="14" t="s">
        <v>643</v>
      </c>
      <c r="AD10" s="14" t="s">
        <v>1267</v>
      </c>
      <c r="AE10" s="14" t="s">
        <v>1262</v>
      </c>
      <c r="AF10" s="14" t="s">
        <v>1849</v>
      </c>
      <c r="AG10" s="50" t="s">
        <v>217</v>
      </c>
      <c r="AH10" s="50" t="s">
        <v>978</v>
      </c>
      <c r="AI10" s="72" t="s">
        <v>979</v>
      </c>
      <c r="AJ10" s="50" t="s">
        <v>980</v>
      </c>
      <c r="AK10" s="72" t="s">
        <v>982</v>
      </c>
      <c r="AL10" s="50" t="s">
        <v>981</v>
      </c>
      <c r="AM10" s="14" t="s">
        <v>213</v>
      </c>
      <c r="AN10" s="14" t="s">
        <v>202</v>
      </c>
      <c r="AO10" s="50" t="s">
        <v>214</v>
      </c>
      <c r="AP10" s="50" t="s">
        <v>215</v>
      </c>
      <c r="AQ10" s="72" t="s">
        <v>940</v>
      </c>
      <c r="AR10" s="30" t="s">
        <v>223</v>
      </c>
      <c r="AS10" s="30" t="s">
        <v>224</v>
      </c>
      <c r="AT10" s="30" t="s">
        <v>938</v>
      </c>
      <c r="AU10" s="14" t="s">
        <v>481</v>
      </c>
      <c r="AV10" s="14" t="s">
        <v>482</v>
      </c>
      <c r="AW10" s="14" t="s">
        <v>947</v>
      </c>
      <c r="AX10" s="78" t="s">
        <v>1268</v>
      </c>
      <c r="AY10" s="78" t="s">
        <v>1269</v>
      </c>
      <c r="AZ10" s="78" t="s">
        <v>1270</v>
      </c>
      <c r="BA10" s="79" t="s">
        <v>1271</v>
      </c>
      <c r="BB10" s="79" t="s">
        <v>1272</v>
      </c>
      <c r="BC10" s="79" t="s">
        <v>1273</v>
      </c>
      <c r="BD10" s="30" t="s">
        <v>661</v>
      </c>
      <c r="BE10" s="30" t="s">
        <v>662</v>
      </c>
      <c r="BF10" s="30" t="s">
        <v>939</v>
      </c>
      <c r="BG10" s="79" t="s">
        <v>1845</v>
      </c>
      <c r="BH10" s="79" t="s">
        <v>1846</v>
      </c>
      <c r="BI10" s="79" t="s">
        <v>1847</v>
      </c>
      <c r="BJ10" s="29" t="s">
        <v>241</v>
      </c>
      <c r="BK10" s="29" t="s">
        <v>240</v>
      </c>
      <c r="BL10" s="29" t="s">
        <v>244</v>
      </c>
      <c r="BM10" s="29" t="s">
        <v>245</v>
      </c>
      <c r="BN10" s="29" t="s">
        <v>840</v>
      </c>
      <c r="BO10" s="29" t="s">
        <v>838</v>
      </c>
      <c r="BP10" s="29" t="s">
        <v>839</v>
      </c>
      <c r="BR10" s="1"/>
      <c r="BS10" t="s">
        <v>1310</v>
      </c>
      <c r="BT10" s="26" t="s">
        <v>1312</v>
      </c>
      <c r="BU10" t="s">
        <v>204</v>
      </c>
      <c r="BV10" s="26" t="s">
        <v>1313</v>
      </c>
      <c r="BW10" t="s">
        <v>804</v>
      </c>
      <c r="BX10" s="2" t="s">
        <v>205</v>
      </c>
      <c r="BY10" s="3" t="s">
        <v>206</v>
      </c>
      <c r="BZ10" s="4" t="s">
        <v>207</v>
      </c>
      <c r="CA10" s="5" t="s">
        <v>216</v>
      </c>
      <c r="CB10" s="6" t="s">
        <v>209</v>
      </c>
      <c r="CC10" s="7" t="s">
        <v>210</v>
      </c>
      <c r="CD10" s="8" t="s">
        <v>211</v>
      </c>
      <c r="CE10" s="20" t="s">
        <v>238</v>
      </c>
      <c r="CF10" s="20" t="s">
        <v>239</v>
      </c>
      <c r="CG10" s="20" t="s">
        <v>485</v>
      </c>
      <c r="CH10" s="20" t="s">
        <v>1468</v>
      </c>
      <c r="CI10" s="20" t="s">
        <v>802</v>
      </c>
      <c r="CJ10" s="20" t="s">
        <v>949</v>
      </c>
      <c r="CK10" t="s">
        <v>222</v>
      </c>
      <c r="CL10" t="s">
        <v>221</v>
      </c>
      <c r="CM10" s="20" t="s">
        <v>765</v>
      </c>
      <c r="CN10" s="20" t="s">
        <v>767</v>
      </c>
      <c r="CO10" s="20" t="s">
        <v>803</v>
      </c>
      <c r="CP10" s="20" t="s">
        <v>967</v>
      </c>
      <c r="CQ10" t="s">
        <v>766</v>
      </c>
      <c r="CR10" s="20" t="s">
        <v>1008</v>
      </c>
      <c r="CS10" s="65" t="s">
        <v>1004</v>
      </c>
      <c r="CT10" s="65" t="s">
        <v>1006</v>
      </c>
      <c r="CU10" s="14" t="s">
        <v>1005</v>
      </c>
      <c r="CV10" t="s">
        <v>1007</v>
      </c>
      <c r="CW10"/>
      <c r="CX10"/>
      <c r="CY10"/>
      <c r="CZ10"/>
      <c r="DH10" s="103" t="s">
        <v>203</v>
      </c>
      <c r="DI10" s="104" t="s">
        <v>950</v>
      </c>
      <c r="DJ10" s="105" t="s">
        <v>951</v>
      </c>
      <c r="DK10" s="106"/>
      <c r="DN10" s="84" t="s">
        <v>974</v>
      </c>
      <c r="DO10" s="85" t="s">
        <v>1312</v>
      </c>
      <c r="DP10" s="86" t="s">
        <v>973</v>
      </c>
      <c r="DQ10" s="86" t="s">
        <v>1314</v>
      </c>
      <c r="DR10" s="84" t="s">
        <v>804</v>
      </c>
      <c r="DS10" s="87" t="s">
        <v>205</v>
      </c>
      <c r="DT10" s="88" t="s">
        <v>206</v>
      </c>
      <c r="DU10" s="89" t="s">
        <v>207</v>
      </c>
      <c r="DV10" s="109" t="s">
        <v>216</v>
      </c>
      <c r="DW10" s="90" t="s">
        <v>209</v>
      </c>
      <c r="DX10" s="91" t="s">
        <v>210</v>
      </c>
      <c r="DY10" s="111" t="s">
        <v>211</v>
      </c>
      <c r="DZ10" s="92" t="s">
        <v>238</v>
      </c>
      <c r="EA10" s="86" t="s">
        <v>239</v>
      </c>
      <c r="EB10" s="92" t="s">
        <v>485</v>
      </c>
      <c r="EC10" s="92" t="s">
        <v>1468</v>
      </c>
      <c r="ED10" s="112" t="s">
        <v>802</v>
      </c>
      <c r="EE10" s="92" t="s">
        <v>949</v>
      </c>
      <c r="EF10" s="86" t="s">
        <v>222</v>
      </c>
      <c r="EG10" s="84" t="s">
        <v>221</v>
      </c>
      <c r="EH10" s="92" t="s">
        <v>765</v>
      </c>
      <c r="EI10" s="92" t="s">
        <v>767</v>
      </c>
      <c r="EJ10" s="92" t="s">
        <v>803</v>
      </c>
      <c r="EK10" s="92" t="s">
        <v>967</v>
      </c>
      <c r="EL10" s="93" t="s">
        <v>766</v>
      </c>
      <c r="EM10" s="93" t="s">
        <v>1008</v>
      </c>
      <c r="EN10" s="95" t="s">
        <v>1004</v>
      </c>
      <c r="EO10" s="93" t="s">
        <v>1006</v>
      </c>
      <c r="EP10" s="95" t="s">
        <v>1005</v>
      </c>
      <c r="EQ10" s="93" t="s">
        <v>1007</v>
      </c>
      <c r="ER10" s="93"/>
      <c r="ES10" s="26"/>
      <c r="ET10" s="26"/>
    </row>
    <row r="11" spans="1:158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>
        <v>0</v>
      </c>
      <c r="X11" s="21">
        <f>IF(ISNUMBER(tblData[Singapore]),tblData[Singapore]/$X$9,"")</f>
        <v>0</v>
      </c>
      <c r="Y11" s="21"/>
      <c r="Z11" s="21"/>
      <c r="AA11" s="26" t="str">
        <f>IF(tblData[Date]&gt;=StartDt2Italy,tblData[Date]-StartDt2Italy,"")</f>
        <v/>
      </c>
      <c r="AB11" s="26"/>
      <c r="AC11" s="26">
        <f>IF($B14&lt;BU$15+3,"",$B14-BU$15-3)</f>
        <v>0</v>
      </c>
      <c r="AD11" s="26" t="str">
        <f>IF(tblData[[#This Row],[Date]]&lt;StartDt2Korea,"",tblData[[#This Row],[Date]]-StartDt2Korea)</f>
        <v/>
      </c>
      <c r="AE11" s="26" t="str">
        <f>IF(tblData[[#This Row],[Date]]&lt;UKStart,"",tblData[[#This Row],[Date]]-UKStart)</f>
        <v/>
      </c>
      <c r="AF11" s="26" t="str">
        <f>IF(tblData[[#This Row],[Date]]&lt;SingaporeStart,"",tblData[[#This Row],[Date]]-SingaporeStart)</f>
        <v/>
      </c>
      <c r="AG11" t="str">
        <f>IF(tblData[Date]&gt;=StartDt2Au,tblData[Date]-StartDt2Au,"")</f>
        <v/>
      </c>
      <c r="AH11" s="26" t="str">
        <f>IF(tblData[New South Wales]&gt;0,SUM(tblData[[#This Row],[Australian Capital Territory]:[Western Australia]]),"")</f>
        <v/>
      </c>
      <c r="AI11" s="26" t="str">
        <f>IF(ISNUMBER(tblData[Au]),tblData[Au]/$AE$9,"")</f>
        <v/>
      </c>
      <c r="AJ11" s="11" t="str">
        <f>IF(ISNUMBER(tblData[[#This Row],[Day'# Aust]]),betaAu/(deltaAu+betaPodeltaAu*EXP(-betaAu*tblData[[#This Row],[Day'# Aust]])),"")</f>
        <v/>
      </c>
      <c r="AK11" s="69" t="str">
        <f>IF(ISNUMBER(tblData[Day'# Aust]),tblData[Au LogiP(t)]/$AI$9,"")</f>
        <v/>
      </c>
      <c r="AL11" s="11" t="str">
        <f>IF(AND(tblData[Date]&gt;=StartDt2Au,ISNUMBER(tblData[NSW])),(tblData[[#This Row],[Au LogiP(t)]]-tblData[[#This Row],[Au]])^2,"")</f>
        <v/>
      </c>
      <c r="AM11" t="str">
        <f>IF(tblData[Date]&gt;StartDt2NSW,tblData[Date]-StartDt2NSW,"")</f>
        <v/>
      </c>
      <c r="AN11" t="str">
        <f>IF(E11&gt;0,E11,"")</f>
        <v/>
      </c>
      <c r="AO11" s="11" t="str">
        <f>IF(tblData[Date]&gt;StartDt2NSW,betaNSW/(deltaNSW+betaPodeltaNSW*EXP(-betaNSW*tblData[[#This Row],[Day '# NSW]])),"")</f>
        <v/>
      </c>
      <c r="AP11" s="12" t="str">
        <f>IF(AND(ISNUMBER(tblData[NSW]),tblData[Date]&gt;StartDt2NSW),(tblData[[#This Row],[NSW LogiP(t)]]-tblData[[#This Row],[NSW]])^2,"")</f>
        <v/>
      </c>
      <c r="AQ11" s="12" t="str">
        <f>IF(AND(tblData[Date]&gt;StartDt2NSW,ISNUMBER(tblData[Day'# Aust])),tblData[NSW LogiP(t)]/$AL$9,"")</f>
        <v/>
      </c>
      <c r="AR11" s="11" t="str">
        <f>IF(AND(tblData[Date]&gt;StartDt2Italy,ISNUMBER(tblData[Days'# Italy])),betaItaly/(deltaItaly+betaPodeltaItaly*EXP(-betaItaly*tblData[Days'# Italy])),"")</f>
        <v/>
      </c>
      <c r="AS11" s="11" t="str">
        <f>IF(AND(tblData[Date]&gt;StartDt2Italy,ISNUMBER(tblData[Italy])),(tblData[[#This Row],[Italy LogiP(t)]]-tblData[[#This Row],[Italy]])^2,"")</f>
        <v/>
      </c>
      <c r="AT11" s="11" t="str">
        <f>IF(AND(tblData[Date]&gt;StartDt2Italy,ISNUMBER(tblData[Days'# Italy])),tblData[[#This Row],[Italy LogiP(t)]]/$AS$9,"")</f>
        <v/>
      </c>
      <c r="AU11" s="11" t="str">
        <f>IF(ISNUMBER(tblData[[#This Row],[Days'# US]]),betaUS/(deltaUS+betaPodeltaUS*EXP(-betaUS*tblData[Days'# US])),"")</f>
        <v/>
      </c>
      <c r="AV11" s="11"/>
      <c r="AW11" s="11" t="str">
        <f>IF(ISNUMBER(tblData[[#This Row],[Days'# US]]),tblData[[#This Row],[US LogiP(t)]]/$AV$9,"")</f>
        <v/>
      </c>
      <c r="AX11" s="11" t="str">
        <f>IF(tblData[Date]&gt;=StartDt2Korea,betaSKorea/(deltaSKorea+betaPodeltaSKorea*EXP(-betaSKorea*(tblData[Date]-StartDt2Korea))),"")</f>
        <v/>
      </c>
      <c r="AY11" s="11" t="str">
        <f>IF(AND(tblData[Date]&gt;=StartDt2Korea,ISNUMBER(tblData[SKorea])),(tblData[[#This Row],[SKorea LogiP(t)]]-tblData[[#This Row],[SKorea]])^2,"")</f>
        <v/>
      </c>
      <c r="AZ11" s="11" t="str">
        <f>IF(tblData[Date]&gt;=StartDt2Korea,tblData[[#This Row],[SKorea LogiP(t)]]/$AY$9,"")</f>
        <v/>
      </c>
      <c r="BA11" s="11" t="str">
        <f>IF(ISNUMBER(tblData[Days'# UK]),betaUK/(deltaUK+betaPodeltaUK*EXP(-betaUK*tblData[Days'# UK])),"")</f>
        <v/>
      </c>
      <c r="BB11" s="11" t="str">
        <f>IF(ISNUMBER(tblData[UK]),(tblData[[#This Row],[UK LogiP(t)]]-tblData[[#This Row],[UK]])^2,"")</f>
        <v/>
      </c>
      <c r="BC11" s="11" t="str">
        <f>IF(ISNUMBER(tblData[Days'# UK]),tblData[[#This Row],[UK LogiP(t)]]/$BB$9,"")</f>
        <v/>
      </c>
      <c r="BD11" s="11">
        <f>IF(ISNUMBER(tblData[Days'# China]),betaChina/(deltaChina+betaPodeltaChina*EXP(-betaChina*tblData[Days'# China])),"")</f>
        <v>1537.6493038446686</v>
      </c>
      <c r="BE11" s="11">
        <f>IF(ISNUMBER(tblData[China]),(tblData[[#This Row],[China LogiP(t)]]-tblData[[#This Row],[China]])^2,"")</f>
        <v>979405.74460023711</v>
      </c>
      <c r="BF11" s="11">
        <f>tblData[[#This Row],[China LogiP(t)]]/$BE$9</f>
        <v>10.683136966707542</v>
      </c>
      <c r="BG11" s="11" t="str">
        <f>IF(ISNUMBER(tblData[Day'# Singapore]),betaSingapore/(deltaSingapore+betaPodeltaSingapore*EXP(-betaSingapore*tblData[Day'# Singapore])),"")</f>
        <v/>
      </c>
      <c r="BH11" s="11" t="str">
        <f>IF(AND(ISNUMBER(tblData[Singapore]),tblData[Date]&gt;=StartDt2Singapore),(tblData[[#This Row],[Singapore LogiP(t)]]-tblData[[#This Row],[Singapore]])^2,"")</f>
        <v/>
      </c>
      <c r="BI11" s="11" t="str">
        <f>IF(ISNUMBER(tblData[Day'# Singapore]),tblData[Singapore LogiP(t)]/$BH$9,"")</f>
        <v/>
      </c>
      <c r="BJ11" s="11"/>
      <c r="BK11" s="11"/>
      <c r="BL11" s="11" t="str">
        <f>IF(ISNUMBER(tblData[[#This Row],[NSW Number of Tests]]),tblData[[#This Row],[NSW Number of Tests]]-#REF!,"")</f>
        <v/>
      </c>
      <c r="BM11" s="11" t="str">
        <f>IF(ISNUMBER(tblData[[#This Row],[NSW Under Investigation'']]),tblData[[#This Row],[NSW Under Investigation'']]-#REF!,"")</f>
        <v/>
      </c>
      <c r="BN11" s="11"/>
      <c r="BO11" s="11" t="str">
        <f>IF(ISNUMBER(tblData[[#This Row],[NSW Test Day Number]]),betaTest/(deltaTest+betaPodeltaTest*EXP(-betaTest*tblData[[#This Row],[NSW Test Day Number]])),"")</f>
        <v/>
      </c>
      <c r="BP11" s="11" t="str">
        <f>IF(ISNUMBER(tblData[[#This Row],[NSW Number of Tests]]),(tblData[[#This Row],[NSW Number of Tests]]-tblData[[#This Row],[NSW Test Logi]])^2,"")</f>
        <v/>
      </c>
      <c r="BR11" s="1"/>
      <c r="BS11" t="s">
        <v>48</v>
      </c>
      <c r="BT11" s="81">
        <v>43913.916122685187</v>
      </c>
      <c r="BU11" s="1">
        <v>43855</v>
      </c>
      <c r="BV11" s="27">
        <v>43855</v>
      </c>
      <c r="BW11">
        <v>0</v>
      </c>
      <c r="BX11">
        <v>0.21478671329488938</v>
      </c>
      <c r="BY11">
        <v>1.0000000000276037E-12</v>
      </c>
      <c r="BZ11" s="26">
        <v>6.554369625399732E-3</v>
      </c>
      <c r="CA11">
        <f>betaAu/deltaAu</f>
        <v>214786713288.96048</v>
      </c>
      <c r="CB11" s="48">
        <f>SQRT(SUM(tblData[AU Sq Err])/COUNT(tblData[AU Sq Err]))</f>
        <v>12.341461769254712</v>
      </c>
      <c r="CC11">
        <f>(betaAu/PoAu)-deltaAu</f>
        <v>32.77000315370276</v>
      </c>
      <c r="CD11">
        <f>deltaAu*1000</f>
        <v>1.0000000000276037E-9</v>
      </c>
      <c r="CF11" s="27">
        <f t="array" ref="CF11">MAX(IF(ISNUMBER(tblData[Au]),tblData[Date]))</f>
        <v>43913</v>
      </c>
      <c r="CG11" s="27" t="str">
        <f t="shared" ref="CG11:CG19" si="0">Cengnotation(CA11,3)</f>
        <v>215 G</v>
      </c>
      <c r="CH11" s="43">
        <f>MAX(tblData[Au LogiP(t)])</f>
        <v>214786713288.96048</v>
      </c>
      <c r="CI11" s="26">
        <f>MAX(tblData[Au])</f>
        <v>1711</v>
      </c>
      <c r="CJ11" s="26" t="str">
        <f>Cengnotation(CA11/(AuPop/PerPerson),3)</f>
        <v>84.7 G</v>
      </c>
      <c r="CK11" s="1">
        <f t="array" ref="CK11">MAX(IF(ISNUMBER(tblData[Au]),tblData[Date]))</f>
        <v>43913</v>
      </c>
      <c r="CL11">
        <f t="array" ref="CL11">COUNT(IF(ISNUMBER(tblData[Au]),tblData[Date]))</f>
        <v>59</v>
      </c>
      <c r="CM11" s="27" t="str">
        <f t="shared" ref="CM11:CM18" si="1">"b="&amp;TEXT(BX11,"##0.###")&amp;", d="&amp;TEXT(BY11,"0.00E+00")&amp;", P0="&amp;TEXT(BZ11,"#.###")&amp;" Limit="&amp;IF(PopScaling=0,CG11,CJ11)&amp;"=&gt;"&amp;Cengnotation(CH11,3)&amp;" cases "&amp;CP11</f>
        <v xml:space="preserve">b=0.215, d=1.00E-12, P0=.007 Limit=84.7 G=&gt;215 G cases </v>
      </c>
      <c r="CN11" s="26"/>
      <c r="CO11" s="26" t="str">
        <f t="shared" ref="CO11:CO19" si="2">BS11&amp;" Limit " &amp; IF(PopScaling=0,CG11,CJ11)</f>
        <v>Australia Limit 84.7 G</v>
      </c>
      <c r="CP11" s="26"/>
      <c r="CQ11" s="18" t="str">
        <f t="shared" ref="CQ11:CQ18" si="3">"COVID19 "&amp;BS11 &amp; " " &amp;LogFormula&amp;CHAR(10)&amp;CM11&amp;CHAR(10)&amp;TEXT(CK11," dd-mmm")&amp;IF(PopScaling=0,"",", "&amp;PerPersonLabel)</f>
        <v>COVID19 Australia P(t) = b / {d+[( b/Po - d ) ]* exp(-b*t)}
b=0.215, d=1.00E-12, P0=.007 Limit=84.7 G=&gt;215 G cases 
 23-Mar, Cases per 10 M population</v>
      </c>
      <c r="CR11" s="21">
        <f>MAX(tblData[Au Cases Per Capita])</f>
        <v>674.57814224885669</v>
      </c>
      <c r="CS11" s="26"/>
      <c r="CT11" s="26"/>
      <c r="CW11" s="26" t="str">
        <f>"At " &amp; TEXT(CK11,"ddd dd-mmm ") &amp; BS11 &amp;  TEXT(AuMaxCasespc," ###0") &amp; " cases per 10M was " &amp; CV13  &amp; " days behind Italy, " &amp; IF(CV14&gt;0, CV14 &amp; " days behind", -CV14 &amp; " days ahead of ") &amp; " USA &amp; " &amp;  CV15 &amp; " days behind China, " &amp; CV16 &amp; " days behind South Korea, " &amp; CV17 &amp; " days behind UK"</f>
        <v>At Mon 23-Mar Australia 675 cases per 10M was 17 days behind Italy, 2 days behind USA &amp; 0 days behind China, 22 days behind South Korea, 2 days behind UK</v>
      </c>
      <c r="DH11" s="99">
        <v>43852</v>
      </c>
      <c r="DI11" s="101">
        <f>NSWpop</f>
        <v>8080000</v>
      </c>
      <c r="DJ11" s="102">
        <f>PerPerson</f>
        <v>10000000</v>
      </c>
      <c r="DK11" s="100"/>
      <c r="DM11"/>
      <c r="DN11" s="26" t="s">
        <v>48</v>
      </c>
      <c r="DO11" s="80"/>
      <c r="DP11" s="27">
        <v>43855</v>
      </c>
      <c r="DQ11" s="27"/>
      <c r="DR11" s="26">
        <v>0</v>
      </c>
      <c r="DS11" s="23">
        <v>0.19828176912463458</v>
      </c>
      <c r="DT11" s="25">
        <v>1.0000000000015669E-10</v>
      </c>
      <c r="DU11" s="22">
        <v>1.5235707215503663E-2</v>
      </c>
      <c r="DV11" s="108">
        <v>1982817691.2432389</v>
      </c>
      <c r="DW11" s="19">
        <v>10.841918819926793</v>
      </c>
      <c r="DX11" s="37">
        <v>13.014280618450188</v>
      </c>
      <c r="DY11" s="112">
        <v>1.0000000000015668E-7</v>
      </c>
      <c r="DZ11" s="12"/>
      <c r="EA11" s="27">
        <v>43908</v>
      </c>
      <c r="EB11" s="27" t="s">
        <v>983</v>
      </c>
      <c r="EC11" s="27"/>
      <c r="ED11" s="112">
        <v>565</v>
      </c>
      <c r="EE11" s="19" t="s">
        <v>984</v>
      </c>
      <c r="EF11" s="27">
        <v>43908</v>
      </c>
      <c r="EG11" s="26">
        <v>57</v>
      </c>
      <c r="EH11" s="18" t="s">
        <v>985</v>
      </c>
      <c r="EI11" s="26"/>
      <c r="EJ11" s="26" t="s">
        <v>986</v>
      </c>
      <c r="EK11" s="26"/>
      <c r="EL11" s="26" t="s">
        <v>987</v>
      </c>
      <c r="EM11" s="26"/>
      <c r="EO11" s="26"/>
      <c r="EP11" s="94"/>
      <c r="EQ11" s="26"/>
      <c r="ER11" s="26"/>
      <c r="ES11" s="26"/>
      <c r="ET11" s="21"/>
    </row>
    <row r="12" spans="1:158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>
        <v>1</v>
      </c>
      <c r="X12" s="21">
        <f>IF(ISNUMBER(tblData[Singapore]),tblData[Singapore]/$X$9,"")</f>
        <v>1.7094017094017095</v>
      </c>
      <c r="Y12" s="21"/>
      <c r="Z12" s="21"/>
      <c r="AA12" s="26" t="str">
        <f>IF(tblData[[#This Row],[Date]]&lt;ItalyStart,"",tblData[[#This Row],[Date]]-ItalyStart)</f>
        <v/>
      </c>
      <c r="AB12" s="26"/>
      <c r="AC12" s="26">
        <f>AC11+1</f>
        <v>1</v>
      </c>
      <c r="AD12" s="26" t="str">
        <f>IF(tblData[[#This Row],[Date]]&lt;StartDt2Korea,"",tblData[[#This Row],[Date]]-StartDt2Korea)</f>
        <v/>
      </c>
      <c r="AE12" s="26" t="str">
        <f>IF(tblData[[#This Row],[Date]]&lt;UKStart,"",tblData[[#This Row],[Date]]-UKStart)</f>
        <v/>
      </c>
      <c r="AF12" s="26">
        <f>IF(tblData[[#This Row],[Date]]&lt;SingaporeStart,"",tblData[[#This Row],[Date]]-SingaporeStart)</f>
        <v>0</v>
      </c>
      <c r="AG12" t="str">
        <f>IF(tblData[Date]&gt;=StartDt2Au,tblData[Date]-StartDt2Au,"")</f>
        <v/>
      </c>
      <c r="AH12" s="26" t="str">
        <f>IF(tblData[New South Wales]&gt;0,SUM(tblData[[#This Row],[Australian Capital Territory]:[Western Australia]]),"")</f>
        <v/>
      </c>
      <c r="AI12" s="26" t="str">
        <f>IF(ISNUMBER(tblData[Au]),tblData[Au]/$AE$9,"")</f>
        <v/>
      </c>
      <c r="AJ12" s="11" t="str">
        <f>IF(ISNUMBER(tblData[[#This Row],[Day'# Aust]]),betaAu/(deltaAu+betaPodeltaAu*EXP(-betaAu*tblData[[#This Row],[Day'# Aust]])),"")</f>
        <v/>
      </c>
      <c r="AK12" s="69" t="str">
        <f>IF(ISNUMBER(tblData[Day'# Aust]),tblData[Au LogiP(t)]/$AI$9,"")</f>
        <v/>
      </c>
      <c r="AL12" s="11" t="str">
        <f>IF(AND(tblData[Date]&gt;=StartDt2Au,ISNUMBER(tblData[NSW])),(tblData[[#This Row],[Au LogiP(t)]]-tblData[[#This Row],[Au]])^2,"")</f>
        <v/>
      </c>
      <c r="AM12" t="str">
        <f>IF(tblData[Date]&gt;StartDt2NSW,tblData[Date]-StartDt2NSW,"")</f>
        <v/>
      </c>
      <c r="AN12" t="str">
        <f>IF(E12&gt;0,E12,"")</f>
        <v/>
      </c>
      <c r="AO12" s="11" t="str">
        <f>IF(tblData[Date]&gt;StartDt2NSW,betaNSW/(deltaNSW+betaPodeltaNSW*EXP(-betaNSW*tblData[[#This Row],[Day '# NSW]])),"")</f>
        <v/>
      </c>
      <c r="AP12" s="12" t="str">
        <f>IF(AND(ISNUMBER(tblData[NSW]),tblData[Date]&gt;StartDt2NSW),(tblData[[#This Row],[NSW LogiP(t)]]-tblData[[#This Row],[NSW]])^2,"")</f>
        <v/>
      </c>
      <c r="AQ12" s="12" t="str">
        <f>IF(AND(tblData[Date]&gt;StartDt2NSW,ISNUMBER(tblData[Day'# Aust])),tblData[NSW LogiP(t)]/$AL$9,"")</f>
        <v/>
      </c>
      <c r="AR12" s="11" t="str">
        <f>IF(AND(tblData[Date]&gt;StartDt2Italy,ISNUMBER(tblData[Days'# Italy])),betaItaly/(deltaItaly+betaPodeltaItaly*EXP(-betaItaly*tblData[Days'# Italy])),"")</f>
        <v/>
      </c>
      <c r="AS12" s="11" t="str">
        <f>IF(AND(tblData[Date]&gt;StartDt2Italy,ISNUMBER(tblData[Italy])),(tblData[[#This Row],[Italy LogiP(t)]]-tblData[[#This Row],[Italy]])^2,"")</f>
        <v/>
      </c>
      <c r="AT12" s="11" t="str">
        <f>IF(AND(tblData[Date]&gt;StartDt2Italy,ISNUMBER(tblData[Days'# Italy])),tblData[[#This Row],[Italy LogiP(t)]]/$AS$9,"")</f>
        <v/>
      </c>
      <c r="AU12" s="11" t="str">
        <f>IF(ISNUMBER(tblData[[#This Row],[Days'# US]]),betaUS/(deltaUS+betaPodeltaUS*EXP(-betaUS*tblData[Days'# US])),"")</f>
        <v/>
      </c>
      <c r="AV12" s="11"/>
      <c r="AW12" s="11" t="str">
        <f>IF(ISNUMBER(tblData[[#This Row],[Days'# US]]),tblData[[#This Row],[US LogiP(t)]]/$AV$9,"")</f>
        <v/>
      </c>
      <c r="AX12" s="11" t="str">
        <f>IF(tblData[Date]&gt;=StartDt2Korea,betaSKorea/(deltaSKorea+betaPodeltaSKorea*EXP(-betaSKorea*(tblData[Date]-StartDt2Korea))),"")</f>
        <v/>
      </c>
      <c r="AY12" s="11" t="str">
        <f>IF(AND(tblData[Date]&gt;=StartDt2Korea,ISNUMBER(tblData[SKorea])),(tblData[[#This Row],[SKorea LogiP(t)]]-tblData[[#This Row],[SKorea]])^2,"")</f>
        <v/>
      </c>
      <c r="AZ12" s="11" t="str">
        <f>IF(tblData[Date]&gt;=StartDt2Korea,tblData[[#This Row],[SKorea LogiP(t)]]/$AY$9,"")</f>
        <v/>
      </c>
      <c r="BA12" s="11" t="str">
        <f>IF(ISNUMBER(tblData[Days'# UK]),betaUK/(deltaUK+betaPodeltaUK*EXP(-betaUK*tblData[Days'# UK])),"")</f>
        <v/>
      </c>
      <c r="BB12" s="11" t="str">
        <f>IF(ISNUMBER(tblData[UK]),(tblData[[#This Row],[UK LogiP(t)]]-tblData[[#This Row],[UK]])^2,"")</f>
        <v/>
      </c>
      <c r="BC12" s="11" t="str">
        <f>IF(ISNUMBER(tblData[Days'# UK]),tblData[[#This Row],[UK LogiP(t)]]/$BB$9,"")</f>
        <v/>
      </c>
      <c r="BD12" s="11">
        <f>IF(ISNUMBER(tblData[Days'# China]),betaChina/(deltaChina+betaPodeltaChina*EXP(-betaChina*tblData[Days'# China])),"")</f>
        <v>1911.1126579924285</v>
      </c>
      <c r="BE12" s="11">
        <f>IF(ISNUMBER(tblData[China]),(tblData[[#This Row],[China LogiP(t)]]-tblData[[#This Row],[China]])^2,"")</f>
        <v>1608109.7133606218</v>
      </c>
      <c r="BF12" s="11">
        <f>tblData[[#This Row],[China LogiP(t)]]/$BE$9</f>
        <v>13.27785095931347</v>
      </c>
      <c r="BG12" s="11">
        <f>IF(ISNUMBER(tblData[Day'# Singapore]),betaSingapore/(deltaSingapore+betaPodeltaSingapore*EXP(-betaSingapore*tblData[Day'# Singapore])),"")</f>
        <v>25.624091991188191</v>
      </c>
      <c r="BH12" s="11">
        <f>IF(AND(ISNUMBER(tblData[Singapore]),tblData[Date]&gt;=StartDt2Singapore),(tblData[[#This Row],[Singapore LogiP(t)]]-tblData[[#This Row],[Singapore]])^2,"")</f>
        <v>606.34590639049839</v>
      </c>
      <c r="BI12" s="11">
        <f>IF(ISNUMBER(tblData[Day'# Singapore]),tblData[Singapore LogiP(t)]/$BH$9,"")</f>
        <v>43.801866651603746</v>
      </c>
      <c r="BJ12" s="11"/>
      <c r="BK12" s="11"/>
      <c r="BL12" s="11" t="str">
        <f>IF(ISNUMBER(tblData[[#This Row],[NSW Number of Tests]]),tblData[[#This Row],[NSW Number of Tests]]-BJ11,"")</f>
        <v/>
      </c>
      <c r="BM12" s="11" t="str">
        <f>IF(ISNUMBER(tblData[[#This Row],[NSW Under Investigation'']]),tblData[[#This Row],[NSW Under Investigation'']]-BK11,"")</f>
        <v/>
      </c>
      <c r="BN12" s="11"/>
      <c r="BO12" s="11" t="str">
        <f>IF(ISNUMBER(tblData[[#This Row],[NSW Test Day Number]]),betaTest/(deltaTest+betaPodeltaTest*EXP(-betaTest*tblData[[#This Row],[NSW Test Day Number]])),"")</f>
        <v/>
      </c>
      <c r="BP12" s="11" t="str">
        <f>IF(ISNUMBER(tblData[[#This Row],[NSW Number of Tests]]),(tblData[[#This Row],[NSW Number of Tests]]-tblData[[#This Row],[NSW Test Logi]])^2,"")</f>
        <v/>
      </c>
      <c r="BR12" s="1"/>
      <c r="BS12" s="60" t="s">
        <v>202</v>
      </c>
      <c r="BT12" s="82">
        <v>43913.916145833333</v>
      </c>
      <c r="BU12" s="61">
        <v>43855</v>
      </c>
      <c r="BV12" s="27">
        <v>43855</v>
      </c>
      <c r="BW12" s="60">
        <v>1</v>
      </c>
      <c r="BX12" s="60">
        <v>0.19833894448440331</v>
      </c>
      <c r="BY12" s="66">
        <v>1.0000000000276037E-12</v>
      </c>
      <c r="BZ12" s="60">
        <v>6.8604805376862562E-3</v>
      </c>
      <c r="CA12" s="60">
        <f>betaNSW/deltaNSW</f>
        <v>198338944478.92844</v>
      </c>
      <c r="CB12" s="62">
        <f>SQRT(SUM(tblData[NSW Sq Err])/COUNT(tblData[NSW Sq Err]))</f>
        <v>6.5477230241247009</v>
      </c>
      <c r="CC12" s="60">
        <f>(betaNSW/PoNSW)-deltaNSW</f>
        <v>28.910357429756317</v>
      </c>
      <c r="CD12" s="60">
        <f>deltaNSW*1000</f>
        <v>1.0000000000276037E-9</v>
      </c>
      <c r="CE12" s="62">
        <f>SQRT(SUM(tblData[NSW Sq Err])/COUNT(tblData[NSW Sq Err]))</f>
        <v>6.5477230241247009</v>
      </c>
      <c r="CF12" s="61">
        <f t="array" ref="CF12">MAX(IF(ISNUMBER(tblData[NSW]),tblData[Date]))</f>
        <v>43913</v>
      </c>
      <c r="CG12" s="61" t="str">
        <f t="shared" si="0"/>
        <v>198 G</v>
      </c>
      <c r="CH12" s="43">
        <f>MAX(tblData[NSW LogiP(t)])</f>
        <v>198338944478.92786</v>
      </c>
      <c r="CI12" s="60">
        <f>MAX(tblData[NSW])</f>
        <v>704</v>
      </c>
      <c r="CJ12" s="60" t="str">
        <f>Cengnotation(CA12/(NSWpop/PerPerson),3)</f>
        <v>245 G</v>
      </c>
      <c r="CK12" s="61">
        <f t="array" ref="CK12">MAX(IF(ISNUMBER(tblData[NSW]),tblData[Date]))</f>
        <v>43913</v>
      </c>
      <c r="CL12" s="63">
        <f t="array" ref="CL12">COUNT(IF(ISNUMBER(tblData[NSW]),tblData[Date]))</f>
        <v>59</v>
      </c>
      <c r="CM12" s="27" t="str">
        <f t="shared" si="1"/>
        <v xml:space="preserve">b=0.198, d=1.00E-12, P0=.007 Limit=245 G=&gt;198 G cases </v>
      </c>
      <c r="CN12" s="60"/>
      <c r="CO12" s="60" t="str">
        <f t="shared" si="2"/>
        <v>NSW Limit 245 G</v>
      </c>
      <c r="CP12" s="60"/>
      <c r="CQ12" s="18" t="str">
        <f t="shared" si="3"/>
        <v>COVID19 NSW P(t) = b / {d+[( b/Po - d ) ]* exp(-b*t)}
b=0.198, d=1.00E-12, P0=.007 Limit=245 G=&gt;198 G cases 
 23-Mar, Cases per 10 M population</v>
      </c>
      <c r="CR12" s="21">
        <f>MAX(tblData[NSW Cases per Capita])</f>
        <v>871.28712871287121</v>
      </c>
      <c r="CS12" s="63"/>
      <c r="CT12" s="63"/>
      <c r="CV12" s="11"/>
      <c r="CW12" s="26" t="str">
        <f>"At " &amp; TEXT(CK12,"ddd dd-mmm " ) &amp;  BS12  &amp;  TEXT(NSWMaxCasespc," ###0") &amp; " cases per 10M was " &amp; CT13 &amp; " days behind Italy, " &amp; IF(CT14&gt;0, CT14 &amp; " days behind", -CT14 &amp; " days ahead of") &amp; " USA &amp; " &amp;  CT15 &amp; " days behind China, " &amp; CT16 &amp; " days behind South Korea, " &amp; CT17 &amp; " days behind UK"</f>
        <v>At Mon 23-Mar NSW 871 cases per 10M was 16 days behind Italy, 1 days behind USA &amp; -1 days behind China, 20 days behind South Korea, 0 days behind UK</v>
      </c>
      <c r="DH12" s="99">
        <v>44004</v>
      </c>
      <c r="DI12" s="101">
        <f>DI11</f>
        <v>8080000</v>
      </c>
      <c r="DJ12" s="102">
        <f>PerPerson</f>
        <v>10000000</v>
      </c>
      <c r="DK12" s="100">
        <f>delta</f>
        <v>1.0000000000000751E-10</v>
      </c>
      <c r="DM12"/>
      <c r="DN12" s="26" t="s">
        <v>48</v>
      </c>
      <c r="DO12" s="80"/>
      <c r="DP12" s="27">
        <v>43855</v>
      </c>
      <c r="DQ12" s="27"/>
      <c r="DR12" s="26">
        <v>0</v>
      </c>
      <c r="DS12" s="26">
        <v>0.19828176912463458</v>
      </c>
      <c r="DT12" s="25">
        <v>1.0000000000015669E-10</v>
      </c>
      <c r="DU12" s="26">
        <v>1.5235707215503663E-2</v>
      </c>
      <c r="DV12" s="108">
        <v>1982817691.2432389</v>
      </c>
      <c r="DW12" s="19">
        <v>12.353786198782009</v>
      </c>
      <c r="DX12" s="12">
        <v>13.014280618450188</v>
      </c>
      <c r="DY12" s="112">
        <v>1.0000000000015668E-7</v>
      </c>
      <c r="DZ12" s="26"/>
      <c r="EA12" s="27">
        <v>43908</v>
      </c>
      <c r="EB12" s="27" t="s">
        <v>983</v>
      </c>
      <c r="EC12" s="27"/>
      <c r="ED12" s="112">
        <v>636</v>
      </c>
      <c r="EE12" s="26" t="s">
        <v>984</v>
      </c>
      <c r="EF12" s="27">
        <v>43908</v>
      </c>
      <c r="EG12" s="26">
        <v>58</v>
      </c>
      <c r="EH12" s="27" t="s">
        <v>985</v>
      </c>
      <c r="EI12" s="26"/>
      <c r="EJ12" s="26" t="s">
        <v>986</v>
      </c>
      <c r="EK12" s="26"/>
      <c r="EL12" s="18" t="s">
        <v>1009</v>
      </c>
      <c r="EM12" s="21">
        <v>250.74909320296484</v>
      </c>
      <c r="EO12" s="26"/>
      <c r="EP12" s="94"/>
      <c r="EQ12" s="26"/>
      <c r="ER12" s="26" t="s">
        <v>1010</v>
      </c>
      <c r="ES12" s="26"/>
      <c r="ET12" s="26"/>
    </row>
    <row r="13" spans="1:158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>
        <v>3</v>
      </c>
      <c r="X13" s="21">
        <f>IF(ISNUMBER(tblData[Singapore]),tblData[Singapore]/$X$9,"")</f>
        <v>5.1282051282051286</v>
      </c>
      <c r="Y13" s="21"/>
      <c r="Z13" s="21"/>
      <c r="AA13" s="26" t="str">
        <f>IF(tblData[[#This Row],[Date]]&lt;ItalyStart,"",tblData[[#This Row],[Date]]-ItalyStart)</f>
        <v/>
      </c>
      <c r="AB13" s="26"/>
      <c r="AC13" s="26">
        <f t="shared" ref="AC13:AC76" si="4">AC12+1</f>
        <v>2</v>
      </c>
      <c r="AD13" s="26" t="str">
        <f>IF(tblData[[#This Row],[Date]]&lt;StartDt2Korea,"",tblData[[#This Row],[Date]]-StartDt2Korea)</f>
        <v/>
      </c>
      <c r="AE13" s="26" t="str">
        <f>IF(tblData[[#This Row],[Date]]&lt;UKStart,"",tblData[[#This Row],[Date]]-UKStart)</f>
        <v/>
      </c>
      <c r="AF13" s="26">
        <f>IF(tblData[[#This Row],[Date]]&lt;SingaporeStart,"",tblData[[#This Row],[Date]]-SingaporeStart)</f>
        <v>1</v>
      </c>
      <c r="AG13" t="str">
        <f>IF(tblData[Date]&gt;=StartDt2Au,tblData[Date]-StartDt2Au,"")</f>
        <v/>
      </c>
      <c r="AH13" s="26" t="str">
        <f>IF(tblData[New South Wales]&gt;0,SUM(tblData[[#This Row],[Australian Capital Territory]:[Western Australia]]),"")</f>
        <v/>
      </c>
      <c r="AI13" s="26" t="str">
        <f>IF(ISNUMBER(tblData[Au]),tblData[Au]/$AE$9,"")</f>
        <v/>
      </c>
      <c r="AJ13" s="11" t="str">
        <f>IF(ISNUMBER(tblData[[#This Row],[Day'# Aust]]),betaAu/(deltaAu+betaPodeltaAu*EXP(-betaAu*tblData[[#This Row],[Day'# Aust]])),"")</f>
        <v/>
      </c>
      <c r="AK13" s="69" t="str">
        <f>IF(ISNUMBER(tblData[Day'# Aust]),tblData[Au LogiP(t)]/$AI$9,"")</f>
        <v/>
      </c>
      <c r="AL13" s="11" t="str">
        <f>IF(AND(tblData[Date]&gt;=StartDt2Au,ISNUMBER(tblData[NSW])),(tblData[[#This Row],[Au LogiP(t)]]-tblData[[#This Row],[Au]])^2,"")</f>
        <v/>
      </c>
      <c r="AM13" t="str">
        <f>IF(tblData[Date]&gt;StartDt2NSW,tblData[Date]-StartDt2NSW,"")</f>
        <v/>
      </c>
      <c r="AN13" t="str">
        <f>IF(E13&gt;0,E13,"")</f>
        <v/>
      </c>
      <c r="AO13" s="11" t="str">
        <f>IF(tblData[Date]&gt;StartDt2NSW,betaNSW/(deltaNSW+betaPodeltaNSW*EXP(-betaNSW*tblData[[#This Row],[Day '# NSW]])),"")</f>
        <v/>
      </c>
      <c r="AP13" s="12" t="str">
        <f>IF(AND(ISNUMBER(tblData[NSW]),tblData[Date]&gt;StartDt2NSW),(tblData[[#This Row],[NSW LogiP(t)]]-tblData[[#This Row],[NSW]])^2,"")</f>
        <v/>
      </c>
      <c r="AQ13" s="12" t="str">
        <f>IF(AND(tblData[Date]&gt;StartDt2NSW,ISNUMBER(tblData[Day'# Aust])),tblData[NSW LogiP(t)]/$AL$9,"")</f>
        <v/>
      </c>
      <c r="AR13" s="11" t="str">
        <f>IF(AND(tblData[Date]&gt;StartDt2Italy,ISNUMBER(tblData[Days'# Italy])),betaItaly/(deltaItaly+betaPodeltaItaly*EXP(-betaItaly*tblData[Days'# Italy])),"")</f>
        <v/>
      </c>
      <c r="AS13" s="11" t="str">
        <f>IF(AND(tblData[Date]&gt;StartDt2Italy,ISNUMBER(tblData[Italy])),(tblData[[#This Row],[Italy LogiP(t)]]-tblData[[#This Row],[Italy]])^2,"")</f>
        <v/>
      </c>
      <c r="AT13" s="11" t="str">
        <f>IF(AND(tblData[Date]&gt;StartDt2Italy,ISNUMBER(tblData[Days'# Italy])),tblData[[#This Row],[Italy LogiP(t)]]/$AS$9,"")</f>
        <v/>
      </c>
      <c r="AU13" s="11" t="str">
        <f>IF(ISNUMBER(tblData[[#This Row],[Days'# US]]),betaUS/(deltaUS+betaPodeltaUS*EXP(-betaUS*tblData[Days'# US])),"")</f>
        <v/>
      </c>
      <c r="AV13" s="11"/>
      <c r="AW13" s="11" t="str">
        <f>IF(ISNUMBER(tblData[[#This Row],[Days'# US]]),tblData[[#This Row],[US LogiP(t)]]/$AV$9,"")</f>
        <v/>
      </c>
      <c r="AX13" s="11" t="str">
        <f>IF(tblData[Date]&gt;=StartDt2Korea,betaSKorea/(deltaSKorea+betaPodeltaSKorea*EXP(-betaSKorea*(tblData[Date]-StartDt2Korea))),"")</f>
        <v/>
      </c>
      <c r="AY13" s="11" t="str">
        <f>IF(AND(tblData[Date]&gt;=StartDt2Korea,ISNUMBER(tblData[SKorea])),(tblData[[#This Row],[SKorea LogiP(t)]]-tblData[[#This Row],[SKorea]])^2,"")</f>
        <v/>
      </c>
      <c r="AZ13" s="11" t="str">
        <f>IF(tblData[Date]&gt;=StartDt2Korea,tblData[[#This Row],[SKorea LogiP(t)]]/$AY$9,"")</f>
        <v/>
      </c>
      <c r="BA13" s="11" t="str">
        <f>IF(ISNUMBER(tblData[Days'# UK]),betaUK/(deltaUK+betaPodeltaUK*EXP(-betaUK*tblData[Days'# UK])),"")</f>
        <v/>
      </c>
      <c r="BB13" s="11" t="str">
        <f>IF(ISNUMBER(tblData[UK]),(tblData[[#This Row],[UK LogiP(t)]]-tblData[[#This Row],[UK]])^2,"")</f>
        <v/>
      </c>
      <c r="BC13" s="11" t="str">
        <f>IF(ISNUMBER(tblData[Days'# UK]),tblData[[#This Row],[UK LogiP(t)]]/$BB$9,"")</f>
        <v/>
      </c>
      <c r="BD13" s="11">
        <f>IF(ISNUMBER(tblData[Days'# China]),betaChina/(deltaChina+betaPodeltaChina*EXP(-betaChina*tblData[Days'# China])),"")</f>
        <v>2372.5735532695639</v>
      </c>
      <c r="BE13" s="11">
        <f>IF(ISNUMBER(tblData[China]),(tblData[[#This Row],[China LogiP(t)]]-tblData[[#This Row],[China]])^2,"")</f>
        <v>2109969.9276581667</v>
      </c>
      <c r="BF13" s="11">
        <f>tblData[[#This Row],[China LogiP(t)]]/$BE$9</f>
        <v>16.483946092123499</v>
      </c>
      <c r="BG13" s="11">
        <f>IF(ISNUMBER(tblData[Day'# Singapore]),betaSingapore/(deltaSingapore+betaPodeltaSingapore*EXP(-betaSingapore*tblData[Day'# Singapore])),"")</f>
        <v>26.775267808550947</v>
      </c>
      <c r="BH13" s="11">
        <f>IF(AND(ISNUMBER(tblData[Singapore]),tblData[Date]&gt;=StartDt2Singapore),(tblData[[#This Row],[Singapore LogiP(t)]]-tblData[[#This Row],[Singapore]])^2,"")</f>
        <v>565.2633593683189</v>
      </c>
      <c r="BI13" s="11">
        <f>IF(ISNUMBER(tblData[Day'# Singapore]),tblData[Singapore LogiP(t)]/$BH$9,"")</f>
        <v>45.76968856162555</v>
      </c>
      <c r="BJ13" s="11"/>
      <c r="BK13" s="11"/>
      <c r="BL13" s="11" t="str">
        <f>IF(ISNUMBER(tblData[[#This Row],[NSW Number of Tests]]),tblData[[#This Row],[NSW Number of Tests]]-BJ12,"")</f>
        <v/>
      </c>
      <c r="BM13" s="11" t="str">
        <f>IF(ISNUMBER(tblData[[#This Row],[NSW Under Investigation'']]),tblData[[#This Row],[NSW Under Investigation'']]-BK12,"")</f>
        <v/>
      </c>
      <c r="BN13" s="11"/>
      <c r="BO13" s="11" t="str">
        <f>IF(ISNUMBER(tblData[[#This Row],[NSW Test Day Number]]),betaTest/(deltaTest+betaPodeltaTest*EXP(-betaTest*tblData[[#This Row],[NSW Test Day Number]])),"")</f>
        <v/>
      </c>
      <c r="BP13" s="11" t="str">
        <f>IF(ISNUMBER(tblData[[#This Row],[NSW Number of Tests]]),(tblData[[#This Row],[NSW Number of Tests]]-tblData[[#This Row],[NSW Test Logi]])^2,"")</f>
        <v/>
      </c>
      <c r="BR13" s="1"/>
      <c r="BS13" t="s">
        <v>58</v>
      </c>
      <c r="BT13" s="80">
        <v>43913.916168981479</v>
      </c>
      <c r="BU13" s="1">
        <v>43860</v>
      </c>
      <c r="BV13" s="27">
        <v>43860</v>
      </c>
      <c r="BW13">
        <v>2</v>
      </c>
      <c r="BX13" s="23">
        <v>0.25874561068947871</v>
      </c>
      <c r="BY13" s="25">
        <v>3.9549126775453369E-6</v>
      </c>
      <c r="BZ13" s="22">
        <v>0.4422145518547565</v>
      </c>
      <c r="CA13" s="24">
        <f>betaItaly/deltaItaly</f>
        <v>65423.849218858661</v>
      </c>
      <c r="CB13" s="37">
        <f>SQRT(SUM(tblData[Italy Sq Err])/COUNT(tblData[Italy Sq Err]))</f>
        <v>1794.1813077040256</v>
      </c>
      <c r="CC13" s="24">
        <f>(betaItaly/PoItaly)-deltaItaly</f>
        <v>0.58510933365785012</v>
      </c>
      <c r="CD13" s="24">
        <f>deltaItaly*1000</f>
        <v>3.9549126775453372E-3</v>
      </c>
      <c r="CE13" s="24"/>
      <c r="CF13" s="27">
        <f t="array" ref="CF13">MAX(IF(ISNUMBER(tblData[Italy]),tblData[Date]))</f>
        <v>43912</v>
      </c>
      <c r="CG13" s="27" t="str">
        <f t="shared" si="0"/>
        <v>65.4 k</v>
      </c>
      <c r="CH13" s="43">
        <f>MAX(tblData[Italy LogiP(t)])</f>
        <v>65423.849218858661</v>
      </c>
      <c r="CI13" s="26">
        <f>MAX(tblData[Italy])</f>
        <v>59138</v>
      </c>
      <c r="CJ13" s="26" t="str">
        <f>Cengnotation(CA13/(ItalyPop/PerPerson),3)</f>
        <v>10.8 k</v>
      </c>
      <c r="CK13" s="1">
        <f t="array" ref="CK13">MAX(IF(ISNUMBER(tblData[Italy]),tblData[Date]))</f>
        <v>43912</v>
      </c>
      <c r="CL13" s="19">
        <f t="array" ref="CL13">COUNT(IF(ISNUMBER(tblData[Italy]),tblData[Date]))</f>
        <v>53</v>
      </c>
      <c r="CM13" s="27" t="str">
        <f t="shared" si="1"/>
        <v xml:space="preserve">b=0.259, d=3.95E-06, P0=.442 Limit=10.8 k=&gt;65.4 k cases </v>
      </c>
      <c r="CO13" s="26" t="str">
        <f t="shared" si="2"/>
        <v>Italy Limit 10.8 k</v>
      </c>
      <c r="CP13" s="26"/>
      <c r="CQ13" s="18" t="str">
        <f t="shared" si="3"/>
        <v>COVID19 Italy P(t) = b / {d+[( b/Po - d ) ]* exp(-b*t)}
b=0.259, d=3.95E-06, P0=.442 Limit=10.8 k=&gt;65.4 k cases 
 22-Mar, Cases per 10 M population</v>
      </c>
      <c r="CR13" s="21">
        <f>MAX(tblData[Italy Cases per Capita])</f>
        <v>9782.9611248966085</v>
      </c>
      <c r="CS13" s="27">
        <f>IF(CR13&gt;NSWMaxCasespc,INDEX(tblData[Date],1+MATCH(NSWMaxCasespc,tblData[Italy Cases per Capita],1)),INDEX(tblData[Date],1+MATCH(CR13,tblData[NSW Cases per Capita],1)))</f>
        <v>43897</v>
      </c>
      <c r="CT13" s="11">
        <f>IF(CR13&gt;NSWMaxCasespc,1,-1)*(CF$12-CS13)</f>
        <v>16</v>
      </c>
      <c r="CU13" s="27">
        <f>IF(CR13&gt;AuMaxCasespc,INDEX(tblData[Date],1+MATCH(AuMaxCasespc,tblData[Italy Cases per Capita],1)),INDEX(tblData[Date],1+MATCH(CR13,tblData[Au Cases Per Capita],1)))</f>
        <v>43896</v>
      </c>
      <c r="CV13" s="11">
        <f>IF(CR13&gt;AuMaxCasespc,1,-1)*(CF$13-CU13+1)</f>
        <v>17</v>
      </c>
      <c r="DM13"/>
      <c r="DN13" s="26" t="s">
        <v>48</v>
      </c>
      <c r="DO13" s="80"/>
      <c r="DP13" s="27">
        <v>43855</v>
      </c>
      <c r="DQ13" s="27"/>
      <c r="DR13" s="26">
        <v>0</v>
      </c>
      <c r="DS13" s="26">
        <v>0.20329336152663352</v>
      </c>
      <c r="DT13" s="25">
        <v>9.9999999999999995E-7</v>
      </c>
      <c r="DU13" s="26">
        <v>1.1946625698450987E-2</v>
      </c>
      <c r="DV13" s="108">
        <v>203293.36152663353</v>
      </c>
      <c r="DW13" s="19">
        <v>11.355599354824715</v>
      </c>
      <c r="DX13" s="12">
        <v>17.016800786381637</v>
      </c>
      <c r="DY13" s="112">
        <v>1E-3</v>
      </c>
      <c r="DZ13" s="26"/>
      <c r="EA13" s="27">
        <v>43910</v>
      </c>
      <c r="EB13" s="26" t="s">
        <v>1275</v>
      </c>
      <c r="EC13" s="26"/>
      <c r="ED13" s="112">
        <v>876</v>
      </c>
      <c r="EE13" s="26" t="s">
        <v>1276</v>
      </c>
      <c r="EF13" s="27">
        <v>43910</v>
      </c>
      <c r="EG13" s="26">
        <v>59</v>
      </c>
      <c r="EH13" s="26" t="s">
        <v>1277</v>
      </c>
      <c r="EI13" s="26"/>
      <c r="EJ13" s="26" t="s">
        <v>1278</v>
      </c>
      <c r="EK13" s="26"/>
      <c r="EL13" s="26" t="s">
        <v>1279</v>
      </c>
      <c r="EM13" s="26">
        <v>345.37139252483837</v>
      </c>
      <c r="EO13" s="26"/>
      <c r="EP13" s="94"/>
      <c r="EQ13" s="26"/>
      <c r="ER13" s="26" t="s">
        <v>1280</v>
      </c>
      <c r="ES13" s="26"/>
      <c r="ET13" s="26"/>
    </row>
    <row r="14" spans="1:158" ht="18.75" customHeight="1" x14ac:dyDescent="0.25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>
        <v>3</v>
      </c>
      <c r="X14" s="21">
        <f>IF(ISNUMBER(tblData[Singapore]),tblData[Singapore]/$X$9,"")</f>
        <v>5.1282051282051286</v>
      </c>
      <c r="Y14" s="21"/>
      <c r="Z14" s="21"/>
      <c r="AA14" s="26" t="str">
        <f>IF(tblData[[#This Row],[Date]]&lt;ItalyStart,"",tblData[[#This Row],[Date]]-ItalyStart)</f>
        <v/>
      </c>
      <c r="AB14" s="26"/>
      <c r="AC14" s="26">
        <f t="shared" si="4"/>
        <v>3</v>
      </c>
      <c r="AD14" s="26" t="str">
        <f>IF(tblData[[#This Row],[Date]]&lt;StartDt2Korea,"",tblData[[#This Row],[Date]]-StartDt2Korea)</f>
        <v/>
      </c>
      <c r="AE14" s="26" t="str">
        <f>IF(tblData[[#This Row],[Date]]&lt;UKStart,"",tblData[[#This Row],[Date]]-UKStart)</f>
        <v/>
      </c>
      <c r="AF14" s="26">
        <f>IF(tblData[[#This Row],[Date]]&lt;SingaporeStart,"",tblData[[#This Row],[Date]]-SingaporeStart)</f>
        <v>2</v>
      </c>
      <c r="AG14">
        <f>IF(tblData[Date]&gt;=StartDt2Au,tblData[Date]-StartDt2Au,"")</f>
        <v>0</v>
      </c>
      <c r="AH14" s="26">
        <f>IF(tblData[New South Wales]&gt;=0,SUM(tblData[[#This Row],[Australian Capital Territory]:[Western Australia]]),"")</f>
        <v>0</v>
      </c>
      <c r="AI14" s="26">
        <f>IF(ISNUMBER(tblData[Au]),tblData[Au]/$AE$9,"")</f>
        <v>0</v>
      </c>
      <c r="AJ14" s="19">
        <f>IF(ISNUMBER(tblData[[#This Row],[Day'# Aust]]),betaAu/(deltaAu+betaPodeltaAu*EXP(-betaAu*tblData[[#This Row],[Day'# Aust]])),"")</f>
        <v>6.5543696253997329E-3</v>
      </c>
      <c r="AK14" s="70">
        <f>IF(ISNUMBER(tblData[Day'# Aust]),tblData[Au LogiP(t)]/$AI$9,"")</f>
        <v>2.5841230190032064E-3</v>
      </c>
      <c r="AL14" s="11">
        <f>IF(AND(tblData[Date]&gt;=StartDt2Au,ISNUMBER(tblData[NSW])),(tblData[[#This Row],[Au LogiP(t)]]-tblData[[#This Row],[Au]])^2,"")</f>
        <v>4.2959761186362632E-5</v>
      </c>
      <c r="AM14" t="str">
        <f>IF(tblData[Date]&gt;StartDt2NSW,tblData[Date]-StartDt2NSW,"")</f>
        <v/>
      </c>
      <c r="AN14">
        <v>0</v>
      </c>
      <c r="AO14" s="11" t="str">
        <f>IF(tblData[Date]&gt;StartDt2NSW,betaNSW/(deltaNSW+betaPodeltaNSW*EXP(-betaNSW*tblData[[#This Row],[Day '# NSW]])),"")</f>
        <v/>
      </c>
      <c r="AP14" s="12" t="str">
        <f>IF(AND(ISNUMBER(tblData[NSW]),tblData[Date]&gt;StartDt2NSW),(tblData[[#This Row],[NSW LogiP(t)]]-tblData[[#This Row],[NSW]])^2,"")</f>
        <v/>
      </c>
      <c r="AQ14" s="12" t="str">
        <f>IF(AND(tblData[Date]&gt;StartDt2NSW,ISNUMBER(tblData[Day'# Aust])),tblData[NSW LogiP(t)]/$AL$9,"")</f>
        <v/>
      </c>
      <c r="AR14" s="11" t="str">
        <f>IF(AND(tblData[Date]&gt;StartDt2Italy,ISNUMBER(tblData[Days'# Italy])),betaItaly/(deltaItaly+betaPodeltaItaly*EXP(-betaItaly*tblData[Days'# Italy])),"")</f>
        <v/>
      </c>
      <c r="AS14" s="11" t="str">
        <f>IF(AND(tblData[Date]&gt;StartDt2Italy,ISNUMBER(tblData[Italy])),(tblData[[#This Row],[Italy LogiP(t)]]-tblData[[#This Row],[Italy]])^2,"")</f>
        <v/>
      </c>
      <c r="AT14" s="11" t="str">
        <f>IF(AND(tblData[Date]&gt;StartDt2Italy,ISNUMBER(tblData[Days'# Italy])),tblData[[#This Row],[Italy LogiP(t)]]/$AS$9,"")</f>
        <v/>
      </c>
      <c r="AU14" s="11" t="str">
        <f>IF(ISNUMBER(tblData[[#This Row],[Days'# US]]),betaUS/(deltaUS+betaPodeltaUS*EXP(-betaUS*tblData[Days'# US])),"")</f>
        <v/>
      </c>
      <c r="AV14" s="11"/>
      <c r="AW14" s="11" t="str">
        <f>IF(ISNUMBER(tblData[[#This Row],[Days'# US]]),tblData[[#This Row],[US LogiP(t)]]/$AV$9,"")</f>
        <v/>
      </c>
      <c r="AX14" s="11" t="str">
        <f>IF(tblData[Date]&gt;=StartDt2Korea,betaSKorea/(deltaSKorea+betaPodeltaSKorea*EXP(-betaSKorea*(tblData[Date]-StartDt2Korea))),"")</f>
        <v/>
      </c>
      <c r="AY14" s="11" t="str">
        <f>IF(AND(tblData[Date]&gt;=StartDt2Korea,ISNUMBER(tblData[SKorea])),(tblData[[#This Row],[SKorea LogiP(t)]]-tblData[[#This Row],[SKorea]])^2,"")</f>
        <v/>
      </c>
      <c r="AZ14" s="11" t="str">
        <f>IF(tblData[Date]&gt;=StartDt2Korea,tblData[[#This Row],[SKorea LogiP(t)]]/$AY$9,"")</f>
        <v/>
      </c>
      <c r="BA14" s="11" t="str">
        <f>IF(ISNUMBER(tblData[Days'# UK]),betaUK/(deltaUK+betaPodeltaUK*EXP(-betaUK*tblData[Days'# UK])),"")</f>
        <v/>
      </c>
      <c r="BB14" s="11" t="str">
        <f>IF(ISNUMBER(tblData[UK]),(tblData[[#This Row],[UK LogiP(t)]]-tblData[[#This Row],[UK]])^2,"")</f>
        <v/>
      </c>
      <c r="BC14" s="11" t="str">
        <f>IF(ISNUMBER(tblData[Days'# UK]),tblData[[#This Row],[UK LogiP(t)]]/$BB$9,"")</f>
        <v/>
      </c>
      <c r="BD14" s="11">
        <f>IF(ISNUMBER(tblData[Days'# China]),betaChina/(deltaChina+betaPodeltaChina*EXP(-betaChina*tblData[Days'# China])),"")</f>
        <v>2941.3146696062363</v>
      </c>
      <c r="BE14" s="11">
        <f>IF(ISNUMBER(tblData[China]),(tblData[[#This Row],[China LogiP(t)]]-tblData[[#This Row],[China]])^2,"")</f>
        <v>2357191.1347081065</v>
      </c>
      <c r="BF14" s="11">
        <f>tblData[[#This Row],[China LogiP(t)]]/$BE$9</f>
        <v>20.435392777158128</v>
      </c>
      <c r="BG14" s="11">
        <f>IF(ISNUMBER(tblData[Day'# Singapore]),betaSingapore/(deltaSingapore+betaPodeltaSingapore*EXP(-betaSingapore*tblData[Day'# Singapore])),"")</f>
        <v>27.978160805281181</v>
      </c>
      <c r="BH14" s="11">
        <f>IF(AND(ISNUMBER(tblData[Singapore]),tblData[Date]&gt;=StartDt2Singapore),(tblData[[#This Row],[Singapore LogiP(t)]]-tblData[[#This Row],[Singapore]])^2,"")</f>
        <v>623.90851721448507</v>
      </c>
      <c r="BI14" s="11">
        <f>IF(ISNUMBER(tblData[Day'# Singapore]),tblData[Singapore LogiP(t)]/$BH$9,"")</f>
        <v>47.825915906463564</v>
      </c>
      <c r="BJ14" s="11"/>
      <c r="BK14" s="11"/>
      <c r="BL14" s="11" t="str">
        <f>IF(ISNUMBER(tblData[[#This Row],[NSW Number of Tests]]),tblData[[#This Row],[NSW Number of Tests]]-BJ13,"")</f>
        <v/>
      </c>
      <c r="BM14" s="11" t="str">
        <f>IF(ISNUMBER(tblData[[#This Row],[NSW Under Investigation'']]),tblData[[#This Row],[NSW Under Investigation'']]-BK13,"")</f>
        <v/>
      </c>
      <c r="BN14" s="11"/>
      <c r="BO14" s="11" t="str">
        <f>IF(ISNUMBER(tblData[[#This Row],[NSW Test Day Number]]),betaTest/(deltaTest+betaPodeltaTest*EXP(-betaTest*tblData[[#This Row],[NSW Test Day Number]])),"")</f>
        <v/>
      </c>
      <c r="BP14" s="11" t="str">
        <f>IF(ISNUMBER(tblData[[#This Row],[NSW Number of Tests]]),(tblData[[#This Row],[NSW Number of Tests]]-tblData[[#This Row],[NSW Test Logi]])^2,"")</f>
        <v/>
      </c>
      <c r="BR14" s="27"/>
      <c r="BS14" s="26" t="s">
        <v>480</v>
      </c>
      <c r="BT14" s="81">
        <v>43913.916192129633</v>
      </c>
      <c r="BU14" s="27">
        <v>43852</v>
      </c>
      <c r="BV14" s="27">
        <v>43870</v>
      </c>
      <c r="BW14" s="26">
        <v>3</v>
      </c>
      <c r="BX14" s="23">
        <v>0.33723338041194412</v>
      </c>
      <c r="BY14" s="25">
        <v>2.0829424230556546E-6</v>
      </c>
      <c r="BZ14" s="22">
        <v>2.5463658144183617E-2</v>
      </c>
      <c r="CA14" s="24">
        <f>betaUS/deltaUS</f>
        <v>161902.4014678362</v>
      </c>
      <c r="CB14" s="37">
        <f>SQRT(SUM(tblData[US Sq Err])/COUNT(tblData[US Sq Err]))</f>
        <v>1033.5727100803306</v>
      </c>
      <c r="CC14" s="24">
        <f>(betaUS/PoUS)-deltaUS</f>
        <v>13.243710917853365</v>
      </c>
      <c r="CD14" s="24">
        <f>deltaUS*1000</f>
        <v>2.0829424230556547E-3</v>
      </c>
      <c r="CE14" s="24"/>
      <c r="CF14" s="27">
        <f t="array" ref="CF14">MAX(IF(ISNUMBER(tblData[US]),tblData[Date]))</f>
        <v>43913</v>
      </c>
      <c r="CG14" s="27" t="str">
        <f t="shared" si="0"/>
        <v>162 k</v>
      </c>
      <c r="CH14" s="43">
        <f>MAX(tblData[US LogiP(t)])</f>
        <v>161902.4014678362</v>
      </c>
      <c r="CI14" s="26">
        <f>MAX(tblData[US])</f>
        <v>35224</v>
      </c>
      <c r="CJ14" s="26" t="str">
        <f>Cengnotation(CA14/(USpop/PerPerson),3)</f>
        <v>4.92 k</v>
      </c>
      <c r="CK14" s="27">
        <f t="array" ref="CK14">MAX(IF(ISNUMBER(tblData[Italy]),tblData[Date]))</f>
        <v>43912</v>
      </c>
      <c r="CL14" s="19">
        <f t="array" ref="CL14">COUNT(IF(ISNUMBER(tblData[US]),tblData[Date]))</f>
        <v>44</v>
      </c>
      <c r="CM14" s="27" t="str">
        <f t="shared" si="1"/>
        <v xml:space="preserve">b=0.337, d=2.08E-06, P0=.025 Limit=4.92 k=&gt;162 k cases </v>
      </c>
      <c r="CN14" s="26"/>
      <c r="CO14" s="26" t="str">
        <f t="shared" si="2"/>
        <v>USA Limit 4.92 k</v>
      </c>
      <c r="CP14" s="33"/>
      <c r="CQ14" s="18" t="str">
        <f t="shared" si="3"/>
        <v>COVID19 USA P(t) = b / {d+[( b/Po - d ) ]* exp(-b*t)}
b=0.337, d=2.08E-06, P0=.025 Limit=4.92 k=&gt;162 k cases 
 22-Mar, Cases per 10 M population</v>
      </c>
      <c r="CR14" s="21">
        <f>MAX(tblData[US Cases Per Capita])</f>
        <v>1069.8976750276693</v>
      </c>
      <c r="CS14" s="27">
        <f>IF(CR14&gt;NSWMaxCasespc,INDEX(tblData[Date],1+MATCH(NSWMaxCasespc,tblData[US Cases Per Capita],1)),INDEX(tblData[Date],1+MATCH(CR14,tblData[NSW Cases per Capita],1)))</f>
        <v>43912</v>
      </c>
      <c r="CT14" s="11">
        <f>IF(CR14&gt;NSWMaxCasespc,1,-1)*(CF$12-CS14)</f>
        <v>1</v>
      </c>
      <c r="CU14" s="27">
        <f>IF(CR14&gt;AuMaxCasespc,INDEX(tblData[Date],1+MATCH(AuMaxCasespc,tblData[US Cases Per Capita],1)),INDEX(tblData[Date],1+MATCH(CR14,tblData[Au Cases Per Capita],1)))</f>
        <v>43911</v>
      </c>
      <c r="CV14" s="11">
        <f>IF(CR14&gt;AuMaxCasespc,1,-1)*(CF$13-CU14+1)</f>
        <v>2</v>
      </c>
      <c r="CW14" s="26" t="str">
        <f>CW11&amp;CHAR(10)&amp;CW12</f>
        <v>At Mon 23-Mar Australia 675 cases per 10M was 17 days behind Italy, 2 days behind USA &amp; 0 days behind China, 22 days behind South Korea, 2 days behind UK
At Mon 23-Mar NSW 871 cases per 10M was 16 days behind Italy, 1 days behind USA &amp; -1 days behind China, 20 days behind South Korea, 0 days behind UK</v>
      </c>
      <c r="CY14" s="26"/>
      <c r="CZ14" s="26"/>
      <c r="DH14" t="s">
        <v>1704</v>
      </c>
      <c r="DI14" t="s">
        <v>1705</v>
      </c>
      <c r="DM14"/>
      <c r="DN14" s="26" t="s">
        <v>48</v>
      </c>
      <c r="DO14" s="80">
        <v>43911.866249999999</v>
      </c>
      <c r="DP14" s="27">
        <v>43855</v>
      </c>
      <c r="DQ14" s="27">
        <v>43855</v>
      </c>
      <c r="DR14" s="26">
        <v>0</v>
      </c>
      <c r="DS14" s="26">
        <v>0.20648931335259277</v>
      </c>
      <c r="DT14" s="25">
        <v>1.0000000000000768E-9</v>
      </c>
      <c r="DU14" s="26">
        <v>1.0150253776574341E-2</v>
      </c>
      <c r="DV14" s="108">
        <v>206489313.35257691</v>
      </c>
      <c r="DW14" s="19">
        <v>10.992507007919523</v>
      </c>
      <c r="DX14" s="12">
        <v>20.343266078627209</v>
      </c>
      <c r="DY14" s="112">
        <v>1.0000000000000768E-6</v>
      </c>
      <c r="DZ14" s="26"/>
      <c r="EA14" s="27">
        <v>43911</v>
      </c>
      <c r="EB14" s="26" t="s">
        <v>1375</v>
      </c>
      <c r="EC14" s="26"/>
      <c r="ED14" s="112">
        <v>1068</v>
      </c>
      <c r="EE14" s="26" t="s">
        <v>1376</v>
      </c>
      <c r="EF14" s="27">
        <v>43911</v>
      </c>
      <c r="EG14" s="26">
        <v>60</v>
      </c>
      <c r="EH14" s="26" t="s">
        <v>1377</v>
      </c>
      <c r="EJ14" s="26" t="s">
        <v>1378</v>
      </c>
      <c r="EK14" s="26"/>
      <c r="EL14" s="26" t="s">
        <v>1379</v>
      </c>
      <c r="EM14" s="26">
        <v>421.06923198233716</v>
      </c>
      <c r="EO14" s="26"/>
      <c r="EP14" s="94"/>
      <c r="EQ14" s="26"/>
      <c r="ER14" s="26" t="s">
        <v>1357</v>
      </c>
      <c r="ES14" s="26"/>
      <c r="ET14" s="26"/>
    </row>
    <row r="15" spans="1:158" ht="15" customHeight="1" x14ac:dyDescent="0.25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>
        <v>4</v>
      </c>
      <c r="X15" s="21">
        <f>IF(ISNUMBER(tblData[Singapore]),tblData[Singapore]/$X$9,"")</f>
        <v>6.8376068376068382</v>
      </c>
      <c r="Y15" s="21"/>
      <c r="Z15" s="21"/>
      <c r="AA15" s="26" t="str">
        <f>IF(tblData[[#This Row],[Date]]&lt;ItalyStart,"",tblData[[#This Row],[Date]]-ItalyStart)</f>
        <v/>
      </c>
      <c r="AB15" s="26"/>
      <c r="AC15" s="26">
        <f t="shared" si="4"/>
        <v>4</v>
      </c>
      <c r="AD15" s="26" t="str">
        <f>IF(tblData[[#This Row],[Date]]&lt;StartDt2Korea,"",tblData[[#This Row],[Date]]-StartDt2Korea)</f>
        <v/>
      </c>
      <c r="AE15" s="26" t="str">
        <f>IF(tblData[[#This Row],[Date]]&lt;UKStart,"",tblData[[#This Row],[Date]]-UKStart)</f>
        <v/>
      </c>
      <c r="AF15" s="26">
        <f>IF(tblData[[#This Row],[Date]]&lt;SingaporeStart,"",tblData[[#This Row],[Date]]-SingaporeStart)</f>
        <v>3</v>
      </c>
      <c r="AG15">
        <f>IF(tblData[Date]&gt;=StartDt2Au,tblData[Date]-StartDt2Au,"")</f>
        <v>1</v>
      </c>
      <c r="AH15">
        <f>IF(tblData[New South Wales]&gt;0,SUM(tblData[[#This Row],[Australian Capital Territory]:[Western Australia]]),"")</f>
        <v>4</v>
      </c>
      <c r="AI15" s="12">
        <f>IF(ISNUMBER(tblData[Au]),tblData[Au]/$AE$9,"")</f>
        <v>1.5770383220312254</v>
      </c>
      <c r="AJ15" s="19">
        <f>IF(ISNUMBER(tblData[[#This Row],[Day'# Aust]]),betaAu/(deltaAu+betaPodeltaAu*EXP(-betaAu*tblData[[#This Row],[Day'# Aust]])),"")</f>
        <v>8.1247800647788124E-3</v>
      </c>
      <c r="AK15" s="70">
        <f>IF(ISNUMBER(tblData[Day'# Aust]),tblData[Au LogiP(t)]/$AI$9,"")</f>
        <v>3.2032723800578824E-3</v>
      </c>
      <c r="AL15" s="11">
        <f>IF(AND(tblData[Date]&gt;=StartDt2Au,ISNUMBER(tblData[NSW])),(tblData[[#This Row],[Au LogiP(t)]]-tblData[[#This Row],[Au]])^2,"")</f>
        <v>15.93506777153287</v>
      </c>
      <c r="AM15">
        <f>IF(tblData[Date]&gt;StartDt2NSW,tblData[Date]-StartDt2NSW,"")</f>
        <v>1</v>
      </c>
      <c r="AN15">
        <f t="shared" ref="AN15:AN62" si="5">IF(E15&gt;0,E15,"")</f>
        <v>3</v>
      </c>
      <c r="AO15" s="11">
        <f>IF(tblData[Date]&gt;StartDt2NSW,betaNSW/(deltaNSW+betaPodeltaNSW*EXP(-betaNSW*tblData[[#This Row],[Day '# NSW]])),"")</f>
        <v>8.3655027395233283E-3</v>
      </c>
      <c r="AP15" s="12">
        <f>IF(AND(ISNUMBER(tblData[NSW]),tblData[Date]&gt;StartDt2NSW),(tblData[[#This Row],[NSW LogiP(t)]]-tblData[[#This Row],[NSW]])^2,"")</f>
        <v>8.9498769651989445</v>
      </c>
      <c r="AQ15" s="12">
        <f>IF(AND(tblData[Date]&gt;StartDt2NSW,ISNUMBER(tblData[Day'# Aust])),tblData[NSW LogiP(t)]/$AL$9,"")</f>
        <v>1.0353344974657584E-2</v>
      </c>
      <c r="AR15" s="11" t="str">
        <f>IF(AND(tblData[Date]&gt;StartDt2Italy,ISNUMBER(tblData[Days'# Italy])),betaItaly/(deltaItaly+betaPodeltaItaly*EXP(-betaItaly*tblData[Days'# Italy])),"")</f>
        <v/>
      </c>
      <c r="AS15" s="11" t="str">
        <f>IF(AND(tblData[Date]&gt;StartDt2Italy,ISNUMBER(tblData[Italy])),(tblData[[#This Row],[Italy LogiP(t)]]-tblData[[#This Row],[Italy]])^2,"")</f>
        <v/>
      </c>
      <c r="AT15" s="11" t="str">
        <f>IF(AND(tblData[Date]&gt;StartDt2Italy,ISNUMBER(tblData[Days'# Italy])),tblData[[#This Row],[Italy LogiP(t)]]/$AS$9,"")</f>
        <v/>
      </c>
      <c r="AU15" s="11" t="str">
        <f>IF(ISNUMBER(tblData[[#This Row],[Days'# US]]),betaUS/(deltaUS+betaPodeltaUS*EXP(-betaUS*tblData[Days'# US])),"")</f>
        <v/>
      </c>
      <c r="AV15" s="11"/>
      <c r="AW15" s="11" t="str">
        <f>IF(ISNUMBER(tblData[[#This Row],[Days'# US]]),tblData[[#This Row],[US LogiP(t)]]/$AV$9,"")</f>
        <v/>
      </c>
      <c r="AX15" s="11" t="str">
        <f>IF(tblData[Date]&gt;=StartDt2Korea,betaSKorea/(deltaSKorea+betaPodeltaSKorea*EXP(-betaSKorea*(tblData[Date]-StartDt2Korea))),"")</f>
        <v/>
      </c>
      <c r="AY15" s="11" t="str">
        <f>IF(AND(tblData[Date]&gt;=StartDt2Korea,ISNUMBER(tblData[SKorea])),(tblData[[#This Row],[SKorea LogiP(t)]]-tblData[[#This Row],[SKorea]])^2,"")</f>
        <v/>
      </c>
      <c r="AZ15" s="11" t="str">
        <f>IF(tblData[Date]&gt;=StartDt2Korea,tblData[[#This Row],[SKorea LogiP(t)]]/$AY$9,"")</f>
        <v/>
      </c>
      <c r="BA15" s="11" t="str">
        <f>IF(ISNUMBER(tblData[Days'# UK]),betaUK/(deltaUK+betaPodeltaUK*EXP(-betaUK*tblData[Days'# UK])),"")</f>
        <v/>
      </c>
      <c r="BB15" s="11" t="str">
        <f>IF(ISNUMBER(tblData[UK]),(tblData[[#This Row],[UK LogiP(t)]]-tblData[[#This Row],[UK]])^2,"")</f>
        <v/>
      </c>
      <c r="BC15" s="11" t="str">
        <f>IF(ISNUMBER(tblData[Days'# UK]),tblData[[#This Row],[UK LogiP(t)]]/$BB$9,"")</f>
        <v/>
      </c>
      <c r="BD15" s="11">
        <f>IF(ISNUMBER(tblData[Days'# China]),betaChina/(deltaChina+betaPodeltaChina*EXP(-betaChina*tblData[Days'# China])),"")</f>
        <v>3640.0780928459899</v>
      </c>
      <c r="BE15" s="11">
        <f>IF(ISNUMBER(tblData[China]),(tblData[[#This Row],[China LogiP(t)]]-tblData[[#This Row],[China]])^2,"")</f>
        <v>2449469.436706441</v>
      </c>
      <c r="BF15" s="11">
        <f>tblData[[#This Row],[China LogiP(t)]]/$BE$9</f>
        <v>25.290196365421465</v>
      </c>
      <c r="BG15" s="11">
        <f>IF(ISNUMBER(tblData[Day'# Singapore]),betaSingapore/(deltaSingapore+betaPodeltaSingapore*EXP(-betaSingapore*tblData[Day'# Singapore])),"")</f>
        <v>29.235094402873603</v>
      </c>
      <c r="BH15" s="11">
        <f>IF(AND(ISNUMBER(tblData[Singapore]),tblData[Date]&gt;=StartDt2Singapore),(tblData[[#This Row],[Singapore LogiP(t)]]-tblData[[#This Row],[Singapore]])^2,"")</f>
        <v>636.80998952194261</v>
      </c>
      <c r="BI15" s="11">
        <f>IF(ISNUMBER(tblData[Day'# Singapore]),tblData[Singapore LogiP(t)]/$BH$9,"")</f>
        <v>49.974520346792488</v>
      </c>
      <c r="BJ15" s="11"/>
      <c r="BK15" s="11"/>
      <c r="BL15" s="11" t="str">
        <f>IF(ISNUMBER(tblData[[#This Row],[NSW Number of Tests]]),tblData[[#This Row],[NSW Number of Tests]]-BJ14,"")</f>
        <v/>
      </c>
      <c r="BM15" s="11" t="str">
        <f>IF(ISNUMBER(tblData[[#This Row],[NSW Under Investigation'']]),tblData[[#This Row],[NSW Under Investigation'']]-BK14,"")</f>
        <v/>
      </c>
      <c r="BN15" s="11"/>
      <c r="BO15" s="11" t="str">
        <f>IF(ISNUMBER(tblData[[#This Row],[NSW Test Day Number]]),betaTest/(deltaTest+betaPodeltaTest*EXP(-betaTest*tblData[[#This Row],[NSW Test Day Number]])),"")</f>
        <v/>
      </c>
      <c r="BP15" s="11" t="str">
        <f>IF(ISNUMBER(tblData[[#This Row],[NSW Number of Tests]]),(tblData[[#This Row],[NSW Number of Tests]]-tblData[[#This Row],[NSW Test Logi]])^2,"")</f>
        <v/>
      </c>
      <c r="BR15" s="27"/>
      <c r="BS15" s="26" t="s">
        <v>225</v>
      </c>
      <c r="BT15" s="81">
        <v>43913.916203703702</v>
      </c>
      <c r="BU15" s="27">
        <v>43852</v>
      </c>
      <c r="BV15" s="27">
        <v>43852</v>
      </c>
      <c r="BW15" s="26">
        <v>4</v>
      </c>
      <c r="BX15" s="23">
        <v>0.2221429979133962</v>
      </c>
      <c r="BY15" s="25">
        <v>2.7432177917623539E-6</v>
      </c>
      <c r="BZ15" s="22">
        <v>1537.6493038446686</v>
      </c>
      <c r="CA15" s="24">
        <f>betaChina/deltaChina</f>
        <v>80978.987005870425</v>
      </c>
      <c r="CB15" s="37">
        <f>SQRT(SUM(tblData[China Sq Err])/COUNT(tblData[China Sq Err]))</f>
        <v>2045.0311506785802</v>
      </c>
      <c r="CC15" s="24">
        <f>(betaChina/PoChina)-deltaChina</f>
        <v>1.4172600373876473E-4</v>
      </c>
      <c r="CD15" s="24">
        <f>deltaChina*1000</f>
        <v>2.7432177917623541E-3</v>
      </c>
      <c r="CE15" s="24"/>
      <c r="CF15" s="27">
        <f t="array" ref="CF15">MAX(IF(ISNUMBER(tblData[Italy]),tblData[Date]))</f>
        <v>43912</v>
      </c>
      <c r="CG15" s="27" t="str">
        <f t="shared" si="0"/>
        <v>81.0 k</v>
      </c>
      <c r="CH15" s="43">
        <f>MAX(tblData[China LogiP(t)])</f>
        <v>80978.9867574651</v>
      </c>
      <c r="CI15" s="26">
        <f>MAX(tblData[China])</f>
        <v>81454</v>
      </c>
      <c r="CJ15" s="26" t="str">
        <f>Cengnotation(CA15/(ChinaPop/PerPerson),3)</f>
        <v xml:space="preserve">563  </v>
      </c>
      <c r="CK15" s="27">
        <f t="array" ref="CK15">MAX(IF(ISNUMBER(tblData[China]),tblData[Date]))</f>
        <v>43913</v>
      </c>
      <c r="CL15" s="19">
        <f t="array" ref="CL15">COUNT(IF(ISNUMBER(tblData[China]),tblData[Date]))</f>
        <v>62</v>
      </c>
      <c r="CM15" s="27" t="str">
        <f t="shared" si="1"/>
        <v xml:space="preserve">b=0.222, d=2.74E-06, P0=1537.649 Limit=563  =&gt;81.0 k cases </v>
      </c>
      <c r="CN15" s="26"/>
      <c r="CO15" s="26" t="str">
        <f t="shared" si="2"/>
        <v xml:space="preserve">China Limit 563  </v>
      </c>
      <c r="CP15" s="26"/>
      <c r="CQ15" s="18" t="str">
        <f t="shared" si="3"/>
        <v>COVID19 China P(t) = b / {d+[( b/Po - d ) ]* exp(-b*t)}
b=0.222, d=2.74E-06, P0=1537.649 Limit=563  =&gt;81.0 k cases 
 23-Mar, Cases per 10 M population</v>
      </c>
      <c r="CR15" s="21">
        <f>MAX(tblData[China Cases Per Capita])</f>
        <v>565.91853312093133</v>
      </c>
      <c r="CS15" s="27">
        <f>IF(CR15&gt;NSWMaxCasespc,INDEX(tblData[Date],1+MATCH(NSWMaxCasespc,tblData[China Cases Per Capita],1)),INDEX(tblData[Date],1+MATCH(CR15,tblData[NSW Cases per Capita],1)))</f>
        <v>43912</v>
      </c>
      <c r="CT15" s="11">
        <f>IF(CR15&gt;NSWMaxCasespc,1,-1)*(CF$12-CS15)</f>
        <v>-1</v>
      </c>
      <c r="CU15" s="27">
        <f>IF(CR15&gt;AuMaxCasespc,INDEX(tblData[Date],1+MATCH(AuMaxCasespc,tblData[China Cases Per Capita],1)),INDEX(tblData[Date],1+MATCH(CR15,tblData[Au Cases Per Capita],1)))</f>
        <v>43913</v>
      </c>
      <c r="CV15" s="11">
        <f>IF(CR15&gt;AuMaxCasespc,1,-1)*(CF$13-CU15+1)</f>
        <v>0</v>
      </c>
      <c r="CW15" s="26"/>
      <c r="CY15" s="26"/>
      <c r="CZ15" s="26"/>
      <c r="DH15" s="27">
        <v>43854</v>
      </c>
      <c r="DI15">
        <v>0.1</v>
      </c>
      <c r="DM15"/>
      <c r="DN15" s="26" t="s">
        <v>48</v>
      </c>
      <c r="DO15" s="80">
        <v>43911.898379629631</v>
      </c>
      <c r="DP15" s="27">
        <v>43855</v>
      </c>
      <c r="DQ15" s="27">
        <v>43855</v>
      </c>
      <c r="DR15" s="26">
        <v>0</v>
      </c>
      <c r="DS15" s="26">
        <v>0.20648931335259277</v>
      </c>
      <c r="DT15" s="25">
        <v>1.0000000000000768E-9</v>
      </c>
      <c r="DU15" s="26">
        <v>1.0150253776574341E-2</v>
      </c>
      <c r="DV15" s="108">
        <v>206489313.35257691</v>
      </c>
      <c r="DW15" s="26">
        <v>10.992507007919523</v>
      </c>
      <c r="DX15" s="26">
        <v>20.343266078627209</v>
      </c>
      <c r="DY15" s="112">
        <v>1.0000000000000768E-6</v>
      </c>
      <c r="DZ15" s="26"/>
      <c r="EA15" s="27">
        <v>43911</v>
      </c>
      <c r="EB15" s="26" t="s">
        <v>1375</v>
      </c>
      <c r="EC15" s="26"/>
      <c r="ED15" s="112">
        <v>1068</v>
      </c>
      <c r="EE15" s="26" t="s">
        <v>1376</v>
      </c>
      <c r="EF15" s="27">
        <v>43911</v>
      </c>
      <c r="EG15" s="26">
        <v>57</v>
      </c>
      <c r="EH15" s="26" t="s">
        <v>1377</v>
      </c>
      <c r="EI15" s="26"/>
      <c r="EJ15" s="26" t="s">
        <v>1378</v>
      </c>
      <c r="EK15" s="26"/>
      <c r="EL15" s="26" t="s">
        <v>1379</v>
      </c>
      <c r="EM15" s="26">
        <v>421.06923198233716</v>
      </c>
      <c r="EO15" s="26"/>
      <c r="EP15" s="94"/>
      <c r="EQ15" s="26"/>
      <c r="ER15" t="s">
        <v>1357</v>
      </c>
      <c r="ES15" s="26"/>
      <c r="ET15" s="26"/>
    </row>
    <row r="16" spans="1:158" ht="18.75" customHeight="1" x14ac:dyDescent="0.25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>
        <v>5</v>
      </c>
      <c r="X16" s="21">
        <f>IF(ISNUMBER(tblData[Singapore]),tblData[Singapore]/$X$9,"")</f>
        <v>8.5470085470085468</v>
      </c>
      <c r="Y16" s="21"/>
      <c r="Z16" s="21"/>
      <c r="AA16" s="26" t="str">
        <f>IF(tblData[[#This Row],[Date]]&lt;ItalyStart,"",tblData[[#This Row],[Date]]-ItalyStart)</f>
        <v/>
      </c>
      <c r="AB16" s="26"/>
      <c r="AC16" s="26">
        <f t="shared" si="4"/>
        <v>5</v>
      </c>
      <c r="AD16" s="26" t="str">
        <f>IF(tblData[[#This Row],[Date]]&lt;StartDt2Korea,"",tblData[[#This Row],[Date]]-StartDt2Korea)</f>
        <v/>
      </c>
      <c r="AE16" s="26" t="str">
        <f>IF(tblData[[#This Row],[Date]]&lt;UKStart,"",tblData[[#This Row],[Date]]-UKStart)</f>
        <v/>
      </c>
      <c r="AF16" s="26">
        <f>IF(tblData[[#This Row],[Date]]&lt;SingaporeStart,"",tblData[[#This Row],[Date]]-SingaporeStart)</f>
        <v>4</v>
      </c>
      <c r="AG16">
        <f>IF(tblData[Date]&gt;=StartDt2Au,tblData[Date]-StartDt2Au,"")</f>
        <v>2</v>
      </c>
      <c r="AH16" s="26">
        <f>IF(tblData[New South Wales]&gt;0,SUM(tblData[[#This Row],[Australian Capital Territory]:[Western Australia]]),"")</f>
        <v>5</v>
      </c>
      <c r="AI16" s="12">
        <f>IF(ISNUMBER(tblData[Au]),tblData[Au]/$AE$9,"")</f>
        <v>1.9712979025390318</v>
      </c>
      <c r="AJ16" s="19">
        <f>IF(ISNUMBER(tblData[[#This Row],[Day'# Aust]]),betaAu/(deltaAu+betaPodeltaAu*EXP(-betaAu*tblData[[#This Row],[Day'# Aust]])),"")</f>
        <v>1.0071456886595895E-2</v>
      </c>
      <c r="AK16" s="70">
        <f>IF(ISNUMBER(tblData[Day'# Aust]),tblData[Au LogiP(t)]/$AI$9,"")</f>
        <v>3.9707683672117553E-3</v>
      </c>
      <c r="AL16" s="11">
        <f>IF(AND(tblData[Date]&gt;=StartDt2Au,ISNUMBER(tblData[NSW])),(tblData[[#This Row],[Au LogiP(t)]]-tblData[[#This Row],[Au]])^2,"")</f>
        <v>24.899386865377856</v>
      </c>
      <c r="AM16">
        <f>IF(tblData[Date]&gt;StartDt2NSW,tblData[Date]-StartDt2NSW,"")</f>
        <v>2</v>
      </c>
      <c r="AN16">
        <f t="shared" si="5"/>
        <v>4</v>
      </c>
      <c r="AO16" s="11">
        <f>IF(tblData[Date]&gt;StartDt2NSW,betaNSW/(deltaNSW+betaPodeltaNSW*EXP(-betaNSW*tblData[[#This Row],[Day '# NSW]])),"")</f>
        <v>1.0200690126667713E-2</v>
      </c>
      <c r="AP16" s="12">
        <f>IF(AND(ISNUMBER(tblData[NSW]),tblData[Date]&gt;StartDt2NSW),(tblData[[#This Row],[NSW LogiP(t)]]-tblData[[#This Row],[NSW]])^2,"")</f>
        <v>15.918498533065719</v>
      </c>
      <c r="AQ16" s="12">
        <f>IF(AND(tblData[Date]&gt;StartDt2NSW,ISNUMBER(tblData[Day'# Aust])),tblData[NSW LogiP(t)]/$AL$9,"")</f>
        <v>1.2624616493400635E-2</v>
      </c>
      <c r="AR16" s="11" t="str">
        <f>IF(AND(tblData[Date]&gt;StartDt2Italy,ISNUMBER(tblData[Days'# Italy])),betaItaly/(deltaItaly+betaPodeltaItaly*EXP(-betaItaly*tblData[Days'# Italy])),"")</f>
        <v/>
      </c>
      <c r="AS16" s="11" t="str">
        <f>IF(AND(tblData[Date]&gt;StartDt2Italy,ISNUMBER(tblData[Italy])),(tblData[[#This Row],[Italy LogiP(t)]]-tblData[[#This Row],[Italy]])^2,"")</f>
        <v/>
      </c>
      <c r="AT16" s="11" t="str">
        <f>IF(AND(tblData[Date]&gt;StartDt2Italy,ISNUMBER(tblData[Days'# Italy])),tblData[[#This Row],[Italy LogiP(t)]]/$AS$9,"")</f>
        <v/>
      </c>
      <c r="AU16" s="11" t="str">
        <f>IF(ISNUMBER(tblData[[#This Row],[Days'# US]]),betaUS/(deltaUS+betaPodeltaUS*EXP(-betaUS*tblData[Days'# US])),"")</f>
        <v/>
      </c>
      <c r="AV16" s="11"/>
      <c r="AW16" s="11" t="str">
        <f>IF(ISNUMBER(tblData[[#This Row],[Days'# US]]),tblData[[#This Row],[US LogiP(t)]]/$AV$9,"")</f>
        <v/>
      </c>
      <c r="AX16" s="11" t="str">
        <f>IF(tblData[Date]&gt;=StartDt2Korea,betaSKorea/(deltaSKorea+betaPodeltaSKorea*EXP(-betaSKorea*(tblData[Date]-StartDt2Korea))),"")</f>
        <v/>
      </c>
      <c r="AY16" s="11" t="str">
        <f>IF(AND(tblData[Date]&gt;=StartDt2Korea,ISNUMBER(tblData[SKorea])),(tblData[[#This Row],[SKorea LogiP(t)]]-tblData[[#This Row],[SKorea]])^2,"")</f>
        <v/>
      </c>
      <c r="AZ16" s="11" t="str">
        <f>IF(tblData[Date]&gt;=StartDt2Korea,tblData[[#This Row],[SKorea LogiP(t)]]/$AY$9,"")</f>
        <v/>
      </c>
      <c r="BA16" s="11" t="str">
        <f>IF(ISNUMBER(tblData[Days'# UK]),betaUK/(deltaUK+betaPodeltaUK*EXP(-betaUK*tblData[Days'# UK])),"")</f>
        <v/>
      </c>
      <c r="BB16" s="11" t="str">
        <f>IF(ISNUMBER(tblData[UK]),(tblData[[#This Row],[UK LogiP(t)]]-tblData[[#This Row],[UK]])^2,"")</f>
        <v/>
      </c>
      <c r="BC16" s="11" t="str">
        <f>IF(ISNUMBER(tblData[Days'# UK]),tblData[[#This Row],[UK LogiP(t)]]/$BB$9,"")</f>
        <v/>
      </c>
      <c r="BD16" s="11">
        <f>IF(ISNUMBER(tblData[Days'# China]),betaChina/(deltaChina+betaPodeltaChina*EXP(-betaChina*tblData[Days'# China])),"")</f>
        <v>4495.2831223731255</v>
      </c>
      <c r="BE16" s="11">
        <f>IF(ISNUMBER(tblData[China]),(tblData[[#This Row],[China LogiP(t)]]-tblData[[#This Row],[China]])^2,"")</f>
        <v>2618840.264157712</v>
      </c>
      <c r="BF16" s="11">
        <f>tblData[[#This Row],[China LogiP(t)]]/$BE$9</f>
        <v>31.231910410497697</v>
      </c>
      <c r="BG16" s="11">
        <f>IF(ISNUMBER(tblData[Day'# Singapore]),betaSingapore/(deltaSingapore+betaPodeltaSingapore*EXP(-betaSingapore*tblData[Day'# Singapore])),"")</f>
        <v>30.548496403755784</v>
      </c>
      <c r="BH16" s="11">
        <f>IF(AND(ISNUMBER(tblData[Singapore]),tblData[Date]&gt;=StartDt2Singapore),(tblData[[#This Row],[Singapore LogiP(t)]]-tblData[[#This Row],[Singapore]])^2,"")</f>
        <v>652.72566849272221</v>
      </c>
      <c r="BI16" s="11">
        <f>IF(ISNUMBER(tblData[Day'# Singapore]),tblData[Singapore LogiP(t)]/$BH$9,"")</f>
        <v>52.219651972232114</v>
      </c>
      <c r="BJ16" s="11"/>
      <c r="BK16" s="11"/>
      <c r="BL16" s="11" t="str">
        <f>IF(ISNUMBER(tblData[[#This Row],[NSW Number of Tests]]),tblData[[#This Row],[NSW Number of Tests]]-BJ15,"")</f>
        <v/>
      </c>
      <c r="BM16" s="11" t="str">
        <f>IF(ISNUMBER(tblData[[#This Row],[NSW Under Investigation'']]),tblData[[#This Row],[NSW Under Investigation'']]-BK15,"")</f>
        <v/>
      </c>
      <c r="BN16" s="11"/>
      <c r="BO16" s="11" t="str">
        <f>IF(ISNUMBER(tblData[[#This Row],[NSW Test Day Number]]),betaTest/(deltaTest+betaPodeltaTest*EXP(-betaTest*tblData[[#This Row],[NSW Test Day Number]])),"")</f>
        <v/>
      </c>
      <c r="BP16" s="11" t="str">
        <f>IF(ISNUMBER(tblData[[#This Row],[NSW Number of Tests]]),(tblData[[#This Row],[NSW Number of Tests]]-tblData[[#This Row],[NSW Test Logi]])^2,"")</f>
        <v/>
      </c>
      <c r="BR16" s="27"/>
      <c r="BS16" s="26" t="s">
        <v>1265</v>
      </c>
      <c r="BT16" s="81">
        <v>43913.916215277779</v>
      </c>
      <c r="BU16" s="27">
        <v>43852</v>
      </c>
      <c r="BV16" s="27">
        <v>43880</v>
      </c>
      <c r="BW16" s="26">
        <v>5</v>
      </c>
      <c r="BX16" s="23">
        <v>0.31038865067069232</v>
      </c>
      <c r="BY16" s="25">
        <v>3.6548995738742622E-5</v>
      </c>
      <c r="BZ16" s="22">
        <v>200.10242498173187</v>
      </c>
      <c r="CA16" s="24">
        <f>betaSKorea/deltaSKorea</f>
        <v>8492.3988853043793</v>
      </c>
      <c r="CB16" s="37">
        <f t="array" ref="CB16">SQRT(SUM(tblData[Skorea Sq Err])/COUNT(tblData[Skorea Sq Err]))</f>
        <v>198.05252918764555</v>
      </c>
      <c r="CC16" s="24">
        <f>(betaSKorea/PoSKorea)-deltaSKorea</f>
        <v>1.5145998756406467E-3</v>
      </c>
      <c r="CD16" s="24">
        <f>deltaSKorea*1000</f>
        <v>3.6548995738742623E-2</v>
      </c>
      <c r="CE16" s="24"/>
      <c r="CF16" s="27">
        <f t="array" ref="CF16">MAX(IF(ISNUMBER(tblData[SKorea]),tblData[Date]))</f>
        <v>43913</v>
      </c>
      <c r="CG16" s="27" t="str">
        <f t="shared" si="0"/>
        <v>8.49 k</v>
      </c>
      <c r="CH16" s="43">
        <f>MAX(tblData[SKorea LogiP(t)])</f>
        <v>8492.3988853043793</v>
      </c>
      <c r="CI16" s="26">
        <f>MAX(tblData[SKorea])</f>
        <v>8961</v>
      </c>
      <c r="CJ16" s="26" t="str">
        <f>Cengnotation(CA16/(SKoreaPop/PerPerson),3)</f>
        <v>1.65 k</v>
      </c>
      <c r="CK16" s="27">
        <f t="array" ref="CK16">MAX(IF(ISNUMBER(tblData[SKorea]),tblData[Date]))</f>
        <v>43913</v>
      </c>
      <c r="CL16" s="19">
        <f t="array" ref="CL16">COUNT(IF(ISNUMBER(tblData[SKorea]),tblData[Date]))</f>
        <v>62</v>
      </c>
      <c r="CM16" s="27" t="str">
        <f t="shared" si="1"/>
        <v xml:space="preserve">b=0.31, d=3.65E-05, P0=200.102 Limit=1.65 k=&gt;8.49 k cases , log fit from 19th Feb </v>
      </c>
      <c r="CN16" s="26"/>
      <c r="CO16" s="26" t="str">
        <f>BS16&amp;" Limit " &amp; IF(PopScaling=0,CG16,CJ16) &amp; " fr 19th Feb"</f>
        <v>Skorea Limit 1.65 k fr 19th Feb</v>
      </c>
      <c r="CP16" s="33" t="str">
        <f xml:space="preserve"> ", log fit from 19th Feb "</f>
        <v xml:space="preserve">, log fit from 19th Feb </v>
      </c>
      <c r="CQ16" s="18" t="str">
        <f t="shared" si="3"/>
        <v>COVID19 Skorea P(t) = b / {d+[( b/Po - d ) ]* exp(-b*t)}
b=0.31, d=3.65E-05, P0=200.102 Limit=1.65 k=&gt;8.49 k cases , log fit from 19th Feb 
 23-Mar, Cases per 10 M population</v>
      </c>
      <c r="CR16" s="21">
        <f>MAX(tblData[SKorea Cases Per Capita])</f>
        <v>1743.3852140077822</v>
      </c>
      <c r="CS16" s="27">
        <f>IF(CR16&gt;NSWMaxCasespc,INDEX(tblData[Date],1+MATCH(NSWMaxCasespc,tblData[SKorea Cases Per Capita],1)),INDEX(tblData[Date],1+MATCH(CR16,tblData[NSW Cases per Capita],1)))</f>
        <v>43893</v>
      </c>
      <c r="CT16" s="11">
        <f>IF(CR16&gt;NSWMaxCasespc,1,-1)*(CF$12-CS16)</f>
        <v>20</v>
      </c>
      <c r="CU16" s="27">
        <f>IF(CR16&gt;AuMaxCasespc,INDEX(tblData[Date],1+MATCH(AuMaxCasespc,tblData[SKorea Cases Per Capita],1)),INDEX(tblData[Date],1+MATCH(CR16,tblData[Au Cases Per Capita],1)))</f>
        <v>43891</v>
      </c>
      <c r="CV16" s="11">
        <f>IF(CR16&gt;AuMaxCasespc,1,-1)*(CF$13-CU16+1)</f>
        <v>22</v>
      </c>
      <c r="CW16" s="26"/>
      <c r="CX16" s="26"/>
      <c r="CY16" s="26"/>
      <c r="CZ16" s="26"/>
      <c r="DA16" s="26"/>
      <c r="DB16" s="26"/>
      <c r="DC16" s="26"/>
      <c r="DD16" s="26"/>
      <c r="DE16" s="26"/>
      <c r="DH16" s="27">
        <v>43854</v>
      </c>
      <c r="DI16" s="43">
        <v>10000000</v>
      </c>
      <c r="DM16"/>
      <c r="DN16" s="26" t="s">
        <v>48</v>
      </c>
      <c r="DO16" s="80">
        <v>43912.326643518521</v>
      </c>
      <c r="DP16" s="27">
        <v>43855</v>
      </c>
      <c r="DQ16" s="27">
        <v>43855</v>
      </c>
      <c r="DR16" s="26">
        <v>0</v>
      </c>
      <c r="DS16" s="26">
        <v>0.20700169092268883</v>
      </c>
      <c r="DT16" s="25">
        <v>1.0000000000000768E-9</v>
      </c>
      <c r="DU16" s="26">
        <v>9.888722941768591E-3</v>
      </c>
      <c r="DV16" s="108">
        <v>207001690.92267293</v>
      </c>
      <c r="DW16" s="26">
        <v>11.00426291537671</v>
      </c>
      <c r="DX16" s="26">
        <v>20.933106542853348</v>
      </c>
      <c r="DY16" s="112">
        <v>1.0000000000000768E-6</v>
      </c>
      <c r="DZ16" s="26"/>
      <c r="EA16" s="27">
        <v>43911</v>
      </c>
      <c r="EB16" s="26" t="s">
        <v>1391</v>
      </c>
      <c r="EC16" s="26"/>
      <c r="ED16" s="112">
        <v>1073</v>
      </c>
      <c r="EE16" s="26" t="s">
        <v>1392</v>
      </c>
      <c r="EF16" s="27">
        <v>43911</v>
      </c>
      <c r="EG16" s="26">
        <v>57</v>
      </c>
      <c r="EH16" s="26" t="s">
        <v>1393</v>
      </c>
      <c r="EI16" s="26"/>
      <c r="EJ16" t="s">
        <v>1394</v>
      </c>
      <c r="EK16" s="26"/>
      <c r="EL16" s="26" t="s">
        <v>1395</v>
      </c>
      <c r="EM16" s="26">
        <v>423.04052988487621</v>
      </c>
      <c r="EO16" s="26"/>
      <c r="EP16" s="94"/>
      <c r="EQ16" s="26"/>
      <c r="ER16" t="s">
        <v>1390</v>
      </c>
      <c r="ES16" s="26"/>
      <c r="ET16" s="26"/>
    </row>
    <row r="17" spans="2:150" ht="15" customHeight="1" x14ac:dyDescent="0.25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>
        <v>7</v>
      </c>
      <c r="X17" s="21">
        <f>IF(ISNUMBER(tblData[Singapore]),tblData[Singapore]/$X$9,"")</f>
        <v>11.965811965811966</v>
      </c>
      <c r="Y17" s="21"/>
      <c r="Z17" s="21"/>
      <c r="AA17" s="26" t="str">
        <f>IF(tblData[[#This Row],[Date]]&lt;ItalyStart,"",tblData[[#This Row],[Date]]-ItalyStart)</f>
        <v/>
      </c>
      <c r="AB17" s="26"/>
      <c r="AC17" s="26">
        <f t="shared" si="4"/>
        <v>6</v>
      </c>
      <c r="AD17" s="26" t="str">
        <f>IF(tblData[[#This Row],[Date]]&lt;StartDt2Korea,"",tblData[[#This Row],[Date]]-StartDt2Korea)</f>
        <v/>
      </c>
      <c r="AE17" s="26" t="str">
        <f>IF(tblData[[#This Row],[Date]]&lt;UKStart,"",tblData[[#This Row],[Date]]-UKStart)</f>
        <v/>
      </c>
      <c r="AF17" s="26">
        <f>IF(tblData[[#This Row],[Date]]&lt;SingaporeStart,"",tblData[[#This Row],[Date]]-SingaporeStart)</f>
        <v>5</v>
      </c>
      <c r="AG17">
        <f>IF(tblData[Date]&gt;=StartDt2Au,tblData[Date]-StartDt2Au,"")</f>
        <v>3</v>
      </c>
      <c r="AH17" s="26">
        <f>IF(tblData[New South Wales]&gt;0,SUM(tblData[[#This Row],[Australian Capital Territory]:[Western Australia]]),"")</f>
        <v>5</v>
      </c>
      <c r="AI17" s="12">
        <f>IF(ISNUMBER(tblData[Au]),tblData[Au]/$AE$9,"")</f>
        <v>1.9712979025390318</v>
      </c>
      <c r="AJ17" s="19">
        <f>IF(ISNUMBER(tblData[[#This Row],[Day'# Aust]]),betaAu/(deltaAu+betaPodeltaAu*EXP(-betaAu*tblData[[#This Row],[Day'# Aust]])),"")</f>
        <v>1.2484552567555693E-2</v>
      </c>
      <c r="AK17" s="70">
        <f>IF(ISNUMBER(tblData[Day'# Aust]),tblData[Au LogiP(t)]/$AI$9,"")</f>
        <v>4.9221544581121643E-3</v>
      </c>
      <c r="AL17" s="11">
        <f>IF(AND(tblData[Date]&gt;=StartDt2Au,ISNUMBER(tblData[NSW])),(tblData[[#This Row],[Au LogiP(t)]]-tblData[[#This Row],[Au]])^2,"")</f>
        <v>24.875310338377254</v>
      </c>
      <c r="AM17">
        <f>IF(tblData[Date]&gt;StartDt2NSW,tblData[Date]-StartDt2NSW,"")</f>
        <v>3</v>
      </c>
      <c r="AN17">
        <f t="shared" si="5"/>
        <v>4</v>
      </c>
      <c r="AO17" s="11">
        <f>IF(tblData[Date]&gt;StartDt2NSW,betaNSW/(deltaNSW+betaPodeltaNSW*EXP(-betaNSW*tblData[[#This Row],[Day '# NSW]])),"")</f>
        <v>1.2438472892810864E-2</v>
      </c>
      <c r="AP17" s="12">
        <f>IF(AND(ISNUMBER(tblData[NSW]),tblData[Date]&gt;StartDt2NSW),(tblData[[#This Row],[NSW LogiP(t)]]-tblData[[#This Row],[NSW]])^2,"")</f>
        <v>15.900646932465417</v>
      </c>
      <c r="AQ17" s="12">
        <f>IF(AND(tblData[Date]&gt;StartDt2NSW,ISNUMBER(tblData[Day'# Aust])),tblData[NSW LogiP(t)]/$AL$9,"")</f>
        <v>1.5394149619815426E-2</v>
      </c>
      <c r="AR17" s="11" t="str">
        <f>IF(AND(tblData[Date]&gt;StartDt2Italy,ISNUMBER(tblData[Days'# Italy])),betaItaly/(deltaItaly+betaPodeltaItaly*EXP(-betaItaly*tblData[Days'# Italy])),"")</f>
        <v/>
      </c>
      <c r="AS17" s="11" t="str">
        <f>IF(AND(tblData[Date]&gt;StartDt2Italy,ISNUMBER(tblData[Italy])),(tblData[[#This Row],[Italy LogiP(t)]]-tblData[[#This Row],[Italy]])^2,"")</f>
        <v/>
      </c>
      <c r="AT17" s="11" t="str">
        <f>IF(AND(tblData[Date]&gt;StartDt2Italy,ISNUMBER(tblData[Days'# Italy])),tblData[[#This Row],[Italy LogiP(t)]]/$AS$9,"")</f>
        <v/>
      </c>
      <c r="AU17" s="11" t="str">
        <f>IF(ISNUMBER(tblData[[#This Row],[Days'# US]]),betaUS/(deltaUS+betaPodeltaUS*EXP(-betaUS*tblData[Days'# US])),"")</f>
        <v/>
      </c>
      <c r="AV17" s="11"/>
      <c r="AW17" s="11" t="str">
        <f>IF(ISNUMBER(tblData[[#This Row],[Days'# US]]),tblData[[#This Row],[US LogiP(t)]]/$AV$9,"")</f>
        <v/>
      </c>
      <c r="AX17" s="11" t="str">
        <f>IF(tblData[Date]&gt;=StartDt2Korea,betaSKorea/(deltaSKorea+betaPodeltaSKorea*EXP(-betaSKorea*(tblData[Date]-StartDt2Korea))),"")</f>
        <v/>
      </c>
      <c r="AY17" s="11" t="str">
        <f>IF(AND(tblData[Date]&gt;=StartDt2Korea,ISNUMBER(tblData[SKorea])),(tblData[[#This Row],[SKorea LogiP(t)]]-tblData[[#This Row],[SKorea]])^2,"")</f>
        <v/>
      </c>
      <c r="AZ17" s="11" t="str">
        <f>IF(tblData[Date]&gt;=StartDt2Korea,tblData[[#This Row],[SKorea LogiP(t)]]/$AY$9,"")</f>
        <v/>
      </c>
      <c r="BA17" s="11" t="str">
        <f>IF(ISNUMBER(tblData[Days'# UK]),betaUK/(deltaUK+betaPodeltaUK*EXP(-betaUK*tblData[Days'# UK])),"")</f>
        <v/>
      </c>
      <c r="BB17" s="11" t="str">
        <f>IF(ISNUMBER(tblData[UK]),(tblData[[#This Row],[UK LogiP(t)]]-tblData[[#This Row],[UK]])^2,"")</f>
        <v/>
      </c>
      <c r="BC17" s="11" t="str">
        <f>IF(ISNUMBER(tblData[Days'# UK]),tblData[[#This Row],[UK LogiP(t)]]/$BB$9,"")</f>
        <v/>
      </c>
      <c r="BD17" s="11">
        <f>IF(ISNUMBER(tblData[Days'# China]),betaChina/(deltaChina+betaPodeltaChina*EXP(-betaChina*tblData[Days'# China])),"")</f>
        <v>5537.0262663331423</v>
      </c>
      <c r="BE17" s="11">
        <f>IF(ISNUMBER(tblData[China]),(tblData[[#This Row],[China LogiP(t)]]-tblData[[#This Row],[China]])^2,"")</f>
        <v>785.47160457622567</v>
      </c>
      <c r="BF17" s="11">
        <f>tblData[[#This Row],[China LogiP(t)]]/$BE$9</f>
        <v>38.469636635344116</v>
      </c>
      <c r="BG17" s="11">
        <f>IF(ISNUMBER(tblData[Day'# Singapore]),betaSingapore/(deltaSingapore+betaPodeltaSingapore*EXP(-betaSingapore*tblData[Day'# Singapore])),"")</f>
        <v>31.920903680656465</v>
      </c>
      <c r="BH17" s="11">
        <f>IF(AND(ISNUMBER(tblData[Singapore]),tblData[Date]&gt;=StartDt2Singapore),(tblData[[#This Row],[Singapore LogiP(t)]]-tblData[[#This Row],[Singapore]])^2,"")</f>
        <v>621.051440260557</v>
      </c>
      <c r="BI17" s="11">
        <f>IF(ISNUMBER(tblData[Day'# Singapore]),tblData[Singapore LogiP(t)]/$BH$9,"")</f>
        <v>54.565647317361481</v>
      </c>
      <c r="BJ17" s="11"/>
      <c r="BK17" s="11"/>
      <c r="BL17" s="11" t="str">
        <f>IF(ISNUMBER(tblData[[#This Row],[NSW Number of Tests]]),tblData[[#This Row],[NSW Number of Tests]]-BJ16,"")</f>
        <v/>
      </c>
      <c r="BM17" s="11" t="str">
        <f>IF(ISNUMBER(tblData[[#This Row],[NSW Under Investigation'']]),tblData[[#This Row],[NSW Under Investigation'']]-BK16,"")</f>
        <v/>
      </c>
      <c r="BN17" s="11"/>
      <c r="BO17" s="11" t="str">
        <f>IF(ISNUMBER(tblData[[#This Row],[NSW Test Day Number]]),betaTest/(deltaTest+betaPodeltaTest*EXP(-betaTest*tblData[[#This Row],[NSW Test Day Number]])),"")</f>
        <v/>
      </c>
      <c r="BP17" s="11" t="str">
        <f>IF(ISNUMBER(tblData[[#This Row],[NSW Number of Tests]]),(tblData[[#This Row],[NSW Number of Tests]]-tblData[[#This Row],[NSW Test Logi]])^2,"")</f>
        <v/>
      </c>
      <c r="BR17" s="27"/>
      <c r="BS17" s="26" t="s">
        <v>1236</v>
      </c>
      <c r="BT17" s="81">
        <v>43913.916226851848</v>
      </c>
      <c r="BU17" s="27">
        <v>43860</v>
      </c>
      <c r="BV17" s="27">
        <v>43860</v>
      </c>
      <c r="BW17" s="26">
        <v>6</v>
      </c>
      <c r="BX17" s="23">
        <v>0.23594006273685905</v>
      </c>
      <c r="BY17" s="25">
        <v>2.1301242429612073E-6</v>
      </c>
      <c r="BZ17" s="22">
        <v>2.9674631042839659E-2</v>
      </c>
      <c r="CA17" s="24">
        <f>betaUK/deltaUK</f>
        <v>110763.52166616597</v>
      </c>
      <c r="CB17" s="37">
        <f>SQRT(SUM(tblData[UK Sq Err])/COUNT(tblData[UK Sq Err]))</f>
        <v>87.808162964545772</v>
      </c>
      <c r="CC17" s="24">
        <f>(betaUK/PoUK)-deltaUK</f>
        <v>7.9508991766601662</v>
      </c>
      <c r="CD17" s="24">
        <f>deltaUK*1000</f>
        <v>2.1301242429612073E-3</v>
      </c>
      <c r="CE17" s="24"/>
      <c r="CF17" s="27">
        <f t="array" ref="CF17">MAX(IF(ISNUMBER(tblData[UK]),tblData[Date]))</f>
        <v>43912</v>
      </c>
      <c r="CG17" s="27" t="str">
        <f t="shared" si="0"/>
        <v>111 k</v>
      </c>
      <c r="CH17" s="43">
        <f>MAX(tblData[UK LogiP(t)])</f>
        <v>110763.52166616597</v>
      </c>
      <c r="CI17" s="26">
        <f>MAX(tblData[UK])</f>
        <v>5741</v>
      </c>
      <c r="CJ17" s="26" t="str">
        <f>Cengnotation(CA17/(UKPop/PerPerson),3)</f>
        <v>16.7 k</v>
      </c>
      <c r="CK17" s="27">
        <f t="array" ref="CK17">MAX(IF(ISNUMBER(tblData[UK]),tblData[Date]))</f>
        <v>43912</v>
      </c>
      <c r="CL17" s="19">
        <f t="array" ref="CL17">COUNT(IF(ISNUMBER(tblData[UK]),tblData[Date]))</f>
        <v>53</v>
      </c>
      <c r="CM17" s="27" t="str">
        <f t="shared" si="1"/>
        <v xml:space="preserve">b=0.236, d=2.13E-06, P0=.03 Limit=16.7 k=&gt;111 k cases </v>
      </c>
      <c r="CN17" s="26"/>
      <c r="CO17" s="26" t="str">
        <f t="shared" si="2"/>
        <v>UK Limit 16.7 k</v>
      </c>
      <c r="CP17" s="26"/>
      <c r="CQ17" s="18" t="str">
        <f t="shared" si="3"/>
        <v>COVID19 UK P(t) = b / {d+[( b/Po - d ) ]* exp(-b*t)}
b=0.236, d=2.13E-06, P0=.03 Limit=16.7 k=&gt;111 k cases 
 22-Mar, Cases per 10 M population</v>
      </c>
      <c r="CR17" s="21">
        <f>MAX(tblData[UK Cases Per Capita])</f>
        <v>864.08789885611077</v>
      </c>
      <c r="CS17" s="27">
        <f>IF(CR17&gt;NSWMaxCasespc,INDEX(tblData[Date],1+MATCH(NSWMaxCasespc,tblData[UK Cases Per Capita],1)),INDEX(tblData[Date],1+MATCH(CR17,tblData[NSW Cases per Capita],1)))</f>
        <v>43913</v>
      </c>
      <c r="CT17" s="11">
        <f>IF(CR17&gt;NSWMaxCasespc,1,-1)*(CF$12-CS17)</f>
        <v>0</v>
      </c>
      <c r="CU17" s="27">
        <f>IF(CR17&gt;AuMaxCasespc,INDEX(tblData[Date],1+MATCH(AuMaxCasespc,tblData[UK Cases Per Capita],1)),INDEX(tblData[Date],1+MATCH(CR17,tblData[Au Cases Per Capita],1)))</f>
        <v>43911</v>
      </c>
      <c r="CV17" s="11">
        <f>IF(CR17&gt;AuMaxCasespc,1,-1)*(CF$13-CU17+1)</f>
        <v>2</v>
      </c>
      <c r="CW17" s="26"/>
      <c r="CX17" s="26"/>
      <c r="CY17" s="26"/>
      <c r="CZ17" s="26"/>
      <c r="DA17" s="26"/>
      <c r="DB17" s="26"/>
      <c r="DC17" s="26"/>
      <c r="DD17" s="26"/>
      <c r="DE17" s="26"/>
      <c r="DH17" s="27">
        <v>43860</v>
      </c>
      <c r="DI17">
        <v>10000000</v>
      </c>
      <c r="DM17"/>
      <c r="DN17" s="26" t="s">
        <v>48</v>
      </c>
      <c r="DO17" s="80">
        <v>43912.58866898148</v>
      </c>
      <c r="DP17" s="27">
        <v>43855</v>
      </c>
      <c r="DQ17" s="27">
        <v>43855</v>
      </c>
      <c r="DR17" s="26">
        <v>0</v>
      </c>
      <c r="DS17" s="26">
        <v>0.20700168935626589</v>
      </c>
      <c r="DT17" s="25">
        <v>3.2194465727293212E-6</v>
      </c>
      <c r="DU17" s="26">
        <v>9.8887229355213678E-3</v>
      </c>
      <c r="DV17" s="108">
        <v>64297.289822945546</v>
      </c>
      <c r="DW17" s="26">
        <v>11.818703286404629</v>
      </c>
      <c r="DX17" s="26">
        <v>20.933103179226336</v>
      </c>
      <c r="DY17" s="112">
        <v>3.2194465727293214E-3</v>
      </c>
      <c r="DZ17" s="26"/>
      <c r="EA17" s="27">
        <v>43912</v>
      </c>
      <c r="EB17" s="26" t="s">
        <v>1448</v>
      </c>
      <c r="EC17" s="26"/>
      <c r="ED17" s="112">
        <v>1267</v>
      </c>
      <c r="EE17" s="26" t="s">
        <v>1449</v>
      </c>
      <c r="EF17" s="27">
        <v>43912</v>
      </c>
      <c r="EG17" s="26">
        <v>58</v>
      </c>
      <c r="EH17" s="26" t="s">
        <v>1450</v>
      </c>
      <c r="EI17" s="26"/>
      <c r="EJ17" s="26" t="s">
        <v>1451</v>
      </c>
      <c r="EK17" s="26"/>
      <c r="EL17" s="26" t="s">
        <v>1452</v>
      </c>
      <c r="EM17" s="26">
        <v>499.52688850339064</v>
      </c>
      <c r="EO17" s="26"/>
      <c r="EP17" s="94"/>
      <c r="EQ17" s="26"/>
      <c r="ER17" s="26" t="s">
        <v>1447</v>
      </c>
      <c r="ES17" s="26"/>
      <c r="ET17" s="26"/>
    </row>
    <row r="18" spans="2:150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>
        <v>7</v>
      </c>
      <c r="X18" s="21">
        <f>IF(ISNUMBER(tblData[Singapore]),tblData[Singapore]/$X$9,"")</f>
        <v>11.965811965811966</v>
      </c>
      <c r="Y18" s="21"/>
      <c r="Z18" s="21"/>
      <c r="AA18" s="26" t="str">
        <f>IF(tblData[[#This Row],[Date]]&lt;ItalyStart,"",tblData[[#This Row],[Date]]-ItalyStart)</f>
        <v/>
      </c>
      <c r="AB18" s="26"/>
      <c r="AC18" s="26">
        <f t="shared" si="4"/>
        <v>7</v>
      </c>
      <c r="AD18" s="26" t="str">
        <f>IF(tblData[[#This Row],[Date]]&lt;StartDt2Korea,"",tblData[[#This Row],[Date]]-StartDt2Korea)</f>
        <v/>
      </c>
      <c r="AE18" s="26" t="str">
        <f>IF(tblData[[#This Row],[Date]]&lt;UKStart,"",tblData[[#This Row],[Date]]-UKStart)</f>
        <v/>
      </c>
      <c r="AF18" s="26">
        <f>IF(tblData[[#This Row],[Date]]&lt;SingaporeStart,"",tblData[[#This Row],[Date]]-SingaporeStart)</f>
        <v>6</v>
      </c>
      <c r="AG18">
        <f>IF(tblData[Date]&gt;=StartDt2Au,tblData[Date]-StartDt2Au,"")</f>
        <v>4</v>
      </c>
      <c r="AH18" s="26">
        <f>IF(tblData[New South Wales]&gt;0,SUM(tblData[[#This Row],[Australian Capital Territory]:[Western Australia]]),"")</f>
        <v>6</v>
      </c>
      <c r="AI18" s="12">
        <f>IF(ISNUMBER(tblData[Au]),tblData[Au]/$AE$9,"")</f>
        <v>2.365557483046838</v>
      </c>
      <c r="AJ18" s="19">
        <f>IF(ISNUMBER(tblData[[#This Row],[Day'# Aust]]),betaAu/(deltaAu+betaPodeltaAu*EXP(-betaAu*tblData[[#This Row],[Day'# Aust]])),"")</f>
        <v>1.5475819890516588E-2</v>
      </c>
      <c r="AK18" s="70">
        <f>IF(ISNUMBER(tblData[Day'# Aust]),tblData[Au LogiP(t)]/$AI$9,"")</f>
        <v>6.1014902580494353E-3</v>
      </c>
      <c r="AL18" s="11">
        <f>IF(AND(tblData[Date]&gt;=StartDt2Au,ISNUMBER(tblData[NSW])),(tblData[[#This Row],[Au LogiP(t)]]-tblData[[#This Row],[Au]])^2,"")</f>
        <v>35.814529662315081</v>
      </c>
      <c r="AM18">
        <f>IF(tblData[Date]&gt;StartDt2NSW,tblData[Date]-StartDt2NSW,"")</f>
        <v>4</v>
      </c>
      <c r="AN18">
        <f t="shared" si="5"/>
        <v>4</v>
      </c>
      <c r="AO18" s="11">
        <f>IF(tblData[Date]&gt;StartDt2NSW,betaNSW/(deltaNSW+betaPodeltaNSW*EXP(-betaNSW*tblData[[#This Row],[Day '# NSW]])),"")</f>
        <v>1.5167170650612799E-2</v>
      </c>
      <c r="AP18" s="12">
        <f>IF(AND(ISNUMBER(tblData[NSW]),tblData[Date]&gt;StartDt2NSW),(tblData[[#This Row],[NSW LogiP(t)]]-tblData[[#This Row],[NSW]])^2,"")</f>
        <v>15.878892677860643</v>
      </c>
      <c r="AQ18" s="12">
        <f>IF(AND(tblData[Date]&gt;StartDt2NSW,ISNUMBER(tblData[Day'# Aust])),tblData[NSW LogiP(t)]/$AL$9,"")</f>
        <v>1.8771250805213857E-2</v>
      </c>
      <c r="AR18" s="11" t="str">
        <f>IF(AND(tblData[Date]&gt;StartDt2Italy,ISNUMBER(tblData[Days'# Italy])),betaItaly/(deltaItaly+betaPodeltaItaly*EXP(-betaItaly*tblData[Days'# Italy])),"")</f>
        <v/>
      </c>
      <c r="AS18" s="11" t="str">
        <f>IF(AND(tblData[Date]&gt;StartDt2Italy,ISNUMBER(tblData[Italy])),(tblData[[#This Row],[Italy LogiP(t)]]-tblData[[#This Row],[Italy]])^2,"")</f>
        <v/>
      </c>
      <c r="AT18" s="11" t="str">
        <f>IF(AND(tblData[Date]&gt;StartDt2Italy,ISNUMBER(tblData[Days'# Italy])),tblData[[#This Row],[Italy LogiP(t)]]/$AS$9,"")</f>
        <v/>
      </c>
      <c r="AU18" s="11" t="str">
        <f>IF(ISNUMBER(tblData[[#This Row],[Days'# US]]),betaUS/(deltaUS+betaPodeltaUS*EXP(-betaUS*tblData[Days'# US])),"")</f>
        <v/>
      </c>
      <c r="AV18" s="11"/>
      <c r="AW18" s="11" t="str">
        <f>IF(ISNUMBER(tblData[[#This Row],[Days'# US]]),tblData[[#This Row],[US LogiP(t)]]/$AV$9,"")</f>
        <v/>
      </c>
      <c r="AX18" s="11" t="str">
        <f>IF(tblData[Date]&gt;=StartDt2Korea,betaSKorea/(deltaSKorea+betaPodeltaSKorea*EXP(-betaSKorea*(tblData[Date]-StartDt2Korea))),"")</f>
        <v/>
      </c>
      <c r="AY18" s="11" t="str">
        <f>IF(AND(tblData[Date]&gt;=StartDt2Korea,ISNUMBER(tblData[SKorea])),(tblData[[#This Row],[SKorea LogiP(t)]]-tblData[[#This Row],[SKorea]])^2,"")</f>
        <v/>
      </c>
      <c r="AZ18" s="11" t="str">
        <f>IF(tblData[Date]&gt;=StartDt2Korea,tblData[[#This Row],[SKorea LogiP(t)]]/$AY$9,"")</f>
        <v/>
      </c>
      <c r="BA18" s="11" t="str">
        <f>IF(ISNUMBER(tblData[Days'# UK]),betaUK/(deltaUK+betaPodeltaUK*EXP(-betaUK*tblData[Days'# UK])),"")</f>
        <v/>
      </c>
      <c r="BB18" s="11" t="str">
        <f>IF(ISNUMBER(tblData[UK]),(tblData[[#This Row],[UK LogiP(t)]]-tblData[[#This Row],[UK]])^2,"")</f>
        <v/>
      </c>
      <c r="BC18" s="11" t="str">
        <f>IF(ISNUMBER(tblData[Days'# UK]),tblData[[#This Row],[UK LogiP(t)]]/$BB$9,"")</f>
        <v/>
      </c>
      <c r="BD18" s="11">
        <f>IF(ISNUMBER(tblData[Days'# China]),betaChina/(deltaChina+betaPodeltaChina*EXP(-betaChina*tblData[Days'# China])),"")</f>
        <v>6798.7247527929103</v>
      </c>
      <c r="BE18" s="11">
        <f>IF(ISNUMBER(tblData[China]),(tblData[[#This Row],[China LogiP(t)]]-tblData[[#This Row],[China]])^2,"")</f>
        <v>506552.12373812927</v>
      </c>
      <c r="BF18" s="11">
        <f>tblData[[#This Row],[China LogiP(t)]]/$BE$9</f>
        <v>47.235548152251951</v>
      </c>
      <c r="BG18" s="11">
        <f>IF(ISNUMBER(tblData[Day'# Singapore]),betaSingapore/(deltaSingapore+betaPodeltaSingapore*EXP(-betaSingapore*tblData[Day'# Singapore])),"")</f>
        <v>33.354967076646155</v>
      </c>
      <c r="BH18" s="11">
        <f>IF(AND(ISNUMBER(tblData[Singapore]),tblData[Date]&gt;=StartDt2Singapore),(tblData[[#This Row],[Singapore LogiP(t)]]-tblData[[#This Row],[Singapore]])^2,"")</f>
        <v>694.5842896111028</v>
      </c>
      <c r="BI18" s="11">
        <f>IF(ISNUMBER(tblData[Day'# Singapore]),tblData[Singapore LogiP(t)]/$BH$9,"")</f>
        <v>57.017037737856676</v>
      </c>
      <c r="BJ18" s="11"/>
      <c r="BK18" s="11"/>
      <c r="BL18" s="11" t="str">
        <f>IF(ISNUMBER(tblData[[#This Row],[NSW Number of Tests]]),tblData[[#This Row],[NSW Number of Tests]]-BJ17,"")</f>
        <v/>
      </c>
      <c r="BM18" s="11" t="str">
        <f>IF(ISNUMBER(tblData[[#This Row],[NSW Under Investigation'']]),tblData[[#This Row],[NSW Under Investigation'']]-BK17,"")</f>
        <v/>
      </c>
      <c r="BN18" s="11"/>
      <c r="BO18" s="11" t="str">
        <f>IF(ISNUMBER(tblData[[#This Row],[NSW Test Day Number]]),betaTest/(deltaTest+betaPodeltaTest*EXP(-betaTest*tblData[[#This Row],[NSW Test Day Number]])),"")</f>
        <v/>
      </c>
      <c r="BP18" s="11" t="str">
        <f>IF(ISNUMBER(tblData[[#This Row],[NSW Number of Tests]]),(tblData[[#This Row],[NSW Number of Tests]]-tblData[[#This Row],[NSW Test Logi]])^2,"")</f>
        <v/>
      </c>
      <c r="BR18" s="27"/>
      <c r="BS18" s="26" t="s">
        <v>40</v>
      </c>
      <c r="BT18" s="81">
        <v>43913.916238425925</v>
      </c>
      <c r="BU18" s="27">
        <v>43853</v>
      </c>
      <c r="BV18" s="27">
        <v>43853</v>
      </c>
      <c r="BW18" s="26">
        <v>6</v>
      </c>
      <c r="BX18" s="23">
        <v>4.3945616156224152E-2</v>
      </c>
      <c r="BY18" s="25">
        <v>1.0000000045861967E-12</v>
      </c>
      <c r="BZ18" s="22">
        <v>625.27317338720138</v>
      </c>
      <c r="CA18" s="24">
        <f>betaSingapore/deltaSingapore</f>
        <v>43945615954.680916</v>
      </c>
      <c r="CB18" s="37">
        <f>SQRT(SUM(tblData[Singapore Sq Err])/COUNT(tblData[Singapore Sq Err]))</f>
        <v>33.199544473907444</v>
      </c>
      <c r="CC18" s="24">
        <v>1.7150116439525903E-3</v>
      </c>
      <c r="CD18" s="24">
        <v>3.8254432735924097E-2</v>
      </c>
      <c r="CE18" s="24"/>
      <c r="CF18" s="27">
        <f t="array" ref="CF18">MAX(IF(ISNUMBER(tblData[Singapore]),tblData[Date]))</f>
        <v>43912</v>
      </c>
      <c r="CG18" s="27" t="str">
        <f t="shared" si="0"/>
        <v>43.9 G</v>
      </c>
      <c r="CH18" s="43">
        <f t="array" ref="CH18">MAX(tblData[Singapore LogiP(t)])</f>
        <v>44577267.854490131</v>
      </c>
      <c r="CI18" s="26">
        <f>MAX(tblData[Singapore])</f>
        <v>455</v>
      </c>
      <c r="CJ18" s="26" t="str">
        <f>Cengnotation(CA18/(SingaporePop/PerPerson),3)</f>
        <v>75.1 G</v>
      </c>
      <c r="CK18" s="27">
        <f t="array" ref="CK18">MAX(IF(ISNUMBER(tblData[Singapore]),tblData[Date]))</f>
        <v>43912</v>
      </c>
      <c r="CL18" s="19">
        <f t="array" ref="CL18">COUNT(IF(ISNUMBER(tblData[Singapore]),tblData[Date]))</f>
        <v>61</v>
      </c>
      <c r="CM18" s="27" t="str">
        <f t="shared" si="1"/>
        <v xml:space="preserve">b=0.044, d=1.00E-12, P0=625.273 Limit=75.1 G=&gt;44.6 M cases </v>
      </c>
      <c r="CN18" s="26"/>
      <c r="CO18" s="26" t="str">
        <f t="shared" si="2"/>
        <v>Singapore Limit 75.1 G</v>
      </c>
      <c r="CP18" s="26"/>
      <c r="CQ18" s="18" t="str">
        <f t="shared" si="3"/>
        <v>COVID19 Singapore P(t) = b / {d+[( b/Po - d ) ]* exp(-b*t)}
b=0.044, d=1.00E-12, P0=625.273 Limit=75.1 G=&gt;44.6 M cases 
 22-Mar, Cases per 10 M population</v>
      </c>
      <c r="CR18" s="21">
        <f>MAX(tblData[Singapore Cases Per Capita])</f>
        <v>777.77777777777783</v>
      </c>
      <c r="CS18" s="27">
        <f>IF(CR18&gt;NSWMaxCasespc,INDEX(tblData[Date],1+MATCH(NSWMaxCasespc,tblData[Singapore Cases Per Capita],1)),INDEX(tblData[Date],1+MATCH(CR18,tblData[NSW Cases per Capita],1)))</f>
        <v>43913</v>
      </c>
      <c r="CT18" s="11">
        <f>IF(CR18&gt;NSWMaxCasespc,1,-1)*(CF$12-CS18)</f>
        <v>0</v>
      </c>
      <c r="CU18" s="27">
        <f>IF(CR18&gt;AuMaxCasespc,INDEX(tblData[Date],1+MATCH(AuMaxCasespc,tblData[Singapore Cases Per Capita],1)),INDEX(tblData[Date],1+MATCH(CR18,tblData[Au Cases Per Capita],1)))</f>
        <v>43911</v>
      </c>
      <c r="CV18" s="11">
        <f>IF(CR18&gt;AuMaxCasespc,1,-1)*(CF$13-CU18+1)</f>
        <v>2</v>
      </c>
      <c r="CW18" s="26"/>
      <c r="CX18" s="26"/>
      <c r="CY18" s="26"/>
      <c r="CZ18" s="26"/>
      <c r="DH18" s="27">
        <v>43860</v>
      </c>
      <c r="DI18">
        <v>0.1</v>
      </c>
      <c r="DM18"/>
      <c r="DN18" s="26" t="s">
        <v>48</v>
      </c>
      <c r="DO18" s="80">
        <v>43912.787418981483</v>
      </c>
      <c r="DP18" s="27">
        <v>43855</v>
      </c>
      <c r="DQ18" s="27">
        <v>43855</v>
      </c>
      <c r="DR18" s="26">
        <v>0</v>
      </c>
      <c r="DS18" s="26">
        <v>0.20992855907156063</v>
      </c>
      <c r="DT18" s="25">
        <v>9.9999999999795755E-11</v>
      </c>
      <c r="DU18" s="26">
        <v>8.4862960776543872E-3</v>
      </c>
      <c r="DV18" s="108">
        <v>2099285590.7198939</v>
      </c>
      <c r="DW18" s="26">
        <v>11.255677732956892</v>
      </c>
      <c r="DX18" s="26">
        <v>24.737359756217259</v>
      </c>
      <c r="DY18" s="112">
        <v>9.9999999999795755E-8</v>
      </c>
      <c r="DZ18" s="26"/>
      <c r="EA18" s="27">
        <v>43912</v>
      </c>
      <c r="EB18" s="26" t="s">
        <v>1470</v>
      </c>
      <c r="EC18" s="26">
        <v>2099285590.7198939</v>
      </c>
      <c r="ED18" s="112">
        <v>1349</v>
      </c>
      <c r="EE18" s="26" t="s">
        <v>1471</v>
      </c>
      <c r="EF18" s="27">
        <v>43912</v>
      </c>
      <c r="EG18" s="26">
        <v>58</v>
      </c>
      <c r="EH18" s="26" t="s">
        <v>1472</v>
      </c>
      <c r="EI18" s="26"/>
      <c r="EJ18" s="26" t="s">
        <v>1473</v>
      </c>
      <c r="EK18" s="26"/>
      <c r="EL18" s="26" t="s">
        <v>1474</v>
      </c>
      <c r="EM18" s="26">
        <v>531.85617410503073</v>
      </c>
      <c r="EO18" s="26"/>
      <c r="EP18" s="94"/>
      <c r="EQ18" s="26"/>
      <c r="ER18" s="26" t="s">
        <v>1469</v>
      </c>
      <c r="ES18" s="26"/>
      <c r="ET18" s="26"/>
    </row>
    <row r="19" spans="2:150" ht="15" customHeight="1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>
        <v>10</v>
      </c>
      <c r="X19" s="21">
        <f>IF(ISNUMBER(tblData[Singapore]),tblData[Singapore]/$X$9,"")</f>
        <v>17.094017094017094</v>
      </c>
      <c r="Y19" s="21"/>
      <c r="Z19" s="21"/>
      <c r="AA19" s="26">
        <f>IF(tblData[[#This Row],[Date]]&lt;ItalyStart,"",tblData[[#This Row],[Date]]-ItalyStart)</f>
        <v>0</v>
      </c>
      <c r="AB19" s="26"/>
      <c r="AC19" s="26">
        <f t="shared" si="4"/>
        <v>8</v>
      </c>
      <c r="AD19" s="26" t="str">
        <f>IF(tblData[[#This Row],[Date]]&lt;StartDt2Korea,"",tblData[[#This Row],[Date]]-StartDt2Korea)</f>
        <v/>
      </c>
      <c r="AE19" s="26">
        <f>IF(tblData[[#This Row],[Date]]&lt;UKStart,"",tblData[[#This Row],[Date]]-UKStart)</f>
        <v>0</v>
      </c>
      <c r="AF19" s="26">
        <f>IF(tblData[[#This Row],[Date]]&lt;SingaporeStart,"",tblData[[#This Row],[Date]]-SingaporeStart)</f>
        <v>7</v>
      </c>
      <c r="AG19">
        <f>IF(tblData[Date]&gt;=StartDt2Au,tblData[Date]-StartDt2Au,"")</f>
        <v>5</v>
      </c>
      <c r="AH19" s="26">
        <f>IF(tblData[New South Wales]&gt;0,SUM(tblData[[#This Row],[Australian Capital Territory]:[Western Australia]]),"")</f>
        <v>9</v>
      </c>
      <c r="AI19" s="12">
        <f>IF(ISNUMBER(tblData[Au]),tblData[Au]/$AE$9,"")</f>
        <v>3.548336224570257</v>
      </c>
      <c r="AJ19" s="19">
        <f>IF(ISNUMBER(tblData[[#This Row],[Day'# Aust]]),betaAu/(deltaAu+betaPodeltaAu*EXP(-betaAu*tblData[[#This Row],[Day'# Aust]])),"")</f>
        <v>1.9183787323392973E-2</v>
      </c>
      <c r="AK19" s="70">
        <f>IF(ISNUMBER(tblData[Day'# Aust]),tblData[Au LogiP(t)]/$AI$9,"")</f>
        <v>7.5633919426718868E-3</v>
      </c>
      <c r="AL19" s="11">
        <f>IF(AND(tblData[Date]&gt;=StartDt2Au,ISNUMBER(tblData[NSW])),(tblData[[#This Row],[Au LogiP(t)]]-tblData[[#This Row],[Au]])^2,"")</f>
        <v>80.655059845875016</v>
      </c>
      <c r="AM19">
        <f>IF(tblData[Date]&gt;StartDt2NSW,tblData[Date]-StartDt2NSW,"")</f>
        <v>5</v>
      </c>
      <c r="AN19">
        <f t="shared" si="5"/>
        <v>4</v>
      </c>
      <c r="AO19" s="11">
        <f>IF(tblData[Date]&gt;StartDt2NSW,betaNSW/(deltaNSW+betaPodeltaNSW*EXP(-betaNSW*tblData[[#This Row],[Day '# NSW]])),"")</f>
        <v>1.849447818291013E-2</v>
      </c>
      <c r="AP19" s="12">
        <f>IF(AND(ISNUMBER(tblData[NSW]),tblData[Date]&gt;StartDt2NSW),(tblData[[#This Row],[NSW LogiP(t)]]-tblData[[#This Row],[NSW]])^2,"")</f>
        <v>15.852386220259977</v>
      </c>
      <c r="AQ19" s="12">
        <f>IF(AND(tblData[Date]&gt;StartDt2NSW,ISNUMBER(tblData[Day'# Aust])),tblData[NSW LogiP(t)]/$AL$9,"")</f>
        <v>2.2889205671918475E-2</v>
      </c>
      <c r="AR19" s="11" t="str">
        <f>IF(AND(tblData[Date]&gt;StartDt2Italy,ISNUMBER(tblData[Days'# Italy])),betaItaly/(deltaItaly+betaPodeltaItaly*EXP(-betaItaly*tblData[Days'# Italy])),"")</f>
        <v/>
      </c>
      <c r="AS19" s="11" t="str">
        <f>IF(AND(tblData[Date]&gt;StartDt2Italy,ISNUMBER(tblData[Italy])),(tblData[[#This Row],[Italy LogiP(t)]]-tblData[[#This Row],[Italy]])^2,"")</f>
        <v/>
      </c>
      <c r="AT19" s="43" t="str">
        <f>IF(AND(tblData[Date]&gt;StartDt2Italy,ISNUMBER(tblData[Days'# Italy])),tblData[[#This Row],[Italy LogiP(t)]]/$AS$9,"")</f>
        <v/>
      </c>
      <c r="AU19" s="11" t="str">
        <f>IF(ISNUMBER(tblData[[#This Row],[Days'# US]]),betaUS/(deltaUS+betaPodeltaUS*EXP(-betaUS*tblData[Days'# US])),"")</f>
        <v/>
      </c>
      <c r="AV19" s="11"/>
      <c r="AW19" s="11" t="str">
        <f>IF(ISNUMBER(tblData[[#This Row],[Days'# US]]),tblData[[#This Row],[US LogiP(t)]]/$AV$9,"")</f>
        <v/>
      </c>
      <c r="AX19" s="11" t="str">
        <f>IF(tblData[Date]&gt;=StartDt2Korea,betaSKorea/(deltaSKorea+betaPodeltaSKorea*EXP(-betaSKorea*(tblData[Date]-StartDt2Korea))),"")</f>
        <v/>
      </c>
      <c r="AY19" s="11" t="str">
        <f>IF(AND(tblData[Date]&gt;=StartDt2Korea,ISNUMBER(tblData[SKorea])),(tblData[[#This Row],[SKorea LogiP(t)]]-tblData[[#This Row],[SKorea]])^2,"")</f>
        <v/>
      </c>
      <c r="AZ19" s="11" t="str">
        <f>IF(tblData[Date]&gt;=StartDt2Korea,tblData[[#This Row],[SKorea LogiP(t)]]/$AY$9,"")</f>
        <v/>
      </c>
      <c r="BA19" s="11">
        <f>IF(ISNUMBER(tblData[Days'# UK]),betaUK/(deltaUK+betaPodeltaUK*EXP(-betaUK*tblData[Days'# UK])),"")</f>
        <v>2.9674631042839659E-2</v>
      </c>
      <c r="BB19" s="11">
        <f>IF(ISNUMBER(tblData[UK]),(tblData[[#This Row],[UK LogiP(t)]]-tblData[[#This Row],[UK]])^2,"")</f>
        <v>8.8058372752866318E-4</v>
      </c>
      <c r="BC19" s="11">
        <f>IF(ISNUMBER(tblData[Days'# UK]),tblData[[#This Row],[UK LogiP(t)]]/$BB$9,"")</f>
        <v>4.4663803496146383E-3</v>
      </c>
      <c r="BD19" s="11">
        <f>IF(ISNUMBER(tblData[Days'# China]),betaChina/(deltaChina+betaPodeltaChina*EXP(-betaChina*tblData[Days'# China])),"")</f>
        <v>8316.2291910935692</v>
      </c>
      <c r="BE19" s="11">
        <f>IF(ISNUMBER(tblData[China]),(tblData[[#This Row],[China LogiP(t)]]-tblData[[#This Row],[China]])^2,"")</f>
        <v>30705.269411306581</v>
      </c>
      <c r="BF19" s="11">
        <f>tblData[[#This Row],[China LogiP(t)]]/$BE$9</f>
        <v>57.778724493838759</v>
      </c>
      <c r="BG19" s="11">
        <f>IF(ISNUMBER(tblData[Day'# Singapore]),betaSingapore/(deltaSingapore+betaPodeltaSingapore*EXP(-betaSingapore*tblData[Day'# Singapore])),"")</f>
        <v>34.853456525314698</v>
      </c>
      <c r="BH19" s="11">
        <f>IF(AND(ISNUMBER(tblData[Singapore]),tblData[Date]&gt;=StartDt2Singapore),(tblData[[#This Row],[Singapore LogiP(t)]]-tblData[[#This Row],[Singapore]])^2,"")</f>
        <v>617.69430125570773</v>
      </c>
      <c r="BI19" s="11">
        <f>IF(ISNUMBER(tblData[Day'# Singapore]),tblData[Singapore LogiP(t)]/$BH$9,"")</f>
        <v>59.57855816293111</v>
      </c>
      <c r="BJ19" s="11"/>
      <c r="BK19" s="11"/>
      <c r="BL19" s="11" t="str">
        <f>IF(ISNUMBER(tblData[[#This Row],[NSW Number of Tests]]),tblData[[#This Row],[NSW Number of Tests]]-BJ18,"")</f>
        <v/>
      </c>
      <c r="BM19" s="11" t="str">
        <f>IF(ISNUMBER(tblData[[#This Row],[NSW Under Investigation'']]),tblData[[#This Row],[NSW Under Investigation'']]-BK18,"")</f>
        <v/>
      </c>
      <c r="BN19" s="11"/>
      <c r="BO19" s="11" t="str">
        <f>IF(ISNUMBER(tblData[[#This Row],[NSW Test Day Number]]),betaTest/(deltaTest+betaPodeltaTest*EXP(-betaTest*tblData[[#This Row],[NSW Test Day Number]])),"")</f>
        <v/>
      </c>
      <c r="BP19" s="11" t="str">
        <f>IF(ISNUMBER(tblData[[#This Row],[NSW Number of Tests]]),(tblData[[#This Row],[NSW Number of Tests]]-tblData[[#This Row],[NSW Test Logi]])^2,"")</f>
        <v/>
      </c>
      <c r="BR19" s="27"/>
      <c r="BS19" s="26" t="s">
        <v>975</v>
      </c>
      <c r="BT19" s="81">
        <v>43913.916250000002</v>
      </c>
      <c r="BU19" s="27"/>
      <c r="BV19" s="13">
        <v>43896</v>
      </c>
      <c r="BW19" s="26">
        <v>7</v>
      </c>
      <c r="BX19" s="23">
        <v>0.20209478104227763</v>
      </c>
      <c r="BY19" s="25">
        <v>1.0000000000000751E-10</v>
      </c>
      <c r="BZ19" s="22">
        <v>5.7886977342360797E-3</v>
      </c>
      <c r="CA19" s="24">
        <f>betaTests/deltaTests</f>
        <v>2020947810.4226243</v>
      </c>
      <c r="CB19" s="37">
        <f>SQRT(SUM(tblData[NSW Test Sq Err])/COUNT(tblData[NSW Test Sq Err]))</f>
        <v>7900.5352282767808</v>
      </c>
      <c r="CC19" s="24">
        <f>(betaTests/PoTests)-deltaTests</f>
        <v>34.911959532184611</v>
      </c>
      <c r="CD19" s="24">
        <f>deltaTests*1000</f>
        <v>1.0000000000000751E-7</v>
      </c>
      <c r="CE19" s="24"/>
      <c r="CF19" s="27">
        <f t="array" ref="CF19">MAX(IF(ISNUMBER(tblData[NSW Number of Tests]),tblData[Date]))</f>
        <v>43913</v>
      </c>
      <c r="CG19" s="27" t="str">
        <f t="shared" si="0"/>
        <v>2.02 G</v>
      </c>
      <c r="CH19" s="27"/>
      <c r="CI19" s="26">
        <f>MAX(tblData[NSW Number of Tests])</f>
        <v>56272</v>
      </c>
      <c r="CJ19" s="26" t="str">
        <f>Cengnotation(CA19/(NSWpop/PerPerson),3)</f>
        <v>2.50 G</v>
      </c>
      <c r="CK19" s="27">
        <f t="array" ref="CK19">MAX(IF(ISNUMBER(tblData[NSW Number of Tests]),tblData[Date]))</f>
        <v>43913</v>
      </c>
      <c r="CL19" s="19">
        <f t="array" ref="CL19">COUNT(IF(ISNUMBER(tblData[NSW Number of Tests]),tblData[Date]))</f>
        <v>18</v>
      </c>
      <c r="CM19" s="27" t="str">
        <f>"b="&amp;TEXT(BX19,"##0.###")&amp;", d="&amp;TEXT(BY19,"0.00E+00")&amp;", P0="&amp;TEXT(BZ19,"#.###")&amp;" Limit="&amp;IF(PopScaling=0,CG19,CJ19)</f>
        <v>b=0.202, d=1.00E-10, P0=.006 Limit=2.50 G</v>
      </c>
      <c r="CN19" s="26"/>
      <c r="CO19" s="26" t="str">
        <f t="shared" si="2"/>
        <v>Tests Limit 2.50 G</v>
      </c>
      <c r="CP19" s="26"/>
      <c r="CQ19" s="18" t="str">
        <f>"COVID19 "&amp;BS19 &amp; " " &amp;LogFormula&amp;CHAR(10)&amp;CM19&amp;CHAR(10)&amp;TEXT(CK19," dd-mmm")&amp;IF(PopScaling=0,"",", "&amp;PerPersonLabel)&amp;CP19</f>
        <v>COVID19 Tests P(t) = b / {d+[( b/Po - d ) ]* exp(-b*t)}
b=0.202, d=1.00E-10, P0=.006 Limit=2.50 G
 23-Mar, Cases per 10 M population</v>
      </c>
      <c r="CR19" s="26"/>
      <c r="CS19" s="19"/>
      <c r="CT19" s="19"/>
      <c r="CU19" s="26"/>
      <c r="CV19" s="26"/>
      <c r="CW19" s="26"/>
      <c r="CX19" s="26"/>
      <c r="CY19" s="26"/>
      <c r="CZ19" s="26"/>
      <c r="DH19" s="27">
        <f>DH15+14</f>
        <v>43868</v>
      </c>
      <c r="DI19" s="26">
        <v>0.1</v>
      </c>
      <c r="DM19"/>
      <c r="DN19" s="26" t="s">
        <v>48</v>
      </c>
      <c r="DO19" s="80">
        <v>43912.862291666665</v>
      </c>
      <c r="DP19" s="27">
        <v>43855</v>
      </c>
      <c r="DQ19" s="27">
        <v>43855</v>
      </c>
      <c r="DR19" s="26">
        <v>0</v>
      </c>
      <c r="DS19" s="26">
        <v>0.21033404877431897</v>
      </c>
      <c r="DT19" s="25">
        <v>9.9999999999795755E-11</v>
      </c>
      <c r="DU19" s="26">
        <v>8.3106214738320611E-3</v>
      </c>
      <c r="DV19" s="108">
        <v>2103340487.7474856</v>
      </c>
      <c r="DW19" s="26">
        <v>11.368819454980502</v>
      </c>
      <c r="DX19" s="26">
        <v>25.309063760847966</v>
      </c>
      <c r="DY19" s="112">
        <v>9.9999999999795755E-8</v>
      </c>
      <c r="DZ19" s="26"/>
      <c r="EA19" s="27">
        <v>43912</v>
      </c>
      <c r="EB19" s="26" t="s">
        <v>1470</v>
      </c>
      <c r="EC19" s="26">
        <v>2103340487.7474856</v>
      </c>
      <c r="ED19" s="112">
        <v>1354</v>
      </c>
      <c r="EE19" s="26" t="s">
        <v>1501</v>
      </c>
      <c r="EF19" s="27">
        <v>43912</v>
      </c>
      <c r="EG19" s="26">
        <v>58</v>
      </c>
      <c r="EH19" s="26" t="s">
        <v>1502</v>
      </c>
      <c r="EI19" s="26"/>
      <c r="EJ19" s="26" t="s">
        <v>1503</v>
      </c>
      <c r="EK19" s="26"/>
      <c r="EL19" s="26" t="s">
        <v>1504</v>
      </c>
      <c r="EM19" s="26">
        <v>533.82747200756978</v>
      </c>
      <c r="EO19" s="26"/>
      <c r="EP19" s="94"/>
      <c r="EQ19" s="26"/>
      <c r="ER19" s="26" t="s">
        <v>1500</v>
      </c>
      <c r="ES19" s="26"/>
      <c r="ET19" s="26"/>
    </row>
    <row r="20" spans="2:150" ht="15" customHeight="1" x14ac:dyDescent="0.3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48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>
        <v>13</v>
      </c>
      <c r="X20" s="21">
        <f>IF(ISNUMBER(tblData[Singapore]),tblData[Singapore]/$X$9,"")</f>
        <v>22.222222222222225</v>
      </c>
      <c r="Y20" s="21"/>
      <c r="Z20" s="21"/>
      <c r="AA20" s="26">
        <f>IF(tblData[[#This Row],[Date]]&lt;ItalyStart,"",tblData[[#This Row],[Date]]-ItalyStart)</f>
        <v>1</v>
      </c>
      <c r="AB20" s="26"/>
      <c r="AC20" s="26">
        <f t="shared" si="4"/>
        <v>9</v>
      </c>
      <c r="AD20" s="26" t="str">
        <f>IF(tblData[[#This Row],[Date]]&lt;StartDt2Korea,"",tblData[[#This Row],[Date]]-StartDt2Korea)</f>
        <v/>
      </c>
      <c r="AE20" s="26">
        <f>IF(tblData[[#This Row],[Date]]&lt;UKStart,"",tblData[[#This Row],[Date]]-UKStart)</f>
        <v>1</v>
      </c>
      <c r="AF20" s="26">
        <f>IF(tblData[[#This Row],[Date]]&lt;SingaporeStart,"",tblData[[#This Row],[Date]]-SingaporeStart)</f>
        <v>8</v>
      </c>
      <c r="AG20">
        <f>IF(tblData[Date]&gt;=StartDt2Au,tblData[Date]-StartDt2Au,"")</f>
        <v>6</v>
      </c>
      <c r="AH20" s="26">
        <f>IF(tblData[New South Wales]&gt;0,SUM(tblData[[#This Row],[Australian Capital Territory]:[Western Australia]]),"")</f>
        <v>9</v>
      </c>
      <c r="AI20" s="12">
        <f>IF(ISNUMBER(tblData[Au]),tblData[Au]/$AE$9,"")</f>
        <v>3.548336224570257</v>
      </c>
      <c r="AJ20" s="19">
        <f>IF(ISNUMBER(tblData[[#This Row],[Day'# Aust]]),betaAu/(deltaAu+betaPodeltaAu*EXP(-betaAu*tblData[[#This Row],[Day'# Aust]])),"")</f>
        <v>2.3780174405796013E-2</v>
      </c>
      <c r="AK20" s="70">
        <f>IF(ISNUMBER(tblData[Day'# Aust]),tblData[Au LogiP(t)]/$AI$9,"")</f>
        <v>9.3755615856316084E-3</v>
      </c>
      <c r="AL20" s="11">
        <f>IF(AND(tblData[Date]&gt;=StartDt2Au,ISNUMBER(tblData[NSW])),(tblData[[#This Row],[Au LogiP(t)]]-tblData[[#This Row],[Au]])^2,"")</f>
        <v>80.572522357390426</v>
      </c>
      <c r="AM20">
        <f>IF(tblData[Date]&gt;StartDt2NSW,tblData[Date]-StartDt2NSW,"")</f>
        <v>6</v>
      </c>
      <c r="AN20">
        <f t="shared" si="5"/>
        <v>4</v>
      </c>
      <c r="AO20" s="11">
        <f>IF(tblData[Date]&gt;StartDt2NSW,betaNSW/(deltaNSW+betaPodeltaNSW*EXP(-betaNSW*tblData[[#This Row],[Day '# NSW]])),"")</f>
        <v>2.2551715882771974E-2</v>
      </c>
      <c r="AP20" s="12">
        <f>IF(AND(ISNUMBER(tblData[NSW]),tblData[Date]&gt;StartDt2NSW),(tblData[[#This Row],[NSW LogiP(t)]]-tblData[[#This Row],[NSW]])^2,"")</f>
        <v>15.820094852827079</v>
      </c>
      <c r="AQ20" s="12">
        <f>IF(AND(tblData[Date]&gt;StartDt2NSW,ISNUMBER(tblData[Day'# Aust])),tblData[NSW LogiP(t)]/$AL$9,"")</f>
        <v>2.7910539458876202E-2</v>
      </c>
      <c r="AR20" s="11">
        <f>IF(AND(tblData[Date]&gt;StartDt2Italy,ISNUMBER(tblData[Days'# Italy])),betaItaly/(deltaItaly+betaPodeltaItaly*EXP(-betaItaly*tblData[Days'# Italy])),"")</f>
        <v>0.5728012457020375</v>
      </c>
      <c r="AS20" s="11">
        <f>IF(AND(tblData[Date]&gt;StartDt2Italy,ISNUMBER(tblData[Italy])),(tblData[[#This Row],[Italy LogiP(t)]]-tblData[[#This Row],[Italy]])^2,"")</f>
        <v>2.0368962842696559</v>
      </c>
      <c r="AT20" s="43">
        <f>IF(AND(tblData[Date]&gt;StartDt2Italy,ISNUMBER(tblData[Days'# Italy])),tblData[[#This Row],[Italy LogiP(t)]]/$AS$9,"")</f>
        <v>9.4756202762950784E-2</v>
      </c>
      <c r="AU20" s="11" t="str">
        <f>IF(ISNUMBER(tblData[[#This Row],[Days'# US]]),betaUS/(deltaUS+betaPodeltaUS*EXP(-betaUS*tblData[Days'# US])),"")</f>
        <v/>
      </c>
      <c r="AV20" s="11"/>
      <c r="AW20" s="11" t="str">
        <f>IF(ISNUMBER(tblData[[#This Row],[Days'# US]]),tblData[[#This Row],[US LogiP(t)]]/$AV$9,"")</f>
        <v/>
      </c>
      <c r="AX20" s="11" t="str">
        <f>IF(tblData[Date]&gt;=StartDt2Korea,betaSKorea/(deltaSKorea+betaPodeltaSKorea*EXP(-betaSKorea*(tblData[Date]-StartDt2Korea))),"")</f>
        <v/>
      </c>
      <c r="AY20" s="11" t="str">
        <f>IF(AND(tblData[Date]&gt;=StartDt2Korea,ISNUMBER(tblData[SKorea])),(tblData[[#This Row],[SKorea LogiP(t)]]-tblData[[#This Row],[SKorea]])^2,"")</f>
        <v/>
      </c>
      <c r="AZ20" s="11" t="str">
        <f>IF(tblData[Date]&gt;=StartDt2Korea,tblData[[#This Row],[SKorea LogiP(t)]]/$AY$9,"")</f>
        <v/>
      </c>
      <c r="BA20" s="11">
        <f>IF(ISNUMBER(tblData[Days'# UK]),betaUK/(deltaUK+betaPodeltaUK*EXP(-betaUK*tblData[Days'# UK])),"")</f>
        <v>3.7571000841061401E-2</v>
      </c>
      <c r="BB20" s="11">
        <f>IF(ISNUMBER(tblData[UK]),(tblData[[#This Row],[UK LogiP(t)]]-tblData[[#This Row],[UK]])^2,"")</f>
        <v>3.8511275767399531</v>
      </c>
      <c r="BC20" s="11">
        <f>IF(ISNUMBER(tblData[Days'# UK]),tblData[[#This Row],[UK LogiP(t)]]/$BB$9,"")</f>
        <v>5.6548767069628837E-3</v>
      </c>
      <c r="BD20" s="11">
        <f>IF(ISNUMBER(tblData[Days'# China]),betaChina/(deltaChina+betaPodeltaChina*EXP(-betaChina*tblData[Days'# China])),"")</f>
        <v>10126.209960672797</v>
      </c>
      <c r="BE20" s="11">
        <f>IF(ISNUMBER(tblData[China]),(tblData[[#This Row],[China LogiP(t)]]-tblData[[#This Row],[China]])^2,"")</f>
        <v>105112.0985994566</v>
      </c>
      <c r="BF20" s="11">
        <f>tblData[[#This Row],[China LogiP(t)]]/$BE$9</f>
        <v>70.353940715232071</v>
      </c>
      <c r="BG20" s="11">
        <f>IF(ISNUMBER(tblData[Day'# Singapore]),betaSingapore/(deltaSingapore+betaPodeltaSingapore*EXP(-betaSingapore*tblData[Day'# Singapore])),"")</f>
        <v>36.419266400975424</v>
      </c>
      <c r="BH20" s="11">
        <f>IF(AND(ISNUMBER(tblData[Singapore]),tblData[Date]&gt;=StartDt2Singapore),(tblData[[#This Row],[Singapore LogiP(t)]]-tblData[[#This Row],[Singapore]])^2,"")</f>
        <v>548.46203875985634</v>
      </c>
      <c r="BI20" s="11">
        <f>IF(ISNUMBER(tblData[Day'# Singapore]),tblData[Singapore LogiP(t)]/$BH$9,"")</f>
        <v>62.255156240983638</v>
      </c>
      <c r="BJ20" s="11"/>
      <c r="BK20" s="11"/>
      <c r="BL20" s="11" t="str">
        <f>IF(ISNUMBER(tblData[[#This Row],[NSW Number of Tests]]),tblData[[#This Row],[NSW Number of Tests]]-BJ19,"")</f>
        <v/>
      </c>
      <c r="BM20" s="11" t="str">
        <f>IF(ISNUMBER(tblData[[#This Row],[NSW Under Investigation'']]),tblData[[#This Row],[NSW Under Investigation'']]-BK19,"")</f>
        <v/>
      </c>
      <c r="BN20" s="11"/>
      <c r="BO20" s="11" t="str">
        <f>IF(ISNUMBER(tblData[[#This Row],[NSW Test Day Number]]),betaTest/(deltaTest+betaPodeltaTest*EXP(-betaTest*tblData[[#This Row],[NSW Test Day Number]])),"")</f>
        <v/>
      </c>
      <c r="BP20" s="11" t="str">
        <f>IF(ISNUMBER(tblData[[#This Row],[NSW Number of Tests]]),(tblData[[#This Row],[NSW Number of Tests]]-tblData[[#This Row],[NSW Test Logi]])^2,"")</f>
        <v/>
      </c>
      <c r="BR20" s="27"/>
      <c r="BS20" s="26"/>
      <c r="BU20" s="27"/>
      <c r="BV20" s="27"/>
      <c r="BW20" s="26"/>
      <c r="BX20" s="23"/>
      <c r="BY20" s="25"/>
      <c r="BZ20" s="22"/>
      <c r="CA20" s="26"/>
      <c r="CB20" s="12"/>
      <c r="CC20" s="26"/>
      <c r="CD20" s="24"/>
      <c r="CE20" s="24"/>
      <c r="CF20" s="24"/>
      <c r="CG20" s="24"/>
      <c r="CH20" s="24"/>
      <c r="CI20" s="26"/>
      <c r="CJ20" s="26"/>
      <c r="CK20" s="27"/>
      <c r="CL20" s="19"/>
      <c r="CM20" s="27"/>
      <c r="CN20" s="26"/>
      <c r="CO20" s="26"/>
      <c r="CP20" s="18"/>
      <c r="CQ20" s="26"/>
      <c r="CR20" s="26"/>
      <c r="CS20" s="19"/>
      <c r="CT20" s="19"/>
      <c r="CU20" s="26"/>
      <c r="CV20" s="26"/>
      <c r="DH20" s="27">
        <f t="shared" ref="DH20:DH22" si="6">DH16+14</f>
        <v>43868</v>
      </c>
      <c r="DI20" s="43">
        <v>10000000</v>
      </c>
      <c r="DK20" s="26"/>
      <c r="DM20"/>
      <c r="DN20" s="26" t="s">
        <v>202</v>
      </c>
      <c r="DO20" s="80"/>
      <c r="DP20" s="27">
        <v>43855</v>
      </c>
      <c r="DQ20" s="27"/>
      <c r="DR20" s="26">
        <v>1</v>
      </c>
      <c r="DS20" s="23">
        <v>0.19302410780606497</v>
      </c>
      <c r="DT20" s="25">
        <v>2.763601010404924E-4</v>
      </c>
      <c r="DU20" s="22">
        <v>9.6455935044007356E-3</v>
      </c>
      <c r="DV20" s="108">
        <v>698.45143014252619</v>
      </c>
      <c r="DW20" s="19">
        <v>3.2654567368634559</v>
      </c>
      <c r="DX20" s="37">
        <v>20.011359804951844</v>
      </c>
      <c r="DY20" s="112">
        <v>0.27636010104049241</v>
      </c>
      <c r="DZ20" s="12">
        <v>3.5803519373979857</v>
      </c>
      <c r="EA20" s="27">
        <v>43903</v>
      </c>
      <c r="EB20" s="27" t="s">
        <v>761</v>
      </c>
      <c r="EC20" s="27"/>
      <c r="EE20" s="19"/>
      <c r="EF20" s="27"/>
      <c r="EG20" s="27"/>
      <c r="EH20" s="27"/>
      <c r="EI20" s="26"/>
      <c r="EJ20" s="17"/>
      <c r="EK20" s="26"/>
      <c r="EL20" s="26"/>
      <c r="EM20" s="26"/>
      <c r="EO20" s="27"/>
      <c r="EP20" s="94"/>
      <c r="EQ20" s="26"/>
      <c r="ER20" s="26"/>
      <c r="ES20" s="26"/>
      <c r="ET20" s="26"/>
    </row>
    <row r="21" spans="2:150" ht="15" customHeight="1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48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>
        <v>16</v>
      </c>
      <c r="X21" s="21">
        <f>IF(ISNUMBER(tblData[Singapore]),tblData[Singapore]/$X$9,"")</f>
        <v>27.350427350427353</v>
      </c>
      <c r="Y21" s="21"/>
      <c r="Z21" s="21"/>
      <c r="AA21" s="26">
        <f>IF(tblData[[#This Row],[Date]]&lt;ItalyStart,"",tblData[[#This Row],[Date]]-ItalyStart)</f>
        <v>2</v>
      </c>
      <c r="AB21" s="26"/>
      <c r="AC21" s="26">
        <f t="shared" si="4"/>
        <v>10</v>
      </c>
      <c r="AD21" s="26" t="str">
        <f>IF(tblData[[#This Row],[Date]]&lt;StartDt2Korea,"",tblData[[#This Row],[Date]]-StartDt2Korea)</f>
        <v/>
      </c>
      <c r="AE21" s="26">
        <f>IF(tblData[[#This Row],[Date]]&lt;UKStart,"",tblData[[#This Row],[Date]]-UKStart)</f>
        <v>2</v>
      </c>
      <c r="AF21" s="26">
        <f>IF(tblData[[#This Row],[Date]]&lt;SingaporeStart,"",tblData[[#This Row],[Date]]-SingaporeStart)</f>
        <v>9</v>
      </c>
      <c r="AG21">
        <f>IF(tblData[Date]&gt;=StartDt2Au,tblData[Date]-StartDt2Au,"")</f>
        <v>7</v>
      </c>
      <c r="AH21" s="26">
        <f>IF(tblData[New South Wales]&gt;0,SUM(tblData[[#This Row],[Australian Capital Territory]:[Western Australia]]),"")</f>
        <v>12</v>
      </c>
      <c r="AI21" s="12">
        <f>IF(ISNUMBER(tblData[Au]),tblData[Au]/$AE$9,"")</f>
        <v>4.731114966093676</v>
      </c>
      <c r="AJ21" s="19">
        <f>IF(ISNUMBER(tblData[[#This Row],[Day'# Aust]]),betaAu/(deltaAu+betaPodeltaAu*EXP(-betaAu*tblData[[#This Row],[Day'# Aust]])),"")</f>
        <v>2.9477844246141038E-2</v>
      </c>
      <c r="AK21" s="70">
        <f>IF(ISNUMBER(tblData[Day'# Aust]),tblData[Au LogiP(t)]/$AI$9,"")</f>
        <v>1.1621922506758019E-2</v>
      </c>
      <c r="AL21" s="11">
        <f>IF(AND(tblData[Date]&gt;=StartDt2Au,ISNUMBER(tblData[NSW])),(tblData[[#This Row],[Au LogiP(t)]]-tblData[[#This Row],[Au]])^2,"")</f>
        <v>143.29340068139402</v>
      </c>
      <c r="AM21">
        <f>IF(tblData[Date]&gt;StartDt2NSW,tblData[Date]-StartDt2NSW,"")</f>
        <v>7</v>
      </c>
      <c r="AN21">
        <f t="shared" si="5"/>
        <v>4</v>
      </c>
      <c r="AO21" s="11">
        <f>IF(tblData[Date]&gt;StartDt2NSW,betaNSW/(deltaNSW+betaPodeltaNSW*EXP(-betaNSW*tblData[[#This Row],[Day '# NSW]])),"")</f>
        <v>2.7499012636497198E-2</v>
      </c>
      <c r="AP21" s="12">
        <f>IF(AND(ISNUMBER(tblData[NSW]),tblData[Date]&gt;StartDt2NSW),(tblData[[#This Row],[NSW LogiP(t)]]-tblData[[#This Row],[NSW]])^2,"")</f>
        <v>15.780764094604004</v>
      </c>
      <c r="AQ21" s="12">
        <f>IF(AND(tblData[Date]&gt;StartDt2NSW,ISNUMBER(tblData[Day'# Aust])),tblData[NSW LogiP(t)]/$AL$9,"")</f>
        <v>3.4033431480813364E-2</v>
      </c>
      <c r="AR21" s="11">
        <f>IF(AND(tblData[Date]&gt;StartDt2Italy,ISNUMBER(tblData[Days'# Italy])),betaItaly/(deltaItaly+betaPodeltaItaly*EXP(-betaItaly*tblData[Days'# Italy])),"")</f>
        <v>0.74194997045960398</v>
      </c>
      <c r="AS21" s="11">
        <f>IF(AND(tblData[Date]&gt;StartDt2Italy,ISNUMBER(tblData[Italy])),(tblData[[#This Row],[Italy LogiP(t)]]-tblData[[#This Row],[Italy]])^2,"")</f>
        <v>1.5826898768265913</v>
      </c>
      <c r="AT21" s="43">
        <f>IF(AND(tblData[Date]&gt;StartDt2Italy,ISNUMBER(tblData[Days'# Italy])),tblData[[#This Row],[Italy LogiP(t)]]/$AS$9,"")</f>
        <v>0.1227377949478253</v>
      </c>
      <c r="AU21" s="11" t="str">
        <f>IF(ISNUMBER(tblData[[#This Row],[Days'# US]]),betaUS/(deltaUS+betaPodeltaUS*EXP(-betaUS*tblData[Days'# US])),"")</f>
        <v/>
      </c>
      <c r="AV21" s="11"/>
      <c r="AW21" s="11" t="str">
        <f>IF(ISNUMBER(tblData[[#This Row],[Days'# US]]),tblData[[#This Row],[US LogiP(t)]]/$AV$9,"")</f>
        <v/>
      </c>
      <c r="AX21" s="11" t="str">
        <f>IF(tblData[Date]&gt;=StartDt2Korea,betaSKorea/(deltaSKorea+betaPodeltaSKorea*EXP(-betaSKorea*(tblData[Date]-StartDt2Korea))),"")</f>
        <v/>
      </c>
      <c r="AY21" s="11" t="str">
        <f>IF(AND(tblData[Date]&gt;=StartDt2Korea,ISNUMBER(tblData[SKorea])),(tblData[[#This Row],[SKorea LogiP(t)]]-tblData[[#This Row],[SKorea]])^2,"")</f>
        <v/>
      </c>
      <c r="AZ21" s="11" t="str">
        <f>IF(tblData[Date]&gt;=StartDt2Korea,tblData[[#This Row],[SKorea LogiP(t)]]/$AY$9,"")</f>
        <v/>
      </c>
      <c r="BA21" s="11">
        <f>IF(ISNUMBER(tblData[Days'# UK]),betaUK/(deltaUK+betaPodeltaUK*EXP(-betaUK*tblData[Days'# UK])),"")</f>
        <v>4.7568580562406711E-2</v>
      </c>
      <c r="BB21" s="11">
        <f>IF(ISNUMBER(tblData[UK]),(tblData[[#This Row],[UK LogiP(t)]]-tblData[[#This Row],[UK]])^2,"")</f>
        <v>3.8119884476070958</v>
      </c>
      <c r="BC21" s="11">
        <f>IF(ISNUMBER(tblData[Days'# UK]),tblData[[#This Row],[UK LogiP(t)]]/$BB$9,"")</f>
        <v>7.15962982576862E-3</v>
      </c>
      <c r="BD21" s="11">
        <f>IF(ISNUMBER(tblData[Days'# China]),betaChina/(deltaChina+betaPodeltaChina*EXP(-betaChina*tblData[Days'# China])),"")</f>
        <v>12263.637123219562</v>
      </c>
      <c r="BE21" s="11">
        <f>IF(ISNUMBER(tblData[China]),(tblData[[#This Row],[China LogiP(t)]]-tblData[[#This Row],[China]])^2,"")</f>
        <v>138858.4256013507</v>
      </c>
      <c r="BF21" s="11">
        <f>tblData[[#This Row],[China LogiP(t)]]/$BE$9</f>
        <v>85.204158561885393</v>
      </c>
      <c r="BG21" s="11">
        <f>IF(ISNUMBER(tblData[Day'# Singapore]),betaSingapore/(deltaSingapore+betaPodeltaSingapore*EXP(-betaSingapore*tblData[Day'# Singapore])),"")</f>
        <v>38.055421109230096</v>
      </c>
      <c r="BH21" s="11">
        <f>IF(AND(ISNUMBER(tblData[Singapore]),tblData[Date]&gt;=StartDt2Singapore),(tblData[[#This Row],[Singapore LogiP(t)]]-tblData[[#This Row],[Singapore]])^2,"")</f>
        <v>486.44160030547249</v>
      </c>
      <c r="BI21" s="11">
        <f>IF(ISNUMBER(tblData[Day'# Singapore]),tblData[Singapore LogiP(t)]/$BH$9,"")</f>
        <v>65.052001896119833</v>
      </c>
      <c r="BJ21" s="11"/>
      <c r="BK21" s="11"/>
      <c r="BL21" s="11" t="str">
        <f>IF(ISNUMBER(tblData[[#This Row],[NSW Number of Tests]]),tblData[[#This Row],[NSW Number of Tests]]-BJ20,"")</f>
        <v/>
      </c>
      <c r="BM21" s="11" t="str">
        <f>IF(ISNUMBER(tblData[[#This Row],[NSW Under Investigation'']]),tblData[[#This Row],[NSW Under Investigation'']]-BK20,"")</f>
        <v/>
      </c>
      <c r="BN21" s="11"/>
      <c r="BO21" s="11" t="str">
        <f>IF(ISNUMBER(tblData[[#This Row],[NSW Test Day Number]]),betaTest/(deltaTest+betaPodeltaTest*EXP(-betaTest*tblData[[#This Row],[NSW Test Day Number]])),"")</f>
        <v/>
      </c>
      <c r="BP21" s="11" t="str">
        <f>IF(ISNUMBER(tblData[[#This Row],[NSW Number of Tests]]),(tblData[[#This Row],[NSW Number of Tests]]-tblData[[#This Row],[NSW Test Logi]])^2,"")</f>
        <v/>
      </c>
      <c r="BR21" s="27"/>
      <c r="BV21" s="26"/>
      <c r="CE21"/>
      <c r="CF21"/>
      <c r="CH21" s="26"/>
      <c r="DH21" s="27">
        <f t="shared" si="6"/>
        <v>43874</v>
      </c>
      <c r="DI21" s="26">
        <v>10000000</v>
      </c>
      <c r="DM21"/>
      <c r="DN21" s="26" t="s">
        <v>202</v>
      </c>
      <c r="DO21" s="80"/>
      <c r="DP21" s="27">
        <v>43855</v>
      </c>
      <c r="DQ21" s="27"/>
      <c r="DR21" s="26">
        <v>1</v>
      </c>
      <c r="DS21" s="23">
        <v>0.20197976034974141</v>
      </c>
      <c r="DT21" s="25">
        <v>3.7238456472139586E-4</v>
      </c>
      <c r="DU21" s="23">
        <v>6.7779266478176703E-3</v>
      </c>
      <c r="DV21" s="108">
        <v>542.39562937001722</v>
      </c>
      <c r="DW21" s="19">
        <v>3.1776191206100863</v>
      </c>
      <c r="DX21" s="37">
        <v>29.799265593927426</v>
      </c>
      <c r="DY21" s="112">
        <v>0.37238456472139586</v>
      </c>
      <c r="DZ21" s="12">
        <v>3.1776191206100863</v>
      </c>
      <c r="EA21" s="27">
        <v>43904</v>
      </c>
      <c r="EB21" s="27" t="s">
        <v>762</v>
      </c>
      <c r="EC21" s="27"/>
      <c r="EE21" s="19"/>
      <c r="EF21" s="27"/>
      <c r="EG21" s="26"/>
      <c r="EH21" s="18"/>
      <c r="EI21" s="26"/>
      <c r="EJ21" s="26"/>
      <c r="EK21" s="26"/>
      <c r="EL21" s="26"/>
      <c r="EM21" s="26"/>
      <c r="EO21" s="26"/>
      <c r="EP21" s="94"/>
      <c r="EQ21" s="26"/>
      <c r="ER21" s="26"/>
      <c r="ES21" s="26"/>
      <c r="ET21" s="26"/>
    </row>
    <row r="22" spans="2:150" ht="18.75" customHeight="1" x14ac:dyDescent="0.3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48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>
        <v>18</v>
      </c>
      <c r="X22" s="21">
        <f>IF(ISNUMBER(tblData[Singapore]),tblData[Singapore]/$X$9,"")</f>
        <v>30.76923076923077</v>
      </c>
      <c r="Y22" s="21"/>
      <c r="Z22" s="21"/>
      <c r="AA22" s="26">
        <f>IF(tblData[[#This Row],[Date]]&lt;ItalyStart,"",tblData[[#This Row],[Date]]-ItalyStart)</f>
        <v>3</v>
      </c>
      <c r="AB22" s="26"/>
      <c r="AC22" s="26">
        <f t="shared" si="4"/>
        <v>11</v>
      </c>
      <c r="AD22" s="26" t="str">
        <f>IF(tblData[[#This Row],[Date]]&lt;StartDt2Korea,"",tblData[[#This Row],[Date]]-StartDt2Korea)</f>
        <v/>
      </c>
      <c r="AE22" s="26">
        <f>IF(tblData[[#This Row],[Date]]&lt;UKStart,"",tblData[[#This Row],[Date]]-UKStart)</f>
        <v>3</v>
      </c>
      <c r="AF22" s="26">
        <f>IF(tblData[[#This Row],[Date]]&lt;SingaporeStart,"",tblData[[#This Row],[Date]]-SingaporeStart)</f>
        <v>10</v>
      </c>
      <c r="AG22">
        <f>IF(tblData[Date]&gt;=StartDt2Au,tblData[Date]-StartDt2Au,"")</f>
        <v>8</v>
      </c>
      <c r="AH22" s="26">
        <f>IF(tblData[New South Wales]&gt;0,SUM(tblData[[#This Row],[Australian Capital Territory]:[Western Australia]]),"")</f>
        <v>12</v>
      </c>
      <c r="AI22" s="12">
        <f>IF(ISNUMBER(tblData[Au]),tblData[Au]/$AE$9,"")</f>
        <v>4.731114966093676</v>
      </c>
      <c r="AJ22" s="19">
        <f>IF(ISNUMBER(tblData[[#This Row],[Day'# Aust]]),betaAu/(deltaAu+betaPodeltaAu*EXP(-betaAu*tblData[[#This Row],[Day'# Aust]])),"")</f>
        <v>3.6540661417014432E-2</v>
      </c>
      <c r="AK22" s="70">
        <f>IF(ISNUMBER(tblData[Day'# Aust]),tblData[Au LogiP(t)]/$AI$9,"")</f>
        <v>1.4406505841749894E-2</v>
      </c>
      <c r="AL22" s="11">
        <f>IF(AND(tblData[Date]&gt;=StartDt2Au,ISNUMBER(tblData[NSW])),(tblData[[#This Row],[Au LogiP(t)]]-tblData[[#This Row],[Au]])^2,"")</f>
        <v>143.12435934592847</v>
      </c>
      <c r="AM22">
        <f>IF(tblData[Date]&gt;StartDt2NSW,tblData[Date]-StartDt2NSW,"")</f>
        <v>8</v>
      </c>
      <c r="AN22">
        <f t="shared" si="5"/>
        <v>4</v>
      </c>
      <c r="AO22" s="11">
        <f>IF(tblData[Date]&gt;StartDt2NSW,betaNSW/(deltaNSW+betaPodeltaNSW*EXP(-betaNSW*tblData[[#This Row],[Day '# NSW]])),"")</f>
        <v>3.3531625704805543E-2</v>
      </c>
      <c r="AP22" s="12">
        <f>IF(AND(ISNUMBER(tblData[NSW]),tblData[Date]&gt;StartDt2NSW),(tblData[[#This Row],[NSW LogiP(t)]]-tblData[[#This Row],[NSW]])^2,"")</f>
        <v>15.732871364283961</v>
      </c>
      <c r="AQ22" s="12">
        <f>IF(AND(tblData[Date]&gt;StartDt2NSW,ISNUMBER(tblData[Day'# Aust])),tblData[NSW LogiP(t)]/$AL$9,"")</f>
        <v>4.1499536763373195E-2</v>
      </c>
      <c r="AR22" s="11">
        <f>IF(AND(tblData[Date]&gt;StartDt2Italy,ISNUMBER(tblData[Days'# Italy])),betaItaly/(deltaItaly+betaPodeltaItaly*EXP(-betaItaly*tblData[Days'# Italy])),"")</f>
        <v>0.96104773253291853</v>
      </c>
      <c r="AS22" s="11">
        <f>IF(AND(tblData[Date]&gt;StartDt2Italy,ISNUMBER(tblData[Italy])),(tblData[[#This Row],[Italy LogiP(t)]]-tblData[[#This Row],[Italy]])^2,"")</f>
        <v>1.07942181407499</v>
      </c>
      <c r="AT22" s="43">
        <f>IF(AND(tblData[Date]&gt;StartDt2Italy,ISNUMBER(tblData[Days'# Italy])),tblData[[#This Row],[Italy LogiP(t)]]/$AS$9,"")</f>
        <v>0.15898225517500719</v>
      </c>
      <c r="AU22" s="11" t="str">
        <f>IF(ISNUMBER(tblData[[#This Row],[Days'# US]]),betaUS/(deltaUS+betaPodeltaUS*EXP(-betaUS*tblData[Days'# US])),"")</f>
        <v/>
      </c>
      <c r="AV22" s="11"/>
      <c r="AW22" s="11" t="str">
        <f>IF(ISNUMBER(tblData[[#This Row],[Days'# US]]),tblData[[#This Row],[US LogiP(t)]]/$AV$9,"")</f>
        <v/>
      </c>
      <c r="AX22" s="11" t="str">
        <f>IF(tblData[Date]&gt;=StartDt2Korea,betaSKorea/(deltaSKorea+betaPodeltaSKorea*EXP(-betaSKorea*(tblData[Date]-StartDt2Korea))),"")</f>
        <v/>
      </c>
      <c r="AY22" s="11" t="str">
        <f>IF(AND(tblData[Date]&gt;=StartDt2Korea,ISNUMBER(tblData[SKorea])),(tblData[[#This Row],[SKorea LogiP(t)]]-tblData[[#This Row],[SKorea]])^2,"")</f>
        <v/>
      </c>
      <c r="AZ22" s="11" t="str">
        <f>IF(tblData[Date]&gt;=StartDt2Korea,tblData[[#This Row],[SKorea LogiP(t)]]/$AY$9,"")</f>
        <v/>
      </c>
      <c r="BA22" s="11">
        <f>IF(ISNUMBER(tblData[Days'# UK]),betaUK/(deltaUK+betaPodeltaUK*EXP(-betaUK*tblData[Days'# UK])),"")</f>
        <v>6.0226497876562958E-2</v>
      </c>
      <c r="BB22" s="11">
        <f>IF(ISNUMBER(tblData[UK]),(tblData[[#This Row],[UK LogiP(t)]]-tblData[[#This Row],[UK]])^2,"")</f>
        <v>3.7627212395402236</v>
      </c>
      <c r="BC22" s="11">
        <f>IF(ISNUMBER(tblData[Days'# UK]),tblData[[#This Row],[UK LogiP(t)]]/$BB$9,"")</f>
        <v>9.0647949844315113E-3</v>
      </c>
      <c r="BD22" s="11">
        <f>IF(ISNUMBER(tblData[Days'# China]),betaChina/(deltaChina+betaPodeltaChina*EXP(-betaChina*tblData[Days'# China])),"")</f>
        <v>14758.254293218028</v>
      </c>
      <c r="BE22" s="11">
        <f>IF(ISNUMBER(tblData[China]),(tblData[[#This Row],[China LogiP(t)]]-tblData[[#This Row],[China]])^2,"")</f>
        <v>3503431.9908567453</v>
      </c>
      <c r="BF22" s="11">
        <f>tblData[[#This Row],[China LogiP(t)]]/$BE$9</f>
        <v>102.53602795496396</v>
      </c>
      <c r="BG22" s="11">
        <f>IF(ISNUMBER(tblData[Day'# Singapore]),betaSingapore/(deltaSingapore+betaPodeltaSingapore*EXP(-betaSingapore*tblData[Day'# Singapore])),"")</f>
        <v>39.765080928692882</v>
      </c>
      <c r="BH22" s="11">
        <f>IF(AND(ISNUMBER(tblData[Singapore]),tblData[Date]&gt;=StartDt2Singapore),(tblData[[#This Row],[Singapore LogiP(t)]]-tblData[[#This Row],[Singapore]])^2,"")</f>
        <v>473.7187478325506</v>
      </c>
      <c r="BI22" s="11">
        <f>IF(ISNUMBER(tblData[Day'# Singapore]),tblData[Singapore LogiP(t)]/$BH$9,"")</f>
        <v>67.974497314004935</v>
      </c>
      <c r="BJ22" s="11"/>
      <c r="BK22" s="11"/>
      <c r="BL22" s="11" t="str">
        <f>IF(ISNUMBER(tblData[[#This Row],[NSW Number of Tests]]),tblData[[#This Row],[NSW Number of Tests]]-BJ21,"")</f>
        <v/>
      </c>
      <c r="BM22" s="11" t="str">
        <f>IF(ISNUMBER(tblData[[#This Row],[NSW Under Investigation'']]),tblData[[#This Row],[NSW Under Investigation'']]-BK21,"")</f>
        <v/>
      </c>
      <c r="BN22" s="11"/>
      <c r="BO22" s="11" t="str">
        <f>IF(ISNUMBER(tblData[[#This Row],[NSW Test Day Number]]),betaTest/(deltaTest+betaPodeltaTest*EXP(-betaTest*tblData[[#This Row],[NSW Test Day Number]])),"")</f>
        <v/>
      </c>
      <c r="BP22" s="11" t="str">
        <f>IF(ISNUMBER(tblData[[#This Row],[NSW Number of Tests]]),(tblData[[#This Row],[NSW Number of Tests]]-tblData[[#This Row],[NSW Test Logi]])^2,"")</f>
        <v/>
      </c>
      <c r="BR22" s="27"/>
      <c r="BV22" s="26"/>
      <c r="CE22"/>
      <c r="CF22"/>
      <c r="CH22" s="26"/>
      <c r="CI22" s="26"/>
      <c r="DH22" s="27">
        <f t="shared" si="6"/>
        <v>43874</v>
      </c>
      <c r="DI22" s="26">
        <v>0.1</v>
      </c>
      <c r="DM22"/>
      <c r="DN22" s="26" t="s">
        <v>202</v>
      </c>
      <c r="DO22" s="80"/>
      <c r="DP22" s="27">
        <v>43855</v>
      </c>
      <c r="DQ22" s="27"/>
      <c r="DR22" s="26">
        <v>1</v>
      </c>
      <c r="DS22" s="26">
        <v>0.18458384557537055</v>
      </c>
      <c r="DT22" s="25">
        <v>1.2349487374940706E-6</v>
      </c>
      <c r="DU22" s="26">
        <v>1.3171361296767334E-2</v>
      </c>
      <c r="DV22" s="108">
        <v>149466.80778825187</v>
      </c>
      <c r="DW22" s="19">
        <v>3.1071550624512132</v>
      </c>
      <c r="DX22" s="12">
        <v>14.014028250422166</v>
      </c>
      <c r="DY22" s="112">
        <v>1.2349487374940706E-3</v>
      </c>
      <c r="DZ22" s="12">
        <v>3.1071550624512132</v>
      </c>
      <c r="EA22" s="27">
        <v>43905</v>
      </c>
      <c r="EB22" s="27" t="s">
        <v>763</v>
      </c>
      <c r="EC22" s="27"/>
      <c r="EE22" s="19"/>
      <c r="EF22" s="27"/>
      <c r="EG22" s="17"/>
      <c r="EH22" s="18"/>
      <c r="EI22" s="26"/>
      <c r="EJ22" s="26"/>
      <c r="EK22" s="26"/>
      <c r="EL22" s="26"/>
      <c r="EM22" s="26"/>
      <c r="EN22" s="96"/>
      <c r="EO22" s="17"/>
      <c r="EP22" s="96"/>
      <c r="EQ22" s="26"/>
      <c r="ER22" s="26"/>
      <c r="ES22" s="26"/>
      <c r="ET22" s="26"/>
    </row>
    <row r="23" spans="2:150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48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>
        <v>18</v>
      </c>
      <c r="X23" s="21">
        <f>IF(ISNUMBER(tblData[Singapore]),tblData[Singapore]/$X$9,"")</f>
        <v>30.76923076923077</v>
      </c>
      <c r="Y23" s="21"/>
      <c r="Z23" s="21"/>
      <c r="AA23" s="26">
        <f>IF(tblData[[#This Row],[Date]]&lt;ItalyStart,"",tblData[[#This Row],[Date]]-ItalyStart)</f>
        <v>4</v>
      </c>
      <c r="AB23" s="26"/>
      <c r="AC23" s="26">
        <f t="shared" si="4"/>
        <v>12</v>
      </c>
      <c r="AD23" s="26" t="str">
        <f>IF(tblData[[#This Row],[Date]]&lt;StartDt2Korea,"",tblData[[#This Row],[Date]]-StartDt2Korea)</f>
        <v/>
      </c>
      <c r="AE23" s="26">
        <f>IF(tblData[[#This Row],[Date]]&lt;UKStart,"",tblData[[#This Row],[Date]]-UKStart)</f>
        <v>4</v>
      </c>
      <c r="AF23" s="26">
        <f>IF(tblData[[#This Row],[Date]]&lt;SingaporeStart,"",tblData[[#This Row],[Date]]-SingaporeStart)</f>
        <v>11</v>
      </c>
      <c r="AG23">
        <f>IF(tblData[Date]&gt;=StartDt2Au,tblData[Date]-StartDt2Au,"")</f>
        <v>9</v>
      </c>
      <c r="AH23" s="26">
        <f>IF(tblData[New South Wales]&gt;0,SUM(tblData[[#This Row],[Australian Capital Territory]:[Western Australia]]),"")</f>
        <v>12</v>
      </c>
      <c r="AI23" s="12">
        <f>IF(ISNUMBER(tblData[Au]),tblData[Au]/$AE$9,"")</f>
        <v>4.731114966093676</v>
      </c>
      <c r="AJ23" s="19">
        <f>IF(ISNUMBER(tblData[[#This Row],[Day'# Aust]]),betaAu/(deltaAu+betaPodeltaAu*EXP(-betaAu*tblData[[#This Row],[Day'# Aust]])),"")</f>
        <v>4.5295711777419784E-2</v>
      </c>
      <c r="AK23" s="70">
        <f>IF(ISNUMBER(tblData[Day'# Aust]),tblData[Au LogiP(t)]/$AI$9,"")</f>
        <v>1.7858268324168026E-2</v>
      </c>
      <c r="AL23" s="11">
        <f>IF(AND(tblData[Date]&gt;=StartDt2Au,ISNUMBER(tblData[NSW])),(tblData[[#This Row],[Au LogiP(t)]]-tblData[[#This Row],[Au]])^2,"")</f>
        <v>142.91495461884733</v>
      </c>
      <c r="AM23">
        <f>IF(tblData[Date]&gt;StartDt2NSW,tblData[Date]-StartDt2NSW,"")</f>
        <v>9</v>
      </c>
      <c r="AN23">
        <f t="shared" si="5"/>
        <v>4</v>
      </c>
      <c r="AO23" s="11">
        <f>IF(tblData[Date]&gt;StartDt2NSW,betaNSW/(deltaNSW+betaPodeltaNSW*EXP(-betaNSW*tblData[[#This Row],[Day '# NSW]])),"")</f>
        <v>4.0887647031911396E-2</v>
      </c>
      <c r="AP23" s="12">
        <f>IF(AND(ISNUMBER(tblData[NSW]),tblData[Date]&gt;StartDt2NSW),(tblData[[#This Row],[NSW LogiP(t)]]-tblData[[#This Row],[NSW]])^2,"")</f>
        <v>15.674570623424517</v>
      </c>
      <c r="AQ23" s="12">
        <f>IF(AND(tblData[Date]&gt;StartDt2NSW,ISNUMBER(tblData[Day'# Aust])),tblData[NSW LogiP(t)]/$AL$9,"")</f>
        <v>5.0603523554345782E-2</v>
      </c>
      <c r="AR23" s="11">
        <f>IF(AND(tblData[Date]&gt;StartDt2Italy,ISNUMBER(tblData[Days'# Italy])),betaItaly/(deltaItaly+betaPodeltaItaly*EXP(-betaItaly*tblData[Days'# Italy])),"")</f>
        <v>1.2448438137109539</v>
      </c>
      <c r="AS23" s="11">
        <f>IF(AND(tblData[Date]&gt;StartDt2Italy,ISNUMBER(tblData[Italy])),(tblData[[#This Row],[Italy LogiP(t)]]-tblData[[#This Row],[Italy]])^2,"")</f>
        <v>0.57026086569061651</v>
      </c>
      <c r="AT23" s="43">
        <f>IF(AND(tblData[Date]&gt;StartDt2Italy,ISNUMBER(tblData[Days'# Italy])),tblData[[#This Row],[Italy LogiP(t)]]/$AS$9,"")</f>
        <v>0.20592949771893365</v>
      </c>
      <c r="AU23" s="11" t="str">
        <f>IF(ISNUMBER(tblData[[#This Row],[Days'# US]]),betaUS/(deltaUS+betaPodeltaUS*EXP(-betaUS*tblData[Days'# US])),"")</f>
        <v/>
      </c>
      <c r="AV23" s="11"/>
      <c r="AW23" s="11" t="str">
        <f>IF(ISNUMBER(tblData[[#This Row],[Days'# US]]),tblData[[#This Row],[US LogiP(t)]]/$AV$9,"")</f>
        <v/>
      </c>
      <c r="AX23" s="11" t="str">
        <f>IF(tblData[Date]&gt;=StartDt2Korea,betaSKorea/(deltaSKorea+betaPodeltaSKorea*EXP(-betaSKorea*(tblData[Date]-StartDt2Korea))),"")</f>
        <v/>
      </c>
      <c r="AY23" s="11" t="str">
        <f>IF(AND(tblData[Date]&gt;=StartDt2Korea,ISNUMBER(tblData[SKorea])),(tblData[[#This Row],[SKorea LogiP(t)]]-tblData[[#This Row],[SKorea]])^2,"")</f>
        <v/>
      </c>
      <c r="AZ23" s="11" t="str">
        <f>IF(tblData[Date]&gt;=StartDt2Korea,tblData[[#This Row],[SKorea LogiP(t)]]/$AY$9,"")</f>
        <v/>
      </c>
      <c r="BA23" s="11">
        <f>IF(ISNUMBER(tblData[Days'# UK]),betaUK/(deltaUK+betaPodeltaUK*EXP(-betaUK*tblData[Days'# UK])),"")</f>
        <v>7.6252662856211878E-2</v>
      </c>
      <c r="BB23" s="11">
        <f>IF(ISNUMBER(tblData[UK]),(tblData[[#This Row],[UK LogiP(t)]]-tblData[[#This Row],[UK]])^2,"")</f>
        <v>3.7008038171678157</v>
      </c>
      <c r="BC23" s="11">
        <f>IF(ISNUMBER(tblData[Days'# UK]),tblData[[#This Row],[UK LogiP(t)]]/$BB$9,"")</f>
        <v>1.1476920959694744E-2</v>
      </c>
      <c r="BD23" s="11">
        <f>IF(ISNUMBER(tblData[Days'# China]),betaChina/(deltaChina+betaPodeltaChina*EXP(-betaChina*tblData[Days'# China])),"")</f>
        <v>17630.122197840021</v>
      </c>
      <c r="BE23" s="11">
        <f>IF(ISNUMBER(tblData[China]),(tblData[[#This Row],[China LogiP(t)]]-tblData[[#This Row],[China]])^2,"")</f>
        <v>4350886.2055437453</v>
      </c>
      <c r="BF23" s="11">
        <f>tblData[[#This Row],[China LogiP(t)]]/$BE$9</f>
        <v>122.48892495082372</v>
      </c>
      <c r="BG23" s="11">
        <f>IF(ISNUMBER(tblData[Day'# Singapore]),betaSingapore/(deltaSingapore+betaPodeltaSingapore*EXP(-betaSingapore*tblData[Day'# Singapore])),"")</f>
        <v>41.551548115156862</v>
      </c>
      <c r="BH23" s="11">
        <f>IF(AND(ISNUMBER(tblData[Singapore]),tblData[Date]&gt;=StartDt2Singapore),(tblData[[#This Row],[Singapore LogiP(t)]]-tblData[[#This Row],[Singapore]])^2,"")</f>
        <v>554.67541862054873</v>
      </c>
      <c r="BI23" s="11">
        <f>IF(ISNUMBER(tblData[Day'# Singapore]),tblData[Singapore LogiP(t)]/$BH$9,"")</f>
        <v>71.028287376336522</v>
      </c>
      <c r="BJ23" s="11"/>
      <c r="BK23" s="11"/>
      <c r="BL23" s="11" t="str">
        <f>IF(ISNUMBER(tblData[[#This Row],[NSW Number of Tests]]),tblData[[#This Row],[NSW Number of Tests]]-BJ22,"")</f>
        <v/>
      </c>
      <c r="BM23" s="11" t="str">
        <f>IF(ISNUMBER(tblData[[#This Row],[NSW Under Investigation'']]),tblData[[#This Row],[NSW Under Investigation'']]-BK22,"")</f>
        <v/>
      </c>
      <c r="BN23" s="11"/>
      <c r="BO23" s="11" t="str">
        <f>IF(ISNUMBER(tblData[[#This Row],[NSW Test Day Number]]),betaTest/(deltaTest+betaPodeltaTest*EXP(-betaTest*tblData[[#This Row],[NSW Test Day Number]])),"")</f>
        <v/>
      </c>
      <c r="BP23" s="11" t="str">
        <f>IF(ISNUMBER(tblData[[#This Row],[NSW Number of Tests]]),(tblData[[#This Row],[NSW Number of Tests]]-tblData[[#This Row],[NSW Test Logi]])^2,"")</f>
        <v/>
      </c>
      <c r="BR23" s="27"/>
      <c r="BV23" s="26"/>
      <c r="CE23"/>
      <c r="CF23"/>
      <c r="CH23" s="26"/>
      <c r="CI23" s="26"/>
      <c r="DM23"/>
      <c r="DN23" s="26" t="s">
        <v>202</v>
      </c>
      <c r="DO23" s="80"/>
      <c r="DP23" s="27">
        <v>43855</v>
      </c>
      <c r="DQ23" s="27"/>
      <c r="DR23" s="26">
        <v>1</v>
      </c>
      <c r="DS23" s="23">
        <v>0.19036954183670268</v>
      </c>
      <c r="DT23" s="25">
        <v>1.0000000000000751E-10</v>
      </c>
      <c r="DU23" s="22">
        <v>1.0111170011545663E-2</v>
      </c>
      <c r="DV23" s="108">
        <v>1903695418.3668838</v>
      </c>
      <c r="DW23" s="19">
        <v>3.2111653832176152</v>
      </c>
      <c r="DX23" s="37">
        <v>18.827647207822032</v>
      </c>
      <c r="DY23" s="112">
        <v>1.0000000000000751E-7</v>
      </c>
      <c r="DZ23" s="12">
        <v>3.2111653832176152</v>
      </c>
      <c r="EA23" s="27">
        <v>43906</v>
      </c>
      <c r="EB23" s="27" t="s">
        <v>969</v>
      </c>
      <c r="EC23" s="27"/>
      <c r="ED23" s="112">
        <v>171</v>
      </c>
      <c r="EE23" s="19">
        <v>43906</v>
      </c>
      <c r="EF23" s="27">
        <v>52</v>
      </c>
      <c r="EG23" s="26" t="s">
        <v>970</v>
      </c>
      <c r="EH23" s="18"/>
      <c r="EI23" s="26" t="s">
        <v>971</v>
      </c>
      <c r="EJ23" s="26" t="s">
        <v>972</v>
      </c>
      <c r="EK23" s="26"/>
      <c r="EL23" s="26"/>
      <c r="EM23" s="26"/>
      <c r="EO23" s="26"/>
      <c r="EP23" s="94"/>
      <c r="EQ23" s="26"/>
      <c r="ER23" s="26"/>
      <c r="ES23" s="26"/>
      <c r="ET23" s="26"/>
    </row>
    <row r="24" spans="2:150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48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>
        <v>24</v>
      </c>
      <c r="X24" s="21">
        <f>IF(ISNUMBER(tblData[Singapore]),tblData[Singapore]/$X$9,"")</f>
        <v>41.025641025641029</v>
      </c>
      <c r="Y24" s="21"/>
      <c r="Z24" s="21"/>
      <c r="AA24" s="26">
        <f>IF(tblData[[#This Row],[Date]]&lt;ItalyStart,"",tblData[[#This Row],[Date]]-ItalyStart)</f>
        <v>5</v>
      </c>
      <c r="AB24" s="26"/>
      <c r="AC24" s="26">
        <f t="shared" si="4"/>
        <v>13</v>
      </c>
      <c r="AD24" s="26" t="str">
        <f>IF(tblData[[#This Row],[Date]]&lt;StartDt2Korea,"",tblData[[#This Row],[Date]]-StartDt2Korea)</f>
        <v/>
      </c>
      <c r="AE24" s="26">
        <f>IF(tblData[[#This Row],[Date]]&lt;UKStart,"",tblData[[#This Row],[Date]]-UKStart)</f>
        <v>5</v>
      </c>
      <c r="AF24" s="26">
        <f>IF(tblData[[#This Row],[Date]]&lt;SingaporeStart,"",tblData[[#This Row],[Date]]-SingaporeStart)</f>
        <v>12</v>
      </c>
      <c r="AG24">
        <f>IF(tblData[Date]&gt;=StartDt2Au,tblData[Date]-StartDt2Au,"")</f>
        <v>10</v>
      </c>
      <c r="AH24" s="26">
        <f>IF(tblData[New South Wales]&gt;0,SUM(tblData[[#This Row],[Australian Capital Territory]:[Western Australia]]),"")</f>
        <v>13</v>
      </c>
      <c r="AI24" s="12">
        <f>IF(ISNUMBER(tblData[Au]),tblData[Au]/$AE$9,"")</f>
        <v>5.1253745466014822</v>
      </c>
      <c r="AJ24" s="19">
        <f>IF(ISNUMBER(tblData[[#This Row],[Day'# Aust]]),betaAu/(deltaAu+betaPodeltaAu*EXP(-betaAu*tblData[[#This Row],[Day'# Aust]])),"")</f>
        <v>5.6148450133629277E-2</v>
      </c>
      <c r="AK24" s="70">
        <f>IF(ISNUMBER(tblData[Day'# Aust]),tblData[Au LogiP(t)]/$AI$9,"")</f>
        <v>2.2137064395848161E-2</v>
      </c>
      <c r="AL24" s="11">
        <f>IF(AND(tblData[Date]&gt;=StartDt2Au,ISNUMBER(tblData[NSW])),(tblData[[#This Row],[Au LogiP(t)]]-tblData[[#This Row],[Au]])^2,"")</f>
        <v>167.54329294497808</v>
      </c>
      <c r="AM24">
        <f>IF(tblData[Date]&gt;StartDt2NSW,tblData[Date]-StartDt2NSW,"")</f>
        <v>10</v>
      </c>
      <c r="AN24">
        <f t="shared" si="5"/>
        <v>4</v>
      </c>
      <c r="AO24" s="11">
        <f>IF(tblData[Date]&gt;StartDt2NSW,betaNSW/(deltaNSW+betaPodeltaNSW*EXP(-betaNSW*tblData[[#This Row],[Day '# NSW]])),"")</f>
        <v>4.9857400130962556E-2</v>
      </c>
      <c r="AP24" s="12">
        <f>IF(AND(ISNUMBER(tblData[NSW]),tblData[Date]&gt;StartDt2NSW),(tblData[[#This Row],[NSW LogiP(t)]]-tblData[[#This Row],[NSW]])^2,"")</f>
        <v>15.603626559300119</v>
      </c>
      <c r="AQ24" s="12">
        <f>IF(AND(tblData[Date]&gt;StartDt2NSW,ISNUMBER(tblData[Day'# Aust])),tblData[NSW LogiP(t)]/$AL$9,"")</f>
        <v>6.1704703132379399E-2</v>
      </c>
      <c r="AR24" s="11">
        <f>IF(AND(tblData[Date]&gt;StartDt2Italy,ISNUMBER(tblData[Days'# Italy])),betaItaly/(deltaItaly+betaPodeltaItaly*EXP(-betaItaly*tblData[Days'# Italy])),"")</f>
        <v>1.6124424240815325</v>
      </c>
      <c r="AS24" s="11">
        <f>IF(AND(tblData[Date]&gt;StartDt2Italy,ISNUMBER(tblData[Italy])),(tblData[[#This Row],[Italy LogiP(t)]]-tblData[[#This Row],[Italy]])^2,"")</f>
        <v>0.15020087465179871</v>
      </c>
      <c r="AT24" s="43">
        <f>IF(AND(tblData[Date]&gt;StartDt2Italy,ISNUMBER(tblData[Days'# Italy])),tblData[[#This Row],[Italy LogiP(t)]]/$AS$9,"")</f>
        <v>0.26673985510033621</v>
      </c>
      <c r="AU24" s="11" t="str">
        <f>IF(ISNUMBER(tblData[[#This Row],[Days'# US]]),betaUS/(deltaUS+betaPodeltaUS*EXP(-betaUS*tblData[Days'# US])),"")</f>
        <v/>
      </c>
      <c r="AV24" s="11"/>
      <c r="AW24" s="11" t="str">
        <f>IF(ISNUMBER(tblData[[#This Row],[Days'# US]]),tblData[[#This Row],[US LogiP(t)]]/$AV$9,"")</f>
        <v/>
      </c>
      <c r="AX24" s="11" t="str">
        <f>IF(tblData[Date]&gt;=StartDt2Korea,betaSKorea/(deltaSKorea+betaPodeltaSKorea*EXP(-betaSKorea*(tblData[Date]-StartDt2Korea))),"")</f>
        <v/>
      </c>
      <c r="AY24" s="11" t="str">
        <f>IF(AND(tblData[Date]&gt;=StartDt2Korea,ISNUMBER(tblData[SKorea])),(tblData[[#This Row],[SKorea LogiP(t)]]-tblData[[#This Row],[SKorea]])^2,"")</f>
        <v/>
      </c>
      <c r="AZ24" s="11" t="str">
        <f>IF(tblData[Date]&gt;=StartDt2Korea,tblData[[#This Row],[SKorea LogiP(t)]]/$AY$9,"")</f>
        <v/>
      </c>
      <c r="BA24" s="11">
        <f>IF(ISNUMBER(tblData[Days'# UK]),betaUK/(deltaUK+betaPodeltaUK*EXP(-betaUK*tblData[Days'# UK])),"")</f>
        <v>9.6543358385468583E-2</v>
      </c>
      <c r="BB24" s="11">
        <f>IF(ISNUMBER(tblData[UK]),(tblData[[#This Row],[UK LogiP(t)]]-tblData[[#This Row],[UK]])^2,"")</f>
        <v>3.6231471865064702</v>
      </c>
      <c r="BC24" s="11">
        <f>IF(ISNUMBER(tblData[Days'# UK]),tblData[[#This Row],[UK LogiP(t)]]/$BB$9,"")</f>
        <v>1.4530908847903158E-2</v>
      </c>
      <c r="BD24" s="11">
        <f>IF(ISNUMBER(tblData[Days'# China]),betaChina/(deltaChina+betaPodeltaChina*EXP(-betaChina*tblData[Days'# China])),"")</f>
        <v>20884.589708667998</v>
      </c>
      <c r="BE24" s="11">
        <f>IF(ISNUMBER(tblData[China]),(tblData[[#This Row],[China LogiP(t)]]-tblData[[#This Row],[China]])^2,"")</f>
        <v>7965999.8526167972</v>
      </c>
      <c r="BF24" s="11">
        <f>tblData[[#This Row],[China LogiP(t)]]/$BE$9</f>
        <v>145.10001194246928</v>
      </c>
      <c r="BG24" s="11">
        <f>IF(ISNUMBER(tblData[Day'# Singapore]),betaSingapore/(deltaSingapore+betaPodeltaSingapore*EXP(-betaSingapore*tblData[Day'# Singapore])),"")</f>
        <v>43.418273279993429</v>
      </c>
      <c r="BH24" s="11">
        <f>IF(AND(ISNUMBER(tblData[Singapore]),tblData[Date]&gt;=StartDt2Singapore),(tblData[[#This Row],[Singapore LogiP(t)]]-tblData[[#This Row],[Singapore]])^2,"")</f>
        <v>377.06933717650674</v>
      </c>
      <c r="BI24" s="11">
        <f>IF(ISNUMBER(tblData[Day'# Singapore]),tblData[Singapore LogiP(t)]/$BH$9,"")</f>
        <v>74.219270564091332</v>
      </c>
      <c r="BJ24" s="11"/>
      <c r="BK24" s="11"/>
      <c r="BL24" s="11" t="str">
        <f>IF(ISNUMBER(tblData[[#This Row],[NSW Number of Tests]]),tblData[[#This Row],[NSW Number of Tests]]-BJ23,"")</f>
        <v/>
      </c>
      <c r="BM24" s="11" t="str">
        <f>IF(ISNUMBER(tblData[[#This Row],[NSW Under Investigation'']]),tblData[[#This Row],[NSW Under Investigation'']]-BK23,"")</f>
        <v/>
      </c>
      <c r="BN24" s="11"/>
      <c r="BO24" s="11" t="str">
        <f>IF(ISNUMBER(tblData[[#This Row],[NSW Test Day Number]]),betaTest/(deltaTest+betaPodeltaTest*EXP(-betaTest*tblData[[#This Row],[NSW Test Day Number]])),"")</f>
        <v/>
      </c>
      <c r="BP24" s="11" t="str">
        <f>IF(ISNUMBER(tblData[[#This Row],[NSW Number of Tests]]),(tblData[[#This Row],[NSW Number of Tests]]-tblData[[#This Row],[NSW Test Logi]])^2,"")</f>
        <v/>
      </c>
      <c r="BR24" s="27"/>
      <c r="BV24" s="26"/>
      <c r="CE24"/>
      <c r="CF24"/>
      <c r="CH24" s="26"/>
      <c r="CI24" s="26"/>
      <c r="DM24"/>
      <c r="DN24" s="26" t="s">
        <v>202</v>
      </c>
      <c r="DO24" s="80"/>
      <c r="DP24" s="27">
        <v>43855</v>
      </c>
      <c r="DQ24" s="27"/>
      <c r="DR24" s="26">
        <v>1</v>
      </c>
      <c r="DS24" s="23">
        <v>0.19065324956550231</v>
      </c>
      <c r="DT24" s="25">
        <v>1.0000000000000751E-10</v>
      </c>
      <c r="DU24" s="22">
        <v>1.0112692767979454E-2</v>
      </c>
      <c r="DV24" s="108">
        <v>1906532495.6548798</v>
      </c>
      <c r="DW24" s="19">
        <v>3.3224128526326897</v>
      </c>
      <c r="DX24" s="37">
        <v>18.852866782245194</v>
      </c>
      <c r="DY24" s="112">
        <v>1.0000000000000751E-7</v>
      </c>
      <c r="DZ24" s="12">
        <v>3.3224128526326897</v>
      </c>
      <c r="EA24" s="27">
        <v>43907</v>
      </c>
      <c r="EB24" s="27" t="s">
        <v>952</v>
      </c>
      <c r="EC24" s="27"/>
      <c r="ED24" s="112">
        <v>210</v>
      </c>
      <c r="EE24" s="19" t="s">
        <v>953</v>
      </c>
      <c r="EF24" s="27">
        <v>43907</v>
      </c>
      <c r="EG24" s="26">
        <v>53</v>
      </c>
      <c r="EH24" s="18" t="s">
        <v>954</v>
      </c>
      <c r="EI24" s="26"/>
      <c r="EJ24" s="26" t="s">
        <v>955</v>
      </c>
      <c r="EK24" s="26"/>
      <c r="EL24" s="26"/>
      <c r="EM24" s="26"/>
      <c r="EO24" s="26"/>
      <c r="EP24" s="94"/>
      <c r="EQ24" s="26"/>
      <c r="ER24" s="26"/>
      <c r="ES24" s="26"/>
      <c r="ET24" s="26"/>
    </row>
    <row r="25" spans="2:150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48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>
        <v>28</v>
      </c>
      <c r="X25" s="21">
        <f>IF(ISNUMBER(tblData[Singapore]),tblData[Singapore]/$X$9,"")</f>
        <v>47.863247863247864</v>
      </c>
      <c r="Y25" s="21"/>
      <c r="Z25" s="21"/>
      <c r="AA25" s="26">
        <f>IF(tblData[[#This Row],[Date]]&lt;ItalyStart,"",tblData[[#This Row],[Date]]-ItalyStart)</f>
        <v>6</v>
      </c>
      <c r="AB25" s="26"/>
      <c r="AC25" s="26">
        <f t="shared" si="4"/>
        <v>14</v>
      </c>
      <c r="AD25" s="26" t="str">
        <f>IF(tblData[[#This Row],[Date]]&lt;StartDt2Korea,"",tblData[[#This Row],[Date]]-StartDt2Korea)</f>
        <v/>
      </c>
      <c r="AE25" s="26">
        <f>IF(tblData[[#This Row],[Date]]&lt;UKStart,"",tblData[[#This Row],[Date]]-UKStart)</f>
        <v>6</v>
      </c>
      <c r="AF25" s="26">
        <f>IF(tblData[[#This Row],[Date]]&lt;SingaporeStart,"",tblData[[#This Row],[Date]]-SingaporeStart)</f>
        <v>13</v>
      </c>
      <c r="AG25">
        <f>IF(tblData[Date]&gt;=StartDt2Au,tblData[Date]-StartDt2Au,"")</f>
        <v>11</v>
      </c>
      <c r="AH25" s="26">
        <f>IF(tblData[New South Wales]&gt;0,SUM(tblData[[#This Row],[Australian Capital Territory]:[Western Australia]]),"")</f>
        <v>13</v>
      </c>
      <c r="AI25" s="12">
        <f>IF(ISNUMBER(tblData[Au]),tblData[Au]/$AE$9,"")</f>
        <v>5.1253745466014822</v>
      </c>
      <c r="AJ25" s="19">
        <f>IF(ISNUMBER(tblData[[#This Row],[Day'# Aust]]),betaAu/(deltaAu+betaPodeltaAu*EXP(-betaAu*tblData[[#This Row],[Day'# Aust]])),"")</f>
        <v>6.9601477241389362E-2</v>
      </c>
      <c r="AK25" s="70">
        <f>IF(ISNUMBER(tblData[Day'# Aust]),tblData[Au LogiP(t)]/$AI$9,"")</f>
        <v>2.7441049219913801E-2</v>
      </c>
      <c r="AL25" s="11">
        <f>IF(AND(tblData[Date]&gt;=StartDt2Au,ISNUMBER(tblData[NSW])),(tblData[[#This Row],[Au LogiP(t)]]-tblData[[#This Row],[Au]])^2,"")</f>
        <v>167.19520595735804</v>
      </c>
      <c r="AM25">
        <f>IF(tblData[Date]&gt;StartDt2NSW,tblData[Date]-StartDt2NSW,"")</f>
        <v>11</v>
      </c>
      <c r="AN25">
        <f t="shared" si="5"/>
        <v>4</v>
      </c>
      <c r="AO25" s="11">
        <f>IF(tblData[Date]&gt;StartDt2NSW,betaNSW/(deltaNSW+betaPodeltaNSW*EXP(-betaNSW*tblData[[#This Row],[Day '# NSW]])),"")</f>
        <v>6.0794898417089883E-2</v>
      </c>
      <c r="AP25" s="12">
        <f>IF(AND(ISNUMBER(tblData[NSW]),tblData[Date]&gt;StartDt2NSW),(tblData[[#This Row],[NSW LogiP(t)]]-tblData[[#This Row],[NSW]])^2,"")</f>
        <v>15.517336832336824</v>
      </c>
      <c r="AQ25" s="12">
        <f>IF(AND(tblData[Date]&gt;StartDt2NSW,ISNUMBER(tblData[Day'# Aust])),tblData[NSW LogiP(t)]/$AL$9,"")</f>
        <v>7.5241210912239953E-2</v>
      </c>
      <c r="AR25" s="11">
        <f>IF(AND(tblData[Date]&gt;StartDt2Italy,ISNUMBER(tblData[Days'# Italy])),betaItaly/(deltaItaly+betaPodeltaItaly*EXP(-betaItaly*tblData[Days'# Italy])),"")</f>
        <v>2.0885883260332823</v>
      </c>
      <c r="AS25" s="11">
        <f>IF(AND(tblData[Date]&gt;StartDt2Italy,ISNUMBER(tblData[Italy])),(tblData[[#This Row],[Italy LogiP(t)]]-tblData[[#This Row],[Italy]])^2,"")</f>
        <v>7.8478915093791162E-3</v>
      </c>
      <c r="AT25" s="43">
        <f>IF(AND(tblData[Date]&gt;StartDt2Italy,ISNUMBER(tblData[Days'# Italy])),tblData[[#This Row],[Italy LogiP(t)]]/$AS$9,"")</f>
        <v>0.34550675368623363</v>
      </c>
      <c r="AU25" s="11" t="str">
        <f>IF(ISNUMBER(tblData[[#This Row],[Days'# US]]),betaUS/(deltaUS+betaPodeltaUS*EXP(-betaUS*tblData[Days'# US])),"")</f>
        <v/>
      </c>
      <c r="AV25" s="11"/>
      <c r="AW25" s="11" t="str">
        <f>IF(ISNUMBER(tblData[[#This Row],[Days'# US]]),tblData[[#This Row],[US LogiP(t)]]/$AV$9,"")</f>
        <v/>
      </c>
      <c r="AX25" s="11" t="str">
        <f>IF(tblData[Date]&gt;=StartDt2Korea,betaSKorea/(deltaSKorea+betaPodeltaSKorea*EXP(-betaSKorea*(tblData[Date]-StartDt2Korea))),"")</f>
        <v/>
      </c>
      <c r="AY25" s="11" t="str">
        <f>IF(AND(tblData[Date]&gt;=StartDt2Korea,ISNUMBER(tblData[SKorea])),(tblData[[#This Row],[SKorea LogiP(t)]]-tblData[[#This Row],[SKorea]])^2,"")</f>
        <v/>
      </c>
      <c r="AZ25" s="11" t="str">
        <f>IF(tblData[Date]&gt;=StartDt2Korea,tblData[[#This Row],[SKorea LogiP(t)]]/$AY$9,"")</f>
        <v/>
      </c>
      <c r="BA25" s="11">
        <f>IF(ISNUMBER(tblData[Days'# UK]),betaUK/(deltaUK+betaPodeltaUK*EXP(-betaUK*tblData[Days'# UK])),"")</f>
        <v>0.12223336529996651</v>
      </c>
      <c r="BB25" s="11">
        <f>IF(ISNUMBER(tblData[UK]),(tblData[[#This Row],[UK LogiP(t)]]-tblData[[#This Row],[UK]])^2,"")</f>
        <v>3.5260075343926891</v>
      </c>
      <c r="BC25" s="11">
        <f>IF(ISNUMBER(tblData[Days'# UK]),tblData[[#This Row],[UK LogiP(t)]]/$BB$9,"")</f>
        <v>1.8397556487050951E-2</v>
      </c>
      <c r="BD25" s="11">
        <f>IF(ISNUMBER(tblData[Days'# China]),betaChina/(deltaChina+betaPodeltaChina*EXP(-betaChina*tblData[Days'# China])),"")</f>
        <v>24507.407695311889</v>
      </c>
      <c r="BE25" s="11">
        <f>IF(ISNUMBER(tblData[China]),(tblData[[#This Row],[China LogiP(t)]]-tblData[[#This Row],[China]])^2,"")</f>
        <v>8600097.6255159248</v>
      </c>
      <c r="BF25" s="11">
        <f>tblData[[#This Row],[China LogiP(t)]]/$BE$9</f>
        <v>170.27029014569609</v>
      </c>
      <c r="BG25" s="11">
        <f>IF(ISNUMBER(tblData[Day'# Singapore]),betaSingapore/(deltaSingapore+betaPodeltaSingapore*EXP(-betaSingapore*tblData[Day'# Singapore])),"")</f>
        <v>45.368862055104614</v>
      </c>
      <c r="BH25" s="11">
        <f>IF(AND(ISNUMBER(tblData[Singapore]),tblData[Date]&gt;=StartDt2Singapore),(tblData[[#This Row],[Singapore LogiP(t)]]-tblData[[#This Row],[Singapore]])^2,"")</f>
        <v>301.67736908925286</v>
      </c>
      <c r="BI25" s="11">
        <f>IF(ISNUMBER(tblData[Day'# Singapore]),tblData[Singapore LogiP(t)]/$BH$9,"")</f>
        <v>77.553610350606178</v>
      </c>
      <c r="BJ25" s="11"/>
      <c r="BK25" s="11"/>
      <c r="BL25" s="11" t="str">
        <f>IF(ISNUMBER(tblData[[#This Row],[NSW Number of Tests]]),tblData[[#This Row],[NSW Number of Tests]]-BJ24,"")</f>
        <v/>
      </c>
      <c r="BM25" s="11" t="str">
        <f>IF(ISNUMBER(tblData[[#This Row],[NSW Under Investigation'']]),tblData[[#This Row],[NSW Under Investigation'']]-BK24,"")</f>
        <v/>
      </c>
      <c r="BN25" s="11"/>
      <c r="BO25" s="11" t="str">
        <f>IF(ISNUMBER(tblData[[#This Row],[NSW Test Day Number]]),betaTest/(deltaTest+betaPodeltaTest*EXP(-betaTest*tblData[[#This Row],[NSW Test Day Number]])),"")</f>
        <v/>
      </c>
      <c r="BP25" s="11" t="str">
        <f>IF(ISNUMBER(tblData[[#This Row],[NSW Number of Tests]]),(tblData[[#This Row],[NSW Number of Tests]]-tblData[[#This Row],[NSW Test Logi]])^2,"")</f>
        <v/>
      </c>
      <c r="BR25" s="27"/>
      <c r="BV25" s="26"/>
      <c r="CE25"/>
      <c r="CF25"/>
      <c r="CH25" s="26"/>
      <c r="CI25" s="26"/>
      <c r="DM25"/>
      <c r="DN25" s="26" t="s">
        <v>202</v>
      </c>
      <c r="DO25" s="80"/>
      <c r="DP25" s="27">
        <v>43855</v>
      </c>
      <c r="DQ25" s="27"/>
      <c r="DR25" s="26">
        <v>1</v>
      </c>
      <c r="DS25" s="23">
        <v>0.20209478104227763</v>
      </c>
      <c r="DT25" s="25">
        <v>1.0000000000000751E-10</v>
      </c>
      <c r="DU25" s="22">
        <v>5.7886977342360797E-3</v>
      </c>
      <c r="DV25" s="108">
        <v>2020947810.4226243</v>
      </c>
      <c r="DW25" s="19">
        <v>3.5813561365949553</v>
      </c>
      <c r="DX25" s="37">
        <v>34.911959532184611</v>
      </c>
      <c r="DY25" s="112">
        <v>1.0000000000000751E-7</v>
      </c>
      <c r="DZ25" s="12">
        <v>3.5813561365949553</v>
      </c>
      <c r="EA25" s="27">
        <v>43908</v>
      </c>
      <c r="EB25" s="27" t="s">
        <v>988</v>
      </c>
      <c r="EC25" s="27"/>
      <c r="ED25" s="112">
        <v>267</v>
      </c>
      <c r="EE25" s="19" t="s">
        <v>989</v>
      </c>
      <c r="EF25" s="27">
        <v>43908</v>
      </c>
      <c r="EG25" s="26">
        <v>54</v>
      </c>
      <c r="EH25" s="18" t="s">
        <v>990</v>
      </c>
      <c r="EI25" s="26"/>
      <c r="EJ25" s="26" t="s">
        <v>991</v>
      </c>
      <c r="EK25" s="26"/>
      <c r="EL25" s="26" t="s">
        <v>992</v>
      </c>
      <c r="EM25" s="26"/>
      <c r="EO25" s="26"/>
      <c r="EP25" s="94"/>
      <c r="EQ25" s="26"/>
      <c r="ER25" s="26"/>
      <c r="ES25" s="26"/>
      <c r="ET25" s="26"/>
    </row>
    <row r="26" spans="2:150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48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>
        <v>28</v>
      </c>
      <c r="X26" s="21">
        <f>IF(ISNUMBER(tblData[Singapore]),tblData[Singapore]/$X$9,"")</f>
        <v>47.863247863247864</v>
      </c>
      <c r="Y26" s="21"/>
      <c r="Z26" s="21"/>
      <c r="AA26" s="26">
        <f>IF(tblData[[#This Row],[Date]]&lt;ItalyStart,"",tblData[[#This Row],[Date]]-ItalyStart)</f>
        <v>7</v>
      </c>
      <c r="AB26" s="26"/>
      <c r="AC26" s="26">
        <f t="shared" si="4"/>
        <v>15</v>
      </c>
      <c r="AD26" s="26" t="str">
        <f>IF(tblData[[#This Row],[Date]]&lt;StartDt2Korea,"",tblData[[#This Row],[Date]]-StartDt2Korea)</f>
        <v/>
      </c>
      <c r="AE26" s="26">
        <f>IF(tblData[[#This Row],[Date]]&lt;UKStart,"",tblData[[#This Row],[Date]]-UKStart)</f>
        <v>7</v>
      </c>
      <c r="AF26" s="26">
        <f>IF(tblData[[#This Row],[Date]]&lt;SingaporeStart,"",tblData[[#This Row],[Date]]-SingaporeStart)</f>
        <v>14</v>
      </c>
      <c r="AG26">
        <f>IF(tblData[Date]&gt;=StartDt2Au,tblData[Date]-StartDt2Au,"")</f>
        <v>12</v>
      </c>
      <c r="AH26" s="26">
        <f>IF(tblData[New South Wales]&gt;0,SUM(tblData[[#This Row],[Australian Capital Territory]:[Western Australia]]),"")</f>
        <v>14</v>
      </c>
      <c r="AI26" s="12">
        <f>IF(ISNUMBER(tblData[Au]),tblData[Au]/$AE$9,"")</f>
        <v>5.5196341271092884</v>
      </c>
      <c r="AJ26" s="19">
        <f>IF(ISNUMBER(tblData[[#This Row],[Day'# Aust]]),betaAu/(deltaAu+betaPodeltaAu*EXP(-betaAu*tblData[[#This Row],[Day'# Aust]])),"")</f>
        <v>8.6277815730520152E-2</v>
      </c>
      <c r="AK26" s="70">
        <f>IF(ISNUMBER(tblData[Day'# Aust]),tblData[Au LogiP(t)]/$AI$9,"")</f>
        <v>3.401585543704469E-2</v>
      </c>
      <c r="AL26" s="11">
        <f>IF(AND(tblData[Date]&gt;=StartDt2Au,ISNUMBER(tblData[NSW])),(tblData[[#This Row],[Au LogiP(t)]]-tblData[[#This Row],[Au]])^2,"")</f>
        <v>193.59166502103267</v>
      </c>
      <c r="AM26">
        <f>IF(tblData[Date]&gt;StartDt2NSW,tblData[Date]-StartDt2NSW,"")</f>
        <v>12</v>
      </c>
      <c r="AN26">
        <f t="shared" si="5"/>
        <v>4</v>
      </c>
      <c r="AO26" s="11">
        <f>IF(tblData[Date]&gt;StartDt2NSW,betaNSW/(deltaNSW+betaPodeltaNSW*EXP(-betaNSW*tblData[[#This Row],[Day '# NSW]])),"")</f>
        <v>7.4131817219424662E-2</v>
      </c>
      <c r="AP26" s="12">
        <f>IF(AND(ISNUMBER(tblData[NSW]),tblData[Date]&gt;StartDt2NSW),(tblData[[#This Row],[NSW LogiP(t)]]-tblData[[#This Row],[NSW]])^2,"")</f>
        <v>15.412440988568857</v>
      </c>
      <c r="AQ26" s="12">
        <f>IF(AND(tblData[Date]&gt;StartDt2NSW,ISNUMBER(tblData[Day'# Aust])),tblData[NSW LogiP(t)]/$AL$9,"")</f>
        <v>9.1747298538891908E-2</v>
      </c>
      <c r="AR26" s="11">
        <f>IF(AND(tblData[Date]&gt;StartDt2Italy,ISNUMBER(tblData[Days'# Italy])),betaItaly/(deltaItaly+betaPodeltaItaly*EXP(-betaItaly*tblData[Days'# Italy])),"")</f>
        <v>2.7053318341219899</v>
      </c>
      <c r="AS26" s="11">
        <f>IF(AND(tblData[Date]&gt;StartDt2Italy,ISNUMBER(tblData[Italy])),(tblData[[#This Row],[Italy LogiP(t)]]-tblData[[#This Row],[Italy]])^2,"")</f>
        <v>0.49749299622589022</v>
      </c>
      <c r="AT26" s="43">
        <f>IF(AND(tblData[Date]&gt;StartDt2Italy,ISNUMBER(tblData[Days'# Italy])),tblData[[#This Row],[Italy LogiP(t)]]/$AS$9,"")</f>
        <v>0.44753214791099916</v>
      </c>
      <c r="AU26" s="11" t="str">
        <f>IF(ISNUMBER(tblData[[#This Row],[Days'# US]]),betaUS/(deltaUS+betaPodeltaUS*EXP(-betaUS*tblData[Days'# US])),"")</f>
        <v/>
      </c>
      <c r="AV26" s="11"/>
      <c r="AW26" s="11" t="str">
        <f>IF(ISNUMBER(tblData[[#This Row],[Days'# US]]),tblData[[#This Row],[US LogiP(t)]]/$AV$9,"")</f>
        <v/>
      </c>
      <c r="AX26" s="11" t="str">
        <f>IF(tblData[Date]&gt;=StartDt2Korea,betaSKorea/(deltaSKorea+betaPodeltaSKorea*EXP(-betaSKorea*(tblData[Date]-StartDt2Korea))),"")</f>
        <v/>
      </c>
      <c r="AY26" s="11" t="str">
        <f>IF(AND(tblData[Date]&gt;=StartDt2Korea,ISNUMBER(tblData[SKorea])),(tblData[[#This Row],[SKorea LogiP(t)]]-tblData[[#This Row],[SKorea]])^2,"")</f>
        <v/>
      </c>
      <c r="AZ26" s="11" t="str">
        <f>IF(tblData[Date]&gt;=StartDt2Korea,tblData[[#This Row],[SKorea LogiP(t)]]/$AY$9,"")</f>
        <v/>
      </c>
      <c r="BA26" s="11">
        <f>IF(ISNUMBER(tblData[Days'# UK]),betaUK/(deltaUK+betaPodeltaUK*EXP(-betaUK*tblData[Days'# UK])),"")</f>
        <v>0.15475942540528248</v>
      </c>
      <c r="BB26" s="11">
        <f>IF(ISNUMBER(tblData[UK]),(tblData[[#This Row],[UK LogiP(t)]]-tblData[[#This Row],[UK]])^2,"")</f>
        <v>3.4049127781306434</v>
      </c>
      <c r="BC26" s="11">
        <f>IF(ISNUMBER(tblData[Days'# UK]),tblData[[#This Row],[UK LogiP(t)]]/$BB$9,"")</f>
        <v>2.3293110386105129E-2</v>
      </c>
      <c r="BD26" s="11">
        <f>IF(ISNUMBER(tblData[Days'# China]),betaChina/(deltaChina+betaPodeltaChina*EXP(-betaChina*tblData[Days'# China])),"")</f>
        <v>28461.03554300313</v>
      </c>
      <c r="BE26" s="11">
        <f>IF(ISNUMBER(tblData[China]),(tblData[[#This Row],[China LogiP(t)]]-tblData[[#This Row],[China]])^2,"")</f>
        <v>4519724.8724139947</v>
      </c>
      <c r="BF26" s="11">
        <f>tblData[[#This Row],[China LogiP(t)]]/$BE$9</f>
        <v>197.73893836520026</v>
      </c>
      <c r="BG26" s="11">
        <f>IF(ISNUMBER(tblData[Day'# Singapore]),betaSingapore/(deltaSingapore+betaPodeltaSingapore*EXP(-betaSingapore*tblData[Day'# Singapore])),"")</f>
        <v>47.407082057301906</v>
      </c>
      <c r="BH26" s="11">
        <f>IF(AND(ISNUMBER(tblData[Singapore]),tblData[Date]&gt;=StartDt2Singapore),(tblData[[#This Row],[Singapore LogiP(t)]]-tblData[[#This Row],[Singapore]])^2,"")</f>
        <v>376.6348339788496</v>
      </c>
      <c r="BI26" s="11">
        <f>IF(ISNUMBER(tblData[Day'# Singapore]),tblData[Singapore LogiP(t)]/$BH$9,"")</f>
        <v>81.037747106498983</v>
      </c>
      <c r="BJ26" s="11"/>
      <c r="BK26" s="11"/>
      <c r="BL26" s="11" t="str">
        <f>IF(ISNUMBER(tblData[[#This Row],[NSW Number of Tests]]),tblData[[#This Row],[NSW Number of Tests]]-BJ25,"")</f>
        <v/>
      </c>
      <c r="BM26" s="11" t="str">
        <f>IF(ISNUMBER(tblData[[#This Row],[NSW Under Investigation'']]),tblData[[#This Row],[NSW Under Investigation'']]-BK25,"")</f>
        <v/>
      </c>
      <c r="BN26" s="11"/>
      <c r="BO26" s="11" t="str">
        <f>IF(ISNUMBER(tblData[[#This Row],[NSW Test Day Number]]),betaTest/(deltaTest+betaPodeltaTest*EXP(-betaTest*tblData[[#This Row],[NSW Test Day Number]])),"")</f>
        <v/>
      </c>
      <c r="BP26" s="11" t="str">
        <f>IF(ISNUMBER(tblData[[#This Row],[NSW Number of Tests]]),(tblData[[#This Row],[NSW Number of Tests]]-tblData[[#This Row],[NSW Test Logi]])^2,"")</f>
        <v/>
      </c>
      <c r="BR26" s="27"/>
      <c r="BV26" s="26"/>
      <c r="CE26"/>
      <c r="CF26"/>
      <c r="CH26" s="26"/>
      <c r="CI26" s="26"/>
      <c r="DM26"/>
      <c r="DN26" s="60" t="s">
        <v>202</v>
      </c>
      <c r="DO26" s="80"/>
      <c r="DP26" s="27">
        <v>43855</v>
      </c>
      <c r="DQ26" s="27"/>
      <c r="DR26" s="60">
        <v>1</v>
      </c>
      <c r="DS26" s="60">
        <v>0.20209478104227763</v>
      </c>
      <c r="DT26" s="25">
        <v>1.0000000000000751E-10</v>
      </c>
      <c r="DU26" s="60">
        <v>5.7886977342360797E-3</v>
      </c>
      <c r="DV26" s="108">
        <v>2020947810.4226243</v>
      </c>
      <c r="DW26" s="63">
        <v>3.8333653054478112</v>
      </c>
      <c r="DX26" s="62">
        <v>34.911959532184611</v>
      </c>
      <c r="DY26" s="112">
        <v>1.0000000000000751E-7</v>
      </c>
      <c r="DZ26" s="62">
        <v>3.8333653054478112</v>
      </c>
      <c r="EA26" s="27">
        <v>43908</v>
      </c>
      <c r="EB26" s="61" t="s">
        <v>988</v>
      </c>
      <c r="EC26" s="61"/>
      <c r="ED26" s="112">
        <v>307</v>
      </c>
      <c r="EE26" s="60" t="s">
        <v>989</v>
      </c>
      <c r="EF26" s="27">
        <v>43908</v>
      </c>
      <c r="EG26" s="63">
        <v>55</v>
      </c>
      <c r="EH26" s="61" t="s">
        <v>990</v>
      </c>
      <c r="EI26" s="60"/>
      <c r="EJ26" s="60" t="s">
        <v>991</v>
      </c>
      <c r="EK26" s="60"/>
      <c r="EL26" s="64" t="s">
        <v>1011</v>
      </c>
      <c r="EM26" s="21">
        <v>379.95049504950492</v>
      </c>
      <c r="EN26" s="97"/>
      <c r="EO26" s="63"/>
      <c r="EP26" s="97"/>
      <c r="EQ26" s="11"/>
      <c r="ER26" s="26" t="s">
        <v>1012</v>
      </c>
      <c r="ES26" s="26"/>
      <c r="ET26" s="26"/>
    </row>
    <row r="27" spans="2:150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48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>
        <v>30</v>
      </c>
      <c r="X27" s="21">
        <f>IF(ISNUMBER(tblData[Singapore]),tblData[Singapore]/$X$9,"")</f>
        <v>51.282051282051285</v>
      </c>
      <c r="Y27" s="21"/>
      <c r="Z27" s="21"/>
      <c r="AA27" s="26">
        <f>IF(tblData[[#This Row],[Date]]&lt;ItalyStart,"",tblData[[#This Row],[Date]]-ItalyStart)</f>
        <v>8</v>
      </c>
      <c r="AB27" s="26" t="str">
        <f>IF($B27&lt;BU$14+19,"",$B27-BU$14-19)</f>
        <v/>
      </c>
      <c r="AC27" s="26">
        <f t="shared" si="4"/>
        <v>16</v>
      </c>
      <c r="AD27" s="26" t="str">
        <f>IF(tblData[[#This Row],[Date]]&lt;StartDt2Korea,"",tblData[[#This Row],[Date]]-StartDt2Korea)</f>
        <v/>
      </c>
      <c r="AE27" s="26">
        <f>IF(tblData[[#This Row],[Date]]&lt;UKStart,"",tblData[[#This Row],[Date]]-UKStart)</f>
        <v>8</v>
      </c>
      <c r="AF27" s="26">
        <f>IF(tblData[[#This Row],[Date]]&lt;SingaporeStart,"",tblData[[#This Row],[Date]]-SingaporeStart)</f>
        <v>15</v>
      </c>
      <c r="AG27">
        <f>IF(tblData[Date]&gt;=StartDt2Au,tblData[Date]-StartDt2Au,"")</f>
        <v>13</v>
      </c>
      <c r="AH27" s="26">
        <f>IF(tblData[New South Wales]&gt;0,SUM(tblData[[#This Row],[Australian Capital Territory]:[Western Australia]]),"")</f>
        <v>15</v>
      </c>
      <c r="AI27" s="12">
        <f>IF(ISNUMBER(tblData[Au]),tblData[Au]/$AE$9,"")</f>
        <v>5.9138937076170954</v>
      </c>
      <c r="AJ27" s="19">
        <f>IF(ISNUMBER(tblData[[#This Row],[Day'# Aust]]),betaAu/(deltaAu+betaPodeltaAu*EXP(-betaAu*tblData[[#This Row],[Day'# Aust]])),"")</f>
        <v>0.10694976288237275</v>
      </c>
      <c r="AK27" s="70">
        <f>IF(ISNUMBER(tblData[Day'# Aust]),tblData[Au LogiP(t)]/$AI$9,"")</f>
        <v>4.2165968649413639E-2</v>
      </c>
      <c r="AL27" s="11">
        <f>IF(AND(tblData[Date]&gt;=StartDt2Au,ISNUMBER(tblData[NSW])),(tblData[[#This Row],[Au LogiP(t)]]-tblData[[#This Row],[Au]])^2,"")</f>
        <v>221.80294536530943</v>
      </c>
      <c r="AM27">
        <f>IF(tblData[Date]&gt;StartDt2NSW,tblData[Date]-StartDt2NSW,"")</f>
        <v>13</v>
      </c>
      <c r="AN27">
        <f t="shared" si="5"/>
        <v>4</v>
      </c>
      <c r="AO27" s="11">
        <f>IF(tblData[Date]&gt;StartDt2NSW,betaNSW/(deltaNSW+betaPodeltaNSW*EXP(-betaNSW*tblData[[#This Row],[Day '# NSW]])),"")</f>
        <v>9.0394530911976509E-2</v>
      </c>
      <c r="AP27" s="12">
        <f>IF(AND(ISNUMBER(tblData[NSW]),tblData[Date]&gt;StartDt2NSW),(tblData[[#This Row],[NSW LogiP(t)]]-tblData[[#This Row],[NSW]])^2,"")</f>
        <v>15.285014923922985</v>
      </c>
      <c r="AQ27" s="12">
        <f>IF(AND(tblData[Date]&gt;StartDt2NSW,ISNUMBER(tblData[Day'# Aust])),tblData[NSW LogiP(t)]/$AL$9,"")</f>
        <v>0.11187441944551547</v>
      </c>
      <c r="AR27" s="11">
        <f>IF(AND(tblData[Date]&gt;StartDt2Italy,ISNUMBER(tblData[Days'# Italy])),betaItaly/(deltaItaly+betaPodeltaItaly*EXP(-betaItaly*tblData[Days'# Italy])),"")</f>
        <v>3.5041850361785007</v>
      </c>
      <c r="AS27" s="11">
        <f>IF(AND(tblData[Date]&gt;StartDt2Italy,ISNUMBER(tblData[Italy])),(tblData[[#This Row],[Italy LogiP(t)]]-tblData[[#This Row],[Italy]])^2,"")</f>
        <v>0.25420255070631609</v>
      </c>
      <c r="AT27" s="43">
        <f>IF(AND(tblData[Date]&gt;StartDt2Italy,ISNUMBER(tblData[Days'# Italy])),tblData[[#This Row],[Italy LogiP(t)]]/$AS$9,"")</f>
        <v>0.57968321524871813</v>
      </c>
      <c r="AU27" s="11" t="str">
        <f>IF(ISNUMBER(tblData[[#This Row],[Days'# US]]),betaUS/(deltaUS+betaPodeltaUS*EXP(-betaUS*tblData[Days'# US])),"")</f>
        <v/>
      </c>
      <c r="AV27" s="11"/>
      <c r="AW27" s="11" t="str">
        <f>IF(ISNUMBER(tblData[[#This Row],[Days'# US]]),tblData[[#This Row],[US LogiP(t)]]/$AV$9,"")</f>
        <v/>
      </c>
      <c r="AX27" s="11" t="str">
        <f>IF(tblData[Date]&gt;=StartDt2Korea,betaSKorea/(deltaSKorea+betaPodeltaSKorea*EXP(-betaSKorea*(tblData[Date]-StartDt2Korea))),"")</f>
        <v/>
      </c>
      <c r="AY27" s="11" t="str">
        <f>IF(AND(tblData[Date]&gt;=StartDt2Korea,ISNUMBER(tblData[SKorea])),(tblData[[#This Row],[SKorea LogiP(t)]]-tblData[[#This Row],[SKorea]])^2,"")</f>
        <v/>
      </c>
      <c r="AZ27" s="11" t="str">
        <f>IF(tblData[Date]&gt;=StartDt2Korea,tblData[[#This Row],[SKorea LogiP(t)]]/$AY$9,"")</f>
        <v/>
      </c>
      <c r="BA27" s="11">
        <f>IF(ISNUMBER(tblData[Days'# UK]),betaUK/(deltaUK+betaPodeltaUK*EXP(-betaUK*tblData[Days'# UK])),"")</f>
        <v>0.19594059135566044</v>
      </c>
      <c r="BB27" s="11">
        <f>IF(ISNUMBER(tblData[UK]),(tblData[[#This Row],[UK LogiP(t)]]-tblData[[#This Row],[UK]])^2,"")</f>
        <v>7.8627491672068421</v>
      </c>
      <c r="BC27" s="11">
        <f>IF(ISNUMBER(tblData[Days'# UK]),tblData[[#This Row],[UK LogiP(t)]]/$BB$9,"")</f>
        <v>2.9491359325054249E-2</v>
      </c>
      <c r="BD27" s="11">
        <f>IF(ISNUMBER(tblData[Days'# China]),betaChina/(deltaChina+betaPodeltaChina*EXP(-betaChina*tblData[Days'# China])),"")</f>
        <v>32683.337984278343</v>
      </c>
      <c r="BE27" s="11">
        <f>IF(ISNUMBER(tblData[China]),(tblData[[#This Row],[China LogiP(t)]]-tblData[[#This Row],[China]])^2,"")</f>
        <v>2035364.5071029805</v>
      </c>
      <c r="BF27" s="11">
        <f>tblData[[#This Row],[China LogiP(t)]]/$BE$9</f>
        <v>227.07425896283078</v>
      </c>
      <c r="BG27" s="11">
        <f>IF(ISNUMBER(tblData[Day'# Singapore]),betaSingapore/(deltaSingapore+betaPodeltaSingapore*EXP(-betaSingapore*tblData[Day'# Singapore])),"")</f>
        <v>49.5368701655634</v>
      </c>
      <c r="BH27" s="11">
        <f>IF(AND(ISNUMBER(tblData[Singapore]),tblData[Date]&gt;=StartDt2Singapore),(tblData[[#This Row],[Singapore LogiP(t)]]-tblData[[#This Row],[Singapore]])^2,"")</f>
        <v>381.68929586608124</v>
      </c>
      <c r="BI27" s="11">
        <f>IF(ISNUMBER(tblData[Day'# Singapore]),tblData[Singapore LogiP(t)]/$BH$9,"")</f>
        <v>84.678410539424618</v>
      </c>
      <c r="BJ27" s="11"/>
      <c r="BK27" s="11"/>
      <c r="BL27" s="11" t="str">
        <f>IF(ISNUMBER(tblData[[#This Row],[NSW Number of Tests]]),tblData[[#This Row],[NSW Number of Tests]]-BJ26,"")</f>
        <v/>
      </c>
      <c r="BM27" s="11" t="str">
        <f>IF(ISNUMBER(tblData[[#This Row],[NSW Under Investigation'']]),tblData[[#This Row],[NSW Under Investigation'']]-BK26,"")</f>
        <v/>
      </c>
      <c r="BN27" s="11"/>
      <c r="BO27" s="11" t="str">
        <f>IF(ISNUMBER(tblData[[#This Row],[NSW Test Day Number]]),betaTest/(deltaTest+betaPodeltaTest*EXP(-betaTest*tblData[[#This Row],[NSW Test Day Number]])),"")</f>
        <v/>
      </c>
      <c r="BP27" s="11" t="str">
        <f>IF(ISNUMBER(tblData[[#This Row],[NSW Number of Tests]]),(tblData[[#This Row],[NSW Number of Tests]]-tblData[[#This Row],[NSW Test Logi]])^2,"")</f>
        <v/>
      </c>
      <c r="BR27" s="27"/>
      <c r="BV27" s="26"/>
      <c r="CE27"/>
      <c r="CF27"/>
      <c r="CH27" s="26"/>
      <c r="CI27" s="26"/>
      <c r="DM27"/>
      <c r="DN27" s="26" t="s">
        <v>202</v>
      </c>
      <c r="DO27" s="80"/>
      <c r="DP27" s="27">
        <v>43855</v>
      </c>
      <c r="DQ27" s="27"/>
      <c r="DR27" s="26">
        <v>1</v>
      </c>
      <c r="DS27" s="26">
        <v>0.19837162818971904</v>
      </c>
      <c r="DT27" s="25">
        <v>1.00000000000157E-8</v>
      </c>
      <c r="DU27" s="26">
        <v>6.9460009994493713E-3</v>
      </c>
      <c r="DV27" s="108">
        <v>19837162.818940759</v>
      </c>
      <c r="DW27" s="19">
        <v>3.6531506142049168</v>
      </c>
      <c r="DX27" s="12">
        <v>28.559113097735587</v>
      </c>
      <c r="DY27" s="112">
        <v>1.00000000000157E-5</v>
      </c>
      <c r="DZ27" s="26">
        <v>3.6531506142049168</v>
      </c>
      <c r="EA27" s="27">
        <v>43910</v>
      </c>
      <c r="EB27" s="26" t="s">
        <v>1281</v>
      </c>
      <c r="EC27" s="26"/>
      <c r="ED27" s="112">
        <v>382</v>
      </c>
      <c r="EE27" s="26" t="s">
        <v>1282</v>
      </c>
      <c r="EF27" s="27">
        <v>43910</v>
      </c>
      <c r="EG27" s="26">
        <v>56</v>
      </c>
      <c r="EH27" s="26" t="s">
        <v>1283</v>
      </c>
      <c r="EI27" s="26"/>
      <c r="EJ27" s="26" t="s">
        <v>1284</v>
      </c>
      <c r="EK27" s="26"/>
      <c r="EL27" s="26" t="s">
        <v>1285</v>
      </c>
      <c r="EM27" s="26">
        <v>472.77227722772273</v>
      </c>
      <c r="EO27" s="26"/>
      <c r="EP27" s="94"/>
      <c r="EQ27" s="26"/>
      <c r="ER27" s="26" t="s">
        <v>1286</v>
      </c>
      <c r="ES27" s="26"/>
      <c r="ET27" s="26"/>
    </row>
    <row r="28" spans="2:150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48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>
        <v>33</v>
      </c>
      <c r="X28" s="21">
        <f>IF(ISNUMBER(tblData[Singapore]),tblData[Singapore]/$X$9,"")</f>
        <v>56.410256410256416</v>
      </c>
      <c r="Y28" s="21"/>
      <c r="Z28" s="21"/>
      <c r="AA28" s="26">
        <f>IF(tblData[[#This Row],[Date]]&lt;ItalyStart,"",tblData[[#This Row],[Date]]-ItalyStart)</f>
        <v>9</v>
      </c>
      <c r="AB28" s="26" t="str">
        <f>IF($B28&lt;BU$14+19,"",$B28-BU$14-19)</f>
        <v/>
      </c>
      <c r="AC28" s="26">
        <f t="shared" si="4"/>
        <v>17</v>
      </c>
      <c r="AD28" s="26" t="str">
        <f>IF(tblData[[#This Row],[Date]]&lt;StartDt2Korea,"",tblData[[#This Row],[Date]]-StartDt2Korea)</f>
        <v/>
      </c>
      <c r="AE28" s="26">
        <f>IF(tblData[[#This Row],[Date]]&lt;UKStart,"",tblData[[#This Row],[Date]]-UKStart)</f>
        <v>9</v>
      </c>
      <c r="AF28" s="26">
        <f>IF(tblData[[#This Row],[Date]]&lt;SingaporeStart,"",tblData[[#This Row],[Date]]-SingaporeStart)</f>
        <v>16</v>
      </c>
      <c r="AG28">
        <f>IF(tblData[Date]&gt;=StartDt2Au,tblData[Date]-StartDt2Au,"")</f>
        <v>14</v>
      </c>
      <c r="AH28" s="26">
        <f>IF(tblData[New South Wales]&gt;0,SUM(tblData[[#This Row],[Australian Capital Territory]:[Western Australia]]),"")</f>
        <v>15</v>
      </c>
      <c r="AI28" s="12">
        <f>IF(ISNUMBER(tblData[Au]),tblData[Au]/$AE$9,"")</f>
        <v>5.9138937076170954</v>
      </c>
      <c r="AJ28" s="19">
        <f>IF(ISNUMBER(tblData[[#This Row],[Day'# Aust]]),betaAu/(deltaAu+betaPodeltaAu*EXP(-betaAu*tblData[[#This Row],[Day'# Aust]])),"")</f>
        <v>0.13257465646003011</v>
      </c>
      <c r="AK28" s="70">
        <f>IF(ISNUMBER(tblData[Day'# Aust]),tblData[Au LogiP(t)]/$AI$9,"")</f>
        <v>5.2268828441898008E-2</v>
      </c>
      <c r="AL28" s="11">
        <f>IF(AND(tblData[Date]&gt;=StartDt2Au,ISNUMBER(tblData[NSW])),(tblData[[#This Row],[Au LogiP(t)]]-tblData[[#This Row],[Au]])^2,"")</f>
        <v>221.0403363457346</v>
      </c>
      <c r="AM28">
        <f>IF(tblData[Date]&gt;StartDt2NSW,tblData[Date]-StartDt2NSW,"")</f>
        <v>14</v>
      </c>
      <c r="AN28">
        <f t="shared" si="5"/>
        <v>4</v>
      </c>
      <c r="AO28" s="11">
        <f>IF(tblData[Date]&gt;StartDt2NSW,betaNSW/(deltaNSW+betaPodeltaNSW*EXP(-betaNSW*tblData[[#This Row],[Day '# NSW]])),"")</f>
        <v>0.11022488757573648</v>
      </c>
      <c r="AP28" s="12">
        <f>IF(AND(ISNUMBER(tblData[NSW]),tblData[Date]&gt;StartDt2NSW),(tblData[[#This Row],[NSW LogiP(t)]]-tblData[[#This Row],[NSW]])^2,"")</f>
        <v>15.130350425235191</v>
      </c>
      <c r="AQ28" s="12">
        <f>IF(AND(tblData[Date]&gt;StartDt2NSW,ISNUMBER(tblData[Day'# Aust])),tblData[NSW LogiP(t)]/$AL$9,"")</f>
        <v>0.13641694006898078</v>
      </c>
      <c r="AR28" s="11">
        <f>IF(AND(tblData[Date]&gt;StartDt2Italy,ISNUMBER(tblData[Days'# Italy])),betaItaly/(deltaItaly+betaPodeltaItaly*EXP(-betaItaly*tblData[Days'# Italy])),"")</f>
        <v>4.5389139834757506</v>
      </c>
      <c r="AS28" s="11">
        <f>IF(AND(tblData[Date]&gt;StartDt2Italy,ISNUMBER(tblData[Italy])),(tblData[[#This Row],[Italy LogiP(t)]]-tblData[[#This Row],[Italy]])^2,"")</f>
        <v>2.368256248537203</v>
      </c>
      <c r="AT28" s="43">
        <f>IF(AND(tblData[Date]&gt;StartDt2Italy,ISNUMBER(tblData[Days'# Italy])),tblData[[#This Row],[Italy LogiP(t)]]/$AS$9,"")</f>
        <v>0.75085425698523589</v>
      </c>
      <c r="AU28" s="11" t="str">
        <f>IF(ISNUMBER(tblData[[#This Row],[Days'# US]]),betaUS/(deltaUS+betaPodeltaUS*EXP(-betaUS*tblData[Days'# US])),"")</f>
        <v/>
      </c>
      <c r="AV28" s="11"/>
      <c r="AW28" s="11" t="str">
        <f>IF(ISNUMBER(tblData[[#This Row],[Days'# US]]),tblData[[#This Row],[US LogiP(t)]]/$AV$9,"")</f>
        <v/>
      </c>
      <c r="AX28" s="11" t="str">
        <f>IF(tblData[Date]&gt;=StartDt2Korea,betaSKorea/(deltaSKorea+betaPodeltaSKorea*EXP(-betaSKorea*(tblData[Date]-StartDt2Korea))),"")</f>
        <v/>
      </c>
      <c r="AY28" s="11" t="str">
        <f>IF(AND(tblData[Date]&gt;=StartDt2Korea,ISNUMBER(tblData[SKorea])),(tblData[[#This Row],[SKorea LogiP(t)]]-tblData[[#This Row],[SKorea]])^2,"")</f>
        <v/>
      </c>
      <c r="AZ28" s="11" t="str">
        <f>IF(tblData[Date]&gt;=StartDt2Korea,tblData[[#This Row],[SKorea LogiP(t)]]/$AY$9,"")</f>
        <v/>
      </c>
      <c r="BA28" s="11">
        <f>IF(ISNUMBER(tblData[Days'# UK]),betaUK/(deltaUK+betaPodeltaUK*EXP(-betaUK*tblData[Days'# UK])),"")</f>
        <v>0.24807995662902257</v>
      </c>
      <c r="BB28" s="11">
        <f>IF(ISNUMBER(tblData[UK]),(tblData[[#This Row],[UK LogiP(t)]]-tblData[[#This Row],[UK]])^2,"")</f>
        <v>7.5730639251069229</v>
      </c>
      <c r="BC28" s="11">
        <f>IF(ISNUMBER(tblData[Days'# UK]),tblData[[#This Row],[UK LogiP(t)]]/$BB$9,"")</f>
        <v>3.7338945910448909E-2</v>
      </c>
      <c r="BD28" s="11">
        <f>IF(ISNUMBER(tblData[Days'# China]),betaChina/(deltaChina+betaPodeltaChina*EXP(-betaChina*tblData[Days'# China])),"")</f>
        <v>37089.657493639505</v>
      </c>
      <c r="BE28" s="11">
        <f>IF(ISNUMBER(tblData[China]),(tblData[[#This Row],[China LogiP(t)]]-tblData[[#This Row],[China]])^2,"")</f>
        <v>75987.053799613481</v>
      </c>
      <c r="BF28" s="11">
        <f>tblData[[#This Row],[China LogiP(t)]]/$BE$9</f>
        <v>257.68807624865849</v>
      </c>
      <c r="BG28" s="11">
        <f>IF(ISNUMBER(tblData[Day'# Singapore]),betaSingapore/(deltaSingapore+betaPodeltaSingapore*EXP(-betaSingapore*tblData[Day'# Singapore])),"")</f>
        <v>51.762340125225634</v>
      </c>
      <c r="BH28" s="11">
        <f>IF(AND(ISNUMBER(tblData[Singapore]),tblData[Date]&gt;=StartDt2Singapore),(tblData[[#This Row],[Singapore LogiP(t)]]-tblData[[#This Row],[Singapore]])^2,"")</f>
        <v>352.02540697465184</v>
      </c>
      <c r="BI28" s="11">
        <f>IF(ISNUMBER(tblData[Day'# Singapore]),tblData[Singapore LogiP(t)]/$BH$9,"")</f>
        <v>88.4826326926934</v>
      </c>
      <c r="BJ28" s="11"/>
      <c r="BK28" s="11"/>
      <c r="BL28" s="11" t="str">
        <f>IF(ISNUMBER(tblData[[#This Row],[NSW Number of Tests]]),tblData[[#This Row],[NSW Number of Tests]]-BJ27,"")</f>
        <v/>
      </c>
      <c r="BM28" s="11" t="str">
        <f>IF(ISNUMBER(tblData[[#This Row],[NSW Under Investigation'']]),tblData[[#This Row],[NSW Under Investigation'']]-BK27,"")</f>
        <v/>
      </c>
      <c r="BN28" s="11"/>
      <c r="BO28" s="11" t="str">
        <f>IF(ISNUMBER(tblData[[#This Row],[NSW Test Day Number]]),betaTest/(deltaTest+betaPodeltaTest*EXP(-betaTest*tblData[[#This Row],[NSW Test Day Number]])),"")</f>
        <v/>
      </c>
      <c r="BP28" s="11" t="str">
        <f>IF(ISNUMBER(tblData[[#This Row],[NSW Number of Tests]]),(tblData[[#This Row],[NSW Number of Tests]]-tblData[[#This Row],[NSW Test Logi]])^2,"")</f>
        <v/>
      </c>
      <c r="BR28" s="27"/>
      <c r="BV28" s="26"/>
      <c r="CE28"/>
      <c r="CF28"/>
      <c r="CH28" s="26"/>
      <c r="CI28" s="26"/>
      <c r="DM28"/>
      <c r="DN28" s="26" t="s">
        <v>202</v>
      </c>
      <c r="DO28" s="80">
        <v>43911.866284722222</v>
      </c>
      <c r="DP28" s="27">
        <v>43855</v>
      </c>
      <c r="DQ28" s="27">
        <v>43855</v>
      </c>
      <c r="DR28" s="26">
        <v>1</v>
      </c>
      <c r="DS28" s="26">
        <v>0.20930602113130264</v>
      </c>
      <c r="DT28" s="25">
        <v>7.6817707886235747E-5</v>
      </c>
      <c r="DU28" s="26">
        <v>4.3039510033128963E-3</v>
      </c>
      <c r="DV28" s="108">
        <v>2724.7105763852951</v>
      </c>
      <c r="DW28" s="19">
        <v>4.2004617329616165</v>
      </c>
      <c r="DX28" s="12">
        <v>48.631057916445158</v>
      </c>
      <c r="DY28" s="112">
        <v>7.681770788623575E-2</v>
      </c>
      <c r="DZ28" s="26">
        <v>4.2004617329616165</v>
      </c>
      <c r="EA28" s="27">
        <v>43911</v>
      </c>
      <c r="EB28" s="26" t="s">
        <v>1369</v>
      </c>
      <c r="EC28" s="26"/>
      <c r="ED28" s="112">
        <v>436</v>
      </c>
      <c r="EE28" s="26" t="s">
        <v>1370</v>
      </c>
      <c r="EF28" s="27">
        <v>43911</v>
      </c>
      <c r="EG28" s="26">
        <v>57</v>
      </c>
      <c r="EH28" s="26" t="s">
        <v>1371</v>
      </c>
      <c r="EI28" s="26"/>
      <c r="EJ28" s="26" t="s">
        <v>1372</v>
      </c>
      <c r="EK28" s="26"/>
      <c r="EL28" s="26" t="s">
        <v>1373</v>
      </c>
      <c r="EM28" s="26">
        <v>539.60396039603961</v>
      </c>
      <c r="EO28" s="26"/>
      <c r="EP28" s="94"/>
      <c r="EQ28" s="26"/>
      <c r="ER28" s="26" t="s">
        <v>1358</v>
      </c>
      <c r="ES28" s="26"/>
      <c r="ET28" s="26"/>
    </row>
    <row r="29" spans="2:150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48">
        <f>IF(ISNUMBER(tblData[Italy]),tblData[Italy]/$N$9,"")</f>
        <v>0.49627791563275436</v>
      </c>
      <c r="O29">
        <v>0</v>
      </c>
      <c r="P29" s="43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>
        <v>40</v>
      </c>
      <c r="X29" s="21">
        <f>IF(ISNUMBER(tblData[Singapore]),tblData[Singapore]/$X$9,"")</f>
        <v>68.376068376068375</v>
      </c>
      <c r="Y29" s="21"/>
      <c r="Z29" s="21"/>
      <c r="AA29" s="26">
        <f>IF(tblData[[#This Row],[Date]]&lt;ItalyStart,"",tblData[[#This Row],[Date]]-ItalyStart)</f>
        <v>10</v>
      </c>
      <c r="AB29" s="26">
        <f t="shared" ref="AB29:AB60" si="7">IF($B29&lt;BU$14+18,"",$B29-BU$14-18)</f>
        <v>0</v>
      </c>
      <c r="AC29" s="26">
        <f t="shared" si="4"/>
        <v>18</v>
      </c>
      <c r="AD29" s="26" t="str">
        <f>IF(tblData[[#This Row],[Date]]&lt;StartDt2Korea,"",tblData[[#This Row],[Date]]-StartDt2Korea)</f>
        <v/>
      </c>
      <c r="AE29" s="26">
        <f>IF(tblData[[#This Row],[Date]]&lt;UKStart,"",tblData[[#This Row],[Date]]-UKStart)</f>
        <v>10</v>
      </c>
      <c r="AF29" s="26">
        <f>IF(tblData[[#This Row],[Date]]&lt;SingaporeStart,"",tblData[[#This Row],[Date]]-SingaporeStart)</f>
        <v>17</v>
      </c>
      <c r="AG29">
        <f>IF(tblData[Date]&gt;=StartDt2Au,tblData[Date]-StartDt2Au,"")</f>
        <v>15</v>
      </c>
      <c r="AH29" s="26">
        <f>IF(tblData[New South Wales]&gt;0,SUM(tblData[[#This Row],[Australian Capital Territory]:[Western Australia]]),"")</f>
        <v>15</v>
      </c>
      <c r="AI29" s="12">
        <f>IF(ISNUMBER(tblData[Au]),tblData[Au]/$AE$9,"")</f>
        <v>5.9138937076170954</v>
      </c>
      <c r="AJ29" s="19">
        <f>IF(ISNUMBER(tblData[[#This Row],[Day'# Aust]]),betaAu/(deltaAu+betaPodeltaAu*EXP(-betaAu*tblData[[#This Row],[Day'# Aust]])),"")</f>
        <v>0.16433920994126247</v>
      </c>
      <c r="AK29" s="70">
        <f>IF(ISNUMBER(tblData[Day'# Aust]),tblData[Au LogiP(t)]/$AI$9,"")</f>
        <v>6.4792307972426466E-2</v>
      </c>
      <c r="AL29" s="11">
        <f>IF(AND(tblData[Date]&gt;=StartDt2Au,ISNUMBER(tblData[NSW])),(tblData[[#This Row],[Au LogiP(t)]]-tblData[[#This Row],[Au]])^2,"")</f>
        <v>220.09683107768623</v>
      </c>
      <c r="AM29">
        <f>IF(tblData[Date]&gt;StartDt2NSW,tblData[Date]-StartDt2NSW,"")</f>
        <v>15</v>
      </c>
      <c r="AN29">
        <f t="shared" si="5"/>
        <v>4</v>
      </c>
      <c r="AO29" s="11">
        <f>IF(tblData[Date]&gt;StartDt2NSW,betaNSW/(deltaNSW+betaPodeltaNSW*EXP(-betaNSW*tblData[[#This Row],[Day '# NSW]])),"")</f>
        <v>0.13440554111525094</v>
      </c>
      <c r="AP29" s="12">
        <f>IF(AND(ISNUMBER(tblData[NSW]),tblData[Date]&gt;StartDt2NSW),(tblData[[#This Row],[NSW LogiP(t)]]-tblData[[#This Row],[NSW]])^2,"")</f>
        <v>14.942820520560476</v>
      </c>
      <c r="AQ29" s="12">
        <f>IF(AND(tblData[Date]&gt;StartDt2NSW,ISNUMBER(tblData[Day'# Aust])),tblData[NSW LogiP(t)]/$AL$9,"")</f>
        <v>0.16634349147927094</v>
      </c>
      <c r="AR29" s="11">
        <f>IF(AND(tblData[Date]&gt;StartDt2Italy,ISNUMBER(tblData[Days'# Italy])),betaItaly/(deltaItaly+betaPodeltaItaly*EXP(-betaItaly*tblData[Days'# Italy])),"")</f>
        <v>5.8791541311143716</v>
      </c>
      <c r="AS29" s="11">
        <f>IF(AND(tblData[Date]&gt;StartDt2Italy,ISNUMBER(tblData[Italy])),(tblData[[#This Row],[Italy LogiP(t)]]-tblData[[#This Row],[Italy]])^2,"")</f>
        <v>8.2895285107129517</v>
      </c>
      <c r="AT29" s="43">
        <f>IF(AND(tblData[Date]&gt;StartDt2Italy,ISNUMBER(tblData[Days'# Italy])),tblData[[#This Row],[Italy LogiP(t)]]/$AS$9,"")</f>
        <v>0.97256478595771245</v>
      </c>
      <c r="AU29" s="11">
        <f>IF(ISNUMBER(tblData[[#This Row],[Days'# US]]),betaUS/(deltaUS+betaPodeltaUS*EXP(-betaUS*tblData[Days'# US])),"")</f>
        <v>2.5463658144183617E-2</v>
      </c>
      <c r="AV29" s="11">
        <f>IF(ISNUMBER(tblData[US]),(tblData[[#This Row],[US LogiP(t)]]-tblData[US])^2,"")</f>
        <v>6.4839788608384865E-4</v>
      </c>
      <c r="AW29" s="11">
        <f>IF(ISNUMBER(tblData[[#This Row],[Days'# US]]),tblData[[#This Row],[US LogiP(t)]]/$AV$9,"")</f>
        <v>7.7343597110383336E-4</v>
      </c>
      <c r="AX29" s="11" t="str">
        <f>IF(tblData[Date]&gt;=StartDt2Korea,betaSKorea/(deltaSKorea+betaPodeltaSKorea*EXP(-betaSKorea*(tblData[Date]-StartDt2Korea))),"")</f>
        <v/>
      </c>
      <c r="AY29" s="11" t="str">
        <f>IF(AND(tblData[Date]&gt;=StartDt2Korea,ISNUMBER(tblData[SKorea])),(tblData[[#This Row],[SKorea LogiP(t)]]-tblData[[#This Row],[SKorea]])^2,"")</f>
        <v/>
      </c>
      <c r="AZ29" s="11" t="str">
        <f>IF(tblData[Date]&gt;=StartDt2Korea,tblData[[#This Row],[SKorea LogiP(t)]]/$AY$9,"")</f>
        <v/>
      </c>
      <c r="BA29" s="11">
        <f>IF(ISNUMBER(tblData[Days'# UK]),betaUK/(deltaUK+betaPodeltaUK*EXP(-betaUK*tblData[Days'# UK])),"")</f>
        <v>0.31409345427774177</v>
      </c>
      <c r="BB29" s="11">
        <f>IF(ISNUMBER(tblData[UK]),(tblData[[#This Row],[UK LogiP(t)]]-tblData[[#This Row],[UK]])^2,"")</f>
        <v>7.2140939723536732</v>
      </c>
      <c r="BC29" s="11">
        <f>IF(ISNUMBER(tblData[Days'# UK]),tblData[[#This Row],[UK LogiP(t)]]/$BB$9,"")</f>
        <v>4.7274752299479493E-2</v>
      </c>
      <c r="BD29" s="11">
        <f>IF(ISNUMBER(tblData[Days'# China]),betaChina/(deltaChina+betaPodeltaChina*EXP(-betaChina*tblData[Days'# China])),"")</f>
        <v>41578.599085244263</v>
      </c>
      <c r="BE29" s="11">
        <f>IF(ISNUMBER(tblData[China]),(tblData[[#This Row],[China LogiP(t)]]-tblData[[#This Row],[China]])^2,"")</f>
        <v>3061096.9590875614</v>
      </c>
      <c r="BF29" s="11">
        <f>tblData[[#This Row],[China LogiP(t)]]/$BE$9</f>
        <v>288.87592756088998</v>
      </c>
      <c r="BG29" s="11">
        <f>IF(ISNUMBER(tblData[Day'# Singapore]),betaSingapore/(deltaSingapore+betaPodeltaSingapore*EXP(-betaSingapore*tblData[Day'# Singapore])),"")</f>
        <v>54.087790493797634</v>
      </c>
      <c r="BH29" s="11">
        <f>IF(AND(ISNUMBER(tblData[Singapore]),tblData[Date]&gt;=StartDt2Singapore),(tblData[[#This Row],[Singapore LogiP(t)]]-tblData[[#This Row],[Singapore]])^2,"")</f>
        <v>198.46584099713499</v>
      </c>
      <c r="BI29" s="11">
        <f>IF(ISNUMBER(tblData[Day'# Singapore]),tblData[Singapore LogiP(t)]/$BH$9,"")</f>
        <v>92.457761527859205</v>
      </c>
      <c r="BJ29" s="11"/>
      <c r="BK29" s="11"/>
      <c r="BL29" s="11" t="str">
        <f>IF(ISNUMBER(tblData[[#This Row],[NSW Number of Tests]]),tblData[[#This Row],[NSW Number of Tests]]-BJ28,"")</f>
        <v/>
      </c>
      <c r="BM29" s="11" t="str">
        <f>IF(ISNUMBER(tblData[[#This Row],[NSW Under Investigation'']]),tblData[[#This Row],[NSW Under Investigation'']]-BK28,"")</f>
        <v/>
      </c>
      <c r="BN29" s="11"/>
      <c r="BO29" s="11" t="str">
        <f>IF(ISNUMBER(tblData[[#This Row],[NSW Test Day Number]]),betaTest/(deltaTest+betaPodeltaTest*EXP(-betaTest*tblData[[#This Row],[NSW Test Day Number]])),"")</f>
        <v/>
      </c>
      <c r="BP29" s="11" t="str">
        <f>IF(ISNUMBER(tblData[[#This Row],[NSW Number of Tests]]),(tblData[[#This Row],[NSW Number of Tests]]-tblData[[#This Row],[NSW Test Logi]])^2,"")</f>
        <v/>
      </c>
      <c r="BR29" s="27"/>
      <c r="BV29" s="26"/>
      <c r="CE29"/>
      <c r="CF29"/>
      <c r="CH29" s="26"/>
      <c r="CI29" s="26"/>
      <c r="DM29"/>
      <c r="DN29" s="26" t="s">
        <v>202</v>
      </c>
      <c r="DO29" s="80">
        <v>43912.588692129626</v>
      </c>
      <c r="DP29" s="27">
        <v>43855</v>
      </c>
      <c r="DQ29" s="27">
        <v>43855</v>
      </c>
      <c r="DR29" s="26">
        <v>1</v>
      </c>
      <c r="DS29" s="26">
        <v>0.20690766856988288</v>
      </c>
      <c r="DT29" s="25">
        <v>6.344938640416391E-5</v>
      </c>
      <c r="DU29" s="26">
        <v>4.7957380309846401E-3</v>
      </c>
      <c r="DV29" s="108">
        <v>3260.9876989496688</v>
      </c>
      <c r="DW29" s="26">
        <v>4.183094299453777</v>
      </c>
      <c r="DX29" s="26">
        <v>43.144008898410604</v>
      </c>
      <c r="DY29" s="112">
        <v>6.3449386404163907E-2</v>
      </c>
      <c r="DZ29" s="26">
        <v>4.183094299453777</v>
      </c>
      <c r="EA29" s="27">
        <v>43912</v>
      </c>
      <c r="EB29" s="26" t="s">
        <v>1454</v>
      </c>
      <c r="EC29" s="26"/>
      <c r="ED29" s="112">
        <v>533</v>
      </c>
      <c r="EE29" s="26" t="s">
        <v>1455</v>
      </c>
      <c r="EF29" s="27">
        <v>43912</v>
      </c>
      <c r="EG29" s="26">
        <v>58</v>
      </c>
      <c r="EH29" s="26" t="s">
        <v>1456</v>
      </c>
      <c r="EI29" s="26"/>
      <c r="EJ29" s="26" t="s">
        <v>1457</v>
      </c>
      <c r="EK29" s="26"/>
      <c r="EL29" s="26" t="s">
        <v>1458</v>
      </c>
      <c r="EM29" s="26">
        <v>659.65346534653463</v>
      </c>
      <c r="EO29" s="26"/>
      <c r="EP29" s="94"/>
      <c r="EQ29" s="26"/>
      <c r="ER29" s="26" t="s">
        <v>1453</v>
      </c>
      <c r="ES29" s="26"/>
      <c r="ET29" s="26"/>
    </row>
    <row r="30" spans="2:150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48">
        <f>IF(ISNUMBER(tblData[Italy]),tblData[Italy]/$N$9,"")</f>
        <v>0.49627791563275436</v>
      </c>
      <c r="O30">
        <v>11</v>
      </c>
      <c r="P30" s="48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>
        <v>45</v>
      </c>
      <c r="X30" s="21">
        <f>IF(ISNUMBER(tblData[Singapore]),tblData[Singapore]/$X$9,"")</f>
        <v>76.923076923076934</v>
      </c>
      <c r="Y30" s="21"/>
      <c r="Z30" s="21"/>
      <c r="AA30" s="26">
        <f>IF(tblData[[#This Row],[Date]]&lt;ItalyStart,"",tblData[[#This Row],[Date]]-ItalyStart)</f>
        <v>11</v>
      </c>
      <c r="AB30" s="26">
        <f t="shared" si="7"/>
        <v>1</v>
      </c>
      <c r="AC30" s="26">
        <f t="shared" si="4"/>
        <v>19</v>
      </c>
      <c r="AD30" s="26" t="str">
        <f>IF(tblData[[#This Row],[Date]]&lt;StartDt2Korea,"",tblData[[#This Row],[Date]]-StartDt2Korea)</f>
        <v/>
      </c>
      <c r="AE30" s="26">
        <f>IF(tblData[[#This Row],[Date]]&lt;UKStart,"",tblData[[#This Row],[Date]]-UKStart)</f>
        <v>11</v>
      </c>
      <c r="AF30" s="26">
        <f>IF(tblData[[#This Row],[Date]]&lt;SingaporeStart,"",tblData[[#This Row],[Date]]-SingaporeStart)</f>
        <v>18</v>
      </c>
      <c r="AG30">
        <f>IF(tblData[Date]&gt;=StartDt2Au,tblData[Date]-StartDt2Au,"")</f>
        <v>16</v>
      </c>
      <c r="AH30" s="26">
        <f>IF(tblData[New South Wales]&gt;0,SUM(tblData[[#This Row],[Australian Capital Territory]:[Western Australia]]),"")</f>
        <v>15</v>
      </c>
      <c r="AI30" s="12">
        <f>IF(ISNUMBER(tblData[Au]),tblData[Au]/$AE$9,"")</f>
        <v>5.9138937076170954</v>
      </c>
      <c r="AJ30" s="19">
        <f>IF(ISNUMBER(tblData[[#This Row],[Day'# Aust]]),betaAu/(deltaAu+betaPodeltaAu*EXP(-betaAu*tblData[[#This Row],[Day'# Aust]])),"")</f>
        <v>0.20371447036153426</v>
      </c>
      <c r="AK30" s="70">
        <f>IF(ISNUMBER(tblData[Day'# Aust]),tblData[Au LogiP(t)]/$AI$9,"")</f>
        <v>8.0316381628108446E-2</v>
      </c>
      <c r="AL30" s="11">
        <f>IF(AND(tblData[Date]&gt;=StartDt2Au,ISNUMBER(tblData[NSW])),(tblData[[#This Row],[Au LogiP(t)]]-tblData[[#This Row],[Au]])^2,"")</f>
        <v>218.93006547458864</v>
      </c>
      <c r="AM30">
        <f>IF(tblData[Date]&gt;StartDt2NSW,tblData[Date]-StartDt2NSW,"")</f>
        <v>16</v>
      </c>
      <c r="AN30">
        <f t="shared" si="5"/>
        <v>4</v>
      </c>
      <c r="AO30" s="11">
        <f>IF(tblData[Date]&gt;StartDt2NSW,betaNSW/(deltaNSW+betaPodeltaNSW*EXP(-betaNSW*tblData[[#This Row],[Day '# NSW]])),"")</f>
        <v>0.16389084062408693</v>
      </c>
      <c r="AP30" s="12">
        <f>IF(AND(ISNUMBER(tblData[NSW]),tblData[Date]&gt;StartDt2NSW),(tblData[[#This Row],[NSW LogiP(t)]]-tblData[[#This Row],[NSW]])^2,"")</f>
        <v>14.715733482647773</v>
      </c>
      <c r="AQ30" s="12">
        <f>IF(AND(tblData[Date]&gt;StartDt2NSW,ISNUMBER(tblData[Day'# Aust])),tblData[NSW LogiP(t)]/$AL$9,"")</f>
        <v>0.20283519879218678</v>
      </c>
      <c r="AR30" s="11">
        <f>IF(AND(tblData[Date]&gt;StartDt2Italy,ISNUMBER(tblData[Days'# Italy])),betaItaly/(deltaItaly+betaPodeltaItaly*EXP(-betaItaly*tblData[Days'# Italy])),"")</f>
        <v>7.6150912603072713</v>
      </c>
      <c r="AS30" s="11">
        <f>IF(AND(tblData[Date]&gt;StartDt2Italy,ISNUMBER(tblData[Italy])),(tblData[[#This Row],[Italy LogiP(t)]]-tblData[[#This Row],[Italy]])^2,"")</f>
        <v>21.299067340964559</v>
      </c>
      <c r="AT30" s="43">
        <f>IF(AND(tblData[Date]&gt;StartDt2Italy,ISNUMBER(tblData[Days'# Italy])),tblData[[#This Row],[Italy LogiP(t)]]/$AS$9,"")</f>
        <v>1.2597338726728324</v>
      </c>
      <c r="AU30" s="21">
        <f>IF(ISNUMBER(tblData[[#This Row],[Days'# US]]),betaUS/(deltaUS+betaPodeltaUS*EXP(-betaUS*tblData[Days'# US])),"")</f>
        <v>3.567626358794071E-2</v>
      </c>
      <c r="AV30" s="11">
        <f>IF(ISNUMBER(tblData[US]),(tblData[[#This Row],[US LogiP(t)]]-tblData[US])^2,"")</f>
        <v>120.21639499684889</v>
      </c>
      <c r="AW30" s="21">
        <f>IF(ISNUMBER(tblData[[#This Row],[Days'# US]]),tblData[[#This Row],[US LogiP(t)]]/$AV$9,"")</f>
        <v>1.0836347793099039E-3</v>
      </c>
      <c r="AX30" s="21" t="str">
        <f>IF(tblData[Date]&gt;=StartDt2Korea,betaSKorea/(deltaSKorea+betaPodeltaSKorea*EXP(-betaSKorea*(tblData[Date]-StartDt2Korea))),"")</f>
        <v/>
      </c>
      <c r="AY30" s="21" t="str">
        <f>IF(AND(tblData[Date]&gt;=StartDt2Korea,ISNUMBER(tblData[SKorea])),(tblData[[#This Row],[SKorea LogiP(t)]]-tblData[[#This Row],[SKorea]])^2,"")</f>
        <v/>
      </c>
      <c r="AZ30" s="21" t="str">
        <f>IF(tblData[Date]&gt;=StartDt2Korea,tblData[[#This Row],[SKorea LogiP(t)]]/$AY$9,"")</f>
        <v/>
      </c>
      <c r="BA30" s="11">
        <f>IF(ISNUMBER(tblData[Days'# UK]),betaUK/(deltaUK+betaPodeltaUK*EXP(-betaUK*tblData[Days'# UK])),"")</f>
        <v>0.39767292656345155</v>
      </c>
      <c r="BB30" s="21">
        <f>IF(ISNUMBER(tblData[UK]),(tblData[[#This Row],[UK LogiP(t)]]-tblData[[#This Row],[UK]])^2,"")</f>
        <v>57.795376931506311</v>
      </c>
      <c r="BC30" s="21">
        <f>IF(ISNUMBER(tblData[Days'# UK]),tblData[[#This Row],[UK LogiP(t)]]/$BB$9,"")</f>
        <v>5.9854444094438825E-2</v>
      </c>
      <c r="BD30" s="11">
        <f>IF(ISNUMBER(tblData[Days'# China]),betaChina/(deltaChina+betaPodeltaChina*EXP(-betaChina*tblData[Days'# China])),"")</f>
        <v>46040.906878513248</v>
      </c>
      <c r="BE30" s="11">
        <f>IF(ISNUMBER(tblData[China]),(tblData[[#This Row],[China LogiP(t)]]-tblData[[#This Row],[China]])^2,"")</f>
        <v>13593282.3308283</v>
      </c>
      <c r="BF30" s="11">
        <f>tblData[[#This Row],[China LogiP(t)]]/$BE$9</f>
        <v>319.87873504365183</v>
      </c>
      <c r="BG30" s="11">
        <f>IF(ISNUMBER(tblData[Day'# Singapore]),betaSingapore/(deltaSingapore+betaPodeltaSingapore*EXP(-betaSingapore*tblData[Day'# Singapore])),"")</f>
        <v>56.517712943744904</v>
      </c>
      <c r="BH30" s="11">
        <f>IF(AND(ISNUMBER(tblData[Singapore]),tblData[Date]&gt;=StartDt2Singapore),(tblData[[#This Row],[Singapore LogiP(t)]]-tblData[[#This Row],[Singapore]])^2,"")</f>
        <v>132.6577114545089</v>
      </c>
      <c r="BI30" s="11">
        <f>IF(ISNUMBER(tblData[Day'# Singapore]),tblData[Singapore LogiP(t)]/$BH$9,"")</f>
        <v>96.611475117512668</v>
      </c>
      <c r="BJ30" s="11"/>
      <c r="BK30" s="11"/>
      <c r="BL30" s="11" t="str">
        <f>IF(ISNUMBER(tblData[[#This Row],[NSW Number of Tests]]),tblData[[#This Row],[NSW Number of Tests]]-BJ29,"")</f>
        <v/>
      </c>
      <c r="BM30" s="11" t="str">
        <f>IF(ISNUMBER(tblData[[#This Row],[NSW Under Investigation'']]),tblData[[#This Row],[NSW Under Investigation'']]-BK29,"")</f>
        <v/>
      </c>
      <c r="BN30" s="11"/>
      <c r="BO30" s="11" t="str">
        <f>IF(ISNUMBER(tblData[[#This Row],[NSW Test Day Number]]),betaTest/(deltaTest+betaPodeltaTest*EXP(-betaTest*tblData[[#This Row],[NSW Test Day Number]])),"")</f>
        <v/>
      </c>
      <c r="BP30" s="11" t="str">
        <f>IF(ISNUMBER(tblData[[#This Row],[NSW Number of Tests]]),(tblData[[#This Row],[NSW Number of Tests]]-tblData[[#This Row],[NSW Test Logi]])^2,"")</f>
        <v/>
      </c>
      <c r="BR30" s="27"/>
      <c r="BV30" s="26"/>
      <c r="CE30"/>
      <c r="CF30"/>
      <c r="CH30" s="26"/>
      <c r="CI30" s="26"/>
      <c r="DM30"/>
      <c r="DN30" s="26" t="s">
        <v>202</v>
      </c>
      <c r="DO30" s="80">
        <v>43912.787488425929</v>
      </c>
      <c r="DP30" s="27">
        <v>43855</v>
      </c>
      <c r="DQ30" s="27">
        <v>43855</v>
      </c>
      <c r="DR30" s="26">
        <v>1</v>
      </c>
      <c r="DS30" s="26">
        <v>0.20690766856988288</v>
      </c>
      <c r="DT30" s="25">
        <v>6.344938640416391E-5</v>
      </c>
      <c r="DU30" s="26">
        <v>4.7957380309846401E-3</v>
      </c>
      <c r="DV30" s="108">
        <v>3260.9876989496688</v>
      </c>
      <c r="DW30" s="26">
        <v>4.183094299453777</v>
      </c>
      <c r="DX30" s="26">
        <v>43.144008898410604</v>
      </c>
      <c r="DY30" s="112">
        <v>6.3449386404163907E-2</v>
      </c>
      <c r="DZ30" s="26">
        <v>4.183094299453777</v>
      </c>
      <c r="EA30" s="27">
        <v>43912</v>
      </c>
      <c r="EB30" s="26" t="s">
        <v>1454</v>
      </c>
      <c r="EC30" s="26">
        <v>3260.9876989496688</v>
      </c>
      <c r="ED30" s="112">
        <v>533</v>
      </c>
      <c r="EE30" s="26" t="s">
        <v>1455</v>
      </c>
      <c r="EF30" s="27">
        <v>43912</v>
      </c>
      <c r="EG30" s="26">
        <v>58</v>
      </c>
      <c r="EH30" s="26" t="s">
        <v>1475</v>
      </c>
      <c r="EI30" s="26"/>
      <c r="EJ30" s="26" t="s">
        <v>1457</v>
      </c>
      <c r="EK30" s="26"/>
      <c r="EL30" s="26" t="s">
        <v>1476</v>
      </c>
      <c r="EM30" s="26">
        <v>659.65346534653463</v>
      </c>
      <c r="EO30" s="26"/>
      <c r="EP30" s="94"/>
      <c r="EQ30" s="26"/>
      <c r="ER30" s="26" t="s">
        <v>1453</v>
      </c>
    </row>
    <row r="31" spans="2:150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48">
        <f>IF(ISNUMBER(tblData[Italy]),tblData[Italy]/$N$9,"")</f>
        <v>0.49627791563275436</v>
      </c>
      <c r="O31">
        <v>12</v>
      </c>
      <c r="P31" s="48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>
        <v>47</v>
      </c>
      <c r="X31" s="21">
        <f>IF(ISNUMBER(tblData[Singapore]),tblData[Singapore]/$X$9,"")</f>
        <v>80.341880341880341</v>
      </c>
      <c r="Y31" s="21"/>
      <c r="Z31" s="21"/>
      <c r="AA31" s="26">
        <f>IF(tblData[[#This Row],[Date]]&lt;ItalyStart,"",tblData[[#This Row],[Date]]-ItalyStart)</f>
        <v>12</v>
      </c>
      <c r="AB31" s="26">
        <f t="shared" si="7"/>
        <v>2</v>
      </c>
      <c r="AC31" s="26">
        <f t="shared" si="4"/>
        <v>20</v>
      </c>
      <c r="AD31" s="26" t="str">
        <f>IF(tblData[[#This Row],[Date]]&lt;StartDt2Korea,"",tblData[[#This Row],[Date]]-StartDt2Korea)</f>
        <v/>
      </c>
      <c r="AE31" s="26">
        <f>IF(tblData[[#This Row],[Date]]&lt;UKStart,"",tblData[[#This Row],[Date]]-UKStart)</f>
        <v>12</v>
      </c>
      <c r="AF31" s="26">
        <f>IF(tblData[[#This Row],[Date]]&lt;SingaporeStart,"",tblData[[#This Row],[Date]]-SingaporeStart)</f>
        <v>19</v>
      </c>
      <c r="AG31">
        <f>IF(tblData[Date]&gt;=StartDt2Au,tblData[Date]-StartDt2Au,"")</f>
        <v>17</v>
      </c>
      <c r="AH31" s="26">
        <f>IF(tblData[New South Wales]&gt;0,SUM(tblData[[#This Row],[Australian Capital Territory]:[Western Australia]]),"")</f>
        <v>15</v>
      </c>
      <c r="AI31" s="12">
        <f>IF(ISNUMBER(tblData[Au]),tblData[Au]/$AE$9,"")</f>
        <v>5.9138937076170954</v>
      </c>
      <c r="AJ31" s="19">
        <f>IF(ISNUMBER(tblData[[#This Row],[Day'# Aust]]),betaAu/(deltaAu+betaPodeltaAu*EXP(-betaAu*tblData[[#This Row],[Day'# Aust]])),"")</f>
        <v>0.25252394391765204</v>
      </c>
      <c r="AK31" s="70">
        <f>IF(ISNUMBER(tblData[Day'# Aust]),tblData[Au LogiP(t)]/$AI$9,"")</f>
        <v>9.9559984197150314E-2</v>
      </c>
      <c r="AL31" s="11">
        <f>IF(AND(tblData[Date]&gt;=StartDt2Au,ISNUMBER(tblData[NSW])),(tblData[[#This Row],[Au LogiP(t)]]-tblData[[#This Row],[Au]])^2,"")</f>
        <v>217.48805002472218</v>
      </c>
      <c r="AM31">
        <f>IF(tblData[Date]&gt;StartDt2NSW,tblData[Date]-StartDt2NSW,"")</f>
        <v>17</v>
      </c>
      <c r="AN31">
        <f t="shared" si="5"/>
        <v>4</v>
      </c>
      <c r="AO31" s="11">
        <f>IF(tblData[Date]&gt;StartDt2NSW,betaNSW/(deltaNSW+betaPodeltaNSW*EXP(-betaNSW*tblData[[#This Row],[Day '# NSW]])),"")</f>
        <v>0.19984449612413469</v>
      </c>
      <c r="AP31" s="12">
        <f>IF(AND(ISNUMBER(tblData[NSW]),tblData[Date]&gt;StartDt2NSW),(tblData[[#This Row],[NSW LogiP(t)]]-tblData[[#This Row],[NSW]])^2,"")</f>
        <v>14.441181853638032</v>
      </c>
      <c r="AQ31" s="12">
        <f>IF(AND(tblData[Date]&gt;StartDt2NSW,ISNUMBER(tblData[Day'# Aust])),tblData[NSW LogiP(t)]/$AL$9,"")</f>
        <v>0.24733229718333499</v>
      </c>
      <c r="AR31" s="11">
        <f>IF(AND(tblData[Date]&gt;StartDt2Italy,ISNUMBER(tblData[Days'# Italy])),betaItaly/(deltaItaly+betaPodeltaItaly*EXP(-betaItaly*tblData[Days'# Italy])),"")</f>
        <v>9.8635210519444705</v>
      </c>
      <c r="AS31" s="11">
        <f>IF(AND(tblData[Date]&gt;StartDt2Italy,ISNUMBER(tblData[Italy])),(tblData[[#This Row],[Italy LogiP(t)]]-tblData[[#This Row],[Italy]])^2,"")</f>
        <v>47.107921230484934</v>
      </c>
      <c r="AT31" s="43">
        <f>IF(AND(tblData[Date]&gt;StartDt2Italy,ISNUMBER(tblData[Days'# Italy])),tblData[[#This Row],[Italy LogiP(t)]]/$AS$9,"")</f>
        <v>1.6316825561529313</v>
      </c>
      <c r="AU31" s="21">
        <f>IF(ISNUMBER(tblData[[#This Row],[Days'# US]]),betaUS/(deltaUS+betaPodeltaUS*EXP(-betaUS*tblData[Days'# US])),"")</f>
        <v>4.9984795750441353E-2</v>
      </c>
      <c r="AV31" s="11">
        <f>IF(ISNUMBER(tblData[US]),(tblData[[#This Row],[US LogiP(t)]]-tblData[US])^2,"")</f>
        <v>142.80286338179562</v>
      </c>
      <c r="AW31" s="21">
        <f>IF(ISNUMBER(tblData[[#This Row],[Days'# US]]),tblData[[#This Row],[US LogiP(t)]]/$AV$9,"")</f>
        <v>1.5182437190588839E-3</v>
      </c>
      <c r="AX31" s="21" t="str">
        <f>IF(tblData[Date]&gt;=StartDt2Korea,betaSKorea/(deltaSKorea+betaPodeltaSKorea*EXP(-betaSKorea*(tblData[Date]-StartDt2Korea))),"")</f>
        <v/>
      </c>
      <c r="AY31" s="21" t="str">
        <f>IF(AND(tblData[Date]&gt;=StartDt2Korea,ISNUMBER(tblData[SKorea])),(tblData[[#This Row],[SKorea LogiP(t)]]-tblData[[#This Row],[SKorea]])^2,"")</f>
        <v/>
      </c>
      <c r="AZ31" s="21" t="str">
        <f>IF(tblData[Date]&gt;=StartDt2Korea,tblData[[#This Row],[SKorea LogiP(t)]]/$AY$9,"")</f>
        <v/>
      </c>
      <c r="BA31" s="11">
        <f>IF(ISNUMBER(tblData[Days'# UK]),betaUK/(deltaUK+betaPodeltaUK*EXP(-betaUK*tblData[Days'# UK])),"")</f>
        <v>0.50349258354113635</v>
      </c>
      <c r="BB31" s="21">
        <f>IF(ISNUMBER(tblData[UK]),(tblData[[#This Row],[UK LogiP(t)]]-tblData[[#This Row],[UK]])^2,"")</f>
        <v>56.197623445022742</v>
      </c>
      <c r="BC31" s="21">
        <f>IF(ISNUMBER(tblData[Days'# UK]),tblData[[#This Row],[UK LogiP(t)]]/$BB$9,"")</f>
        <v>7.5781544783434129E-2</v>
      </c>
      <c r="BD31" s="11">
        <f>IF(ISNUMBER(tblData[Days'# China]),betaChina/(deltaChina+betaPodeltaChina*EXP(-betaChina*tblData[Days'# China])),"")</f>
        <v>50369.882390669241</v>
      </c>
      <c r="BE31" s="11">
        <f>IF(ISNUMBER(tblData[China]),(tblData[[#This Row],[China LogiP(t)]]-tblData[[#This Row],[China]])^2,"")</f>
        <v>35806848.465361439</v>
      </c>
      <c r="BF31" s="11">
        <f>tblData[[#This Row],[China LogiP(t)]]/$BE$9</f>
        <v>349.95518889190674</v>
      </c>
      <c r="BG31" s="11">
        <f>IF(ISNUMBER(tblData[Day'# Singapore]),betaSingapore/(deltaSingapore+betaPodeltaSingapore*EXP(-betaSingapore*tblData[Day'# Singapore])),"")</f>
        <v>59.056800938280276</v>
      </c>
      <c r="BH31" s="11">
        <f>IF(AND(ISNUMBER(tblData[Singapore]),tblData[Date]&gt;=StartDt2Singapore),(tblData[[#This Row],[Singapore LogiP(t)]]-tblData[[#This Row],[Singapore]])^2,"")</f>
        <v>145.36644886531613</v>
      </c>
      <c r="BI31" s="11">
        <f>IF(ISNUMBER(tblData[Day'# Singapore]),tblData[Singapore LogiP(t)]/$BH$9,"")</f>
        <v>100.95179647569279</v>
      </c>
      <c r="BJ31" s="11"/>
      <c r="BK31" s="11"/>
      <c r="BL31" s="11" t="str">
        <f>IF(ISNUMBER(tblData[[#This Row],[NSW Number of Tests]]),tblData[[#This Row],[NSW Number of Tests]]-BJ30,"")</f>
        <v/>
      </c>
      <c r="BM31" s="11" t="str">
        <f>IF(ISNUMBER(tblData[[#This Row],[NSW Under Investigation'']]),tblData[[#This Row],[NSW Under Investigation'']]-BK30,"")</f>
        <v/>
      </c>
      <c r="BN31" s="11"/>
      <c r="BO31" s="11" t="str">
        <f>IF(ISNUMBER(tblData[[#This Row],[NSW Test Day Number]]),betaTest/(deltaTest+betaPodeltaTest*EXP(-betaTest*tblData[[#This Row],[NSW Test Day Number]])),"")</f>
        <v/>
      </c>
      <c r="BP31" s="11" t="str">
        <f>IF(ISNUMBER(tblData[[#This Row],[NSW Number of Tests]]),(tblData[[#This Row],[NSW Number of Tests]]-tblData[[#This Row],[NSW Test Logi]])^2,"")</f>
        <v/>
      </c>
      <c r="BR31" s="27"/>
      <c r="BV31" s="26"/>
      <c r="CE31"/>
      <c r="CF31"/>
      <c r="CH31" s="26"/>
      <c r="CI31" s="26"/>
      <c r="DM31"/>
      <c r="DN31" s="26" t="s">
        <v>58</v>
      </c>
      <c r="DO31" s="80"/>
      <c r="DP31" s="27">
        <v>43860</v>
      </c>
      <c r="DQ31" s="27"/>
      <c r="DR31" s="26">
        <v>2</v>
      </c>
      <c r="DS31" s="23">
        <v>0.26341245608301456</v>
      </c>
      <c r="DT31" s="25">
        <v>8.0178356113971791E-6</v>
      </c>
      <c r="DU31" s="22">
        <v>0.43807876080500274</v>
      </c>
      <c r="DV31" s="108">
        <v>32853.312146806733</v>
      </c>
      <c r="DW31" s="19">
        <v>317.87708238738571</v>
      </c>
      <c r="DX31" s="37">
        <v>0.60128216021130942</v>
      </c>
      <c r="DY31" s="112">
        <v>8.0178356113971786E-3</v>
      </c>
      <c r="DZ31" s="12"/>
      <c r="EA31" s="27">
        <v>43904</v>
      </c>
      <c r="EB31" s="27" t="s">
        <v>486</v>
      </c>
      <c r="EC31" s="27"/>
      <c r="EE31" s="19"/>
      <c r="EF31" s="27"/>
      <c r="EG31" s="26"/>
      <c r="EH31" s="18"/>
      <c r="EI31" s="26"/>
      <c r="EJ31" s="26"/>
      <c r="EK31" s="26"/>
      <c r="EL31" s="26"/>
      <c r="EM31" s="26"/>
      <c r="EO31" s="26"/>
      <c r="EP31" s="94"/>
      <c r="EQ31" s="26"/>
      <c r="ER31" s="26"/>
    </row>
    <row r="32" spans="2:150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48">
        <f>IF(ISNUMBER(tblData[Italy]),tblData[Italy]/$N$9,"")</f>
        <v>0.49627791563275436</v>
      </c>
      <c r="O32">
        <v>12</v>
      </c>
      <c r="P32" s="48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>
        <v>50</v>
      </c>
      <c r="X32" s="21">
        <f>IF(ISNUMBER(tblData[Singapore]),tblData[Singapore]/$X$9,"")</f>
        <v>85.470085470085479</v>
      </c>
      <c r="Y32" s="21"/>
      <c r="Z32" s="21"/>
      <c r="AA32" s="26">
        <f>IF(tblData[[#This Row],[Date]]&lt;ItalyStart,"",tblData[[#This Row],[Date]]-ItalyStart)</f>
        <v>13</v>
      </c>
      <c r="AB32" s="26">
        <f t="shared" si="7"/>
        <v>3</v>
      </c>
      <c r="AC32" s="26">
        <f t="shared" si="4"/>
        <v>21</v>
      </c>
      <c r="AD32" s="26" t="str">
        <f>IF(tblData[[#This Row],[Date]]&lt;StartDt2Korea,"",tblData[[#This Row],[Date]]-StartDt2Korea)</f>
        <v/>
      </c>
      <c r="AE32" s="26">
        <f>IF(tblData[[#This Row],[Date]]&lt;UKStart,"",tblData[[#This Row],[Date]]-UKStart)</f>
        <v>13</v>
      </c>
      <c r="AF32" s="26">
        <f>IF(tblData[[#This Row],[Date]]&lt;SingaporeStart,"",tblData[[#This Row],[Date]]-SingaporeStart)</f>
        <v>20</v>
      </c>
      <c r="AG32">
        <f>IF(tblData[Date]&gt;=StartDt2Au,tblData[Date]-StartDt2Au,"")</f>
        <v>18</v>
      </c>
      <c r="AH32" s="26">
        <f>IF(tblData[New South Wales]&gt;0,SUM(tblData[[#This Row],[Australian Capital Territory]:[Western Australia]]),"")</f>
        <v>15</v>
      </c>
      <c r="AI32" s="12">
        <f>IF(ISNUMBER(tblData[Au]),tblData[Au]/$AE$9,"")</f>
        <v>5.9138937076170954</v>
      </c>
      <c r="AJ32" s="19">
        <f>IF(ISNUMBER(tblData[[#This Row],[Day'# Aust]]),betaAu/(deltaAu+betaPodeltaAu*EXP(-betaAu*tblData[[#This Row],[Day'# Aust]])),"")</f>
        <v>0.31302804429430864</v>
      </c>
      <c r="AK32" s="70">
        <f>IF(ISNUMBER(tblData[Day'# Aust]),tblData[Au LogiP(t)]/$AI$9,"")</f>
        <v>0.12341430543065314</v>
      </c>
      <c r="AL32" s="11">
        <f>IF(AND(tblData[Date]&gt;=StartDt2Au,ISNUMBER(tblData[NSW])),(tblData[[#This Row],[Au LogiP(t)]]-tblData[[#This Row],[Au]])^2,"")</f>
        <v>215.70714522768549</v>
      </c>
      <c r="AM32">
        <f>IF(tblData[Date]&gt;StartDt2NSW,tblData[Date]-StartDt2NSW,"")</f>
        <v>18</v>
      </c>
      <c r="AN32">
        <f t="shared" si="5"/>
        <v>4</v>
      </c>
      <c r="AO32" s="11">
        <f>IF(tblData[Date]&gt;StartDt2NSW,betaNSW/(deltaNSW+betaPodeltaNSW*EXP(-betaNSW*tblData[[#This Row],[Day '# NSW]])),"")</f>
        <v>0.24368550724998875</v>
      </c>
      <c r="AP32" s="12">
        <f>IF(AND(ISNUMBER(tblData[NSW]),tblData[Date]&gt;StartDt2NSW),(tblData[[#This Row],[NSW LogiP(t)]]-tblData[[#This Row],[NSW]])^2,"")</f>
        <v>14.109898568443773</v>
      </c>
      <c r="AQ32" s="12">
        <f>IF(AND(tblData[Date]&gt;StartDt2NSW,ISNUMBER(tblData[Day'# Aust])),tblData[NSW LogiP(t)]/$AL$9,"")</f>
        <v>0.30159097431929299</v>
      </c>
      <c r="AR32" s="11">
        <f>IF(AND(tblData[Date]&gt;StartDt2Italy,ISNUMBER(tblData[Days'# Italy])),betaItaly/(deltaItaly+betaPodeltaItaly*EXP(-betaItaly*tblData[Days'# Italy])),"")</f>
        <v>12.775691964470191</v>
      </c>
      <c r="AS32" s="11">
        <f>IF(AND(tblData[Date]&gt;StartDt2Italy,ISNUMBER(tblData[Italy])),(tblData[[#This Row],[Italy LogiP(t)]]-tblData[[#This Row],[Italy]])^2,"")</f>
        <v>95.56415338420706</v>
      </c>
      <c r="AT32" s="43">
        <f>IF(AND(tblData[Date]&gt;StartDt2Italy,ISNUMBER(tblData[Days'# Italy])),tblData[[#This Row],[Italy LogiP(t)]]/$AS$9,"")</f>
        <v>2.1134312596311315</v>
      </c>
      <c r="AU32" s="21">
        <f>IF(ISNUMBER(tblData[[#This Row],[Days'# US]]),betaUS/(deltaUS+betaPodeltaUS*EXP(-betaUS*tblData[Days'# US])),"")</f>
        <v>7.0031989518620039E-2</v>
      </c>
      <c r="AV32" s="11">
        <f>IF(ISNUMBER(tblData[US]),(tblData[[#This Row],[US LogiP(t)]]-tblData[US])^2,"")</f>
        <v>142.32413673110906</v>
      </c>
      <c r="AW32" s="21">
        <f>IF(ISNUMBER(tblData[[#This Row],[Days'# US]]),tblData[[#This Row],[US LogiP(t)]]/$AV$9,"")</f>
        <v>2.1271594016447218E-3</v>
      </c>
      <c r="AX32" s="21" t="str">
        <f>IF(tblData[Date]&gt;=StartDt2Korea,betaSKorea/(deltaSKorea+betaPodeltaSKorea*EXP(-betaSKorea*(tblData[Date]-StartDt2Korea))),"")</f>
        <v/>
      </c>
      <c r="AY32" s="21" t="str">
        <f>IF(AND(tblData[Date]&gt;=StartDt2Korea,ISNUMBER(tblData[SKorea])),(tblData[[#This Row],[SKorea LogiP(t)]]-tblData[[#This Row],[SKorea]])^2,"")</f>
        <v/>
      </c>
      <c r="AZ32" s="21" t="str">
        <f>IF(tblData[Date]&gt;=StartDt2Korea,tblData[[#This Row],[SKorea LogiP(t)]]/$AY$9,"")</f>
        <v/>
      </c>
      <c r="BA32" s="11">
        <f>IF(ISNUMBER(tblData[Days'# UK]),betaUK/(deltaUK+betaPodeltaUK*EXP(-betaUK*tblData[Days'# UK])),"")</f>
        <v>0.63747039413870898</v>
      </c>
      <c r="BB32" s="21">
        <f>IF(ISNUMBER(tblData[UK]),(tblData[[#This Row],[UK LogiP(t)]]-tblData[[#This Row],[UK]])^2,"")</f>
        <v>69.931901408906583</v>
      </c>
      <c r="BC32" s="21">
        <f>IF(ISNUMBER(tblData[Days'# UK]),tblData[[#This Row],[UK LogiP(t)]]/$BB$9,"")</f>
        <v>9.5946778166572697E-2</v>
      </c>
      <c r="BD32" s="11">
        <f>IF(ISNUMBER(tblData[Days'# China]),betaChina/(deltaChina+betaPodeltaChina*EXP(-betaChina*tblData[Days'# China])),"")</f>
        <v>54471.295199536187</v>
      </c>
      <c r="BE32" s="11">
        <f>IF(ISNUMBER(tblData[China]),(tblData[[#This Row],[China LogiP(t)]]-tblData[[#This Row],[China]])^2,"")</f>
        <v>94328678.042933673</v>
      </c>
      <c r="BF32" s="11">
        <f>tblData[[#This Row],[China LogiP(t)]]/$BE$9</f>
        <v>378.45060373362571</v>
      </c>
      <c r="BG32" s="11">
        <f>IF(ISNUMBER(tblData[Day'# Singapore]),betaSingapore/(deltaSingapore+betaPodeltaSingapore*EXP(-betaSingapore*tblData[Day'# Singapore])),"")</f>
        <v>61.709958796919288</v>
      </c>
      <c r="BH32" s="11">
        <f>IF(AND(ISNUMBER(tblData[Singapore]),tblData[Date]&gt;=StartDt2Singapore),(tblData[[#This Row],[Singapore LogiP(t)]]-tblData[[#This Row],[Singapore]])^2,"")</f>
        <v>137.12313502554741</v>
      </c>
      <c r="BI32" s="11">
        <f>IF(ISNUMBER(tblData[Day'# Singapore]),tblData[Singapore LogiP(t)]/$BH$9,"")</f>
        <v>105.48710905456289</v>
      </c>
      <c r="BJ32" s="11"/>
      <c r="BK32" s="11"/>
      <c r="BL32" s="11" t="str">
        <f>IF(ISNUMBER(tblData[[#This Row],[NSW Number of Tests]]),tblData[[#This Row],[NSW Number of Tests]]-BJ31,"")</f>
        <v/>
      </c>
      <c r="BM32" s="11" t="str">
        <f>IF(ISNUMBER(tblData[[#This Row],[NSW Under Investigation'']]),tblData[[#This Row],[NSW Under Investigation'']]-BK31,"")</f>
        <v/>
      </c>
      <c r="BN32" s="11"/>
      <c r="BO32" s="11" t="str">
        <f>IF(ISNUMBER(tblData[[#This Row],[NSW Test Day Number]]),betaTest/(deltaTest+betaPodeltaTest*EXP(-betaTest*tblData[[#This Row],[NSW Test Day Number]])),"")</f>
        <v/>
      </c>
      <c r="BP32" s="11" t="str">
        <f>IF(ISNUMBER(tblData[[#This Row],[NSW Number of Tests]]),(tblData[[#This Row],[NSW Number of Tests]]-tblData[[#This Row],[NSW Test Logi]])^2,"")</f>
        <v/>
      </c>
      <c r="BR32" s="27"/>
      <c r="BV32" s="26"/>
      <c r="CE32"/>
      <c r="CF32"/>
      <c r="CH32" s="26"/>
      <c r="CI32" s="26"/>
      <c r="DM32"/>
      <c r="DN32" s="26" t="s">
        <v>58</v>
      </c>
      <c r="DO32" s="80"/>
      <c r="DP32" s="27">
        <v>43860</v>
      </c>
      <c r="DQ32" s="27"/>
      <c r="DR32" s="26">
        <v>2</v>
      </c>
      <c r="DS32" s="23">
        <v>0.26295149930522799</v>
      </c>
      <c r="DT32" s="25">
        <v>7.2323673251486775E-6</v>
      </c>
      <c r="DU32" s="22">
        <v>0.43947505980618701</v>
      </c>
      <c r="DV32" s="108">
        <v>36357.597379060448</v>
      </c>
      <c r="DW32" s="22">
        <v>403.75439893608279</v>
      </c>
      <c r="DX32" s="37">
        <v>0.59832364770853697</v>
      </c>
      <c r="DY32" s="112">
        <v>7.2323673251486779E-3</v>
      </c>
      <c r="DZ32" s="24"/>
      <c r="EA32" s="27">
        <v>43905</v>
      </c>
      <c r="EB32" s="27" t="s">
        <v>760</v>
      </c>
      <c r="EC32" s="27"/>
      <c r="EE32" s="26"/>
      <c r="EF32" s="27"/>
      <c r="EG32" s="19"/>
      <c r="EH32" s="18"/>
      <c r="EI32" s="26"/>
      <c r="EJ32" s="26"/>
      <c r="EK32" s="26"/>
      <c r="EL32" s="26"/>
      <c r="EM32" s="26"/>
      <c r="EO32" s="19"/>
      <c r="EP32" s="94"/>
      <c r="EQ32" s="26"/>
      <c r="ER32" s="26"/>
    </row>
    <row r="33" spans="2:148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48">
        <f>IF(ISNUMBER(tblData[Italy]),tblData[Italy]/$N$9,"")</f>
        <v>0.49627791563275436</v>
      </c>
      <c r="O33">
        <v>13</v>
      </c>
      <c r="P33" s="48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>
        <v>58</v>
      </c>
      <c r="X33" s="21">
        <f>IF(ISNUMBER(tblData[Singapore]),tblData[Singapore]/$X$9,"")</f>
        <v>99.145299145299148</v>
      </c>
      <c r="Y33" s="21"/>
      <c r="Z33" s="21"/>
      <c r="AA33" s="26">
        <f>IF(tblData[[#This Row],[Date]]&lt;ItalyStart,"",tblData[[#This Row],[Date]]-ItalyStart)</f>
        <v>14</v>
      </c>
      <c r="AB33" s="26">
        <f t="shared" si="7"/>
        <v>4</v>
      </c>
      <c r="AC33" s="26">
        <f t="shared" si="4"/>
        <v>22</v>
      </c>
      <c r="AD33" s="26" t="str">
        <f>IF(tblData[[#This Row],[Date]]&lt;StartDt2Korea,"",tblData[[#This Row],[Date]]-StartDt2Korea)</f>
        <v/>
      </c>
      <c r="AE33" s="26">
        <f>IF(tblData[[#This Row],[Date]]&lt;UKStart,"",tblData[[#This Row],[Date]]-UKStart)</f>
        <v>14</v>
      </c>
      <c r="AF33" s="26">
        <f>IF(tblData[[#This Row],[Date]]&lt;SingaporeStart,"",tblData[[#This Row],[Date]]-SingaporeStart)</f>
        <v>21</v>
      </c>
      <c r="AG33">
        <f>IF(tblData[Date]&gt;=StartDt2Au,tblData[Date]-StartDt2Au,"")</f>
        <v>19</v>
      </c>
      <c r="AH33" s="26">
        <f>IF(tblData[New South Wales]&gt;0,SUM(tblData[[#This Row],[Australian Capital Territory]:[Western Australia]]),"")</f>
        <v>15</v>
      </c>
      <c r="AI33" s="12">
        <f>IF(ISNUMBER(tblData[Au]),tblData[Au]/$AE$9,"")</f>
        <v>5.9138937076170954</v>
      </c>
      <c r="AJ33" s="19">
        <f>IF(ISNUMBER(tblData[[#This Row],[Day'# Aust]]),betaAu/(deltaAu+betaPodeltaAu*EXP(-betaAu*tblData[[#This Row],[Day'# Aust]])),"")</f>
        <v>0.38802877459678231</v>
      </c>
      <c r="AK33" s="70">
        <f>IF(ISNUMBER(tblData[Day'# Aust]),tblData[Au LogiP(t)]/$AI$9,"")</f>
        <v>0.15298406189748553</v>
      </c>
      <c r="AL33" s="11">
        <f>IF(AND(tblData[Date]&gt;=StartDt2Au,ISNUMBER(tblData[NSW])),(tblData[[#This Row],[Au LogiP(t)]]-tblData[[#This Row],[Au]])^2,"")</f>
        <v>213.50970309201162</v>
      </c>
      <c r="AM33">
        <f>IF(tblData[Date]&gt;StartDt2NSW,tblData[Date]-StartDt2NSW,"")</f>
        <v>19</v>
      </c>
      <c r="AN33">
        <f t="shared" si="5"/>
        <v>4</v>
      </c>
      <c r="AO33" s="11">
        <f>IF(tblData[Date]&gt;StartDt2NSW,betaNSW/(deltaNSW+betaPodeltaNSW*EXP(-betaNSW*tblData[[#This Row],[Day '# NSW]])),"")</f>
        <v>0.29714416756714451</v>
      </c>
      <c r="AP33" s="12">
        <f>IF(AND(ISNUMBER(tblData[NSW]),tblData[Date]&gt;StartDt2NSW),(tblData[[#This Row],[NSW LogiP(t)]]-tblData[[#This Row],[NSW]])^2,"")</f>
        <v>13.711141315782015</v>
      </c>
      <c r="AQ33" s="12">
        <f>IF(AND(tblData[Date]&gt;StartDt2NSW,ISNUMBER(tblData[Day'# Aust])),tblData[NSW LogiP(t)]/$AL$9,"")</f>
        <v>0.36775268263260458</v>
      </c>
      <c r="AR33" s="11">
        <f>IF(AND(tblData[Date]&gt;StartDt2Italy,ISNUMBER(tblData[Days'# Italy])),betaItaly/(deltaItaly+betaPodeltaItaly*EXP(-betaItaly*tblData[Days'# Italy])),"")</f>
        <v>16.547453894058989</v>
      </c>
      <c r="AS33" s="11">
        <f>IF(AND(tblData[Date]&gt;StartDt2Italy,ISNUMBER(tblData[Italy])),(tblData[[#This Row],[Italy LogiP(t)]]-tblData[[#This Row],[Italy]])^2,"")</f>
        <v>183.53350701165408</v>
      </c>
      <c r="AT33" s="43">
        <f>IF(AND(tblData[Date]&gt;StartDt2Italy,ISNUMBER(tblData[Days'# Italy])),tblData[[#This Row],[Italy LogiP(t)]]/$AS$9,"")</f>
        <v>2.737378642524233</v>
      </c>
      <c r="AU33" s="21">
        <f>IF(ISNUMBER(tblData[[#This Row],[Days'# US]]),betaUS/(deltaUS+betaPodeltaUS*EXP(-betaUS*tblData[Days'# US])),"")</f>
        <v>9.8119422891331895E-2</v>
      </c>
      <c r="AV33" s="11">
        <f>IF(ISNUMBER(tblData[US]),(tblData[[#This Row],[US LogiP(t)]]-tblData[US])^2,"")</f>
        <v>166.45852242597391</v>
      </c>
      <c r="AW33" s="21">
        <f>IF(ISNUMBER(tblData[[#This Row],[Days'# US]]),tblData[[#This Row],[US LogiP(t)]]/$AV$9,"")</f>
        <v>2.9802902119717427E-3</v>
      </c>
      <c r="AX33" s="21" t="str">
        <f>IF(tblData[Date]&gt;=StartDt2Korea,betaSKorea/(deltaSKorea+betaPodeltaSKorea*EXP(-betaSKorea*(tblData[Date]-StartDt2Korea))),"")</f>
        <v/>
      </c>
      <c r="AY33" s="21" t="str">
        <f>IF(AND(tblData[Date]&gt;=StartDt2Korea,ISNUMBER(tblData[SKorea])),(tblData[[#This Row],[SKorea LogiP(t)]]-tblData[[#This Row],[SKorea]])^2,"")</f>
        <v/>
      </c>
      <c r="AZ33" s="21" t="str">
        <f>IF(tblData[Date]&gt;=StartDt2Korea,tblData[[#This Row],[SKorea LogiP(t)]]/$AY$9,"")</f>
        <v/>
      </c>
      <c r="BA33" s="11">
        <f>IF(ISNUMBER(tblData[Days'# UK]),betaUK/(deltaUK+betaPodeltaUK*EXP(-betaUK*tblData[Days'# UK])),"")</f>
        <v>0.80709902368036901</v>
      </c>
      <c r="BB33" s="21">
        <f>IF(ISNUMBER(tblData[UK]),(tblData[[#This Row],[UK LogiP(t)]]-tblData[[#This Row],[UK]])^2,"")</f>
        <v>67.12362640777917</v>
      </c>
      <c r="BC33" s="21">
        <f>IF(ISNUMBER(tblData[Days'# UK]),tblData[[#This Row],[UK LogiP(t)]]/$BB$9,"")</f>
        <v>0.12147787833840593</v>
      </c>
      <c r="BD33" s="11">
        <f>IF(ISNUMBER(tblData[Days'# China]),betaChina/(deltaChina+betaPodeltaChina*EXP(-betaChina*tblData[Days'# China])),"")</f>
        <v>58270.903430774204</v>
      </c>
      <c r="BE33" s="11">
        <f>IF(ISNUMBER(tblData[China]),(tblData[[#This Row],[China LogiP(t)]]-tblData[[#This Row],[China]])^2,"")</f>
        <v>2637689.6661710008</v>
      </c>
      <c r="BF33" s="11">
        <f>tblData[[#This Row],[China LogiP(t)]]/$BE$9</f>
        <v>404.84916877225407</v>
      </c>
      <c r="BG33" s="11">
        <f>IF(ISNUMBER(tblData[Day'# Singapore]),betaSingapore/(deltaSingapore+betaPodeltaSingapore*EXP(-betaSingapore*tblData[Day'# Singapore])),"")</f>
        <v>64.482311168310261</v>
      </c>
      <c r="BH33" s="11">
        <f>IF(AND(ISNUMBER(tblData[Singapore]),tblData[Date]&gt;=StartDt2Singapore),(tblData[[#This Row],[Singapore LogiP(t)]]-tblData[[#This Row],[Singapore]])^2,"")</f>
        <v>42.020358082799937</v>
      </c>
      <c r="BI33" s="11">
        <f>IF(ISNUMBER(tblData[Day'# Singapore]),tblData[Singapore LogiP(t)]/$BH$9,"")</f>
        <v>110.2261729372825</v>
      </c>
      <c r="BJ33" s="11"/>
      <c r="BK33" s="11"/>
      <c r="BL33" s="11" t="str">
        <f>IF(ISNUMBER(tblData[[#This Row],[NSW Number of Tests]]),tblData[[#This Row],[NSW Number of Tests]]-BJ32,"")</f>
        <v/>
      </c>
      <c r="BM33" s="11" t="str">
        <f>IF(ISNUMBER(tblData[[#This Row],[NSW Under Investigation'']]),tblData[[#This Row],[NSW Under Investigation'']]-BK32,"")</f>
        <v/>
      </c>
      <c r="BN33" s="11"/>
      <c r="BO33" s="11" t="str">
        <f>IF(ISNUMBER(tblData[[#This Row],[NSW Test Day Number]]),betaTest/(deltaTest+betaPodeltaTest*EXP(-betaTest*tblData[[#This Row],[NSW Test Day Number]])),"")</f>
        <v/>
      </c>
      <c r="BP33" s="11" t="str">
        <f>IF(ISNUMBER(tblData[[#This Row],[NSW Number of Tests]]),(tblData[[#This Row],[NSW Number of Tests]]-tblData[[#This Row],[NSW Test Logi]])^2,"")</f>
        <v/>
      </c>
      <c r="BR33" s="27"/>
      <c r="BV33" s="26"/>
      <c r="CE33"/>
      <c r="CF33"/>
      <c r="CH33" s="26"/>
      <c r="CI33" s="26"/>
      <c r="DM33"/>
      <c r="DN33" s="26" t="s">
        <v>58</v>
      </c>
      <c r="DO33" s="80"/>
      <c r="DP33" s="27">
        <v>43860</v>
      </c>
      <c r="DQ33" s="27"/>
      <c r="DR33" s="26">
        <v>2</v>
      </c>
      <c r="DS33" s="23">
        <v>0.26191421074859073</v>
      </c>
      <c r="DT33" s="25">
        <v>6.140019699733307E-6</v>
      </c>
      <c r="DU33" s="22">
        <v>0.44086139601669905</v>
      </c>
      <c r="DV33" s="108">
        <v>42656.90071971056</v>
      </c>
      <c r="DW33" s="19">
        <v>414.31666978327439</v>
      </c>
      <c r="DX33" s="37">
        <v>0.59409035632825868</v>
      </c>
      <c r="DY33" s="112">
        <v>6.1400196997333069E-3</v>
      </c>
      <c r="DZ33" s="12"/>
      <c r="EA33" s="27">
        <v>43906</v>
      </c>
      <c r="EB33" s="27" t="s">
        <v>956</v>
      </c>
      <c r="EC33" s="27"/>
      <c r="ED33" s="112">
        <v>27980</v>
      </c>
      <c r="EE33" s="19" t="s">
        <v>957</v>
      </c>
      <c r="EF33" s="27">
        <v>43906</v>
      </c>
      <c r="EG33" s="26">
        <v>47</v>
      </c>
      <c r="EH33" s="18" t="s">
        <v>958</v>
      </c>
      <c r="EI33" s="26"/>
      <c r="EJ33" s="26" t="s">
        <v>959</v>
      </c>
      <c r="EK33" s="26"/>
      <c r="EL33" s="26"/>
      <c r="EM33" s="26"/>
      <c r="EO33" s="26"/>
      <c r="EP33" s="94"/>
      <c r="EQ33" s="26"/>
      <c r="ER33" s="26"/>
    </row>
    <row r="34" spans="2:148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48">
        <f>IF(ISNUMBER(tblData[Italy]),tblData[Italy]/$N$9,"")</f>
        <v>0.49627791563275436</v>
      </c>
      <c r="O34">
        <v>13</v>
      </c>
      <c r="P34" s="48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>
        <v>67</v>
      </c>
      <c r="X34" s="21">
        <f>IF(ISNUMBER(tblData[Singapore]),tblData[Singapore]/$X$9,"")</f>
        <v>114.52991452991454</v>
      </c>
      <c r="Y34" s="21"/>
      <c r="Z34" s="21"/>
      <c r="AA34" s="26">
        <f>IF(tblData[[#This Row],[Date]]&lt;ItalyStart,"",tblData[[#This Row],[Date]]-ItalyStart)</f>
        <v>15</v>
      </c>
      <c r="AB34" s="26">
        <f t="shared" si="7"/>
        <v>5</v>
      </c>
      <c r="AC34" s="26">
        <f t="shared" si="4"/>
        <v>23</v>
      </c>
      <c r="AD34" s="26" t="str">
        <f>IF(tblData[[#This Row],[Date]]&lt;StartDt2Korea,"",tblData[[#This Row],[Date]]-StartDt2Korea)</f>
        <v/>
      </c>
      <c r="AE34" s="26">
        <f>IF(tblData[[#This Row],[Date]]&lt;UKStart,"",tblData[[#This Row],[Date]]-UKStart)</f>
        <v>15</v>
      </c>
      <c r="AF34" s="26">
        <f>IF(tblData[[#This Row],[Date]]&lt;SingaporeStart,"",tblData[[#This Row],[Date]]-SingaporeStart)</f>
        <v>22</v>
      </c>
      <c r="AG34">
        <f>IF(tblData[Date]&gt;=StartDt2Au,tblData[Date]-StartDt2Au,"")</f>
        <v>20</v>
      </c>
      <c r="AH34" s="26">
        <f>IF(tblData[New South Wales]&gt;0,SUM(tblData[[#This Row],[Australian Capital Territory]:[Western Australia]]),"")</f>
        <v>15</v>
      </c>
      <c r="AI34" s="12">
        <f>IF(ISNUMBER(tblData[Au]),tblData[Au]/$AE$9,"")</f>
        <v>5.9138937076170954</v>
      </c>
      <c r="AJ34" s="19">
        <f>IF(ISNUMBER(tblData[[#This Row],[Day'# Aust]]),betaAu/(deltaAu+betaPodeltaAu*EXP(-betaAu*tblData[[#This Row],[Day'# Aust]])),"")</f>
        <v>0.48099949081081533</v>
      </c>
      <c r="AK34" s="70">
        <f>IF(ISNUMBER(tblData[Day'# Aust]),tblData[Au LogiP(t)]/$AI$9,"")</f>
        <v>0.18963865747154052</v>
      </c>
      <c r="AL34" s="11">
        <f>IF(AND(tblData[Date]&gt;=StartDt2Au,ISNUMBER(tblData[NSW])),(tblData[[#This Row],[Au LogiP(t)]]-tblData[[#This Row],[Au]])^2,"")</f>
        <v>210.80137578583583</v>
      </c>
      <c r="AM34">
        <f>IF(tblData[Date]&gt;StartDt2NSW,tblData[Date]-StartDt2NSW,"")</f>
        <v>20</v>
      </c>
      <c r="AN34">
        <f t="shared" si="5"/>
        <v>4</v>
      </c>
      <c r="AO34" s="11">
        <f>IF(tblData[Date]&gt;StartDt2NSW,betaNSW/(deltaNSW+betaPodeltaNSW*EXP(-betaNSW*tblData[[#This Row],[Day '# NSW]])),"")</f>
        <v>0.36233035487246901</v>
      </c>
      <c r="AP34" s="12">
        <f>IF(AND(ISNUMBER(tblData[NSW]),tblData[Date]&gt;StartDt2NSW),(tblData[[#This Row],[NSW LogiP(t)]]-tblData[[#This Row],[NSW]])^2,"")</f>
        <v>13.232640447082256</v>
      </c>
      <c r="AQ34" s="12">
        <f>IF(AND(tblData[Date]&gt;StartDt2NSW,ISNUMBER(tblData[Day'# Aust])),tblData[NSW LogiP(t)]/$AL$9,"")</f>
        <v>0.44842865702038243</v>
      </c>
      <c r="AR34" s="11">
        <f>IF(AND(tblData[Date]&gt;StartDt2Italy,ISNUMBER(tblData[Days'# Italy])),betaItaly/(deltaItaly+betaPodeltaItaly*EXP(-betaItaly*tblData[Days'# Italy])),"")</f>
        <v>21.432386584575699</v>
      </c>
      <c r="AS34" s="11">
        <f>IF(AND(tblData[Date]&gt;StartDt2Italy,ISNUMBER(tblData[Italy])),(tblData[[#This Row],[Italy LogiP(t)]]-tblData[[#This Row],[Italy]])^2,"")</f>
        <v>339.75287520324622</v>
      </c>
      <c r="AT34" s="43">
        <f>IF(AND(tblData[Date]&gt;StartDt2Italy,ISNUMBER(tblData[Days'# Italy])),tblData[[#This Row],[Italy LogiP(t)]]/$AS$9,"")</f>
        <v>3.5454733804095451</v>
      </c>
      <c r="AU34" s="21">
        <f>IF(ISNUMBER(tblData[[#This Row],[Days'# US]]),betaUS/(deltaUS+betaPodeltaUS*EXP(-betaUS*tblData[Days'# US])),"")</f>
        <v>0.13747175462018849</v>
      </c>
      <c r="AV34" s="11">
        <f>IF(ISNUMBER(tblData[US]),(tblData[[#This Row],[US LogiP(t)]]-tblData[US])^2,"")</f>
        <v>165.44463286319345</v>
      </c>
      <c r="AW34" s="21">
        <f>IF(ISNUMBER(tblData[[#This Row],[Days'# US]]),tblData[[#This Row],[US LogiP(t)]]/$AV$9,"")</f>
        <v>4.1755822919064814E-3</v>
      </c>
      <c r="AX34" s="21" t="str">
        <f>IF(tblData[Date]&gt;=StartDt2Korea,betaSKorea/(deltaSKorea+betaPodeltaSKorea*EXP(-betaSKorea*(tblData[Date]-StartDt2Korea))),"")</f>
        <v/>
      </c>
      <c r="AY34" s="21" t="str">
        <f>IF(AND(tblData[Date]&gt;=StartDt2Korea,ISNUMBER(tblData[SKorea])),(tblData[[#This Row],[SKorea LogiP(t)]]-tblData[[#This Row],[SKorea]])^2,"")</f>
        <v/>
      </c>
      <c r="AZ34" s="21" t="str">
        <f>IF(tblData[Date]&gt;=StartDt2Korea,tblData[[#This Row],[SKorea LogiP(t)]]/$AY$9,"")</f>
        <v/>
      </c>
      <c r="BA34" s="11">
        <f>IF(ISNUMBER(tblData[Days'# UK]),betaUK/(deltaUK+betaPodeltaUK*EXP(-betaUK*tblData[Days'# UK])),"")</f>
        <v>1.0218648184389816</v>
      </c>
      <c r="BB34" s="21">
        <f>IF(ISNUMBER(tblData[UK]),(tblData[[#This Row],[UK LogiP(t)]]-tblData[[#This Row],[UK]])^2,"")</f>
        <v>63.650640975261666</v>
      </c>
      <c r="BC34" s="21">
        <f>IF(ISNUMBER(tblData[Days'# UK]),tblData[[#This Row],[UK LogiP(t)]]/$BB$9,"")</f>
        <v>0.15380265178190572</v>
      </c>
      <c r="BD34" s="11">
        <f>IF(ISNUMBER(tblData[Days'# China]),betaChina/(deltaChina+betaPodeltaChina*EXP(-betaChina*tblData[Days'# China])),"")</f>
        <v>61718.454280260012</v>
      </c>
      <c r="BE34" s="11">
        <f>IF(ISNUMBER(tblData[China]),(tblData[[#This Row],[China LogiP(t)]]-tblData[[#This Row],[China]])^2,"")</f>
        <v>21525384.485557646</v>
      </c>
      <c r="BF34" s="11">
        <f>tblData[[#This Row],[China LogiP(t)]]/$BE$9</f>
        <v>428.80174224440805</v>
      </c>
      <c r="BG34" s="11">
        <f>IF(ISNUMBER(tblData[Day'# Singapore]),betaSingapore/(deltaSingapore+betaPodeltaSingapore*EXP(-betaSingapore*tblData[Day'# Singapore])),"")</f>
        <v>67.379212928636449</v>
      </c>
      <c r="BH34" s="11">
        <f>IF(AND(ISNUMBER(tblData[Singapore]),tblData[Date]&gt;=StartDt2Singapore),(tblData[[#This Row],[Singapore LogiP(t)]]-tblData[[#This Row],[Singapore]])^2,"")</f>
        <v>0.14380244524503219</v>
      </c>
      <c r="BI34" s="11">
        <f>IF(ISNUMBER(tblData[Day'# Singapore]),tblData[Singapore LogiP(t)]/$BH$9,"")</f>
        <v>115.17814175835291</v>
      </c>
      <c r="BJ34" s="11"/>
      <c r="BK34" s="11"/>
      <c r="BL34" s="11" t="str">
        <f>IF(ISNUMBER(tblData[[#This Row],[NSW Number of Tests]]),tblData[[#This Row],[NSW Number of Tests]]-BJ33,"")</f>
        <v/>
      </c>
      <c r="BM34" s="11" t="str">
        <f>IF(ISNUMBER(tblData[[#This Row],[NSW Under Investigation'']]),tblData[[#This Row],[NSW Under Investigation'']]-BK33,"")</f>
        <v/>
      </c>
      <c r="BN34" s="11"/>
      <c r="BO34" s="11" t="str">
        <f>IF(ISNUMBER(tblData[[#This Row],[NSW Test Day Number]]),betaTest/(deltaTest+betaPodeltaTest*EXP(-betaTest*tblData[[#This Row],[NSW Test Day Number]])),"")</f>
        <v/>
      </c>
      <c r="BP34" s="11" t="str">
        <f>IF(ISNUMBER(tblData[[#This Row],[NSW Number of Tests]]),(tblData[[#This Row],[NSW Number of Tests]]-tblData[[#This Row],[NSW Test Logi]])^2,"")</f>
        <v/>
      </c>
      <c r="BR34" s="27"/>
      <c r="BV34" s="26"/>
      <c r="CE34"/>
      <c r="CF34"/>
      <c r="CH34" s="26"/>
      <c r="CI34" s="26"/>
      <c r="DM34"/>
      <c r="DN34" t="s">
        <v>58</v>
      </c>
      <c r="DO34" s="80"/>
      <c r="DP34" s="27">
        <v>43860</v>
      </c>
      <c r="DQ34" s="27"/>
      <c r="DR34">
        <v>2</v>
      </c>
      <c r="DS34" s="23">
        <v>0.2615655981515827</v>
      </c>
      <c r="DT34" s="25">
        <v>5.8419822423564144E-6</v>
      </c>
      <c r="DU34" s="22">
        <v>0.44095476463112465</v>
      </c>
      <c r="DV34" s="108">
        <v>44773.432595385282</v>
      </c>
      <c r="DW34" s="19">
        <v>467.53213903899575</v>
      </c>
      <c r="DX34" s="37">
        <v>0.59317427337583117</v>
      </c>
      <c r="DY34" s="112">
        <v>5.8419822423564144E-3</v>
      </c>
      <c r="DZ34" s="12"/>
      <c r="EA34" s="27">
        <v>43907</v>
      </c>
      <c r="EB34" s="27" t="s">
        <v>993</v>
      </c>
      <c r="EC34" s="27"/>
      <c r="ED34" s="112">
        <v>31506</v>
      </c>
      <c r="EE34" s="19" t="s">
        <v>994</v>
      </c>
      <c r="EF34" s="27">
        <v>43907</v>
      </c>
      <c r="EG34" s="26">
        <v>48</v>
      </c>
      <c r="EH34" s="18" t="s">
        <v>995</v>
      </c>
      <c r="EJ34" t="s">
        <v>996</v>
      </c>
      <c r="EK34" s="26"/>
      <c r="EL34" s="26" t="s">
        <v>997</v>
      </c>
      <c r="EM34" s="26"/>
      <c r="EO34" s="26"/>
      <c r="EP34" s="94"/>
      <c r="EQ34" s="26"/>
    </row>
    <row r="35" spans="2:148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48">
        <f>IF(ISNUMBER(tblData[Italy]),tblData[Italy]/$N$9,"")</f>
        <v>0.49627791563275436</v>
      </c>
      <c r="O35">
        <v>13</v>
      </c>
      <c r="P35" s="48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>
        <v>72</v>
      </c>
      <c r="X35" s="21">
        <f>IF(ISNUMBER(tblData[Singapore]),tblData[Singapore]/$X$9,"")</f>
        <v>123.07692307692308</v>
      </c>
      <c r="Y35" s="21"/>
      <c r="Z35" s="21"/>
      <c r="AA35" s="26">
        <f>IF(tblData[[#This Row],[Date]]&lt;ItalyStart,"",tblData[[#This Row],[Date]]-ItalyStart)</f>
        <v>16</v>
      </c>
      <c r="AB35" s="26">
        <f t="shared" si="7"/>
        <v>6</v>
      </c>
      <c r="AC35" s="26">
        <f t="shared" si="4"/>
        <v>24</v>
      </c>
      <c r="AD35" s="26" t="str">
        <f>IF(tblData[[#This Row],[Date]]&lt;StartDt2Korea,"",tblData[[#This Row],[Date]]-StartDt2Korea)</f>
        <v/>
      </c>
      <c r="AE35" s="26">
        <f>IF(tblData[[#This Row],[Date]]&lt;UKStart,"",tblData[[#This Row],[Date]]-UKStart)</f>
        <v>16</v>
      </c>
      <c r="AF35" s="26">
        <f>IF(tblData[[#This Row],[Date]]&lt;SingaporeStart,"",tblData[[#This Row],[Date]]-SingaporeStart)</f>
        <v>23</v>
      </c>
      <c r="AG35">
        <f>IF(tblData[Date]&gt;=StartDt2Au,tblData[Date]-StartDt2Au,"")</f>
        <v>21</v>
      </c>
      <c r="AH35" s="26">
        <f>IF(tblData[New South Wales]&gt;0,SUM(tblData[[#This Row],[Australian Capital Territory]:[Western Australia]]),"")</f>
        <v>15</v>
      </c>
      <c r="AI35" s="12">
        <f>IF(ISNUMBER(tblData[Au]),tblData[Au]/$AE$9,"")</f>
        <v>5.9138937076170954</v>
      </c>
      <c r="AJ35" s="19">
        <f>IF(ISNUMBER(tblData[[#This Row],[Day'# Aust]]),betaAu/(deltaAu+betaPodeltaAu*EXP(-betaAu*tblData[[#This Row],[Day'# Aust]])),"")</f>
        <v>0.59624575626036103</v>
      </c>
      <c r="AK35" s="70">
        <f>IF(ISNUMBER(tblData[Day'# Aust]),tblData[Au LogiP(t)]/$AI$9,"")</f>
        <v>0.23507560174276967</v>
      </c>
      <c r="AL35" s="11">
        <f>IF(AND(tblData[Date]&gt;=StartDt2Au,ISNUMBER(tblData[NSW])),(tblData[[#This Row],[Au LogiP(t)]]-tblData[[#This Row],[Au]])^2,"")</f>
        <v>207.46813631404765</v>
      </c>
      <c r="AM35">
        <f>IF(tblData[Date]&gt;StartDt2NSW,tblData[Date]-StartDt2NSW,"")</f>
        <v>21</v>
      </c>
      <c r="AN35">
        <f t="shared" si="5"/>
        <v>4</v>
      </c>
      <c r="AO35" s="11">
        <f>IF(tblData[Date]&gt;StartDt2NSW,betaNSW/(deltaNSW+betaPodeltaNSW*EXP(-betaNSW*tblData[[#This Row],[Day '# NSW]])),"")</f>
        <v>0.44181680272197937</v>
      </c>
      <c r="AP35" s="12">
        <f>IF(AND(ISNUMBER(tblData[NSW]),tblData[Date]&gt;StartDt2NSW),(tblData[[#This Row],[NSW LogiP(t)]]-tblData[[#This Row],[NSW]])^2,"")</f>
        <v>12.660667665391637</v>
      </c>
      <c r="AQ35" s="12">
        <f>IF(AND(tblData[Date]&gt;StartDt2NSW,ISNUMBER(tblData[Day'# Aust])),tblData[NSW LogiP(t)]/$AL$9,"")</f>
        <v>0.54680297366581598</v>
      </c>
      <c r="AR35" s="11">
        <f>IF(AND(tblData[Date]&gt;StartDt2Italy,ISNUMBER(tblData[Days'# Italy])),betaItaly/(deltaItaly+betaPodeltaItaly*EXP(-betaItaly*tblData[Days'# Italy])),"")</f>
        <v>27.75877608773493</v>
      </c>
      <c r="AS35" s="11">
        <f>IF(AND(tblData[Date]&gt;StartDt2Italy,ISNUMBER(tblData[Italy])),(tblData[[#This Row],[Italy LogiP(t)]]-tblData[[#This Row],[Italy]])^2,"")</f>
        <v>612.99699336259494</v>
      </c>
      <c r="AT35" s="43">
        <f>IF(AND(tblData[Date]&gt;StartDt2Italy,ISNUMBER(tblData[Days'# Italy])),tblData[[#This Row],[Italy LogiP(t)]]/$AS$9,"")</f>
        <v>4.5920225124458112</v>
      </c>
      <c r="AU35" s="21">
        <f>IF(ISNUMBER(tblData[[#This Row],[Days'# US]]),betaUS/(deltaUS+betaPodeltaUS*EXP(-betaUS*tblData[Days'# US])),"")</f>
        <v>0.1926069367222607</v>
      </c>
      <c r="AV35" s="11">
        <f>IF(ISNUMBER(tblData[US]),(tblData[[#This Row],[US LogiP(t)]]-tblData[US])^2,"")</f>
        <v>164.02931707729476</v>
      </c>
      <c r="AW35" s="21">
        <f>IF(ISNUMBER(tblData[[#This Row],[Days'# US]]),tblData[[#This Row],[US LogiP(t)]]/$AV$9,"")</f>
        <v>5.8502644161182189E-3</v>
      </c>
      <c r="AX35" s="21" t="str">
        <f>IF(tblData[Date]&gt;=StartDt2Korea,betaSKorea/(deltaSKorea+betaPodeltaSKorea*EXP(-betaSKorea*(tblData[Date]-StartDt2Korea))),"")</f>
        <v/>
      </c>
      <c r="AY35" s="21" t="str">
        <f>IF(AND(tblData[Date]&gt;=StartDt2Korea,ISNUMBER(tblData[SKorea])),(tblData[[#This Row],[SKorea LogiP(t)]]-tblData[[#This Row],[SKorea]])^2,"")</f>
        <v/>
      </c>
      <c r="AZ35" s="21" t="str">
        <f>IF(tblData[Date]&gt;=StartDt2Korea,tblData[[#This Row],[SKorea LogiP(t)]]/$AY$9,"")</f>
        <v/>
      </c>
      <c r="BA35" s="11">
        <f>IF(ISNUMBER(tblData[Days'# UK]),betaUK/(deltaUK+betaPodeltaUK*EXP(-betaUK*tblData[Days'# UK])),"")</f>
        <v>1.2937782573944119</v>
      </c>
      <c r="BB35" s="21">
        <f>IF(ISNUMBER(tblData[UK]),(tblData[[#This Row],[UK LogiP(t)]]-tblData[[#This Row],[UK]])^2,"")</f>
        <v>59.385853546207102</v>
      </c>
      <c r="BC35" s="21">
        <f>IF(ISNUMBER(tblData[Days'# UK]),tblData[[#This Row],[UK LogiP(t)]]/$BB$9,"")</f>
        <v>0.19472881658555266</v>
      </c>
      <c r="BD35" s="11">
        <f>IF(ISNUMBER(tblData[Days'# China]),betaChina/(deltaChina+betaPodeltaChina*EXP(-betaChina*tblData[Days'# China])),"")</f>
        <v>64788.029069235025</v>
      </c>
      <c r="BE35" s="11">
        <f>IF(ISNUMBER(tblData[China]),(tblData[[#This Row],[China LogiP(t)]]-tblData[[#This Row],[China]])^2,"")</f>
        <v>13140414.248891093</v>
      </c>
      <c r="BF35" s="11">
        <f>tblData[[#This Row],[China LogiP(t)]]/$BE$9</f>
        <v>450.128248761973</v>
      </c>
      <c r="BG35" s="11">
        <f>IF(ISNUMBER(tblData[Day'# Singapore]),betaSingapore/(deltaSingapore+betaPodeltaSingapore*EXP(-betaSingapore*tblData[Day'# Singapore])),"")</f>
        <v>70.406259524708844</v>
      </c>
      <c r="BH35" s="11">
        <f>IF(AND(ISNUMBER(tblData[Singapore]),tblData[Date]&gt;=StartDt2Singapore),(tblData[[#This Row],[Singapore LogiP(t)]]-tblData[[#This Row],[Singapore]])^2,"")</f>
        <v>2.5400087025812801</v>
      </c>
      <c r="BI35" s="11">
        <f>IF(ISNUMBER(tblData[Day'# Singapore]),tblData[Singapore LogiP(t)]/$BH$9,"")</f>
        <v>120.35258038411769</v>
      </c>
      <c r="BJ35" s="11"/>
      <c r="BK35" s="11"/>
      <c r="BL35" s="11" t="str">
        <f>IF(ISNUMBER(tblData[[#This Row],[NSW Number of Tests]]),tblData[[#This Row],[NSW Number of Tests]]-BJ34,"")</f>
        <v/>
      </c>
      <c r="BM35" s="11" t="str">
        <f>IF(ISNUMBER(tblData[[#This Row],[NSW Under Investigation'']]),tblData[[#This Row],[NSW Under Investigation'']]-BK34,"")</f>
        <v/>
      </c>
      <c r="BN35" s="11"/>
      <c r="BO35" s="11" t="str">
        <f>IF(ISNUMBER(tblData[[#This Row],[NSW Test Day Number]]),betaTest/(deltaTest+betaPodeltaTest*EXP(-betaTest*tblData[[#This Row],[NSW Test Day Number]])),"")</f>
        <v/>
      </c>
      <c r="BP35" s="11" t="str">
        <f>IF(ISNUMBER(tblData[[#This Row],[NSW Number of Tests]]),(tblData[[#This Row],[NSW Number of Tests]]-tblData[[#This Row],[NSW Test Logi]])^2,"")</f>
        <v/>
      </c>
      <c r="BR35" s="27"/>
      <c r="BV35" s="26"/>
      <c r="CE35"/>
      <c r="CF35"/>
      <c r="CH35" s="26"/>
      <c r="CI35" s="26"/>
      <c r="DM35"/>
      <c r="DN35" t="s">
        <v>58</v>
      </c>
      <c r="DO35" s="80"/>
      <c r="DP35" s="27">
        <v>43860</v>
      </c>
      <c r="DQ35" s="27"/>
      <c r="DR35">
        <v>2</v>
      </c>
      <c r="DS35" s="23">
        <v>0.2615655981515827</v>
      </c>
      <c r="DT35" s="25">
        <v>5.8419822423564144E-6</v>
      </c>
      <c r="DU35" s="22">
        <v>0.44095476463112465</v>
      </c>
      <c r="DV35" s="108">
        <v>44773.432595385282</v>
      </c>
      <c r="DW35" s="22">
        <v>606.55052647767229</v>
      </c>
      <c r="DX35" s="37">
        <v>0.59317427337583117</v>
      </c>
      <c r="DY35" s="112">
        <v>5.8419822423564144E-3</v>
      </c>
      <c r="DZ35" s="24"/>
      <c r="EA35" s="27">
        <v>43907</v>
      </c>
      <c r="EB35" s="27" t="s">
        <v>993</v>
      </c>
      <c r="EC35" s="27"/>
      <c r="ED35" s="112">
        <v>35713</v>
      </c>
      <c r="EE35" s="26" t="s">
        <v>994</v>
      </c>
      <c r="EF35" s="27">
        <v>43907</v>
      </c>
      <c r="EG35" s="19">
        <v>49</v>
      </c>
      <c r="EH35" s="27" t="s">
        <v>995</v>
      </c>
      <c r="EJ35" t="s">
        <v>996</v>
      </c>
      <c r="EL35" s="18" t="s">
        <v>1013</v>
      </c>
      <c r="EM35" s="21">
        <v>5907.8577336641856</v>
      </c>
      <c r="EN35" s="94">
        <v>43893</v>
      </c>
      <c r="EO35" s="11">
        <v>16</v>
      </c>
      <c r="EP35" s="94">
        <v>43891</v>
      </c>
      <c r="EQ35" s="11">
        <v>18</v>
      </c>
    </row>
    <row r="36" spans="2:148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48">
        <f>IF(ISNUMBER(tblData[Italy]),tblData[Italy]/$N$9,"")</f>
        <v>0.49627791563275436</v>
      </c>
      <c r="O36">
        <v>13</v>
      </c>
      <c r="P36" s="48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>
        <v>75</v>
      </c>
      <c r="X36" s="21">
        <f>IF(ISNUMBER(tblData[Singapore]),tblData[Singapore]/$X$9,"")</f>
        <v>128.2051282051282</v>
      </c>
      <c r="Y36" s="21"/>
      <c r="Z36" s="21"/>
      <c r="AA36" s="26">
        <f>IF(tblData[[#This Row],[Date]]&lt;ItalyStart,"",tblData[[#This Row],[Date]]-ItalyStart)</f>
        <v>17</v>
      </c>
      <c r="AB36" s="26">
        <f t="shared" si="7"/>
        <v>7</v>
      </c>
      <c r="AC36" s="26">
        <f t="shared" si="4"/>
        <v>25</v>
      </c>
      <c r="AD36" s="26" t="str">
        <f>IF(tblData[[#This Row],[Date]]&lt;StartDt2Korea,"",tblData[[#This Row],[Date]]-StartDt2Korea)</f>
        <v/>
      </c>
      <c r="AE36" s="26">
        <f>IF(tblData[[#This Row],[Date]]&lt;UKStart,"",tblData[[#This Row],[Date]]-UKStart)</f>
        <v>17</v>
      </c>
      <c r="AF36" s="26">
        <f>IF(tblData[[#This Row],[Date]]&lt;SingaporeStart,"",tblData[[#This Row],[Date]]-SingaporeStart)</f>
        <v>24</v>
      </c>
      <c r="AG36">
        <f>IF(tblData[Date]&gt;=StartDt2Au,tblData[Date]-StartDt2Au,"")</f>
        <v>22</v>
      </c>
      <c r="AH36" s="26">
        <f>IF(tblData[New South Wales]&gt;0,SUM(tblData[[#This Row],[Australian Capital Territory]:[Western Australia]]),"")</f>
        <v>15</v>
      </c>
      <c r="AI36" s="12">
        <f>IF(ISNUMBER(tblData[Au]),tblData[Au]/$AE$9,"")</f>
        <v>5.9138937076170954</v>
      </c>
      <c r="AJ36" s="19">
        <f>IF(ISNUMBER(tblData[[#This Row],[Day'# Aust]]),betaAu/(deltaAu+betaPodeltaAu*EXP(-betaAu*tblData[[#This Row],[Day'# Aust]])),"")</f>
        <v>0.7391047363879053</v>
      </c>
      <c r="AK36" s="70">
        <f>IF(ISNUMBER(tblData[Day'# Aust]),tblData[Au LogiP(t)]/$AI$9,"")</f>
        <v>0.29139912331962836</v>
      </c>
      <c r="AL36" s="11">
        <f>IF(AND(tblData[Date]&gt;=StartDt2Au,ISNUMBER(tblData[NSW])),(tblData[[#This Row],[Au LogiP(t)]]-tblData[[#This Row],[Au]])^2,"")</f>
        <v>203.37313371971391</v>
      </c>
      <c r="AM36">
        <f>IF(tblData[Date]&gt;StartDt2NSW,tblData[Date]-StartDt2NSW,"")</f>
        <v>22</v>
      </c>
      <c r="AN36">
        <f t="shared" si="5"/>
        <v>4</v>
      </c>
      <c r="AO36" s="11">
        <f>IF(tblData[Date]&gt;StartDt2NSW,betaNSW/(deltaNSW+betaPodeltaNSW*EXP(-betaNSW*tblData[[#This Row],[Day '# NSW]])),"")</f>
        <v>0.53874063970202379</v>
      </c>
      <c r="AP36" s="12">
        <f>IF(AND(ISNUMBER(tblData[NSW]),tblData[Date]&gt;StartDt2NSW),(tblData[[#This Row],[NSW LogiP(t)]]-tblData[[#This Row],[NSW]])^2,"")</f>
        <v>11.980316359250358</v>
      </c>
      <c r="AQ36" s="12">
        <f>IF(AND(tblData[Date]&gt;StartDt2NSW,ISNUMBER(tblData[Day'# Aust])),tblData[NSW LogiP(t)]/$AL$9,"")</f>
        <v>0.66675821745299968</v>
      </c>
      <c r="AR36" s="11">
        <f>IF(AND(tblData[Date]&gt;StartDt2Italy,ISNUMBER(tblData[Days'# Italy])),betaItaly/(deltaItaly+betaPodeltaItaly*EXP(-betaItaly*tblData[Days'# Italy])),"")</f>
        <v>35.951556126814111</v>
      </c>
      <c r="AS36" s="11">
        <f>IF(AND(tblData[Date]&gt;StartDt2Italy,ISNUMBER(tblData[Italy])),(tblData[[#This Row],[Italy LogiP(t)]]-tblData[[#This Row],[Italy]])^2,"")</f>
        <v>1085.8050511785807</v>
      </c>
      <c r="AT36" s="43">
        <f>IF(AND(tblData[Date]&gt;StartDt2Italy,ISNUMBER(tblData[Days'# Italy])),tblData[[#This Row],[Italy LogiP(t)]]/$AS$9,"")</f>
        <v>5.9473211127897621</v>
      </c>
      <c r="AU36" s="21">
        <f>IF(ISNUMBER(tblData[[#This Row],[Days'# US]]),betaUS/(deltaUS+betaPodeltaUS*EXP(-betaUS*tblData[Days'# US])),"")</f>
        <v>0.2698549029887069</v>
      </c>
      <c r="AV36" s="11">
        <f>IF(ISNUMBER(tblData[US]),(tblData[[#This Row],[US LogiP(t)]]-tblData[US])^2,"")</f>
        <v>162.05659419096068</v>
      </c>
      <c r="AW36" s="21">
        <f>IF(ISNUMBER(tblData[[#This Row],[Days'# US]]),tblData[[#This Row],[US LogiP(t)]]/$AV$9,"")</f>
        <v>8.1966026942549043E-3</v>
      </c>
      <c r="AX36" s="21" t="str">
        <f>IF(tblData[Date]&gt;=StartDt2Korea,betaSKorea/(deltaSKorea+betaPodeltaSKorea*EXP(-betaSKorea*(tblData[Date]-StartDt2Korea))),"")</f>
        <v/>
      </c>
      <c r="AY36" s="21" t="str">
        <f>IF(AND(tblData[Date]&gt;=StartDt2Korea,ISNUMBER(tblData[SKorea])),(tblData[[#This Row],[SKorea LogiP(t)]]-tblData[[#This Row],[SKorea]])^2,"")</f>
        <v/>
      </c>
      <c r="AZ36" s="21" t="str">
        <f>IF(tblData[Date]&gt;=StartDt2Korea,tblData[[#This Row],[SKorea LogiP(t)]]/$AY$9,"")</f>
        <v/>
      </c>
      <c r="BA36" s="11">
        <f>IF(ISNUMBER(tblData[Days'# UK]),betaUK/(deltaUK+betaPodeltaUK*EXP(-betaUK*tblData[Days'# UK])),"")</f>
        <v>1.6380455180211939</v>
      </c>
      <c r="BB36" s="21">
        <f>IF(ISNUMBER(tblData[UK]),(tblData[[#This Row],[UK LogiP(t)]]-tblData[[#This Row],[UK]])^2,"")</f>
        <v>54.198373794727829</v>
      </c>
      <c r="BC36" s="21">
        <f>IF(ISNUMBER(tblData[Days'# UK]),tblData[[#This Row],[UK LogiP(t)]]/$BB$9,"")</f>
        <v>0.246545080978506</v>
      </c>
      <c r="BD36" s="11">
        <f>IF(ISNUMBER(tblData[Days'# China]),betaChina/(deltaChina+betaPodeltaChina*EXP(-betaChina*tblData[Days'# China])),"")</f>
        <v>67475.435786871123</v>
      </c>
      <c r="BE36" s="11">
        <f>IF(ISNUMBER(tblData[China]),(tblData[[#This Row],[China LogiP(t)]]-tblData[[#This Row],[China]])^2,"")</f>
        <v>9226796.3488812521</v>
      </c>
      <c r="BF36" s="11">
        <f>tblData[[#This Row],[China LogiP(t)]]/$BE$9</f>
        <v>468.79956346160662</v>
      </c>
      <c r="BG36" s="11">
        <f>IF(ISNUMBER(tblData[Day'# Singapore]),betaSingapore/(deltaSingapore+betaPodeltaSingapore*EXP(-betaSingapore*tblData[Day'# Singapore])),"")</f>
        <v>73.569297781728039</v>
      </c>
      <c r="BH36" s="11">
        <f>IF(AND(ISNUMBER(tblData[Singapore]),tblData[Date]&gt;=StartDt2Singapore),(tblData[[#This Row],[Singapore LogiP(t)]]-tblData[[#This Row],[Singapore]])^2,"")</f>
        <v>2.0469088373683091</v>
      </c>
      <c r="BI36" s="11">
        <f>IF(ISNUMBER(tblData[Day'# Singapore]),tblData[Singapore LogiP(t)]/$BH$9,"")</f>
        <v>125.7594833875693</v>
      </c>
      <c r="BJ36" s="11"/>
      <c r="BK36" s="11"/>
      <c r="BL36" s="11" t="str">
        <f>IF(ISNUMBER(tblData[[#This Row],[NSW Number of Tests]]),tblData[[#This Row],[NSW Number of Tests]]-BJ35,"")</f>
        <v/>
      </c>
      <c r="BM36" s="11" t="str">
        <f>IF(ISNUMBER(tblData[[#This Row],[NSW Under Investigation'']]),tblData[[#This Row],[NSW Under Investigation'']]-BK35,"")</f>
        <v/>
      </c>
      <c r="BN36" s="11"/>
      <c r="BO36" s="11" t="str">
        <f>IF(ISNUMBER(tblData[[#This Row],[NSW Test Day Number]]),betaTest/(deltaTest+betaPodeltaTest*EXP(-betaTest*tblData[[#This Row],[NSW Test Day Number]])),"")</f>
        <v/>
      </c>
      <c r="BP36" s="11" t="str">
        <f>IF(ISNUMBER(tblData[[#This Row],[NSW Number of Tests]]),(tblData[[#This Row],[NSW Number of Tests]]-tblData[[#This Row],[NSW Test Logi]])^2,"")</f>
        <v/>
      </c>
      <c r="BR36" s="27"/>
      <c r="BV36" s="26"/>
      <c r="CE36"/>
      <c r="CF36"/>
      <c r="CH36" s="26"/>
      <c r="CI36" s="26"/>
      <c r="DM36"/>
      <c r="DN36" t="s">
        <v>58</v>
      </c>
      <c r="DO36" s="80"/>
      <c r="DP36" s="27">
        <v>43860</v>
      </c>
      <c r="DQ36" s="27"/>
      <c r="DR36">
        <v>2</v>
      </c>
      <c r="DS36" s="26">
        <v>0.26124939657046986</v>
      </c>
      <c r="DT36" s="25">
        <v>5.5289448647719272E-6</v>
      </c>
      <c r="DU36" s="26">
        <v>0.44118045186898547</v>
      </c>
      <c r="DV36" s="108">
        <v>47251.221157049207</v>
      </c>
      <c r="DW36" s="19">
        <v>861.88192352690567</v>
      </c>
      <c r="DX36" s="12">
        <v>0.59215442615679836</v>
      </c>
      <c r="DY36" s="112">
        <v>5.5289448647719269E-3</v>
      </c>
      <c r="DZ36" s="26"/>
      <c r="EA36" s="27">
        <v>43909</v>
      </c>
      <c r="EB36" s="26" t="s">
        <v>1287</v>
      </c>
      <c r="EC36" s="26"/>
      <c r="ED36" s="112">
        <v>41035</v>
      </c>
      <c r="EE36" t="s">
        <v>1288</v>
      </c>
      <c r="EF36" s="27">
        <v>43909</v>
      </c>
      <c r="EG36" s="26">
        <v>50</v>
      </c>
      <c r="EH36" s="26" t="s">
        <v>1289</v>
      </c>
      <c r="EJ36" t="s">
        <v>1290</v>
      </c>
      <c r="EL36" s="26" t="s">
        <v>1291</v>
      </c>
      <c r="EM36" s="26">
        <v>6788.2547559966915</v>
      </c>
      <c r="EN36" s="94">
        <v>43894</v>
      </c>
      <c r="EO36" s="26">
        <v>16</v>
      </c>
      <c r="EP36" s="94">
        <v>43893</v>
      </c>
      <c r="EQ36" s="26">
        <v>17</v>
      </c>
    </row>
    <row r="37" spans="2:148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48">
        <f>IF(ISNUMBER(tblData[Italy]),tblData[Italy]/$N$9,"")</f>
        <v>0.49627791563275436</v>
      </c>
      <c r="O37">
        <v>13</v>
      </c>
      <c r="P37" s="48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>
        <v>77</v>
      </c>
      <c r="X37" s="21">
        <f>IF(ISNUMBER(tblData[Singapore]),tblData[Singapore]/$X$9,"")</f>
        <v>131.62393162393164</v>
      </c>
      <c r="Y37" s="21"/>
      <c r="Z37" s="21"/>
      <c r="AA37" s="26">
        <f>IF(tblData[[#This Row],[Date]]&lt;ItalyStart,"",tblData[[#This Row],[Date]]-ItalyStart)</f>
        <v>18</v>
      </c>
      <c r="AB37" s="26">
        <f t="shared" si="7"/>
        <v>8</v>
      </c>
      <c r="AC37" s="26">
        <f t="shared" si="4"/>
        <v>26</v>
      </c>
      <c r="AD37" s="26" t="str">
        <f>IF(tblData[[#This Row],[Date]]&lt;StartDt2Korea,"",tblData[[#This Row],[Date]]-StartDt2Korea)</f>
        <v/>
      </c>
      <c r="AE37" s="26">
        <f>IF(tblData[[#This Row],[Date]]&lt;UKStart,"",tblData[[#This Row],[Date]]-UKStart)</f>
        <v>18</v>
      </c>
      <c r="AF37" s="26">
        <f>IF(tblData[[#This Row],[Date]]&lt;SingaporeStart,"",tblData[[#This Row],[Date]]-SingaporeStart)</f>
        <v>25</v>
      </c>
      <c r="AG37">
        <f>IF(tblData[Date]&gt;=StartDt2Au,tblData[Date]-StartDt2Au,"")</f>
        <v>23</v>
      </c>
      <c r="AH37" s="26">
        <f>IF(tblData[New South Wales]&gt;0,SUM(tblData[[#This Row],[Australian Capital Territory]:[Western Australia]]),"")</f>
        <v>15</v>
      </c>
      <c r="AI37" s="12">
        <f>IF(ISNUMBER(tblData[Au]),tblData[Au]/$AE$9,"")</f>
        <v>5.9138937076170954</v>
      </c>
      <c r="AJ37" s="19">
        <f>IF(ISNUMBER(tblData[[#This Row],[Day'# Aust]]),betaAu/(deltaAu+betaPodeltaAu*EXP(-betaAu*tblData[[#This Row],[Day'# Aust]])),"")</f>
        <v>0.9161923680214954</v>
      </c>
      <c r="AK37" s="70">
        <f>IF(ISNUMBER(tblData[Day'# Aust]),tblData[Au LogiP(t)]/$AI$9,"")</f>
        <v>0.36121761868060848</v>
      </c>
      <c r="AL37" s="11">
        <f>IF(AND(tblData[Date]&gt;=StartDt2Au,ISNUMBER(tblData[NSW])),(tblData[[#This Row],[Au LogiP(t)]]-tblData[[#This Row],[Au]])^2,"")</f>
        <v>198.35363741457599</v>
      </c>
      <c r="AM37">
        <f>IF(tblData[Date]&gt;StartDt2NSW,tblData[Date]-StartDt2NSW,"")</f>
        <v>23</v>
      </c>
      <c r="AN37">
        <f t="shared" si="5"/>
        <v>4</v>
      </c>
      <c r="AO37" s="11">
        <f>IF(tblData[Date]&gt;StartDt2NSW,betaNSW/(deltaNSW+betaPodeltaNSW*EXP(-betaNSW*tblData[[#This Row],[Day '# NSW]])),"")</f>
        <v>0.65692720394148074</v>
      </c>
      <c r="AP37" s="12">
        <f>IF(AND(ISNUMBER(tblData[NSW]),tblData[Date]&gt;StartDt2NSW),(tblData[[#This Row],[NSW LogiP(t)]]-tblData[[#This Row],[NSW]])^2,"")</f>
        <v>11.176135719746526</v>
      </c>
      <c r="AQ37" s="12">
        <f>IF(AND(tblData[Date]&gt;StartDt2NSW,ISNUMBER(tblData[Day'# Aust])),tblData[NSW LogiP(t)]/$AL$9,"")</f>
        <v>0.81302871774935725</v>
      </c>
      <c r="AR37" s="11">
        <f>IF(AND(tblData[Date]&gt;StartDt2Italy,ISNUMBER(tblData[Days'# Italy])),betaItaly/(deltaItaly+betaPodeltaItaly*EXP(-betaItaly*tblData[Days'# Italy])),"")</f>
        <v>46.560647870353854</v>
      </c>
      <c r="AS37" s="11">
        <f>IF(AND(tblData[Date]&gt;StartDt2Italy,ISNUMBER(tblData[Italy])),(tblData[[#This Row],[Italy LogiP(t)]]-tblData[[#This Row],[Italy]])^2,"")</f>
        <v>1897.5300428849637</v>
      </c>
      <c r="AT37" s="43">
        <f>IF(AND(tblData[Date]&gt;StartDt2Italy,ISNUMBER(tblData[Days'# Italy])),tblData[[#This Row],[Italy LogiP(t)]]/$AS$9,"")</f>
        <v>7.7023404252032845</v>
      </c>
      <c r="AU37" s="21">
        <f>IF(ISNUMBER(tblData[[#This Row],[Days'# US]]),betaUS/(deltaUS+betaPodeltaUS*EXP(-betaUS*tblData[Days'# US])),"")</f>
        <v>0.37808427864131189</v>
      </c>
      <c r="AV37" s="11">
        <f>IF(ISNUMBER(tblData[US]),(tblData[[#This Row],[US LogiP(t)]]-tblData[US])^2,"")</f>
        <v>159.31275647708159</v>
      </c>
      <c r="AW37" s="21">
        <f>IF(ISNUMBER(tblData[[#This Row],[Days'# US]]),tblData[[#This Row],[US LogiP(t)]]/$AV$9,"")</f>
        <v>1.1483973730492082E-2</v>
      </c>
      <c r="AX37" s="21" t="str">
        <f>IF(tblData[Date]&gt;=StartDt2Korea,betaSKorea/(deltaSKorea+betaPodeltaSKorea*EXP(-betaSKorea*(tblData[Date]-StartDt2Korea))),"")</f>
        <v/>
      </c>
      <c r="AY37" s="21" t="str">
        <f>IF(AND(tblData[Date]&gt;=StartDt2Korea,ISNUMBER(tblData[SKorea])),(tblData[[#This Row],[SKorea LogiP(t)]]-tblData[[#This Row],[SKorea]])^2,"")</f>
        <v/>
      </c>
      <c r="AZ37" s="21" t="str">
        <f>IF(tblData[Date]&gt;=StartDt2Korea,tblData[[#This Row],[SKorea LogiP(t)]]/$AY$9,"")</f>
        <v/>
      </c>
      <c r="BA37" s="11">
        <f>IF(ISNUMBER(tblData[Days'# UK]),betaUK/(deltaUK+betaPodeltaUK*EXP(-betaUK*tblData[Days'# UK])),"")</f>
        <v>2.0739186832049694</v>
      </c>
      <c r="BB37" s="21">
        <f>IF(ISNUMBER(tblData[UK]),(tblData[[#This Row],[UK LogiP(t)]]-tblData[[#This Row],[UK]])^2,"")</f>
        <v>47.970602406857189</v>
      </c>
      <c r="BC37" s="21">
        <f>IF(ISNUMBER(tblData[Days'# UK]),tblData[[#This Row],[UK LogiP(t)]]/$BB$9,"")</f>
        <v>0.31214910945288521</v>
      </c>
      <c r="BD37" s="11">
        <f>IF(ISNUMBER(tblData[Days'# China]),betaChina/(deltaChina+betaPodeltaChina*EXP(-betaChina*tblData[Days'# China])),"")</f>
        <v>69793.790790851737</v>
      </c>
      <c r="BE37" s="11">
        <f>IF(ISNUMBER(tblData[China]),(tblData[[#This Row],[China LogiP(t)]]-tblData[[#This Row],[China]])^2,"")</f>
        <v>6970704.6680712951</v>
      </c>
      <c r="BF37" s="11">
        <f>tblData[[#This Row],[China LogiP(t)]]/$BE$9</f>
        <v>484.90681495455084</v>
      </c>
      <c r="BG37" s="11">
        <f>IF(ISNUMBER(tblData[Day'# Singapore]),betaSingapore/(deltaSingapore+betaPodeltaSingapore*EXP(-betaSingapore*tblData[Day'# Singapore])),"")</f>
        <v>76.874437196590378</v>
      </c>
      <c r="BH37" s="11">
        <f>IF(AND(ISNUMBER(tblData[Singapore]),tblData[Date]&gt;=StartDt2Singapore),(tblData[[#This Row],[Singapore LogiP(t)]]-tblData[[#This Row],[Singapore]])^2,"")</f>
        <v>1.5766017600083355E-2</v>
      </c>
      <c r="BI37" s="11">
        <f>IF(ISNUMBER(tblData[Day'# Singapore]),tblData[Singapore LogiP(t)]/$BH$9,"")</f>
        <v>131.40929435314595</v>
      </c>
      <c r="BJ37" s="11"/>
      <c r="BK37" s="11"/>
      <c r="BL37" s="11" t="str">
        <f>IF(ISNUMBER(tblData[[#This Row],[NSW Number of Tests]]),tblData[[#This Row],[NSW Number of Tests]]-BJ36,"")</f>
        <v/>
      </c>
      <c r="BM37" s="11" t="str">
        <f>IF(ISNUMBER(tblData[[#This Row],[NSW Under Investigation'']]),tblData[[#This Row],[NSW Under Investigation'']]-BK36,"")</f>
        <v/>
      </c>
      <c r="BN37" s="11"/>
      <c r="BO37" s="11" t="str">
        <f>IF(ISNUMBER(tblData[[#This Row],[NSW Test Day Number]]),betaTest/(deltaTest+betaPodeltaTest*EXP(-betaTest*tblData[[#This Row],[NSW Test Day Number]])),"")</f>
        <v/>
      </c>
      <c r="BP37" s="11" t="str">
        <f>IF(ISNUMBER(tblData[[#This Row],[NSW Number of Tests]]),(tblData[[#This Row],[NSW Number of Tests]]-tblData[[#This Row],[NSW Test Logi]])^2,"")</f>
        <v/>
      </c>
      <c r="BR37" s="27"/>
      <c r="BV37" s="26"/>
      <c r="CE37"/>
      <c r="CF37"/>
      <c r="CH37" s="26"/>
      <c r="CI37" s="26"/>
      <c r="DM37"/>
      <c r="DN37" t="s">
        <v>58</v>
      </c>
      <c r="DO37" s="80">
        <v>43911.866296296299</v>
      </c>
      <c r="DP37" s="27">
        <v>43860</v>
      </c>
      <c r="DQ37" s="27">
        <v>43860</v>
      </c>
      <c r="DR37">
        <v>2</v>
      </c>
      <c r="DS37" s="26">
        <v>0.26021145951808367</v>
      </c>
      <c r="DT37" s="25">
        <v>4.6967448339452021E-6</v>
      </c>
      <c r="DU37" s="26">
        <v>0.44199535332226664</v>
      </c>
      <c r="DV37" s="108">
        <v>55402.511466544704</v>
      </c>
      <c r="DW37" s="19">
        <v>1127.8816766057491</v>
      </c>
      <c r="DX37" s="12">
        <v>0.58871520169346225</v>
      </c>
      <c r="DY37" s="112">
        <v>4.696744833945202E-3</v>
      </c>
      <c r="DZ37" s="26"/>
      <c r="EA37" s="27">
        <v>43910</v>
      </c>
      <c r="EB37" s="26" t="s">
        <v>1315</v>
      </c>
      <c r="EC37" s="26"/>
      <c r="ED37" s="112">
        <v>47021</v>
      </c>
      <c r="EE37" s="26" t="s">
        <v>1316</v>
      </c>
      <c r="EF37" s="27">
        <v>43910</v>
      </c>
      <c r="EG37">
        <v>51</v>
      </c>
      <c r="EH37" s="26" t="s">
        <v>1317</v>
      </c>
      <c r="EJ37" t="s">
        <v>1318</v>
      </c>
      <c r="EK37" s="26"/>
      <c r="EL37" t="s">
        <v>1380</v>
      </c>
      <c r="EM37">
        <v>7778.4946236559144</v>
      </c>
      <c r="EN37" s="94">
        <v>43895</v>
      </c>
      <c r="EO37" s="26">
        <v>16</v>
      </c>
      <c r="EP37" s="94">
        <v>43894</v>
      </c>
      <c r="EQ37">
        <v>17</v>
      </c>
    </row>
    <row r="38" spans="2:148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48">
        <f>IF(ISNUMBER(tblData[Italy]),tblData[Italy]/$N$9,"")</f>
        <v>0.49627791563275436</v>
      </c>
      <c r="O38">
        <v>13</v>
      </c>
      <c r="P38" s="48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>
        <v>81</v>
      </c>
      <c r="X38" s="21">
        <f>IF(ISNUMBER(tblData[Singapore]),tblData[Singapore]/$X$9,"")</f>
        <v>138.46153846153848</v>
      </c>
      <c r="Y38" s="21"/>
      <c r="Z38" s="21"/>
      <c r="AA38" s="26">
        <f>IF(tblData[[#This Row],[Date]]&lt;ItalyStart,"",tblData[[#This Row],[Date]]-ItalyStart)</f>
        <v>19</v>
      </c>
      <c r="AB38" s="26">
        <f t="shared" si="7"/>
        <v>9</v>
      </c>
      <c r="AC38" s="26">
        <f t="shared" si="4"/>
        <v>27</v>
      </c>
      <c r="AD38" s="26" t="str">
        <f>IF(tblData[[#This Row],[Date]]&lt;StartDt2Korea,"",tblData[[#This Row],[Date]]-StartDt2Korea)</f>
        <v/>
      </c>
      <c r="AE38" s="26">
        <f>IF(tblData[[#This Row],[Date]]&lt;UKStart,"",tblData[[#This Row],[Date]]-UKStart)</f>
        <v>19</v>
      </c>
      <c r="AF38" s="26">
        <f>IF(tblData[[#This Row],[Date]]&lt;SingaporeStart,"",tblData[[#This Row],[Date]]-SingaporeStart)</f>
        <v>26</v>
      </c>
      <c r="AG38">
        <f>IF(tblData[Date]&gt;=StartDt2Au,tblData[Date]-StartDt2Au,"")</f>
        <v>24</v>
      </c>
      <c r="AH38" s="26">
        <f>IF(tblData[New South Wales]&gt;0,SUM(tblData[[#This Row],[Australian Capital Territory]:[Western Australia]]),"")</f>
        <v>15</v>
      </c>
      <c r="AI38" s="12">
        <f>IF(ISNUMBER(tblData[Au]),tblData[Au]/$AE$9,"")</f>
        <v>5.9138937076170954</v>
      </c>
      <c r="AJ38" s="19">
        <f>IF(ISNUMBER(tblData[[#This Row],[Day'# Aust]]),betaAu/(deltaAu+betaPodeltaAu*EXP(-betaAu*tblData[[#This Row],[Day'# Aust]])),"")</f>
        <v>1.1357097497750599</v>
      </c>
      <c r="AK38" s="70">
        <f>IF(ISNUMBER(tblData[Day'# Aust]),tblData[Au LogiP(t)]/$AI$9,"")</f>
        <v>0.44776444952494082</v>
      </c>
      <c r="AL38" s="11">
        <f>IF(AND(tblData[Date]&gt;=StartDt2Au,ISNUMBER(tblData[NSW])),(tblData[[#This Row],[Au LogiP(t)]]-tblData[[#This Row],[Au]])^2,"")</f>
        <v>192.21854414248233</v>
      </c>
      <c r="AM38">
        <f>IF(tblData[Date]&gt;StartDt2NSW,tblData[Date]-StartDt2NSW,"")</f>
        <v>24</v>
      </c>
      <c r="AN38">
        <f t="shared" si="5"/>
        <v>4</v>
      </c>
      <c r="AO38" s="11">
        <f>IF(tblData[Date]&gt;StartDt2NSW,betaNSW/(deltaNSW+betaPodeltaNSW*EXP(-betaNSW*tblData[[#This Row],[Day '# NSW]])),"")</f>
        <v>0.80104101950988327</v>
      </c>
      <c r="AP38" s="12">
        <f>IF(AND(ISNUMBER(tblData[NSW]),tblData[Date]&gt;StartDt2NSW),(tblData[[#This Row],[NSW LogiP(t)]]-tblData[[#This Row],[NSW]])^2,"")</f>
        <v>10.233338558858367</v>
      </c>
      <c r="AQ38" s="12">
        <f>IF(AND(tblData[Date]&gt;StartDt2NSW,ISNUMBER(tblData[Day'# Aust])),tblData[NSW LogiP(t)]/$AL$9,"")</f>
        <v>0.9913874003835188</v>
      </c>
      <c r="AR38" s="11">
        <f>IF(AND(tblData[Date]&gt;StartDt2Italy,ISNUMBER(tblData[Days'# Italy])),betaItaly/(deltaItaly+betaPodeltaItaly*EXP(-betaItaly*tblData[Days'# Italy])),"")</f>
        <v>60.297532928129108</v>
      </c>
      <c r="AS38" s="11">
        <f>IF(AND(tblData[Date]&gt;StartDt2Italy,ISNUMBER(tblData[Italy])),(tblData[[#This Row],[Italy LogiP(t)]]-tblData[[#This Row],[Italy]])^2,"")</f>
        <v>3283.0072796500394</v>
      </c>
      <c r="AT38" s="43">
        <f>IF(AND(tblData[Date]&gt;StartDt2Italy,ISNUMBER(tblData[Days'# Italy])),tblData[[#This Row],[Italy LogiP(t)]]/$AS$9,"")</f>
        <v>9.974777986456429</v>
      </c>
      <c r="AU38" s="21">
        <f>IF(ISNUMBER(tblData[[#This Row],[Days'# US]]),betaUS/(deltaUS+betaPodeltaUS*EXP(-betaUS*tblData[Days'# US])),"")</f>
        <v>0.52972053443287992</v>
      </c>
      <c r="AV38" s="11">
        <f>IF(ISNUMBER(tblData[US]),(tblData[[#This Row],[US LogiP(t)]]-tblData[US])^2,"")</f>
        <v>155.50786994934498</v>
      </c>
      <c r="AW38" s="21">
        <f>IF(ISNUMBER(tblData[[#This Row],[Days'# US]]),tblData[[#This Row],[US LogiP(t)]]/$AV$9,"")</f>
        <v>1.6089790148880099E-2</v>
      </c>
      <c r="AX38" s="21" t="str">
        <f>IF(tblData[Date]&gt;=StartDt2Korea,betaSKorea/(deltaSKorea+betaPodeltaSKorea*EXP(-betaSKorea*(tblData[Date]-StartDt2Korea))),"")</f>
        <v/>
      </c>
      <c r="AY38" s="21" t="str">
        <f>IF(AND(tblData[Date]&gt;=StartDt2Korea,ISNUMBER(tblData[SKorea])),(tblData[[#This Row],[SKorea LogiP(t)]]-tblData[[#This Row],[SKorea]])^2,"")</f>
        <v/>
      </c>
      <c r="AZ38" s="21" t="str">
        <f>IF(tblData[Date]&gt;=StartDt2Korea,tblData[[#This Row],[SKorea LogiP(t)]]/$AY$9,"")</f>
        <v/>
      </c>
      <c r="BA38" s="11">
        <f>IF(ISNUMBER(tblData[Days'# UK]),betaUK/(deltaUK+betaPodeltaUK*EXP(-betaUK*tblData[Days'# UK])),"")</f>
        <v>2.6257720883489206</v>
      </c>
      <c r="BB38" s="21">
        <f>IF(ISNUMBER(tblData[UK]),(tblData[[#This Row],[UK LogiP(t)]]-tblData[[#This Row],[UK]])^2,"")</f>
        <v>40.630781469671682</v>
      </c>
      <c r="BC38" s="21">
        <f>IF(ISNUMBER(tblData[Days'# UK]),tblData[[#This Row],[UK LogiP(t)]]/$BB$9,"")</f>
        <v>0.39520952563951245</v>
      </c>
      <c r="BD38" s="11">
        <f>IF(ISNUMBER(tblData[Days'# China]),betaChina/(deltaChina+betaPodeltaChina*EXP(-betaChina*tblData[Days'# China])),"")</f>
        <v>71768.450816661556</v>
      </c>
      <c r="BE38" s="11">
        <f>IF(ISNUMBER(tblData[China]),(tblData[[#This Row],[China LogiP(t)]]-tblData[[#This Row],[China]])^2,"")</f>
        <v>5966046.5130272992</v>
      </c>
      <c r="BF38" s="11">
        <f>tblData[[#This Row],[China LogiP(t)]]/$BE$9</f>
        <v>498.62617441165344</v>
      </c>
      <c r="BG38" s="11">
        <f>IF(ISNUMBER(tblData[Day'# Singapore]),betaSingapore/(deltaSingapore+betaPodeltaSingapore*EXP(-betaSingapore*tblData[Day'# Singapore])),"")</f>
        <v>80.328061738551781</v>
      </c>
      <c r="BH38" s="11">
        <f>IF(AND(ISNUMBER(tblData[Singapore]),tblData[Date]&gt;=StartDt2Singapore),(tblData[[#This Row],[Singapore LogiP(t)]]-tblData[[#This Row],[Singapore]])^2,"")</f>
        <v>0.45150102719805452</v>
      </c>
      <c r="BI38" s="11">
        <f>IF(ISNUMBER(tblData[Day'# Singapore]),tblData[Singapore LogiP(t)]/$BH$9,"")</f>
        <v>137.31292604880647</v>
      </c>
      <c r="BJ38" s="11"/>
      <c r="BK38" s="11"/>
      <c r="BL38" s="11" t="str">
        <f>IF(ISNUMBER(tblData[[#This Row],[NSW Number of Tests]]),tblData[[#This Row],[NSW Number of Tests]]-BJ37,"")</f>
        <v/>
      </c>
      <c r="BM38" s="11" t="str">
        <f>IF(ISNUMBER(tblData[[#This Row],[NSW Under Investigation'']]),tblData[[#This Row],[NSW Under Investigation'']]-BK37,"")</f>
        <v/>
      </c>
      <c r="BN38" s="11"/>
      <c r="BO38" s="11" t="str">
        <f>IF(ISNUMBER(tblData[[#This Row],[NSW Test Day Number]]),betaTest/(deltaTest+betaPodeltaTest*EXP(-betaTest*tblData[[#This Row],[NSW Test Day Number]])),"")</f>
        <v/>
      </c>
      <c r="BP38" s="11" t="str">
        <f>IF(ISNUMBER(tblData[[#This Row],[NSW Number of Tests]]),(tblData[[#This Row],[NSW Number of Tests]]-tblData[[#This Row],[NSW Test Logi]])^2,"")</f>
        <v/>
      </c>
      <c r="BR38"/>
      <c r="BV38" s="26"/>
      <c r="CE38"/>
      <c r="CF38"/>
      <c r="CH38" s="26"/>
      <c r="CI38" s="26"/>
      <c r="DM38"/>
      <c r="DN38" t="s">
        <v>58</v>
      </c>
      <c r="DO38" s="80">
        <v>43912.326678240737</v>
      </c>
      <c r="DP38" s="27">
        <v>43860</v>
      </c>
      <c r="DQ38" s="27">
        <v>43860</v>
      </c>
      <c r="DR38">
        <v>2</v>
      </c>
      <c r="DS38" s="26">
        <v>0.25947894792637805</v>
      </c>
      <c r="DT38" s="25">
        <v>4.2793930730069226E-6</v>
      </c>
      <c r="DU38" s="26">
        <v>0.44221157817092033</v>
      </c>
      <c r="DV38" s="108">
        <v>60634.520713483966</v>
      </c>
      <c r="DW38" s="26">
        <v>1498.6578455090564</v>
      </c>
      <c r="DX38" s="26">
        <v>0.58677128401401213</v>
      </c>
      <c r="DY38" s="112">
        <v>4.2793930730069228E-3</v>
      </c>
      <c r="DZ38" s="26"/>
      <c r="EA38" s="27">
        <v>43911</v>
      </c>
      <c r="EB38" s="26" t="s">
        <v>1396</v>
      </c>
      <c r="EC38" s="26"/>
      <c r="ED38" s="112">
        <v>53578</v>
      </c>
      <c r="EE38" s="26" t="s">
        <v>764</v>
      </c>
      <c r="EF38" s="27">
        <v>43911</v>
      </c>
      <c r="EG38">
        <v>52</v>
      </c>
      <c r="EH38" s="26" t="s">
        <v>1397</v>
      </c>
      <c r="EJ38" t="s">
        <v>1398</v>
      </c>
      <c r="EL38" t="s">
        <v>1399</v>
      </c>
      <c r="EM38">
        <v>8863.1927212572373</v>
      </c>
      <c r="EN38" s="94">
        <v>43895</v>
      </c>
      <c r="EO38" s="26">
        <v>16</v>
      </c>
      <c r="EP38" s="94">
        <v>43894</v>
      </c>
      <c r="EQ38">
        <v>18</v>
      </c>
    </row>
    <row r="39" spans="2:148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48">
        <f>IF(ISNUMBER(tblData[Italy]),tblData[Italy]/$N$9,"")</f>
        <v>0.49627791563275436</v>
      </c>
      <c r="O39">
        <v>13</v>
      </c>
      <c r="P39" s="48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>
        <v>84</v>
      </c>
      <c r="X39" s="21">
        <f>IF(ISNUMBER(tblData[Singapore]),tblData[Singapore]/$X$9,"")</f>
        <v>143.58974358974359</v>
      </c>
      <c r="Y39" s="21"/>
      <c r="Z39" s="21"/>
      <c r="AA39" s="26">
        <f>IF(tblData[[#This Row],[Date]]&lt;ItalyStart,"",tblData[[#This Row],[Date]]-ItalyStart)</f>
        <v>20</v>
      </c>
      <c r="AB39" s="26">
        <f t="shared" si="7"/>
        <v>10</v>
      </c>
      <c r="AC39" s="26">
        <f t="shared" si="4"/>
        <v>28</v>
      </c>
      <c r="AD39" s="26">
        <f>IF(tblData[[#This Row],[Date]]&lt;StartDt2Korea,"",tblData[[#This Row],[Date]]-StartDt2Korea)</f>
        <v>0</v>
      </c>
      <c r="AE39" s="26">
        <f>IF(tblData[[#This Row],[Date]]&lt;UKStart,"",tblData[[#This Row],[Date]]-UKStart)</f>
        <v>20</v>
      </c>
      <c r="AF39" s="26">
        <f>IF(tblData[[#This Row],[Date]]&lt;SingaporeStart,"",tblData[[#This Row],[Date]]-SingaporeStart)</f>
        <v>27</v>
      </c>
      <c r="AG39">
        <f>IF(tblData[Date]&gt;=StartDt2Au,tblData[Date]-StartDt2Au,"")</f>
        <v>25</v>
      </c>
      <c r="AH39" s="26">
        <f>IF(tblData[New South Wales]&gt;0,SUM(tblData[[#This Row],[Australian Capital Territory]:[Western Australia]]),"")</f>
        <v>15</v>
      </c>
      <c r="AI39" s="12">
        <f>IF(ISNUMBER(tblData[Au]),tblData[Au]/$AE$9,"")</f>
        <v>5.9138937076170954</v>
      </c>
      <c r="AJ39" s="19">
        <f>IF(ISNUMBER(tblData[[#This Row],[Day'# Aust]]),betaAu/(deltaAu+betaPodeltaAu*EXP(-betaAu*tblData[[#This Row],[Day'# Aust]])),"")</f>
        <v>1.4078229428162543</v>
      </c>
      <c r="AK39" s="70">
        <f>IF(ISNUMBER(tblData[Day'# Aust]),tblData[Au LogiP(t)]/$AI$9,"")</f>
        <v>0.55504768286400186</v>
      </c>
      <c r="AL39" s="11">
        <f>IF(AND(tblData[Date]&gt;=StartDt2Au,ISNUMBER(tblData[NSW])),(tblData[[#This Row],[Au LogiP(t)]]-tblData[[#This Row],[Au]])^2,"")</f>
        <v>184.74727715383219</v>
      </c>
      <c r="AM39">
        <f>IF(tblData[Date]&gt;StartDt2NSW,tblData[Date]-StartDt2NSW,"")</f>
        <v>25</v>
      </c>
      <c r="AN39">
        <f t="shared" si="5"/>
        <v>4</v>
      </c>
      <c r="AO39" s="11">
        <f>IF(tblData[Date]&gt;StartDt2NSW,betaNSW/(deltaNSW+betaPodeltaNSW*EXP(-betaNSW*tblData[[#This Row],[Day '# NSW]])),"")</f>
        <v>0.97676989335714914</v>
      </c>
      <c r="AP39" s="12">
        <f>IF(AND(ISNUMBER(tblData[NSW]),tblData[Date]&gt;StartDt2NSW),(tblData[[#This Row],[NSW LogiP(t)]]-tblData[[#This Row],[NSW]])^2,"")</f>
        <v>9.1399202777117434</v>
      </c>
      <c r="AQ39" s="12">
        <f>IF(AND(tblData[Date]&gt;StartDt2NSW,ISNUMBER(tblData[Day'# Aust])),tblData[NSW LogiP(t)]/$AL$9,"")</f>
        <v>1.2088736303925112</v>
      </c>
      <c r="AR39" s="11">
        <f>IF(AND(tblData[Date]&gt;StartDt2Italy,ISNUMBER(tblData[Days'# Italy])),betaItaly/(deltaItaly+betaPodeltaItaly*EXP(-betaItaly*tblData[Days'# Italy])),"")</f>
        <v>78.082399409064223</v>
      </c>
      <c r="AS39" s="11">
        <f>IF(AND(tblData[Date]&gt;StartDt2Italy,ISNUMBER(tblData[Italy])),(tblData[[#This Row],[Italy LogiP(t)]]-tblData[[#This Row],[Italy]])^2,"")</f>
        <v>5637.366701022248</v>
      </c>
      <c r="AT39" s="43">
        <f>IF(AND(tblData[Date]&gt;StartDt2Italy,ISNUMBER(tblData[Days'# Italy])),tblData[[#This Row],[Italy LogiP(t)]]/$AS$9,"")</f>
        <v>12.916856808778201</v>
      </c>
      <c r="AU39" s="21">
        <f>IF(ISNUMBER(tblData[[#This Row],[Days'# US]]),betaUS/(deltaUS+betaPodeltaUS*EXP(-betaUS*tblData[Days'# US])),"")</f>
        <v>0.74217246007650883</v>
      </c>
      <c r="AV39" s="11">
        <f>IF(ISNUMBER(tblData[US]),(tblData[[#This Row],[US LogiP(t)]]-tblData[US])^2,"")</f>
        <v>150.2543359985068</v>
      </c>
      <c r="AW39" s="21">
        <f>IF(ISNUMBER(tblData[[#This Row],[Days'# US]]),tblData[[#This Row],[US LogiP(t)]]/$AV$9,"")</f>
        <v>2.2542828455184603E-2</v>
      </c>
      <c r="AX39" s="21">
        <f>IF(tblData[Date]&gt;=StartDt2Korea,betaSKorea/(deltaSKorea+betaPodeltaSKorea*EXP(-betaSKorea*(tblData[Date]-StartDt2Korea))),"")</f>
        <v>200.10242498173187</v>
      </c>
      <c r="AY39" s="21">
        <f>IF(AND(tblData[Date]&gt;=StartDt2Korea,ISNUMBER(tblData[SKorea])),(tblData[[#This Row],[SKorea LogiP(t)]]-tblData[[#This Row],[SKorea]])^2,"")</f>
        <v>28595.630134702256</v>
      </c>
      <c r="AZ39" s="21">
        <f>IF(tblData[Date]&gt;=StartDt2Korea,tblData[[#This Row],[SKorea LogiP(t)]]/$AY$9,"")</f>
        <v>38.930432875823321</v>
      </c>
      <c r="BA39" s="11">
        <f>IF(ISNUMBER(tblData[Days'# UK]),betaUK/(deltaUK+betaPodeltaUK*EXP(-betaUK*tblData[Days'# UK])),"")</f>
        <v>3.3244649248126099</v>
      </c>
      <c r="BB39" s="21">
        <f>IF(ISNUMBER(tblData[UK]),(tblData[[#This Row],[UK LogiP(t)]]-tblData[[#This Row],[UK]])^2,"")</f>
        <v>32.21169838968234</v>
      </c>
      <c r="BC39" s="21">
        <f>IF(ISNUMBER(tblData[Days'# UK]),tblData[[#This Row],[UK LogiP(t)]]/$BB$9,"")</f>
        <v>0.50037100012230729</v>
      </c>
      <c r="BD39" s="11">
        <f>IF(ISNUMBER(tblData[Days'# China]),betaChina/(deltaChina+betaPodeltaChina*EXP(-betaChina*tblData[Days'# China])),"")</f>
        <v>73432.195113981274</v>
      </c>
      <c r="BE39" s="11">
        <f>IF(ISNUMBER(tblData[China]),(tblData[[#This Row],[China LogiP(t)]]-tblData[[#This Row],[China]])^2,"")</f>
        <v>1408505.8374779222</v>
      </c>
      <c r="BF39" s="11">
        <f>tblData[[#This Row],[China LogiP(t)]]/$BE$9</f>
        <v>510.18538245825016</v>
      </c>
      <c r="BG39" s="11">
        <f>IF(ISNUMBER(tblData[Day'# Singapore]),betaSingapore/(deltaSingapore+betaPodeltaSingapore*EXP(-betaSingapore*tblData[Day'# Singapore])),"")</f>
        <v>83.936842180042603</v>
      </c>
      <c r="BH39" s="11">
        <f>IF(AND(ISNUMBER(tblData[Singapore]),tblData[Date]&gt;=StartDt2Singapore),(tblData[[#This Row],[Singapore LogiP(t)]]-tblData[[#This Row],[Singapore]])^2,"")</f>
        <v>3.9889102217709185E-3</v>
      </c>
      <c r="BI39" s="11">
        <f>IF(ISNUMBER(tblData[Day'# Singapore]),tblData[Singapore LogiP(t)]/$BH$9,"")</f>
        <v>143.48178150434634</v>
      </c>
      <c r="BJ39" s="11"/>
      <c r="BK39" s="11"/>
      <c r="BL39" s="11" t="str">
        <f>IF(ISNUMBER(tblData[[#This Row],[NSW Number of Tests]]),tblData[[#This Row],[NSW Number of Tests]]-BJ38,"")</f>
        <v/>
      </c>
      <c r="BM39" s="11" t="str">
        <f>IF(ISNUMBER(tblData[[#This Row],[NSW Under Investigation'']]),tblData[[#This Row],[NSW Under Investigation'']]-BK38,"")</f>
        <v/>
      </c>
      <c r="BN39" s="11"/>
      <c r="BO39" s="11" t="str">
        <f>IF(ISNUMBER(tblData[[#This Row],[NSW Test Day Number]]),betaTest/(deltaTest+betaPodeltaTest*EXP(-betaTest*tblData[[#This Row],[NSW Test Day Number]])),"")</f>
        <v/>
      </c>
      <c r="BP39" s="11" t="str">
        <f>IF(ISNUMBER(tblData[[#This Row],[NSW Number of Tests]]),(tblData[[#This Row],[NSW Number of Tests]]-tblData[[#This Row],[NSW Test Logi]])^2,"")</f>
        <v/>
      </c>
      <c r="BR39"/>
      <c r="BV39" s="26"/>
      <c r="CE39"/>
      <c r="CF39"/>
      <c r="CH39" s="26"/>
      <c r="CI39" s="26"/>
      <c r="DM39"/>
      <c r="DN39" t="s">
        <v>58</v>
      </c>
      <c r="DO39" s="80">
        <v>43912.58871527778</v>
      </c>
      <c r="DP39" s="27">
        <v>43860</v>
      </c>
      <c r="DQ39" s="27">
        <v>43860</v>
      </c>
      <c r="DR39">
        <v>2</v>
      </c>
      <c r="DS39" s="26">
        <v>0.25947894792637805</v>
      </c>
      <c r="DT39" s="25">
        <v>4.2793930730069226E-6</v>
      </c>
      <c r="DU39" s="26">
        <v>0.44221157817092033</v>
      </c>
      <c r="DV39" s="108">
        <v>60634.520713483966</v>
      </c>
      <c r="DW39" s="26">
        <v>1498.6578455090564</v>
      </c>
      <c r="DX39" s="26">
        <v>0.58677128401401213</v>
      </c>
      <c r="DY39" s="112">
        <v>4.2793930730069228E-3</v>
      </c>
      <c r="DZ39" s="26"/>
      <c r="EA39" s="27">
        <v>43911</v>
      </c>
      <c r="EB39" s="26" t="s">
        <v>1396</v>
      </c>
      <c r="EC39" s="26"/>
      <c r="ED39" s="112">
        <v>53578</v>
      </c>
      <c r="EE39" s="26" t="s">
        <v>764</v>
      </c>
      <c r="EF39" s="27">
        <v>43911</v>
      </c>
      <c r="EG39">
        <v>52</v>
      </c>
      <c r="EH39" s="26" t="s">
        <v>1397</v>
      </c>
      <c r="EJ39" t="s">
        <v>1398</v>
      </c>
      <c r="EL39" t="s">
        <v>1399</v>
      </c>
      <c r="EM39">
        <v>8863.1927212572373</v>
      </c>
      <c r="EN39" s="94">
        <v>43896</v>
      </c>
      <c r="EO39" s="26">
        <v>16</v>
      </c>
      <c r="EP39" s="94">
        <v>43894</v>
      </c>
      <c r="EQ39">
        <v>18</v>
      </c>
    </row>
    <row r="40" spans="2:148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48">
        <f>IF(ISNUMBER(tblData[Italy]),tblData[Italy]/$N$9,"")</f>
        <v>0.49627791563275436</v>
      </c>
      <c r="O40">
        <v>13</v>
      </c>
      <c r="P40" s="48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>
        <v>84</v>
      </c>
      <c r="X40" s="21">
        <f>IF(ISNUMBER(tblData[Singapore]),tblData[Singapore]/$X$9,"")</f>
        <v>143.58974358974359</v>
      </c>
      <c r="Y40" s="21"/>
      <c r="Z40" s="21"/>
      <c r="AA40" s="26">
        <f>IF(tblData[[#This Row],[Date]]&lt;ItalyStart,"",tblData[[#This Row],[Date]]-ItalyStart)</f>
        <v>21</v>
      </c>
      <c r="AB40" s="26">
        <f t="shared" si="7"/>
        <v>11</v>
      </c>
      <c r="AC40" s="26">
        <f t="shared" si="4"/>
        <v>29</v>
      </c>
      <c r="AD40" s="26">
        <f>IF(tblData[[#This Row],[Date]]&lt;StartDt2Korea,"",tblData[[#This Row],[Date]]-StartDt2Korea)</f>
        <v>1</v>
      </c>
      <c r="AE40" s="26">
        <f>IF(tblData[[#This Row],[Date]]&lt;UKStart,"",tblData[[#This Row],[Date]]-UKStart)</f>
        <v>21</v>
      </c>
      <c r="AF40" s="26">
        <f>IF(tblData[[#This Row],[Date]]&lt;SingaporeStart,"",tblData[[#This Row],[Date]]-SingaporeStart)</f>
        <v>28</v>
      </c>
      <c r="AG40">
        <f>IF(tblData[Date]&gt;=StartDt2Au,tblData[Date]-StartDt2Au,"")</f>
        <v>26</v>
      </c>
      <c r="AH40" s="26">
        <f>IF(tblData[New South Wales]&gt;0,SUM(tblData[[#This Row],[Australian Capital Territory]:[Western Australia]]),"")</f>
        <v>15</v>
      </c>
      <c r="AI40" s="12">
        <f>IF(ISNUMBER(tblData[Au]),tblData[Au]/$AE$9,"")</f>
        <v>5.9138937076170954</v>
      </c>
      <c r="AJ40" s="19">
        <f>IF(ISNUMBER(tblData[[#This Row],[Day'# Aust]]),betaAu/(deltaAu+betaPodeltaAu*EXP(-betaAu*tblData[[#This Row],[Day'# Aust]])),"")</f>
        <v>1.7451337709408283</v>
      </c>
      <c r="AK40" s="70">
        <f>IF(ISNUMBER(tblData[Day'# Aust]),tblData[Au LogiP(t)]/$AI$9,"")</f>
        <v>0.68803570846113715</v>
      </c>
      <c r="AL40" s="11">
        <f>IF(AND(tblData[Date]&gt;=StartDt2Au,ISNUMBER(tblData[NSW])),(tblData[[#This Row],[Au LogiP(t)]]-tblData[[#This Row],[Au]])^2,"")</f>
        <v>175.69147875025331</v>
      </c>
      <c r="AM40">
        <f>IF(tblData[Date]&gt;StartDt2NSW,tblData[Date]-StartDt2NSW,"")</f>
        <v>26</v>
      </c>
      <c r="AN40">
        <f t="shared" si="5"/>
        <v>4</v>
      </c>
      <c r="AO40" s="11">
        <f>IF(tblData[Date]&gt;StartDt2NSW,betaNSW/(deltaNSW+betaPodeltaNSW*EXP(-betaNSW*tblData[[#This Row],[Day '# NSW]])),"")</f>
        <v>1.1910493986344226</v>
      </c>
      <c r="AP40" s="12">
        <f>IF(AND(ISNUMBER(tblData[NSW]),tblData[Date]&gt;StartDt2NSW),(tblData[[#This Row],[NSW LogiP(t)]]-tblData[[#This Row],[NSW]])^2,"")</f>
        <v>7.8902034809120378</v>
      </c>
      <c r="AQ40" s="12">
        <f>IF(AND(tblData[Date]&gt;StartDt2NSW,ISNUMBER(tblData[Day'# Aust])),tblData[NSW LogiP(t)]/$AL$9,"")</f>
        <v>1.4740710379138893</v>
      </c>
      <c r="AR40" s="11">
        <f>IF(AND(tblData[Date]&gt;StartDt2Italy,ISNUMBER(tblData[Days'# Italy])),betaItaly/(deltaItaly+betaPodeltaItaly*EXP(-betaItaly*tblData[Days'# Italy])),"")</f>
        <v>101.10483039589404</v>
      </c>
      <c r="AS40" s="11">
        <f>IF(AND(tblData[Date]&gt;StartDt2Italy,ISNUMBER(tblData[Italy])),(tblData[[#This Row],[Italy LogiP(t)]]-tblData[[#This Row],[Italy]])^2,"")</f>
        <v>9624.5577470071348</v>
      </c>
      <c r="AT40" s="43">
        <f>IF(AND(tblData[Date]&gt;StartDt2Italy,ISNUMBER(tblData[Days'# Italy])),tblData[[#This Row],[Italy LogiP(t)]]/$AS$9,"")</f>
        <v>16.725364829759148</v>
      </c>
      <c r="AU40" s="21">
        <f>IF(ISNUMBER(tblData[[#This Row],[Days'# US]]),betaUS/(deltaUS+betaPodeltaUS*EXP(-betaUS*tblData[Days'# US])),"")</f>
        <v>1.0398306933607524</v>
      </c>
      <c r="AV40" s="11">
        <f>IF(ISNUMBER(tblData[US]),(tblData[[#This Row],[US LogiP(t)]]-tblData[US])^2,"")</f>
        <v>143.04564984347556</v>
      </c>
      <c r="AW40" s="21">
        <f>IF(ISNUMBER(tblData[[#This Row],[Days'# US]]),tblData[[#This Row],[US LogiP(t)]]/$AV$9,"")</f>
        <v>3.1583932581452367E-2</v>
      </c>
      <c r="AX40" s="21">
        <f>IF(tblData[Date]&gt;=StartDt2Korea,betaSKorea/(deltaSKorea+betaPodeltaSKorea*EXP(-betaSKorea*(tblData[Date]-StartDt2Korea))),"")</f>
        <v>270.61005394361604</v>
      </c>
      <c r="AY40" s="21">
        <f>IF(AND(tblData[Date]&gt;=StartDt2Korea,ISNUMBER(tblData[SKorea])),(tblData[[#This Row],[SKorea LogiP(t)]]-tblData[[#This Row],[SKorea]])^2,"")</f>
        <v>27758.910075094645</v>
      </c>
      <c r="AZ40" s="21">
        <f>IF(tblData[Date]&gt;=StartDt2Korea,tblData[[#This Row],[SKorea LogiP(t)]]/$AY$9,"")</f>
        <v>52.647870417045922</v>
      </c>
      <c r="BA40" s="11">
        <f>IF(ISNUMBER(tblData[Days'# UK]),betaUK/(deltaUK+betaPodeltaUK*EXP(-betaUK*tblData[Days'# UK])),"")</f>
        <v>4.209066176822863</v>
      </c>
      <c r="BB40" s="21">
        <f>IF(ISNUMBER(tblData[UK]),(tblData[[#This Row],[UK LogiP(t)]]-tblData[[#This Row],[UK]])^2,"")</f>
        <v>22.953046898062698</v>
      </c>
      <c r="BC40" s="21">
        <f>IF(ISNUMBER(tblData[Days'# UK]),tblData[[#This Row],[UK LogiP(t)]]/$BB$9,"")</f>
        <v>0.63351387369398904</v>
      </c>
      <c r="BD40" s="11">
        <f>IF(ISNUMBER(tblData[Days'# China]),betaChina/(deltaChina+betaPodeltaChina*EXP(-betaChina*tblData[Days'# China])),"")</f>
        <v>74821.194869973944</v>
      </c>
      <c r="BE40" s="11">
        <f>IF(ISNUMBER(tblData[China]),(tblData[[#This Row],[China LogiP(t)]]-tblData[[#This Row],[China]])^2,"")</f>
        <v>65436.264547647341</v>
      </c>
      <c r="BF40" s="11">
        <f>tblData[[#This Row],[China LogiP(t)]]/$BE$9</f>
        <v>519.83574590776402</v>
      </c>
      <c r="BG40" s="11">
        <f>IF(ISNUMBER(tblData[Day'# Singapore]),betaSingapore/(deltaSingapore+betaPodeltaSingapore*EXP(-betaSingapore*tblData[Day'# Singapore])),"")</f>
        <v>87.707748981450891</v>
      </c>
      <c r="BH40" s="11">
        <f>IF(AND(ISNUMBER(tblData[Singapore]),tblData[Date]&gt;=StartDt2Singapore),(tblData[[#This Row],[Singapore LogiP(t)]]-tblData[[#This Row],[Singapore]])^2,"")</f>
        <v>13.747402509450119</v>
      </c>
      <c r="BI40" s="11">
        <f>IF(ISNUMBER(tblData[Day'# Singapore]),tblData[Singapore LogiP(t)]/$BH$9,"")</f>
        <v>149.92777603666821</v>
      </c>
      <c r="BJ40" s="11"/>
      <c r="BK40" s="11"/>
      <c r="BL40" s="11" t="str">
        <f>IF(ISNUMBER(tblData[[#This Row],[NSW Number of Tests]]),tblData[[#This Row],[NSW Number of Tests]]-BJ39,"")</f>
        <v/>
      </c>
      <c r="BM40" s="11" t="str">
        <f>IF(ISNUMBER(tblData[[#This Row],[NSW Under Investigation'']]),tblData[[#This Row],[NSW Under Investigation'']]-BK39,"")</f>
        <v/>
      </c>
      <c r="BN40" s="11"/>
      <c r="BO40" s="11" t="str">
        <f>IF(ISNUMBER(tblData[[#This Row],[NSW Test Day Number]]),betaTest/(deltaTest+betaPodeltaTest*EXP(-betaTest*tblData[[#This Row],[NSW Test Day Number]])),"")</f>
        <v/>
      </c>
      <c r="BP40" s="11" t="str">
        <f>IF(ISNUMBER(tblData[[#This Row],[NSW Number of Tests]]),(tblData[[#This Row],[NSW Number of Tests]]-tblData[[#This Row],[NSW Test Logi]])^2,"")</f>
        <v/>
      </c>
      <c r="BR40"/>
      <c r="BV40" s="26"/>
      <c r="CE40"/>
      <c r="CF40"/>
      <c r="CH40" s="26"/>
      <c r="CI40" s="26"/>
      <c r="DM40"/>
      <c r="DN40" t="s">
        <v>58</v>
      </c>
      <c r="DO40" s="80">
        <v>43912.787511574075</v>
      </c>
      <c r="DP40" s="27">
        <v>43860</v>
      </c>
      <c r="DQ40" s="27">
        <v>43860</v>
      </c>
      <c r="DR40">
        <v>2</v>
      </c>
      <c r="DS40" s="26">
        <v>0.25947894792637805</v>
      </c>
      <c r="DT40" s="25">
        <v>4.2793930730069226E-6</v>
      </c>
      <c r="DU40" s="26">
        <v>0.44221157817092033</v>
      </c>
      <c r="DV40" s="108">
        <v>60634.520713483966</v>
      </c>
      <c r="DW40" s="26">
        <v>1498.6578455090564</v>
      </c>
      <c r="DX40" s="26">
        <v>0.58677128401401213</v>
      </c>
      <c r="DY40" s="112">
        <v>4.2793930730069228E-3</v>
      </c>
      <c r="DZ40" s="26"/>
      <c r="EA40" s="27">
        <v>43911</v>
      </c>
      <c r="EB40" s="26" t="s">
        <v>1396</v>
      </c>
      <c r="EC40" s="26">
        <v>60634.520713483966</v>
      </c>
      <c r="ED40" s="112">
        <v>53578</v>
      </c>
      <c r="EE40" s="26" t="s">
        <v>764</v>
      </c>
      <c r="EF40" s="27">
        <v>43911</v>
      </c>
      <c r="EG40" s="26">
        <v>52</v>
      </c>
      <c r="EH40" s="26" t="s">
        <v>1477</v>
      </c>
      <c r="EJ40" t="s">
        <v>1398</v>
      </c>
      <c r="EL40" s="26" t="s">
        <v>1478</v>
      </c>
      <c r="EM40" s="26">
        <v>8863.1927212572373</v>
      </c>
      <c r="EN40" s="94">
        <v>43896</v>
      </c>
      <c r="EO40" s="26">
        <v>16</v>
      </c>
      <c r="EP40" s="94">
        <v>43895</v>
      </c>
      <c r="EQ40" s="26">
        <v>17</v>
      </c>
    </row>
    <row r="41" spans="2:148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48">
        <f>IF(ISNUMBER(tblData[Italy]),tblData[Italy]/$N$9,"")</f>
        <v>3.3085194375516958</v>
      </c>
      <c r="O41">
        <v>15</v>
      </c>
      <c r="P41" s="48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>
        <v>85</v>
      </c>
      <c r="X41" s="21">
        <f>IF(ISNUMBER(tblData[Singapore]),tblData[Singapore]/$X$9,"")</f>
        <v>145.29914529914529</v>
      </c>
      <c r="Y41" s="21"/>
      <c r="Z41" s="21"/>
      <c r="AA41" s="26">
        <f>IF(tblData[[#This Row],[Date]]&lt;ItalyStart,"",tblData[[#This Row],[Date]]-ItalyStart)</f>
        <v>22</v>
      </c>
      <c r="AB41" s="26">
        <f t="shared" si="7"/>
        <v>12</v>
      </c>
      <c r="AC41" s="26">
        <f t="shared" si="4"/>
        <v>30</v>
      </c>
      <c r="AD41" s="26">
        <f>IF(tblData[[#This Row],[Date]]&lt;StartDt2Korea,"",tblData[[#This Row],[Date]]-StartDt2Korea)</f>
        <v>2</v>
      </c>
      <c r="AE41" s="26">
        <f>IF(tblData[[#This Row],[Date]]&lt;UKStart,"",tblData[[#This Row],[Date]]-UKStart)</f>
        <v>22</v>
      </c>
      <c r="AF41" s="26">
        <f>IF(tblData[[#This Row],[Date]]&lt;SingaporeStart,"",tblData[[#This Row],[Date]]-SingaporeStart)</f>
        <v>29</v>
      </c>
      <c r="AG41">
        <f>IF(tblData[Date]&gt;=StartDt2Au,tblData[Date]-StartDt2Au,"")</f>
        <v>27</v>
      </c>
      <c r="AH41" s="26">
        <f>IF(tblData[New South Wales]&gt;0,SUM(tblData[[#This Row],[Australian Capital Territory]:[Western Australia]]),"")</f>
        <v>15</v>
      </c>
      <c r="AI41" s="12">
        <f>IF(ISNUMBER(tblData[Au]),tblData[Au]/$AE$9,"")</f>
        <v>5.9138937076170954</v>
      </c>
      <c r="AJ41" s="19">
        <f>IF(ISNUMBER(tblData[[#This Row],[Day'# Aust]]),betaAu/(deltaAu+betaPodeltaAu*EXP(-betaAu*tblData[[#This Row],[Day'# Aust]])),"")</f>
        <v>2.1632634231579653</v>
      </c>
      <c r="AK41" s="70">
        <f>IF(ISNUMBER(tblData[Day'# Aust]),tblData[Au LogiP(t)]/$AI$9,"")</f>
        <v>0.85288732974214054</v>
      </c>
      <c r="AL41" s="11">
        <f>IF(AND(tblData[Date]&gt;=StartDt2Au,ISNUMBER(tblData[NSW])),(tblData[[#This Row],[Au LogiP(t)]]-tblData[[#This Row],[Au]])^2,"")</f>
        <v>164.78180594323419</v>
      </c>
      <c r="AM41">
        <f>IF(tblData[Date]&gt;StartDt2NSW,tblData[Date]-StartDt2NSW,"")</f>
        <v>27</v>
      </c>
      <c r="AN41">
        <f t="shared" si="5"/>
        <v>4</v>
      </c>
      <c r="AO41" s="11">
        <f>IF(tblData[Date]&gt;StartDt2NSW,betaNSW/(deltaNSW+betaPodeltaNSW*EXP(-betaNSW*tblData[[#This Row],[Day '# NSW]])),"")</f>
        <v>1.4523366041835837</v>
      </c>
      <c r="AP41" s="12">
        <f>IF(AND(ISNUMBER(tblData[NSW]),tblData[Date]&gt;StartDt2NSW),(tblData[[#This Row],[NSW LogiP(t)]]-tblData[[#This Row],[NSW]])^2,"")</f>
        <v>6.4905887783828327</v>
      </c>
      <c r="AQ41" s="12">
        <f>IF(AND(tblData[Date]&gt;StartDt2NSW,ISNUMBER(tblData[Day'# Aust])),tblData[NSW LogiP(t)]/$AL$9,"")</f>
        <v>1.7974462923064154</v>
      </c>
      <c r="AR41" s="11">
        <f>IF(AND(tblData[Date]&gt;StartDt2Italy,ISNUMBER(tblData[Days'# Italy])),betaItaly/(deltaItaly+betaPodeltaItaly*EXP(-betaItaly*tblData[Days'# Italy])),"")</f>
        <v>130.90177859212719</v>
      </c>
      <c r="AS41" s="11">
        <f>IF(AND(tblData[Date]&gt;StartDt2Italy,ISNUMBER(tblData[Italy])),(tblData[[#This Row],[Italy LogiP(t)]]-tblData[[#This Row],[Italy]])^2,"")</f>
        <v>12299.2044948972</v>
      </c>
      <c r="AT41" s="43">
        <f>IF(AND(tblData[Date]&gt;StartDt2Italy,ISNUMBER(tblData[Days'# Italy])),tblData[[#This Row],[Italy LogiP(t)]]/$AS$9,"")</f>
        <v>21.654553944107061</v>
      </c>
      <c r="AU41" s="21">
        <f>IF(ISNUMBER(tblData[[#This Row],[Days'# US]]),betaUS/(deltaUS+betaPodeltaUS*EXP(-betaUS*tblData[Days'# US])),"")</f>
        <v>1.4568676847361488</v>
      </c>
      <c r="AV41" s="11">
        <f>IF(ISNUMBER(tblData[US]),(tblData[[#This Row],[US LogiP(t)]]-tblData[US])^2,"")</f>
        <v>183.41643290874399</v>
      </c>
      <c r="AW41" s="21">
        <f>IF(ISNUMBER(tblData[[#This Row],[Days'# US]]),tblData[[#This Row],[US LogiP(t)]]/$AV$9,"")</f>
        <v>4.4251060320297214E-2</v>
      </c>
      <c r="AX41" s="21">
        <f>IF(tblData[Date]&gt;=StartDt2Korea,betaSKorea/(deltaSKorea+betaPodeltaSKorea*EXP(-betaSKorea*(tblData[Date]-StartDt2Korea))),"")</f>
        <v>364.86843444744483</v>
      </c>
      <c r="AY41" s="21">
        <f>IF(AND(tblData[Date]&gt;=StartDt2Korea,ISNUMBER(tblData[SKorea])),(tblData[[#This Row],[SKorea LogiP(t)]]-tblData[[#This Row],[SKorea]])^2,"")</f>
        <v>25878.653201571855</v>
      </c>
      <c r="AZ41" s="21">
        <f>IF(tblData[Date]&gt;=StartDt2Korea,tblData[[#This Row],[SKorea LogiP(t)]]/$AY$9,"")</f>
        <v>70.986076740748018</v>
      </c>
      <c r="BA41" s="11">
        <f>IF(ISNUMBER(tblData[Days'# UK]),betaUK/(deltaUK+betaPodeltaUK*EXP(-betaUK*tblData[Days'# UK])),"")</f>
        <v>5.3290381556022863</v>
      </c>
      <c r="BB41" s="21">
        <f>IF(ISNUMBER(tblData[UK]),(tblData[[#This Row],[UK LogiP(t)]]-tblData[[#This Row],[UK]])^2,"")</f>
        <v>13.475960863023865</v>
      </c>
      <c r="BC41" s="21">
        <f>IF(ISNUMBER(tblData[Days'# UK]),tblData[[#This Row],[UK LogiP(t)]]/$BB$9,"")</f>
        <v>0.80208280487692452</v>
      </c>
      <c r="BD41" s="11">
        <f>IF(ISNUMBER(tblData[Days'# China]),betaChina/(deltaChina+betaPodeltaChina*EXP(-betaChina*tblData[Days'# China])),"")</f>
        <v>75971.978343219162</v>
      </c>
      <c r="BE41" s="11">
        <f>IF(ISNUMBER(tblData[China]),(tblData[[#This Row],[China LogiP(t)]]-tblData[[#This Row],[China]])^2,"")</f>
        <v>178065.72214598855</v>
      </c>
      <c r="BF41" s="11">
        <f>tblData[[#This Row],[China LogiP(t)]]/$BE$9</f>
        <v>527.83105240122961</v>
      </c>
      <c r="BG41" s="11">
        <f>IF(ISNUMBER(tblData[Day'# Singapore]),betaSingapore/(deltaSingapore+betaPodeltaSingapore*EXP(-betaSingapore*tblData[Day'# Singapore])),"")</f>
        <v>91.648065754761035</v>
      </c>
      <c r="BH41" s="11">
        <f>IF(AND(ISNUMBER(tblData[Singapore]),tblData[Date]&gt;=StartDt2Singapore),(tblData[[#This Row],[Singapore LogiP(t)]]-tblData[[#This Row],[Singapore]])^2,"")</f>
        <v>44.196778279626407</v>
      </c>
      <c r="BI41" s="11">
        <f>IF(ISNUMBER(tblData[Day'# Singapore]),tblData[Singapore LogiP(t)]/$BH$9,"")</f>
        <v>156.6633602645488</v>
      </c>
      <c r="BJ41" s="11"/>
      <c r="BK41" s="11"/>
      <c r="BL41" s="11" t="str">
        <f>IF(ISNUMBER(tblData[[#This Row],[NSW Number of Tests]]),tblData[[#This Row],[NSW Number of Tests]]-BJ40,"")</f>
        <v/>
      </c>
      <c r="BM41" s="11" t="str">
        <f>IF(ISNUMBER(tblData[[#This Row],[NSW Under Investigation'']]),tblData[[#This Row],[NSW Under Investigation'']]-BK40,"")</f>
        <v/>
      </c>
      <c r="BN41" s="11"/>
      <c r="BO41" s="11" t="str">
        <f>IF(ISNUMBER(tblData[[#This Row],[NSW Test Day Number]]),betaTest/(deltaTest+betaPodeltaTest*EXP(-betaTest*tblData[[#This Row],[NSW Test Day Number]])),"")</f>
        <v/>
      </c>
      <c r="BP41" s="11" t="str">
        <f>IF(ISNUMBER(tblData[[#This Row],[NSW Number of Tests]]),(tblData[[#This Row],[NSW Number of Tests]]-tblData[[#This Row],[NSW Test Logi]])^2,"")</f>
        <v/>
      </c>
      <c r="BR41"/>
      <c r="BV41" s="26"/>
      <c r="CE41"/>
      <c r="CF41"/>
      <c r="CH41" s="26"/>
      <c r="CI41" s="26"/>
      <c r="DM41"/>
      <c r="DN41" t="s">
        <v>58</v>
      </c>
      <c r="DO41" s="80"/>
      <c r="DP41" s="27">
        <v>43860</v>
      </c>
      <c r="DQ41" s="27"/>
      <c r="DR41">
        <v>2</v>
      </c>
      <c r="DS41" s="23">
        <v>0.26238091349277259</v>
      </c>
      <c r="DT41" s="25">
        <v>6.5504048686306527E-6</v>
      </c>
      <c r="DU41" s="22">
        <v>0.44060114064329331</v>
      </c>
      <c r="DV41" s="108">
        <f>betaItaly/deltaItaly</f>
        <v>65423.849218858661</v>
      </c>
      <c r="DW41" s="22">
        <f>SQRT(SUM(tblData[Italy Sq Err])/COUNT(tblData[Italy Sq Err]))</f>
        <v>1794.1813077040256</v>
      </c>
      <c r="DX41" s="37">
        <f>(betaItaly/PoItaly)-deltaItaly</f>
        <v>0.58510933365785012</v>
      </c>
      <c r="DY41" s="112">
        <f>deltaItaly*1000</f>
        <v>3.9549126775453372E-3</v>
      </c>
      <c r="DZ41" s="24"/>
      <c r="EA41" s="27">
        <f t="array" ref="EA41">MAX(IF(ISNUMBER(tblData[Italy]),tblData[Date]))</f>
        <v>43912</v>
      </c>
      <c r="EB41" s="27" t="str">
        <f>Cengnotation(DV41,3)</f>
        <v>65.4 k</v>
      </c>
      <c r="EC41" s="27"/>
      <c r="EE41" s="19"/>
      <c r="EF41" s="27"/>
      <c r="EH41" s="18"/>
      <c r="EL41"/>
      <c r="EP41" s="94"/>
    </row>
    <row r="42" spans="2:148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48">
        <f>IF(ISNUMBER(tblData[Italy]),tblData[Italy]/$N$9,"")</f>
        <v>10.256410256410257</v>
      </c>
      <c r="O42">
        <v>15</v>
      </c>
      <c r="P42" s="48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>
        <v>85</v>
      </c>
      <c r="X42" s="21">
        <f>IF(ISNUMBER(tblData[Singapore]),tblData[Singapore]/$X$9,"")</f>
        <v>145.29914529914529</v>
      </c>
      <c r="Y42" s="21"/>
      <c r="Z42" s="21"/>
      <c r="AA42" s="26">
        <f>IF(tblData[[#This Row],[Date]]&lt;ItalyStart,"",tblData[[#This Row],[Date]]-ItalyStart)</f>
        <v>23</v>
      </c>
      <c r="AB42" s="26">
        <f t="shared" si="7"/>
        <v>13</v>
      </c>
      <c r="AC42" s="26">
        <f t="shared" si="4"/>
        <v>31</v>
      </c>
      <c r="AD42" s="26">
        <f>IF(tblData[[#This Row],[Date]]&lt;StartDt2Korea,"",tblData[[#This Row],[Date]]-StartDt2Korea)</f>
        <v>3</v>
      </c>
      <c r="AE42" s="26">
        <f>IF(tblData[[#This Row],[Date]]&lt;UKStart,"",tblData[[#This Row],[Date]]-UKStart)</f>
        <v>23</v>
      </c>
      <c r="AF42" s="26">
        <f>IF(tblData[[#This Row],[Date]]&lt;SingaporeStart,"",tblData[[#This Row],[Date]]-SingaporeStart)</f>
        <v>30</v>
      </c>
      <c r="AG42">
        <f>IF(tblData[Date]&gt;=StartDt2Au,tblData[Date]-StartDt2Au,"")</f>
        <v>28</v>
      </c>
      <c r="AH42" s="26">
        <f>IF(tblData[New South Wales]&gt;0,SUM(tblData[[#This Row],[Australian Capital Territory]:[Western Australia]]),"")</f>
        <v>15</v>
      </c>
      <c r="AI42" s="12">
        <f>IF(ISNUMBER(tblData[Au]),tblData[Au]/$AE$9,"")</f>
        <v>5.9138937076170954</v>
      </c>
      <c r="AJ42" s="19">
        <f>IF(ISNUMBER(tblData[[#This Row],[Day'# Aust]]),betaAu/(deltaAu+betaPodeltaAu*EXP(-betaAu*tblData[[#This Row],[Day'# Aust]])),"")</f>
        <v>2.6815758859838206</v>
      </c>
      <c r="AK42" s="70">
        <f>IF(ISNUMBER(tblData[Day'# Aust]),tblData[Au LogiP(t)]/$AI$9,"")</f>
        <v>1.0572369839078302</v>
      </c>
      <c r="AL42" s="11">
        <f>IF(AND(tblData[Date]&gt;=StartDt2Au,ISNUMBER(tblData[NSW])),(tblData[[#This Row],[Au LogiP(t)]]-tblData[[#This Row],[Au]])^2,"")</f>
        <v>151.7435726527753</v>
      </c>
      <c r="AM42">
        <f>IF(tblData[Date]&gt;StartDt2NSW,tblData[Date]-StartDt2NSW,"")</f>
        <v>28</v>
      </c>
      <c r="AN42">
        <f t="shared" si="5"/>
        <v>4</v>
      </c>
      <c r="AO42" s="11">
        <f>IF(tblData[Date]&gt;StartDt2NSW,betaNSW/(deltaNSW+betaPodeltaNSW*EXP(-betaNSW*tblData[[#This Row],[Day '# NSW]])),"")</f>
        <v>1.7709438536044388</v>
      </c>
      <c r="AP42" s="12">
        <f>IF(AND(ISNUMBER(tblData[NSW]),tblData[Date]&gt;StartDt2NSW),(tblData[[#This Row],[NSW LogiP(t)]]-tblData[[#This Row],[NSW]])^2,"")</f>
        <v>4.9686913037838307</v>
      </c>
      <c r="AQ42" s="12">
        <f>IF(AND(tblData[Date]&gt;StartDt2NSW,ISNUMBER(tblData[Day'# Aust])),tblData[NSW LogiP(t)]/$AL$9,"")</f>
        <v>2.1917621950549986</v>
      </c>
      <c r="AR42" s="11">
        <f>IF(AND(tblData[Date]&gt;StartDt2Italy,ISNUMBER(tblData[Days'# Italy])),betaItaly/(deltaItaly+betaPodeltaItaly*EXP(-betaItaly*tblData[Days'# Italy])),"")</f>
        <v>169.45750591179626</v>
      </c>
      <c r="AS42" s="11">
        <f>IF(AND(tblData[Date]&gt;StartDt2Italy,ISNUMBER(tblData[Italy])),(tblData[[#This Row],[Italy LogiP(t)]]-tblData[[#This Row],[Italy]])^2,"")</f>
        <v>11547.115576783728</v>
      </c>
      <c r="AT42" s="43">
        <f>IF(AND(tblData[Date]&gt;StartDt2Italy,ISNUMBER(tblData[Days'# Italy])),tblData[[#This Row],[Italy LogiP(t)]]/$AS$9,"")</f>
        <v>28.032672607410465</v>
      </c>
      <c r="AU42" s="21">
        <f>IF(ISNUMBER(tblData[[#This Row],[Days'# US]]),betaUS/(deltaUS+betaPodeltaUS*EXP(-betaUS*tblData[Days'# US])),"")</f>
        <v>2.0411604232280398</v>
      </c>
      <c r="AV42" s="11">
        <f>IF(ISNUMBER(tblData[US]),(tblData[[#This Row],[US LogiP(t)]]-tblData[US])^2,"")</f>
        <v>167.93152317651129</v>
      </c>
      <c r="AW42" s="21">
        <f>IF(ISNUMBER(tblData[[#This Row],[Days'# US]]),tblData[[#This Row],[US LogiP(t)]]/$AV$9,"")</f>
        <v>6.1998432635991745E-2</v>
      </c>
      <c r="AX42" s="21">
        <f>IF(tblData[Date]&gt;=StartDt2Korea,betaSKorea/(deltaSKorea+betaPodeltaSKorea*EXP(-betaSKorea*(tblData[Date]-StartDt2Korea))),"")</f>
        <v>490.00200028223003</v>
      </c>
      <c r="AY42" s="21">
        <f>IF(AND(tblData[Date]&gt;=StartDt2Korea,ISNUMBER(tblData[SKorea])),(tblData[[#This Row],[SKorea LogiP(t)]]-tblData[[#This Row],[SKorea]])^2,"")</f>
        <v>3249.2280361753524</v>
      </c>
      <c r="AZ42" s="21">
        <f>IF(tblData[Date]&gt;=StartDt2Korea,tblData[[#This Row],[SKorea LogiP(t)]]/$AY$9,"")</f>
        <v>95.331128459577826</v>
      </c>
      <c r="BA42" s="11">
        <f>IF(ISNUMBER(tblData[Days'# UK]),betaUK/(deltaUK+betaPodeltaUK*EXP(-betaUK*tblData[Days'# UK])),"")</f>
        <v>6.7470004180954311</v>
      </c>
      <c r="BB42" s="21">
        <f>IF(ISNUMBER(tblData[UK]),(tblData[[#This Row],[UK LogiP(t)]]-tblData[[#This Row],[UK]])^2,"")</f>
        <v>5.0760071160621623</v>
      </c>
      <c r="BC42" s="21">
        <f>IF(ISNUMBER(tblData[Days'# UK]),tblData[[#This Row],[UK LogiP(t)]]/$BB$9,"")</f>
        <v>1.0155027721395893</v>
      </c>
      <c r="BD42" s="11">
        <f>IF(ISNUMBER(tblData[Days'# China]),betaChina/(deltaChina+betaPodeltaChina*EXP(-betaChina*tblData[Days'# China])),"")</f>
        <v>76919.369251998578</v>
      </c>
      <c r="BE42" s="11">
        <f>IF(ISNUMBER(tblData[China]),(tblData[[#This Row],[China LogiP(t)]]-tblData[[#This Row],[China]])^2,"")</f>
        <v>6663.5790192716677</v>
      </c>
      <c r="BF42" s="11">
        <f>tblData[[#This Row],[China LogiP(t)]]/$BE$9</f>
        <v>534.41324693297213</v>
      </c>
      <c r="BG42" s="11">
        <f>IF(ISNUMBER(tblData[Day'# Singapore]),betaSingapore/(deltaSingapore+betaPodeltaSingapore*EXP(-betaSingapore*tblData[Day'# Singapore])),"")</f>
        <v>95.765403332053722</v>
      </c>
      <c r="BH42" s="11">
        <f>IF(AND(ISNUMBER(tblData[Singapore]),tblData[Date]&gt;=StartDt2Singapore),(tblData[[#This Row],[Singapore LogiP(t)]]-tblData[[#This Row],[Singapore]])^2,"")</f>
        <v>115.89390890179338</v>
      </c>
      <c r="BI42" s="11">
        <f>IF(ISNUMBER(tblData[Day'# Singapore]),tblData[Singapore LogiP(t)]/$BH$9,"")</f>
        <v>163.70154415735681</v>
      </c>
      <c r="BJ42" s="11"/>
      <c r="BK42" s="11"/>
      <c r="BL42" s="11" t="str">
        <f>IF(ISNUMBER(tblData[[#This Row],[NSW Number of Tests]]),tblData[[#This Row],[NSW Number of Tests]]-BJ41,"")</f>
        <v/>
      </c>
      <c r="BM42" s="11" t="str">
        <f>IF(ISNUMBER(tblData[[#This Row],[NSW Under Investigation'']]),tblData[[#This Row],[NSW Under Investigation'']]-BK41,"")</f>
        <v/>
      </c>
      <c r="BN42" s="11"/>
      <c r="BO42" s="11" t="str">
        <f>IF(ISNUMBER(tblData[[#This Row],[NSW Test Day Number]]),betaTest/(deltaTest+betaPodeltaTest*EXP(-betaTest*tblData[[#This Row],[NSW Test Day Number]])),"")</f>
        <v/>
      </c>
      <c r="BP42" s="11" t="str">
        <f>IF(ISNUMBER(tblData[[#This Row],[NSW Number of Tests]]),(tblData[[#This Row],[NSW Number of Tests]]-tblData[[#This Row],[NSW Test Logi]])^2,"")</f>
        <v/>
      </c>
      <c r="BR42"/>
      <c r="BV42" s="26"/>
      <c r="CE42"/>
      <c r="CF42"/>
      <c r="CH42" s="26"/>
      <c r="CI42" s="26"/>
      <c r="DM42"/>
      <c r="DN42" t="s">
        <v>480</v>
      </c>
      <c r="DO42" s="80"/>
      <c r="DP42" s="27">
        <v>43852</v>
      </c>
      <c r="DQ42" s="27"/>
      <c r="DR42">
        <v>3</v>
      </c>
      <c r="DS42" s="23">
        <v>0.23690262188948924</v>
      </c>
      <c r="DT42" s="25">
        <v>1.0000000000010001E-8</v>
      </c>
      <c r="DU42" s="22">
        <v>1</v>
      </c>
      <c r="DV42" s="108">
        <v>23690262.188925233</v>
      </c>
      <c r="DW42" s="19">
        <v>70.768652159383493</v>
      </c>
      <c r="DX42" s="37">
        <v>0.23690261188948925</v>
      </c>
      <c r="DY42" s="112">
        <v>1.0000000000010001E-5</v>
      </c>
      <c r="DZ42" s="12"/>
      <c r="EA42" s="27">
        <v>43904</v>
      </c>
      <c r="EB42" s="27" t="s">
        <v>487</v>
      </c>
      <c r="EC42" s="27"/>
      <c r="EE42" s="19"/>
      <c r="EF42" s="27"/>
      <c r="EH42" s="18"/>
      <c r="EL42"/>
      <c r="EP42" s="94"/>
    </row>
    <row r="43" spans="2:148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48">
        <f>IF(ISNUMBER(tblData[Italy]),tblData[Italy]/$N$9,"")</f>
        <v>25.641025641025642</v>
      </c>
      <c r="O43">
        <v>15</v>
      </c>
      <c r="P43" s="48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>
        <v>89</v>
      </c>
      <c r="X43" s="21">
        <f>IF(ISNUMBER(tblData[Singapore]),tblData[Singapore]/$X$9,"")</f>
        <v>152.13675213675214</v>
      </c>
      <c r="Y43" s="21"/>
      <c r="Z43" s="21"/>
      <c r="AA43" s="26">
        <f>IF(tblData[[#This Row],[Date]]&lt;ItalyStart,"",tblData[[#This Row],[Date]]-ItalyStart)</f>
        <v>24</v>
      </c>
      <c r="AB43" s="26">
        <f t="shared" si="7"/>
        <v>14</v>
      </c>
      <c r="AC43" s="26">
        <f t="shared" si="4"/>
        <v>32</v>
      </c>
      <c r="AD43" s="26">
        <f>IF(tblData[[#This Row],[Date]]&lt;StartDt2Korea,"",tblData[[#This Row],[Date]]-StartDt2Korea)</f>
        <v>4</v>
      </c>
      <c r="AE43" s="26">
        <f>IF(tblData[[#This Row],[Date]]&lt;UKStart,"",tblData[[#This Row],[Date]]-UKStart)</f>
        <v>24</v>
      </c>
      <c r="AF43" s="26">
        <f>IF(tblData[[#This Row],[Date]]&lt;SingaporeStart,"",tblData[[#This Row],[Date]]-SingaporeStart)</f>
        <v>31</v>
      </c>
      <c r="AG43">
        <f>IF(tblData[Date]&gt;=StartDt2Au,tblData[Date]-StartDt2Au,"")</f>
        <v>29</v>
      </c>
      <c r="AH43" s="26">
        <f>IF(tblData[New South Wales]&gt;0,SUM(tblData[[#This Row],[Australian Capital Territory]:[Western Australia]]),"")</f>
        <v>15</v>
      </c>
      <c r="AI43" s="12">
        <f>IF(ISNUMBER(tblData[Au]),tblData[Au]/$AE$9,"")</f>
        <v>5.9138937076170954</v>
      </c>
      <c r="AJ43" s="19">
        <f>IF(ISNUMBER(tblData[[#This Row],[Day'# Aust]]),betaAu/(deltaAu+betaPodeltaAu*EXP(-betaAu*tblData[[#This Row],[Day'# Aust]])),"")</f>
        <v>3.324074708288848</v>
      </c>
      <c r="AK43" s="70">
        <f>IF(ISNUMBER(tblData[Day'# Aust]),tblData[Au LogiP(t)]/$AI$9,"")</f>
        <v>1.3105483000665699</v>
      </c>
      <c r="AL43" s="11">
        <f>IF(AND(tblData[Date]&gt;=StartDt2Au,ISNUMBER(tblData[NSW])),(tblData[[#This Row],[Au LogiP(t)]]-tblData[[#This Row],[Au]])^2,"")</f>
        <v>136.32723141762017</v>
      </c>
      <c r="AM43">
        <f>IF(tblData[Date]&gt;StartDt2NSW,tblData[Date]-StartDt2NSW,"")</f>
        <v>29</v>
      </c>
      <c r="AN43">
        <f t="shared" si="5"/>
        <v>4</v>
      </c>
      <c r="AO43" s="11">
        <f>IF(tblData[Date]&gt;StartDt2NSW,betaNSW/(deltaNSW+betaPodeltaNSW*EXP(-betaNSW*tblData[[#This Row],[Day '# NSW]])),"")</f>
        <v>2.1594457673131786</v>
      </c>
      <c r="AP43" s="12">
        <f>IF(AND(ISNUMBER(tblData[NSW]),tblData[Date]&gt;StartDt2NSW),(tblData[[#This Row],[NSW LogiP(t)]]-tblData[[#This Row],[NSW]])^2,"")</f>
        <v>3.3876398834613739</v>
      </c>
      <c r="AQ43" s="12">
        <f>IF(AND(tblData[Date]&gt;StartDt2NSW,ISNUMBER(tblData[Day'# Aust])),tblData[NSW LogiP(t)]/$AL$9,"")</f>
        <v>2.6725813951895772</v>
      </c>
      <c r="AR43" s="11">
        <f>IF(AND(tblData[Date]&gt;StartDt2Italy,ISNUMBER(tblData[Days'# Italy])),betaItaly/(deltaItaly+betaPodeltaItaly*EXP(-betaItaly*tblData[Days'# Italy])),"")</f>
        <v>219.33126530414197</v>
      </c>
      <c r="AS43" s="11">
        <f>IF(AND(tblData[Date]&gt;StartDt2Italy,ISNUMBER(tblData[Italy])),(tblData[[#This Row],[Italy LogiP(t)]]-tblData[[#This Row],[Italy]])^2,"")</f>
        <v>4138.5116956318998</v>
      </c>
      <c r="AT43" s="43">
        <f>IF(AND(tblData[Date]&gt;StartDt2Italy,ISNUMBER(tblData[Days'# Italy])),tblData[[#This Row],[Italy LogiP(t)]]/$AS$9,"")</f>
        <v>36.283087726078072</v>
      </c>
      <c r="AU43" s="21">
        <f>IF(ISNUMBER(tblData[[#This Row],[Days'# US]]),betaUS/(deltaUS+betaPodeltaUS*EXP(-betaUS*tblData[Days'# US])),"")</f>
        <v>2.8597860235473007</v>
      </c>
      <c r="AV43" s="11">
        <f>IF(ISNUMBER(tblData[US]),(tblData[[#This Row],[US LogiP(t)]]-tblData[US])^2,"")</f>
        <v>147.38479539405745</v>
      </c>
      <c r="AW43" s="21">
        <f>IF(ISNUMBER(tblData[[#This Row],[Days'# US]]),tblData[[#This Row],[US LogiP(t)]]/$AV$9,"")</f>
        <v>8.6863457235688182E-2</v>
      </c>
      <c r="AX43" s="21">
        <f>IF(tblData[Date]&gt;=StartDt2Korea,betaSKorea/(deltaSKorea+betaPodeltaSKorea*EXP(-betaSKorea*(tblData[Date]-StartDt2Korea))),"")</f>
        <v>654.59437846762751</v>
      </c>
      <c r="AY43" s="21">
        <f>IF(AND(tblData[Date]&gt;=StartDt2Korea,ISNUMBER(tblData[SKorea])),(tblData[[#This Row],[SKorea LogiP(t)]]-tblData[[#This Row],[SKorea]])^2,"")</f>
        <v>2766.16864639604</v>
      </c>
      <c r="AZ43" s="21">
        <f>IF(tblData[Date]&gt;=StartDt2Korea,tblData[[#This Row],[SKorea LogiP(t)]]/$AY$9,"")</f>
        <v>127.3529919197719</v>
      </c>
      <c r="BA43" s="11">
        <f>IF(ISNUMBER(tblData[Days'# UK]),betaUK/(deltaUK+betaPodeltaUK*EXP(-betaUK*tblData[Days'# UK])),"")</f>
        <v>8.5422281176658235</v>
      </c>
      <c r="BB43" s="21">
        <f>IF(ISNUMBER(tblData[UK]),(tblData[[#This Row],[UK LogiP(t)]]-tblData[[#This Row],[UK]])^2,"")</f>
        <v>0.20955509625577518</v>
      </c>
      <c r="BC43" s="21">
        <f>IF(ISNUMBER(tblData[Days'# UK]),tblData[[#This Row],[UK LogiP(t)]]/$BB$9,"")</f>
        <v>1.2857056167468126</v>
      </c>
      <c r="BD43" s="11">
        <f>IF(ISNUMBER(tblData[Days'# China]),betaChina/(deltaChina+betaPodeltaChina*EXP(-betaChina*tblData[Days'# China])),"")</f>
        <v>77695.249623899203</v>
      </c>
      <c r="BE43" s="11">
        <f>IF(ISNUMBER(tblData[China]),(tblData[[#This Row],[China LogiP(t)]]-tblData[[#This Row],[China]])^2,"")</f>
        <v>453265.05608041771</v>
      </c>
      <c r="BF43" s="11">
        <f>tblData[[#This Row],[China LogiP(t)]]/$BE$9</f>
        <v>539.80383649202781</v>
      </c>
      <c r="BG43" s="11">
        <f>IF(ISNUMBER(tblData[Day'# Singapore]),betaSingapore/(deltaSingapore+betaPodeltaSingapore*EXP(-betaSingapore*tblData[Day'# Singapore])),"")</f>
        <v>100.06771446604041</v>
      </c>
      <c r="BH43" s="11">
        <f>IF(AND(ISNUMBER(tblData[Singapore]),tblData[Date]&gt;=StartDt2Singapore),(tblData[[#This Row],[Singapore LogiP(t)]]-tblData[[#This Row],[Singapore]])^2,"")</f>
        <v>122.49430350180025</v>
      </c>
      <c r="BI43" s="11">
        <f>IF(ISNUMBER(tblData[Day'# Singapore]),tblData[Singapore LogiP(t)]/$BH$9,"")</f>
        <v>171.05592216417165</v>
      </c>
      <c r="BJ43" s="11"/>
      <c r="BK43" s="11"/>
      <c r="BL43" s="11" t="str">
        <f>IF(ISNUMBER(tblData[[#This Row],[NSW Number of Tests]]),tblData[[#This Row],[NSW Number of Tests]]-BJ42,"")</f>
        <v/>
      </c>
      <c r="BM43" s="11" t="str">
        <f>IF(ISNUMBER(tblData[[#This Row],[NSW Under Investigation'']]),tblData[[#This Row],[NSW Under Investigation'']]-BK42,"")</f>
        <v/>
      </c>
      <c r="BN43" s="11"/>
      <c r="BO43" s="11" t="str">
        <f>IF(ISNUMBER(tblData[[#This Row],[NSW Test Day Number]]),betaTest/(deltaTest+betaPodeltaTest*EXP(-betaTest*tblData[[#This Row],[NSW Test Day Number]])),"")</f>
        <v/>
      </c>
      <c r="BP43" s="11" t="str">
        <f>IF(ISNUMBER(tblData[[#This Row],[NSW Number of Tests]]),(tblData[[#This Row],[NSW Number of Tests]]-tblData[[#This Row],[NSW Test Logi]])^2,"")</f>
        <v/>
      </c>
      <c r="BR43"/>
      <c r="BV43" s="26"/>
      <c r="CE43"/>
      <c r="CF43"/>
      <c r="CH43" s="26"/>
      <c r="CI43" s="26"/>
      <c r="DM43"/>
      <c r="DN43" t="s">
        <v>480</v>
      </c>
      <c r="DO43" s="80"/>
      <c r="DP43" s="27">
        <v>43852</v>
      </c>
      <c r="DQ43" s="27"/>
      <c r="DR43">
        <v>3</v>
      </c>
      <c r="DS43" s="23">
        <v>0.32325497596799352</v>
      </c>
      <c r="DT43" s="25">
        <v>3.2192747767709561E-5</v>
      </c>
      <c r="DU43" s="22">
        <v>8.8068098227311528E-2</v>
      </c>
      <c r="DV43" s="108">
        <v>10041.235942345667</v>
      </c>
      <c r="DW43" s="22">
        <v>0</v>
      </c>
      <c r="DX43" s="37">
        <v>3.6704794053753567</v>
      </c>
      <c r="DY43" s="112">
        <v>3.2192747767709563E-2</v>
      </c>
      <c r="DZ43" s="24"/>
      <c r="EA43" s="27">
        <v>43905</v>
      </c>
      <c r="EB43" s="27" t="s">
        <v>764</v>
      </c>
      <c r="EC43" s="27"/>
      <c r="EE43" s="19"/>
      <c r="EF43" s="27"/>
      <c r="EG43" s="26"/>
      <c r="EH43" s="18"/>
      <c r="EK43" s="26"/>
      <c r="EL43" s="26"/>
      <c r="EM43" s="26"/>
      <c r="EO43" s="26"/>
      <c r="EP43" s="94"/>
      <c r="EQ43" s="26"/>
    </row>
    <row r="44" spans="2:148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48">
        <f>IF(ISNUMBER(tblData[Italy]),tblData[Italy]/$N$9,"")</f>
        <v>37.882547559966916</v>
      </c>
      <c r="O44">
        <v>51</v>
      </c>
      <c r="P44" s="48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>
        <v>89</v>
      </c>
      <c r="X44" s="21">
        <f>IF(ISNUMBER(tblData[Singapore]),tblData[Singapore]/$X$9,"")</f>
        <v>152.13675213675214</v>
      </c>
      <c r="Y44" s="21"/>
      <c r="Z44" s="21"/>
      <c r="AA44" s="26">
        <f>IF(tblData[[#This Row],[Date]]&lt;ItalyStart,"",tblData[[#This Row],[Date]]-ItalyStart)</f>
        <v>25</v>
      </c>
      <c r="AB44" s="26">
        <f t="shared" si="7"/>
        <v>15</v>
      </c>
      <c r="AC44" s="26">
        <f t="shared" si="4"/>
        <v>33</v>
      </c>
      <c r="AD44" s="26">
        <f>IF(tblData[[#This Row],[Date]]&lt;StartDt2Korea,"",tblData[[#This Row],[Date]]-StartDt2Korea)</f>
        <v>5</v>
      </c>
      <c r="AE44" s="26">
        <f>IF(tblData[[#This Row],[Date]]&lt;UKStart,"",tblData[[#This Row],[Date]]-UKStart)</f>
        <v>25</v>
      </c>
      <c r="AF44" s="26">
        <f>IF(tblData[[#This Row],[Date]]&lt;SingaporeStart,"",tblData[[#This Row],[Date]]-SingaporeStart)</f>
        <v>32</v>
      </c>
      <c r="AG44">
        <f>IF(tblData[Date]&gt;=StartDt2Au,tblData[Date]-StartDt2Au,"")</f>
        <v>30</v>
      </c>
      <c r="AH44" s="26">
        <f>IF(tblData[New South Wales]&gt;0,SUM(tblData[[#This Row],[Australian Capital Territory]:[Western Australia]]),"")</f>
        <v>15</v>
      </c>
      <c r="AI44" s="12">
        <f>IF(ISNUMBER(tblData[Au]),tblData[Au]/$AE$9,"")</f>
        <v>5.9138937076170954</v>
      </c>
      <c r="AJ44" s="19">
        <f>IF(ISNUMBER(tblData[[#This Row],[Day'# Aust]]),betaAu/(deltaAu+betaPodeltaAu*EXP(-betaAu*tblData[[#This Row],[Day'# Aust]])),"")</f>
        <v>4.1205146287418328</v>
      </c>
      <c r="AK44" s="70">
        <f>IF(ISNUMBER(tblData[Day'# Aust]),tblData[Au LogiP(t)]/$AI$9,"")</f>
        <v>1.6245523690040344</v>
      </c>
      <c r="AL44" s="11">
        <f>IF(AND(tblData[Date]&gt;=StartDt2Au,ISNUMBER(tblData[NSW])),(tblData[[#This Row],[Au LogiP(t)]]-tblData[[#This Row],[Au]])^2,"")</f>
        <v>118.36320194342044</v>
      </c>
      <c r="AM44">
        <f>IF(tblData[Date]&gt;StartDt2NSW,tblData[Date]-StartDt2NSW,"")</f>
        <v>30</v>
      </c>
      <c r="AN44">
        <f t="shared" si="5"/>
        <v>4</v>
      </c>
      <c r="AO44" s="11">
        <f>IF(tblData[Date]&gt;StartDt2NSW,betaNSW/(deltaNSW+betaPodeltaNSW*EXP(-betaNSW*tblData[[#This Row],[Day '# NSW]])),"")</f>
        <v>2.6331755309315312</v>
      </c>
      <c r="AP44" s="12">
        <f>IF(AND(ISNUMBER(tblData[NSW]),tblData[Date]&gt;StartDt2NSW),(tblData[[#This Row],[NSW LogiP(t)]]-tblData[[#This Row],[NSW]])^2,"")</f>
        <v>1.8682091292443015</v>
      </c>
      <c r="AQ44" s="12">
        <f>IF(AND(tblData[Date]&gt;StartDt2NSW,ISNUMBER(tblData[Day'# Aust])),tblData[NSW LogiP(t)]/$AL$9,"")</f>
        <v>3.2588806075885284</v>
      </c>
      <c r="AR44" s="11">
        <f>IF(AND(tblData[Date]&gt;StartDt2Italy,ISNUMBER(tblData[Days'# Italy])),betaItaly/(deltaItaly+betaPodeltaItaly*EXP(-betaItaly*tblData[Days'# Italy])),"")</f>
        <v>283.81973953695217</v>
      </c>
      <c r="AS44" s="11">
        <f>IF(AND(tblData[Date]&gt;StartDt2Italy,ISNUMBER(tblData[Italy])),(tblData[[#This Row],[Italy LogiP(t)]]-tblData[[#This Row],[Italy]])^2,"")</f>
        <v>3005.2038428992769</v>
      </c>
      <c r="AT44" s="43">
        <f>IF(AND(tblData[Date]&gt;StartDt2Italy,ISNUMBER(tblData[Days'# Italy])),tblData[[#This Row],[Italy LogiP(t)]]/$AS$9,"")</f>
        <v>46.951156250943285</v>
      </c>
      <c r="AU44" s="21">
        <f>IF(ISNUMBER(tblData[[#This Row],[Days'# US]]),betaUS/(deltaUS+betaPodeltaUS*EXP(-betaUS*tblData[Days'# US])),"")</f>
        <v>4.0067205999808984</v>
      </c>
      <c r="AV44" s="11">
        <f>IF(ISNUMBER(tblData[US]),(tblData[[#This Row],[US LogiP(t)]]-tblData[US])^2,"")</f>
        <v>2208.3683087682598</v>
      </c>
      <c r="AW44" s="21">
        <f>IF(ISNUMBER(tblData[[#This Row],[Days'# US]]),tblData[[#This Row],[US LogiP(t)]]/$AV$9,"")</f>
        <v>0.12170057501717667</v>
      </c>
      <c r="AX44" s="21">
        <f>IF(tblData[Date]&gt;=StartDt2Korea,betaSKorea/(deltaSKorea+betaPodeltaSKorea*EXP(-betaSKorea*(tblData[Date]-StartDt2Korea))),"")</f>
        <v>868.47347962104118</v>
      </c>
      <c r="AY44" s="21">
        <f>IF(AND(tblData[Date]&gt;=StartDt2Korea,ISNUMBER(tblData[SKorea])),(tblData[[#This Row],[SKorea LogiP(t)]]-tblData[[#This Row],[SKorea]])^2,"")</f>
        <v>1258.3677564244238</v>
      </c>
      <c r="AZ44" s="21">
        <f>IF(tblData[Date]&gt;=StartDt2Korea,tblData[[#This Row],[SKorea LogiP(t)]]/$AY$9,"")</f>
        <v>168.96371198852941</v>
      </c>
      <c r="BA44" s="11">
        <f>IF(ISNUMBER(tblData[Days'# UK]),betaUK/(deltaUK+betaPodeltaUK*EXP(-betaUK*tblData[Days'# UK])),"")</f>
        <v>10.815079589629688</v>
      </c>
      <c r="BB44" s="21">
        <f>IF(ISNUMBER(tblData[UK]),(tblData[[#This Row],[UK LogiP(t)]]-tblData[[#This Row],[UK]])^2,"")</f>
        <v>4.7738771996527722</v>
      </c>
      <c r="BC44" s="21">
        <f>IF(ISNUMBER(tblData[Days'# UK]),tblData[[#This Row],[UK LogiP(t)]]/$BB$9,"")</f>
        <v>1.6277964463620842</v>
      </c>
      <c r="BD44" s="11">
        <f>IF(ISNUMBER(tblData[Days'# China]),betaChina/(deltaChina+betaPodeltaChina*EXP(-betaChina*tblData[Days'# China])),"")</f>
        <v>78327.953290658028</v>
      </c>
      <c r="BE44" s="11">
        <f>IF(ISNUMBER(tblData[China]),(tblData[[#This Row],[China LogiP(t)]]-tblData[[#This Row],[China]])^2,"")</f>
        <v>1181467.4560723156</v>
      </c>
      <c r="BF44" s="11">
        <f>tblData[[#This Row],[China LogiP(t)]]/$BE$9</f>
        <v>544.19967624197739</v>
      </c>
      <c r="BG44" s="11">
        <f>IF(ISNUMBER(tblData[Day'# Singapore]),betaSingapore/(deltaSingapore+betaPodeltaSingapore*EXP(-betaSingapore*tblData[Day'# Singapore])),"")</f>
        <v>104.56330919102712</v>
      </c>
      <c r="BH44" s="11">
        <f>IF(AND(ISNUMBER(tblData[Singapore]),tblData[Date]&gt;=StartDt2Singapore),(tblData[[#This Row],[Singapore LogiP(t)]]-tblData[[#This Row],[Singapore]])^2,"")</f>
        <v>242.21659297550912</v>
      </c>
      <c r="BI44" s="11">
        <f>IF(ISNUMBER(tblData[Day'# Singapore]),tblData[Singapore LogiP(t)]/$BH$9,"")</f>
        <v>178.74069947184122</v>
      </c>
      <c r="BJ44" s="11"/>
      <c r="BK44" s="11"/>
      <c r="BL44" s="11" t="str">
        <f>IF(ISNUMBER(tblData[[#This Row],[NSW Number of Tests]]),tblData[[#This Row],[NSW Number of Tests]]-BJ43,"")</f>
        <v/>
      </c>
      <c r="BM44" s="11" t="str">
        <f>IF(ISNUMBER(tblData[[#This Row],[NSW Under Investigation'']]),tblData[[#This Row],[NSW Under Investigation'']]-BK43,"")</f>
        <v/>
      </c>
      <c r="BN44" s="11"/>
      <c r="BO44" s="11" t="str">
        <f>IF(ISNUMBER(tblData[[#This Row],[NSW Test Day Number]]),betaTest/(deltaTest+betaPodeltaTest*EXP(-betaTest*tblData[[#This Row],[NSW Test Day Number]])),"")</f>
        <v/>
      </c>
      <c r="BP44" s="11" t="str">
        <f>IF(ISNUMBER(tblData[[#This Row],[NSW Number of Tests]]),(tblData[[#This Row],[NSW Number of Tests]]-tblData[[#This Row],[NSW Test Logi]])^2,"")</f>
        <v/>
      </c>
      <c r="BR44"/>
      <c r="BV44" s="26"/>
      <c r="CE44"/>
      <c r="CF44"/>
      <c r="CH44" s="26"/>
      <c r="CI44" s="26"/>
      <c r="DM44"/>
      <c r="DN44" t="s">
        <v>480</v>
      </c>
      <c r="DO44" s="80"/>
      <c r="DP44" s="27">
        <v>43852</v>
      </c>
      <c r="DQ44" s="27"/>
      <c r="DR44">
        <v>3</v>
      </c>
      <c r="DS44" s="23">
        <v>0.36149962702652205</v>
      </c>
      <c r="DT44" s="25">
        <v>4.559608796995672E-5</v>
      </c>
      <c r="DU44" s="22">
        <v>2.9311946911653858E-2</v>
      </c>
      <c r="DV44" s="108">
        <v>7928.3035699184175</v>
      </c>
      <c r="DW44" s="19">
        <v>80.421636650241254</v>
      </c>
      <c r="DX44" s="37">
        <v>12.332796985678472</v>
      </c>
      <c r="DY44" s="112">
        <v>4.559608796995672E-2</v>
      </c>
      <c r="DZ44" s="12"/>
      <c r="EA44" s="27">
        <v>43907</v>
      </c>
      <c r="EB44" s="27" t="s">
        <v>960</v>
      </c>
      <c r="EC44" s="27"/>
      <c r="ED44" s="112">
        <v>4736</v>
      </c>
      <c r="EE44" s="19" t="s">
        <v>961</v>
      </c>
      <c r="EF44" s="27">
        <v>43906</v>
      </c>
      <c r="EG44">
        <v>38</v>
      </c>
      <c r="EH44" s="18" t="s">
        <v>962</v>
      </c>
      <c r="EJ44" t="s">
        <v>963</v>
      </c>
      <c r="EL44"/>
      <c r="EP44" s="94"/>
    </row>
    <row r="45" spans="2:148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48">
        <f>IF(ISNUMBER(tblData[Italy]),tblData[Italy]/$N$9,"")</f>
        <v>53.267162944582303</v>
      </c>
      <c r="O45">
        <v>51</v>
      </c>
      <c r="P45" s="48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>
        <v>91</v>
      </c>
      <c r="X45" s="21">
        <f>IF(ISNUMBER(tblData[Singapore]),tblData[Singapore]/$X$9,"")</f>
        <v>155.55555555555557</v>
      </c>
      <c r="Y45" s="21"/>
      <c r="Z45" s="21"/>
      <c r="AA45" s="26">
        <f>IF(tblData[[#This Row],[Date]]&lt;ItalyStart,"",tblData[[#This Row],[Date]]-ItalyStart)</f>
        <v>26</v>
      </c>
      <c r="AB45" s="26">
        <f t="shared" si="7"/>
        <v>16</v>
      </c>
      <c r="AC45" s="26">
        <f t="shared" si="4"/>
        <v>34</v>
      </c>
      <c r="AD45" s="26">
        <f>IF(tblData[[#This Row],[Date]]&lt;StartDt2Korea,"",tblData[[#This Row],[Date]]-StartDt2Korea)</f>
        <v>6</v>
      </c>
      <c r="AE45" s="26">
        <f>IF(tblData[[#This Row],[Date]]&lt;UKStart,"",tblData[[#This Row],[Date]]-UKStart)</f>
        <v>26</v>
      </c>
      <c r="AF45" s="26">
        <f>IF(tblData[[#This Row],[Date]]&lt;SingaporeStart,"",tblData[[#This Row],[Date]]-SingaporeStart)</f>
        <v>33</v>
      </c>
      <c r="AG45">
        <f>IF(tblData[Date]&gt;=StartDt2Au,tblData[Date]-StartDt2Au,"")</f>
        <v>31</v>
      </c>
      <c r="AH45" s="26">
        <f>IF(tblData[New South Wales]&gt;0,SUM(tblData[[#This Row],[Australian Capital Territory]:[Western Australia]]),"")</f>
        <v>15</v>
      </c>
      <c r="AI45" s="12">
        <f>IF(ISNUMBER(tblData[Au]),tblData[Au]/$AE$9,"")</f>
        <v>5.9138937076170954</v>
      </c>
      <c r="AJ45" s="19">
        <f>IF(ISNUMBER(tblData[[#This Row],[Day'# Aust]]),betaAu/(deltaAu+betaPodeltaAu*EXP(-betaAu*tblData[[#This Row],[Day'# Aust]])),"")</f>
        <v>5.1077795463870794</v>
      </c>
      <c r="AK45" s="70">
        <f>IF(ISNUMBER(tblData[Day'# Aust]),tblData[Au LogiP(t)]/$AI$9,"")</f>
        <v>2.0137910212849235</v>
      </c>
      <c r="AL45" s="11">
        <f>IF(AND(tblData[Date]&gt;=StartDt2Au,ISNUMBER(tblData[NSW])),(tblData[[#This Row],[Au LogiP(t)]]-tblData[[#This Row],[Au]])^2,"")</f>
        <v>97.856025502877827</v>
      </c>
      <c r="AM45">
        <f>IF(tblData[Date]&gt;StartDt2NSW,tblData[Date]-StartDt2NSW,"")</f>
        <v>31</v>
      </c>
      <c r="AN45">
        <f t="shared" si="5"/>
        <v>4</v>
      </c>
      <c r="AO45" s="11">
        <f>IF(tblData[Date]&gt;StartDt2NSW,betaNSW/(deltaNSW+betaPodeltaNSW*EXP(-betaNSW*tblData[[#This Row],[Day '# NSW]])),"")</f>
        <v>3.2108300572511452</v>
      </c>
      <c r="AP45" s="12">
        <f>IF(AND(ISNUMBER(tblData[NSW]),tblData[Date]&gt;StartDt2NSW),(tblData[[#This Row],[NSW LogiP(t)]]-tblData[[#This Row],[NSW]])^2,"")</f>
        <v>0.62278919853823067</v>
      </c>
      <c r="AQ45" s="12">
        <f>IF(AND(tblData[Date]&gt;StartDt2NSW,ISNUMBER(tblData[Day'# Aust])),tblData[NSW LogiP(t)]/$AL$9,"")</f>
        <v>3.9737995758058724</v>
      </c>
      <c r="AR45" s="11">
        <f>IF(AND(tblData[Date]&gt;StartDt2Italy,ISNUMBER(tblData[Days'# Italy])),betaItaly/(deltaItaly+betaPodeltaItaly*EXP(-betaItaly*tblData[Days'# Italy])),"")</f>
        <v>367.16255069160729</v>
      </c>
      <c r="AS45" s="11">
        <f>IF(AND(tblData[Date]&gt;StartDt2Italy,ISNUMBER(tblData[Italy])),(tblData[[#This Row],[Italy LogiP(t)]]-tblData[[#This Row],[Italy]])^2,"")</f>
        <v>2039.6559849719984</v>
      </c>
      <c r="AT45" s="43">
        <f>IF(AND(tblData[Date]&gt;StartDt2Italy,ISNUMBER(tblData[Days'# Italy])),tblData[[#This Row],[Italy LogiP(t)]]/$AS$9,"")</f>
        <v>60.738221785212126</v>
      </c>
      <c r="AU45" s="21">
        <f>IF(ISNUMBER(tblData[[#This Row],[Days'# US]]),betaUS/(deltaUS+betaPodeltaUS*EXP(-betaUS*tblData[Days'# US])),"")</f>
        <v>5.613624314041723</v>
      </c>
      <c r="AV45" s="11">
        <f>IF(ISNUMBER(tblData[US]),(tblData[[#This Row],[US LogiP(t)]]-tblData[US])^2,"")</f>
        <v>2059.9230979069448</v>
      </c>
      <c r="AW45" s="21">
        <f>IF(ISNUMBER(tblData[[#This Row],[Days'# US]]),tblData[[#This Row],[US LogiP(t)]]/$AV$9,"")</f>
        <v>0.17050884630002369</v>
      </c>
      <c r="AX45" s="21">
        <f>IF(tblData[Date]&gt;=StartDt2Korea,betaSKorea/(deltaSKorea+betaPodeltaSKorea*EXP(-betaSKorea*(tblData[Date]-StartDt2Korea))),"")</f>
        <v>1142.051903075037</v>
      </c>
      <c r="AY45" s="21">
        <f>IF(AND(tblData[Date]&gt;=StartDt2Korea,ISNUMBER(tblData[SKorea])),(tblData[[#This Row],[SKorea LogiP(t)]]-tblData[[#This Row],[SKorea]])^2,"")</f>
        <v>27242.130708691406</v>
      </c>
      <c r="AZ45" s="21">
        <f>IF(tblData[Date]&gt;=StartDt2Korea,tblData[[#This Row],[SKorea LogiP(t)]]/$AY$9,"")</f>
        <v>222.18908620136907</v>
      </c>
      <c r="BA45" s="11">
        <f>IF(ISNUMBER(tblData[Days'# UK]),betaUK/(deltaUK+betaPodeltaUK*EXP(-betaUK*tblData[Days'# UK])),"")</f>
        <v>13.692599432626999</v>
      </c>
      <c r="BB45" s="21">
        <f>IF(ISNUMBER(tblData[UK]),(tblData[[#This Row],[UK LogiP(t)]]-tblData[[#This Row],[UK]])^2,"")</f>
        <v>0.47969397407524045</v>
      </c>
      <c r="BC45" s="21">
        <f>IF(ISNUMBER(tblData[Days'# UK]),tblData[[#This Row],[UK LogiP(t)]]/$BB$9,"")</f>
        <v>2.0608969645736002</v>
      </c>
      <c r="BD45" s="11">
        <f>IF(ISNUMBER(tblData[Days'# China]),betaChina/(deltaChina+betaPodeltaChina*EXP(-betaChina*tblData[Days'# China])),"")</f>
        <v>78842.101822830795</v>
      </c>
      <c r="BE45" s="11">
        <f>IF(ISNUMBER(tblData[China]),(tblData[[#This Row],[China LogiP(t)]]-tblData[[#This Row],[China]])^2,"")</f>
        <v>1183965.5768476985</v>
      </c>
      <c r="BF45" s="11">
        <f>tblData[[#This Row],[China LogiP(t)]]/$BE$9</f>
        <v>547.77182964308088</v>
      </c>
      <c r="BG45" s="11">
        <f>IF(ISNUMBER(tblData[Day'# Singapore]),betaSingapore/(deltaSingapore+betaPodeltaSingapore*EXP(-betaSingapore*tblData[Day'# Singapore])),"")</f>
        <v>109.26087087397744</v>
      </c>
      <c r="BH45" s="11">
        <f>IF(AND(ISNUMBER(tblData[Singapore]),tblData[Date]&gt;=StartDt2Singapore),(tblData[[#This Row],[Singapore LogiP(t)]]-tblData[[#This Row],[Singapore]])^2,"")</f>
        <v>333.45940507607753</v>
      </c>
      <c r="BI45" s="11">
        <f>IF(ISNUMBER(tblData[Day'# Singapore]),tblData[Singapore LogiP(t)]/$BH$9,"")</f>
        <v>186.77071944269647</v>
      </c>
      <c r="BJ45" s="11"/>
      <c r="BK45" s="11"/>
      <c r="BL45" s="11" t="str">
        <f>IF(ISNUMBER(tblData[[#This Row],[NSW Number of Tests]]),tblData[[#This Row],[NSW Number of Tests]]-BJ44,"")</f>
        <v/>
      </c>
      <c r="BM45" s="11" t="str">
        <f>IF(ISNUMBER(tblData[[#This Row],[NSW Under Investigation'']]),tblData[[#This Row],[NSW Under Investigation'']]-BK44,"")</f>
        <v/>
      </c>
      <c r="BN45" s="11"/>
      <c r="BO45" s="11" t="str">
        <f>IF(ISNUMBER(tblData[[#This Row],[NSW Test Day Number]]),betaTest/(deltaTest+betaPodeltaTest*EXP(-betaTest*tblData[[#This Row],[NSW Test Day Number]])),"")</f>
        <v/>
      </c>
      <c r="BP45" s="11" t="str">
        <f>IF(ISNUMBER(tblData[[#This Row],[NSW Number of Tests]]),(tblData[[#This Row],[NSW Number of Tests]]-tblData[[#This Row],[NSW Test Logi]])^2,"")</f>
        <v/>
      </c>
      <c r="BR45"/>
      <c r="BV45" s="26"/>
      <c r="CE45"/>
      <c r="CF45"/>
      <c r="CH45" s="26"/>
      <c r="CI45" s="26"/>
      <c r="DM45"/>
      <c r="DN45" t="s">
        <v>480</v>
      </c>
      <c r="DO45" s="80"/>
      <c r="DP45" s="27">
        <v>43852</v>
      </c>
      <c r="DQ45" s="27"/>
      <c r="DR45">
        <v>3</v>
      </c>
      <c r="DS45" s="23">
        <v>0.27693699134998795</v>
      </c>
      <c r="DT45" s="25">
        <v>9.9999999999976868E-11</v>
      </c>
      <c r="DU45" s="22">
        <v>0.29473541562593031</v>
      </c>
      <c r="DV45" s="108">
        <v>2769369913.5005202</v>
      </c>
      <c r="DW45" s="19">
        <v>50.62824539226316</v>
      </c>
      <c r="DX45" s="37">
        <v>0.93961219669642571</v>
      </c>
      <c r="DY45" s="112">
        <v>9.9999999999976874E-8</v>
      </c>
      <c r="DZ45" s="12"/>
      <c r="EA45" s="27">
        <v>43907</v>
      </c>
      <c r="EB45" s="27" t="s">
        <v>998</v>
      </c>
      <c r="EC45" s="27"/>
      <c r="ED45" s="112">
        <v>6421</v>
      </c>
      <c r="EE45" s="19" t="s">
        <v>999</v>
      </c>
      <c r="EF45" s="27">
        <v>43907</v>
      </c>
      <c r="EG45">
        <v>38</v>
      </c>
      <c r="EH45" s="18" t="s">
        <v>1000</v>
      </c>
      <c r="EJ45" t="s">
        <v>1001</v>
      </c>
      <c r="EK45" t="s">
        <v>968</v>
      </c>
      <c r="EL45" t="s">
        <v>1002</v>
      </c>
      <c r="EP45" s="94"/>
    </row>
    <row r="46" spans="2:148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48">
        <f>IF(ISNUMBER(tblData[Italy]),tblData[Italy]/$N$9,"")</f>
        <v>74.937965260545909</v>
      </c>
      <c r="O46">
        <v>57</v>
      </c>
      <c r="P46" s="48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>
        <v>93</v>
      </c>
      <c r="X46" s="21">
        <f>IF(ISNUMBER(tblData[Singapore]),tblData[Singapore]/$X$9,"")</f>
        <v>158.97435897435898</v>
      </c>
      <c r="Y46" s="21"/>
      <c r="Z46" s="21"/>
      <c r="AA46" s="26">
        <f>IF(tblData[[#This Row],[Date]]&lt;ItalyStart,"",tblData[[#This Row],[Date]]-ItalyStart)</f>
        <v>27</v>
      </c>
      <c r="AB46" s="26">
        <f t="shared" si="7"/>
        <v>17</v>
      </c>
      <c r="AC46" s="26">
        <f t="shared" si="4"/>
        <v>35</v>
      </c>
      <c r="AD46" s="26">
        <f>IF(tblData[[#This Row],[Date]]&lt;StartDt2Korea,"",tblData[[#This Row],[Date]]-StartDt2Korea)</f>
        <v>7</v>
      </c>
      <c r="AE46" s="26">
        <f>IF(tblData[[#This Row],[Date]]&lt;UKStart,"",tblData[[#This Row],[Date]]-UKStart)</f>
        <v>27</v>
      </c>
      <c r="AF46" s="26">
        <f>IF(tblData[[#This Row],[Date]]&lt;SingaporeStart,"",tblData[[#This Row],[Date]]-SingaporeStart)</f>
        <v>34</v>
      </c>
      <c r="AG46">
        <f>IF(tblData[Date]&gt;=StartDt2Au,tblData[Date]-StartDt2Au,"")</f>
        <v>32</v>
      </c>
      <c r="AH46" s="26">
        <f>IF(tblData[New South Wales]&gt;0,SUM(tblData[[#This Row],[Australian Capital Territory]:[Western Australia]]),"")</f>
        <v>15</v>
      </c>
      <c r="AI46" s="12">
        <f>IF(ISNUMBER(tblData[Au]),tblData[Au]/$AE$9,"")</f>
        <v>5.9138937076170954</v>
      </c>
      <c r="AJ46" s="19">
        <f>IF(ISNUMBER(tblData[[#This Row],[Day'# Aust]]),betaAu/(deltaAu+betaPodeltaAu*EXP(-betaAu*tblData[[#This Row],[Day'# Aust]])),"")</f>
        <v>6.3315906494979819</v>
      </c>
      <c r="AK46" s="70">
        <f>IF(ISNUMBER(tblData[Day'# Aust]),tblData[Au LogiP(t)]/$AI$9,"")</f>
        <v>2.4962902734182233</v>
      </c>
      <c r="AL46" s="11">
        <f>IF(AND(tblData[Date]&gt;=StartDt2Au,ISNUMBER(tblData[NSW])),(tblData[[#This Row],[Au LogiP(t)]]-tblData[[#This Row],[Au]])^2,"")</f>
        <v>75.141320667870801</v>
      </c>
      <c r="AM46">
        <f>IF(tblData[Date]&gt;StartDt2NSW,tblData[Date]-StartDt2NSW,"")</f>
        <v>32</v>
      </c>
      <c r="AN46">
        <f t="shared" si="5"/>
        <v>4</v>
      </c>
      <c r="AO46" s="11">
        <f>IF(tblData[Date]&gt;StartDt2NSW,betaNSW/(deltaNSW+betaPodeltaNSW*EXP(-betaNSW*tblData[[#This Row],[Day '# NSW]])),"")</f>
        <v>3.9152079059817435</v>
      </c>
      <c r="AP46" s="12">
        <f>IF(AND(ISNUMBER(tblData[NSW]),tblData[Date]&gt;StartDt2NSW),(tblData[[#This Row],[NSW LogiP(t)]]-tblData[[#This Row],[NSW]])^2,"")</f>
        <v>7.1896992080008482E-3</v>
      </c>
      <c r="AQ46" s="12">
        <f>IF(AND(tblData[Date]&gt;StartDt2NSW,ISNUMBER(tblData[Day'# Aust])),tblData[NSW LogiP(t)]/$AL$9,"")</f>
        <v>4.8455543390863163</v>
      </c>
      <c r="AR46" s="11">
        <f>IF(AND(tblData[Date]&gt;StartDt2Italy,ISNUMBER(tblData[Days'# Italy])),betaItaly/(deltaItaly+betaPodeltaItaly*EXP(-betaItaly*tblData[Days'# Italy])),"")</f>
        <v>474.80034281128025</v>
      </c>
      <c r="AS46" s="11">
        <f>IF(AND(tblData[Date]&gt;StartDt2Italy,ISNUMBER(tblData[Italy])),(tblData[[#This Row],[Italy LogiP(t)]]-tblData[[#This Row],[Italy]])^2,"")</f>
        <v>475.25494668933828</v>
      </c>
      <c r="AT46" s="43">
        <f>IF(AND(tblData[Date]&gt;StartDt2Italy,ISNUMBER(tblData[Days'# Italy])),tblData[[#This Row],[Italy LogiP(t)]]/$AS$9,"")</f>
        <v>78.544308157366459</v>
      </c>
      <c r="AU46" s="21">
        <f>IF(ISNUMBER(tblData[[#This Row],[Days'# US]]),betaUS/(deltaUS+betaPodeltaUS*EXP(-betaUS*tblData[Days'# US])),"")</f>
        <v>7.864948831273793</v>
      </c>
      <c r="AV46" s="11">
        <f>IF(ISNUMBER(tblData[US]),(tblData[[#This Row],[US LogiP(t)]]-tblData[US])^2,"")</f>
        <v>2414.2532533533426</v>
      </c>
      <c r="AW46" s="21">
        <f>IF(ISNUMBER(tblData[[#This Row],[Days'# US]]),tblData[[#This Row],[US LogiP(t)]]/$AV$9,"")</f>
        <v>0.23889082639085327</v>
      </c>
      <c r="AX46" s="21">
        <f>IF(tblData[Date]&gt;=StartDt2Korea,betaSKorea/(deltaSKorea+betaPodeltaSKorea*EXP(-betaSKorea*(tblData[Date]-StartDt2Korea))),"")</f>
        <v>1485.0238839981164</v>
      </c>
      <c r="AY46" s="21">
        <f>IF(AND(tblData[Date]&gt;=StartDt2Korea,ISNUMBER(tblData[SKorea])),(tblData[[#This Row],[SKorea LogiP(t)]]-tblData[[#This Row],[SKorea]])^2,"")</f>
        <v>50186.700601601508</v>
      </c>
      <c r="AZ46" s="21">
        <f>IF(tblData[Date]&gt;=StartDt2Korea,tblData[[#This Row],[SKorea LogiP(t)]]/$AY$9,"")</f>
        <v>288.91515252881646</v>
      </c>
      <c r="BA46" s="11">
        <f>IF(ISNUMBER(tblData[Days'# UK]),betaUK/(deltaUK+betaPodeltaUK*EXP(-betaUK*tblData[Days'# UK])),"")</f>
        <v>17.335608269886848</v>
      </c>
      <c r="BB46" s="21">
        <f>IF(ISNUMBER(tblData[UK]),(tblData[[#This Row],[UK LogiP(t)]]-tblData[[#This Row],[UK]])^2,"")</f>
        <v>18.797499069911225</v>
      </c>
      <c r="BC46" s="21">
        <f>IF(ISNUMBER(tblData[Days'# UK]),tblData[[#This Row],[UK LogiP(t)]]/$BB$9,"")</f>
        <v>2.6092125631979002</v>
      </c>
      <c r="BD46" s="11">
        <f>IF(ISNUMBER(tblData[Days'# China]),betaChina/(deltaChina+betaPodeltaChina*EXP(-betaChina*tblData[Days'# China])),"")</f>
        <v>79258.724998794656</v>
      </c>
      <c r="BE46" s="11">
        <f>IF(ISNUMBER(tblData[China]),(tblData[[#This Row],[China LogiP(t)]]-tblData[[#This Row],[China]])^2,"")</f>
        <v>1194047.9229907813</v>
      </c>
      <c r="BF46" s="11">
        <f>tblData[[#This Row],[China LogiP(t)]]/$BE$9</f>
        <v>550.6664054356221</v>
      </c>
      <c r="BG46" s="11">
        <f>IF(ISNUMBER(tblData[Day'# Singapore]),betaSingapore/(deltaSingapore+betaPodeltaSingapore*EXP(-betaSingapore*tblData[Day'# Singapore])),"")</f>
        <v>114.16947298667813</v>
      </c>
      <c r="BH46" s="11">
        <f>IF(AND(ISNUMBER(tblData[Singapore]),tblData[Date]&gt;=StartDt2Singapore),(tblData[[#This Row],[Singapore LogiP(t)]]-tblData[[#This Row],[Singapore]])^2,"")</f>
        <v>448.14658653369509</v>
      </c>
      <c r="BI46" s="11">
        <f>IF(ISNUMBER(tblData[Day'# Singapore]),tblData[Singapore LogiP(t)]/$BH$9,"")</f>
        <v>195.16149228491989</v>
      </c>
      <c r="BJ46" s="11"/>
      <c r="BK46" s="11"/>
      <c r="BL46" s="11" t="str">
        <f>IF(ISNUMBER(tblData[[#This Row],[NSW Number of Tests]]),tblData[[#This Row],[NSW Number of Tests]]-BJ45,"")</f>
        <v/>
      </c>
      <c r="BM46" s="11" t="str">
        <f>IF(ISNUMBER(tblData[[#This Row],[NSW Under Investigation'']]),tblData[[#This Row],[NSW Under Investigation'']]-BK45,"")</f>
        <v/>
      </c>
      <c r="BN46" s="11"/>
      <c r="BO46" s="11" t="str">
        <f>IF(ISNUMBER(tblData[[#This Row],[NSW Test Day Number]]),betaTest/(deltaTest+betaPodeltaTest*EXP(-betaTest*tblData[[#This Row],[NSW Test Day Number]])),"")</f>
        <v/>
      </c>
      <c r="BP46" s="11" t="str">
        <f>IF(ISNUMBER(tblData[[#This Row],[NSW Number of Tests]]),(tblData[[#This Row],[NSW Number of Tests]]-tblData[[#This Row],[NSW Test Logi]])^2,"")</f>
        <v/>
      </c>
      <c r="BR46"/>
      <c r="BV46" s="26"/>
      <c r="CE46"/>
      <c r="CF46"/>
      <c r="CH46" s="26"/>
      <c r="CI46" s="26"/>
      <c r="DM46"/>
      <c r="DN46" s="26" t="s">
        <v>480</v>
      </c>
      <c r="DO46" s="80"/>
      <c r="DP46" s="27">
        <v>43852</v>
      </c>
      <c r="DQ46" s="27"/>
      <c r="DR46" s="26">
        <v>3</v>
      </c>
      <c r="DS46" s="23">
        <v>0.26960395783553237</v>
      </c>
      <c r="DT46" s="25">
        <v>9.0234118240884196E-8</v>
      </c>
      <c r="DU46" s="22">
        <v>0.28960505152543209</v>
      </c>
      <c r="DV46" s="108">
        <v>2987827.2552718031</v>
      </c>
      <c r="DW46" s="22">
        <v>77.269010204642242</v>
      </c>
      <c r="DX46" s="37">
        <v>0.9309365644114127</v>
      </c>
      <c r="DY46" s="112">
        <v>9.0234118240884196E-5</v>
      </c>
      <c r="DZ46" s="24"/>
      <c r="EA46" s="27">
        <v>43907</v>
      </c>
      <c r="EB46" s="27" t="s">
        <v>1014</v>
      </c>
      <c r="EC46" s="27"/>
      <c r="ED46" s="112">
        <v>7786</v>
      </c>
      <c r="EE46" s="26" t="s">
        <v>1015</v>
      </c>
      <c r="EF46" s="27">
        <v>43907</v>
      </c>
      <c r="EG46" s="19">
        <v>39</v>
      </c>
      <c r="EH46" s="27" t="s">
        <v>1016</v>
      </c>
      <c r="EI46" s="26"/>
      <c r="EJ46" s="26" t="s">
        <v>1017</v>
      </c>
      <c r="EK46" s="33" t="s">
        <v>968</v>
      </c>
      <c r="EL46" s="18" t="s">
        <v>1018</v>
      </c>
      <c r="EM46" s="21">
        <v>236.49282585071069</v>
      </c>
      <c r="EN46" s="94">
        <v>43907</v>
      </c>
      <c r="EO46" s="11">
        <v>-2</v>
      </c>
      <c r="EP46" s="94">
        <v>43909</v>
      </c>
      <c r="EQ46" s="11">
        <v>0</v>
      </c>
    </row>
    <row r="47" spans="2:148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48">
        <f>IF(ISNUMBER(tblData[Italy]),tblData[Italy]/$N$9,"")</f>
        <v>108.35401157981804</v>
      </c>
      <c r="O47">
        <v>58</v>
      </c>
      <c r="P47" s="48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>
        <v>93</v>
      </c>
      <c r="X47" s="21">
        <f>IF(ISNUMBER(tblData[Singapore]),tblData[Singapore]/$X$9,"")</f>
        <v>158.97435897435898</v>
      </c>
      <c r="Y47" s="21"/>
      <c r="Z47" s="21"/>
      <c r="AA47" s="26">
        <f>IF(tblData[[#This Row],[Date]]&lt;ItalyStart,"",tblData[[#This Row],[Date]]-ItalyStart)</f>
        <v>28</v>
      </c>
      <c r="AB47" s="26">
        <f t="shared" si="7"/>
        <v>18</v>
      </c>
      <c r="AC47" s="26">
        <f t="shared" si="4"/>
        <v>36</v>
      </c>
      <c r="AD47" s="26">
        <f>IF(tblData[[#This Row],[Date]]&lt;StartDt2Korea,"",tblData[[#This Row],[Date]]-StartDt2Korea)</f>
        <v>8</v>
      </c>
      <c r="AE47" s="26">
        <f>IF(tblData[[#This Row],[Date]]&lt;UKStart,"",tblData[[#This Row],[Date]]-UKStart)</f>
        <v>28</v>
      </c>
      <c r="AF47" s="26">
        <f>IF(tblData[[#This Row],[Date]]&lt;SingaporeStart,"",tblData[[#This Row],[Date]]-SingaporeStart)</f>
        <v>35</v>
      </c>
      <c r="AG47">
        <f>IF(tblData[Date]&gt;=StartDt2Au,tblData[Date]-StartDt2Au,"")</f>
        <v>33</v>
      </c>
      <c r="AH47" s="26">
        <f>IF(tblData[New South Wales]&gt;0,SUM(tblData[[#This Row],[Australian Capital Territory]:[Western Australia]]),"")</f>
        <v>15</v>
      </c>
      <c r="AI47" s="12">
        <f>IF(ISNUMBER(tblData[Au]),tblData[Au]/$AE$9,"")</f>
        <v>5.9138937076170954</v>
      </c>
      <c r="AJ47" s="19">
        <f>IF(ISNUMBER(tblData[[#This Row],[Day'# Aust]]),betaAu/(deltaAu+betaPodeltaAu*EXP(-betaAu*tblData[[#This Row],[Day'# Aust]])),"")</f>
        <v>7.8486238077976571</v>
      </c>
      <c r="AK47" s="70">
        <f>IF(ISNUMBER(tblData[Day'# Aust]),tblData[Au LogiP(t)]/$AI$9,"")</f>
        <v>3.0943951300258861</v>
      </c>
      <c r="AL47" s="11">
        <f>IF(AND(tblData[Date]&gt;=StartDt2Au,ISNUMBER(tblData[NSW])),(tblData[[#This Row],[Au LogiP(t)]]-tblData[[#This Row],[Au]])^2,"")</f>
        <v>51.142181442398481</v>
      </c>
      <c r="AM47">
        <f>IF(tblData[Date]&gt;StartDt2NSW,tblData[Date]-StartDt2NSW,"")</f>
        <v>33</v>
      </c>
      <c r="AN47">
        <f t="shared" si="5"/>
        <v>4</v>
      </c>
      <c r="AO47" s="11">
        <f>IF(tblData[Date]&gt;StartDt2NSW,betaNSW/(deltaNSW+betaPodeltaNSW*EXP(-betaNSW*tblData[[#This Row],[Day '# NSW]])),"")</f>
        <v>4.7741090851047217</v>
      </c>
      <c r="AP47" s="12">
        <f>IF(AND(ISNUMBER(tblData[NSW]),tblData[Date]&gt;StartDt2NSW),(tblData[[#This Row],[NSW LogiP(t)]]-tblData[[#This Row],[NSW]])^2,"")</f>
        <v>0.59924487564166917</v>
      </c>
      <c r="AQ47" s="12">
        <f>IF(AND(tblData[Date]&gt;StartDt2NSW,ISNUMBER(tblData[Day'# Aust])),tblData[NSW LogiP(t)]/$AL$9,"")</f>
        <v>5.9085508479018829</v>
      </c>
      <c r="AR47" s="11">
        <f>IF(AND(tblData[Date]&gt;StartDt2Italy,ISNUMBER(tblData[Days'# Italy])),betaItaly/(deltaItaly+betaPodeltaItaly*EXP(-betaItaly*tblData[Days'# Italy])),"")</f>
        <v>613.69568472116532</v>
      </c>
      <c r="AS47" s="11">
        <f>IF(AND(tblData[Date]&gt;StartDt2Italy,ISNUMBER(tblData[Italy])),(tblData[[#This Row],[Italy LogiP(t)]]-tblData[[#This Row],[Italy]])^2,"")</f>
        <v>1706.0464606533758</v>
      </c>
      <c r="AT47" s="43">
        <f>IF(AND(tblData[Date]&gt;StartDt2Italy,ISNUMBER(tblData[Days'# Italy])),tblData[[#This Row],[Italy LogiP(t)]]/$AS$9,"")</f>
        <v>101.52120508207864</v>
      </c>
      <c r="AU47" s="21">
        <f>IF(ISNUMBER(tblData[[#This Row],[Days'# US]]),betaUS/(deltaUS+betaPodeltaUS*EXP(-betaUS*tblData[Days'# US])),"")</f>
        <v>11.019097767497756</v>
      </c>
      <c r="AV47" s="11">
        <f>IF(ISNUMBER(tblData[US]),(tblData[[#This Row],[US LogiP(t)]]-tblData[US])^2,"")</f>
        <v>2207.2051745799345</v>
      </c>
      <c r="AW47" s="21">
        <f>IF(ISNUMBER(tblData[[#This Row],[Days'# US]]),tblData[[#This Row],[US LogiP(t)]]/$AV$9,"")</f>
        <v>0.33469529531990772</v>
      </c>
      <c r="AX47" s="21">
        <f>IF(tblData[Date]&gt;=StartDt2Korea,betaSKorea/(deltaSKorea+betaPodeltaSKorea*EXP(-betaSKorea*(tblData[Date]-StartDt2Korea))),"")</f>
        <v>1904.3098614688436</v>
      </c>
      <c r="AY47" s="21">
        <f>IF(AND(tblData[Date]&gt;=StartDt2Korea,ISNUMBER(tblData[SKorea])),(tblData[[#This Row],[SKorea LogiP(t)]]-tblData[[#This Row],[SKorea]])^2,"")</f>
        <v>19129.617779530698</v>
      </c>
      <c r="AZ47" s="21">
        <f>IF(tblData[Date]&gt;=StartDt2Korea,tblData[[#This Row],[SKorea LogiP(t)]]/$AY$9,"")</f>
        <v>370.48829989666217</v>
      </c>
      <c r="BA47" s="11">
        <f>IF(ISNUMBER(tblData[Days'# UK]),betaUK/(deltaUK+betaPodeltaUK*EXP(-betaUK*tblData[Days'# UK])),"")</f>
        <v>21.947672208222741</v>
      </c>
      <c r="BB47" s="21">
        <f>IF(ISNUMBER(tblData[UK]),(tblData[[#This Row],[UK LogiP(t)]]-tblData[[#This Row],[UK]])^2,"")</f>
        <v>48.270149112910659</v>
      </c>
      <c r="BC47" s="21">
        <f>IF(ISNUMBER(tblData[Days'# UK]),tblData[[#This Row],[UK LogiP(t)]]/$BB$9,"")</f>
        <v>3.3033823311593529</v>
      </c>
      <c r="BD47" s="11">
        <f>IF(ISNUMBER(tblData[Days'# China]),betaChina/(deltaChina+betaPodeltaChina*EXP(-betaChina*tblData[Days'# China])),"")</f>
        <v>79595.545499477972</v>
      </c>
      <c r="BE47" s="11">
        <f>IF(ISNUMBER(tblData[China]),(tblData[[#This Row],[China LogiP(t)]]-tblData[[#This Row],[China]])^2,"")</f>
        <v>991110.8415308448</v>
      </c>
      <c r="BF47" s="11">
        <f>tblData[[#This Row],[China LogiP(t)]]/$BE$9</f>
        <v>553.00653561549984</v>
      </c>
      <c r="BG47" s="11">
        <f>IF(ISNUMBER(tblData[Day'# Singapore]),betaSingapore/(deltaSingapore+betaPodeltaSingapore*EXP(-betaSingapore*tblData[Day'# Singapore])),"")</f>
        <v>119.29859663140277</v>
      </c>
      <c r="BH47" s="11">
        <f>IF(AND(ISNUMBER(tblData[Singapore]),tblData[Date]&gt;=StartDt2Singapore),(tblData[[#This Row],[Singapore LogiP(t)]]-tblData[[#This Row],[Singapore]])^2,"")</f>
        <v>691.61618478122932</v>
      </c>
      <c r="BI47" s="11">
        <f>IF(ISNUMBER(tblData[Day'# Singapore]),tblData[Singapore LogiP(t)]/$BH$9,"")</f>
        <v>203.92922501094492</v>
      </c>
      <c r="BJ47" s="11"/>
      <c r="BK47" s="11"/>
      <c r="BL47" s="11" t="str">
        <f>IF(ISNUMBER(tblData[[#This Row],[NSW Number of Tests]]),tblData[[#This Row],[NSW Number of Tests]]-BJ46,"")</f>
        <v/>
      </c>
      <c r="BM47" s="11" t="str">
        <f>IF(ISNUMBER(tblData[[#This Row],[NSW Under Investigation'']]),tblData[[#This Row],[NSW Under Investigation'']]-BK46,"")</f>
        <v/>
      </c>
      <c r="BN47" s="11"/>
      <c r="BO47" s="11" t="str">
        <f>IF(ISNUMBER(tblData[[#This Row],[NSW Test Day Number]]),betaTest/(deltaTest+betaPodeltaTest*EXP(-betaTest*tblData[[#This Row],[NSW Test Day Number]])),"")</f>
        <v/>
      </c>
      <c r="BP47" s="11" t="str">
        <f>IF(ISNUMBER(tblData[[#This Row],[NSW Number of Tests]]),(tblData[[#This Row],[NSW Number of Tests]]-tblData[[#This Row],[NSW Test Logi]])^2,"")</f>
        <v/>
      </c>
      <c r="BR47"/>
      <c r="BV47" s="26"/>
      <c r="CE47"/>
      <c r="CF47"/>
      <c r="CH47" s="26"/>
      <c r="CI47" s="26"/>
      <c r="DM47"/>
      <c r="DN47" t="s">
        <v>480</v>
      </c>
      <c r="DO47" s="80">
        <v>43911.866307870368</v>
      </c>
      <c r="DP47" s="27">
        <v>43852</v>
      </c>
      <c r="DQ47" s="27">
        <v>43870</v>
      </c>
      <c r="DR47">
        <v>3</v>
      </c>
      <c r="DS47">
        <v>0.34769529201458815</v>
      </c>
      <c r="DT47" s="25">
        <v>1.0000000000000751E-9</v>
      </c>
      <c r="DU47">
        <v>1.709986186409522E-2</v>
      </c>
      <c r="DV47" s="108">
        <v>347695292.01456201</v>
      </c>
      <c r="DW47" s="19">
        <v>315.73237932545749</v>
      </c>
      <c r="DX47" s="12">
        <v>20.333222265821231</v>
      </c>
      <c r="DY47" s="112">
        <v>1.0000000000000751E-6</v>
      </c>
      <c r="EA47" s="27">
        <v>43910</v>
      </c>
      <c r="EB47" t="s">
        <v>1381</v>
      </c>
      <c r="EC47" s="26"/>
      <c r="ED47" s="112">
        <v>19100</v>
      </c>
      <c r="EE47" t="s">
        <v>1382</v>
      </c>
      <c r="EF47" s="27">
        <v>43910</v>
      </c>
      <c r="EG47">
        <v>41</v>
      </c>
      <c r="EH47" t="s">
        <v>1383</v>
      </c>
      <c r="EJ47" t="s">
        <v>1384</v>
      </c>
      <c r="EK47" t="s">
        <v>968</v>
      </c>
      <c r="EL47" t="s">
        <v>1385</v>
      </c>
      <c r="EM47">
        <v>580.14551422406544</v>
      </c>
      <c r="EN47" s="94">
        <v>43910</v>
      </c>
      <c r="EO47">
        <v>1</v>
      </c>
      <c r="EP47" s="94">
        <v>43910</v>
      </c>
      <c r="EQ47">
        <v>1</v>
      </c>
    </row>
    <row r="48" spans="2:148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48">
        <f>IF(ISNUMBER(tblData[Italy]),tblData[Italy]/$N$9,"")</f>
        <v>146.89826302729529</v>
      </c>
      <c r="O48">
        <v>60</v>
      </c>
      <c r="P48" s="48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>
        <v>93</v>
      </c>
      <c r="X48" s="21">
        <f>IF(ISNUMBER(tblData[Singapore]),tblData[Singapore]/$X$9,"")</f>
        <v>158.97435897435898</v>
      </c>
      <c r="Y48" s="21"/>
      <c r="Z48" s="21"/>
      <c r="AA48" s="26">
        <f>IF(tblData[[#This Row],[Date]]&lt;ItalyStart,"",tblData[[#This Row],[Date]]-ItalyStart)</f>
        <v>29</v>
      </c>
      <c r="AB48" s="26">
        <f t="shared" si="7"/>
        <v>19</v>
      </c>
      <c r="AC48" s="26">
        <f t="shared" si="4"/>
        <v>37</v>
      </c>
      <c r="AD48" s="26">
        <f>IF(tblData[[#This Row],[Date]]&lt;StartDt2Korea,"",tblData[[#This Row],[Date]]-StartDt2Korea)</f>
        <v>9</v>
      </c>
      <c r="AE48" s="26">
        <f>IF(tblData[[#This Row],[Date]]&lt;UKStart,"",tblData[[#This Row],[Date]]-UKStart)</f>
        <v>29</v>
      </c>
      <c r="AF48" s="26">
        <f>IF(tblData[[#This Row],[Date]]&lt;SingaporeStart,"",tblData[[#This Row],[Date]]-SingaporeStart)</f>
        <v>36</v>
      </c>
      <c r="AG48">
        <f>IF(tblData[Date]&gt;=StartDt2Au,tblData[Date]-StartDt2Au,"")</f>
        <v>34</v>
      </c>
      <c r="AH48" s="26">
        <f>IF(tblData[New South Wales]&gt;0,SUM(tblData[[#This Row],[Australian Capital Territory]:[Western Australia]]),"")</f>
        <v>15</v>
      </c>
      <c r="AI48" s="12">
        <f>IF(ISNUMBER(tblData[Au]),tblData[Au]/$AE$9,"")</f>
        <v>5.9138937076170954</v>
      </c>
      <c r="AJ48" s="19">
        <f>IF(ISNUMBER(tblData[[#This Row],[Day'# Aust]]),betaAu/(deltaAu+betaPodeltaAu*EXP(-betaAu*tblData[[#This Row],[Day'# Aust]])),"")</f>
        <v>9.7291342865174339</v>
      </c>
      <c r="AK48" s="70">
        <f>IF(ISNUMBER(tblData[Day'# Aust]),tblData[Au LogiP(t)]/$AI$9,"")</f>
        <v>3.8358044025064792</v>
      </c>
      <c r="AL48" s="11">
        <f>IF(AND(tblData[Date]&gt;=StartDt2Au,ISNUMBER(tblData[NSW])),(tblData[[#This Row],[Au LogiP(t)]]-tblData[[#This Row],[Au]])^2,"")</f>
        <v>27.782025369566082</v>
      </c>
      <c r="AM48" s="26">
        <f>IF(tblData[Date]&gt;StartDt2NSW,tblData[Date]-StartDt2NSW,"")</f>
        <v>34</v>
      </c>
      <c r="AN48">
        <f t="shared" si="5"/>
        <v>4</v>
      </c>
      <c r="AO48" s="11">
        <f>IF(tblData[Date]&gt;StartDt2NSW,betaNSW/(deltaNSW+betaPodeltaNSW*EXP(-betaNSW*tblData[[#This Row],[Day '# NSW]])),"")</f>
        <v>5.8214322467104438</v>
      </c>
      <c r="AP48" s="12">
        <f>IF(AND(ISNUMBER(tblData[NSW]),tblData[Date]&gt;StartDt2NSW),(tblData[[#This Row],[NSW LogiP(t)]]-tblData[[#This Row],[NSW]])^2,"")</f>
        <v>3.3176154293566551</v>
      </c>
      <c r="AQ48" s="12">
        <f>IF(AND(tblData[Date]&gt;StartDt2NSW,ISNUMBER(tblData[Day'# Aust])),tblData[NSW LogiP(t)]/$AL$9,"")</f>
        <v>7.2047428795921329</v>
      </c>
      <c r="AR48" s="11">
        <f>IF(AND(tblData[Date]&gt;StartDt2Italy,ISNUMBER(tblData[Days'# Italy])),betaItaly/(deltaItaly+betaPodeltaItaly*EXP(-betaItaly*tblData[Days'# Italy])),"")</f>
        <v>792.72674145946928</v>
      </c>
      <c r="AS48" s="11">
        <f>IF(AND(tblData[Date]&gt;StartDt2Italy,ISNUMBER(tblData[Italy])),(tblData[[#This Row],[Italy LogiP(t)]]-tblData[[#This Row],[Italy]])^2,"")</f>
        <v>9076.9937929308089</v>
      </c>
      <c r="AT48" s="43">
        <f>IF(AND(tblData[Date]&gt;StartDt2Italy,ISNUMBER(tblData[Days'# Italy])),tblData[[#This Row],[Italy LogiP(t)]]/$AS$9,"")</f>
        <v>131.13759163928358</v>
      </c>
      <c r="AU48" s="21">
        <f>IF(ISNUMBER(tblData[[#This Row],[Days'# US]]),betaUS/(deltaUS+betaPodeltaUS*EXP(-betaUS*tblData[Days'# US])),"")</f>
        <v>15.438061902632546</v>
      </c>
      <c r="AV48" s="11">
        <f>IF(ISNUMBER(tblData[US]),(tblData[[#This Row],[US LogiP(t)]]-tblData[US])^2,"")</f>
        <v>1985.7663269936088</v>
      </c>
      <c r="AW48" s="21">
        <f>IF(ISNUMBER(tblData[[#This Row],[Days'# US]]),tblData[[#This Row],[US LogiP(t)]]/$AV$9,"")</f>
        <v>0.46891740110605828</v>
      </c>
      <c r="AX48" s="21">
        <f>IF(tblData[Date]&gt;=StartDt2Korea,betaSKorea/(deltaSKorea+betaPodeltaSKorea*EXP(-betaSKorea*(tblData[Date]-StartDt2Korea))),"")</f>
        <v>2401.4089203383883</v>
      </c>
      <c r="AY48" s="21">
        <f>IF(AND(tblData[Date]&gt;=StartDt2Korea,ISNUMBER(tblData[SKorea])),(tblData[[#This Row],[SKorea LogiP(t)]]-tblData[[#This Row],[SKorea]])^2,"")</f>
        <v>4148.5090191568461</v>
      </c>
      <c r="AZ48" s="21">
        <f>IF(tblData[Date]&gt;=StartDt2Korea,tblData[[#This Row],[SKorea LogiP(t)]]/$AY$9,"")</f>
        <v>467.2001790541612</v>
      </c>
      <c r="BA48" s="11">
        <f>IF(ISNUMBER(tblData[Days'# UK]),betaUK/(deltaUK+betaPodeltaUK*EXP(-betaUK*tblData[Days'# UK])),"")</f>
        <v>27.786448037401719</v>
      </c>
      <c r="BB48" s="21">
        <f>IF(ISNUMBER(tblData[UK]),(tblData[[#This Row],[UK LogiP(t)]]-tblData[[#This Row],[UK]])^2,"")</f>
        <v>60.628773039157082</v>
      </c>
      <c r="BC48" s="21">
        <f>IF(ISNUMBER(tblData[Days'# UK]),tblData[[#This Row],[UK LogiP(t)]]/$BB$9,"")</f>
        <v>4.1821866401868935</v>
      </c>
      <c r="BD48" s="11">
        <f>IF(ISNUMBER(tblData[Days'# China]),betaChina/(deltaChina+betaPodeltaChina*EXP(-betaChina*tblData[Days'# China])),"")</f>
        <v>79867.342833762101</v>
      </c>
      <c r="BE48" s="11">
        <f>IF(ISNUMBER(tblData[China]),(tblData[[#This Row],[China LogiP(t)]]-tblData[[#This Row],[China]])^2,"")</f>
        <v>882364.95934021368</v>
      </c>
      <c r="BF48" s="11">
        <f>tblData[[#This Row],[China LogiP(t)]]/$BE$9</f>
        <v>554.89490388132174</v>
      </c>
      <c r="BG48" s="11">
        <f>IF(ISNUMBER(tblData[Day'# Singapore]),betaSingapore/(deltaSingapore+betaPodeltaSingapore*EXP(-betaSingapore*tblData[Day'# Singapore])),"")</f>
        <v>124.65814885392524</v>
      </c>
      <c r="BH48" s="11">
        <f>IF(AND(ISNUMBER(tblData[Singapore]),tblData[Date]&gt;=StartDt2Singapore),(tblData[[#This Row],[Singapore LogiP(t)]]-tblData[[#This Row],[Singapore]])^2,"")</f>
        <v>1002.238388857288</v>
      </c>
      <c r="BI48" s="11">
        <f>IF(ISNUMBER(tblData[Day'# Singapore]),tblData[Singapore LogiP(t)]/$BH$9,"")</f>
        <v>213.09085274175257</v>
      </c>
      <c r="BJ48" s="11"/>
      <c r="BK48" s="11"/>
      <c r="BL48" s="11" t="str">
        <f>IF(ISNUMBER(tblData[[#This Row],[NSW Number of Tests]]),tblData[[#This Row],[NSW Number of Tests]]-BJ47,"")</f>
        <v/>
      </c>
      <c r="BM48" s="11" t="str">
        <f>IF(ISNUMBER(tblData[[#This Row],[NSW Under Investigation'']]),tblData[[#This Row],[NSW Under Investigation'']]-BK47,"")</f>
        <v/>
      </c>
      <c r="BN48" s="11"/>
      <c r="BO48" s="11" t="str">
        <f>IF(ISNUMBER(tblData[[#This Row],[NSW Test Day Number]]),betaTest/(deltaTest+betaPodeltaTest*EXP(-betaTest*tblData[[#This Row],[NSW Test Day Number]])),"")</f>
        <v/>
      </c>
      <c r="BP48" s="11" t="str">
        <f>IF(ISNUMBER(tblData[[#This Row],[NSW Number of Tests]]),(tblData[[#This Row],[NSW Number of Tests]]-tblData[[#This Row],[NSW Test Logi]])^2,"")</f>
        <v/>
      </c>
      <c r="BR48"/>
      <c r="BV48" s="26"/>
      <c r="CE48"/>
      <c r="CF48"/>
      <c r="CH48" s="26"/>
      <c r="CI48" s="26"/>
      <c r="DM48"/>
      <c r="DN48" t="s">
        <v>480</v>
      </c>
      <c r="DO48" s="80"/>
      <c r="DP48" s="27">
        <v>43852</v>
      </c>
      <c r="DQ48" s="27"/>
      <c r="DR48">
        <v>3</v>
      </c>
      <c r="DS48">
        <v>0.26960395737241599</v>
      </c>
      <c r="DT48" s="25">
        <v>2.2999968774326208E-6</v>
      </c>
      <c r="DU48">
        <v>0.28960505147680476</v>
      </c>
      <c r="DV48" s="108">
        <v>117219.27104238607</v>
      </c>
      <c r="DW48" s="19">
        <v>681.80877800845474</v>
      </c>
      <c r="DX48" s="12">
        <v>0.9309343532058354</v>
      </c>
      <c r="DY48" s="112">
        <v>2.2999968774326208E-3</v>
      </c>
      <c r="EA48" s="27">
        <v>43910</v>
      </c>
      <c r="EB48" t="s">
        <v>1292</v>
      </c>
      <c r="EC48" s="26"/>
      <c r="ED48" s="112">
        <v>14366</v>
      </c>
      <c r="EE48" t="s">
        <v>1293</v>
      </c>
      <c r="EF48" s="27">
        <v>43909</v>
      </c>
      <c r="EG48">
        <v>41</v>
      </c>
      <c r="EH48" t="s">
        <v>1294</v>
      </c>
      <c r="EJ48" t="s">
        <v>1295</v>
      </c>
      <c r="EK48" t="s">
        <v>968</v>
      </c>
      <c r="EL48" t="s">
        <v>1296</v>
      </c>
      <c r="EM48">
        <v>436.35447420643584</v>
      </c>
      <c r="EN48" s="94">
        <v>43910</v>
      </c>
      <c r="EO48">
        <v>0</v>
      </c>
      <c r="EP48" s="94">
        <v>43909</v>
      </c>
      <c r="EQ48">
        <v>1</v>
      </c>
    </row>
    <row r="49" spans="2:183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48">
        <f>IF(ISNUMBER(tblData[Italy]),tblData[Italy]/$N$9,"")</f>
        <v>186.60049627791562</v>
      </c>
      <c r="O49">
        <v>68</v>
      </c>
      <c r="P49" s="48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53">
        <v>102</v>
      </c>
      <c r="X49" s="21">
        <f>IF(ISNUMBER(tblData[Singapore]),tblData[Singapore]/$X$9,"")</f>
        <v>174.35897435897436</v>
      </c>
      <c r="Y49" s="21"/>
      <c r="Z49" s="21"/>
      <c r="AA49" s="26">
        <f>IF(tblData[[#This Row],[Date]]&lt;ItalyStart,"",tblData[[#This Row],[Date]]-ItalyStart)</f>
        <v>30</v>
      </c>
      <c r="AB49" s="26">
        <f t="shared" si="7"/>
        <v>20</v>
      </c>
      <c r="AC49" s="26">
        <f t="shared" si="4"/>
        <v>38</v>
      </c>
      <c r="AD49" s="26">
        <f>IF(tblData[[#This Row],[Date]]&lt;StartDt2Korea,"",tblData[[#This Row],[Date]]-StartDt2Korea)</f>
        <v>10</v>
      </c>
      <c r="AE49" s="26">
        <f>IF(tblData[[#This Row],[Date]]&lt;UKStart,"",tblData[[#This Row],[Date]]-UKStart)</f>
        <v>30</v>
      </c>
      <c r="AF49" s="26">
        <f>IF(tblData[[#This Row],[Date]]&lt;SingaporeStart,"",tblData[[#This Row],[Date]]-SingaporeStart)</f>
        <v>37</v>
      </c>
      <c r="AG49">
        <f>IF(tblData[Date]&gt;=StartDt2Au,tblData[Date]-StartDt2Au,"")</f>
        <v>35</v>
      </c>
      <c r="AH49" s="26">
        <f>IF(tblData[New South Wales]&gt;0,SUM(tblData[[#This Row],[Australian Capital Territory]:[Western Australia]]),"")</f>
        <v>25</v>
      </c>
      <c r="AI49" s="12">
        <f>IF(ISNUMBER(tblData[Au]),tblData[Au]/$AE$9,"")</f>
        <v>9.856489512695159</v>
      </c>
      <c r="AJ49" s="19">
        <f>IF(ISNUMBER(tblData[[#This Row],[Day'# Aust]]),betaAu/(deltaAu+betaPodeltaAu*EXP(-betaAu*tblData[[#This Row],[Day'# Aust]])),"")</f>
        <v>12.060210335326442</v>
      </c>
      <c r="AK49" s="70">
        <f>IF(ISNUMBER(tblData[Day'# Aust]),tblData[Au LogiP(t)]/$AI$9,"")</f>
        <v>4.7548534676417136</v>
      </c>
      <c r="AL49" s="11">
        <f>IF(AND(tblData[Date]&gt;=StartDt2Au,ISNUMBER(tblData[NSW])),(tblData[[#This Row],[Au LogiP(t)]]-tblData[[#This Row],[Au]])^2,"")</f>
        <v>167.43815656599264</v>
      </c>
      <c r="AM49" s="26">
        <f>IF(tblData[Date]&gt;StartDt2NSW,tblData[Date]-StartDt2NSW,"")</f>
        <v>35</v>
      </c>
      <c r="AN49">
        <f t="shared" si="5"/>
        <v>4</v>
      </c>
      <c r="AO49" s="11">
        <f>IF(tblData[Date]&gt;StartDt2NSW,betaNSW/(deltaNSW+betaPodeltaNSW*EXP(-betaNSW*tblData[[#This Row],[Day '# NSW]])),"")</f>
        <v>7.0985125808572862</v>
      </c>
      <c r="AP49" s="12">
        <f>IF(AND(ISNUMBER(tblData[NSW]),tblData[Date]&gt;StartDt2NSW),(tblData[[#This Row],[NSW LogiP(t)]]-tblData[[#This Row],[NSW]])^2,"")</f>
        <v>9.6007802137308804</v>
      </c>
      <c r="AQ49" s="12">
        <f>IF(AND(tblData[Date]&gt;StartDt2NSW,ISNUMBER(tblData[Day'# Aust])),tblData[NSW LogiP(t)]/$AL$9,"")</f>
        <v>8.7852878475956508</v>
      </c>
      <c r="AR49" s="11">
        <f>IF(AND(tblData[Date]&gt;StartDt2Italy,ISNUMBER(tblData[Days'# Italy])),betaItaly/(deltaItaly+betaPodeltaItaly*EXP(-betaItaly*tblData[Days'# Italy])),"")</f>
        <v>1023.1613057794781</v>
      </c>
      <c r="AS49" s="11">
        <f>IF(AND(tblData[Date]&gt;StartDt2Italy,ISNUMBER(tblData[Italy])),(tblData[[#This Row],[Italy LogiP(t)]]-tblData[[#This Row],[Italy]])^2,"")</f>
        <v>10991.151805864096</v>
      </c>
      <c r="AT49" s="43">
        <f>IF(AND(tblData[Date]&gt;StartDt2Italy,ISNUMBER(tblData[Days'# Italy])),tblData[[#This Row],[Italy LogiP(t)]]/$AS$9,"")</f>
        <v>169.25745339610887</v>
      </c>
      <c r="AU49" s="21">
        <f>IF(ISNUMBER(tblData[[#This Row],[Days'# US]]),betaUS/(deltaUS+betaPodeltaUS*EXP(-betaUS*tblData[Days'# US])),"")</f>
        <v>21.628916583825188</v>
      </c>
      <c r="AV49" s="11">
        <f>IF(ISNUMBER(tblData[US]),(tblData[[#This Row],[US LogiP(t)]]-tblData[US])^2,"")</f>
        <v>2150.2773771898428</v>
      </c>
      <c r="AW49" s="21">
        <f>IF(ISNUMBER(tblData[[#This Row],[Days'# US]]),tblData[[#This Row],[US LogiP(t)]]/$AV$9,"")</f>
        <v>0.65695910647291522</v>
      </c>
      <c r="AX49" s="21">
        <f>IF(tblData[Date]&gt;=StartDt2Korea,betaSKorea/(deltaSKorea+betaPodeltaSKorea*EXP(-betaSKorea*(tblData[Date]-StartDt2Korea))),"")</f>
        <v>2969.7760392174755</v>
      </c>
      <c r="AY49" s="21">
        <f>IF(AND(tblData[Date]&gt;=StartDt2Korea,ISNUMBER(tblData[SKorea])),(tblData[[#This Row],[SKorea LogiP(t)]]-tblData[[#This Row],[SKorea]])^2,"")</f>
        <v>32480.67604014093</v>
      </c>
      <c r="AZ49" s="21">
        <f>IF(tblData[Date]&gt;=StartDt2Korea,tblData[[#This Row],[SKorea LogiP(t)]]/$AY$9,"")</f>
        <v>577.77743953647382</v>
      </c>
      <c r="BA49" s="11">
        <f>IF(ISNUMBER(tblData[Days'# UK]),betaUK/(deltaUK+betaPodeltaUK*EXP(-betaUK*tblData[Days'# UK])),"")</f>
        <v>35.178029715847842</v>
      </c>
      <c r="BB49" s="21">
        <f>IF(ISNUMBER(tblData[UK]),(tblData[[#This Row],[UK LogiP(t)]]-tblData[[#This Row],[UK]])^2,"")</f>
        <v>148.30440776007308</v>
      </c>
      <c r="BC49" s="21">
        <f>IF(ISNUMBER(tblData[Days'# UK]),tblData[[#This Row],[UK LogiP(t)]]/$BB$9,"")</f>
        <v>5.2947064593389284</v>
      </c>
      <c r="BD49" s="11">
        <f>IF(ISNUMBER(tblData[Days'# China]),betaChina/(deltaChina+betaPodeltaChina*EXP(-betaChina*tblData[Days'# China])),"")</f>
        <v>80086.34045641619</v>
      </c>
      <c r="BE49" s="11">
        <f>IF(ISNUMBER(tblData[China]),(tblData[[#This Row],[China LogiP(t)]]-tblData[[#This Row],[China]])^2,"")</f>
        <v>533397.1822782089</v>
      </c>
      <c r="BF49" s="11">
        <f>tblData[[#This Row],[China LogiP(t)]]/$BE$9</f>
        <v>556.41643521642345</v>
      </c>
      <c r="BG49" s="11">
        <f>IF(ISNUMBER(tblData[Day'# Singapore]),betaSingapore/(deltaSingapore+betaPodeltaSingapore*EXP(-betaSingapore*tblData[Day'# Singapore])),"")</f>
        <v>130.25848177925474</v>
      </c>
      <c r="BH49" s="11">
        <f>IF(AND(ISNUMBER(tblData[Singapore]),tblData[Date]&gt;=StartDt2Singapore),(tblData[[#This Row],[Singapore LogiP(t)]]-tblData[[#This Row],[Singapore]])^2,"")</f>
        <v>798.54179246847195</v>
      </c>
      <c r="BI49" s="11">
        <f>IF(ISNUMBER(tblData[Day'# Singapore]),tblData[Singapore LogiP(t)]/$BH$9,"")</f>
        <v>222.66407141752947</v>
      </c>
      <c r="BJ49" s="11"/>
      <c r="BK49" s="11"/>
      <c r="BL49" s="11" t="str">
        <f>IF(ISNUMBER(tblData[[#This Row],[NSW Number of Tests]]),tblData[[#This Row],[NSW Number of Tests]]-BJ48,"")</f>
        <v/>
      </c>
      <c r="BM49" s="11" t="str">
        <f>IF(ISNUMBER(tblData[[#This Row],[NSW Under Investigation'']]),tblData[[#This Row],[NSW Under Investigation'']]-BK48,"")</f>
        <v/>
      </c>
      <c r="BN49" s="11"/>
      <c r="BO49" s="11" t="str">
        <f>IF(ISNUMBER(tblData[[#This Row],[NSW Test Day Number]]),betaTest/(deltaTest+betaPodeltaTest*EXP(-betaTest*tblData[[#This Row],[NSW Test Day Number]])),"")</f>
        <v/>
      </c>
      <c r="BP49" s="11" t="str">
        <f>IF(ISNUMBER(tblData[[#This Row],[NSW Number of Tests]]),(tblData[[#This Row],[NSW Number of Tests]]-tblData[[#This Row],[NSW Test Logi]])^2,"")</f>
        <v/>
      </c>
      <c r="BR49"/>
      <c r="BV49" s="26"/>
      <c r="CE49"/>
      <c r="CF49"/>
      <c r="CH49" s="26"/>
      <c r="CI49" s="26"/>
      <c r="DM49"/>
      <c r="DN49" s="53" t="s">
        <v>480</v>
      </c>
      <c r="DO49" s="80">
        <v>43912.326689814814</v>
      </c>
      <c r="DP49" s="27">
        <v>43852</v>
      </c>
      <c r="DQ49" s="27">
        <v>43870</v>
      </c>
      <c r="DR49" s="53">
        <v>3</v>
      </c>
      <c r="DS49" s="53">
        <v>0.34769529183841918</v>
      </c>
      <c r="DT49" s="25">
        <v>9.0410268503126118E-7</v>
      </c>
      <c r="DU49" s="53">
        <v>1.7099861863491616E-2</v>
      </c>
      <c r="DV49" s="108">
        <v>384575.00192734954</v>
      </c>
      <c r="DW49" s="53">
        <v>373.46102354388694</v>
      </c>
      <c r="DX49" s="53">
        <v>20.333221353133922</v>
      </c>
      <c r="DY49" s="112">
        <v>9.0410268503126115E-4</v>
      </c>
      <c r="DZ49" s="53"/>
      <c r="EA49" s="27">
        <v>43911</v>
      </c>
      <c r="EB49" s="53" t="s">
        <v>1400</v>
      </c>
      <c r="EC49" s="53"/>
      <c r="ED49" s="112">
        <v>24148</v>
      </c>
      <c r="EE49" s="53" t="s">
        <v>1401</v>
      </c>
      <c r="EF49" s="27">
        <v>43911</v>
      </c>
      <c r="EG49" s="53">
        <v>42</v>
      </c>
      <c r="EH49" s="53" t="s">
        <v>1402</v>
      </c>
      <c r="EI49" s="53"/>
      <c r="EJ49" s="53" t="s">
        <v>1403</v>
      </c>
      <c r="EK49" s="53" t="s">
        <v>968</v>
      </c>
      <c r="EL49" s="53" t="s">
        <v>1404</v>
      </c>
      <c r="EM49" s="53">
        <v>733.47402499909595</v>
      </c>
      <c r="EN49" s="98">
        <v>43910</v>
      </c>
      <c r="EO49" s="53">
        <v>1</v>
      </c>
      <c r="EP49" s="98">
        <v>43910</v>
      </c>
      <c r="EQ49" s="53">
        <v>2</v>
      </c>
    </row>
    <row r="50" spans="2:183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48">
        <f>IF(ISNUMBER(tblData[Italy]),tblData[Italy]/$N$9,"")</f>
        <v>280.2315963606286</v>
      </c>
      <c r="O50">
        <v>74</v>
      </c>
      <c r="P50" s="48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>
        <v>106</v>
      </c>
      <c r="X50" s="21">
        <f>IF(ISNUMBER(tblData[Singapore]),tblData[Singapore]/$X$9,"")</f>
        <v>181.19658119658121</v>
      </c>
      <c r="Y50" s="21"/>
      <c r="Z50" s="21"/>
      <c r="AA50" s="26">
        <f>IF(tblData[[#This Row],[Date]]&lt;ItalyStart,"",tblData[[#This Row],[Date]]-ItalyStart)</f>
        <v>31</v>
      </c>
      <c r="AB50" s="26">
        <f t="shared" si="7"/>
        <v>21</v>
      </c>
      <c r="AC50" s="26">
        <f t="shared" si="4"/>
        <v>39</v>
      </c>
      <c r="AD50" s="26">
        <f>IF(tblData[[#This Row],[Date]]&lt;StartDt2Korea,"",tblData[[#This Row],[Date]]-StartDt2Korea)</f>
        <v>11</v>
      </c>
      <c r="AE50" s="26">
        <f>IF(tblData[[#This Row],[Date]]&lt;UKStart,"",tblData[[#This Row],[Date]]-UKStart)</f>
        <v>31</v>
      </c>
      <c r="AF50" s="26">
        <f>IF(tblData[[#This Row],[Date]]&lt;SingaporeStart,"",tblData[[#This Row],[Date]]-SingaporeStart)</f>
        <v>38</v>
      </c>
      <c r="AG50">
        <f>IF(tblData[Date]&gt;=StartDt2Au,tblData[Date]-StartDt2Au,"")</f>
        <v>36</v>
      </c>
      <c r="AH50" s="26">
        <f>IF(tblData[New South Wales]&gt;0,SUM(tblData[[#This Row],[Australian Capital Territory]:[Western Australia]]),"")</f>
        <v>27</v>
      </c>
      <c r="AI50" s="12">
        <f>IF(ISNUMBER(tblData[Au]),tblData[Au]/$AE$9,"")</f>
        <v>10.645008673710771</v>
      </c>
      <c r="AJ50" s="19">
        <f>IF(ISNUMBER(tblData[[#This Row],[Day'# Aust]]),betaAu/(deltaAu+betaPodeltaAu*EXP(-betaAu*tblData[[#This Row],[Day'# Aust]])),"")</f>
        <v>14.949806328965794</v>
      </c>
      <c r="AK50" s="70">
        <f>IF(ISNUMBER(tblData[Day'# Aust]),tblData[Au LogiP(t)]/$AI$9,"")</f>
        <v>5.894104371931002</v>
      </c>
      <c r="AL50" s="11">
        <f>IF(AND(tblData[Date]&gt;=StartDt2Au,ISNUMBER(tblData[NSW])),(tblData[[#This Row],[Au LogiP(t)]]-tblData[[#This Row],[Au]])^2,"")</f>
        <v>145.20716750943285</v>
      </c>
      <c r="AM50" s="26">
        <f>IF(tblData[Date]&gt;StartDt2NSW,tblData[Date]-StartDt2NSW,"")</f>
        <v>36</v>
      </c>
      <c r="AN50">
        <f t="shared" si="5"/>
        <v>6</v>
      </c>
      <c r="AO50" s="11">
        <f>IF(tblData[Date]&gt;StartDt2NSW,betaNSW/(deltaNSW+betaPodeltaNSW*EXP(-betaNSW*tblData[[#This Row],[Day '# NSW]])),"")</f>
        <v>8.6557532107311914</v>
      </c>
      <c r="AP50" s="12">
        <f>IF(AND(ISNUMBER(tblData[NSW]),tblData[Date]&gt;StartDt2NSW),(tblData[[#This Row],[NSW LogiP(t)]]-tblData[[#This Row],[NSW]])^2,"")</f>
        <v>7.0530251163090316</v>
      </c>
      <c r="AQ50" s="12">
        <f>IF(AND(tblData[Date]&gt;StartDt2NSW,ISNUMBER(tblData[Day'# Aust])),tblData[NSW LogiP(t)]/$AL$9,"")</f>
        <v>10.712565854865336</v>
      </c>
      <c r="AR50" s="11">
        <f>IF(AND(tblData[Date]&gt;StartDt2Italy,ISNUMBER(tblData[Days'# Italy])),betaItaly/(deltaItaly+betaPodeltaItaly*EXP(-betaItaly*tblData[Days'# Italy])),"")</f>
        <v>1319.2127311377469</v>
      </c>
      <c r="AS50" s="11">
        <f>IF(AND(tblData[Date]&gt;StartDt2Italy,ISNUMBER(tblData[Italy])),(tblData[[#This Row],[Italy LogiP(t)]]-tblData[[#This Row],[Italy]])^2,"")</f>
        <v>140465.49690122678</v>
      </c>
      <c r="AT50" s="43">
        <f>IF(AND(tblData[Date]&gt;StartDt2Italy,ISNUMBER(tblData[Days'# Italy])),tblData[[#This Row],[Italy LogiP(t)]]/$AS$9,"")</f>
        <v>218.23204816174473</v>
      </c>
      <c r="AU50" s="21">
        <f>IF(ISNUMBER(tblData[[#This Row],[Days'# US]]),betaUS/(deltaUS+betaPodeltaUS*EXP(-betaUS*tblData[Days'# US])),"")</f>
        <v>30.301916236148724</v>
      </c>
      <c r="AV50" s="11">
        <f>IF(ISNUMBER(tblData[US]),(tblData[[#This Row],[US LogiP(t)]]-tblData[US])^2,"")</f>
        <v>1909.5225246325622</v>
      </c>
      <c r="AW50" s="21">
        <f>IF(ISNUMBER(tblData[[#This Row],[Days'# US]]),tblData[[#This Row],[US LogiP(t)]]/$AV$9,"")</f>
        <v>0.92039375794738532</v>
      </c>
      <c r="AX50" s="21">
        <f>IF(tblData[Date]&gt;=StartDt2Korea,betaSKorea/(deltaSKorea+betaPodeltaSKorea*EXP(-betaSKorea*(tblData[Date]-StartDt2Korea))),"")</f>
        <v>3593.3053463734623</v>
      </c>
      <c r="AY50" s="21">
        <f>IF(AND(tblData[Date]&gt;=StartDt2Korea,ISNUMBER(tblData[SKorea])),(tblData[[#This Row],[SKorea LogiP(t)]]-tblData[[#This Row],[SKorea]])^2,"")</f>
        <v>20361.764173597578</v>
      </c>
      <c r="AZ50" s="21">
        <f>IF(tblData[Date]&gt;=StartDt2Korea,tblData[[#This Row],[SKorea LogiP(t)]]/$AY$9,"")</f>
        <v>699.0866432633195</v>
      </c>
      <c r="BA50" s="11">
        <f>IF(ISNUMBER(tblData[Days'# UK]),betaUK/(deltaUK+betaPodeltaUK*EXP(-betaUK*tblData[Days'# UK])),"")</f>
        <v>44.535084154297621</v>
      </c>
      <c r="BB50" s="21">
        <f>IF(ISNUMBER(tblData[UK]),(tblData[[#This Row],[UK LogiP(t)]]-tblData[[#This Row],[UK]])^2,"")</f>
        <v>72.847661520942339</v>
      </c>
      <c r="BC50" s="21">
        <f>IF(ISNUMBER(tblData[Days'# UK]),tblData[[#This Row],[UK LogiP(t)]]/$BB$9,"")</f>
        <v>6.7030530033560538</v>
      </c>
      <c r="BD50" s="11">
        <f>IF(ISNUMBER(tblData[Days'# China]),betaChina/(deltaChina+betaPodeltaChina*EXP(-betaChina*tblData[Days'# China])),"")</f>
        <v>80262.581806862829</v>
      </c>
      <c r="BE50" s="11">
        <f>IF(ISNUMBER(tblData[China]),(tblData[[#This Row],[China LogiP(t)]]-tblData[[#This Row],[China]])^2,"")</f>
        <v>109284.33102869256</v>
      </c>
      <c r="BF50" s="11">
        <f>tblData[[#This Row],[China LogiP(t)]]/$BE$9</f>
        <v>557.64090849606612</v>
      </c>
      <c r="BG50" s="11">
        <f>IF(ISNUMBER(tblData[Day'# Singapore]),betaSingapore/(deltaSingapore+betaPodeltaSingapore*EXP(-betaSingapore*tblData[Day'# Singapore])),"")</f>
        <v>136.1104126070538</v>
      </c>
      <c r="BH50" s="11">
        <f>IF(AND(ISNUMBER(tblData[Singapore]),tblData[Date]&gt;=StartDt2Singapore),(tblData[[#This Row],[Singapore LogiP(t)]]-tblData[[#This Row],[Singapore]])^2,"")</f>
        <v>906.63694736702462</v>
      </c>
      <c r="BI50" s="11">
        <f>IF(ISNUMBER(tblData[Day'# Singapore]),tblData[Singapore LogiP(t)]/$BH$9,"")</f>
        <v>232.66737197786975</v>
      </c>
      <c r="BJ50" s="11"/>
      <c r="BK50" s="11"/>
      <c r="BL50" s="11" t="str">
        <f>IF(ISNUMBER(tblData[[#This Row],[NSW Number of Tests]]),tblData[[#This Row],[NSW Number of Tests]]-BJ49,"")</f>
        <v/>
      </c>
      <c r="BM50" s="11" t="str">
        <f>IF(ISNUMBER(tblData[[#This Row],[NSW Under Investigation'']]),tblData[[#This Row],[NSW Under Investigation'']]-BK49,"")</f>
        <v/>
      </c>
      <c r="BN50" s="11"/>
      <c r="BO50" s="11" t="str">
        <f>IF(ISNUMBER(tblData[[#This Row],[NSW Test Day Number]]),betaTest/(deltaTest+betaPodeltaTest*EXP(-betaTest*tblData[[#This Row],[NSW Test Day Number]])),"")</f>
        <v/>
      </c>
      <c r="BP50" s="11" t="str">
        <f>IF(ISNUMBER(tblData[[#This Row],[NSW Number of Tests]]),(tblData[[#This Row],[NSW Number of Tests]]-tblData[[#This Row],[NSW Test Logi]])^2,"")</f>
        <v/>
      </c>
      <c r="BR50"/>
      <c r="BV50" s="26"/>
      <c r="CE50"/>
      <c r="CF50"/>
      <c r="CH50" s="26"/>
      <c r="CI50" s="26"/>
      <c r="DM50"/>
      <c r="DN50" t="s">
        <v>480</v>
      </c>
      <c r="DO50" s="80">
        <v>43912.588553240741</v>
      </c>
      <c r="DP50" s="27">
        <v>43852</v>
      </c>
      <c r="DQ50" s="27">
        <v>43870</v>
      </c>
      <c r="DR50">
        <v>3</v>
      </c>
      <c r="DS50" s="26">
        <v>0.33723338075349552</v>
      </c>
      <c r="DT50" s="25">
        <v>1.0000000000011339E-10</v>
      </c>
      <c r="DU50" s="26">
        <v>2.5463658145862197E-2</v>
      </c>
      <c r="DV50" s="108">
        <v>3372333807.5311313</v>
      </c>
      <c r="DW50" s="26">
        <v>322.06292198936342</v>
      </c>
      <c r="DX50" s="26">
        <v>13.243713013236043</v>
      </c>
      <c r="DY50" s="112">
        <v>1.0000000000011339E-7</v>
      </c>
      <c r="DZ50" s="26"/>
      <c r="EA50" s="27">
        <v>43911</v>
      </c>
      <c r="EB50" s="26" t="s">
        <v>1459</v>
      </c>
      <c r="EC50" s="26"/>
      <c r="ED50" s="112">
        <v>25489</v>
      </c>
      <c r="EE50" s="26" t="s">
        <v>1460</v>
      </c>
      <c r="EF50" s="27">
        <v>43911</v>
      </c>
      <c r="EG50">
        <v>42</v>
      </c>
      <c r="EH50" s="26" t="s">
        <v>1461</v>
      </c>
      <c r="EJ50" t="s">
        <v>1462</v>
      </c>
      <c r="EK50" t="s">
        <v>968</v>
      </c>
      <c r="EL50" t="s">
        <v>1463</v>
      </c>
      <c r="EM50">
        <v>774.20570743755002</v>
      </c>
      <c r="EN50" s="94">
        <v>43911</v>
      </c>
      <c r="EO50">
        <v>1</v>
      </c>
      <c r="EP50" s="94">
        <v>43910</v>
      </c>
      <c r="EQ50">
        <v>2</v>
      </c>
    </row>
    <row r="51" spans="2:183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48">
        <f>IF(ISNUMBER(tblData[Italy]),tblData[Italy]/$N$9,"")</f>
        <v>336.80727874276261</v>
      </c>
      <c r="O51">
        <v>98</v>
      </c>
      <c r="P51" s="48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>
        <v>108</v>
      </c>
      <c r="X51" s="21">
        <f>IF(ISNUMBER(tblData[Singapore]),tblData[Singapore]/$X$9,"")</f>
        <v>184.61538461538461</v>
      </c>
      <c r="Y51" s="21"/>
      <c r="Z51" s="21"/>
      <c r="AA51" s="26">
        <f>IF(tblData[[#This Row],[Date]]&lt;ItalyStart,"",tblData[[#This Row],[Date]]-ItalyStart)</f>
        <v>32</v>
      </c>
      <c r="AB51" s="26">
        <f t="shared" si="7"/>
        <v>22</v>
      </c>
      <c r="AC51" s="26">
        <f t="shared" si="4"/>
        <v>40</v>
      </c>
      <c r="AD51" s="26">
        <f>IF(tblData[[#This Row],[Date]]&lt;StartDt2Korea,"",tblData[[#This Row],[Date]]-StartDt2Korea)</f>
        <v>12</v>
      </c>
      <c r="AE51" s="26">
        <f>IF(tblData[[#This Row],[Date]]&lt;UKStart,"",tblData[[#This Row],[Date]]-UKStart)</f>
        <v>32</v>
      </c>
      <c r="AF51" s="26">
        <f>IF(tblData[[#This Row],[Date]]&lt;SingaporeStart,"",tblData[[#This Row],[Date]]-SingaporeStart)</f>
        <v>39</v>
      </c>
      <c r="AG51">
        <f>IF(tblData[Date]&gt;=StartDt2Au,tblData[Date]-StartDt2Au,"")</f>
        <v>37</v>
      </c>
      <c r="AH51" s="26">
        <f>IF(tblData[New South Wales]&gt;0,SUM(tblData[[#This Row],[Australian Capital Territory]:[Western Australia]]),"")</f>
        <v>30</v>
      </c>
      <c r="AI51" s="12">
        <f>IF(ISNUMBER(tblData[Au]),tblData[Au]/$AE$9,"")</f>
        <v>11.827787415234191</v>
      </c>
      <c r="AJ51" s="19">
        <f>IF(ISNUMBER(tblData[[#This Row],[Day'# Aust]]),betaAu/(deltaAu+betaPodeltaAu*EXP(-betaAu*tblData[[#This Row],[Day'# Aust]])),"")</f>
        <v>18.531742238209976</v>
      </c>
      <c r="AK51" s="70">
        <f>IF(ISNUMBER(tblData[Day'# Aust]),tblData[Au LogiP(t)]/$AI$9,"")</f>
        <v>7.306316920915461</v>
      </c>
      <c r="AL51" s="11">
        <f>IF(AND(tblData[Date]&gt;=StartDt2Au,ISNUMBER(tblData[NSW])),(tblData[[#This Row],[Au LogiP(t)]]-tblData[[#This Row],[Au]])^2,"")</f>
        <v>131.52093609085713</v>
      </c>
      <c r="AM51" s="26">
        <f>IF(tblData[Date]&gt;StartDt2NSW,tblData[Date]-StartDt2NSW,"")</f>
        <v>37</v>
      </c>
      <c r="AN51">
        <f t="shared" si="5"/>
        <v>6</v>
      </c>
      <c r="AO51" s="11">
        <f>IF(tblData[Date]&gt;StartDt2NSW,betaNSW/(deltaNSW+betaPodeltaNSW*EXP(-betaNSW*tblData[[#This Row],[Day '# NSW]])),"")</f>
        <v>10.554614476136624</v>
      </c>
      <c r="AP51" s="12">
        <f>IF(AND(ISNUMBER(tblData[NSW]),tblData[Date]&gt;StartDt2NSW),(tblData[[#This Row],[NSW LogiP(t)]]-tblData[[#This Row],[NSW]])^2,"")</f>
        <v>20.744513026233296</v>
      </c>
      <c r="AQ51" s="12">
        <f>IF(AND(tblData[Date]&gt;StartDt2NSW,ISNUMBER(tblData[Day'# Aust])),tblData[NSW LogiP(t)]/$AL$9,"")</f>
        <v>13.06264167838691</v>
      </c>
      <c r="AR51" s="11">
        <f>IF(AND(tblData[Date]&gt;StartDt2Italy,ISNUMBER(tblData[Days'# Italy])),betaItaly/(deltaItaly+betaPodeltaItaly*EXP(-betaItaly*tblData[Days'# Italy])),"")</f>
        <v>1698.6670728409081</v>
      </c>
      <c r="AS51" s="11">
        <f>IF(AND(tblData[Date]&gt;StartDt2Italy,ISNUMBER(tblData[Italy])),(tblData[[#This Row],[Italy LogiP(t)]]-tblData[[#This Row],[Italy]])^2,"")</f>
        <v>113793.50374572122</v>
      </c>
      <c r="AT51" s="43">
        <f>IF(AND(tblData[Date]&gt;StartDt2Italy,ISNUMBER(tblData[Days'# Italy])),tblData[[#This Row],[Italy LogiP(t)]]/$AS$9,"")</f>
        <v>281.0036514211593</v>
      </c>
      <c r="AU51" s="21">
        <f>IF(ISNUMBER(tblData[[#This Row],[Days'# US]]),betaUS/(deltaUS+betaPodeltaUS*EXP(-betaUS*tblData[Days'# US])),"")</f>
        <v>42.451798175074011</v>
      </c>
      <c r="AV51" s="11">
        <f>IF(ISNUMBER(tblData[US]),(tblData[[#This Row],[US LogiP(t)]]-tblData[US])^2,"")</f>
        <v>3085.602725982711</v>
      </c>
      <c r="AW51" s="21">
        <f>IF(ISNUMBER(tblData[[#This Row],[Days'# US]]),tblData[[#This Row],[US LogiP(t)]]/$AV$9,"")</f>
        <v>1.2894356168594008</v>
      </c>
      <c r="AX51" s="21">
        <f>IF(tblData[Date]&gt;=StartDt2Korea,betaSKorea/(deltaSKorea+betaPodeltaSKorea*EXP(-betaSKorea*(tblData[Date]-StartDt2Korea))),"")</f>
        <v>4247.0719154510798</v>
      </c>
      <c r="AY51" s="21">
        <f>IF(AND(tblData[Date]&gt;=StartDt2Korea,ISNUMBER(tblData[SKorea])),(tblData[[#This Row],[SKorea LogiP(t)]]-tblData[[#This Row],[SKorea]])^2,"")</f>
        <v>7731.3480524420584</v>
      </c>
      <c r="AZ51" s="21">
        <f>IF(tblData[Date]&gt;=StartDt2Korea,tblData[[#This Row],[SKorea LogiP(t)]]/$AY$9,"")</f>
        <v>826.27858277258372</v>
      </c>
      <c r="BA51" s="11">
        <f>IF(ISNUMBER(tblData[Days'# UK]),betaUK/(deltaUK+betaPodeltaUK*EXP(-betaUK*tblData[Days'# UK])),"")</f>
        <v>56.379767609811026</v>
      </c>
      <c r="BB51" s="21">
        <f>IF(ISNUMBER(tblData[UK]),(tblData[[#This Row],[UK LogiP(t)]]-tblData[[#This Row],[UK]])^2,"")</f>
        <v>268.29678695141439</v>
      </c>
      <c r="BC51" s="21">
        <f>IF(ISNUMBER(tblData[Days'# UK]),tblData[[#This Row],[UK LogiP(t)]]/$BB$9,"")</f>
        <v>8.4858169189962407</v>
      </c>
      <c r="BD51" s="11">
        <f>IF(ISNUMBER(tblData[Days'# China]),betaChina/(deltaChina+betaPodeltaChina*EXP(-betaChina*tblData[Days'# China])),"")</f>
        <v>80404.276319611366</v>
      </c>
      <c r="BE51" s="11">
        <f>IF(ISNUMBER(tblData[China]),(tblData[[#This Row],[China LogiP(t)]]-tblData[[#This Row],[China]])^2,"")</f>
        <v>71972.183664220065</v>
      </c>
      <c r="BF51" s="11">
        <f>tblData[[#This Row],[China LogiP(t)]]/$BE$9</f>
        <v>558.62536046657624</v>
      </c>
      <c r="BG51" s="11">
        <f>IF(ISNUMBER(tblData[Day'# Singapore]),betaSingapore/(deltaSingapore+betaPodeltaSingapore*EXP(-betaSingapore*tblData[Day'# Singapore])),"")</f>
        <v>142.22524450536091</v>
      </c>
      <c r="BH51" s="11">
        <f>IF(AND(ISNUMBER(tblData[Singapore]),tblData[Date]&gt;=StartDt2Singapore),(tblData[[#This Row],[Singapore LogiP(t)]]-tblData[[#This Row],[Singapore]])^2,"")</f>
        <v>1171.3673614517368</v>
      </c>
      <c r="BI51" s="11">
        <f>IF(ISNUMBER(tblData[Day'# Singapore]),tblData[Singapore LogiP(t)]/$BH$9,"")</f>
        <v>243.12007607754003</v>
      </c>
      <c r="BJ51" s="11"/>
      <c r="BK51" s="11"/>
      <c r="BL51" s="11" t="str">
        <f>IF(ISNUMBER(tblData[[#This Row],[NSW Number of Tests]]),tblData[[#This Row],[NSW Number of Tests]]-BJ50,"")</f>
        <v/>
      </c>
      <c r="BM51" s="11" t="str">
        <f>IF(ISNUMBER(tblData[[#This Row],[NSW Under Investigation'']]),tblData[[#This Row],[NSW Under Investigation'']]-BK50,"")</f>
        <v/>
      </c>
      <c r="BN51" s="11"/>
      <c r="BO51" s="11" t="str">
        <f>IF(ISNUMBER(tblData[[#This Row],[NSW Test Day Number]]),betaTest/(deltaTest+betaPodeltaTest*EXP(-betaTest*tblData[[#This Row],[NSW Test Day Number]])),"")</f>
        <v/>
      </c>
      <c r="BP51" s="11" t="str">
        <f>IF(ISNUMBER(tblData[[#This Row],[NSW Number of Tests]]),(tblData[[#This Row],[NSW Number of Tests]]-tblData[[#This Row],[NSW Test Logi]])^2,"")</f>
        <v/>
      </c>
      <c r="BR51"/>
      <c r="BV51" s="26"/>
      <c r="CE51"/>
      <c r="CF51"/>
      <c r="CH51" s="26"/>
      <c r="CI51" s="26"/>
      <c r="DM51"/>
      <c r="DN51" t="s">
        <v>480</v>
      </c>
      <c r="DO51" s="80">
        <v>43912.873854166668</v>
      </c>
      <c r="DP51" s="27">
        <v>43852</v>
      </c>
      <c r="DQ51" s="27">
        <v>43870</v>
      </c>
      <c r="DR51">
        <v>3</v>
      </c>
      <c r="DS51" s="26">
        <v>0.33723338069623404</v>
      </c>
      <c r="DT51" s="25">
        <v>9.9999999999795755E-11</v>
      </c>
      <c r="DU51" s="26">
        <v>2.5463658145686113E-2</v>
      </c>
      <c r="DV51" s="108">
        <v>3372333806.9692283</v>
      </c>
      <c r="DW51" s="26">
        <v>322.06292198158718</v>
      </c>
      <c r="DX51" s="26">
        <v>13.243713011078873</v>
      </c>
      <c r="DY51" s="112">
        <v>9.9999999999795755E-8</v>
      </c>
      <c r="DZ51" s="26"/>
      <c r="EA51" s="27">
        <v>43911</v>
      </c>
      <c r="EB51" s="26" t="s">
        <v>1459</v>
      </c>
      <c r="EC51" s="26">
        <v>3372333806.9692283</v>
      </c>
      <c r="ED51" s="112">
        <v>25489</v>
      </c>
      <c r="EE51" s="26" t="s">
        <v>1460</v>
      </c>
      <c r="EF51" s="27">
        <v>43911</v>
      </c>
      <c r="EG51">
        <v>42</v>
      </c>
      <c r="EH51" s="26" t="s">
        <v>1479</v>
      </c>
      <c r="EJ51" t="s">
        <v>1462</v>
      </c>
      <c r="EL51" t="s">
        <v>1480</v>
      </c>
      <c r="EM51">
        <v>774.20570743755002</v>
      </c>
      <c r="EN51" s="94">
        <v>43911</v>
      </c>
      <c r="EO51">
        <v>1</v>
      </c>
      <c r="EP51" s="94">
        <v>43910</v>
      </c>
      <c r="EQ51">
        <v>2</v>
      </c>
    </row>
    <row r="52" spans="2:183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48">
        <f>IF(ISNUMBER(tblData[Italy]),tblData[Italy]/$N$9,"")</f>
        <v>413.89578163771711</v>
      </c>
      <c r="O52">
        <v>118</v>
      </c>
      <c r="P52" s="48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>
        <v>110</v>
      </c>
      <c r="X52" s="21">
        <f>IF(ISNUMBER(tblData[Singapore]),tblData[Singapore]/$X$9,"")</f>
        <v>188.03418803418805</v>
      </c>
      <c r="Y52" s="21"/>
      <c r="Z52" s="21"/>
      <c r="AA52" s="26">
        <f>IF(tblData[[#This Row],[Date]]&lt;ItalyStart,"",tblData[[#This Row],[Date]]-ItalyStart)</f>
        <v>33</v>
      </c>
      <c r="AB52" s="26">
        <f t="shared" si="7"/>
        <v>23</v>
      </c>
      <c r="AC52" s="26">
        <f t="shared" si="4"/>
        <v>41</v>
      </c>
      <c r="AD52" s="26">
        <f>IF(tblData[[#This Row],[Date]]&lt;StartDt2Korea,"",tblData[[#This Row],[Date]]-StartDt2Korea)</f>
        <v>13</v>
      </c>
      <c r="AE52" s="26">
        <f>IF(tblData[[#This Row],[Date]]&lt;UKStart,"",tblData[[#This Row],[Date]]-UKStart)</f>
        <v>33</v>
      </c>
      <c r="AF52" s="26">
        <f>IF(tblData[[#This Row],[Date]]&lt;SingaporeStart,"",tblData[[#This Row],[Date]]-SingaporeStart)</f>
        <v>40</v>
      </c>
      <c r="AG52">
        <f>IF(tblData[Date]&gt;=StartDt2Au,tblData[Date]-StartDt2Au,"")</f>
        <v>38</v>
      </c>
      <c r="AH52" s="26">
        <f>IF(tblData[New South Wales]&gt;0,SUM(tblData[[#This Row],[Australian Capital Territory]:[Western Australia]]),"")</f>
        <v>39</v>
      </c>
      <c r="AI52" s="12">
        <f>IF(ISNUMBER(tblData[Au]),tblData[Au]/$AE$9,"")</f>
        <v>15.376123639804447</v>
      </c>
      <c r="AJ52" s="19">
        <f>IF(ISNUMBER(tblData[[#This Row],[Day'# Aust]]),betaAu/(deltaAu+betaPodeltaAu*EXP(-betaAu*tblData[[#This Row],[Day'# Aust]])),"")</f>
        <v>22.971900961464911</v>
      </c>
      <c r="AK52" s="70">
        <f>IF(ISNUMBER(tblData[Day'# Aust]),tblData[Au LogiP(t)]/$AI$9,"")</f>
        <v>9.0568920365340286</v>
      </c>
      <c r="AL52" s="11">
        <f>IF(AND(tblData[Date]&gt;=StartDt2Au,ISNUMBER(tblData[NSW])),(tblData[[#This Row],[Au LogiP(t)]]-tblData[[#This Row],[Au]])^2,"")</f>
        <v>256.89995878908945</v>
      </c>
      <c r="AM52">
        <f>IF(tblData[Date]&gt;StartDt2NSW,tblData[Date]-StartDt2NSW,"")</f>
        <v>38</v>
      </c>
      <c r="AN52">
        <f t="shared" si="5"/>
        <v>13</v>
      </c>
      <c r="AO52" s="11">
        <f>IF(tblData[Date]&gt;StartDt2NSW,betaNSW/(deltaNSW+betaPodeltaNSW*EXP(-betaNSW*tblData[[#This Row],[Day '# NSW]])),"")</f>
        <v>12.870039617294998</v>
      </c>
      <c r="AP52" s="12">
        <f>IF(AND(ISNUMBER(tblData[NSW]),tblData[Date]&gt;StartDt2NSW),(tblData[[#This Row],[NSW LogiP(t)]]-tblData[[#This Row],[NSW]])^2,"")</f>
        <v>1.6889701072830696E-2</v>
      </c>
      <c r="AQ52" s="12">
        <f>IF(AND(tblData[Date]&gt;StartDt2NSW,ISNUMBER(tblData[Day'# Aust])),tblData[NSW LogiP(t)]/$AL$9,"")</f>
        <v>15.928266853087868</v>
      </c>
      <c r="AR52" s="11">
        <f>IF(AND(tblData[Date]&gt;StartDt2Italy,ISNUMBER(tblData[Days'# Italy])),betaItaly/(deltaItaly+betaPodeltaItaly*EXP(-betaItaly*tblData[Days'# Italy])),"")</f>
        <v>2183.5487799210641</v>
      </c>
      <c r="AS52" s="11">
        <f>IF(AND(tblData[Date]&gt;StartDt2Italy,ISNUMBER(tblData[Italy])),(tblData[[#This Row],[Italy LogiP(t)]]-tblData[[#This Row],[Italy]])^2,"")</f>
        <v>101411.17956976285</v>
      </c>
      <c r="AT52" s="43">
        <f>IF(AND(tblData[Date]&gt;StartDt2Italy,ISNUMBER(tblData[Days'# Italy])),tblData[[#This Row],[Italy LogiP(t)]]/$AS$9,"")</f>
        <v>361.21567906055651</v>
      </c>
      <c r="AU52" s="21">
        <f>IF(ISNUMBER(tblData[[#This Row],[Days'# US]]),betaUS/(deltaUS+betaPodeltaUS*EXP(-betaUS*tblData[Days'# US])),"")</f>
        <v>59.471517215843782</v>
      </c>
      <c r="AV52" s="11">
        <f>IF(ISNUMBER(tblData[US]),(tblData[[#This Row],[US LogiP(t)]]-tblData[US])^2,"")</f>
        <v>3425.5832970152705</v>
      </c>
      <c r="AW52" s="21">
        <f>IF(ISNUMBER(tblData[[#This Row],[Days'# US]]),tblData[[#This Row],[US LogiP(t)]]/$AV$9,"")</f>
        <v>1.8063944469565998</v>
      </c>
      <c r="AX52" s="21">
        <f>IF(tblData[Date]&gt;=StartDt2Korea,betaSKorea/(deltaSKorea+betaPodeltaSKorea*EXP(-betaSKorea*(tblData[Date]-StartDt2Korea))),"")</f>
        <v>4900.7971227628123</v>
      </c>
      <c r="AY52" s="21">
        <f>IF(AND(tblData[Date]&gt;=StartDt2Korea,ISNUMBER(tblData[SKorea])),(tblData[[#This Row],[SKorea LogiP(t)]]-tblData[[#This Row],[SKorea]])^2,"")</f>
        <v>81340.681184370391</v>
      </c>
      <c r="AZ52" s="21">
        <f>IF(tblData[Date]&gt;=StartDt2Korea,tblData[[#This Row],[SKorea LogiP(t)]]/$AY$9,"")</f>
        <v>953.46247524568332</v>
      </c>
      <c r="BA52" s="11">
        <f>IF(ISNUMBER(tblData[Days'# UK]),betaUK/(deltaUK+betaPodeltaUK*EXP(-betaUK*tblData[Days'# UK])),"")</f>
        <v>71.372667569614876</v>
      </c>
      <c r="BB52" s="21">
        <f>IF(ISNUMBER(tblData[UK]),(tblData[[#This Row],[UK LogiP(t)]]-tblData[[#This Row],[UK]])^2,"")</f>
        <v>415.04558390203772</v>
      </c>
      <c r="BC52" s="21">
        <f>IF(ISNUMBER(tblData[Days'# UK]),tblData[[#This Row],[UK LogiP(t)]]/$BB$9,"")</f>
        <v>10.742424378328549</v>
      </c>
      <c r="BD52" s="11">
        <f>IF(ISNUMBER(tblData[Days'# China]),betaChina/(deltaChina+betaPodeltaChina*EXP(-betaChina*tblData[Days'# China])),"")</f>
        <v>80518.106646340704</v>
      </c>
      <c r="BE52" s="11">
        <f>IF(ISNUMBER(tblData[China]),(tblData[[#This Row],[China LogiP(t)]]-tblData[[#This Row],[China]])^2,"")</f>
        <v>66103.827592563932</v>
      </c>
      <c r="BF52" s="11">
        <f>tblData[[#This Row],[China LogiP(t)]]/$BE$9</f>
        <v>559.41622023438811</v>
      </c>
      <c r="BG52" s="11">
        <f>IF(ISNUMBER(tblData[Day'# Singapore]),betaSingapore/(deltaSingapore+betaPodeltaSingapore*EXP(-betaSingapore*tblData[Day'# Singapore])),"")</f>
        <v>148.61478844297432</v>
      </c>
      <c r="BH52" s="11">
        <f>IF(AND(ISNUMBER(tblData[Singapore]),tblData[Date]&gt;=StartDt2Singapore),(tblData[[#This Row],[Singapore LogiP(t)]]-tblData[[#This Row],[Singapore]])^2,"")</f>
        <v>1491.1018864956627</v>
      </c>
      <c r="BI52" s="11">
        <f>IF(ISNUMBER(tblData[Day'# Singapore]),tblData[Singapore LogiP(t)]/$BH$9,"")</f>
        <v>254.04237340679373</v>
      </c>
      <c r="BJ52" s="11"/>
      <c r="BK52" s="11"/>
      <c r="BL52" s="11" t="str">
        <f>IF(ISNUMBER(tblData[[#This Row],[NSW Number of Tests]]),tblData[[#This Row],[NSW Number of Tests]]-BJ51,"")</f>
        <v/>
      </c>
      <c r="BM52" s="11" t="str">
        <f>IF(ISNUMBER(tblData[[#This Row],[NSW Under Investigation'']]),tblData[[#This Row],[NSW Under Investigation'']]-BK51,"")</f>
        <v/>
      </c>
      <c r="BN52" s="11"/>
      <c r="BO52" s="11" t="str">
        <f>IF(ISNUMBER(tblData[[#This Row],[NSW Test Day Number]]),betaTest/(deltaTest+betaPodeltaTest*EXP(-betaTest*tblData[[#This Row],[NSW Test Day Number]])),"")</f>
        <v/>
      </c>
      <c r="BP52" s="11" t="str">
        <f>IF(ISNUMBER(tblData[[#This Row],[NSW Number of Tests]]),(tblData[[#This Row],[NSW Number of Tests]]-tblData[[#This Row],[NSW Test Logi]])^2,"")</f>
        <v/>
      </c>
      <c r="BR52"/>
      <c r="BV52" s="26"/>
      <c r="CE52"/>
      <c r="CF52"/>
      <c r="CH52" s="26"/>
      <c r="CI52" s="26"/>
      <c r="DM52"/>
      <c r="DN52" t="s">
        <v>480</v>
      </c>
      <c r="DO52" s="80">
        <v>43912.787546296298</v>
      </c>
      <c r="DP52" s="27">
        <v>43852</v>
      </c>
      <c r="DQ52" s="27">
        <v>43870</v>
      </c>
      <c r="DR52">
        <v>3</v>
      </c>
      <c r="DS52" s="26">
        <v>0.33723338054496799</v>
      </c>
      <c r="DT52" s="25">
        <v>2.0602986212095161E-6</v>
      </c>
      <c r="DU52" s="26">
        <v>2.5463658144854667E-2</v>
      </c>
      <c r="DV52" s="108">
        <v>163681.79693630635</v>
      </c>
      <c r="DW52" s="26">
        <v>828.39707151439563</v>
      </c>
      <c r="DX52" s="26">
        <v>13.24371094537222</v>
      </c>
      <c r="DY52" s="112">
        <v>2.060298621209516E-3</v>
      </c>
      <c r="DZ52" s="26"/>
      <c r="EA52" s="27">
        <v>43912</v>
      </c>
      <c r="EB52" s="26" t="s">
        <v>1481</v>
      </c>
      <c r="EC52" s="26">
        <v>163681.79693630635</v>
      </c>
      <c r="ED52" s="112">
        <v>26747</v>
      </c>
      <c r="EE52" t="s">
        <v>1482</v>
      </c>
      <c r="EF52" s="27">
        <v>43911</v>
      </c>
      <c r="EG52" s="26">
        <v>43</v>
      </c>
      <c r="EH52" s="26" t="s">
        <v>1483</v>
      </c>
      <c r="EJ52" t="s">
        <v>1484</v>
      </c>
      <c r="EL52" s="26" t="s">
        <v>1485</v>
      </c>
      <c r="EM52" s="26">
        <v>812.41633868853819</v>
      </c>
      <c r="EN52" s="94">
        <v>43911</v>
      </c>
      <c r="EO52" s="26">
        <v>1</v>
      </c>
      <c r="EP52" s="94">
        <v>43910</v>
      </c>
      <c r="EQ52" s="26">
        <v>2</v>
      </c>
    </row>
    <row r="53" spans="2:183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48">
        <f>IF(ISNUMBER(tblData[Italy]),tblData[Italy]/$N$9,"")</f>
        <v>511.00082712985937</v>
      </c>
      <c r="O53">
        <v>149</v>
      </c>
      <c r="P53" s="48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>
        <v>110</v>
      </c>
      <c r="X53" s="21">
        <f>IF(ISNUMBER(tblData[Singapore]),tblData[Singapore]/$X$9,"")</f>
        <v>188.03418803418805</v>
      </c>
      <c r="Y53" s="21"/>
      <c r="Z53" s="21"/>
      <c r="AA53" s="26">
        <f>IF(tblData[[#This Row],[Date]]&lt;ItalyStart,"",tblData[[#This Row],[Date]]-ItalyStart)</f>
        <v>34</v>
      </c>
      <c r="AB53" s="26">
        <f t="shared" si="7"/>
        <v>24</v>
      </c>
      <c r="AC53" s="26">
        <f t="shared" si="4"/>
        <v>42</v>
      </c>
      <c r="AD53" s="26">
        <f>IF(tblData[[#This Row],[Date]]&lt;StartDt2Korea,"",tblData[[#This Row],[Date]]-StartDt2Korea)</f>
        <v>14</v>
      </c>
      <c r="AE53" s="26">
        <f>IF(tblData[[#This Row],[Date]]&lt;UKStart,"",tblData[[#This Row],[Date]]-UKStart)</f>
        <v>34</v>
      </c>
      <c r="AF53" s="26">
        <f>IF(tblData[[#This Row],[Date]]&lt;SingaporeStart,"",tblData[[#This Row],[Date]]-SingaporeStart)</f>
        <v>41</v>
      </c>
      <c r="AG53">
        <f>IF(tblData[Date]&gt;=StartDt2Au,tblData[Date]-StartDt2Au,"")</f>
        <v>39</v>
      </c>
      <c r="AH53" s="26">
        <f>IF(tblData[New South Wales]&gt;0,SUM(tblData[[#This Row],[Australian Capital Territory]:[Western Australia]]),"")</f>
        <v>52</v>
      </c>
      <c r="AI53" s="12">
        <f>IF(ISNUMBER(tblData[Au]),tblData[Au]/$AE$9,"")</f>
        <v>20.501498186405929</v>
      </c>
      <c r="AJ53" s="19">
        <f>IF(ISNUMBER(tblData[[#This Row],[Day'# Aust]]),betaAu/(deltaAu+betaPodeltaAu*EXP(-betaAu*tblData[[#This Row],[Day'# Aust]])),"")</f>
        <v>28.475910521390368</v>
      </c>
      <c r="AK53" s="70">
        <f>IF(ISNUMBER(tblData[Day'# Aust]),tblData[Au LogiP(t)]/$AI$9,"")</f>
        <v>11.226900536741196</v>
      </c>
      <c r="AL53" s="11">
        <f>IF(AND(tblData[Date]&gt;=StartDt2Au,ISNUMBER(tblData[NSW])),(tblData[[#This Row],[Au LogiP(t)]]-tblData[[#This Row],[Au]])^2,"")</f>
        <v>553.38278579763244</v>
      </c>
      <c r="AM53">
        <f>IF(tblData[Date]&gt;StartDt2NSW,tblData[Date]-StartDt2NSW,"")</f>
        <v>39</v>
      </c>
      <c r="AN53">
        <f t="shared" si="5"/>
        <v>22</v>
      </c>
      <c r="AO53" s="11">
        <f>IF(tblData[Date]&gt;StartDt2NSW,betaNSW/(deltaNSW+betaPodeltaNSW*EXP(-betaNSW*tblData[[#This Row],[Day '# NSW]])),"")</f>
        <v>15.693412594540179</v>
      </c>
      <c r="AP53" s="12">
        <f>IF(AND(ISNUMBER(tblData[NSW]),tblData[Date]&gt;StartDt2NSW),(tblData[[#This Row],[NSW LogiP(t)]]-tblData[[#This Row],[NSW]])^2,"")</f>
        <v>39.773044702704432</v>
      </c>
      <c r="AQ53" s="12">
        <f>IF(AND(tblData[Date]&gt;StartDt2NSW,ISNUMBER(tblData[Day'# Aust])),tblData[NSW LogiP(t)]/$AL$9,"")</f>
        <v>19.422540339777449</v>
      </c>
      <c r="AR53" s="11">
        <f>IF(AND(tblData[Date]&gt;StartDt2Italy,ISNUMBER(tblData[Days'# Italy])),betaItaly/(deltaItaly+betaPodeltaItaly*EXP(-betaItaly*tblData[Days'# Italy])),"")</f>
        <v>2800.756032501446</v>
      </c>
      <c r="AS53" s="11">
        <f>IF(AND(tblData[Date]&gt;StartDt2Italy,ISNUMBER(tblData[Italy])),(tblData[[#This Row],[Italy LogiP(t)]]-tblData[[#This Row],[Italy]])^2,"")</f>
        <v>83084.584799307428</v>
      </c>
      <c r="AT53" s="43">
        <f>IF(AND(tblData[Date]&gt;StartDt2Italy,ISNUMBER(tblData[Days'# Italy])),tblData[[#This Row],[Italy LogiP(t)]]/$AS$9,"")</f>
        <v>463.31778866856013</v>
      </c>
      <c r="AU53" s="21">
        <f>IF(ISNUMBER(tblData[[#This Row],[Days'# US]]),betaUS/(deltaUS+betaPodeltaUS*EXP(-betaUS*tblData[Days'# US])),"")</f>
        <v>83.311247460777068</v>
      </c>
      <c r="AV53" s="11">
        <f>IF(ISNUMBER(tblData[US]),(tblData[[#This Row],[US LogiP(t)]]-tblData[US])^2,"")</f>
        <v>4315.0122101592669</v>
      </c>
      <c r="AW53" s="21">
        <f>IF(ISNUMBER(tblData[[#This Row],[Days'# US]]),tblData[[#This Row],[US LogiP(t)]]/$AV$9,"")</f>
        <v>2.5305050522921926</v>
      </c>
      <c r="AX53" s="21">
        <f>IF(tblData[Date]&gt;=StartDt2Korea,betaSKorea/(deltaSKorea+betaPodeltaSKorea*EXP(-betaSKorea*(tblData[Date]-StartDt2Korea))),"")</f>
        <v>5524.2099177366281</v>
      </c>
      <c r="AY53" s="21">
        <f>IF(AND(tblData[Date]&gt;=StartDt2Korea,ISNUMBER(tblData[SKorea])),(tblData[[#This Row],[SKorea LogiP(t)]]-tblData[[#This Row],[SKorea]])^2,"")</f>
        <v>9368.3200245503031</v>
      </c>
      <c r="AZ53" s="21">
        <f>IF(tblData[Date]&gt;=StartDt2Korea,tblData[[#This Row],[SKorea LogiP(t)]]/$AY$9,"")</f>
        <v>1074.7490112328071</v>
      </c>
      <c r="BA53" s="11">
        <f>IF(ISNUMBER(tblData[Days'# UK]),betaUK/(deltaUK+betaPodeltaUK*EXP(-betaUK*tblData[Days'# UK])),"")</f>
        <v>90.349329923543863</v>
      </c>
      <c r="BB53" s="21">
        <f>IF(ISNUMBER(tblData[UK]),(tblData[[#This Row],[UK LogiP(t)]]-tblData[[#This Row],[UK]])^2,"")</f>
        <v>18.916670783834064</v>
      </c>
      <c r="BC53" s="21">
        <f>IF(ISNUMBER(tblData[Days'# UK]),tblData[[#This Row],[UK LogiP(t)]]/$BB$9,"")</f>
        <v>13.598634847011418</v>
      </c>
      <c r="BD53" s="11">
        <f>IF(ISNUMBER(tblData[Days'# China]),betaChina/(deltaChina+betaPodeltaChina*EXP(-betaChina*tblData[Days'# China])),"")</f>
        <v>80609.49472687782</v>
      </c>
      <c r="BE53" s="11">
        <f>IF(ISNUMBER(tblData[China]),(tblData[[#This Row],[China LogiP(t)]]-tblData[[#This Row],[China]])^2,"")</f>
        <v>49949.892942191189</v>
      </c>
      <c r="BF53" s="11">
        <f>tblData[[#This Row],[China LogiP(t)]]/$BE$9</f>
        <v>560.05115784926647</v>
      </c>
      <c r="BG53" s="11">
        <f>IF(ISNUMBER(tblData[Day'# Singapore]),betaSingapore/(deltaSingapore+betaPodeltaSingapore*EXP(-betaSingapore*tblData[Day'# Singapore])),"")</f>
        <v>155.29138600266728</v>
      </c>
      <c r="BH53" s="11">
        <f>IF(AND(ISNUMBER(tblData[Singapore]),tblData[Date]&gt;=StartDt2Singapore),(tblData[[#This Row],[Singapore LogiP(t)]]-tblData[[#This Row],[Singapore]])^2,"")</f>
        <v>2051.3096460426059</v>
      </c>
      <c r="BI53" s="11">
        <f>IF(ISNUMBER(tblData[Day'# Singapore]),tblData[Singapore LogiP(t)]/$BH$9,"")</f>
        <v>265.45536068832013</v>
      </c>
      <c r="BJ53" s="11"/>
      <c r="BK53" s="11"/>
      <c r="BL53" s="11" t="str">
        <f>IF(ISNUMBER(tblData[[#This Row],[NSW Number of Tests]]),tblData[[#This Row],[NSW Number of Tests]]-BJ52,"")</f>
        <v/>
      </c>
      <c r="BM53" s="11" t="str">
        <f>IF(ISNUMBER(tblData[[#This Row],[NSW Under Investigation'']]),tblData[[#This Row],[NSW Under Investigation'']]-BK52,"")</f>
        <v/>
      </c>
      <c r="BN53" s="11"/>
      <c r="BO53" s="11" t="str">
        <f>IF(ISNUMBER(tblData[[#This Row],[NSW Test Day Number]]),betaTest/(deltaTest+betaPodeltaTest*EXP(-betaTest*tblData[[#This Row],[NSW Test Day Number]])),"")</f>
        <v/>
      </c>
      <c r="BP53" s="11" t="str">
        <f>IF(ISNUMBER(tblData[[#This Row],[NSW Number of Tests]]),(tblData[[#This Row],[NSW Number of Tests]]-tblData[[#This Row],[NSW Test Logi]])^2,"")</f>
        <v/>
      </c>
      <c r="BR53"/>
      <c r="BV53" s="26"/>
      <c r="CE53"/>
      <c r="CF53"/>
      <c r="CH53" s="26"/>
      <c r="CI53" s="26"/>
      <c r="DM53"/>
      <c r="DN53" t="s">
        <v>225</v>
      </c>
      <c r="DO53" s="80"/>
      <c r="DP53" s="27">
        <v>43852</v>
      </c>
      <c r="DQ53" s="27"/>
      <c r="DR53">
        <v>4</v>
      </c>
      <c r="DS53" s="23">
        <v>0.2221429979133962</v>
      </c>
      <c r="DT53" s="25">
        <v>2.745882625476671E-6</v>
      </c>
      <c r="DU53" s="22">
        <v>1537.6493038446686</v>
      </c>
      <c r="DV53" s="108">
        <v>80900.398237099929</v>
      </c>
      <c r="DW53" s="22">
        <v>2208.2653303765946</v>
      </c>
      <c r="DX53" s="37">
        <v>1.4172333890505041E-4</v>
      </c>
      <c r="DY53" s="112">
        <v>2.7458826254766712E-3</v>
      </c>
      <c r="DZ53" s="24"/>
      <c r="EA53" s="27">
        <v>43905</v>
      </c>
      <c r="EB53" s="27" t="s">
        <v>759</v>
      </c>
      <c r="EC53" s="27"/>
      <c r="EE53" s="19"/>
      <c r="EF53" s="27"/>
      <c r="EH53" s="18"/>
      <c r="EK53" s="18"/>
      <c r="EL53"/>
      <c r="EP53" s="94"/>
    </row>
    <row r="54" spans="2:183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48">
        <f>IF(ISNUMBER(tblData[Italy]),tblData[Italy]/$N$9,"")</f>
        <v>638.21339950372214</v>
      </c>
      <c r="O54">
        <v>217</v>
      </c>
      <c r="P54" s="48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>
        <v>117</v>
      </c>
      <c r="X54" s="21">
        <f>IF(ISNUMBER(tblData[Singapore]),tblData[Singapore]/$X$9,"")</f>
        <v>200</v>
      </c>
      <c r="Y54" s="21"/>
      <c r="Z54" s="21"/>
      <c r="AA54" s="26">
        <f>IF(tblData[[#This Row],[Date]]&lt;ItalyStart,"",tblData[[#This Row],[Date]]-ItalyStart)</f>
        <v>35</v>
      </c>
      <c r="AB54" s="26">
        <f t="shared" si="7"/>
        <v>25</v>
      </c>
      <c r="AC54" s="26">
        <f t="shared" si="4"/>
        <v>43</v>
      </c>
      <c r="AD54" s="26">
        <f>IF(tblData[[#This Row],[Date]]&lt;StartDt2Korea,"",tblData[[#This Row],[Date]]-StartDt2Korea)</f>
        <v>15</v>
      </c>
      <c r="AE54" s="26">
        <f>IF(tblData[[#This Row],[Date]]&lt;UKStart,"",tblData[[#This Row],[Date]]-UKStart)</f>
        <v>35</v>
      </c>
      <c r="AF54" s="26">
        <f>IF(tblData[[#This Row],[Date]]&lt;SingaporeStart,"",tblData[[#This Row],[Date]]-SingaporeStart)</f>
        <v>42</v>
      </c>
      <c r="AG54">
        <f>IF(tblData[Date]&gt;=StartDt2Au,tblData[Date]-StartDt2Au,"")</f>
        <v>40</v>
      </c>
      <c r="AH54" s="26">
        <f>IF(tblData[New South Wales]&gt;0,SUM(tblData[[#This Row],[Australian Capital Territory]:[Western Australia]]),"")</f>
        <v>55</v>
      </c>
      <c r="AI54" s="12">
        <f>IF(ISNUMBER(tblData[Au]),tblData[Au]/$AE$9,"")</f>
        <v>21.68427692792935</v>
      </c>
      <c r="AJ54" s="19">
        <f>IF(ISNUMBER(tblData[[#This Row],[Day'# Aust]]),betaAu/(deltaAu+betaPodeltaAu*EXP(-betaAu*tblData[[#This Row],[Day'# Aust]])),"")</f>
        <v>35.298666896461491</v>
      </c>
      <c r="AK54" s="70">
        <f>IF(ISNUMBER(tblData[Day'# Aust]),tblData[Au LogiP(t)]/$AI$9,"")</f>
        <v>13.916837603083698</v>
      </c>
      <c r="AL54" s="11">
        <f>IF(AND(tblData[Date]&gt;=StartDt2Au,ISNUMBER(tblData[NSW])),(tblData[[#This Row],[Au LogiP(t)]]-tblData[[#This Row],[Au]])^2,"")</f>
        <v>388.14252605658231</v>
      </c>
      <c r="AM54">
        <f>IF(tblData[Date]&gt;StartDt2NSW,tblData[Date]-StartDt2NSW,"")</f>
        <v>40</v>
      </c>
      <c r="AN54">
        <f t="shared" si="5"/>
        <v>22</v>
      </c>
      <c r="AO54" s="11">
        <f>IF(tblData[Date]&gt;StartDt2NSW,betaNSW/(deltaNSW+betaPodeltaNSW*EXP(-betaNSW*tblData[[#This Row],[Day '# NSW]])),"")</f>
        <v>19.136164781555394</v>
      </c>
      <c r="AP54" s="12">
        <f>IF(AND(ISNUMBER(tblData[NSW]),tblData[Date]&gt;StartDt2NSW),(tblData[[#This Row],[NSW LogiP(t)]]-tblData[[#This Row],[NSW]])^2,"")</f>
        <v>8.2015521584036666</v>
      </c>
      <c r="AQ54" s="12">
        <f>IF(AND(tblData[Date]&gt;StartDt2NSW,ISNUMBER(tblData[Day'# Aust])),tblData[NSW LogiP(t)]/$AL$9,"")</f>
        <v>23.68337225440024</v>
      </c>
      <c r="AR54" s="11">
        <f>IF(AND(tblData[Date]&gt;StartDt2Italy,ISNUMBER(tblData[Days'# Italy])),betaItaly/(deltaItaly+betaPodeltaItaly*EXP(-betaItaly*tblData[Days'# Italy])),"")</f>
        <v>3582.5414266429302</v>
      </c>
      <c r="AS54" s="11">
        <f>IF(AND(tblData[Date]&gt;StartDt2Italy,ISNUMBER(tblData[Italy])),(tblData[[#This Row],[Italy LogiP(t)]]-tblData[[#This Row],[Italy]])^2,"")</f>
        <v>75877.425635912194</v>
      </c>
      <c r="AT54" s="43">
        <f>IF(AND(tblData[Date]&gt;StartDt2Italy,ISNUMBER(tblData[Days'# Italy])),tblData[[#This Row],[Italy LogiP(t)]]/$AS$9,"")</f>
        <v>592.64539729411581</v>
      </c>
      <c r="AU54" s="21">
        <f>IF(ISNUMBER(tblData[[#This Row],[Days'# US]]),betaUS/(deltaUS+betaPodeltaUS*EXP(-betaUS*tblData[Days'# US])),"")</f>
        <v>116.70047224828791</v>
      </c>
      <c r="AV54" s="11">
        <f>IF(ISNUMBER(tblData[US]),(tblData[[#This Row],[US LogiP(t)]]-tblData[US])^2,"")</f>
        <v>10059.995267216464</v>
      </c>
      <c r="AW54" s="21">
        <f>IF(ISNUMBER(tblData[[#This Row],[Days'# US]]),tblData[[#This Row],[US LogiP(t)]]/$AV$9,"")</f>
        <v>3.5446730619201188</v>
      </c>
      <c r="AX54" s="21">
        <f>IF(tblData[Date]&gt;=StartDt2Korea,betaSKorea/(deltaSKorea+betaPodeltaSKorea*EXP(-betaSKorea*(tblData[Date]-StartDt2Korea))),"")</f>
        <v>6092.405294495893</v>
      </c>
      <c r="AY54" s="21">
        <f>IF(AND(tblData[Date]&gt;=StartDt2Korea,ISNUMBER(tblData[SKorea])),(tblData[[#This Row],[SKorea LogiP(t)]]-tblData[[#This Row],[SKorea]])^2,"")</f>
        <v>19.406619595545436</v>
      </c>
      <c r="AZ54" s="21">
        <f>IF(tblData[Date]&gt;=StartDt2Korea,tblData[[#This Row],[SKorea LogiP(t)]]/$AY$9,"")</f>
        <v>1185.2928588513412</v>
      </c>
      <c r="BA54" s="11">
        <f>IF(ISNUMBER(tblData[Days'# UK]),betaUK/(deltaUK+betaPodeltaUK*EXP(-betaUK*tblData[Days'# UK])),"")</f>
        <v>114.36632017167626</v>
      </c>
      <c r="BB54" s="21">
        <f>IF(ISNUMBER(tblData[UK]),(tblData[[#This Row],[UK LogiP(t)]]-tblData[[#This Row],[UK]])^2,"")</f>
        <v>2.6689097814718705</v>
      </c>
      <c r="BC54" s="21">
        <f>IF(ISNUMBER(tblData[Days'# UK]),tblData[[#This Row],[UK LogiP(t)]]/$BB$9,"")</f>
        <v>17.213473836796549</v>
      </c>
      <c r="BD54" s="11">
        <f>IF(ISNUMBER(tblData[Days'# China]),betaChina/(deltaChina+betaPodeltaChina*EXP(-betaChina*tblData[Days'# China])),"")</f>
        <v>80682.82809568831</v>
      </c>
      <c r="BE54" s="11">
        <f>IF(ISNUMBER(tblData[China]),(tblData[[#This Row],[China LogiP(t)]]-tblData[[#This Row],[China]])^2,"")</f>
        <v>21265.833492078895</v>
      </c>
      <c r="BF54" s="11">
        <f>tblData[[#This Row],[China LogiP(t)]]/$BE$9</f>
        <v>560.56065661551554</v>
      </c>
      <c r="BG54" s="11">
        <f>IF(ISNUMBER(tblData[Day'# Singapore]),betaSingapore/(deltaSingapore+betaPodeltaSingapore*EXP(-betaSingapore*tblData[Day'# Singapore])),"")</f>
        <v>162.26793321929907</v>
      </c>
      <c r="BH54" s="11">
        <f>IF(AND(ISNUMBER(tblData[Singapore]),tblData[Date]&gt;=StartDt2Singapore),(tblData[[#This Row],[Singapore LogiP(t)]]-tblData[[#This Row],[Singapore]])^2,"")</f>
        <v>2049.1857779469201</v>
      </c>
      <c r="BI54" s="11">
        <f>IF(ISNUMBER(tblData[Day'# Singapore]),tblData[Singapore LogiP(t)]/$BH$9,"")</f>
        <v>277.38108242615226</v>
      </c>
      <c r="BJ54" s="11"/>
      <c r="BK54" s="11"/>
      <c r="BL54" s="11" t="str">
        <f>IF(ISNUMBER(tblData[[#This Row],[NSW Number of Tests]]),tblData[[#This Row],[NSW Number of Tests]]-BJ53,"")</f>
        <v/>
      </c>
      <c r="BM54" s="11" t="str">
        <f>IF(ISNUMBER(tblData[[#This Row],[NSW Under Investigation'']]),tblData[[#This Row],[NSW Under Investigation'']]-BK53,"")</f>
        <v/>
      </c>
      <c r="BN54" s="11"/>
      <c r="BO54" s="11" t="str">
        <f>IF(ISNUMBER(tblData[[#This Row],[NSW Test Day Number]]),betaTest/(deltaTest+betaPodeltaTest*EXP(-betaTest*tblData[[#This Row],[NSW Test Day Number]])),"")</f>
        <v/>
      </c>
      <c r="BP54" s="11" t="str">
        <f>IF(ISNUMBER(tblData[[#This Row],[NSW Number of Tests]]),(tblData[[#This Row],[NSW Number of Tests]]-tblData[[#This Row],[NSW Test Logi]])^2,"")</f>
        <v/>
      </c>
      <c r="BR54"/>
      <c r="BV54" s="26"/>
      <c r="CE54"/>
      <c r="CF54"/>
      <c r="CH54" s="26"/>
      <c r="CI54" s="26"/>
      <c r="DM54"/>
      <c r="DN54" t="s">
        <v>225</v>
      </c>
      <c r="DO54" s="80"/>
      <c r="DP54" s="27">
        <v>43852</v>
      </c>
      <c r="DQ54" s="27"/>
      <c r="DR54">
        <v>4</v>
      </c>
      <c r="DS54" s="23">
        <v>0.2221429979133962</v>
      </c>
      <c r="DT54" s="25">
        <v>2.745543785173982E-6</v>
      </c>
      <c r="DU54" s="22">
        <v>1537.6493038446686</v>
      </c>
      <c r="DV54" s="108">
        <v>80910.382530766758</v>
      </c>
      <c r="DW54" s="19">
        <v>2167.9126784143218</v>
      </c>
      <c r="DX54" s="37">
        <v>1.4172367774535312E-4</v>
      </c>
      <c r="DY54" s="112">
        <v>2.7455437851739819E-3</v>
      </c>
      <c r="DZ54" s="12"/>
      <c r="EA54" s="27">
        <v>43906</v>
      </c>
      <c r="EB54" s="27" t="s">
        <v>759</v>
      </c>
      <c r="EC54" s="27"/>
      <c r="ED54" s="112">
        <v>81033</v>
      </c>
      <c r="EE54" s="19" t="s">
        <v>964</v>
      </c>
      <c r="EF54" s="27">
        <v>43906</v>
      </c>
      <c r="EG54">
        <v>55</v>
      </c>
      <c r="EH54" s="18" t="s">
        <v>965</v>
      </c>
      <c r="EJ54" t="s">
        <v>966</v>
      </c>
      <c r="EL54"/>
      <c r="EP54" s="94"/>
    </row>
    <row r="55" spans="2:183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48">
        <f>IF(ISNUMBER(tblData[Italy]),tblData[Italy]/$N$9,"")</f>
        <v>766.91480562448305</v>
      </c>
      <c r="O55">
        <v>262</v>
      </c>
      <c r="P55" s="48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>
        <v>130</v>
      </c>
      <c r="X55" s="21">
        <f>IF(ISNUMBER(tblData[Singapore]),tblData[Singapore]/$X$9,"")</f>
        <v>222.22222222222223</v>
      </c>
      <c r="Y55" s="21"/>
      <c r="Z55" s="21"/>
      <c r="AA55" s="26">
        <f>IF(tblData[[#This Row],[Date]]&lt;ItalyStart,"",tblData[[#This Row],[Date]]-ItalyStart)</f>
        <v>36</v>
      </c>
      <c r="AB55" s="26">
        <f t="shared" si="7"/>
        <v>26</v>
      </c>
      <c r="AC55" s="26">
        <f t="shared" si="4"/>
        <v>44</v>
      </c>
      <c r="AD55" s="26">
        <f>IF(tblData[[#This Row],[Date]]&lt;StartDt2Korea,"",tblData[[#This Row],[Date]]-StartDt2Korea)</f>
        <v>16</v>
      </c>
      <c r="AE55" s="26">
        <f>IF(tblData[[#This Row],[Date]]&lt;UKStart,"",tblData[[#This Row],[Date]]-UKStart)</f>
        <v>36</v>
      </c>
      <c r="AF55" s="26">
        <f>IF(tblData[[#This Row],[Date]]&lt;SingaporeStart,"",tblData[[#This Row],[Date]]-SingaporeStart)</f>
        <v>43</v>
      </c>
      <c r="AG55">
        <f>IF(tblData[Date]&gt;=StartDt2Au,tblData[Date]-StartDt2Au,"")</f>
        <v>41</v>
      </c>
      <c r="AH55" s="26">
        <f>IF(tblData[New South Wales]&gt;0,SUM(tblData[[#This Row],[Australian Capital Territory]:[Western Australia]]),"")</f>
        <v>60</v>
      </c>
      <c r="AI55" s="12">
        <f>IF(ISNUMBER(tblData[Au]),tblData[Au]/$AE$9,"")</f>
        <v>23.655574830468382</v>
      </c>
      <c r="AJ55" s="19">
        <f>IF(ISNUMBER(tblData[[#This Row],[Day'# Aust]]),betaAu/(deltaAu+betaPodeltaAu*EXP(-betaAu*tblData[[#This Row],[Day'# Aust]])),"")</f>
        <v>43.756138498956993</v>
      </c>
      <c r="AK55" s="70">
        <f>IF(ISNUMBER(tblData[Day'# Aust]),tblData[Au LogiP(t)]/$AI$9,"")</f>
        <v>17.25127680924026</v>
      </c>
      <c r="AL55" s="11">
        <f>IF(AND(tblData[Date]&gt;=StartDt2Au,ISNUMBER(tblData[NSW])),(tblData[[#This Row],[Au LogiP(t)]]-tblData[[#This Row],[Au]])^2,"")</f>
        <v>263.86303646506718</v>
      </c>
      <c r="AM55">
        <f>IF(tblData[Date]&gt;StartDt2NSW,tblData[Date]-StartDt2NSW,"")</f>
        <v>41</v>
      </c>
      <c r="AN55">
        <f t="shared" si="5"/>
        <v>26</v>
      </c>
      <c r="AO55" s="11">
        <f>IF(tblData[Date]&gt;StartDt2NSW,betaNSW/(deltaNSW+betaPodeltaNSW*EXP(-betaNSW*tblData[[#This Row],[Day '# NSW]])),"")</f>
        <v>23.334172879189264</v>
      </c>
      <c r="AP55" s="12">
        <f>IF(AND(ISNUMBER(tblData[NSW]),tblData[Date]&gt;StartDt2NSW),(tblData[[#This Row],[NSW LogiP(t)]]-tblData[[#This Row],[NSW]])^2,"")</f>
        <v>7.1066342380500576</v>
      </c>
      <c r="AQ55" s="12">
        <f>IF(AND(tblData[Date]&gt;StartDt2NSW,ISNUMBER(tblData[Day'# Aust])),tblData[NSW LogiP(t)]/$AL$9,"")</f>
        <v>28.878926830679781</v>
      </c>
      <c r="AR55" s="11">
        <f>IF(AND(tblData[Date]&gt;StartDt2Italy,ISNUMBER(tblData[Days'# Italy])),betaItaly/(deltaItaly+betaPodeltaItaly*EXP(-betaItaly*tblData[Days'# Italy])),"")</f>
        <v>4566.6361167259565</v>
      </c>
      <c r="AS55" s="11">
        <f>IF(AND(tblData[Date]&gt;StartDt2Italy,ISNUMBER(tblData[Italy])),(tblData[[#This Row],[Italy LogiP(t)]]-tblData[[#This Row],[Italy]])^2,"")</f>
        <v>4811.3483028551282</v>
      </c>
      <c r="AT55" s="43">
        <f>IF(AND(tblData[Date]&gt;StartDt2Italy,ISNUMBER(tblData[Days'# Italy])),tblData[[#This Row],[Italy LogiP(t)]]/$AS$9,"")</f>
        <v>755.44021782067102</v>
      </c>
      <c r="AU55" s="21">
        <f>IF(ISNUMBER(tblData[[#This Row],[Days'# US]]),betaUS/(deltaUS+betaPodeltaUS*EXP(-betaUS*tblData[Days'# US])),"")</f>
        <v>163.45781041406812</v>
      </c>
      <c r="AV55" s="11">
        <f>IF(ISNUMBER(tblData[US]),(tblData[[#This Row],[US LogiP(t)]]-tblData[US])^2,"")</f>
        <v>9710.5631283897419</v>
      </c>
      <c r="AW55" s="21">
        <f>IF(ISNUMBER(tblData[[#This Row],[Days'# US]]),tblData[[#This Row],[US LogiP(t)]]/$AV$9,"")</f>
        <v>4.9648856270476101</v>
      </c>
      <c r="AX55" s="21">
        <f>IF(tblData[Date]&gt;=StartDt2Korea,betaSKorea/(deltaSKorea+betaPodeltaSKorea*EXP(-betaSKorea*(tblData[Date]-StartDt2Korea))),"")</f>
        <v>6589.3029150014681</v>
      </c>
      <c r="AY55" s="21">
        <f>IF(AND(tblData[Date]&gt;=StartDt2Korea,ISNUMBER(tblData[SKorea])),(tblData[[#This Row],[SKorea LogiP(t)]]-tblData[[#This Row],[SKorea]])^2,"")</f>
        <v>13.668437486369351</v>
      </c>
      <c r="AZ55" s="21">
        <f>IF(tblData[Date]&gt;=StartDt2Korea,tblData[[#This Row],[SKorea LogiP(t)]]/$AY$9,"")</f>
        <v>1281.9655476656553</v>
      </c>
      <c r="BA55" s="11">
        <f>IF(ISNUMBER(tblData[Days'# UK]),betaUK/(deltaUK+betaPodeltaUK*EXP(-betaUK*tblData[Days'# UK])),"")</f>
        <v>144.75924428192792</v>
      </c>
      <c r="BB55" s="21">
        <f>IF(ISNUMBER(tblData[UK]),(tblData[[#This Row],[UK LogiP(t)]]-tblData[[#This Row],[UK]])^2,"")</f>
        <v>370.20668060252342</v>
      </c>
      <c r="BC55" s="21">
        <f>IF(ISNUMBER(tblData[Days'# UK]),tblData[[#This Row],[UK LogiP(t)]]/$BB$9,"")</f>
        <v>21.787965725756759</v>
      </c>
      <c r="BD55" s="11">
        <f>IF(ISNUMBER(tblData[Days'# China]),betaChina/(deltaChina+betaPodeltaChina*EXP(-betaChina*tblData[Days'# China])),"")</f>
        <v>80741.649796547994</v>
      </c>
      <c r="BE55" s="11">
        <f>IF(ISNUMBER(tblData[China]),(tblData[[#This Row],[China LogiP(t)]]-tblData[[#This Row],[China]])^2,"")</f>
        <v>2667.7014834491629</v>
      </c>
      <c r="BF55" s="11">
        <f>tblData[[#This Row],[China LogiP(t)]]/$BE$9</f>
        <v>560.96933256348848</v>
      </c>
      <c r="BG55" s="11">
        <f>IF(ISNUMBER(tblData[Day'# Singapore]),betaSingapore/(deltaSingapore+betaPodeltaSingapore*EXP(-betaSingapore*tblData[Day'# Singapore])),"")</f>
        <v>169.557905488865</v>
      </c>
      <c r="BH55" s="11">
        <f>IF(AND(ISNUMBER(tblData[Singapore]),tblData[Date]&gt;=StartDt2Singapore),(tblData[[#This Row],[Singapore LogiP(t)]]-tblData[[#This Row],[Singapore]])^2,"")</f>
        <v>1564.8278866659759</v>
      </c>
      <c r="BI55" s="11">
        <f>IF(ISNUMBER(tblData[Day'# Singapore]),tblData[Singapore LogiP(t)]/$BH$9,"")</f>
        <v>289.84257348523931</v>
      </c>
      <c r="BJ55" s="11">
        <v>6217</v>
      </c>
      <c r="BK55" s="11">
        <v>545</v>
      </c>
      <c r="BL55" s="11">
        <f>IF(ISNUMBER(tblData[[#This Row],[NSW Number of Tests]]),tblData[[#This Row],[NSW Number of Tests]]-BJ54,"")</f>
        <v>6217</v>
      </c>
      <c r="BM55" s="11">
        <f>IF(ISNUMBER(tblData[[#This Row],[NSW Under Investigation'']]),tblData[[#This Row],[NSW Under Investigation'']]-BK54,"")</f>
        <v>545</v>
      </c>
      <c r="BN55" s="11">
        <v>1</v>
      </c>
      <c r="BO55" s="11">
        <f>IF(ISNUMBER(tblData[[#This Row],[NSW Test Day Number]]),betaTest/(deltaTest+betaPodeltaTest*EXP(-betaTest*tblData[[#This Row],[NSW Test Day Number]])),"")</f>
        <v>5831.3706112455338</v>
      </c>
      <c r="BP55" s="11">
        <f>IF(ISNUMBER(tblData[[#This Row],[NSW Number of Tests]]),(tblData[[#This Row],[NSW Number of Tests]]-tblData[[#This Row],[NSW Test Logi]])^2,"")</f>
        <v>148710.02547114319</v>
      </c>
      <c r="BR55"/>
      <c r="BV55" s="26"/>
      <c r="CE55"/>
      <c r="CF55"/>
      <c r="CH55" s="26"/>
      <c r="CI55" s="26"/>
      <c r="DM55"/>
      <c r="DN55" t="s">
        <v>225</v>
      </c>
      <c r="DO55" s="80"/>
      <c r="DP55" s="27">
        <v>43852</v>
      </c>
      <c r="DQ55" s="27"/>
      <c r="DR55">
        <v>4</v>
      </c>
      <c r="DS55" s="23">
        <v>0.2221429979133962</v>
      </c>
      <c r="DT55" s="25">
        <v>2.7453499609305866E-6</v>
      </c>
      <c r="DU55" s="22">
        <v>1537.6493038446686</v>
      </c>
      <c r="DV55" s="108">
        <v>80916.09487851843</v>
      </c>
      <c r="DW55" s="19">
        <v>2148.5827606526632</v>
      </c>
      <c r="DX55" s="37">
        <v>1.4172387156959651E-4</v>
      </c>
      <c r="DY55" s="112">
        <v>2.7453499609305866E-3</v>
      </c>
      <c r="DZ55" s="12"/>
      <c r="EA55" s="27">
        <v>43907</v>
      </c>
      <c r="EB55" s="27" t="s">
        <v>759</v>
      </c>
      <c r="EC55" s="27"/>
      <c r="ED55" s="112">
        <v>81058</v>
      </c>
      <c r="EE55" s="19" t="s">
        <v>964</v>
      </c>
      <c r="EF55" s="27">
        <v>43907</v>
      </c>
      <c r="EG55">
        <v>56</v>
      </c>
      <c r="EH55" s="18" t="s">
        <v>965</v>
      </c>
      <c r="EJ55" t="s">
        <v>966</v>
      </c>
      <c r="EL55" t="s">
        <v>1003</v>
      </c>
      <c r="EP55" s="94"/>
    </row>
    <row r="56" spans="2:183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48">
        <f>IF(ISNUMBER(tblData[Italy]),tblData[Italy]/$N$9,"")</f>
        <v>973.20099255583125</v>
      </c>
      <c r="O56">
        <v>401</v>
      </c>
      <c r="P56" s="48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>
        <v>138</v>
      </c>
      <c r="X56" s="21">
        <f>IF(ISNUMBER(tblData[Singapore]),tblData[Singapore]/$X$9,"")</f>
        <v>235.89743589743591</v>
      </c>
      <c r="Y56" s="21"/>
      <c r="Z56" s="21"/>
      <c r="AA56" s="26">
        <f>IF(tblData[[#This Row],[Date]]&lt;ItalyStart,"",tblData[[#This Row],[Date]]-ItalyStart)</f>
        <v>37</v>
      </c>
      <c r="AB56" s="26">
        <f t="shared" si="7"/>
        <v>27</v>
      </c>
      <c r="AC56" s="26">
        <f t="shared" si="4"/>
        <v>45</v>
      </c>
      <c r="AD56" s="26">
        <f>IF(tblData[[#This Row],[Date]]&lt;StartDt2Korea,"",tblData[[#This Row],[Date]]-StartDt2Korea)</f>
        <v>17</v>
      </c>
      <c r="AE56" s="26">
        <f>IF(tblData[[#This Row],[Date]]&lt;UKStart,"",tblData[[#This Row],[Date]]-UKStart)</f>
        <v>37</v>
      </c>
      <c r="AF56" s="26">
        <f>IF(tblData[[#This Row],[Date]]&lt;SingaporeStart,"",tblData[[#This Row],[Date]]-SingaporeStart)</f>
        <v>44</v>
      </c>
      <c r="AG56">
        <f>IF(tblData[Date]&gt;=StartDt2Au,tblData[Date]-StartDt2Au,"")</f>
        <v>42</v>
      </c>
      <c r="AH56" s="26">
        <f>IF(tblData[New South Wales]&gt;0,SUM(tblData[[#This Row],[Australian Capital Territory]:[Western Australia]]),"")</f>
        <v>63</v>
      </c>
      <c r="AI56" s="12">
        <f>IF(ISNUMBER(tblData[Au]),tblData[Au]/$AE$9,"")</f>
        <v>24.838353571991799</v>
      </c>
      <c r="AJ56" s="19">
        <f>IF(ISNUMBER(tblData[[#This Row],[Day'# Aust]]),betaAu/(deltaAu+betaPodeltaAu*EXP(-betaAu*tblData[[#This Row],[Day'# Aust]])),"")</f>
        <v>54.239998976102079</v>
      </c>
      <c r="AK56" s="70">
        <f>IF(ISNUMBER(tblData[Day'# Aust]),tblData[Au LogiP(t)]/$AI$9,"")</f>
        <v>21.384639243061851</v>
      </c>
      <c r="AL56" s="11">
        <f>IF(AND(tblData[Date]&gt;=StartDt2Au,ISNUMBER(tblData[NSW])),(tblData[[#This Row],[Au LogiP(t)]]-tblData[[#This Row],[Au]])^2,"")</f>
        <v>76.737617938692622</v>
      </c>
      <c r="AM56">
        <f>IF(tblData[Date]&gt;StartDt2NSW,tblData[Date]-StartDt2NSW,"")</f>
        <v>42</v>
      </c>
      <c r="AN56">
        <f t="shared" si="5"/>
        <v>28</v>
      </c>
      <c r="AO56" s="11">
        <f>IF(tblData[Date]&gt;StartDt2NSW,betaNSW/(deltaNSW+betaPodeltaNSW*EXP(-betaNSW*tblData[[#This Row],[Day '# NSW]])),"")</f>
        <v>28.453121624358612</v>
      </c>
      <c r="AP56" s="12">
        <f>IF(AND(ISNUMBER(tblData[NSW]),tblData[Date]&gt;StartDt2NSW),(tblData[[#This Row],[NSW LogiP(t)]]-tblData[[#This Row],[NSW]])^2,"")</f>
        <v>0.20531920646138732</v>
      </c>
      <c r="AQ56" s="12">
        <f>IF(AND(tblData[Date]&gt;StartDt2NSW,ISNUMBER(tblData[Day'# Aust])),tblData[NSW LogiP(t)]/$AL$9,"")</f>
        <v>35.214259436087389</v>
      </c>
      <c r="AR56" s="11">
        <f>IF(AND(tblData[Date]&gt;StartDt2Italy,ISNUMBER(tblData[Days'# Italy])),betaItaly/(deltaItaly+betaPodeltaItaly*EXP(-betaItaly*tblData[Days'# Italy])),"")</f>
        <v>5795.7190965582777</v>
      </c>
      <c r="AS56" s="11">
        <f>IF(AND(tblData[Date]&gt;StartDt2Italy,ISNUMBER(tblData[Italy])),(tblData[[#This Row],[Italy LogiP(t)]]-tblData[[#This Row],[Italy]])^2,"")</f>
        <v>7617.9561056032571</v>
      </c>
      <c r="AT56" s="43">
        <f>IF(AND(tblData[Date]&gt;StartDt2Italy,ISNUMBER(tblData[Days'# Italy])),tblData[[#This Row],[Italy LogiP(t)]]/$AS$9,"")</f>
        <v>958.76246427763067</v>
      </c>
      <c r="AU56" s="21">
        <f>IF(ISNUMBER(tblData[[#This Row],[Days'# US]]),betaUS/(deltaUS+betaPodeltaUS*EXP(-betaUS*tblData[Days'# US])),"")</f>
        <v>228.92248665876332</v>
      </c>
      <c r="AV56" s="11">
        <f>IF(ISNUMBER(tblData[US]),(tblData[[#This Row],[US LogiP(t)]]-tblData[US])^2,"")</f>
        <v>29610.670597703487</v>
      </c>
      <c r="AW56" s="21">
        <f>IF(ISNUMBER(tblData[[#This Row],[Days'# US]]),tblData[[#This Row],[US LogiP(t)]]/$AV$9,"")</f>
        <v>6.9533169497434564</v>
      </c>
      <c r="AX56" s="21">
        <f>IF(tblData[Date]&gt;=StartDt2Korea,betaSKorea/(deltaSKorea+betaPodeltaSKorea*EXP(-betaSKorea*(tblData[Date]-StartDt2Korea))),"")</f>
        <v>7008.3818259913523</v>
      </c>
      <c r="AY56" s="21">
        <f>IF(AND(tblData[Date]&gt;=StartDt2Korea,ISNUMBER(tblData[SKorea])),(tblData[[#This Row],[SKorea LogiP(t)]]-tblData[[#This Row],[SKorea]])^2,"")</f>
        <v>1063.9452756584176</v>
      </c>
      <c r="AZ56" s="21">
        <f>IF(tblData[Date]&gt;=StartDt2Korea,tblData[[#This Row],[SKorea LogiP(t)]]/$AY$9,"")</f>
        <v>1363.4984097259442</v>
      </c>
      <c r="BA56" s="11">
        <f>IF(ISNUMBER(tblData[Days'# UK]),betaUK/(deltaUK+betaPodeltaUK*EXP(-betaUK*tblData[Days'# UK])),"")</f>
        <v>183.21573377427032</v>
      </c>
      <c r="BB56" s="21">
        <f>IF(ISNUMBER(tblData[UK]),(tblData[[#This Row],[UK LogiP(t)]]-tblData[[#This Row],[UK]])^2,"")</f>
        <v>565.69131989638561</v>
      </c>
      <c r="BC56" s="21">
        <f>IF(ISNUMBER(tblData[Days'# UK]),tblData[[#This Row],[UK LogiP(t)]]/$BB$9,"")</f>
        <v>27.576118870299567</v>
      </c>
      <c r="BD56" s="11">
        <f>IF(ISNUMBER(tblData[Days'# China]),betaChina/(deltaChina+betaPodeltaChina*EXP(-betaChina*tblData[Days'# China])),"")</f>
        <v>80788.81614242967</v>
      </c>
      <c r="BE56" s="11">
        <f>IF(ISNUMBER(tblData[China]),(tblData[[#This Row],[China LogiP(t)]]-tblData[[#This Row],[China]])^2,"")</f>
        <v>354.04721593364405</v>
      </c>
      <c r="BF56" s="11">
        <f>tblData[[#This Row],[China LogiP(t)]]/$BE$9</f>
        <v>561.2970305190712</v>
      </c>
      <c r="BG56" s="11">
        <f>IF(ISNUMBER(tblData[Day'# Singapore]),betaSingapore/(deltaSingapore+betaPodeltaSingapore*EXP(-betaSingapore*tblData[Day'# Singapore])),"")</f>
        <v>177.17538359659892</v>
      </c>
      <c r="BH56" s="11">
        <f>IF(AND(ISNUMBER(tblData[Singapore]),tblData[Date]&gt;=StartDt2Singapore),(tblData[[#This Row],[Singapore LogiP(t)]]-tblData[[#This Row],[Singapore]])^2,"")</f>
        <v>1534.7106799406718</v>
      </c>
      <c r="BI56" s="11">
        <f>IF(ISNUMBER(tblData[Day'# Singapore]),tblData[Singapore LogiP(t)]/$BH$9,"")</f>
        <v>302.86390358392981</v>
      </c>
      <c r="BJ56" s="11">
        <v>6690</v>
      </c>
      <c r="BK56" s="11">
        <v>488</v>
      </c>
      <c r="BL56" s="11">
        <f>IF(ISNUMBER(tblData[[#This Row],[NSW Number of Tests]]),tblData[[#This Row],[NSW Number of Tests]]-BJ55,"")</f>
        <v>473</v>
      </c>
      <c r="BM56" s="11">
        <f>IF(ISNUMBER(tblData[[#This Row],[NSW Under Investigation'']]),tblData[[#This Row],[NSW Under Investigation'']]-BK55,"")</f>
        <v>-57</v>
      </c>
      <c r="BN56" s="11">
        <f>BN55+1</f>
        <v>2</v>
      </c>
      <c r="BO56" s="11">
        <f>IF(ISNUMBER(tblData[[#This Row],[NSW Test Day Number]]),betaTest/(deltaTest+betaPodeltaTest*EXP(-betaTest*tblData[[#This Row],[NSW Test Day Number]])),"")</f>
        <v>6875.2112147925036</v>
      </c>
      <c r="BP56" s="11">
        <f>IF(ISNUMBER(tblData[[#This Row],[NSW Number of Tests]]),(tblData[[#This Row],[NSW Number of Tests]]-tblData[[#This Row],[NSW Test Logi]])^2,"")</f>
        <v>34303.194084914903</v>
      </c>
      <c r="BR56"/>
      <c r="BV56" s="26"/>
      <c r="CE56"/>
      <c r="CF56"/>
      <c r="CG56"/>
      <c r="CH56" s="26"/>
      <c r="CS56" s="26"/>
      <c r="CT56" s="26"/>
      <c r="DM56"/>
      <c r="DN56" t="s">
        <v>225</v>
      </c>
      <c r="DO56" s="80"/>
      <c r="DP56" s="27">
        <v>43852</v>
      </c>
      <c r="DQ56" s="27"/>
      <c r="DR56">
        <v>4</v>
      </c>
      <c r="DS56" s="23">
        <v>0.2221429979133962</v>
      </c>
      <c r="DT56" s="25">
        <v>2.7453499609305866E-6</v>
      </c>
      <c r="DU56" s="22">
        <v>1537.6493038446686</v>
      </c>
      <c r="DV56" s="108">
        <v>80916.09487851843</v>
      </c>
      <c r="DW56" s="22">
        <v>2129.8209279691509</v>
      </c>
      <c r="DX56" s="37">
        <v>1.4172387156959651E-4</v>
      </c>
      <c r="DY56" s="112">
        <v>2.7453499609305866E-3</v>
      </c>
      <c r="DZ56" s="24"/>
      <c r="EA56" s="27">
        <v>43907</v>
      </c>
      <c r="EB56" s="27" t="s">
        <v>759</v>
      </c>
      <c r="EC56" s="27"/>
      <c r="ED56" s="112">
        <v>81102</v>
      </c>
      <c r="EE56" t="s">
        <v>964</v>
      </c>
      <c r="EF56" s="27">
        <v>43907</v>
      </c>
      <c r="EG56" s="19">
        <v>57</v>
      </c>
      <c r="EH56" s="27" t="s">
        <v>965</v>
      </c>
      <c r="EJ56" t="s">
        <v>966</v>
      </c>
      <c r="EL56" s="18" t="s">
        <v>1019</v>
      </c>
      <c r="EM56" s="21">
        <v>563.47294022606354</v>
      </c>
      <c r="EN56" s="94">
        <v>43874</v>
      </c>
      <c r="EO56" s="11">
        <v>35</v>
      </c>
      <c r="EP56" s="94">
        <v>43869</v>
      </c>
      <c r="EQ56" s="11">
        <v>40</v>
      </c>
    </row>
    <row r="57" spans="2:183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48">
        <f>IF(ISNUMBER(tblData[Italy]),tblData[Italy]/$N$9,"")</f>
        <v>1220.0165425971877</v>
      </c>
      <c r="O57">
        <v>514</v>
      </c>
      <c r="P57" s="48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>
        <v>150</v>
      </c>
      <c r="X57" s="21">
        <f>IF(ISNUMBER(tblData[Singapore]),tblData[Singapore]/$X$9,"")</f>
        <v>256.41025641025641</v>
      </c>
      <c r="Y57" s="21"/>
      <c r="Z57" s="21"/>
      <c r="AA57" s="26">
        <f>IF(tblData[[#This Row],[Date]]&lt;ItalyStart,"",tblData[[#This Row],[Date]]-ItalyStart)</f>
        <v>38</v>
      </c>
      <c r="AB57" s="26">
        <f t="shared" si="7"/>
        <v>28</v>
      </c>
      <c r="AC57" s="26">
        <f t="shared" si="4"/>
        <v>46</v>
      </c>
      <c r="AD57" s="26">
        <f>IF(tblData[[#This Row],[Date]]&lt;StartDt2Korea,"",tblData[[#This Row],[Date]]-StartDt2Korea)</f>
        <v>18</v>
      </c>
      <c r="AE57" s="26">
        <f>IF(tblData[[#This Row],[Date]]&lt;UKStart,"",tblData[[#This Row],[Date]]-UKStart)</f>
        <v>38</v>
      </c>
      <c r="AF57" s="26">
        <f>IF(tblData[[#This Row],[Date]]&lt;SingaporeStart,"",tblData[[#This Row],[Date]]-SingaporeStart)</f>
        <v>45</v>
      </c>
      <c r="AG57">
        <f>IF(tblData[Date]&gt;=StartDt2Au,tblData[Date]-StartDt2Au,"")</f>
        <v>43</v>
      </c>
      <c r="AH57" s="26">
        <f>IF(tblData[New South Wales]&gt;0,SUM(tblData[[#This Row],[Australian Capital Territory]:[Western Australia]]),"")</f>
        <v>76</v>
      </c>
      <c r="AI57" s="12">
        <f>IF(ISNUMBER(tblData[Au]),tblData[Au]/$AE$9,"")</f>
        <v>29.963728118593281</v>
      </c>
      <c r="AJ57" s="19">
        <f>IF(ISNUMBER(tblData[[#This Row],[Day'# Aust]]),betaAu/(deltaAu+betaPodeltaAu*EXP(-betaAu*tblData[[#This Row],[Day'# Aust]])),"")</f>
        <v>67.235765993456695</v>
      </c>
      <c r="AK57" s="70">
        <f>IF(ISNUMBER(tblData[Day'# Aust]),tblData[Au LogiP(t)]/$AI$9,"")</f>
        <v>26.508344895701267</v>
      </c>
      <c r="AL57" s="11">
        <f>IF(AND(tblData[Date]&gt;=StartDt2Au,ISNUMBER(tblData[NSW])),(tblData[[#This Row],[Au LogiP(t)]]-tblData[[#This Row],[Au]])^2,"")</f>
        <v>76.811797721450105</v>
      </c>
      <c r="AM57">
        <f>IF(tblData[Date]&gt;StartDt2NSW,tblData[Date]-StartDt2NSW,"")</f>
        <v>43</v>
      </c>
      <c r="AN57">
        <f t="shared" si="5"/>
        <v>38</v>
      </c>
      <c r="AO57" s="11">
        <f>IF(tblData[Date]&gt;StartDt2NSW,betaNSW/(deltaNSW+betaPodeltaNSW*EXP(-betaNSW*tblData[[#This Row],[Day '# NSW]])),"")</f>
        <v>34.695042946561401</v>
      </c>
      <c r="AP57" s="12">
        <f>IF(AND(ISNUMBER(tblData[NSW]),tblData[Date]&gt;StartDt2NSW),(tblData[[#This Row],[NSW LogiP(t)]]-tblData[[#This Row],[NSW]])^2,"")</f>
        <v>10.922741125073548</v>
      </c>
      <c r="AQ57" s="12">
        <f>IF(AND(tblData[Date]&gt;StartDt2NSW,ISNUMBER(tblData[Day'# Aust])),tblData[NSW LogiP(t)]/$AL$9,"")</f>
        <v>42.939409587328463</v>
      </c>
      <c r="AR57" s="11">
        <f>IF(AND(tblData[Date]&gt;StartDt2Italy,ISNUMBER(tblData[Days'# Italy])),betaItaly/(deltaItaly+betaPodeltaItaly*EXP(-betaItaly*tblData[Days'# Italy])),"")</f>
        <v>7315.8359098294659</v>
      </c>
      <c r="AS57" s="11">
        <f>IF(AND(tblData[Date]&gt;StartDt2Italy,ISNUMBER(tblData[Italy])),(tblData[[#This Row],[Italy LogiP(t)]]-tblData[[#This Row],[Italy]])^2,"")</f>
        <v>3500.3895657070907</v>
      </c>
      <c r="AT57" s="43">
        <f>IF(AND(tblData[Date]&gt;StartDt2Italy,ISNUMBER(tblData[Days'# Italy])),tblData[[#This Row],[Italy LogiP(t)]]/$AS$9,"")</f>
        <v>1210.2292654804742</v>
      </c>
      <c r="AU57" s="21">
        <f>IF(ISNUMBER(tblData[[#This Row],[Days'# US]]),betaUS/(deltaUS+betaPodeltaUS*EXP(-betaUS*tblData[Days'# US])),"")</f>
        <v>320.55373187408247</v>
      </c>
      <c r="AV57" s="11">
        <f>IF(ISNUMBER(tblData[US]),(tblData[[#This Row],[US LogiP(t)]]-tblData[US])^2,"")</f>
        <v>37421.458651844376</v>
      </c>
      <c r="AW57" s="21">
        <f>IF(ISNUMBER(tblData[[#This Row],[Days'# US]]),tblData[[#This Row],[US LogiP(t)]]/$AV$9,"")</f>
        <v>9.7365345347922929</v>
      </c>
      <c r="AX57" s="21">
        <f>IF(tblData[Date]&gt;=StartDt2Korea,betaSKorea/(deltaSKorea+betaPodeltaSKorea*EXP(-betaSKorea*(tblData[Date]-StartDt2Korea))),"")</f>
        <v>7351.1591473391036</v>
      </c>
      <c r="AY57" s="21">
        <f>IF(AND(tblData[Date]&gt;=StartDt2Korea,ISNUMBER(tblData[SKorea])),(tblData[[#This Row],[SKorea LogiP(t)]]-tblData[[#This Row],[SKorea]])^2,"")</f>
        <v>1380.8022309692089</v>
      </c>
      <c r="AZ57" s="21">
        <f>IF(tblData[Date]&gt;=StartDt2Korea,tblData[[#This Row],[SKorea LogiP(t)]]/$AY$9,"")</f>
        <v>1430.1866045406816</v>
      </c>
      <c r="BA57" s="11">
        <f>IF(ISNUMBER(tblData[Days'# UK]),betaUK/(deltaUK+betaPodeltaUK*EXP(-betaUK*tblData[Days'# UK])),"")</f>
        <v>231.8670932229065</v>
      </c>
      <c r="BB57" s="21">
        <f>IF(ISNUMBER(tblData[UK]),(tblData[[#This Row],[UK LogiP(t)]]-tblData[[#This Row],[UK]])^2,"")</f>
        <v>1775.181833487251</v>
      </c>
      <c r="BC57" s="21">
        <f>IF(ISNUMBER(tblData[Days'# UK]),tblData[[#This Row],[UK LogiP(t)]]/$BB$9,"")</f>
        <v>34.898719630178583</v>
      </c>
      <c r="BD57" s="11">
        <f>IF(ISNUMBER(tblData[Days'# China]),betaChina/(deltaChina+betaPodeltaChina*EXP(-betaChina*tblData[Days'# China])),"")</f>
        <v>80826.626744103865</v>
      </c>
      <c r="BE57" s="11">
        <f>IF(ISNUMBER(tblData[China]),(tblData[[#This Row],[China LogiP(t)]]-tblData[[#This Row],[China]])^2,"")</f>
        <v>13.153272794922071</v>
      </c>
      <c r="BF57" s="11">
        <f>tblData[[#This Row],[China LogiP(t)]]/$BE$9</f>
        <v>561.55972750431283</v>
      </c>
      <c r="BG57" s="11">
        <f>IF(ISNUMBER(tblData[Day'# Singapore]),betaSingapore/(deltaSingapore+betaPodeltaSingapore*EXP(-betaSingapore*tblData[Day'# Singapore])),"")</f>
        <v>185.13508091440187</v>
      </c>
      <c r="BH57" s="11">
        <f>IF(AND(ISNUMBER(tblData[Singapore]),tblData[Date]&gt;=StartDt2Singapore),(tblData[[#This Row],[Singapore LogiP(t)]]-tblData[[#This Row],[Singapore]])^2,"")</f>
        <v>1234.4739108615665</v>
      </c>
      <c r="BI57" s="11">
        <f>IF(ISNUMBER(tblData[Day'# Singapore]),tblData[Singapore LogiP(t)]/$BH$9,"")</f>
        <v>316.47022378530238</v>
      </c>
      <c r="BJ57" s="11">
        <v>7361</v>
      </c>
      <c r="BK57" s="11">
        <v>576</v>
      </c>
      <c r="BL57" s="11">
        <f>IF(ISNUMBER(tblData[[#This Row],[NSW Number of Tests]]),tblData[[#This Row],[NSW Number of Tests]]-BJ56,"")</f>
        <v>671</v>
      </c>
      <c r="BM57" s="11">
        <f>IF(ISNUMBER(tblData[[#This Row],[NSW Under Investigation'']]),tblData[[#This Row],[NSW Under Investigation'']]-BK56,"")</f>
        <v>88</v>
      </c>
      <c r="BN57" s="11">
        <f t="shared" ref="BN57:BN96" si="8">BN56+1</f>
        <v>3</v>
      </c>
      <c r="BO57" s="11">
        <f>IF(ISNUMBER(tblData[[#This Row],[NSW Test Day Number]]),betaTest/(deltaTest+betaPodeltaTest*EXP(-betaTest*tblData[[#This Row],[NSW Test Day Number]])),"")</f>
        <v>8100.6049825657465</v>
      </c>
      <c r="BP57" s="11">
        <f>IF(ISNUMBER(tblData[[#This Row],[NSW Number of Tests]]),(tblData[[#This Row],[NSW Number of Tests]]-tblData[[#This Row],[NSW Test Logi]])^2,"")</f>
        <v>547015.53023607819</v>
      </c>
      <c r="BR57"/>
      <c r="BV57" s="26"/>
      <c r="CE57"/>
      <c r="CF57"/>
      <c r="CG57"/>
      <c r="CH57" s="26"/>
      <c r="CS57" s="26"/>
      <c r="CT57" s="26"/>
      <c r="DM57"/>
      <c r="DN57" t="s">
        <v>225</v>
      </c>
      <c r="DO57" s="80"/>
      <c r="DP57" s="27">
        <v>43852</v>
      </c>
      <c r="DQ57" s="27"/>
      <c r="DR57">
        <v>4</v>
      </c>
      <c r="DS57">
        <v>0.2221429979133962</v>
      </c>
      <c r="DT57" s="83">
        <v>2.7451241687424546E-6</v>
      </c>
      <c r="DU57">
        <v>1537.6493038446686</v>
      </c>
      <c r="DV57" s="108">
        <v>80922.750396081436</v>
      </c>
      <c r="DW57" s="19">
        <v>2111.6231171407408</v>
      </c>
      <c r="DX57" s="12">
        <v>1.4172409736178465E-4</v>
      </c>
      <c r="DY57" s="112">
        <v>2.7451241687424547E-3</v>
      </c>
      <c r="EA57" s="27">
        <v>43909</v>
      </c>
      <c r="EB57" t="s">
        <v>759</v>
      </c>
      <c r="EC57" s="26"/>
      <c r="ED57" s="112">
        <v>81156</v>
      </c>
      <c r="EE57" t="s">
        <v>964</v>
      </c>
      <c r="EF57" s="27">
        <v>43909</v>
      </c>
      <c r="EG57">
        <v>58</v>
      </c>
      <c r="EH57" t="s">
        <v>965</v>
      </c>
      <c r="EJ57" t="s">
        <v>966</v>
      </c>
      <c r="EL57" t="s">
        <v>1297</v>
      </c>
      <c r="EM57">
        <v>563.84811640879889</v>
      </c>
      <c r="EN57" s="94">
        <v>43876</v>
      </c>
      <c r="EO57">
        <v>34</v>
      </c>
      <c r="EP57" s="94">
        <v>43874</v>
      </c>
      <c r="EQ57">
        <v>36</v>
      </c>
    </row>
    <row r="58" spans="2:183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48">
        <f>IF(ISNUMBER(tblData[Italy]),tblData[Italy]/$N$9,"")</f>
        <v>1517.2870140612076</v>
      </c>
      <c r="O58">
        <v>579</v>
      </c>
      <c r="P58" s="48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>
        <v>150</v>
      </c>
      <c r="X58" s="21">
        <f>IF(ISNUMBER(tblData[Singapore]),tblData[Singapore]/$X$9,"")</f>
        <v>256.41025641025641</v>
      </c>
      <c r="Y58" s="21"/>
      <c r="Z58" s="21"/>
      <c r="AA58" s="26">
        <f>IF(tblData[[#This Row],[Date]]&lt;ItalyStart,"",tblData[[#This Row],[Date]]-ItalyStart)</f>
        <v>39</v>
      </c>
      <c r="AB58" s="26">
        <f t="shared" si="7"/>
        <v>29</v>
      </c>
      <c r="AC58" s="26">
        <f t="shared" si="4"/>
        <v>47</v>
      </c>
      <c r="AD58" s="26">
        <f>IF(tblData[[#This Row],[Date]]&lt;StartDt2Korea,"",tblData[[#This Row],[Date]]-StartDt2Korea)</f>
        <v>19</v>
      </c>
      <c r="AE58" s="26">
        <f>IF(tblData[[#This Row],[Date]]&lt;UKStart,"",tblData[[#This Row],[Date]]-UKStart)</f>
        <v>39</v>
      </c>
      <c r="AF58" s="26">
        <f>IF(tblData[[#This Row],[Date]]&lt;SingaporeStart,"",tblData[[#This Row],[Date]]-SingaporeStart)</f>
        <v>46</v>
      </c>
      <c r="AG58">
        <f>IF(tblData[Date]&gt;=StartDt2Au,tblData[Date]-StartDt2Au,"")</f>
        <v>44</v>
      </c>
      <c r="AH58" s="26">
        <f>IF(tblData[New South Wales]&gt;0,SUM(tblData[[#This Row],[Australian Capital Territory]:[Western Australia]]),"")</f>
        <v>91</v>
      </c>
      <c r="AI58" s="12">
        <f>IF(ISNUMBER(tblData[Au]),tblData[Au]/$AE$9,"")</f>
        <v>35.87762182621038</v>
      </c>
      <c r="AJ58" s="19">
        <f>IF(ISNUMBER(tblData[[#This Row],[Day'# Aust]]),betaAu/(deltaAu+betaPodeltaAu*EXP(-betaAu*tblData[[#This Row],[Day'# Aust]])),"")</f>
        <v>83.345286025044189</v>
      </c>
      <c r="AK58" s="70">
        <f>IF(ISNUMBER(tblData[Day'# Aust]),tblData[Au LogiP(t)]/$AI$9,"")</f>
        <v>32.859677505537057</v>
      </c>
      <c r="AL58" s="11">
        <f>IF(AND(tblData[Date]&gt;=StartDt2Au,ISNUMBER(tblData[NSW])),(tblData[[#This Row],[Au LogiP(t)]]-tblData[[#This Row],[Au]])^2,"")</f>
        <v>58.5946460383838</v>
      </c>
      <c r="AM58">
        <f>IF(tblData[Date]&gt;StartDt2NSW,tblData[Date]-StartDt2NSW,"")</f>
        <v>44</v>
      </c>
      <c r="AN58">
        <f t="shared" si="5"/>
        <v>48</v>
      </c>
      <c r="AO58" s="11">
        <f>IF(tblData[Date]&gt;StartDt2NSW,betaNSW/(deltaNSW+betaPodeltaNSW*EXP(-betaNSW*tblData[[#This Row],[Day '# NSW]])),"")</f>
        <v>42.30628965592679</v>
      </c>
      <c r="AP58" s="12">
        <f>IF(AND(ISNUMBER(tblData[NSW]),tblData[Date]&gt;StartDt2NSW),(tblData[[#This Row],[NSW LogiP(t)]]-tblData[[#This Row],[NSW]])^2,"")</f>
        <v>32.418337482206276</v>
      </c>
      <c r="AQ58" s="12">
        <f>IF(AND(tblData[Date]&gt;StartDt2NSW,ISNUMBER(tblData[Day'# Aust])),tblData[NSW LogiP(t)]/$AL$9,"")</f>
        <v>52.359269376147012</v>
      </c>
      <c r="AR58" s="11">
        <f>IF(AND(tblData[Date]&gt;StartDt2Italy,ISNUMBER(tblData[Days'# Italy])),betaItaly/(deltaItaly+betaPodeltaItaly*EXP(-betaItaly*tblData[Days'# Italy])),"")</f>
        <v>9173.3161624410841</v>
      </c>
      <c r="AS58" s="11">
        <f>IF(AND(tblData[Date]&gt;StartDt2Italy,ISNUMBER(tblData[Italy])),(tblData[[#This Row],[Italy LogiP(t)]]-tblData[[#This Row],[Italy]])^2,"")</f>
        <v>1.7322835713204272</v>
      </c>
      <c r="AT58" s="43">
        <f>IF(AND(tblData[Date]&gt;StartDt2Italy,ISNUMBER(tblData[Days'# Italy])),tblData[[#This Row],[Italy LogiP(t)]]/$AS$9,"")</f>
        <v>1517.5047415121728</v>
      </c>
      <c r="AU58" s="21">
        <f>IF(ISNUMBER(tblData[[#This Row],[Days'# US]]),betaUS/(deltaUS+betaPodeltaUS*EXP(-betaUS*tblData[Days'# US])),"")</f>
        <v>448.7605860261105</v>
      </c>
      <c r="AV58" s="11">
        <f>IF(ISNUMBER(tblData[US]),(tblData[[#This Row],[US LogiP(t)]]-tblData[US])^2,"")</f>
        <v>16962.304952262162</v>
      </c>
      <c r="AW58" s="21">
        <f>IF(ISNUMBER(tblData[[#This Row],[Days'# US]]),tblData[[#This Row],[US LogiP(t)]]/$AV$9,"")</f>
        <v>13.630703714325175</v>
      </c>
      <c r="AX58" s="21">
        <f>IF(tblData[Date]&gt;=StartDt2Korea,betaSKorea/(deltaSKorea+betaPodeltaSKorea*EXP(-betaSKorea*(tblData[Date]-StartDt2Korea))),"")</f>
        <v>7624.5659871213338</v>
      </c>
      <c r="AY58" s="21">
        <f>IF(AND(tblData[Date]&gt;=StartDt2Korea,ISNUMBER(tblData[SKorea])),(tblData[[#This Row],[SKorea LogiP(t)]]-tblData[[#This Row],[SKorea]])^2,"")</f>
        <v>21481.588580850992</v>
      </c>
      <c r="AZ58" s="21">
        <f>IF(tblData[Date]&gt;=StartDt2Korea,tblData[[#This Row],[SKorea LogiP(t)]]/$AY$9,"")</f>
        <v>1483.378596716213</v>
      </c>
      <c r="BA58" s="11">
        <f>IF(ISNUMBER(tblData[Days'# UK]),betaUK/(deltaUK+betaPodeltaUK*EXP(-betaUK*tblData[Days'# UK])),"")</f>
        <v>293.40312408013779</v>
      </c>
      <c r="BB58" s="21">
        <f>IF(ISNUMBER(tblData[UK]),(tblData[[#This Row],[UK LogiP(t)]]-tblData[[#This Row],[UK]])^2,"")</f>
        <v>817.7813123759953</v>
      </c>
      <c r="BC58" s="21">
        <f>IF(ISNUMBER(tblData[Days'# UK]),tblData[[#This Row],[UK LogiP(t)]]/$BB$9,"")</f>
        <v>44.160614702007493</v>
      </c>
      <c r="BD58" s="11">
        <f>IF(ISNUMBER(tblData[Days'# China]),betaChina/(deltaChina+betaPodeltaChina*EXP(-betaChina*tblData[Days'# China])),"")</f>
        <v>80856.931034524197</v>
      </c>
      <c r="BE58" s="11">
        <f>IF(ISNUMBER(tblData[China]),(tblData[[#This Row],[China LogiP(t)]]-tblData[[#This Row],[China]])^2,"")</f>
        <v>9.4185490916679271</v>
      </c>
      <c r="BF58" s="11">
        <f>tblData[[#This Row],[China LogiP(t)]]/$BE$9</f>
        <v>561.77027283765369</v>
      </c>
      <c r="BG58" s="11">
        <f>IF(ISNUMBER(tblData[Day'# Singapore]),betaSingapore/(deltaSingapore+betaPodeltaSingapore*EXP(-betaSingapore*tblData[Day'# Singapore])),"")</f>
        <v>193.45237182012895</v>
      </c>
      <c r="BH58" s="11">
        <f>IF(AND(ISNUMBER(tblData[Singapore]),tblData[Date]&gt;=StartDt2Singapore),(tblData[[#This Row],[Singapore LogiP(t)]]-tblData[[#This Row],[Singapore]])^2,"")</f>
        <v>1888.108616794736</v>
      </c>
      <c r="BI58" s="11">
        <f>IF(ISNUMBER(tblData[Day'# Singapore]),tblData[Singapore LogiP(t)]/$BH$9,"")</f>
        <v>330.68781507714351</v>
      </c>
      <c r="BJ58" s="11">
        <v>7848</v>
      </c>
      <c r="BK58" s="11">
        <v>476</v>
      </c>
      <c r="BL58" s="11">
        <f>IF(ISNUMBER(tblData[[#This Row],[NSW Number of Tests]]),tblData[[#This Row],[NSW Number of Tests]]-BJ57,"")</f>
        <v>487</v>
      </c>
      <c r="BM58" s="11">
        <f>IF(ISNUMBER(tblData[[#This Row],[NSW Under Investigation'']]),tblData[[#This Row],[NSW Under Investigation'']]-BK57,"")</f>
        <v>-100</v>
      </c>
      <c r="BN58" s="11">
        <f t="shared" si="8"/>
        <v>4</v>
      </c>
      <c r="BO58" s="11">
        <f>IF(ISNUMBER(tblData[[#This Row],[NSW Test Day Number]]),betaTest/(deltaTest+betaPodeltaTest*EXP(-betaTest*tblData[[#This Row],[NSW Test Day Number]])),"")</f>
        <v>9537.0863898022344</v>
      </c>
      <c r="BP58" s="11">
        <f>IF(ISNUMBER(tblData[[#This Row],[NSW Number of Tests]]),(tblData[[#This Row],[NSW Number of Tests]]-tblData[[#This Row],[NSW Test Logi]])^2,"")</f>
        <v>2853012.8322151457</v>
      </c>
      <c r="BR58"/>
      <c r="BV58" s="26"/>
      <c r="CE58"/>
      <c r="CF58"/>
      <c r="CG58"/>
      <c r="CH58" s="26"/>
      <c r="CS58" s="26"/>
      <c r="CT58" s="26"/>
      <c r="DM58"/>
      <c r="DN58" t="s">
        <v>225</v>
      </c>
      <c r="DO58" s="80">
        <v>43911.866319444445</v>
      </c>
      <c r="DP58" s="27">
        <v>43852</v>
      </c>
      <c r="DQ58" s="27">
        <v>43852</v>
      </c>
      <c r="DR58">
        <v>4</v>
      </c>
      <c r="DS58">
        <v>0.2221429979133962</v>
      </c>
      <c r="DT58" s="83">
        <v>2.744154619604968E-6</v>
      </c>
      <c r="DU58">
        <v>1537.6493038446686</v>
      </c>
      <c r="DV58" s="108">
        <v>80951.341563025548</v>
      </c>
      <c r="DW58" s="19">
        <v>2094.0856057837377</v>
      </c>
      <c r="DX58" s="12">
        <v>1.4172506691092213E-4</v>
      </c>
      <c r="DY58" s="112">
        <v>2.744154619604968E-3</v>
      </c>
      <c r="EA58" s="27">
        <v>43910</v>
      </c>
      <c r="EB58" t="s">
        <v>1360</v>
      </c>
      <c r="EC58" s="26"/>
      <c r="ED58" s="112">
        <v>81250</v>
      </c>
      <c r="EE58" t="s">
        <v>964</v>
      </c>
      <c r="EF58" s="27">
        <v>43910</v>
      </c>
      <c r="EG58">
        <v>59</v>
      </c>
      <c r="EH58" t="s">
        <v>1359</v>
      </c>
      <c r="EJ58" t="s">
        <v>966</v>
      </c>
      <c r="EL58" t="s">
        <v>1386</v>
      </c>
      <c r="EM58">
        <v>564.50120087504206</v>
      </c>
      <c r="EN58" s="94">
        <v>43886</v>
      </c>
      <c r="EO58">
        <v>25</v>
      </c>
      <c r="EP58" s="94">
        <v>43875</v>
      </c>
      <c r="EQ58">
        <v>36</v>
      </c>
    </row>
    <row r="59" spans="2:183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48">
        <f>IF(ISNUMBER(tblData[Italy]),tblData[Italy]/$N$9,"")</f>
        <v>1678.9081885856081</v>
      </c>
      <c r="O59">
        <v>959</v>
      </c>
      <c r="P59" s="48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>
        <v>160</v>
      </c>
      <c r="X59" s="21">
        <f>IF(ISNUMBER(tblData[Singapore]),tblData[Singapore]/$X$9,"")</f>
        <v>273.5042735042735</v>
      </c>
      <c r="Y59" s="21"/>
      <c r="Z59" s="21"/>
      <c r="AA59" s="26">
        <f>IF(tblData[[#This Row],[Date]]&lt;ItalyStart,"",tblData[[#This Row],[Date]]-ItalyStart)</f>
        <v>40</v>
      </c>
      <c r="AB59" s="26">
        <f t="shared" si="7"/>
        <v>30</v>
      </c>
      <c r="AC59" s="26">
        <f t="shared" si="4"/>
        <v>48</v>
      </c>
      <c r="AD59" s="26">
        <f>IF(tblData[[#This Row],[Date]]&lt;StartDt2Korea,"",tblData[[#This Row],[Date]]-StartDt2Korea)</f>
        <v>20</v>
      </c>
      <c r="AE59" s="26">
        <f>IF(tblData[[#This Row],[Date]]&lt;UKStart,"",tblData[[#This Row],[Date]]-UKStart)</f>
        <v>40</v>
      </c>
      <c r="AF59" s="26">
        <f>IF(tblData[[#This Row],[Date]]&lt;SingaporeStart,"",tblData[[#This Row],[Date]]-SingaporeStart)</f>
        <v>47</v>
      </c>
      <c r="AG59">
        <f>IF(tblData[Date]&gt;=StartDt2Au,tblData[Date]-StartDt2Au,"")</f>
        <v>45</v>
      </c>
      <c r="AH59" s="26">
        <f>IF(tblData[New South Wales]&gt;0,SUM(tblData[[#This Row],[Australian Capital Territory]:[Western Australia]]),"")</f>
        <v>107</v>
      </c>
      <c r="AI59" s="12">
        <f>IF(ISNUMBER(tblData[Au]),tblData[Au]/$AE$9,"")</f>
        <v>42.185775114335279</v>
      </c>
      <c r="AJ59" s="19">
        <f>IF(ISNUMBER(tblData[[#This Row],[Day'# Aust]]),betaAu/(deltaAu+betaPodeltaAu*EXP(-betaAu*tblData[[#This Row],[Day'# Aust]])),"")</f>
        <v>103.314606442464</v>
      </c>
      <c r="AK59" s="70">
        <f>IF(ISNUMBER(tblData[Day'# Aust]),tblData[Au LogiP(t)]/$AI$9,"")</f>
        <v>40.732773396334963</v>
      </c>
      <c r="AL59" s="11">
        <f>IF(AND(tblData[Date]&gt;=StartDt2Au,ISNUMBER(tblData[NSW])),(tblData[[#This Row],[Au LogiP(t)]]-tblData[[#This Row],[Au]])^2,"")</f>
        <v>13.582125673927873</v>
      </c>
      <c r="AM59">
        <f>IF(tblData[Date]&gt;StartDt2NSW,tblData[Date]-StartDt2NSW,"")</f>
        <v>45</v>
      </c>
      <c r="AN59">
        <f t="shared" si="5"/>
        <v>55</v>
      </c>
      <c r="AO59" s="11">
        <f>IF(tblData[Date]&gt;StartDt2NSW,betaNSW/(deltaNSW+betaPodeltaNSW*EXP(-betaNSW*tblData[[#This Row],[Day '# NSW]])),"")</f>
        <v>51.587258364051067</v>
      </c>
      <c r="AP59" s="12">
        <f>IF(AND(ISNUMBER(tblData[NSW]),tblData[Date]&gt;StartDt2NSW),(tblData[[#This Row],[NSW LogiP(t)]]-tblData[[#This Row],[NSW]])^2,"")</f>
        <v>11.6468054737394</v>
      </c>
      <c r="AQ59" s="12">
        <f>IF(AND(tblData[Date]&gt;StartDt2NSW,ISNUMBER(tblData[Day'# Aust])),tblData[NSW LogiP(t)]/$AL$9,"")</f>
        <v>63.845616787191908</v>
      </c>
      <c r="AR59" s="11">
        <f>IF(AND(tblData[Date]&gt;StartDt2Italy,ISNUMBER(tblData[Days'# Italy])),betaItaly/(deltaItaly+betaPodeltaItaly*EXP(-betaItaly*tblData[Days'# Italy])),"")</f>
        <v>11409.804652217739</v>
      </c>
      <c r="AS59" s="11">
        <f>IF(AND(tblData[Date]&gt;StartDt2Italy,ISNUMBER(tblData[Italy])),(tblData[[#This Row],[Italy LogiP(t)]]-tblData[[#This Row],[Italy]])^2,"")</f>
        <v>1589628.3710538943</v>
      </c>
      <c r="AT59" s="43">
        <f>IF(AND(tblData[Date]&gt;StartDt2Italy,ISNUMBER(tblData[Days'# Italy])),tblData[[#This Row],[Italy LogiP(t)]]/$AS$9,"")</f>
        <v>1887.4780235265077</v>
      </c>
      <c r="AU59" s="21">
        <f>IF(ISNUMBER(tblData[[#This Row],[Days'# US]]),betaUS/(deltaUS+betaPodeltaUS*EXP(-betaUS*tblData[Days'# US])),"")</f>
        <v>628.04502130497349</v>
      </c>
      <c r="AV59" s="11">
        <f>IF(ISNUMBER(tblData[US]),(tblData[[#This Row],[US LogiP(t)]]-tblData[US])^2,"")</f>
        <v>109531.19792302545</v>
      </c>
      <c r="AW59" s="21">
        <f>IF(ISNUMBER(tblData[[#This Row],[Days'# US]]),tblData[[#This Row],[US LogiP(t)]]/$AV$9,"")</f>
        <v>19.076308996902515</v>
      </c>
      <c r="AX59" s="21">
        <f>IF(tblData[Date]&gt;=StartDt2Korea,betaSKorea/(deltaSKorea+betaPodeltaSKorea*EXP(-betaSKorea*(tblData[Date]-StartDt2Korea))),"")</f>
        <v>7838.3008669357114</v>
      </c>
      <c r="AY59" s="21">
        <f>IF(AND(tblData[Date]&gt;=StartDt2Korea,ISNUMBER(tblData[SKorea])),(tblData[[#This Row],[SKorea LogiP(t)]]-tblData[[#This Row],[SKorea]])^2,"")</f>
        <v>105820.65402912541</v>
      </c>
      <c r="AZ59" s="21">
        <f>IF(tblData[Date]&gt;=StartDt2Korea,tblData[[#This Row],[SKorea LogiP(t)]]/$AY$9,"")</f>
        <v>1524.9612581586989</v>
      </c>
      <c r="BA59" s="11">
        <f>IF(ISNUMBER(tblData[Days'# UK]),betaUK/(deltaUK+betaPodeltaUK*EXP(-betaUK*tblData[Days'# UK])),"")</f>
        <v>371.21557276344339</v>
      </c>
      <c r="BB59" s="21">
        <f>IF(ISNUMBER(tblData[UK]),(tblData[[#This Row],[UK LogiP(t)]]-tblData[[#This Row],[UK]])^2,"")</f>
        <v>163.44157976681046</v>
      </c>
      <c r="BC59" s="21">
        <f>IF(ISNUMBER(tblData[Days'# UK]),tblData[[#This Row],[UK LogiP(t)]]/$BB$9,"")</f>
        <v>55.872301740433983</v>
      </c>
      <c r="BD59" s="11">
        <f>IF(ISNUMBER(tblData[Days'# China]),betaChina/(deltaChina+betaPodeltaChina*EXP(-betaChina*tblData[Days'# China])),"")</f>
        <v>80881.215125676681</v>
      </c>
      <c r="BE59" s="11">
        <f>IF(ISNUMBER(tblData[China]),(tblData[[#This Row],[China LogiP(t)]]-tblData[[#This Row],[China]])^2,"")</f>
        <v>33.464770936594824</v>
      </c>
      <c r="BF59" s="11">
        <f>tblData[[#This Row],[China LogiP(t)]]/$BE$9</f>
        <v>561.93899158987199</v>
      </c>
      <c r="BG59" s="11">
        <f>IF(ISNUMBER(tblData[Day'# Singapore]),betaSingapore/(deltaSingapore+betaPodeltaSingapore*EXP(-betaSingapore*tblData[Day'# Singapore])),"")</f>
        <v>202.1433213936277</v>
      </c>
      <c r="BH59" s="11">
        <f>IF(AND(ISNUMBER(tblData[Singapore]),tblData[Date]&gt;=StartDt2Singapore),(tblData[[#This Row],[Singapore LogiP(t)]]-tblData[[#This Row],[Singapore]])^2,"")</f>
        <v>1776.0595380865982</v>
      </c>
      <c r="BI59" s="11">
        <f>IF(ISNUMBER(tblData[Day'# Singapore]),tblData[Singapore LogiP(t)]/$BH$9,"")</f>
        <v>345.54413913440635</v>
      </c>
      <c r="BJ59" s="11">
        <v>8361</v>
      </c>
      <c r="BK59" s="11">
        <v>618</v>
      </c>
      <c r="BL59" s="11">
        <f>IF(ISNUMBER(tblData[[#This Row],[NSW Number of Tests]]),tblData[[#This Row],[NSW Number of Tests]]-BJ58,"")</f>
        <v>513</v>
      </c>
      <c r="BM59" s="11">
        <f>IF(ISNUMBER(tblData[[#This Row],[NSW Under Investigation'']]),tblData[[#This Row],[NSW Under Investigation'']]-BK58,"")</f>
        <v>142</v>
      </c>
      <c r="BN59" s="11">
        <f t="shared" si="8"/>
        <v>5</v>
      </c>
      <c r="BO59" s="11">
        <f>IF(ISNUMBER(tblData[[#This Row],[NSW Test Day Number]]),betaTest/(deltaTest+betaPodeltaTest*EXP(-betaTest*tblData[[#This Row],[NSW Test Day Number]])),"")</f>
        <v>11218.215202018408</v>
      </c>
      <c r="BP59" s="11">
        <f>IF(ISNUMBER(tblData[[#This Row],[NSW Number of Tests]]),(tblData[[#This Row],[NSW Number of Tests]]-tblData[[#This Row],[NSW Test Logi]])^2,"")</f>
        <v>8163678.7106450899</v>
      </c>
      <c r="BR59"/>
      <c r="BV59" s="26"/>
      <c r="CE59"/>
      <c r="CF59"/>
      <c r="CG59"/>
      <c r="CH59" s="26"/>
      <c r="CS59" s="26"/>
      <c r="CT59" s="26"/>
      <c r="DM59"/>
      <c r="DN59" t="s">
        <v>225</v>
      </c>
      <c r="DO59" s="80">
        <v>43912.32671296296</v>
      </c>
      <c r="DP59" s="27">
        <v>43852</v>
      </c>
      <c r="DQ59" s="27">
        <v>43852</v>
      </c>
      <c r="DR59">
        <v>4</v>
      </c>
      <c r="DS59">
        <v>0.2221429979133962</v>
      </c>
      <c r="DT59" s="83">
        <v>2.7441363716222279E-6</v>
      </c>
      <c r="DU59">
        <v>1537.6493038446686</v>
      </c>
      <c r="DV59" s="108">
        <v>80951.879873985206</v>
      </c>
      <c r="DW59">
        <v>2077.0848925572823</v>
      </c>
      <c r="DX59">
        <v>1.4172508515890487E-4</v>
      </c>
      <c r="DY59" s="112">
        <v>2.7441363716222281E-3</v>
      </c>
      <c r="EA59" s="27">
        <v>43911</v>
      </c>
      <c r="EB59" t="s">
        <v>1360</v>
      </c>
      <c r="EC59" s="26"/>
      <c r="ED59" s="112">
        <v>81304</v>
      </c>
      <c r="EE59" t="s">
        <v>964</v>
      </c>
      <c r="EF59" s="27">
        <v>43911</v>
      </c>
      <c r="EG59">
        <v>60</v>
      </c>
      <c r="EH59" t="s">
        <v>1359</v>
      </c>
      <c r="EJ59" t="s">
        <v>966</v>
      </c>
      <c r="EL59" t="s">
        <v>1405</v>
      </c>
      <c r="EM59">
        <v>564.87637705777752</v>
      </c>
      <c r="EN59" s="94">
        <v>43886</v>
      </c>
      <c r="EO59">
        <v>25</v>
      </c>
      <c r="EP59" s="94">
        <v>43875</v>
      </c>
      <c r="EQ59">
        <v>37</v>
      </c>
    </row>
    <row r="60" spans="2:183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48">
        <f>IF(ISNUMBER(tblData[Italy]),tblData[Italy]/$N$9,"")</f>
        <v>2061.5384615384614</v>
      </c>
      <c r="O60">
        <v>1281</v>
      </c>
      <c r="P60" s="48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>
        <v>178</v>
      </c>
      <c r="X60" s="21">
        <f>IF(ISNUMBER(tblData[Singapore]),tblData[Singapore]/$X$9,"")</f>
        <v>304.27350427350427</v>
      </c>
      <c r="Y60" s="21"/>
      <c r="Z60" s="21"/>
      <c r="AA60" s="26">
        <f>IF(tblData[[#This Row],[Date]]&lt;ItalyStart,"",tblData[[#This Row],[Date]]-ItalyStart)</f>
        <v>41</v>
      </c>
      <c r="AB60" s="26">
        <f t="shared" si="7"/>
        <v>31</v>
      </c>
      <c r="AC60" s="26">
        <f t="shared" si="4"/>
        <v>49</v>
      </c>
      <c r="AD60" s="26">
        <f>IF(tblData[[#This Row],[Date]]&lt;StartDt2Korea,"",tblData[[#This Row],[Date]]-StartDt2Korea)</f>
        <v>21</v>
      </c>
      <c r="AE60" s="26">
        <f>IF(tblData[[#This Row],[Date]]&lt;UKStart,"",tblData[[#This Row],[Date]]-UKStart)</f>
        <v>41</v>
      </c>
      <c r="AF60" s="26">
        <f>IF(tblData[[#This Row],[Date]]&lt;SingaporeStart,"",tblData[[#This Row],[Date]]-SingaporeStart)</f>
        <v>48</v>
      </c>
      <c r="AG60">
        <f>IF(tblData[Date]&gt;=StartDt2Au,tblData[Date]-StartDt2Au,"")</f>
        <v>46</v>
      </c>
      <c r="AH60" s="26">
        <f>IF(tblData[New South Wales]&gt;0,SUM(tblData[[#This Row],[Australian Capital Territory]:[Western Australia]]),"")</f>
        <v>128</v>
      </c>
      <c r="AI60" s="12">
        <f>IF(ISNUMBER(tblData[Au]),tblData[Au]/$AE$9,"")</f>
        <v>50.465226304999213</v>
      </c>
      <c r="AJ60" s="19">
        <f>IF(ISNUMBER(tblData[[#This Row],[Day'# Aust]]),betaAu/(deltaAu+betaPodeltaAu*EXP(-betaAu*tblData[[#This Row],[Day'# Aust]])),"")</f>
        <v>128.06852568621699</v>
      </c>
      <c r="AK60" s="70">
        <f>IF(ISNUMBER(tblData[Day'# Aust]),tblData[Au LogiP(t)]/$AI$9,"")</f>
        <v>50.49224321330113</v>
      </c>
      <c r="AL60" s="11">
        <f>IF(AND(tblData[Date]&gt;=StartDt2Au,ISNUMBER(tblData[NSW])),(tblData[[#This Row],[Au LogiP(t)]]-tblData[[#This Row],[Au]])^2,"")</f>
        <v>4.6957696715088952E-3</v>
      </c>
      <c r="AM60">
        <f>IF(tblData[Date]&gt;StartDt2NSW,tblData[Date]-StartDt2NSW,"")</f>
        <v>46</v>
      </c>
      <c r="AN60" s="26">
        <f t="shared" si="5"/>
        <v>65</v>
      </c>
      <c r="AO60" s="11">
        <f>IF(tblData[Date]&gt;StartDt2NSW,betaNSW/(deltaNSW+betaPodeltaNSW*EXP(-betaNSW*tblData[[#This Row],[Day '# NSW]])),"")</f>
        <v>62.904245376649754</v>
      </c>
      <c r="AP60" s="12">
        <f>IF(AND(ISNUMBER(tblData[NSW]),tblData[Date]&gt;StartDt2NSW),(tblData[[#This Row],[NSW LogiP(t)]]-tblData[[#This Row],[NSW]])^2,"")</f>
        <v>4.3921874412939292</v>
      </c>
      <c r="AQ60" s="12">
        <f>IF(AND(tblData[Date]&gt;StartDt2NSW,ISNUMBER(tblData[Day'# Aust])),tblData[NSW LogiP(t)]/$AL$9,"")</f>
        <v>77.851788832487316</v>
      </c>
      <c r="AR60" s="11">
        <f>IF(AND(tblData[Date]&gt;StartDt2Italy,ISNUMBER(tblData[Days'# Italy])),betaItaly/(deltaItaly+betaPodeltaItaly*EXP(-betaItaly*tblData[Days'# Italy])),"")</f>
        <v>14055.312247288644</v>
      </c>
      <c r="AS60" s="11">
        <f>IF(AND(tblData[Date]&gt;StartDt2Italy,ISNUMBER(tblData[Italy])),(tblData[[#This Row],[Italy LogiP(t)]]-tblData[[#This Row],[Italy]])^2,"")</f>
        <v>2538643.9173599901</v>
      </c>
      <c r="AT60" s="43">
        <f>IF(AND(tblData[Date]&gt;StartDt2Italy,ISNUMBER(tblData[Days'# Italy])),tblData[[#This Row],[Italy LogiP(t)]]/$AS$9,"")</f>
        <v>2325.1136885506444</v>
      </c>
      <c r="AU60" s="21">
        <f>IF(ISNUMBER(tblData[[#This Row],[Days'# US]]),betaUS/(deltaUS+betaPodeltaUS*EXP(-betaUS*tblData[Days'# US])),"")</f>
        <v>878.56565907296056</v>
      </c>
      <c r="AV60" s="11">
        <f>IF(ISNUMBER(tblData[US]),(tblData[[#This Row],[US LogiP(t)]]-tblData[US])^2,"")</f>
        <v>161953.39875738061</v>
      </c>
      <c r="AW60" s="21">
        <f>IF(ISNUMBER(tblData[[#This Row],[Days'# US]]),tblData[[#This Row],[US LogiP(t)]]/$AV$9,"")</f>
        <v>26.68565057918784</v>
      </c>
      <c r="AX60" s="21">
        <f>IF(tblData[Date]&gt;=StartDt2Korea,betaSKorea/(deltaSKorea+betaPodeltaSKorea*EXP(-betaSKorea*(tblData[Date]-StartDt2Korea))),"")</f>
        <v>8002.776235982953</v>
      </c>
      <c r="AY60" s="21">
        <f>IF(AND(tblData[Date]&gt;=StartDt2Korea,ISNUMBER(tblData[SKorea])),(tblData[[#This Row],[SKorea LogiP(t)]]-tblData[[#This Row],[SKorea]])^2,"")</f>
        <v>61393.063117880032</v>
      </c>
      <c r="AZ60" s="21">
        <f>IF(tblData[Date]&gt;=StartDt2Korea,tblData[[#This Row],[SKorea LogiP(t)]]/$AY$9,"")</f>
        <v>1556.9603571951272</v>
      </c>
      <c r="BA60" s="11">
        <f>IF(ISNUMBER(tblData[Days'# UK]),betaUK/(deltaUK+betaPodeltaUK*EXP(-betaUK*tblData[Days'# UK])),"")</f>
        <v>469.5766780909064</v>
      </c>
      <c r="BB60" s="21">
        <f>IF(ISNUMBER(tblData[UK]),(tblData[[#This Row],[UK LogiP(t)]]-tblData[[#This Row],[UK]])^2,"")</f>
        <v>111.86611943865941</v>
      </c>
      <c r="BC60" s="21">
        <f>IF(ISNUMBER(tblData[Days'# UK]),tblData[[#This Row],[UK LogiP(t)]]/$BB$9,"")</f>
        <v>70.676802843303193</v>
      </c>
      <c r="BD60" s="11">
        <f>IF(ISNUMBER(tblData[Days'# China]),betaChina/(deltaChina+betaPodeltaChina*EXP(-betaChina*tblData[Days'# China])),"")</f>
        <v>80900.672366480765</v>
      </c>
      <c r="BE60" s="11">
        <f>IF(ISNUMBER(tblData[China]),(tblData[[#This Row],[China LogiP(t)]]-tblData[[#This Row],[China]])^2,"")</f>
        <v>413.21268449232429</v>
      </c>
      <c r="BF60" s="11">
        <f>tblData[[#This Row],[China LogiP(t)]]/$BE$9</f>
        <v>562.07417479971355</v>
      </c>
      <c r="BG60" s="11">
        <f>IF(ISNUMBER(tblData[Day'# Singapore]),betaSingapore/(deltaSingapore+betaPodeltaSingapore*EXP(-betaSingapore*tblData[Day'# Singapore])),"")</f>
        <v>211.2247164468865</v>
      </c>
      <c r="BH60" s="11">
        <f>IF(AND(ISNUMBER(tblData[Singapore]),tblData[Date]&gt;=StartDt2Singapore),(tblData[[#This Row],[Singapore LogiP(t)]]-tblData[[#This Row],[Singapore]])^2,"")</f>
        <v>1103.8817829760105</v>
      </c>
      <c r="BI60" s="11">
        <f>IF(ISNUMBER(tblData[Day'# Singapore]),tblData[Singapore LogiP(t)]/$BH$9,"")</f>
        <v>361.06789136219919</v>
      </c>
      <c r="BJ60" s="11">
        <v>9152</v>
      </c>
      <c r="BK60" s="11">
        <v>1004</v>
      </c>
      <c r="BL60" s="11">
        <f>IF(ISNUMBER(tblData[[#This Row],[NSW Number of Tests]]),tblData[[#This Row],[NSW Number of Tests]]-BJ59,"")</f>
        <v>791</v>
      </c>
      <c r="BM60" s="11">
        <f>IF(ISNUMBER(tblData[[#This Row],[NSW Under Investigation'']]),tblData[[#This Row],[NSW Under Investigation'']]-BK59,"")</f>
        <v>386</v>
      </c>
      <c r="BN60" s="11">
        <f t="shared" si="8"/>
        <v>6</v>
      </c>
      <c r="BO60" s="11">
        <f>IF(ISNUMBER(tblData[[#This Row],[NSW Test Day Number]]),betaTest/(deltaTest+betaPodeltaTest*EXP(-betaTest*tblData[[#This Row],[NSW Test Day Number]])),"")</f>
        <v>13181.826573284892</v>
      </c>
      <c r="BP60" s="11">
        <f>IF(ISNUMBER(tblData[[#This Row],[NSW Number of Tests]]),(tblData[[#This Row],[NSW Number of Tests]]-tblData[[#This Row],[NSW Test Logi]])^2,"")</f>
        <v>16239502.210753057</v>
      </c>
      <c r="BR60"/>
      <c r="BV60" s="26"/>
      <c r="CE60"/>
      <c r="CF60"/>
      <c r="CG60"/>
      <c r="CH60" s="26"/>
      <c r="CS60" s="26"/>
      <c r="CT60" s="26"/>
      <c r="DM60"/>
      <c r="DN60" t="s">
        <v>225</v>
      </c>
      <c r="DO60" s="80">
        <v>43912.588449074072</v>
      </c>
      <c r="DP60" s="27">
        <v>43852</v>
      </c>
      <c r="DQ60" s="27">
        <v>43852</v>
      </c>
      <c r="DR60">
        <v>4</v>
      </c>
      <c r="DS60">
        <v>0.2221429979133962</v>
      </c>
      <c r="DT60" s="83">
        <v>2.744135355706393E-6</v>
      </c>
      <c r="DU60">
        <v>1537.6493038446686</v>
      </c>
      <c r="DV60" s="108">
        <v>80951.909843460453</v>
      </c>
      <c r="DW60">
        <v>2077.087790047718</v>
      </c>
      <c r="DX60">
        <v>1.4172508617482069E-4</v>
      </c>
      <c r="DY60" s="112">
        <v>2.7441353557063931E-3</v>
      </c>
      <c r="EA60" s="27">
        <v>43911</v>
      </c>
      <c r="EB60" t="s">
        <v>1360</v>
      </c>
      <c r="EC60" s="26"/>
      <c r="ED60" s="112">
        <v>81305</v>
      </c>
      <c r="EE60" t="s">
        <v>964</v>
      </c>
      <c r="EF60" s="27">
        <v>43911</v>
      </c>
      <c r="EG60">
        <v>60</v>
      </c>
      <c r="EH60" t="s">
        <v>1359</v>
      </c>
      <c r="EJ60" t="s">
        <v>966</v>
      </c>
      <c r="EL60" t="s">
        <v>1405</v>
      </c>
      <c r="EM60">
        <v>564.88332476486516</v>
      </c>
      <c r="EN60" s="94">
        <v>43912</v>
      </c>
      <c r="EO60">
        <v>0</v>
      </c>
      <c r="EP60" s="94">
        <v>43878</v>
      </c>
      <c r="EQ60">
        <v>34</v>
      </c>
    </row>
    <row r="61" spans="2:183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48">
        <f>IF(ISNUMBER(tblData[Italy]),tblData[Italy]/$N$9,"")</f>
        <v>2500.082712985939</v>
      </c>
      <c r="O61">
        <v>1663</v>
      </c>
      <c r="P61" s="48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>
        <v>178</v>
      </c>
      <c r="X61" s="21">
        <f>IF(ISNUMBER(tblData[Singapore]),tblData[Singapore]/$X$9,"")</f>
        <v>304.27350427350427</v>
      </c>
      <c r="Y61" s="21"/>
      <c r="Z61" s="21"/>
      <c r="AA61" s="26">
        <f>IF(tblData[[#This Row],[Date]]&lt;ItalyStart,"",tblData[[#This Row],[Date]]-ItalyStart)</f>
        <v>42</v>
      </c>
      <c r="AB61" s="26">
        <f t="shared" ref="AB61:AB92" si="9">IF($B61&lt;BU$14+18,"",$B61-BU$14-18)</f>
        <v>32</v>
      </c>
      <c r="AC61" s="26">
        <f t="shared" si="4"/>
        <v>50</v>
      </c>
      <c r="AD61" s="26">
        <f>IF(tblData[[#This Row],[Date]]&lt;StartDt2Korea,"",tblData[[#This Row],[Date]]-StartDt2Korea)</f>
        <v>22</v>
      </c>
      <c r="AE61" s="26">
        <f>IF(tblData[[#This Row],[Date]]&lt;UKStart,"",tblData[[#This Row],[Date]]-UKStart)</f>
        <v>42</v>
      </c>
      <c r="AF61" s="26">
        <f>IF(tblData[[#This Row],[Date]]&lt;SingaporeStart,"",tblData[[#This Row],[Date]]-SingaporeStart)</f>
        <v>49</v>
      </c>
      <c r="AG61">
        <f>IF(tblData[Date]&gt;=StartDt2Au,tblData[Date]-StartDt2Au,"")</f>
        <v>47</v>
      </c>
      <c r="AH61" s="26">
        <f>IF(tblData[New South Wales]&gt;0,SUM(tblData[[#This Row],[Australian Capital Territory]:[Western Australia]]),"")</f>
        <v>145</v>
      </c>
      <c r="AI61" s="12">
        <f>IF(ISNUMBER(tblData[Au]),tblData[Au]/$AE$9,"")</f>
        <v>57.167639173631919</v>
      </c>
      <c r="AJ61" s="19">
        <f>IF(ISNUMBER(tblData[[#This Row],[Day'# Aust]]),betaAu/(deltaAu+betaPodeltaAu*EXP(-betaAu*tblData[[#This Row],[Day'# Aust]])),"")</f>
        <v>158.75342157086325</v>
      </c>
      <c r="AK61" s="70">
        <f>IF(ISNUMBER(tblData[Day'# Aust]),tblData[Au LogiP(t)]/$AI$9,"")</f>
        <v>62.590057392707479</v>
      </c>
      <c r="AL61" s="11">
        <f>IF(AND(tblData[Date]&gt;=StartDt2Au,ISNUMBER(tblData[NSW])),(tblData[[#This Row],[Au LogiP(t)]]-tblData[[#This Row],[Au]])^2,"")</f>
        <v>189.15660490588664</v>
      </c>
      <c r="AM61">
        <f>IF(tblData[Date]&gt;StartDt2NSW,tblData[Date]-StartDt2NSW,"")</f>
        <v>47</v>
      </c>
      <c r="AN61" s="26">
        <f t="shared" si="5"/>
        <v>75</v>
      </c>
      <c r="AO61" s="11">
        <f>IF(tblData[Date]&gt;StartDt2NSW,betaNSW/(deltaNSW+betaPodeltaNSW*EXP(-betaNSW*tblData[[#This Row],[Day '# NSW]])),"")</f>
        <v>76.703903480043337</v>
      </c>
      <c r="AP61" s="12">
        <f>IF(AND(ISNUMBER(tblData[NSW]),tblData[Date]&gt;StartDt2NSW),(tblData[[#This Row],[NSW LogiP(t)]]-tblData[[#This Row],[NSW]])^2,"")</f>
        <v>2.9032870693037944</v>
      </c>
      <c r="AQ61" s="12">
        <f>IF(AND(tblData[Date]&gt;StartDt2NSW,ISNUMBER(tblData[Day'# Aust])),tblData[NSW LogiP(t)]/$AL$9,"")</f>
        <v>94.930573613915016</v>
      </c>
      <c r="AR61" s="11">
        <f>IF(AND(tblData[Date]&gt;StartDt2Italy,ISNUMBER(tblData[Days'# Italy])),betaItaly/(deltaItaly+betaPodeltaItaly*EXP(-betaItaly*tblData[Days'# Italy])),"")</f>
        <v>17119.798363627178</v>
      </c>
      <c r="AS61" s="11">
        <f>IF(AND(tblData[Date]&gt;StartDt2Italy,ISNUMBER(tblData[Italy])),(tblData[[#This Row],[Italy LogiP(t)]]-tblData[[#This Row],[Italy]])^2,"")</f>
        <v>4027239.6722567207</v>
      </c>
      <c r="AT61" s="43">
        <f>IF(AND(tblData[Date]&gt;StartDt2Italy,ISNUMBER(tblData[Days'# Italy])),tblData[[#This Row],[Italy LogiP(t)]]/$AS$9,"")</f>
        <v>2832.0592826513116</v>
      </c>
      <c r="AU61" s="21">
        <f>IF(ISNUMBER(tblData[[#This Row],[Days'# US]]),betaUS/(deltaUS+betaPodeltaUS*EXP(-betaUS*tblData[Days'# US])),"")</f>
        <v>1228.2553168063496</v>
      </c>
      <c r="AV61" s="11">
        <f>IF(ISNUMBER(tblData[US]),(tblData[[#This Row],[US LogiP(t)]]-tblData[US])^2,"")</f>
        <v>189002.93956514748</v>
      </c>
      <c r="AW61" s="21">
        <f>IF(ISNUMBER(tblData[[#This Row],[Days'# US]]),tblData[[#This Row],[US LogiP(t)]]/$AV$9,"")</f>
        <v>37.307162951155085</v>
      </c>
      <c r="AX61" s="21">
        <f>IF(tblData[Date]&gt;=StartDt2Korea,betaSKorea/(deltaSKorea+betaPodeltaSKorea*EXP(-betaSKorea*(tblData[Date]-StartDt2Korea))),"")</f>
        <v>8127.817339191778</v>
      </c>
      <c r="AY61" s="21">
        <f>IF(AND(tblData[Date]&gt;=StartDt2Korea,ISNUMBER(tblData[SKorea])),(tblData[[#This Row],[SKorea LogiP(t)]]-tblData[[#This Row],[SKorea]])^2,"")</f>
        <v>66986.415066311893</v>
      </c>
      <c r="AZ61" s="21">
        <f>IF(tblData[Date]&gt;=StartDt2Korea,tblData[[#This Row],[SKorea LogiP(t)]]/$AY$9,"")</f>
        <v>1581.2874200762215</v>
      </c>
      <c r="BA61" s="11">
        <f>IF(ISNUMBER(tblData[Days'# UK]),betaUK/(deltaUK+betaPodeltaUK*EXP(-betaUK*tblData[Days'# UK])),"")</f>
        <v>593.86035012071272</v>
      </c>
      <c r="BB61" s="21">
        <f>IF(ISNUMBER(tblData[UK]),(tblData[[#This Row],[UK LogiP(t)]]-tblData[[#This Row],[UK]])^2,"")</f>
        <v>18187.314034681222</v>
      </c>
      <c r="BC61" s="21">
        <f>IF(ISNUMBER(tblData[Days'# UK]),tblData[[#This Row],[UK LogiP(t)]]/$BB$9,"")</f>
        <v>89.38295456362323</v>
      </c>
      <c r="BD61" s="11">
        <f>IF(ISNUMBER(tblData[Days'# China]),betaChina/(deltaChina+betaPodeltaChina*EXP(-betaChina*tblData[Days'# China])),"")</f>
        <v>80916.260492645335</v>
      </c>
      <c r="BE61" s="11">
        <f>IF(ISNUMBER(tblData[China]),(tblData[[#This Row],[China LogiP(t)]]-tblData[[#This Row],[China]])^2,"")</f>
        <v>247.73209176755253</v>
      </c>
      <c r="BF61" s="11">
        <f>tblData[[#This Row],[China LogiP(t)]]/$BE$9</f>
        <v>562.18247653435094</v>
      </c>
      <c r="BG61" s="11">
        <f>IF(ISNUMBER(tblData[Day'# Singapore]),betaSingapore/(deltaSingapore+betaPodeltaSingapore*EXP(-betaSingapore*tblData[Day'# Singapore])),"")</f>
        <v>220.71409794822873</v>
      </c>
      <c r="BH61" s="11">
        <f>IF(AND(ISNUMBER(tblData[Singapore]),tblData[Date]&gt;=StartDt2Singapore),(tblData[[#This Row],[Singapore LogiP(t)]]-tblData[[#This Row],[Singapore]])^2,"")</f>
        <v>1824.4941635308776</v>
      </c>
      <c r="BI61" s="11">
        <f>IF(ISNUMBER(tblData[Day'# Singapore]),tblData[Singapore LogiP(t)]/$BH$9,"")</f>
        <v>377.28905632175855</v>
      </c>
      <c r="BJ61" s="11">
        <v>11040</v>
      </c>
      <c r="BK61" s="11">
        <v>1831</v>
      </c>
      <c r="BL61" s="11">
        <f>IF(ISNUMBER(tblData[[#This Row],[NSW Number of Tests]]),tblData[[#This Row],[NSW Number of Tests]]-BJ60,"")</f>
        <v>1888</v>
      </c>
      <c r="BM61" s="11">
        <f>IF(ISNUMBER(tblData[[#This Row],[NSW Under Investigation'']]),tblData[[#This Row],[NSW Under Investigation'']]-BK60,"")</f>
        <v>827</v>
      </c>
      <c r="BN61" s="11">
        <f t="shared" si="8"/>
        <v>7</v>
      </c>
      <c r="BO61" s="11">
        <f>IF(ISNUMBER(tblData[[#This Row],[NSW Test Day Number]]),betaTest/(deltaTest+betaPodeltaTest*EXP(-betaTest*tblData[[#This Row],[NSW Test Day Number]])),"")</f>
        <v>15470.17201149113</v>
      </c>
      <c r="BP61" s="11">
        <f>IF(ISNUMBER(tblData[[#This Row],[NSW Number of Tests]]),(tblData[[#This Row],[NSW Number of Tests]]-tblData[[#This Row],[NSW Test Logi]])^2,"")</f>
        <v>19626424.051399361</v>
      </c>
      <c r="BR61"/>
      <c r="BV61" s="26"/>
      <c r="CE61"/>
      <c r="CF61"/>
      <c r="CG61"/>
      <c r="CH61" s="26"/>
      <c r="CS61" s="26"/>
      <c r="CT61" s="26"/>
      <c r="DM61"/>
      <c r="DN61" t="s">
        <v>225</v>
      </c>
      <c r="DO61" s="80">
        <v>43912.787581018521</v>
      </c>
      <c r="DP61" s="27">
        <v>43852</v>
      </c>
      <c r="DQ61" s="27">
        <v>43852</v>
      </c>
      <c r="DR61">
        <v>4</v>
      </c>
      <c r="DS61">
        <v>0.2221429979133962</v>
      </c>
      <c r="DT61" s="83">
        <v>2.7437387950754286E-6</v>
      </c>
      <c r="DU61">
        <v>1537.6493038446686</v>
      </c>
      <c r="DV61" s="108">
        <v>80963.610060880164</v>
      </c>
      <c r="DW61">
        <v>2060.619161619702</v>
      </c>
      <c r="DX61">
        <v>1.4172548273545167E-4</v>
      </c>
      <c r="DY61" s="112">
        <v>2.7437387950754286E-3</v>
      </c>
      <c r="EA61" s="27">
        <v>43911</v>
      </c>
      <c r="EB61" t="s">
        <v>1360</v>
      </c>
      <c r="EC61" s="26">
        <v>80963.609812570081</v>
      </c>
      <c r="ED61" s="112">
        <v>81348</v>
      </c>
      <c r="EE61" t="s">
        <v>1486</v>
      </c>
      <c r="EF61" s="27">
        <v>43912</v>
      </c>
      <c r="EG61">
        <v>61</v>
      </c>
      <c r="EH61" t="s">
        <v>1487</v>
      </c>
      <c r="EJ61" t="s">
        <v>1488</v>
      </c>
      <c r="EL61" t="s">
        <v>1489</v>
      </c>
      <c r="EM61">
        <v>565.18207616963593</v>
      </c>
      <c r="EN61" s="94">
        <v>43912</v>
      </c>
      <c r="EO61">
        <v>0</v>
      </c>
      <c r="EP61" s="94">
        <v>43883</v>
      </c>
      <c r="EQ61">
        <v>29</v>
      </c>
      <c r="ES61" s="53"/>
      <c r="ET61" s="53"/>
      <c r="EU61" s="53"/>
      <c r="EV61" s="53"/>
      <c r="EW61" s="53"/>
      <c r="EX61" s="53"/>
      <c r="EY61" s="53"/>
      <c r="EZ61" s="53"/>
      <c r="FA61" s="53"/>
      <c r="FB61" s="53"/>
      <c r="FC61" s="53"/>
      <c r="FD61" s="53"/>
      <c r="FE61" s="53"/>
      <c r="FF61" s="53"/>
      <c r="FG61" s="53"/>
      <c r="FH61" s="53"/>
      <c r="FI61" s="53"/>
      <c r="FJ61" s="53"/>
      <c r="FK61" s="53"/>
      <c r="FL61" s="53"/>
      <c r="FM61" s="53"/>
      <c r="FN61" s="53"/>
      <c r="FO61" s="53"/>
      <c r="FP61" s="53"/>
      <c r="FQ61" s="53"/>
      <c r="FR61" s="53"/>
      <c r="FS61" s="53"/>
      <c r="FT61" s="53"/>
      <c r="FU61" s="53"/>
      <c r="FV61" s="53"/>
      <c r="FW61" s="53"/>
      <c r="FX61" s="53"/>
      <c r="FY61" s="53"/>
      <c r="FZ61" s="53"/>
      <c r="GA61" s="53"/>
    </row>
    <row r="62" spans="2:183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48">
        <f>IF(ISNUMBER(tblData[Italy]),tblData[Italy]/$N$9,"")</f>
        <v>2921.4226633581475</v>
      </c>
      <c r="O62">
        <v>2179</v>
      </c>
      <c r="P62" s="48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>
        <v>200</v>
      </c>
      <c r="X62" s="21">
        <f>IF(ISNUMBER(tblData[Singapore]),tblData[Singapore]/$X$9,"")</f>
        <v>341.88034188034192</v>
      </c>
      <c r="Y62" s="21"/>
      <c r="Z62" s="21"/>
      <c r="AA62" s="26">
        <f>IF(tblData[[#This Row],[Date]]&lt;ItalyStart,"",tblData[[#This Row],[Date]]-ItalyStart)</f>
        <v>43</v>
      </c>
      <c r="AB62" s="26">
        <f t="shared" si="9"/>
        <v>33</v>
      </c>
      <c r="AC62" s="26">
        <f t="shared" si="4"/>
        <v>51</v>
      </c>
      <c r="AD62" s="26">
        <f>IF(tblData[[#This Row],[Date]]&lt;StartDt2Korea,"",tblData[[#This Row],[Date]]-StartDt2Korea)</f>
        <v>23</v>
      </c>
      <c r="AE62" s="26">
        <f>IF(tblData[[#This Row],[Date]]&lt;UKStart,"",tblData[[#This Row],[Date]]-UKStart)</f>
        <v>43</v>
      </c>
      <c r="AF62" s="26">
        <f>IF(tblData[[#This Row],[Date]]&lt;SingaporeStart,"",tblData[[#This Row],[Date]]-SingaporeStart)</f>
        <v>50</v>
      </c>
      <c r="AG62">
        <f>IF(tblData[Date]&gt;=StartDt2Au,tblData[Date]-StartDt2Au,"")</f>
        <v>48</v>
      </c>
      <c r="AH62" s="26">
        <f>IF(tblData[New South Wales]&gt;0,SUM(tblData[[#This Row],[Australian Capital Territory]:[Western Australia]]),"")</f>
        <v>200</v>
      </c>
      <c r="AI62" s="12">
        <f>IF(ISNUMBER(tblData[Au]),tblData[Au]/$AE$9,"")</f>
        <v>78.851916101561272</v>
      </c>
      <c r="AJ62" s="19">
        <f>IF(ISNUMBER(tblData[[#This Row],[Day'# Aust]]),betaAu/(deltaAu+betaPodeltaAu*EXP(-betaAu*tblData[[#This Row],[Day'# Aust]])),"")</f>
        <v>196.7903411439512</v>
      </c>
      <c r="AK62" s="70">
        <f>IF(ISNUMBER(tblData[Day'# Aust]),tblData[Au LogiP(t)]/$AI$9,"")</f>
        <v>77.586477347402308</v>
      </c>
      <c r="AL62" s="11">
        <f>IF(AND(tblData[Date]&gt;=StartDt2Au,ISNUMBER(tblData[NSW])),(tblData[[#This Row],[Au LogiP(t)]]-tblData[[#This Row],[Au]])^2,"")</f>
        <v>10.30190997221252</v>
      </c>
      <c r="AM62">
        <f>IF(tblData[Date]&gt;StartDt2NSW,tblData[Date]-StartDt2NSW,"")</f>
        <v>48</v>
      </c>
      <c r="AN62" s="28">
        <f t="shared" si="5"/>
        <v>92</v>
      </c>
      <c r="AO62" s="11">
        <f>IF(tblData[Date]&gt;StartDt2NSW,betaNSW/(deltaNSW+betaPodeltaNSW*EXP(-betaNSW*tblData[[#This Row],[Day '# NSW]])),"")</f>
        <v>93.530870194175833</v>
      </c>
      <c r="AP62" s="12">
        <f>IF(AND(ISNUMBER(tblData[NSW]),tblData[Date]&gt;StartDt2NSW),(tblData[[#This Row],[NSW LogiP(t)]]-tblData[[#This Row],[NSW]])^2,"")</f>
        <v>2.3435635514159525</v>
      </c>
      <c r="AQ62" s="12">
        <f>IF(AND(tblData[Date]&gt;StartDt2NSW,ISNUMBER(tblData[Day'# Aust])),tblData[NSW LogiP(t)]/$AL$9,"")</f>
        <v>115.75602746803939</v>
      </c>
      <c r="AR62" s="11">
        <f>IF(AND(tblData[Date]&gt;StartDt2Italy,ISNUMBER(tblData[Days'# Italy])),betaItaly/(deltaItaly+betaPodeltaItaly*EXP(-betaItaly*tblData[Days'# Italy])),"")</f>
        <v>20584.690415659454</v>
      </c>
      <c r="AS62" s="11">
        <f>IF(AND(tblData[Date]&gt;StartDt2Italy,ISNUMBER(tblData[Italy])),(tblData[[#This Row],[Italy LogiP(t)]]-tblData[[#This Row],[Italy]])^2,"")</f>
        <v>8553814.0274502691</v>
      </c>
      <c r="AT62" s="43">
        <f>IF(AND(tblData[Date]&gt;StartDt2Italy,ISNUMBER(tblData[Days'# Italy])),tblData[[#This Row],[Italy LogiP(t)]]/$AS$9,"")</f>
        <v>3405.2424178096699</v>
      </c>
      <c r="AU62" s="21">
        <f>IF(ISNUMBER(tblData[[#This Row],[Days'# US]]),betaUS/(deltaUS+betaPodeltaUS*EXP(-betaUS*tblData[Days'# US])),"")</f>
        <v>1715.6466692850538</v>
      </c>
      <c r="AV62" s="11">
        <f>IF(ISNUMBER(tblData[US]),(tblData[[#This Row],[US LogiP(t)]]-tblData[US])^2,"")</f>
        <v>214696.3090846343</v>
      </c>
      <c r="AW62" s="21">
        <f>IF(ISNUMBER(tblData[[#This Row],[Days'# US]]),tblData[[#This Row],[US LogiP(t)]]/$AV$9,"")</f>
        <v>52.11124184184203</v>
      </c>
      <c r="AX62" s="21">
        <f>IF(tblData[Date]&gt;=StartDt2Korea,betaSKorea/(deltaSKorea+betaPodeltaSKorea*EXP(-betaSKorea*(tblData[Date]-StartDt2Korea))),"")</f>
        <v>8222.0040720018951</v>
      </c>
      <c r="AY62" s="21">
        <f>IF(AND(tblData[Date]&gt;=StartDt2Korea,ISNUMBER(tblData[SKorea])),(tblData[[#This Row],[SKorea LogiP(t)]]-tblData[[#This Row],[SKorea]])^2,"")</f>
        <v>59050.979009502225</v>
      </c>
      <c r="AZ62" s="21">
        <f>IF(tblData[Date]&gt;=StartDt2Korea,tblData[[#This Row],[SKorea LogiP(t)]]/$AY$9,"")</f>
        <v>1599.611687159902</v>
      </c>
      <c r="BA62" s="11">
        <f>IF(ISNUMBER(tblData[Days'# UK]),betaUK/(deltaUK+betaPodeltaUK*EXP(-betaUK*tblData[Days'# UK])),"")</f>
        <v>750.81447170186777</v>
      </c>
      <c r="BB62" s="21">
        <f>IF(ISNUMBER(tblData[UK]),(tblData[[#This Row],[UK LogiP(t)]]-tblData[[#This Row],[UK]])^2,"")</f>
        <v>2619.958307158895</v>
      </c>
      <c r="BC62" s="21">
        <f>IF(ISNUMBER(tblData[Days'# UK]),tblData[[#This Row],[UK LogiP(t)]]/$BB$9,"")</f>
        <v>113.00639248974529</v>
      </c>
      <c r="BD62" s="11">
        <f>IF(ISNUMBER(tblData[Days'# China]),betaChina/(deltaChina+betaPodeltaChina*EXP(-betaChina*tblData[Days'# China])),"")</f>
        <v>80928.747809267923</v>
      </c>
      <c r="BE62" s="11">
        <f>IF(ISNUMBER(tblData[China]),(tblData[[#This Row],[China LogiP(t)]]-tblData[[#This Row],[China]])^2,"")</f>
        <v>264.13370359180942</v>
      </c>
      <c r="BF62" s="11">
        <f>tblData[[#This Row],[China LogiP(t)]]/$BE$9</f>
        <v>562.26923475255592</v>
      </c>
      <c r="BG62" s="11">
        <f>IF(ISNUMBER(tblData[Day'# Singapore]),betaSingapore/(deltaSingapore+betaPodeltaSingapore*EXP(-betaSingapore*tblData[Day'# Singapore])),"")</f>
        <v>230.62979490317969</v>
      </c>
      <c r="BH62" s="11">
        <f>IF(AND(ISNUMBER(tblData[Singapore]),tblData[Date]&gt;=StartDt2Singapore),(tblData[[#This Row],[Singapore LogiP(t)]]-tblData[[#This Row],[Singapore]])^2,"")</f>
        <v>938.1843358108523</v>
      </c>
      <c r="BI62" s="11">
        <f>IF(ISNUMBER(tblData[Day'# Singapore]),tblData[Singapore LogiP(t)]/$BH$9,"")</f>
        <v>394.23896564646105</v>
      </c>
      <c r="BJ62" s="11">
        <v>18716</v>
      </c>
      <c r="BK62" s="11">
        <v>1668</v>
      </c>
      <c r="BL62" s="11">
        <f>IF(ISNUMBER(tblData[[#This Row],[NSW Number of Tests]]),tblData[[#This Row],[NSW Number of Tests]]-BJ61,"")</f>
        <v>7676</v>
      </c>
      <c r="BM62" s="11">
        <f>IF(ISNUMBER(tblData[[#This Row],[NSW Under Investigation'']]),tblData[[#This Row],[NSW Under Investigation'']]-BK61,"")</f>
        <v>-163</v>
      </c>
      <c r="BN62" s="11">
        <f t="shared" si="8"/>
        <v>8</v>
      </c>
      <c r="BO62" s="11">
        <f>IF(ISNUMBER(tblData[[#This Row],[NSW Test Day Number]]),betaTest/(deltaTest+betaPodeltaTest*EXP(-betaTest*tblData[[#This Row],[NSW Test Day Number]])),"")</f>
        <v>18129.891717165989</v>
      </c>
      <c r="BP62" s="11">
        <f>IF(ISNUMBER(tblData[[#This Row],[NSW Number of Tests]]),(tblData[[#This Row],[NSW Number of Tests]]-tblData[[#This Row],[NSW Test Logi]])^2,"")</f>
        <v>343522.91920663341</v>
      </c>
      <c r="BR62"/>
      <c r="BV62" s="26"/>
      <c r="CE62"/>
      <c r="CF62"/>
      <c r="CG62"/>
      <c r="CH62" s="26"/>
      <c r="CS62" s="26"/>
      <c r="CT62" s="26"/>
      <c r="DM62"/>
      <c r="DN62" t="s">
        <v>225</v>
      </c>
      <c r="DO62" s="80">
        <v>43912.862349537034</v>
      </c>
      <c r="DP62" s="27">
        <v>43852</v>
      </c>
      <c r="DQ62" s="27">
        <v>43852</v>
      </c>
      <c r="DR62">
        <v>4</v>
      </c>
      <c r="DS62">
        <v>0.2221429979133962</v>
      </c>
      <c r="DT62" s="83">
        <v>2.7437378104594008E-6</v>
      </c>
      <c r="DU62">
        <v>1537.6493038446686</v>
      </c>
      <c r="DV62" s="108">
        <v>80963.639115430429</v>
      </c>
      <c r="DW62" s="26">
        <v>2060.6222776666727</v>
      </c>
      <c r="DX62" s="26">
        <v>1.4172548372006768E-4</v>
      </c>
      <c r="DY62" s="112">
        <v>2.743737810459401E-3</v>
      </c>
      <c r="EA62" s="27">
        <v>43911</v>
      </c>
      <c r="EB62" t="s">
        <v>1360</v>
      </c>
      <c r="EC62" s="26">
        <v>80963.638867120171</v>
      </c>
      <c r="ED62" s="112">
        <v>81349</v>
      </c>
      <c r="EE62" t="s">
        <v>1486</v>
      </c>
      <c r="EF62" s="27">
        <v>43912</v>
      </c>
      <c r="EG62">
        <v>61</v>
      </c>
      <c r="EH62" t="s">
        <v>1487</v>
      </c>
      <c r="EJ62" t="s">
        <v>1488</v>
      </c>
      <c r="EL62" t="s">
        <v>1489</v>
      </c>
      <c r="EM62">
        <v>565.1890238767237</v>
      </c>
      <c r="EN62" s="94">
        <v>43912</v>
      </c>
      <c r="EO62">
        <v>0</v>
      </c>
      <c r="EP62" s="94">
        <v>43883</v>
      </c>
      <c r="EQ62">
        <v>29</v>
      </c>
    </row>
    <row r="63" spans="2:183" x14ac:dyDescent="0.25">
      <c r="B63" s="1">
        <f t="shared" ref="B63:B64" si="10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48">
        <f>IF(ISNUMBER(tblData[Italy]),tblData[Italy]/$N$9,"")</f>
        <v>3499.9172870140615</v>
      </c>
      <c r="O63">
        <v>2727</v>
      </c>
      <c r="P63" s="48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>
        <v>212</v>
      </c>
      <c r="X63" s="21">
        <f>IF(ISNUMBER(tblData[Singapore]),tblData[Singapore]/$X$9,"")</f>
        <v>362.39316239316241</v>
      </c>
      <c r="Y63" s="21"/>
      <c r="Z63" s="21"/>
      <c r="AA63" s="26">
        <f>IF(tblData[[#This Row],[Date]]&lt;ItalyStart,"",tblData[[#This Row],[Date]]-ItalyStart)</f>
        <v>44</v>
      </c>
      <c r="AB63" s="26">
        <f t="shared" si="9"/>
        <v>34</v>
      </c>
      <c r="AC63" s="26">
        <f t="shared" si="4"/>
        <v>52</v>
      </c>
      <c r="AD63" s="26">
        <f>IF(tblData[[#This Row],[Date]]&lt;StartDt2Korea,"",tblData[[#This Row],[Date]]-StartDt2Korea)</f>
        <v>24</v>
      </c>
      <c r="AE63" s="26">
        <f>IF(tblData[[#This Row],[Date]]&lt;UKStart,"",tblData[[#This Row],[Date]]-UKStart)</f>
        <v>44</v>
      </c>
      <c r="AF63" s="26">
        <f>IF(tblData[[#This Row],[Date]]&lt;SingaporeStart,"",tblData[[#This Row],[Date]]-SingaporeStart)</f>
        <v>51</v>
      </c>
      <c r="AG63">
        <f>IF(tblData[Date]&gt;=StartDt2Au,tblData[Date]-StartDt2Au,"")</f>
        <v>49</v>
      </c>
      <c r="AH63" s="26">
        <f>IF(tblData[New South Wales]&gt;0,SUM(tblData[[#This Row],[Australian Capital Territory]:[Western Australia]]),"")</f>
        <v>251</v>
      </c>
      <c r="AI63" s="12">
        <f>IF(ISNUMBER(tblData[Au]),tblData[Au]/$AE$9,"")</f>
        <v>98.95915470745939</v>
      </c>
      <c r="AJ63" s="19">
        <f>IF(ISNUMBER(tblData[[#This Row],[Day'# Aust]]),betaAu/(deltaAu+betaPodeltaAu*EXP(-betaAu*tblData[[#This Row],[Day'# Aust]])),"")</f>
        <v>243.94081074103423</v>
      </c>
      <c r="AK63" s="70">
        <f>IF(ISNUMBER(tblData[Day'# Aust]),tblData[Au LogiP(t)]/$AI$9,"")</f>
        <v>96.176001711494337</v>
      </c>
      <c r="AL63" s="11">
        <f>IF(AND(tblData[Date]&gt;=StartDt2Au,ISNUMBER(tblData[NSW])),(tblData[[#This Row],[Au LogiP(t)]]-tblData[[#This Row],[Au]])^2,"")</f>
        <v>49.832152993897743</v>
      </c>
      <c r="AM63">
        <f>IF(tblData[Date]&gt;StartDt2NSW,tblData[Date]-StartDt2NSW,"")</f>
        <v>49</v>
      </c>
      <c r="AN63" s="26">
        <v>112</v>
      </c>
      <c r="AO63" s="11">
        <f>IF(tblData[Date]&gt;StartDt2NSW,betaNSW/(deltaNSW+betaPodeltaNSW*EXP(-betaNSW*tblData[[#This Row],[Day '# NSW]])),"")</f>
        <v>114.04926323460163</v>
      </c>
      <c r="AP63" s="12">
        <f>IF(AND(ISNUMBER(tblData[NSW]),tblData[Date]&gt;StartDt2NSW),(tblData[[#This Row],[NSW LogiP(t)]]-tblData[[#This Row],[NSW]])^2,"")</f>
        <v>4.1994798046899149</v>
      </c>
      <c r="AQ63" s="12">
        <f>IF(AND(tblData[Date]&gt;StartDt2NSW,ISNUMBER(tblData[Day'# Aust])),tblData[NSW LogiP(t)]/$AL$9,"")</f>
        <v>141.15007826064556</v>
      </c>
      <c r="AR63" s="11">
        <f>IF(AND(tblData[Date]&gt;StartDt2Italy,ISNUMBER(tblData[Days'# Italy])),betaItaly/(deltaItaly+betaPodeltaItaly*EXP(-betaItaly*tblData[Days'# Italy])),"")</f>
        <v>24396.662284613329</v>
      </c>
      <c r="AS63" s="11">
        <f>IF(AND(tblData[Date]&gt;StartDt2Italy,ISNUMBER(tblData[Italy])),(tblData[[#This Row],[Italy LogiP(t)]]-tblData[[#This Row],[Italy]])^2,"")</f>
        <v>10495411.718346052</v>
      </c>
      <c r="AT63" s="43">
        <f>IF(AND(tblData[Date]&gt;StartDt2Italy,ISNUMBER(tblData[Days'# Italy])),tblData[[#This Row],[Italy LogiP(t)]]/$AS$9,"")</f>
        <v>4035.841569001378</v>
      </c>
      <c r="AU63" s="21">
        <f>IF(ISNUMBER(tblData[[#This Row],[Days'# US]]),betaUS/(deltaUS+betaPodeltaUS*EXP(-betaUS*tblData[Days'# US])),"")</f>
        <v>2393.5615568689482</v>
      </c>
      <c r="AV63" s="11">
        <f>IF(ISNUMBER(tblData[US]),(tblData[[#This Row],[US LogiP(t)]]-tblData[US])^2,"")</f>
        <v>111181.19535765969</v>
      </c>
      <c r="AW63" s="21">
        <f>IF(ISNUMBER(tblData[[#This Row],[Days'# US]]),tblData[[#This Row],[US LogiP(t)]]/$AV$9,"")</f>
        <v>72.702303677313651</v>
      </c>
      <c r="AX63" s="21">
        <f>IF(tblData[Date]&gt;=StartDt2Korea,betaSKorea/(deltaSKorea+betaPodeltaSKorea*EXP(-betaSKorea*(tblData[Date]-StartDt2Korea))),"")</f>
        <v>8292.4569836823157</v>
      </c>
      <c r="AY63" s="21">
        <f>IF(AND(tblData[Date]&gt;=StartDt2Korea,ISNUMBER(tblData[SKorea])),(tblData[[#This Row],[SKorea LogiP(t)]]-tblData[[#This Row],[SKorea]])^2,"")</f>
        <v>42624.486111199971</v>
      </c>
      <c r="AZ63" s="21">
        <f>IF(tblData[Date]&gt;=StartDt2Korea,tblData[[#This Row],[SKorea LogiP(t)]]/$AY$9,"")</f>
        <v>1613.3184793156256</v>
      </c>
      <c r="BA63" s="11">
        <f>IF(ISNUMBER(tblData[Days'# UK]),betaUK/(deltaUK+betaPodeltaUK*EXP(-betaUK*tblData[Days'# UK])),"")</f>
        <v>948.89344362479983</v>
      </c>
      <c r="BB63" s="21">
        <f>IF(ISNUMBER(tblData[UK]),(tblData[[#This Row],[UK LogiP(t)]]-tblData[[#This Row],[UK]])^2,"")</f>
        <v>38066.568340589161</v>
      </c>
      <c r="BC63" s="21">
        <f>IF(ISNUMBER(tblData[Days'# UK]),tblData[[#This Row],[UK LogiP(t)]]/$BB$9,"")</f>
        <v>142.81960319458156</v>
      </c>
      <c r="BD63" s="11">
        <f>IF(ISNUMBER(tblData[Days'# China]),betaChina/(deltaChina+betaPodeltaChina*EXP(-betaChina*tblData[Days'# China])),"")</f>
        <v>80938.75044231955</v>
      </c>
      <c r="BE63" s="11">
        <f>IF(ISNUMBER(tblData[China]),(tblData[[#This Row],[China LogiP(t)]]-tblData[[#This Row],[China]])^2,"")</f>
        <v>1463.0286627501007</v>
      </c>
      <c r="BF63" s="11">
        <f>tblData[[#This Row],[China LogiP(t)]]/$BE$9</f>
        <v>562.33873011710432</v>
      </c>
      <c r="BG63" s="11">
        <f>IF(ISNUMBER(tblData[Day'# Singapore]),betaSingapore/(deltaSingapore+betaPodeltaSingapore*EXP(-betaSingapore*tblData[Day'# Singapore])),"")</f>
        <v>240.99095975745038</v>
      </c>
      <c r="BH63" s="11">
        <f>IF(AND(ISNUMBER(tblData[Singapore]),tblData[Date]&gt;=StartDt2Singapore),(tblData[[#This Row],[Singapore LogiP(t)]]-tblData[[#This Row],[Singapore]])^2,"")</f>
        <v>840.47574765810759</v>
      </c>
      <c r="BI63" s="11">
        <f>IF(ISNUMBER(tblData[Day'# Singapore]),tblData[Singapore LogiP(t)]/$BH$9,"")</f>
        <v>411.95035855974425</v>
      </c>
      <c r="BJ63" s="11">
        <v>18716</v>
      </c>
      <c r="BK63" s="11">
        <v>1668</v>
      </c>
      <c r="BL63" s="11">
        <f>IF(ISNUMBER(tblData[[#This Row],[NSW Number of Tests]]),tblData[[#This Row],[NSW Number of Tests]]-BJ62,"")</f>
        <v>0</v>
      </c>
      <c r="BM63" s="11">
        <f>IF(ISNUMBER(tblData[[#This Row],[NSW Under Investigation'']]),tblData[[#This Row],[NSW Under Investigation'']]-BK62,"")</f>
        <v>0</v>
      </c>
      <c r="BN63" s="11">
        <f t="shared" si="8"/>
        <v>9</v>
      </c>
      <c r="BO63" s="11">
        <f>IF(ISNUMBER(tblData[[#This Row],[NSW Test Day Number]]),betaTest/(deltaTest+betaPodeltaTest*EXP(-betaTest*tblData[[#This Row],[NSW Test Day Number]])),"")</f>
        <v>21211.743642330875</v>
      </c>
      <c r="BP63" s="11">
        <f>IF(ISNUMBER(tblData[[#This Row],[NSW Number of Tests]]),(tblData[[#This Row],[NSW Number of Tests]]-tblData[[#This Row],[NSW Test Logi]])^2,"")</f>
        <v>6228736.3282349845</v>
      </c>
      <c r="BR63"/>
      <c r="BV63" s="26"/>
      <c r="CE63"/>
      <c r="CF63"/>
      <c r="CG63"/>
      <c r="CH63" s="26"/>
      <c r="CS63" s="26"/>
      <c r="CT63" s="26"/>
      <c r="DM63"/>
      <c r="DN63" t="s">
        <v>1265</v>
      </c>
      <c r="DO63" s="80">
        <v>43911.866331018522</v>
      </c>
      <c r="DP63" s="27">
        <v>43852</v>
      </c>
      <c r="DQ63" s="27">
        <v>43880</v>
      </c>
      <c r="DR63">
        <v>5</v>
      </c>
      <c r="DS63">
        <v>0.32566109072274135</v>
      </c>
      <c r="DT63" s="83">
        <v>3.9144727914542807E-5</v>
      </c>
      <c r="DU63">
        <v>174.6164952155498</v>
      </c>
      <c r="DV63" s="108">
        <v>8319.4112738168697</v>
      </c>
      <c r="DW63" s="19">
        <v>139.72665717739883</v>
      </c>
      <c r="DX63" s="12">
        <v>1.8258628724312283E-3</v>
      </c>
      <c r="DY63" s="112">
        <v>3.9144727914542807E-2</v>
      </c>
      <c r="EA63" s="27">
        <v>43910</v>
      </c>
      <c r="EB63" t="s">
        <v>1361</v>
      </c>
      <c r="EC63" s="26"/>
      <c r="ED63" s="113">
        <v>8652</v>
      </c>
      <c r="EE63" t="s">
        <v>1362</v>
      </c>
      <c r="EF63" s="27">
        <v>43910</v>
      </c>
      <c r="EG63">
        <v>59</v>
      </c>
      <c r="EH63" t="s">
        <v>1363</v>
      </c>
      <c r="EJ63" t="s">
        <v>1364</v>
      </c>
      <c r="EK63" t="s">
        <v>1274</v>
      </c>
      <c r="EL63" t="s">
        <v>1387</v>
      </c>
      <c r="EM63">
        <v>1683.2684824902724</v>
      </c>
      <c r="EN63" s="94">
        <v>43890</v>
      </c>
      <c r="EO63">
        <v>21</v>
      </c>
      <c r="EP63" s="94">
        <v>43889</v>
      </c>
      <c r="EQ63">
        <v>22</v>
      </c>
    </row>
    <row r="64" spans="2:183" x14ac:dyDescent="0.25">
      <c r="B64" s="1">
        <f t="shared" si="10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48">
        <f>IF(ISNUMBER(tblData[Italy]),tblData[Italy]/$N$9,"")</f>
        <v>4093.7965260545907</v>
      </c>
      <c r="O64">
        <v>3499</v>
      </c>
      <c r="P64" s="48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>
        <v>226</v>
      </c>
      <c r="X64" s="21">
        <f>IF(ISNUMBER(tblData[Singapore]),tblData[Singapore]/$X$9,"")</f>
        <v>386.32478632478637</v>
      </c>
      <c r="Y64" s="21"/>
      <c r="Z64" s="21"/>
      <c r="AA64" s="26">
        <f>IF(tblData[[#This Row],[Date]]&lt;ItalyStart,"",tblData[[#This Row],[Date]]-ItalyStart)</f>
        <v>45</v>
      </c>
      <c r="AB64" s="26">
        <f t="shared" si="9"/>
        <v>35</v>
      </c>
      <c r="AC64" s="26">
        <f t="shared" si="4"/>
        <v>53</v>
      </c>
      <c r="AD64" s="26">
        <f>IF(tblData[[#This Row],[Date]]&lt;StartDt2Korea,"",tblData[[#This Row],[Date]]-StartDt2Korea)</f>
        <v>25</v>
      </c>
      <c r="AE64" s="26">
        <f>IF(tblData[[#This Row],[Date]]&lt;UKStart,"",tblData[[#This Row],[Date]]-UKStart)</f>
        <v>45</v>
      </c>
      <c r="AF64" s="26">
        <f>IF(tblData[[#This Row],[Date]]&lt;SingaporeStart,"",tblData[[#This Row],[Date]]-SingaporeStart)</f>
        <v>52</v>
      </c>
      <c r="AG64">
        <f>IF(tblData[Date]&gt;=StartDt2Au,tblData[Date]-StartDt2Au,"")</f>
        <v>50</v>
      </c>
      <c r="AH64" s="26">
        <f>IF(tblData[New South Wales]&gt;0,SUM(tblData[[#This Row],[Australian Capital Territory]:[Western Australia]]),"")</f>
        <v>316</v>
      </c>
      <c r="AI64" s="12">
        <f>IF(ISNUMBER(tblData[Au]),tblData[Au]/$AE$9,"")</f>
        <v>124.58602744046681</v>
      </c>
      <c r="AJ64" s="19">
        <f>IF(ISNUMBER(tblData[[#This Row],[Day'# Aust]]),betaAu/(deltaAu+betaPodeltaAu*EXP(-betaAu*tblData[[#This Row],[Day'# Aust]])),"")</f>
        <v>302.38841396353905</v>
      </c>
      <c r="AK64" s="70">
        <f>IF(ISNUMBER(tblData[Day'# Aust]),tblData[Au LogiP(t)]/$AI$9,"")</f>
        <v>119.2195292396858</v>
      </c>
      <c r="AL64" s="11">
        <f>IF(AND(tblData[Date]&gt;=StartDt2Au,ISNUMBER(tblData[NSW])),(tblData[[#This Row],[Au LogiP(t)]]-tblData[[#This Row],[Au]])^2,"")</f>
        <v>185.27527442797867</v>
      </c>
      <c r="AM64">
        <f>IF(tblData[Date]&gt;StartDt2NSW,tblData[Date]-StartDt2NSW,"")</f>
        <v>50</v>
      </c>
      <c r="AN64">
        <f t="shared" ref="AN64:AN95" si="11">IF(E64&gt;0,E64,"")</f>
        <v>134</v>
      </c>
      <c r="AO64" s="11">
        <f>IF(tblData[Date]&gt;StartDt2NSW,betaNSW/(deltaNSW+betaPodeltaNSW*EXP(-betaNSW*tblData[[#This Row],[Day '# NSW]])),"")</f>
        <v>139.06889155480368</v>
      </c>
      <c r="AP64" s="12">
        <f>IF(AND(ISNUMBER(tblData[NSW]),tblData[Date]&gt;StartDt2NSW),(tblData[[#This Row],[NSW LogiP(t)]]-tblData[[#This Row],[NSW]])^2,"")</f>
        <v>25.693661594360115</v>
      </c>
      <c r="AQ64" s="12">
        <f>IF(AND(tblData[Date]&gt;StartDt2NSW,ISNUMBER(tblData[Day'# Aust])),tblData[NSW LogiP(t)]/$AL$9,"")</f>
        <v>172.1149647955491</v>
      </c>
      <c r="AR64" s="11">
        <f>IF(AND(tblData[Date]&gt;StartDt2Italy,ISNUMBER(tblData[Days'# Italy])),betaItaly/(deltaItaly+betaPodeltaItaly*EXP(-betaItaly*tblData[Days'# Italy])),"")</f>
        <v>28466.396533963703</v>
      </c>
      <c r="AS64" s="11">
        <f>IF(AND(tblData[Date]&gt;StartDt2Italy,ISNUMBER(tblData[Italy])),(tblData[[#This Row],[Italy LogiP(t)]]-tblData[[#This Row],[Italy]])^2,"")</f>
        <v>13833910.57686121</v>
      </c>
      <c r="AT64" s="43">
        <f>IF(AND(tblData[Date]&gt;StartDt2Italy,ISNUMBER(tblData[Days'# Italy])),tblData[[#This Row],[Italy LogiP(t)]]/$AS$9,"")</f>
        <v>4709.0813124836568</v>
      </c>
      <c r="AU64" s="21">
        <f>IF(ISNUMBER(tblData[[#This Row],[Days'# US]]),betaUS/(deltaUS+betaPodeltaUS*EXP(-betaUS*tblData[Days'# US])),"")</f>
        <v>3333.7706364045916</v>
      </c>
      <c r="AV64" s="11">
        <f>IF(ISNUMBER(tblData[US]),(tblData[[#This Row],[US LogiP(t)]]-tblData[US])^2,"")</f>
        <v>27300.742594143656</v>
      </c>
      <c r="AW64" s="21">
        <f>IF(ISNUMBER(tblData[[#This Row],[Days'# US]]),tblData[[#This Row],[US LogiP(t)]]/$AV$9,"")</f>
        <v>101.26031833309068</v>
      </c>
      <c r="AX64" s="21">
        <f>IF(tblData[Date]&gt;=StartDt2Korea,betaSKorea/(deltaSKorea+betaPodeltaSKorea*EXP(-betaSKorea*(tblData[Date]-StartDt2Korea))),"")</f>
        <v>8344.8823408919325</v>
      </c>
      <c r="AY64" s="21">
        <f>IF(AND(tblData[Date]&gt;=StartDt2Korea,ISNUMBER(tblData[SKorea])),(tblData[[#This Row],[SKorea LogiP(t)]]-tblData[[#This Row],[SKorea]])^2,"")</f>
        <v>33445.950610112995</v>
      </c>
      <c r="AZ64" s="21">
        <f>IF(tblData[Date]&gt;=StartDt2Korea,tblData[[#This Row],[SKorea LogiP(t)]]/$AY$9,"")</f>
        <v>1623.5179651540725</v>
      </c>
      <c r="BA64" s="11">
        <f>IF(ISNUMBER(tblData[Days'# UK]),betaUK/(deltaUK+betaPodeltaUK*EXP(-betaUK*tblData[Days'# UK])),"")</f>
        <v>1198.6599984269074</v>
      </c>
      <c r="BB64" s="21">
        <f>IF(ISNUMBER(tblData[UK]),(tblData[[#This Row],[UK LogiP(t)]]-tblData[[#This Row],[UK]])^2,"")</f>
        <v>2879.3954311756993</v>
      </c>
      <c r="BC64" s="21">
        <f>IF(ISNUMBER(tblData[Days'# UK]),tblData[[#This Row],[UK LogiP(t)]]/$BB$9,"")</f>
        <v>180.41240193060014</v>
      </c>
      <c r="BD64" s="11">
        <f>IF(ISNUMBER(tblData[Days'# China]),betaChina/(deltaChina+betaPodeltaChina*EXP(-betaChina*tblData[Days'# China])),"")</f>
        <v>80946.762342334114</v>
      </c>
      <c r="BE64" s="11">
        <f>IF(ISNUMBER(tblData[China]),(tblData[[#This Row],[China LogiP(t)]]-tblData[[#This Row],[China]])^2,"")</f>
        <v>3162.6741397454107</v>
      </c>
      <c r="BF64" s="11">
        <f>tblData[[#This Row],[China LogiP(t)]]/$BE$9</f>
        <v>562.39439445162145</v>
      </c>
      <c r="BG64" s="11">
        <f>IF(ISNUMBER(tblData[Day'# Singapore]),betaSingapore/(deltaSingapore+betaPodeltaSingapore*EXP(-betaSingapore*tblData[Day'# Singapore])),"")</f>
        <v>251.81760539041787</v>
      </c>
      <c r="BH64" s="11">
        <f>IF(AND(ISNUMBER(tblData[Singapore]),tblData[Date]&gt;=StartDt2Singapore),(tblData[[#This Row],[Singapore LogiP(t)]]-tblData[[#This Row],[Singapore]])^2,"")</f>
        <v>666.54874809533374</v>
      </c>
      <c r="BI64" s="11">
        <f>IF(ISNUMBER(tblData[Day'# Singapore]),tblData[Singapore LogiP(t)]/$BH$9,"")</f>
        <v>430.45744511182545</v>
      </c>
      <c r="BJ64" s="11">
        <v>20511</v>
      </c>
      <c r="BK64" s="11">
        <v>1924</v>
      </c>
      <c r="BL64" s="11">
        <f>IF(ISNUMBER(tblData[[#This Row],[NSW Number of Tests]]),tblData[[#This Row],[NSW Number of Tests]]-BJ63,"")</f>
        <v>1795</v>
      </c>
      <c r="BM64" s="11">
        <f>IF(ISNUMBER(tblData[[#This Row],[NSW Under Investigation'']]),tblData[[#This Row],[NSW Under Investigation'']]-BK63,"")</f>
        <v>256</v>
      </c>
      <c r="BN64" s="11">
        <f t="shared" si="8"/>
        <v>10</v>
      </c>
      <c r="BO64" s="11">
        <f>IF(ISNUMBER(tblData[[#This Row],[NSW Test Day Number]]),betaTest/(deltaTest+betaPodeltaTest*EXP(-betaTest*tblData[[#This Row],[NSW Test Day Number]])),"")</f>
        <v>24770.000005985781</v>
      </c>
      <c r="BP64" s="11">
        <f>IF(ISNUMBER(tblData[[#This Row],[NSW Number of Tests]]),(tblData[[#This Row],[NSW Number of Tests]]-tblData[[#This Row],[NSW Test Logi]])^2,"")</f>
        <v>18139081.050986882</v>
      </c>
      <c r="BR64"/>
      <c r="BV64" s="26"/>
      <c r="CE64"/>
      <c r="CF64"/>
      <c r="CG64"/>
      <c r="CH64" s="26"/>
      <c r="CS64" s="26"/>
      <c r="CT64" s="26"/>
      <c r="DM64"/>
      <c r="DN64" t="s">
        <v>1265</v>
      </c>
      <c r="DO64" s="80"/>
      <c r="DP64" s="27">
        <v>43852</v>
      </c>
      <c r="DQ64" s="27"/>
      <c r="DR64">
        <v>5</v>
      </c>
      <c r="DS64">
        <v>0.33457917057724718</v>
      </c>
      <c r="DT64" s="83">
        <v>4.0721909397092568E-5</v>
      </c>
      <c r="DU64">
        <v>161.50151869158597</v>
      </c>
      <c r="DV64" s="108">
        <v>8216.19554512184</v>
      </c>
      <c r="DW64" s="19">
        <v>148.73667220847148</v>
      </c>
      <c r="DX64" s="12">
        <v>2.0309562598725215E-3</v>
      </c>
      <c r="DY64" s="112">
        <v>4.0721909397092568E-2</v>
      </c>
      <c r="EA64" s="27">
        <v>43910</v>
      </c>
      <c r="EB64" t="s">
        <v>1298</v>
      </c>
      <c r="EC64" s="26"/>
      <c r="ED64" s="113">
        <v>8652</v>
      </c>
      <c r="EE64" t="s">
        <v>1299</v>
      </c>
      <c r="EF64" s="27">
        <v>43910</v>
      </c>
      <c r="EG64">
        <v>59</v>
      </c>
      <c r="EH64" t="s">
        <v>1300</v>
      </c>
      <c r="EJ64" t="s">
        <v>1301</v>
      </c>
      <c r="EK64" t="s">
        <v>1274</v>
      </c>
      <c r="EL64" t="s">
        <v>1302</v>
      </c>
      <c r="EM64">
        <v>1683.2684824902724</v>
      </c>
      <c r="EN64" s="94">
        <v>43890</v>
      </c>
      <c r="EO64">
        <v>20</v>
      </c>
      <c r="EP64" s="94">
        <v>43889</v>
      </c>
      <c r="EQ64">
        <v>21</v>
      </c>
    </row>
    <row r="65" spans="2:183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48">
        <f>IF(ISNUMBER(tblData[Italy]),tblData[Italy]/$N$9,"")</f>
        <v>4628.618693134822</v>
      </c>
      <c r="O65">
        <v>4632</v>
      </c>
      <c r="P65" s="48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>
        <v>243</v>
      </c>
      <c r="X65" s="21">
        <f>IF(ISNUMBER(tblData[Singapore]),tblData[Singapore]/$X$9,"")</f>
        <v>415.38461538461542</v>
      </c>
      <c r="Y65" s="21"/>
      <c r="Z65" s="21"/>
      <c r="AA65" s="26">
        <f>IF(tblData[[#This Row],[Date]]&lt;ItalyStart,"",tblData[[#This Row],[Date]]-ItalyStart)</f>
        <v>46</v>
      </c>
      <c r="AB65" s="26">
        <f t="shared" si="9"/>
        <v>36</v>
      </c>
      <c r="AC65" s="26">
        <f t="shared" si="4"/>
        <v>54</v>
      </c>
      <c r="AD65" s="26">
        <f>IF(tblData[[#This Row],[Date]]&lt;StartDt2Korea,"",tblData[[#This Row],[Date]]-StartDt2Korea)</f>
        <v>26</v>
      </c>
      <c r="AE65" s="26">
        <f>IF(tblData[[#This Row],[Date]]&lt;UKStart,"",tblData[[#This Row],[Date]]-UKStart)</f>
        <v>46</v>
      </c>
      <c r="AF65" s="26">
        <f>IF(tblData[[#This Row],[Date]]&lt;SingaporeStart,"",tblData[[#This Row],[Date]]-SingaporeStart)</f>
        <v>53</v>
      </c>
      <c r="AG65">
        <f>IF(tblData[Date]&gt;=StartDt2Au,tblData[Date]-StartDt2Au,"")</f>
        <v>51</v>
      </c>
      <c r="AH65" s="26">
        <f>IF(tblData[New South Wales]&gt;0,SUM(tblData[[#This Row],[Australian Capital Territory]:[Western Australia]]),"")</f>
        <v>377</v>
      </c>
      <c r="AI65" s="12">
        <f>IF(ISNUMBER(tblData[Au]),tblData[Au]/$AE$9,"")</f>
        <v>148.635861851443</v>
      </c>
      <c r="AJ65" s="19">
        <f>IF(ISNUMBER(tblData[[#This Row],[Day'# Aust]]),betaAu/(deltaAu+betaPodeltaAu*EXP(-betaAu*tblData[[#This Row],[Day'# Aust]])),"")</f>
        <v>374.83991553382793</v>
      </c>
      <c r="AK65" s="70">
        <f>IF(ISNUMBER(tblData[Day'# Aust]),tblData[Au LogiP(t)]/$AI$9,"")</f>
        <v>147.78422785594856</v>
      </c>
      <c r="AL65" s="11">
        <f>IF(AND(tblData[Date]&gt;=StartDt2Au,ISNUMBER(tblData[NSW])),(tblData[[#This Row],[Au LogiP(t)]]-tblData[[#This Row],[Au]])^2,"")</f>
        <v>4.6659649009978583</v>
      </c>
      <c r="AM65">
        <f>IF(tblData[Date]&gt;StartDt2NSW,tblData[Date]-StartDt2NSW,"")</f>
        <v>51</v>
      </c>
      <c r="AN65">
        <f t="shared" si="11"/>
        <v>171</v>
      </c>
      <c r="AO65" s="11">
        <f>IF(tblData[Date]&gt;StartDt2NSW,betaNSW/(deltaNSW+betaPodeltaNSW*EXP(-betaNSW*tblData[[#This Row],[Day '# NSW]])),"")</f>
        <v>169.5772164521874</v>
      </c>
      <c r="AP65" s="12">
        <f>IF(AND(ISNUMBER(tblData[NSW]),tblData[Date]&gt;StartDt2NSW),(tblData[[#This Row],[NSW LogiP(t)]]-tblData[[#This Row],[NSW]])^2,"")</f>
        <v>2.0243130239262079</v>
      </c>
      <c r="AQ65" s="12">
        <f>IF(AND(tblData[Date]&gt;StartDt2NSW,ISNUMBER(tblData[Day'# Aust])),tblData[NSW LogiP(t)]/$AL$9,"")</f>
        <v>209.87279263884577</v>
      </c>
      <c r="AR65" s="11">
        <f>IF(AND(tblData[Date]&gt;StartDt2Italy,ISNUMBER(tblData[Days'# Italy])),betaItaly/(deltaItaly+betaPodeltaItaly*EXP(-betaItaly*tblData[Days'# Italy])),"")</f>
        <v>32674.348598389737</v>
      </c>
      <c r="AS65" s="11">
        <f>IF(AND(tblData[Date]&gt;StartDt2Italy,ISNUMBER(tblData[Italy])),(tblData[[#This Row],[Italy LogiP(t)]]-tblData[[#This Row],[Italy]])^2,"")</f>
        <v>22036908.763203688</v>
      </c>
      <c r="AT65" s="43">
        <f>IF(AND(tblData[Date]&gt;StartDt2Italy,ISNUMBER(tblData[Days'# Italy])),tblData[[#This Row],[Italy LogiP(t)]]/$AS$9,"")</f>
        <v>5405.1858723556225</v>
      </c>
      <c r="AU65" s="21">
        <f>IF(ISNUMBER(tblData[[#This Row],[Days'# US]]),betaUS/(deltaUS+betaPodeltaUS*EXP(-betaUS*tblData[Days'# US])),"")</f>
        <v>4632.5748490472015</v>
      </c>
      <c r="AV65" s="11">
        <f>IF(ISNUMBER(tblData[US]),(tblData[[#This Row],[US LogiP(t)]]-tblData[US])^2,"")</f>
        <v>0.33045142706846825</v>
      </c>
      <c r="AW65" s="21">
        <f>IF(ISNUMBER(tblData[[#This Row],[Days'# US]]),tblData[[#This Row],[US LogiP(t)]]/$AV$9,"")</f>
        <v>140.71034125560007</v>
      </c>
      <c r="AX65" s="21">
        <f>IF(tblData[Date]&gt;=StartDt2Korea,betaSKorea/(deltaSKorea+betaPodeltaSKorea*EXP(-betaSKorea*(tblData[Date]-StartDt2Korea))),"")</f>
        <v>8383.7417313223941</v>
      </c>
      <c r="AY65" s="21">
        <f>IF(AND(tblData[Date]&gt;=StartDt2Korea,ISNUMBER(tblData[SKorea])),(tblData[[#This Row],[SKorea LogiP(t)]]-tblData[[#This Row],[SKorea]])^2,"")</f>
        <v>21827.61917413849</v>
      </c>
      <c r="AZ65" s="21">
        <f>IF(tblData[Date]&gt;=StartDt2Korea,tblData[[#This Row],[SKorea LogiP(t)]]/$AY$9,"")</f>
        <v>1631.0781578448239</v>
      </c>
      <c r="BA65" s="11">
        <f>IF(ISNUMBER(tblData[Days'# UK]),betaUK/(deltaUK+betaPodeltaUK*EXP(-betaUK*tblData[Days'# UK])),"")</f>
        <v>1513.2638430437059</v>
      </c>
      <c r="BB65" s="21">
        <f>IF(ISNUMBER(tblData[UK]),(tblData[[#This Row],[UK LogiP(t)]]-tblData[[#This Row],[UK]])^2,"")</f>
        <v>1424.0175418300601</v>
      </c>
      <c r="BC65" s="21">
        <f>IF(ISNUMBER(tblData[Days'# UK]),tblData[[#This Row],[UK LogiP(t)]]/$BB$9,"")</f>
        <v>227.76397396804725</v>
      </c>
      <c r="BD65" s="11">
        <f>IF(ISNUMBER(tblData[Days'# China]),betaChina/(deltaChina+betaPodeltaChina*EXP(-betaChina*tblData[Days'# China])),"")</f>
        <v>80953.179422393456</v>
      </c>
      <c r="BE65" s="11">
        <f>IF(ISNUMBER(tblData[China]),(tblData[[#This Row],[China LogiP(t)]]-tblData[[#This Row],[China]])^2,"")</f>
        <v>6371.324609442353</v>
      </c>
      <c r="BF65" s="11">
        <f>tblData[[#This Row],[China LogiP(t)]]/$BE$9</f>
        <v>562.43897844423202</v>
      </c>
      <c r="BG65" s="11">
        <f>IF(ISNUMBER(tblData[Day'# Singapore]),betaSingapore/(deltaSingapore+betaPodeltaSingapore*EXP(-betaSingapore*tblData[Day'# Singapore])),"")</f>
        <v>263.13064377055719</v>
      </c>
      <c r="BH65" s="11">
        <f>IF(AND(ISNUMBER(tblData[Singapore]),tblData[Date]&gt;=StartDt2Singapore),(tblData[[#This Row],[Singapore LogiP(t)]]-tblData[[#This Row],[Singapore]])^2,"")</f>
        <v>405.24281861707283</v>
      </c>
      <c r="BI65" s="11">
        <f>IF(ISNUMBER(tblData[Day'# Singapore]),tblData[Singapore LogiP(t)]/$BH$9,"")</f>
        <v>449.79597225736273</v>
      </c>
      <c r="BJ65" s="11">
        <v>25511</v>
      </c>
      <c r="BK65" s="11">
        <v>1282</v>
      </c>
      <c r="BL65" s="11">
        <f>IF(ISNUMBER(tblData[[#This Row],[NSW Number of Tests]]),tblData[[#This Row],[NSW Number of Tests]]-BJ64,"")</f>
        <v>5000</v>
      </c>
      <c r="BM65" s="11">
        <f>IF(ISNUMBER(tblData[[#This Row],[NSW Under Investigation'']]),tblData[[#This Row],[NSW Under Investigation'']]-BK64,"")</f>
        <v>-642</v>
      </c>
      <c r="BN65" s="11">
        <f t="shared" si="8"/>
        <v>11</v>
      </c>
      <c r="BO65" s="11">
        <f>IF(ISNUMBER(tblData[[#This Row],[NSW Test Day Number]]),betaTest/(deltaTest+betaPodeltaTest*EXP(-betaTest*tblData[[#This Row],[NSW Test Day Number]])),"")</f>
        <v>28861.410853591464</v>
      </c>
      <c r="BP65" s="11">
        <f>IF(ISNUMBER(tblData[[#This Row],[NSW Number of Tests]]),(tblData[[#This Row],[NSW Number of Tests]]-tblData[[#This Row],[NSW Test Logi]])^2,"")</f>
        <v>11225252.887863481</v>
      </c>
      <c r="BR65"/>
      <c r="BV65" s="26"/>
      <c r="CE65"/>
      <c r="CF65"/>
      <c r="CG65"/>
      <c r="CH65" s="26"/>
      <c r="CS65" s="26"/>
      <c r="CT65" s="26"/>
      <c r="DM65"/>
      <c r="DN65" t="s">
        <v>1265</v>
      </c>
      <c r="DO65" s="80">
        <v>43912.32671296296</v>
      </c>
      <c r="DP65" s="27">
        <v>43852</v>
      </c>
      <c r="DQ65" s="27">
        <v>43880</v>
      </c>
      <c r="DR65">
        <v>5</v>
      </c>
      <c r="DS65">
        <v>0.32050342361704887</v>
      </c>
      <c r="DT65" s="83">
        <v>3.8255187244755717E-5</v>
      </c>
      <c r="DU65">
        <v>182.78805705771839</v>
      </c>
      <c r="DV65" s="108">
        <v>8378.0382923360467</v>
      </c>
      <c r="DW65">
        <v>160.37089883020292</v>
      </c>
      <c r="DX65">
        <v>1.7151603737940299E-3</v>
      </c>
      <c r="DY65" s="112">
        <v>3.8255187244755719E-2</v>
      </c>
      <c r="EA65" s="27">
        <v>43911</v>
      </c>
      <c r="EB65" t="s">
        <v>1406</v>
      </c>
      <c r="EC65" s="26"/>
      <c r="ED65" s="113">
        <v>8799</v>
      </c>
      <c r="EE65" t="s">
        <v>1407</v>
      </c>
      <c r="EF65" s="27">
        <v>43911</v>
      </c>
      <c r="EG65">
        <v>60</v>
      </c>
      <c r="EH65" t="s">
        <v>1408</v>
      </c>
      <c r="EJ65" t="s">
        <v>1409</v>
      </c>
      <c r="EK65" t="s">
        <v>1274</v>
      </c>
      <c r="EL65" t="s">
        <v>1410</v>
      </c>
      <c r="EM65">
        <v>1711.8677042801557</v>
      </c>
      <c r="EN65" s="94">
        <v>43890</v>
      </c>
      <c r="EO65">
        <v>21</v>
      </c>
      <c r="EP65" s="94">
        <v>43889</v>
      </c>
      <c r="EQ65">
        <v>23</v>
      </c>
    </row>
    <row r="66" spans="2:183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48">
        <f>IF(ISNUMBER(tblData[Italy]),tblData[Italy]/$N$9,"")</f>
        <v>5211.9106699751865</v>
      </c>
      <c r="O66">
        <v>6421</v>
      </c>
      <c r="P66" s="48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>
        <v>266</v>
      </c>
      <c r="X66" s="21">
        <f>IF(ISNUMBER(tblData[Singapore]),tblData[Singapore]/$X$9,"")</f>
        <v>454.70085470085473</v>
      </c>
      <c r="Y66" s="21"/>
      <c r="Z66" s="21"/>
      <c r="AA66" s="26">
        <f>IF(tblData[[#This Row],[Date]]&lt;ItalyStart,"",tblData[[#This Row],[Date]]-ItalyStart)</f>
        <v>47</v>
      </c>
      <c r="AB66" s="26">
        <f t="shared" si="9"/>
        <v>37</v>
      </c>
      <c r="AC66" s="26">
        <f t="shared" si="4"/>
        <v>55</v>
      </c>
      <c r="AD66" s="26">
        <f>IF(tblData[[#This Row],[Date]]&lt;StartDt2Korea,"",tblData[[#This Row],[Date]]-StartDt2Korea)</f>
        <v>27</v>
      </c>
      <c r="AE66" s="26">
        <f>IF(tblData[[#This Row],[Date]]&lt;UKStart,"",tblData[[#This Row],[Date]]-UKStart)</f>
        <v>47</v>
      </c>
      <c r="AF66" s="26">
        <f>IF(tblData[[#This Row],[Date]]&lt;SingaporeStart,"",tblData[[#This Row],[Date]]-SingaporeStart)</f>
        <v>54</v>
      </c>
      <c r="AG66">
        <f>IF(tblData[Date]&gt;=StartDt2Au,tblData[Date]-StartDt2Au,"")</f>
        <v>52</v>
      </c>
      <c r="AH66" s="26">
        <f>IF(tblData[New South Wales]&gt;0,SUM(tblData[[#This Row],[Australian Capital Territory]:[Western Australia]]),"")</f>
        <v>456</v>
      </c>
      <c r="AI66" s="12">
        <f>IF(ISNUMBER(tblData[Au]),tblData[Au]/$AE$9,"")</f>
        <v>179.78236871155968</v>
      </c>
      <c r="AJ66" s="19">
        <f>IF(ISNUMBER(tblData[[#This Row],[Day'# Aust]]),betaAu/(deltaAu+betaPodeltaAu*EXP(-betaAu*tblData[[#This Row],[Day'# Aust]])),"")</f>
        <v>464.65061417000385</v>
      </c>
      <c r="AK66" s="70">
        <f>IF(ISNUMBER(tblData[Day'# Aust]),tblData[Au LogiP(t)]/$AI$9,"")</f>
        <v>183.19295622536029</v>
      </c>
      <c r="AL66" s="11">
        <f>IF(AND(tblData[Date]&gt;=StartDt2Au,ISNUMBER(tblData[NSW])),(tblData[[#This Row],[Au LogiP(t)]]-tblData[[#This Row],[Au]])^2,"")</f>
        <v>74.833125518271373</v>
      </c>
      <c r="AM66">
        <f>IF(tblData[Date]&gt;StartDt2NSW,tblData[Date]-StartDt2NSW,"")</f>
        <v>52</v>
      </c>
      <c r="AN66">
        <f t="shared" si="11"/>
        <v>210</v>
      </c>
      <c r="AO66" s="11">
        <f>IF(tblData[Date]&gt;StartDt2NSW,betaNSW/(deltaNSW+betaPodeltaNSW*EXP(-betaNSW*tblData[[#This Row],[Day '# NSW]])),"")</f>
        <v>206.77832416151418</v>
      </c>
      <c r="AP66" s="12">
        <f>IF(AND(ISNUMBER(tblData[NSW]),tblData[Date]&gt;StartDt2NSW),(tblData[[#This Row],[NSW LogiP(t)]]-tblData[[#This Row],[NSW]])^2,"")</f>
        <v>10.379195208283328</v>
      </c>
      <c r="AQ66" s="12">
        <f>IF(AND(tblData[Date]&gt;StartDt2NSW,ISNUMBER(tblData[Day'# Aust])),tblData[NSW LogiP(t)]/$AL$9,"")</f>
        <v>255.91376752662643</v>
      </c>
      <c r="AR66" s="11">
        <f>IF(AND(tblData[Date]&gt;StartDt2Italy,ISNUMBER(tblData[Days'# Italy])),betaItaly/(deltaItaly+betaPodeltaItaly*EXP(-betaItaly*tblData[Days'# Italy])),"")</f>
        <v>36883.544601527472</v>
      </c>
      <c r="AS66" s="11">
        <f>IF(AND(tblData[Date]&gt;StartDt2Italy,ISNUMBER(tblData[Italy])),(tblData[[#This Row],[Italy LogiP(t)]]-tblData[[#This Row],[Italy]])^2,"")</f>
        <v>28917985.941417258</v>
      </c>
      <c r="AT66" s="43">
        <f>IF(AND(tblData[Date]&gt;StartDt2Italy,ISNUMBER(tblData[Days'# Italy])),tblData[[#This Row],[Italy LogiP(t)]]/$AS$9,"")</f>
        <v>6101.4962119979273</v>
      </c>
      <c r="AU66" s="21">
        <f>IF(ISNUMBER(tblData[[#This Row],[Days'# US]]),betaUS/(deltaUS+betaPodeltaUS*EXP(-betaUS*tblData[Days'# US])),"")</f>
        <v>6416.9036966733829</v>
      </c>
      <c r="AV66" s="11">
        <f>IF(ISNUMBER(tblData[US]),(tblData[[#This Row],[US LogiP(t)]]-tblData[US])^2,"")</f>
        <v>16.779700943654234</v>
      </c>
      <c r="AW66" s="21">
        <f>IF(ISNUMBER(tblData[[#This Row],[Days'# US]]),tblData[[#This Row],[US LogiP(t)]]/$AV$9,"")</f>
        <v>194.90774318496787</v>
      </c>
      <c r="AX66" s="21">
        <f>IF(tblData[Date]&gt;=StartDt2Korea,betaSKorea/(deltaSKorea+betaPodeltaSKorea*EXP(-betaSKorea*(tblData[Date]-StartDt2Korea))),"")</f>
        <v>8412.4626838133172</v>
      </c>
      <c r="AY66" s="21">
        <f>IF(AND(tblData[Date]&gt;=StartDt2Korea,ISNUMBER(tblData[SKorea])),(tblData[[#This Row],[SKorea LogiP(t)]]-tblData[[#This Row],[SKorea]])^2,"")</f>
        <v>8549.3478979614702</v>
      </c>
      <c r="AZ66" s="21">
        <f>IF(tblData[Date]&gt;=StartDt2Korea,tblData[[#This Row],[SKorea LogiP(t)]]/$AY$9,"")</f>
        <v>1636.6658917924742</v>
      </c>
      <c r="BA66" s="11">
        <f>IF(ISNUMBER(tblData[Days'# UK]),betaUK/(deltaUK+betaPodeltaUK*EXP(-betaUK*tblData[Days'# UK])),"")</f>
        <v>1909.0008533994708</v>
      </c>
      <c r="BB66" s="21">
        <f>IF(ISNUMBER(tblData[UK]),(tblData[[#This Row],[UK LogiP(t)]]-tblData[[#This Row],[UK]])^2,"")</f>
        <v>2600.912953982272</v>
      </c>
      <c r="BC66" s="21">
        <f>IF(ISNUMBER(tblData[Days'# UK]),tblData[[#This Row],[UK LogiP(t)]]/$BB$9,"")</f>
        <v>287.32703994573609</v>
      </c>
      <c r="BD66" s="11">
        <f>IF(ISNUMBER(tblData[Days'# China]),betaChina/(deltaChina+betaPodeltaChina*EXP(-betaChina*tblData[Days'# China])),"")</f>
        <v>80958.318959173732</v>
      </c>
      <c r="BE66" s="11">
        <f>IF(ISNUMBER(tblData[China]),(tblData[[#This Row],[China LogiP(t)]]-tblData[[#This Row],[China]])^2,"")</f>
        <v>9936.3099002081362</v>
      </c>
      <c r="BF66" s="11">
        <f>tblData[[#This Row],[China LogiP(t)]]/$BE$9</f>
        <v>562.4746864403478</v>
      </c>
      <c r="BG66" s="11">
        <f>IF(ISNUMBER(tblData[Day'# Singapore]),betaSingapore/(deltaSingapore+betaPodeltaSingapore*EXP(-betaSingapore*tblData[Day'# Singapore])),"")</f>
        <v>274.95192634748861</v>
      </c>
      <c r="BH66" s="11">
        <f>IF(AND(ISNUMBER(tblData[Singapore]),tblData[Date]&gt;=StartDt2Singapore),(tblData[[#This Row],[Singapore LogiP(t)]]-tblData[[#This Row],[Singapore]])^2,"")</f>
        <v>80.136985330860739</v>
      </c>
      <c r="BI66" s="11">
        <f>IF(ISNUMBER(tblData[Day'# Singapore]),tblData[Singapore LogiP(t)]/$BH$9,"")</f>
        <v>470.00329290168997</v>
      </c>
      <c r="BJ66" s="11">
        <v>28552</v>
      </c>
      <c r="BK66" s="11">
        <v>1482</v>
      </c>
      <c r="BL66" s="11">
        <f>IF(ISNUMBER(tblData[[#This Row],[NSW Number of Tests]]),tblData[[#This Row],[NSW Number of Tests]]-BJ65,"")</f>
        <v>3041</v>
      </c>
      <c r="BM66" s="11">
        <f>IF(ISNUMBER(tblData[[#This Row],[NSW Under Investigation'']]),tblData[[#This Row],[NSW Under Investigation'']]-BK65,"")</f>
        <v>200</v>
      </c>
      <c r="BN66" s="11">
        <f t="shared" si="8"/>
        <v>12</v>
      </c>
      <c r="BO66" s="11">
        <f>IF(ISNUMBER(tblData[[#This Row],[NSW Test Day Number]]),betaTest/(deltaTest+betaPodeltaTest*EXP(-betaTest*tblData[[#This Row],[NSW Test Day Number]])),"")</f>
        <v>33543.630978759677</v>
      </c>
      <c r="BP66" s="11">
        <f>IF(ISNUMBER(tblData[[#This Row],[NSW Number of Tests]]),(tblData[[#This Row],[NSW Number of Tests]]-tblData[[#This Row],[NSW Test Logi]])^2,"")</f>
        <v>24916379.828113288</v>
      </c>
      <c r="BR66"/>
      <c r="BV66" s="26"/>
      <c r="CE66"/>
      <c r="CF66"/>
      <c r="CG66"/>
      <c r="CH66" s="26"/>
      <c r="CS66" s="26"/>
      <c r="CT66" s="26"/>
      <c r="DM66"/>
      <c r="DN66" t="s">
        <v>1265</v>
      </c>
      <c r="DO66" s="80">
        <v>43912.588761574072</v>
      </c>
      <c r="DP66" s="27">
        <v>43852</v>
      </c>
      <c r="DQ66" s="27">
        <v>43880</v>
      </c>
      <c r="DR66">
        <v>5</v>
      </c>
      <c r="DS66">
        <v>0.32050342361704887</v>
      </c>
      <c r="DT66" s="83">
        <v>3.8255187244755717E-5</v>
      </c>
      <c r="DU66">
        <v>182.78805705771839</v>
      </c>
      <c r="DV66" s="108">
        <v>8378.0382923360467</v>
      </c>
      <c r="DW66">
        <v>160.37089883020292</v>
      </c>
      <c r="DX66">
        <v>1.7151603737940299E-3</v>
      </c>
      <c r="DY66" s="112">
        <v>3.8255187244755719E-2</v>
      </c>
      <c r="EA66" s="27">
        <v>43911</v>
      </c>
      <c r="EB66" t="s">
        <v>1406</v>
      </c>
      <c r="EC66" s="26"/>
      <c r="ED66" s="113">
        <v>8799</v>
      </c>
      <c r="EE66" t="s">
        <v>1407</v>
      </c>
      <c r="EF66" s="27">
        <v>43911</v>
      </c>
      <c r="EG66">
        <v>60</v>
      </c>
      <c r="EH66" t="s">
        <v>1408</v>
      </c>
      <c r="EJ66" t="s">
        <v>1409</v>
      </c>
      <c r="EK66" t="s">
        <v>1274</v>
      </c>
      <c r="EL66" t="s">
        <v>1410</v>
      </c>
      <c r="EM66">
        <v>1711.8677042801557</v>
      </c>
      <c r="EN66" s="94">
        <v>43891</v>
      </c>
      <c r="EO66">
        <v>21</v>
      </c>
      <c r="EP66" s="94">
        <v>43890</v>
      </c>
      <c r="EQ66">
        <v>22</v>
      </c>
    </row>
    <row r="67" spans="2:183" x14ac:dyDescent="0.25">
      <c r="B67" s="1">
        <f t="shared" ref="B67:B80" si="12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48">
        <f>IF(ISNUMBER(tblData[Italy]),tblData[Italy]/$N$9,"")</f>
        <v>5907.8577336641856</v>
      </c>
      <c r="O67">
        <v>7783</v>
      </c>
      <c r="P67" s="48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>
        <v>313</v>
      </c>
      <c r="X67" s="21">
        <f>IF(ISNUMBER(tblData[Singapore]),tblData[Singapore]/$X$9,"")</f>
        <v>535.0427350427351</v>
      </c>
      <c r="Y67" s="21"/>
      <c r="Z67" s="21"/>
      <c r="AA67" s="26">
        <f>IF(tblData[[#This Row],[Date]]&lt;ItalyStart,"",tblData[[#This Row],[Date]]-ItalyStart)</f>
        <v>48</v>
      </c>
      <c r="AB67" s="26">
        <f t="shared" si="9"/>
        <v>38</v>
      </c>
      <c r="AC67" s="26">
        <f t="shared" si="4"/>
        <v>56</v>
      </c>
      <c r="AD67" s="26">
        <f>IF(tblData[[#This Row],[Date]]&lt;StartDt2Korea,"",tblData[[#This Row],[Date]]-StartDt2Korea)</f>
        <v>28</v>
      </c>
      <c r="AE67" s="26">
        <f>IF(tblData[[#This Row],[Date]]&lt;UKStart,"",tblData[[#This Row],[Date]]-UKStart)</f>
        <v>48</v>
      </c>
      <c r="AF67" s="26">
        <f>IF(tblData[[#This Row],[Date]]&lt;SingaporeStart,"",tblData[[#This Row],[Date]]-SingaporeStart)</f>
        <v>55</v>
      </c>
      <c r="AG67">
        <f>IF(tblData[Date]&gt;=StartDt2Au,tblData[Date]-StartDt2Au,"")</f>
        <v>53</v>
      </c>
      <c r="AH67" s="26">
        <f>IF(tblData[New South Wales]&gt;0,SUM(tblData[[#This Row],[Australian Capital Territory]:[Western Australia]]),"")</f>
        <v>568</v>
      </c>
      <c r="AI67" s="12">
        <f>IF(ISNUMBER(tblData[Au]),tblData[Au]/$AE$9,"")</f>
        <v>223.93944172843399</v>
      </c>
      <c r="AJ67" s="19">
        <f>IF(ISNUMBER(tblData[[#This Row],[Day'# Aust]]),betaAu/(deltaAu+betaPodeltaAu*EXP(-betaAu*tblData[[#This Row],[Day'# Aust]])),"")</f>
        <v>575.97972969196132</v>
      </c>
      <c r="AK67" s="70">
        <f>IF(ISNUMBER(tblData[Day'# Aust]),tblData[Au LogiP(t)]/$AI$9,"")</f>
        <v>227.08552660935237</v>
      </c>
      <c r="AL67" s="11">
        <f>IF(AND(tblData[Date]&gt;=StartDt2Au,ISNUMBER(tblData[NSW])),(tblData[[#This Row],[Au LogiP(t)]]-tblData[[#This Row],[Au]])^2,"")</f>
        <v>63.676085956769178</v>
      </c>
      <c r="AM67">
        <f>IF(tblData[Date]&gt;StartDt2NSW,tblData[Date]-StartDt2NSW,"")</f>
        <v>53</v>
      </c>
      <c r="AN67">
        <f t="shared" si="11"/>
        <v>267</v>
      </c>
      <c r="AO67" s="11">
        <f>IF(tblData[Date]&gt;StartDt2NSW,betaNSW/(deltaNSW+betaPodeltaNSW*EXP(-betaNSW*tblData[[#This Row],[Day '# NSW]])),"")</f>
        <v>252.14044808513768</v>
      </c>
      <c r="AP67" s="12">
        <f>IF(AND(ISNUMBER(tblData[NSW]),tblData[Date]&gt;StartDt2NSW),(tblData[[#This Row],[NSW LogiP(t)]]-tblData[[#This Row],[NSW]])^2,"")</f>
        <v>220.80628311048852</v>
      </c>
      <c r="AQ67" s="12">
        <f>IF(AND(tblData[Date]&gt;StartDt2NSW,ISNUMBER(tblData[Day'# Aust])),tblData[NSW LogiP(t)]/$AL$9,"")</f>
        <v>312.05501000635849</v>
      </c>
      <c r="AR67" s="11">
        <f>IF(AND(tblData[Date]&gt;StartDt2Italy,ISNUMBER(tblData[Days'# Italy])),betaItaly/(deltaItaly+betaPodeltaItaly*EXP(-betaItaly*tblData[Days'# Italy])),"")</f>
        <v>40956.849948073417</v>
      </c>
      <c r="AS67" s="11">
        <f>IF(AND(tblData[Date]&gt;StartDt2Italy,ISNUMBER(tblData[Italy])),(tblData[[#This Row],[Italy LogiP(t)]]-tblData[[#This Row],[Italy]])^2,"")</f>
        <v>27497962.277909581</v>
      </c>
      <c r="AT67" s="43">
        <f>IF(AND(tblData[Date]&gt;StartDt2Italy,ISNUMBER(tblData[Days'# Italy])),tblData[[#This Row],[Italy LogiP(t)]]/$AS$9,"")</f>
        <v>6775.3267077044529</v>
      </c>
      <c r="AU67" s="21">
        <f>IF(ISNUMBER(tblData[[#This Row],[Days'# US]]),betaUS/(deltaUS+betaPodeltaUS*EXP(-betaUS*tblData[Days'# US])),"")</f>
        <v>8849.8286876245475</v>
      </c>
      <c r="AV67" s="11">
        <f>IF(ISNUMBER(tblData[US]),(tblData[[#This Row],[US LogiP(t)]]-tblData[US])^2,"")</f>
        <v>1138123.4487387142</v>
      </c>
      <c r="AW67" s="21">
        <f>IF(ISNUMBER(tblData[[#This Row],[Days'# US]]),tblData[[#This Row],[US LogiP(t)]]/$AV$9,"")</f>
        <v>268.80567616632618</v>
      </c>
      <c r="AX67" s="21">
        <f>IF(tblData[Date]&gt;=StartDt2Korea,betaSKorea/(deltaSKorea+betaPodeltaSKorea*EXP(-betaSKorea*(tblData[Date]-StartDt2Korea))),"")</f>
        <v>8433.6451339333071</v>
      </c>
      <c r="AY67" s="21">
        <f>IF(AND(tblData[Date]&gt;=StartDt2Korea,ISNUMBER(tblData[SKorea])),(tblData[[#This Row],[SKorea LogiP(t)]]-tblData[[#This Row],[SKorea]])^2,"")</f>
        <v>426.22155512418743</v>
      </c>
      <c r="AZ67" s="21">
        <f>IF(tblData[Date]&gt;=StartDt2Korea,tblData[[#This Row],[SKorea LogiP(t)]]/$AY$9,"")</f>
        <v>1640.7869910376085</v>
      </c>
      <c r="BA67" s="11">
        <f>IF(ISNUMBER(tblData[Days'# UK]),betaUK/(deltaUK+betaPodeltaUK*EXP(-betaUK*tblData[Days'# UK])),"")</f>
        <v>2405.9488380714547</v>
      </c>
      <c r="BB67" s="21">
        <f>IF(ISNUMBER(tblData[UK]),(tblData[[#This Row],[UK LogiP(t)]]-tblData[[#This Row],[UK]])^2,"")</f>
        <v>55720.151047816311</v>
      </c>
      <c r="BC67" s="21">
        <f>IF(ISNUMBER(tblData[Days'# UK]),tblData[[#This Row],[UK LogiP(t)]]/$BB$9,"")</f>
        <v>362.12354576632367</v>
      </c>
      <c r="BD67" s="11">
        <f>IF(ISNUMBER(tblData[Days'# China]),betaChina/(deltaChina+betaPodeltaChina*EXP(-betaChina*tblData[Days'# China])),"")</f>
        <v>80962.435175133811</v>
      </c>
      <c r="BE67" s="11">
        <f>IF(ISNUMBER(tblData[China]),(tblData[[#This Row],[China LogiP(t)]]-tblData[[#This Row],[China]])^2,"")</f>
        <v>19478.340339930051</v>
      </c>
      <c r="BF67" s="11">
        <f>tblData[[#This Row],[China LogiP(t)]]/$BE$9</f>
        <v>562.5032847031481</v>
      </c>
      <c r="BG67" s="11">
        <f>IF(ISNUMBER(tblData[Day'# Singapore]),betaSingapore/(deltaSingapore+betaPodeltaSingapore*EXP(-betaSingapore*tblData[Day'# Singapore])),"")</f>
        <v>287.30428625865818</v>
      </c>
      <c r="BH67" s="11">
        <f>IF(AND(ISNUMBER(tblData[Singapore]),tblData[Date]&gt;=StartDt2Singapore),(tblData[[#This Row],[Singapore LogiP(t)]]-tblData[[#This Row],[Singapore]])^2,"")</f>
        <v>660.26970467698277</v>
      </c>
      <c r="BI67" s="11">
        <f>IF(ISNUMBER(tblData[Day'# Singapore]),tblData[Singapore LogiP(t)]/$BH$9,"")</f>
        <v>491.11843804898837</v>
      </c>
      <c r="BJ67" s="11">
        <v>33387</v>
      </c>
      <c r="BK67" s="11">
        <v>2146</v>
      </c>
      <c r="BL67" s="11">
        <f>IF(ISNUMBER(tblData[[#This Row],[NSW Number of Tests]]),tblData[[#This Row],[NSW Number of Tests]]-BJ66,"")</f>
        <v>4835</v>
      </c>
      <c r="BM67" s="11">
        <f>IF(ISNUMBER(tblData[[#This Row],[NSW Under Investigation'']]),tblData[[#This Row],[NSW Under Investigation'']]-BK66,"")</f>
        <v>664</v>
      </c>
      <c r="BN67" s="11">
        <f t="shared" si="8"/>
        <v>13</v>
      </c>
      <c r="BO67" s="11">
        <f>IF(ISNUMBER(tblData[[#This Row],[NSW Test Day Number]]),betaTest/(deltaTest+betaPodeltaTest*EXP(-betaTest*tblData[[#This Row],[NSW Test Day Number]])),"")</f>
        <v>38873.017142243072</v>
      </c>
      <c r="BP67" s="11">
        <f>IF(ISNUMBER(tblData[[#This Row],[NSW Number of Tests]]),(tblData[[#This Row],[NSW Number of Tests]]-tblData[[#This Row],[NSW Test Logi]])^2,"")</f>
        <v>30096384.084984843</v>
      </c>
      <c r="BR67"/>
      <c r="BV67" s="26"/>
      <c r="CE67"/>
      <c r="CF67"/>
      <c r="CG67"/>
      <c r="CH67" s="26"/>
      <c r="CS67" s="26"/>
      <c r="CT67" s="26"/>
      <c r="DM67"/>
      <c r="DN67" t="s">
        <v>1265</v>
      </c>
      <c r="DO67" s="80">
        <v>43912.787604166668</v>
      </c>
      <c r="DP67" s="27">
        <v>43852</v>
      </c>
      <c r="DQ67" s="27">
        <v>43880</v>
      </c>
      <c r="DR67">
        <v>5</v>
      </c>
      <c r="DS67" s="26">
        <v>0.31530859841320269</v>
      </c>
      <c r="DT67" s="83">
        <v>3.7372701209800403E-5</v>
      </c>
      <c r="DU67" s="26">
        <v>191.45875124820066</v>
      </c>
      <c r="DV67" s="108">
        <v>8436.8693780827907</v>
      </c>
      <c r="DW67" s="26">
        <v>180.57430626108624</v>
      </c>
      <c r="DX67" s="26">
        <v>1.6095021287865954E-3</v>
      </c>
      <c r="DY67" s="112">
        <v>3.7372701209800401E-2</v>
      </c>
      <c r="DZ67" s="26"/>
      <c r="EA67" s="27">
        <v>43912</v>
      </c>
      <c r="EB67" s="26" t="s">
        <v>1491</v>
      </c>
      <c r="EC67" s="26">
        <v>8436.8693780827907</v>
      </c>
      <c r="ED67" s="113">
        <v>8897</v>
      </c>
      <c r="EE67" t="s">
        <v>1492</v>
      </c>
      <c r="EF67" s="27">
        <v>43912</v>
      </c>
      <c r="EG67" s="26">
        <v>61</v>
      </c>
      <c r="EH67" s="26" t="s">
        <v>1493</v>
      </c>
      <c r="EJ67" t="s">
        <v>1494</v>
      </c>
      <c r="EK67" t="s">
        <v>1490</v>
      </c>
      <c r="EL67" s="26" t="s">
        <v>1495</v>
      </c>
      <c r="EM67">
        <v>1730.933852140078</v>
      </c>
      <c r="EN67" s="94">
        <v>43891</v>
      </c>
      <c r="EO67" s="26">
        <v>21</v>
      </c>
      <c r="EP67" s="94">
        <v>43890</v>
      </c>
      <c r="EQ67">
        <v>22</v>
      </c>
    </row>
    <row r="68" spans="2:183" x14ac:dyDescent="0.25">
      <c r="B68" s="1">
        <f t="shared" si="12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48">
        <f>IF(ISNUMBER(tblData[Italy]),tblData[Italy]/$N$9,"")</f>
        <v>6788.2547559966915</v>
      </c>
      <c r="O68">
        <v>13677</v>
      </c>
      <c r="P68" s="48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>
        <v>345</v>
      </c>
      <c r="X68" s="21">
        <f>IF(ISNUMBER(tblData[Singapore]),tblData[Singapore]/$X$9,"")</f>
        <v>589.74358974358972</v>
      </c>
      <c r="Y68" s="21"/>
      <c r="Z68" s="21"/>
      <c r="AA68" s="26">
        <f>IF(tblData[[#This Row],[Date]]&lt;ItalyStart,"",tblData[[#This Row],[Date]]-ItalyStart)</f>
        <v>49</v>
      </c>
      <c r="AB68" s="26">
        <f t="shared" si="9"/>
        <v>39</v>
      </c>
      <c r="AC68" s="26">
        <f t="shared" si="4"/>
        <v>57</v>
      </c>
      <c r="AD68" s="26">
        <f>IF(tblData[[#This Row],[Date]]&lt;StartDt2Korea,"",tblData[[#This Row],[Date]]-StartDt2Korea)</f>
        <v>29</v>
      </c>
      <c r="AE68" s="26">
        <f>IF(tblData[[#This Row],[Date]]&lt;UKStart,"",tblData[[#This Row],[Date]]-UKStart)</f>
        <v>49</v>
      </c>
      <c r="AF68" s="26">
        <f>IF(tblData[[#This Row],[Date]]&lt;SingaporeStart,"",tblData[[#This Row],[Date]]-SingaporeStart)</f>
        <v>56</v>
      </c>
      <c r="AG68">
        <f>IF(tblData[Date]&gt;=StartDt2Au,tblData[Date]-StartDt2Au,"")</f>
        <v>54</v>
      </c>
      <c r="AH68" s="26">
        <f>IF(tblData[New South Wales]&gt;0,SUM(tblData[[#This Row],[Australian Capital Territory]:[Western Australia]]),"")</f>
        <v>710</v>
      </c>
      <c r="AI68" s="12">
        <f>IF(ISNUMBER(tblData[Au]),tblData[Au]/$AE$9,"")</f>
        <v>279.92430216054248</v>
      </c>
      <c r="AJ68" s="19">
        <f>IF(ISNUMBER(tblData[[#This Row],[Day'# Aust]]),betaAu/(deltaAu+betaPodeltaAu*EXP(-betaAu*tblData[[#This Row],[Day'# Aust]])),"")</f>
        <v>713.9830204839551</v>
      </c>
      <c r="AK68" s="70">
        <f>IF(ISNUMBER(tblData[Day'# Aust]),tblData[Au LogiP(t)]/$AI$9,"")</f>
        <v>281.49464614570064</v>
      </c>
      <c r="AL68" s="11">
        <f>IF(AND(tblData[Date]&gt;=StartDt2Au,ISNUMBER(tblData[NSW])),(tblData[[#This Row],[Au LogiP(t)]]-tblData[[#This Row],[Au]])^2,"")</f>
        <v>15.864452175605932</v>
      </c>
      <c r="AM68">
        <f>IF(tblData[Date]&gt;StartDt2NSW,tblData[Date]-StartDt2NSW,"")</f>
        <v>54</v>
      </c>
      <c r="AN68">
        <f t="shared" si="11"/>
        <v>307</v>
      </c>
      <c r="AO68" s="11">
        <f>IF(tblData[Date]&gt;StartDt2NSW,betaNSW/(deltaNSW+betaPodeltaNSW*EXP(-betaNSW*tblData[[#This Row],[Day '# NSW]])),"")</f>
        <v>307.45391624184981</v>
      </c>
      <c r="AP68" s="12">
        <f>IF(AND(ISNUMBER(tblData[NSW]),tblData[Date]&gt;StartDt2NSW),(tblData[[#This Row],[NSW LogiP(t)]]-tblData[[#This Row],[NSW]])^2,"")</f>
        <v>0.20603995461505595</v>
      </c>
      <c r="AQ68" s="12">
        <f>IF(AND(tblData[Date]&gt;StartDt2NSW,ISNUMBER(tblData[Day'# Aust])),tblData[NSW LogiP(t)]/$AL$9,"")</f>
        <v>380.51227257654676</v>
      </c>
      <c r="AR68" s="11">
        <f>IF(AND(tblData[Date]&gt;StartDt2Italy,ISNUMBER(tblData[Days'# Italy])),betaItaly/(deltaItaly+betaPodeltaItaly*EXP(-betaItaly*tblData[Days'# Italy])),"")</f>
        <v>44774.280460233065</v>
      </c>
      <c r="AS68" s="11">
        <f>IF(AND(tblData[Date]&gt;StartDt2Italy,ISNUMBER(tblData[Italy])),(tblData[[#This Row],[Italy LogiP(t)]]-tblData[[#This Row],[Italy]])^2,"")</f>
        <v>13982218.360280804</v>
      </c>
      <c r="AT68" s="43">
        <f>IF(AND(tblData[Date]&gt;StartDt2Italy,ISNUMBER(tblData[Days'# Italy])),tblData[[#This Row],[Italy LogiP(t)]]/$AS$9,"")</f>
        <v>7406.8288602536086</v>
      </c>
      <c r="AU68" s="21">
        <f>IF(ISNUMBER(tblData[[#This Row],[Days'# US]]),betaUS/(deltaUS+betaPodeltaUS*EXP(-betaUS*tblData[Days'# US])),"")</f>
        <v>12133.199573087937</v>
      </c>
      <c r="AV68" s="11">
        <f>IF(ISNUMBER(tblData[US]),(tblData[[#This Row],[US LogiP(t)]]-tblData[US])^2,"")</f>
        <v>2383319.7581338678</v>
      </c>
      <c r="AW68" s="21">
        <f>IF(ISNUMBER(tblData[[#This Row],[Days'# US]]),tblData[[#This Row],[US LogiP(t)]]/$AV$9,"")</f>
        <v>368.53514688546142</v>
      </c>
      <c r="AX68" s="21">
        <f>IF(tblData[Date]&gt;=StartDt2Korea,betaSKorea/(deltaSKorea+betaPodeltaSKorea*EXP(-betaSKorea*(tblData[Date]-StartDt2Korea))),"")</f>
        <v>8449.2432006754734</v>
      </c>
      <c r="AY68" s="21">
        <f>IF(AND(tblData[Date]&gt;=StartDt2Korea,ISNUMBER(tblData[SKorea])),(tblData[[#This Row],[SKorea LogiP(t)]]-tblData[[#This Row],[SKorea]])^2,"")</f>
        <v>13399.636589858717</v>
      </c>
      <c r="AZ68" s="21">
        <f>IF(tblData[Date]&gt;=StartDt2Korea,tblData[[#This Row],[SKorea LogiP(t)]]/$AY$9,"")</f>
        <v>1643.8216343726604</v>
      </c>
      <c r="BA68" s="11">
        <f>IF(ISNUMBER(tblData[Days'# UK]),betaUK/(deltaUK+betaPodeltaUK*EXP(-betaUK*tblData[Days'# UK])),"")</f>
        <v>3028.6621934651907</v>
      </c>
      <c r="BB68" s="21">
        <f>IF(ISNUMBER(tblData[UK]),(tblData[[#This Row],[UK LogiP(t)]]-tblData[[#This Row],[UK]])^2,"")</f>
        <v>97757.647222464366</v>
      </c>
      <c r="BC68" s="21">
        <f>IF(ISNUMBER(tblData[Days'# UK]),tblData[[#This Row],[UK LogiP(t)]]/$BB$9,"")</f>
        <v>455.84921635538694</v>
      </c>
      <c r="BD68" s="11">
        <f>IF(ISNUMBER(tblData[Days'# China]),betaChina/(deltaChina+betaPodeltaChina*EXP(-betaChina*tblData[Days'# China])),"")</f>
        <v>80965.731746162128</v>
      </c>
      <c r="BE68" s="11">
        <f>IF(ISNUMBER(tblData[China]),(tblData[[#This Row],[China LogiP(t)]]-tblData[[#This Row],[China]])^2,"")</f>
        <v>36202.00841851296</v>
      </c>
      <c r="BF68" s="11">
        <f>tblData[[#This Row],[China LogiP(t)]]/$BE$9</f>
        <v>562.52618831304665</v>
      </c>
      <c r="BG68" s="11">
        <f>IF(ISNUMBER(tblData[Day'# Singapore]),betaSingapore/(deltaSingapore+betaPodeltaSingapore*EXP(-betaSingapore*tblData[Day'# Singapore])),"")</f>
        <v>300.21158243217599</v>
      </c>
      <c r="BH68" s="11">
        <f>IF(AND(ISNUMBER(tblData[Singapore]),tblData[Date]&gt;=StartDt2Singapore),(tblData[[#This Row],[Singapore LogiP(t)]]-tblData[[#This Row],[Singapore]])^2,"")</f>
        <v>2006.0023482297665</v>
      </c>
      <c r="BI68" s="11">
        <f>IF(ISNUMBER(tblData[Day'# Singapore]),tblData[Singapore LogiP(t)]/$BH$9,"")</f>
        <v>513.18219219175387</v>
      </c>
      <c r="BJ68" s="11">
        <v>38782</v>
      </c>
      <c r="BK68" s="11"/>
      <c r="BL68" s="11">
        <f>IF(ISNUMBER(tblData[[#This Row],[NSW Number of Tests]]),tblData[[#This Row],[NSW Number of Tests]]-BJ67,"")</f>
        <v>5395</v>
      </c>
      <c r="BM68" s="11" t="str">
        <f>IF(ISNUMBER(tblData[[#This Row],[NSW Under Investigation'']]),tblData[[#This Row],[NSW Under Investigation'']]-BK67,"")</f>
        <v/>
      </c>
      <c r="BN68" s="11">
        <f t="shared" si="8"/>
        <v>14</v>
      </c>
      <c r="BO68" s="11">
        <f>IF(ISNUMBER(tblData[[#This Row],[NSW Test Day Number]]),betaTest/(deltaTest+betaPodeltaTest*EXP(-betaTest*tblData[[#This Row],[NSW Test Day Number]])),"")</f>
        <v>44901.734221300751</v>
      </c>
      <c r="BP68" s="11">
        <f>IF(ISNUMBER(tblData[[#This Row],[NSW Number of Tests]]),(tblData[[#This Row],[NSW Number of Tests]]-tblData[[#This Row],[NSW Test Logi]])^2,"")</f>
        <v>37451146.939359501</v>
      </c>
      <c r="BR68"/>
      <c r="BV68" s="26"/>
      <c r="CE68"/>
      <c r="CF68"/>
      <c r="CG68"/>
      <c r="CH68" s="26"/>
      <c r="CS68" s="26"/>
      <c r="CT68" s="26"/>
      <c r="DM68"/>
      <c r="DN68" t="s">
        <v>1236</v>
      </c>
      <c r="DO68" s="80">
        <v>43911.866331018522</v>
      </c>
      <c r="DP68" s="27">
        <v>43860</v>
      </c>
      <c r="DQ68" s="27">
        <v>43860</v>
      </c>
      <c r="DR68">
        <v>6</v>
      </c>
      <c r="DS68">
        <v>0.23059524064806408</v>
      </c>
      <c r="DT68">
        <v>9.9999999999999903E-10</v>
      </c>
      <c r="DU68">
        <v>3.8070710556030042E-2</v>
      </c>
      <c r="DV68" s="108">
        <v>230595240.64806432</v>
      </c>
      <c r="DW68" s="19">
        <v>70.671251275874369</v>
      </c>
      <c r="DX68" s="12">
        <v>6.0570248687798465</v>
      </c>
      <c r="DY68" s="112">
        <v>9.9999999999999911E-7</v>
      </c>
      <c r="EA68" s="27">
        <v>43910</v>
      </c>
      <c r="EB68" t="s">
        <v>1365</v>
      </c>
      <c r="EC68" s="26"/>
      <c r="ED68" s="113">
        <v>4014</v>
      </c>
      <c r="EE68" t="s">
        <v>1366</v>
      </c>
      <c r="EF68" s="27">
        <v>43910</v>
      </c>
      <c r="EG68">
        <v>51</v>
      </c>
      <c r="EH68" t="s">
        <v>1367</v>
      </c>
      <c r="EJ68" t="s">
        <v>1368</v>
      </c>
      <c r="EL68" t="s">
        <v>1374</v>
      </c>
      <c r="EM68">
        <v>604.15412402167362</v>
      </c>
      <c r="EN68" s="94">
        <v>43910</v>
      </c>
      <c r="EO68">
        <v>1</v>
      </c>
      <c r="EP68" s="94">
        <v>43910</v>
      </c>
      <c r="EQ68">
        <v>1</v>
      </c>
    </row>
    <row r="69" spans="2:183" x14ac:dyDescent="0.25">
      <c r="B69" s="1">
        <f t="shared" si="12"/>
        <v>43910</v>
      </c>
      <c r="D69" s="26">
        <v>6</v>
      </c>
      <c r="E69">
        <v>382</v>
      </c>
      <c r="F69">
        <v>3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>
        <v>47021</v>
      </c>
      <c r="N69" s="48">
        <f>IF(ISNUMBER(tblData[Italy]),tblData[Italy]/$N$9,"")</f>
        <v>7778.4946236559144</v>
      </c>
      <c r="O69">
        <v>19100</v>
      </c>
      <c r="P69" s="48">
        <f>IF(ISNUMBER(tblData[US]),tblData[US]/$P$9,"")</f>
        <v>580.14551422406544</v>
      </c>
      <c r="Q69">
        <v>8652</v>
      </c>
      <c r="R69" s="19">
        <f>IF(ISNUMBER(tblData[SKorea]),tblData[SKorea]/$R$9,"")</f>
        <v>1683.2684824902724</v>
      </c>
      <c r="S69">
        <v>4014</v>
      </c>
      <c r="T69" s="12">
        <f>IF(ISNUMBER(tblData[UK]),tblData[UK]/$T$9,"")</f>
        <v>604.15412402167362</v>
      </c>
      <c r="U69">
        <v>81250</v>
      </c>
      <c r="V69" s="21">
        <f>IF(ISNUMBER(tblData[China]),tblData[China]/$V$9,"")</f>
        <v>564.50120087504206</v>
      </c>
      <c r="W69">
        <v>385</v>
      </c>
      <c r="X69" s="21">
        <f>IF(ISNUMBER(tblData[Singapore]),tblData[Singapore]/$X$9,"")</f>
        <v>658.1196581196582</v>
      </c>
      <c r="Y69" s="21"/>
      <c r="Z69" s="21"/>
      <c r="AA69" s="26">
        <f>IF(tblData[[#This Row],[Date]]&lt;ItalyStart,"",tblData[[#This Row],[Date]]-ItalyStart)</f>
        <v>50</v>
      </c>
      <c r="AB69" s="26">
        <f t="shared" si="9"/>
        <v>40</v>
      </c>
      <c r="AC69" s="26">
        <f t="shared" si="4"/>
        <v>58</v>
      </c>
      <c r="AD69" s="26">
        <f>IF(tblData[[#This Row],[Date]]&lt;StartDt2Korea,"",tblData[[#This Row],[Date]]-StartDt2Korea)</f>
        <v>30</v>
      </c>
      <c r="AE69" s="26">
        <f>IF(tblData[[#This Row],[Date]]&lt;UKStart,"",tblData[[#This Row],[Date]]-UKStart)</f>
        <v>50</v>
      </c>
      <c r="AF69" s="26">
        <f>IF(tblData[[#This Row],[Date]]&lt;SingaporeStart,"",tblData[[#This Row],[Date]]-SingaporeStart)</f>
        <v>57</v>
      </c>
      <c r="AG69">
        <f>IF(tblData[Date]&gt;=StartDt2Au,tblData[Date]-StartDt2Au,"")</f>
        <v>55</v>
      </c>
      <c r="AH69" s="26">
        <f>IF(tblData[New South Wales]&gt;0,SUM(tblData[[#This Row],[Australian Capital Territory]:[Western Australia]]),"")</f>
        <v>877</v>
      </c>
      <c r="AI69" s="12">
        <f>IF(ISNUMBER(tblData[Au]),tblData[Au]/$AE$9,"")</f>
        <v>345.76565210534613</v>
      </c>
      <c r="AJ69" s="19">
        <f>IF(ISNUMBER(tblData[[#This Row],[Day'# Aust]]),betaAu/(deltaAu+betaPodeltaAu*EXP(-betaAu*tblData[[#This Row],[Day'# Aust]])),"")</f>
        <v>885.05155161197479</v>
      </c>
      <c r="AK69" s="70">
        <f>IF(ISNUMBER(tblData[Day'# Aust]),tblData[Au LogiP(t)]/$AI$9,"")</f>
        <v>348.94005346632031</v>
      </c>
      <c r="AL69" s="11">
        <f>IF(AND(tblData[Date]&gt;=StartDt2Au,ISNUMBER(tblData[NSW])),(tblData[[#This Row],[Au LogiP(t)]]-tblData[[#This Row],[Au]])^2,"")</f>
        <v>64.827483360293797</v>
      </c>
      <c r="AM69">
        <f>IF(tblData[Date]&gt;StartDt2NSW,tblData[Date]-StartDt2NSW,"")</f>
        <v>55</v>
      </c>
      <c r="AN69">
        <f t="shared" si="11"/>
        <v>382</v>
      </c>
      <c r="AO69" s="11">
        <f>IF(tblData[Date]&gt;StartDt2NSW,betaNSW/(deltaNSW+betaPodeltaNSW*EXP(-betaNSW*tblData[[#This Row],[Day '# NSW]])),"")</f>
        <v>374.90181097302116</v>
      </c>
      <c r="AP69" s="12">
        <f>IF(AND(ISNUMBER(tblData[NSW]),tblData[Date]&gt;StartDt2NSW),(tblData[[#This Row],[NSW LogiP(t)]]-tblData[[#This Row],[NSW]])^2,"")</f>
        <v>50.384287462722867</v>
      </c>
      <c r="AQ69" s="12">
        <f>IF(AND(tblData[Date]&gt;StartDt2NSW,ISNUMBER(tblData[Day'# Aust])),tblData[NSW LogiP(t)]/$AL$9,"")</f>
        <v>463.98738981809544</v>
      </c>
      <c r="AR69" s="11">
        <f>IF(AND(tblData[Date]&gt;StartDt2Italy,ISNUMBER(tblData[Days'# Italy])),betaItaly/(deltaItaly+betaPodeltaItaly*EXP(-betaItaly*tblData[Days'# Italy])),"")</f>
        <v>48245.909394822826</v>
      </c>
      <c r="AS69" s="11">
        <f>IF(AND(tblData[Date]&gt;StartDt2Italy,ISNUMBER(tblData[Italy])),(tblData[[#This Row],[Italy LogiP(t)]]-tblData[[#This Row],[Italy]])^2,"")</f>
        <v>1500403.0255252207</v>
      </c>
      <c r="AT69" s="43">
        <f>IF(AND(tblData[Date]&gt;StartDt2Italy,ISNUMBER(tblData[Days'# Italy])),tblData[[#This Row],[Italy LogiP(t)]]/$AS$9,"")</f>
        <v>7981.1264507564638</v>
      </c>
      <c r="AU69" s="21">
        <f>IF(ISNUMBER(tblData[[#This Row],[Days'# US]]),betaUS/(deltaUS+betaPodeltaUS*EXP(-betaUS*tblData[Days'# US])),"")</f>
        <v>16503.380203699249</v>
      </c>
      <c r="AV69" s="11">
        <f>IF(ISNUMBER(tblData[US]),(tblData[[#This Row],[US LogiP(t)]]-tblData[US])^2,"")</f>
        <v>6742434.3665409526</v>
      </c>
      <c r="AW69" s="21">
        <f>IF(ISNUMBER(tblData[[#This Row],[Days'# US]]),tblData[[#This Row],[US LogiP(t)]]/$AV$9,"")</f>
        <v>501.27549710525466</v>
      </c>
      <c r="AX69" s="21">
        <f>IF(tblData[Date]&gt;=StartDt2Korea,betaSKorea/(deltaSKorea+betaPodeltaSKorea*EXP(-betaSKorea*(tblData[Date]-StartDt2Korea))),"")</f>
        <v>8460.7158172947311</v>
      </c>
      <c r="AY69" s="21">
        <f>IF(AND(tblData[Date]&gt;=StartDt2Korea,ISNUMBER(tblData[SKorea])),(tblData[[#This Row],[SKorea LogiP(t)]]-tblData[[#This Row],[SKorea]])^2,"")</f>
        <v>36589.638553222692</v>
      </c>
      <c r="AZ69" s="21">
        <f>IF(tblData[Date]&gt;=StartDt2Korea,tblData[[#This Row],[SKorea LogiP(t)]]/$AY$9,"")</f>
        <v>1646.0536609522824</v>
      </c>
      <c r="BA69" s="11">
        <f>IF(ISNUMBER(tblData[Days'# UK]),betaUK/(deltaUK+betaPodeltaUK*EXP(-betaUK*tblData[Days'# UK])),"")</f>
        <v>3806.8852895284185</v>
      </c>
      <c r="BB69" s="21">
        <f>IF(ISNUMBER(tblData[UK]),(tblData[[#This Row],[UK LogiP(t)]]-tblData[[#This Row],[UK]])^2,"")</f>
        <v>42896.503293727023</v>
      </c>
      <c r="BC69" s="21">
        <f>IF(ISNUMBER(tblData[Days'# UK]),tblData[[#This Row],[UK LogiP(t)]]/$BB$9,"")</f>
        <v>572.98092858645668</v>
      </c>
      <c r="BD69" s="11">
        <f>IF(ISNUMBER(tblData[Days'# China]),betaChina/(deltaChina+betaPodeltaChina*EXP(-betaChina*tblData[Days'# China])),"")</f>
        <v>80968.371836595019</v>
      </c>
      <c r="BE69" s="11">
        <f>IF(ISNUMBER(tblData[China]),(tblData[[#This Row],[China LogiP(t)]]-tblData[[#This Row],[China]])^2,"")</f>
        <v>79314.422422862699</v>
      </c>
      <c r="BF69" s="11">
        <f>tblData[[#This Row],[China LogiP(t)]]/$BE$9</f>
        <v>562.5445308880594</v>
      </c>
      <c r="BG69" s="11">
        <f>IF(ISNUMBER(tblData[Day'# Singapore]),betaSingapore/(deltaSingapore+betaPodeltaSingapore*EXP(-betaSingapore*tblData[Day'# Singapore])),"")</f>
        <v>313.69874567099657</v>
      </c>
      <c r="BH69" s="11">
        <f>IF(AND(ISNUMBER(tblData[Singapore]),tblData[Date]&gt;=StartDt2Singapore),(tblData[[#This Row],[Singapore LogiP(t)]]-tblData[[#This Row],[Singapore]])^2,"")</f>
        <v>5083.8688688892298</v>
      </c>
      <c r="BI69" s="11">
        <f>IF(ISNUMBER(tblData[Day'# Singapore]),tblData[Singapore LogiP(t)]/$BH$9,"")</f>
        <v>536.23717208717369</v>
      </c>
      <c r="BJ69" s="11">
        <v>40298</v>
      </c>
      <c r="BK69" s="11"/>
      <c r="BL69" s="11">
        <f>IF(ISNUMBER(tblData[[#This Row],[NSW Number of Tests]]),tblData[[#This Row],[NSW Number of Tests]]-BJ68,"")</f>
        <v>1516</v>
      </c>
      <c r="BM69" s="11" t="str">
        <f>IF(ISNUMBER(tblData[[#This Row],[NSW Under Investigation'']]),tblData[[#This Row],[NSW Under Investigation'']]-BK68,"")</f>
        <v/>
      </c>
      <c r="BN69" s="11">
        <f t="shared" si="8"/>
        <v>15</v>
      </c>
      <c r="BO69" s="11">
        <f>IF(ISNUMBER(tblData[[#This Row],[NSW Test Day Number]]),betaTest/(deltaTest+betaPodeltaTest*EXP(-betaTest*tblData[[#This Row],[NSW Test Day Number]])),"")</f>
        <v>51674.168884514424</v>
      </c>
      <c r="BP69" s="11">
        <f>IF(ISNUMBER(tblData[[#This Row],[NSW Number of Tests]]),(tblData[[#This Row],[NSW Number of Tests]]-tblData[[#This Row],[NSW Test Logi]])^2,"")</f>
        <v>129417218.48899414</v>
      </c>
      <c r="BR69"/>
      <c r="BV69" s="26"/>
      <c r="CE69"/>
      <c r="CF69"/>
      <c r="CG69"/>
      <c r="CH69" s="26"/>
      <c r="CS69" s="26"/>
      <c r="CT69" s="26"/>
      <c r="DM69"/>
      <c r="DN69" t="s">
        <v>1236</v>
      </c>
      <c r="DO69" s="80"/>
      <c r="DP69" s="27">
        <v>43860</v>
      </c>
      <c r="DQ69" s="27"/>
      <c r="DR69">
        <v>6</v>
      </c>
      <c r="DS69">
        <v>0.24137990934722836</v>
      </c>
      <c r="DT69" s="107">
        <v>9.9999999999999995E-7</v>
      </c>
      <c r="DU69">
        <v>2.4074005303217398E-2</v>
      </c>
      <c r="DV69" s="108">
        <v>241379.90934722839</v>
      </c>
      <c r="DW69" s="19">
        <v>146.85588583547002</v>
      </c>
      <c r="DX69" s="12">
        <v>10.026577722858754</v>
      </c>
      <c r="DY69" s="112">
        <v>1E-3</v>
      </c>
      <c r="EA69" s="27">
        <v>43910</v>
      </c>
      <c r="EB69" t="s">
        <v>1303</v>
      </c>
      <c r="EC69" s="26"/>
      <c r="ED69" s="113">
        <v>3269</v>
      </c>
      <c r="EE69" t="s">
        <v>1304</v>
      </c>
      <c r="EF69" s="27">
        <v>43910</v>
      </c>
      <c r="EG69">
        <v>51</v>
      </c>
      <c r="EH69" t="s">
        <v>1305</v>
      </c>
      <c r="EJ69" t="s">
        <v>1306</v>
      </c>
      <c r="EL69" t="s">
        <v>1307</v>
      </c>
      <c r="EM69">
        <v>492.0228777844672</v>
      </c>
      <c r="EN69" s="94">
        <v>43910</v>
      </c>
      <c r="EO69">
        <v>0</v>
      </c>
      <c r="EP69" s="94">
        <v>43908</v>
      </c>
      <c r="EQ69">
        <v>2</v>
      </c>
    </row>
    <row r="70" spans="2:183" x14ac:dyDescent="0.25">
      <c r="B70" s="1">
        <f t="shared" si="12"/>
        <v>43911</v>
      </c>
      <c r="D70" s="26">
        <v>9</v>
      </c>
      <c r="E70">
        <v>436</v>
      </c>
      <c r="F70">
        <v>5</v>
      </c>
      <c r="G70">
        <v>221</v>
      </c>
      <c r="H70">
        <v>67</v>
      </c>
      <c r="I70">
        <v>16</v>
      </c>
      <c r="J70">
        <v>229</v>
      </c>
      <c r="K70">
        <v>90</v>
      </c>
      <c r="L70" s="12">
        <f>IF(ISNUMBER(tblData[[#This Row],[NSW]]),tblData[[#This Row],[New South Wales]]/$L$9,"")</f>
        <v>539.60396039603961</v>
      </c>
      <c r="M70" s="26">
        <v>53578</v>
      </c>
      <c r="N70" s="48">
        <f>IF(ISNUMBER(tblData[Italy]),tblData[Italy]/$N$9,"")</f>
        <v>8863.1927212572373</v>
      </c>
      <c r="O70">
        <v>25489</v>
      </c>
      <c r="P70" s="48">
        <f>IF(ISNUMBER(tblData[US]),tblData[US]/$P$9,"")</f>
        <v>774.20570743755002</v>
      </c>
      <c r="Q70">
        <v>8799</v>
      </c>
      <c r="R70" s="19">
        <f>IF(ISNUMBER(tblData[SKorea]),tblData[SKorea]/$R$9,"")</f>
        <v>1711.8677042801557</v>
      </c>
      <c r="S70">
        <v>5067</v>
      </c>
      <c r="T70" s="12">
        <f>IF(ISNUMBER(tblData[UK]),tblData[UK]/$T$9,"")</f>
        <v>762.64298615291989</v>
      </c>
      <c r="U70">
        <v>81305</v>
      </c>
      <c r="V70" s="21">
        <f>IF(ISNUMBER(tblData[China]),tblData[China]/$V$9,"")</f>
        <v>564.88332476486516</v>
      </c>
      <c r="W70">
        <v>432</v>
      </c>
      <c r="X70" s="21">
        <f>IF(ISNUMBER(tblData[Singapore]),tblData[Singapore]/$X$9,"")</f>
        <v>738.46153846153845</v>
      </c>
      <c r="Y70" s="21"/>
      <c r="Z70" s="21"/>
      <c r="AA70" s="26">
        <f>IF(tblData[[#This Row],[Date]]&lt;ItalyStart,"",tblData[[#This Row],[Date]]-ItalyStart)</f>
        <v>51</v>
      </c>
      <c r="AB70" s="26">
        <f t="shared" si="9"/>
        <v>41</v>
      </c>
      <c r="AC70" s="26">
        <f t="shared" si="4"/>
        <v>59</v>
      </c>
      <c r="AD70" s="26">
        <f>IF(tblData[[#This Row],[Date]]&lt;StartDt2Korea,"",tblData[[#This Row],[Date]]-StartDt2Korea)</f>
        <v>31</v>
      </c>
      <c r="AE70" s="26">
        <f>IF(tblData[[#This Row],[Date]]&lt;UKStart,"",tblData[[#This Row],[Date]]-UKStart)</f>
        <v>51</v>
      </c>
      <c r="AF70" s="26">
        <f>IF(tblData[[#This Row],[Date]]&lt;SingaporeStart,"",tblData[[#This Row],[Date]]-SingaporeStart)</f>
        <v>58</v>
      </c>
      <c r="AG70">
        <f>IF(tblData[Date]&gt;=StartDt2Au,tblData[Date]-StartDt2Au,"")</f>
        <v>56</v>
      </c>
      <c r="AH70" s="26">
        <f>IF(tblData[New South Wales]&gt;0,SUM(tblData[[#This Row],[Australian Capital Territory]:[Western Australia]]),"")</f>
        <v>1073</v>
      </c>
      <c r="AI70" s="12">
        <f>IF(ISNUMBER(tblData[Au]),tblData[Au]/$AE$9,"")</f>
        <v>423.04052988487621</v>
      </c>
      <c r="AJ70" s="19">
        <f>IF(ISNUMBER(tblData[[#This Row],[Day'# Aust]]),betaAu/(deltaAu+betaPodeltaAu*EXP(-betaAu*tblData[[#This Row],[Day'# Aust]])),"")</f>
        <v>1097.1076711744959</v>
      </c>
      <c r="AK70" s="70">
        <f>IF(ISNUMBER(tblData[Day'# Aust]),tblData[Au LogiP(t)]/$AI$9,"")</f>
        <v>432.54521020915308</v>
      </c>
      <c r="AL70" s="11">
        <f>IF(AND(tblData[Date]&gt;=StartDt2Au,ISNUMBER(tblData[NSW])),(tblData[[#This Row],[Au LogiP(t)]]-tblData[[#This Row],[Au]])^2,"")</f>
        <v>581.17980945761872</v>
      </c>
      <c r="AM70">
        <f>IF(tblData[Date]&gt;StartDt2NSW,tblData[Date]-StartDt2NSW,"")</f>
        <v>56</v>
      </c>
      <c r="AN70">
        <f t="shared" si="11"/>
        <v>436</v>
      </c>
      <c r="AO70" s="11">
        <f>IF(tblData[Date]&gt;StartDt2NSW,betaNSW/(deltaNSW+betaPodeltaNSW*EXP(-betaNSW*tblData[[#This Row],[Day '# NSW]])),"")</f>
        <v>457.14612966518473</v>
      </c>
      <c r="AP70" s="12">
        <f>IF(AND(ISNUMBER(tblData[NSW]),tblData[Date]&gt;StartDt2NSW),(tblData[[#This Row],[NSW LogiP(t)]]-tblData[[#This Row],[NSW]])^2,"")</f>
        <v>447.1587998168057</v>
      </c>
      <c r="AQ70" s="12">
        <f>IF(AND(tblData[Date]&gt;StartDt2NSW,ISNUMBER(tblData[Day'# Aust])),tblData[NSW LogiP(t)]/$AL$9,"")</f>
        <v>565.77491295196126</v>
      </c>
      <c r="AR70" s="11">
        <f>IF(AND(tblData[Date]&gt;StartDt2Italy,ISNUMBER(tblData[Days'# Italy])),betaItaly/(deltaItaly+betaPodeltaItaly*EXP(-betaItaly*tblData[Days'# Italy])),"")</f>
        <v>51317.76371554668</v>
      </c>
      <c r="AS70" s="11">
        <f>IF(AND(tblData[Date]&gt;StartDt2Italy,ISNUMBER(tblData[Italy])),(tblData[[#This Row],[Italy LogiP(t)]]-tblData[[#This Row],[Italy]])^2,"")</f>
        <v>5108668.0615593493</v>
      </c>
      <c r="AT70" s="43">
        <f>IF(AND(tblData[Date]&gt;StartDt2Italy,ISNUMBER(tblData[Days'# Italy])),tblData[[#This Row],[Italy LogiP(t)]]/$AS$9,"")</f>
        <v>8489.2909372285667</v>
      </c>
      <c r="AU70" s="21">
        <f>IF(ISNUMBER(tblData[[#This Row],[Days'# US]]),betaUS/(deltaUS+betaPodeltaUS*EXP(-betaUS*tblData[Days'# US])),"")</f>
        <v>22214.15879025016</v>
      </c>
      <c r="AV70" s="11">
        <f>IF(ISNUMBER(tblData[US]),(tblData[[#This Row],[US LogiP(t)]]-tblData[US])^2,"")</f>
        <v>10724584.949075798</v>
      </c>
      <c r="AW70" s="21">
        <f>IF(ISNUMBER(tblData[[#This Row],[Days'# US]]),tblData[[#This Row],[US LogiP(t)]]/$AV$9,"")</f>
        <v>674.73531803270805</v>
      </c>
      <c r="AX70" s="21">
        <f>IF(tblData[Date]&gt;=StartDt2Korea,betaSKorea/(deltaSKorea+betaPodeltaSKorea*EXP(-betaSKorea*(tblData[Date]-StartDt2Korea))),"")</f>
        <v>8469.1469176488081</v>
      </c>
      <c r="AY70" s="21">
        <f>IF(AND(tblData[Date]&gt;=StartDt2Korea,ISNUMBER(tblData[SKorea])),(tblData[[#This Row],[SKorea LogiP(t)]]-tblData[[#This Row],[SKorea]])^2,"")</f>
        <v>108803.0559365822</v>
      </c>
      <c r="AZ70" s="21">
        <f>IF(tblData[Date]&gt;=StartDt2Korea,tblData[[#This Row],[SKorea LogiP(t)]]/$AY$9,"")</f>
        <v>1647.6939528499627</v>
      </c>
      <c r="BA70" s="11">
        <f>IF(ISNUMBER(tblData[Days'# UK]),betaUK/(deltaUK+betaPodeltaUK*EXP(-betaUK*tblData[Days'# UK])),"")</f>
        <v>4776.2098360348054</v>
      </c>
      <c r="BB70" s="21">
        <f>IF(ISNUMBER(tblData[UK]),(tblData[[#This Row],[UK LogiP(t)]]-tblData[[#This Row],[UK]])^2,"")</f>
        <v>84558.919458904726</v>
      </c>
      <c r="BC70" s="21">
        <f>IF(ISNUMBER(tblData[Days'# UK]),tblData[[#This Row],[UK LogiP(t)]]/$BB$9,"")</f>
        <v>718.87565262414284</v>
      </c>
      <c r="BD70" s="11">
        <f>IF(ISNUMBER(tblData[Days'# China]),betaChina/(deltaChina+betaPodeltaChina*EXP(-betaChina*tblData[Days'# China])),"")</f>
        <v>80970.486147387521</v>
      </c>
      <c r="BE70" s="11">
        <f>IF(ISNUMBER(tblData[China]),(tblData[[#This Row],[China LogiP(t)]]-tblData[[#This Row],[China]])^2,"")</f>
        <v>111899.51758964348</v>
      </c>
      <c r="BF70" s="11">
        <f>tblData[[#This Row],[China LogiP(t)]]/$BE$9</f>
        <v>562.55922050013805</v>
      </c>
      <c r="BG70" s="11">
        <f>IF(ISNUMBER(tblData[Day'# Singapore]),betaSingapore/(deltaSingapore+betaPodeltaSingapore*EXP(-betaSingapore*tblData[Day'# Singapore])),"")</f>
        <v>327.79182680745464</v>
      </c>
      <c r="BH70" s="11">
        <f>IF(AND(ISNUMBER(tblData[Singapore]),tblData[Date]&gt;=StartDt2Singapore),(tblData[[#This Row],[Singapore LogiP(t)]]-tblData[[#This Row],[Singapore]])^2,"")</f>
        <v>10859.34336012753</v>
      </c>
      <c r="BI70" s="11">
        <f>IF(ISNUMBER(tblData[Day'# Singapore]),tblData[Singapore LogiP(t)]/$BH$9,"")</f>
        <v>560.32790907257208</v>
      </c>
      <c r="BJ70" s="11">
        <v>46456</v>
      </c>
      <c r="BK70" s="11"/>
      <c r="BL70" s="11">
        <f>IF(ISNUMBER(tblData[[#This Row],[NSW Number of Tests]]),tblData[[#This Row],[NSW Number of Tests]]-BJ69,"")</f>
        <v>6158</v>
      </c>
      <c r="BM70" s="11" t="str">
        <f>IF(ISNUMBER(tblData[[#This Row],[NSW Under Investigation'']]),tblData[[#This Row],[NSW Under Investigation'']]-BK69,"")</f>
        <v/>
      </c>
      <c r="BN70" s="11">
        <f t="shared" si="8"/>
        <v>16</v>
      </c>
      <c r="BO70" s="11">
        <f>IF(ISNUMBER(tblData[[#This Row],[NSW Test Day Number]]),betaTest/(deltaTest+betaPodeltaTest*EXP(-betaTest*tblData[[#This Row],[NSW Test Day Number]])),"")</f>
        <v>59222.742484940776</v>
      </c>
      <c r="BP70" s="11">
        <f>IF(ISNUMBER(tblData[[#This Row],[NSW Number of Tests]]),(tblData[[#This Row],[NSW Number of Tests]]-tblData[[#This Row],[NSW Test Logi]])^2,"")</f>
        <v>162989713.67679179</v>
      </c>
      <c r="BR70"/>
      <c r="BV70" s="26"/>
      <c r="CE70"/>
      <c r="CF70"/>
      <c r="CG70"/>
      <c r="CH70" s="26"/>
      <c r="CS70" s="26"/>
      <c r="CT70" s="26"/>
      <c r="DM70"/>
      <c r="DN70" t="s">
        <v>1236</v>
      </c>
      <c r="DO70" s="80">
        <v>43912.326736111114</v>
      </c>
      <c r="DP70" s="27">
        <v>43860</v>
      </c>
      <c r="DQ70" s="27">
        <v>43860</v>
      </c>
      <c r="DR70">
        <v>6</v>
      </c>
      <c r="DS70">
        <v>0.23552292998723806</v>
      </c>
      <c r="DT70" s="107">
        <v>9.9999999999999903E-10</v>
      </c>
      <c r="DU70">
        <v>3.0253807305994522E-2</v>
      </c>
      <c r="DV70" s="108">
        <v>235522929.98723829</v>
      </c>
      <c r="DW70">
        <v>71.58354260153051</v>
      </c>
      <c r="DX70">
        <v>7.7849021637127134</v>
      </c>
      <c r="DY70" s="112">
        <v>9.9999999999999911E-7</v>
      </c>
      <c r="EA70" s="27">
        <v>43911</v>
      </c>
      <c r="EB70" t="s">
        <v>1411</v>
      </c>
      <c r="EC70" s="26"/>
      <c r="ED70" s="113">
        <v>5049</v>
      </c>
      <c r="EE70" t="s">
        <v>1412</v>
      </c>
      <c r="EF70" s="27">
        <v>43911</v>
      </c>
      <c r="EG70">
        <v>52</v>
      </c>
      <c r="EH70" t="s">
        <v>1413</v>
      </c>
      <c r="EJ70" t="s">
        <v>1414</v>
      </c>
      <c r="EL70" t="s">
        <v>1415</v>
      </c>
      <c r="EM70">
        <v>759.93377483443703</v>
      </c>
      <c r="EN70" s="94">
        <v>43910</v>
      </c>
      <c r="EO70">
        <v>1</v>
      </c>
      <c r="EP70" s="94">
        <v>43910</v>
      </c>
      <c r="EQ70">
        <v>2</v>
      </c>
    </row>
    <row r="71" spans="2:183" x14ac:dyDescent="0.25">
      <c r="B71" s="1">
        <f t="shared" si="12"/>
        <v>43912</v>
      </c>
      <c r="D71" s="26">
        <v>19</v>
      </c>
      <c r="E71">
        <v>533</v>
      </c>
      <c r="F71">
        <v>5</v>
      </c>
      <c r="G71">
        <v>259</v>
      </c>
      <c r="H71">
        <v>100</v>
      </c>
      <c r="I71">
        <v>22</v>
      </c>
      <c r="J71">
        <v>296</v>
      </c>
      <c r="K71">
        <v>120</v>
      </c>
      <c r="L71" s="12">
        <f>IF(ISNUMBER(tblData[[#This Row],[NSW]]),tblData[[#This Row],[New South Wales]]/$L$9,"")</f>
        <v>659.65346534653463</v>
      </c>
      <c r="M71" s="26">
        <v>59138</v>
      </c>
      <c r="N71" s="48">
        <f>IF(ISNUMBER(tblData[Italy]),tblData[Italy]/$N$9,"")</f>
        <v>9782.9611248966085</v>
      </c>
      <c r="O71">
        <v>33272</v>
      </c>
      <c r="P71" s="48">
        <f>IF(ISNUMBER(tblData[US]),tblData[US]/$P$9,"")</f>
        <v>1010.6074109561836</v>
      </c>
      <c r="Q71">
        <v>8897</v>
      </c>
      <c r="R71" s="19">
        <f>IF(ISNUMBER(tblData[SKorea]),tblData[SKorea]/$R$9,"")</f>
        <v>1730.933852140078</v>
      </c>
      <c r="S71">
        <v>5741</v>
      </c>
      <c r="T71" s="12">
        <f>IF(ISNUMBER(tblData[UK]),tblData[UK]/$T$9,"")</f>
        <v>864.08789885611077</v>
      </c>
      <c r="U71">
        <v>81397</v>
      </c>
      <c r="V71" s="21">
        <f>IF(ISNUMBER(tblData[China]),tblData[China]/$V$9,"")</f>
        <v>565.52251381693293</v>
      </c>
      <c r="W71">
        <v>455</v>
      </c>
      <c r="X71" s="21">
        <f>IF(ISNUMBER(tblData[Singapore]),tblData[Singapore]/$X$9,"")</f>
        <v>777.77777777777783</v>
      </c>
      <c r="Y71" s="21"/>
      <c r="Z71" s="21"/>
      <c r="AA71" s="26">
        <f>IF(tblData[[#This Row],[Date]]&lt;ItalyStart,"",tblData[[#This Row],[Date]]-ItalyStart)</f>
        <v>52</v>
      </c>
      <c r="AB71" s="26">
        <f t="shared" si="9"/>
        <v>42</v>
      </c>
      <c r="AC71" s="26">
        <f t="shared" si="4"/>
        <v>60</v>
      </c>
      <c r="AD71" s="26">
        <f>IF(tblData[[#This Row],[Date]]&lt;StartDt2Korea,"",tblData[[#This Row],[Date]]-StartDt2Korea)</f>
        <v>32</v>
      </c>
      <c r="AE71" s="26">
        <f>IF(tblData[[#This Row],[Date]]&lt;UKStart,"",tblData[[#This Row],[Date]]-UKStart)</f>
        <v>52</v>
      </c>
      <c r="AF71" s="26">
        <f>IF(tblData[[#This Row],[Date]]&lt;SingaporeStart,"",tblData[[#This Row],[Date]]-SingaporeStart)</f>
        <v>59</v>
      </c>
      <c r="AG71">
        <f>IF(tblData[Date]&gt;=StartDt2Au,tblData[Date]-StartDt2Au,"")</f>
        <v>57</v>
      </c>
      <c r="AH71" s="26">
        <f>IF(tblData[New South Wales]&gt;0,SUM(tblData[[#This Row],[Australian Capital Territory]:[Western Australia]]),"")</f>
        <v>1354</v>
      </c>
      <c r="AI71" s="12">
        <f>IF(ISNUMBER(tblData[Au]),tblData[Au]/$AE$9,"")</f>
        <v>533.82747200756978</v>
      </c>
      <c r="AJ71" s="19">
        <f>IF(ISNUMBER(tblData[[#This Row],[Day'# Aust]]),betaAu/(deltaAu+betaPodeltaAu*EXP(-betaAu*tblData[[#This Row],[Day'# Aust]])),"")</f>
        <v>1359.9719018321127</v>
      </c>
      <c r="AK71" s="70">
        <f>IF(ISNUMBER(tblData[Day'# Aust]),tblData[Au LogiP(t)]/$AI$9,"")</f>
        <v>536.18195151873238</v>
      </c>
      <c r="AL71" s="11">
        <f>IF(AND(tblData[Date]&gt;=StartDt2Au,ISNUMBER(tblData[NSW])),(tblData[[#This Row],[Au LogiP(t)]]-tblData[[#This Row],[Au]])^2,"")</f>
        <v>35.663611492391439</v>
      </c>
      <c r="AM71">
        <f>IF(tblData[Date]&gt;StartDt2NSW,tblData[Date]-StartDt2NSW,"")</f>
        <v>57</v>
      </c>
      <c r="AN71" s="26">
        <f t="shared" si="11"/>
        <v>533</v>
      </c>
      <c r="AO71" s="11">
        <f>IF(tblData[Date]&gt;StartDt2NSW,betaNSW/(deltaNSW+betaPodeltaNSW*EXP(-betaNSW*tblData[[#This Row],[Day '# NSW]])),"")</f>
        <v>557.43284703387633</v>
      </c>
      <c r="AP71" s="12">
        <f>IF(AND(ISNUMBER(tblData[NSW]),tblData[Date]&gt;StartDt2NSW),(tblData[[#This Row],[NSW LogiP(t)]]-tblData[[#This Row],[NSW]])^2,"")</f>
        <v>596.96401418079927</v>
      </c>
      <c r="AQ71" s="12">
        <f>IF(AND(tblData[Date]&gt;StartDt2NSW,ISNUMBER(tblData[Day'# Aust])),tblData[NSW LogiP(t)]/$AL$9,"")</f>
        <v>689.89213741816377</v>
      </c>
      <c r="AR71" s="11">
        <f>IF(AND(tblData[Date]&gt;StartDt2Italy,ISNUMBER(tblData[Days'# Italy])),betaItaly/(deltaItaly+betaPodeltaItaly*EXP(-betaItaly*tblData[Days'# Italy])),"")</f>
        <v>53970.697168862345</v>
      </c>
      <c r="AS71" s="11">
        <f>IF(AND(tblData[Date]&gt;StartDt2Italy,ISNUMBER(tblData[Italy])),(tblData[[#This Row],[Italy LogiP(t)]]-tblData[[#This Row],[Italy]])^2,"")</f>
        <v>26701018.548683222</v>
      </c>
      <c r="AT71" s="43">
        <f>IF(AND(tblData[Date]&gt;StartDt2Italy,ISNUMBER(tblData[Days'# Italy])),tblData[[#This Row],[Italy LogiP(t)]]/$AS$9,"")</f>
        <v>8928.1550320698661</v>
      </c>
      <c r="AU71" s="21">
        <f>IF(ISNUMBER(tblData[[#This Row],[Days'# US]]),betaUS/(deltaUS+betaPodeltaUS*EXP(-betaUS*tblData[Days'# US])),"")</f>
        <v>29500.136686891263</v>
      </c>
      <c r="AV71" s="11">
        <f>IF(ISNUMBER(tblData[US]),(tblData[[#This Row],[US LogiP(t)]]-tblData[US])^2,"")</f>
        <v>14226952.85277562</v>
      </c>
      <c r="AW71" s="21">
        <f>IF(ISNUMBER(tblData[[#This Row],[Days'# US]]),tblData[[#This Row],[US LogiP(t)]]/$AV$9,"")</f>
        <v>896.04041716736913</v>
      </c>
      <c r="AX71" s="21">
        <f>IF(tblData[Date]&gt;=StartDt2Korea,betaSKorea/(deltaSKorea+betaPodeltaSKorea*EXP(-betaSKorea*(tblData[Date]-StartDt2Korea))),"")</f>
        <v>8475.3389632903363</v>
      </c>
      <c r="AY71" s="21">
        <f>IF(AND(tblData[Date]&gt;=StartDt2Korea,ISNUMBER(tblData[SKorea])),(tblData[[#This Row],[SKorea LogiP(t)]]-tblData[[#This Row],[SKorea]])^2,"")</f>
        <v>177798.02987906834</v>
      </c>
      <c r="AZ71" s="21">
        <f>IF(tblData[Date]&gt;=StartDt2Korea,tblData[[#This Row],[SKorea LogiP(t)]]/$AY$9,"")</f>
        <v>1648.898630990338</v>
      </c>
      <c r="BA71" s="11">
        <f>IF(ISNUMBER(tblData[Days'# UK]),betaUK/(deltaUK+betaPodeltaUK*EXP(-betaUK*tblData[Days'# UK])),"")</f>
        <v>5978.5516061281542</v>
      </c>
      <c r="BB71" s="21">
        <f>IF(ISNUMBER(tblData[UK]),(tblData[[#This Row],[UK LogiP(t)]]-tblData[[#This Row],[UK]])^2,"")</f>
        <v>56430.765574065692</v>
      </c>
      <c r="BC71" s="21">
        <f>IF(ISNUMBER(tblData[Days'# UK]),tblData[[#This Row],[UK LogiP(t)]]/$BB$9,"")</f>
        <v>899.84220441423145</v>
      </c>
      <c r="BD71" s="11">
        <f>IF(ISNUMBER(tblData[Days'# China]),betaChina/(deltaChina+betaPodeltaChina*EXP(-betaChina*tblData[Days'# China])),"")</f>
        <v>80972.179368873039</v>
      </c>
      <c r="BE71" s="11">
        <f>IF(ISNUMBER(tblData[China]),(tblData[[#This Row],[China LogiP(t)]]-tblData[[#This Row],[China]])^2,"")</f>
        <v>180472.56863110905</v>
      </c>
      <c r="BF71" s="11">
        <f>tblData[[#This Row],[China LogiP(t)]]/$BE$9</f>
        <v>562.57098450705394</v>
      </c>
      <c r="BG71" s="11">
        <f>IF(ISNUMBER(tblData[Day'# Singapore]),betaSingapore/(deltaSingapore+betaPodeltaSingapore*EXP(-betaSingapore*tblData[Day'# Singapore])),"")</f>
        <v>342.51804702116959</v>
      </c>
      <c r="BH71" s="11">
        <f>IF(AND(ISNUMBER(tblData[Singapore]),tblData[Date]&gt;=StartDt2Singapore),(tblData[[#This Row],[Singapore LogiP(t)]]-tblData[[#This Row],[Singapore]])^2,"")</f>
        <v>12652.189745931815</v>
      </c>
      <c r="BI71" s="11">
        <f>IF(ISNUMBER(tblData[Day'# Singapore]),tblData[Singapore LogiP(t)]/$BH$9,"")</f>
        <v>585.50093507892245</v>
      </c>
      <c r="BJ71" s="11">
        <v>52130</v>
      </c>
      <c r="BK71" s="11"/>
      <c r="BL71" s="11">
        <f>IF(ISNUMBER(tblData[[#This Row],[NSW Number of Tests]]),tblData[[#This Row],[NSW Number of Tests]]-BJ70,"")</f>
        <v>5674</v>
      </c>
      <c r="BM71" s="11" t="str">
        <f>IF(ISNUMBER(tblData[[#This Row],[NSW Under Investigation'']]),tblData[[#This Row],[NSW Under Investigation'']]-BK70,"")</f>
        <v/>
      </c>
      <c r="BN71" s="11">
        <f t="shared" si="8"/>
        <v>17</v>
      </c>
      <c r="BO71" s="11">
        <f>IF(ISNUMBER(tblData[[#This Row],[NSW Test Day Number]]),betaTest/(deltaTest+betaPodeltaTest*EXP(-betaTest*tblData[[#This Row],[NSW Test Day Number]])),"")</f>
        <v>67563.340223320425</v>
      </c>
      <c r="BP71" s="11">
        <f>IF(ISNUMBER(tblData[[#This Row],[NSW Number of Tests]]),(tblData[[#This Row],[NSW Number of Tests]]-tblData[[#This Row],[NSW Test Logi]])^2,"")</f>
        <v>238187990.44876015</v>
      </c>
      <c r="BR71"/>
      <c r="BV71" s="26"/>
      <c r="CE71"/>
      <c r="CF71"/>
      <c r="CG71"/>
      <c r="CH71" s="26"/>
      <c r="CS71" s="26"/>
      <c r="CT71" s="26"/>
      <c r="DM71"/>
      <c r="DN71" s="26" t="s">
        <v>1236</v>
      </c>
      <c r="DO71" s="80">
        <v>43912.588784722226</v>
      </c>
      <c r="DP71" s="27">
        <v>43860</v>
      </c>
      <c r="DQ71" s="27">
        <v>43860</v>
      </c>
      <c r="DR71" s="26">
        <v>6</v>
      </c>
      <c r="DS71" s="26">
        <v>0.23594006316216126</v>
      </c>
      <c r="DT71" s="107">
        <v>9.9999999999999903E-10</v>
      </c>
      <c r="DU71" s="26">
        <v>2.9674631046950263E-2</v>
      </c>
      <c r="DV71" s="108">
        <v>235940063.1621615</v>
      </c>
      <c r="DW71" s="26">
        <v>71.927182904252248</v>
      </c>
      <c r="DX71" s="26">
        <v>7.9509013190152125</v>
      </c>
      <c r="DY71" s="112">
        <v>9.9999999999999911E-7</v>
      </c>
      <c r="DZ71" s="26"/>
      <c r="EA71" s="27">
        <v>43911</v>
      </c>
      <c r="EB71" s="26" t="s">
        <v>1411</v>
      </c>
      <c r="EC71" s="26"/>
      <c r="ED71" s="113">
        <v>5067</v>
      </c>
      <c r="EE71" s="26" t="s">
        <v>1464</v>
      </c>
      <c r="EF71" s="27">
        <v>43911</v>
      </c>
      <c r="EG71" s="26">
        <v>52</v>
      </c>
      <c r="EH71" s="26" t="s">
        <v>1465</v>
      </c>
      <c r="EI71" s="26"/>
      <c r="EJ71" s="26" t="s">
        <v>1466</v>
      </c>
      <c r="EK71" s="26"/>
      <c r="EL71" s="26" t="s">
        <v>1467</v>
      </c>
      <c r="EM71" s="26">
        <v>762.64298615291989</v>
      </c>
      <c r="EN71" s="94">
        <v>43911</v>
      </c>
      <c r="EO71" s="26">
        <v>1</v>
      </c>
      <c r="EP71" s="94">
        <v>43910</v>
      </c>
      <c r="EQ71" s="26">
        <v>2</v>
      </c>
    </row>
    <row r="72" spans="2:183" x14ac:dyDescent="0.25">
      <c r="B72" s="1">
        <f t="shared" si="12"/>
        <v>43913</v>
      </c>
      <c r="D72" s="26">
        <v>32</v>
      </c>
      <c r="E72">
        <v>704</v>
      </c>
      <c r="F72">
        <v>5</v>
      </c>
      <c r="G72">
        <v>319</v>
      </c>
      <c r="H72">
        <v>134</v>
      </c>
      <c r="I72">
        <v>22</v>
      </c>
      <c r="J72">
        <v>355</v>
      </c>
      <c r="K72">
        <v>140</v>
      </c>
      <c r="L72" s="12">
        <f>IF(ISNUMBER(tblData[[#This Row],[NSW]]),tblData[[#This Row],[New South Wales]]/$L$9,"")</f>
        <v>871.28712871287121</v>
      </c>
      <c r="M72" s="26"/>
      <c r="N72" s="48" t="str">
        <f>IF(ISNUMBER(tblData[Italy]),tblData[Italy]/$N$9,"")</f>
        <v/>
      </c>
      <c r="O72">
        <v>35224</v>
      </c>
      <c r="P72" s="48">
        <f>IF(ISNUMBER(tblData[US]),tblData[US]/$P$9,"")</f>
        <v>1069.8976750276693</v>
      </c>
      <c r="Q72">
        <v>8961</v>
      </c>
      <c r="R72" s="19">
        <f>IF(ISNUMBER(tblData[SKorea]),tblData[SKorea]/$R$9,"")</f>
        <v>1743.3852140077822</v>
      </c>
      <c r="T72" s="12" t="str">
        <f>IF(ISNUMBER(tblData[UK]),tblData[UK]/$T$9,"")</f>
        <v/>
      </c>
      <c r="U72">
        <v>81454</v>
      </c>
      <c r="V72" s="21">
        <f>IF(ISNUMBER(tblData[China]),tblData[China]/$V$9,"")</f>
        <v>565.91853312093133</v>
      </c>
      <c r="X72" s="21" t="str">
        <f>IF(ISNUMBER(tblData[Singapore]),tblData[Singapore]/$X$9,"")</f>
        <v/>
      </c>
      <c r="Y72" s="21"/>
      <c r="Z72" s="21"/>
      <c r="AA72" s="26">
        <f>IF(tblData[[#This Row],[Date]]&lt;ItalyStart,"",tblData[[#This Row],[Date]]-ItalyStart)</f>
        <v>53</v>
      </c>
      <c r="AB72" s="26">
        <f t="shared" si="9"/>
        <v>43</v>
      </c>
      <c r="AC72" s="26">
        <f t="shared" si="4"/>
        <v>61</v>
      </c>
      <c r="AD72" s="26">
        <f>IF(tblData[[#This Row],[Date]]&lt;StartDt2Korea,"",tblData[[#This Row],[Date]]-StartDt2Korea)</f>
        <v>33</v>
      </c>
      <c r="AE72" s="26">
        <f>IF(tblData[[#This Row],[Date]]&lt;UKStart,"",tblData[[#This Row],[Date]]-UKStart)</f>
        <v>53</v>
      </c>
      <c r="AF72" s="26">
        <f>IF(tblData[[#This Row],[Date]]&lt;SingaporeStart,"",tblData[[#This Row],[Date]]-SingaporeStart)</f>
        <v>60</v>
      </c>
      <c r="AG72">
        <f>IF(tblData[Date]&gt;=StartDt2Au,tblData[Date]-StartDt2Au,"")</f>
        <v>58</v>
      </c>
      <c r="AH72" s="26">
        <f>IF(tblData[New South Wales]&gt;0,SUM(tblData[[#This Row],[Australian Capital Territory]:[Western Australia]]),"")</f>
        <v>1711</v>
      </c>
      <c r="AI72" s="12">
        <f>IF(ISNUMBER(tblData[Au]),tblData[Au]/$AE$9,"")</f>
        <v>674.57814224885669</v>
      </c>
      <c r="AJ72" s="19">
        <f>IF(ISNUMBER(tblData[[#This Row],[Day'# Aust]]),betaAu/(deltaAu+betaPodeltaAu*EXP(-betaAu*tblData[[#This Row],[Day'# Aust]])),"")</f>
        <v>1685.8177386095003</v>
      </c>
      <c r="AK72" s="70">
        <f>IF(ISNUMBER(tblData[Day'# Aust]),tblData[Au LogiP(t)]/$AI$9,"")</f>
        <v>664.64979443680033</v>
      </c>
      <c r="AL72" s="11">
        <f>IF(AND(tblData[Date]&gt;=StartDt2Au,ISNUMBER(tblData[NSW])),(tblData[[#This Row],[Au LogiP(t)]]-tblData[[#This Row],[Au]])^2,"")</f>
        <v>634.14628873944991</v>
      </c>
      <c r="AM72">
        <f>IF(tblData[Date]&gt;StartDt2NSW,tblData[Date]-StartDt2NSW,"")</f>
        <v>58</v>
      </c>
      <c r="AN72" s="26">
        <f t="shared" si="11"/>
        <v>704</v>
      </c>
      <c r="AO72" s="11">
        <f>IF(tblData[Date]&gt;StartDt2NSW,betaNSW/(deltaNSW+betaPodeltaNSW*EXP(-betaNSW*tblData[[#This Row],[Day '# NSW]])),"")</f>
        <v>679.7200255100181</v>
      </c>
      <c r="AP72" s="12">
        <f>IF(AND(ISNUMBER(tblData[NSW]),tblData[Date]&gt;StartDt2NSW),(tblData[[#This Row],[NSW LogiP(t)]]-tblData[[#This Row],[NSW]])^2,"")</f>
        <v>589.51716123417168</v>
      </c>
      <c r="AQ72" s="12">
        <f>IF(AND(tblData[Date]&gt;StartDt2NSW,ISNUMBER(tblData[Day'# Aust])),tblData[NSW LogiP(t)]/$AL$9,"")</f>
        <v>841.23765533418077</v>
      </c>
      <c r="AR72" s="11">
        <f>IF(AND(tblData[Date]&gt;StartDt2Italy,ISNUMBER(tblData[Days'# Italy])),betaItaly/(deltaItaly+betaPodeltaItaly*EXP(-betaItaly*tblData[Days'# Italy])),"")</f>
        <v>56214.233656086886</v>
      </c>
      <c r="AS72" s="11" t="str">
        <f>IF(AND(tblData[Date]&gt;StartDt2Italy,ISNUMBER(tblData[Italy])),(tblData[[#This Row],[Italy LogiP(t)]]-tblData[[#This Row],[Italy]])^2,"")</f>
        <v/>
      </c>
      <c r="AT72" s="43">
        <f>IF(AND(tblData[Date]&gt;StartDt2Italy,ISNUMBER(tblData[Days'# Italy])),tblData[[#This Row],[Italy LogiP(t)]]/$AS$9,"")</f>
        <v>9299.2942359118097</v>
      </c>
      <c r="AU72" s="21">
        <f>IF(ISNUMBER(tblData[[#This Row],[Days'# US]]),betaUS/(deltaUS+betaPodeltaUS*EXP(-betaUS*tblData[Days'# US])),"")</f>
        <v>38516.901016874945</v>
      </c>
      <c r="AV72" s="11">
        <f>IF(ISNUMBER(tblData[US]),(tblData[[#This Row],[US LogiP(t)]]-tblData[US])^2,"")</f>
        <v>10843197.106936045</v>
      </c>
      <c r="AW72" s="21">
        <f>IF(ISNUMBER(tblData[[#This Row],[Days'# US]]),tblData[[#This Row],[US LogiP(t)]]/$AV$9,"")</f>
        <v>1169.9166150132119</v>
      </c>
      <c r="AX72" s="21">
        <f>IF(tblData[Date]&gt;=StartDt2Korea,betaSKorea/(deltaSKorea+betaPodeltaSKorea*EXP(-betaSKorea*(tblData[Date]-StartDt2Korea))),"")</f>
        <v>8479.8844913224129</v>
      </c>
      <c r="AY72" s="21">
        <f>IF(AND(tblData[Date]&gt;=StartDt2Korea,ISNUMBER(tblData[SKorea])),(tblData[[#This Row],[SKorea LogiP(t)]]-tblData[[#This Row],[SKorea]])^2,"")</f>
        <v>231472.13269009333</v>
      </c>
      <c r="AZ72" s="21">
        <f>IF(tblData[Date]&gt;=StartDt2Korea,tblData[[#This Row],[SKorea LogiP(t)]]/$AY$9,"")</f>
        <v>1649.7829749654502</v>
      </c>
      <c r="BA72" s="11">
        <f>IF(ISNUMBER(tblData[Days'# UK]),betaUK/(deltaUK+betaPodeltaUK*EXP(-betaUK*tblData[Days'# UK])),"")</f>
        <v>7462.2552755403149</v>
      </c>
      <c r="BB72" s="21" t="str">
        <f>IF(ISNUMBER(tblData[UK]),(tblData[[#This Row],[UK LogiP(t)]]-tblData[[#This Row],[UK]])^2,"")</f>
        <v/>
      </c>
      <c r="BC72" s="21">
        <f>IF(ISNUMBER(tblData[Days'# UK]),tblData[[#This Row],[UK LogiP(t)]]/$BB$9,"")</f>
        <v>1123.1570252167842</v>
      </c>
      <c r="BD72" s="11">
        <f>IF(ISNUMBER(tblData[Days'# China]),betaChina/(deltaChina+betaPodeltaChina*EXP(-betaChina*tblData[Days'# China])),"")</f>
        <v>80973.535353128595</v>
      </c>
      <c r="BE72" s="11">
        <f>IF(ISNUMBER(tblData[China]),(tblData[[#This Row],[China LogiP(t)]]-tblData[[#This Row],[China]])^2,"")</f>
        <v>230846.27689326432</v>
      </c>
      <c r="BF72" s="11">
        <f>tblData[[#This Row],[China LogiP(t)]]/$BE$9</f>
        <v>562.58040548847714</v>
      </c>
      <c r="BG72" s="11">
        <f>IF(ISNUMBER(tblData[Day'# Singapore]),betaSingapore/(deltaSingapore+betaPodeltaSingapore*EXP(-betaSingapore*tblData[Day'# Singapore])),"")</f>
        <v>357.90585041750626</v>
      </c>
      <c r="BH72" s="11" t="str">
        <f>IF(AND(ISNUMBER(tblData[Singapore]),tblData[Date]&gt;=StartDt2Singapore),(tblData[[#This Row],[Singapore LogiP(t)]]-tblData[[#This Row],[Singapore]])^2,"")</f>
        <v/>
      </c>
      <c r="BI72" s="11">
        <f>IF(ISNUMBER(tblData[Day'# Singapore]),tblData[Singapore LogiP(t)]/$BH$9,"")</f>
        <v>611.80487250855776</v>
      </c>
      <c r="BJ72" s="11">
        <v>56272</v>
      </c>
      <c r="BK72" s="11"/>
      <c r="BL72" s="11">
        <f>IF(ISNUMBER(tblData[[#This Row],[NSW Number of Tests]]),tblData[[#This Row],[NSW Number of Tests]]-BJ71,"")</f>
        <v>4142</v>
      </c>
      <c r="BM72" s="11" t="str">
        <f>IF(ISNUMBER(tblData[[#This Row],[NSW Under Investigation'']]),tblData[[#This Row],[NSW Under Investigation'']]-BK71,"")</f>
        <v/>
      </c>
      <c r="BN72" s="11">
        <f t="shared" si="8"/>
        <v>18</v>
      </c>
      <c r="BO72" s="11">
        <f>IF(ISNUMBER(tblData[[#This Row],[NSW Test Day Number]]),betaTest/(deltaTest+betaPodeltaTest*EXP(-betaTest*tblData[[#This Row],[NSW Test Day Number]])),"")</f>
        <v>76690.720598271175</v>
      </c>
      <c r="BP72" s="11">
        <f>IF(ISNUMBER(tblData[[#This Row],[NSW Number of Tests]]),(tblData[[#This Row],[NSW Number of Tests]]-tblData[[#This Row],[NSW Test Logi]])^2,"")</f>
        <v>416924150.87026358</v>
      </c>
      <c r="BR72"/>
      <c r="BV72" s="26"/>
      <c r="CE72"/>
      <c r="CF72"/>
      <c r="CG72"/>
      <c r="CH72" s="26"/>
      <c r="CS72" s="26"/>
      <c r="CT72" s="26"/>
      <c r="DM72"/>
      <c r="DN72" s="26" t="s">
        <v>1236</v>
      </c>
      <c r="DO72" s="80">
        <v>43912.787627314814</v>
      </c>
      <c r="DP72" s="27">
        <v>43860</v>
      </c>
      <c r="DQ72" s="27">
        <v>43860</v>
      </c>
      <c r="DR72" s="26">
        <v>6</v>
      </c>
      <c r="DS72" s="26">
        <v>0.23594006316216126</v>
      </c>
      <c r="DT72" s="107">
        <v>9.9999999999999903E-10</v>
      </c>
      <c r="DU72" s="26">
        <v>2.9674631046950263E-2</v>
      </c>
      <c r="DV72" s="108">
        <v>235940063.1621615</v>
      </c>
      <c r="DW72" s="26">
        <v>71.927182904252248</v>
      </c>
      <c r="DX72" s="26">
        <v>7.9509013190152125</v>
      </c>
      <c r="DY72" s="112">
        <v>9.9999999999999911E-7</v>
      </c>
      <c r="DZ72" s="26"/>
      <c r="EA72" s="27">
        <v>43911</v>
      </c>
      <c r="EB72" s="26" t="s">
        <v>1411</v>
      </c>
      <c r="EC72" s="26">
        <v>235940063.1621615</v>
      </c>
      <c r="ED72" s="113">
        <v>5067</v>
      </c>
      <c r="EE72" s="26" t="s">
        <v>1464</v>
      </c>
      <c r="EF72" s="27">
        <v>43911</v>
      </c>
      <c r="EG72" s="26">
        <v>52</v>
      </c>
      <c r="EH72" s="26" t="s">
        <v>1496</v>
      </c>
      <c r="EI72" s="26"/>
      <c r="EJ72" s="26" t="s">
        <v>1466</v>
      </c>
      <c r="EK72" s="26"/>
      <c r="EL72" s="26" t="s">
        <v>1497</v>
      </c>
      <c r="EM72" s="26">
        <v>762.64298615291989</v>
      </c>
      <c r="EN72" s="94">
        <v>43911</v>
      </c>
      <c r="EO72" s="26">
        <v>1</v>
      </c>
      <c r="EP72" s="94">
        <v>43910</v>
      </c>
      <c r="EQ72" s="26">
        <v>2</v>
      </c>
    </row>
    <row r="73" spans="2:183" x14ac:dyDescent="0.25">
      <c r="B73" s="1">
        <f t="shared" si="12"/>
        <v>43914</v>
      </c>
      <c r="D73" s="26"/>
      <c r="L73" s="12" t="str">
        <f>IF(ISNUMBER(tblData[[#This Row],[NSW]]),tblData[[#This Row],[New South Wales]]/$L$9,"")</f>
        <v/>
      </c>
      <c r="M73" s="26"/>
      <c r="N73" s="48" t="str">
        <f>IF(ISNUMBER(tblData[Italy]),tblData[Italy]/$N$9,"")</f>
        <v/>
      </c>
      <c r="O73" s="26"/>
      <c r="P73" s="48" t="str">
        <f>IF(ISNUMBER(tblData[US]),tblData[US]/$P$9,"")</f>
        <v/>
      </c>
      <c r="Q73" s="48"/>
      <c r="R73" s="19" t="str">
        <f>IF(ISNUMBER(tblData[SKorea]),tblData[SKorea]/$R$9,"")</f>
        <v/>
      </c>
      <c r="S73" s="48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1"/>
      <c r="X73" s="21" t="str">
        <f>IF(ISNUMBER(tblData[Singapore]),tblData[Singapore]/$X$9,"")</f>
        <v/>
      </c>
      <c r="Y73" s="21"/>
      <c r="Z73" s="21"/>
      <c r="AA73" s="26">
        <f>IF(tblData[[#This Row],[Date]]&lt;ItalyStart,"",tblData[[#This Row],[Date]]-ItalyStart)</f>
        <v>54</v>
      </c>
      <c r="AB73" s="26">
        <f t="shared" si="9"/>
        <v>44</v>
      </c>
      <c r="AC73" s="26">
        <f t="shared" si="4"/>
        <v>62</v>
      </c>
      <c r="AD73" s="26">
        <f>IF(tblData[[#This Row],[Date]]&lt;StartDt2Korea,"",tblData[[#This Row],[Date]]-StartDt2Korea)</f>
        <v>34</v>
      </c>
      <c r="AE73" s="26">
        <f>IF(tblData[[#This Row],[Date]]&lt;UKStart,"",tblData[[#This Row],[Date]]-UKStart)</f>
        <v>54</v>
      </c>
      <c r="AF73" s="26">
        <f>IF(tblData[[#This Row],[Date]]&lt;SingaporeStart,"",tblData[[#This Row],[Date]]-SingaporeStart)</f>
        <v>61</v>
      </c>
      <c r="AG73">
        <f>IF(tblData[Date]&gt;=StartDt2Au,tblData[Date]-StartDt2Au,"")</f>
        <v>59</v>
      </c>
      <c r="AH73" s="26" t="str">
        <f>IF(tblData[New South Wales]&gt;0,SUM(tblData[[#This Row],[Australian Capital Territory]:[Western Australia]]),"")</f>
        <v/>
      </c>
      <c r="AI73" s="12" t="str">
        <f>IF(ISNUMBER(tblData[Au]),tblData[Au]/$AE$9,"")</f>
        <v/>
      </c>
      <c r="AJ73" s="19">
        <f>IF(ISNUMBER(tblData[[#This Row],[Day'# Aust]]),betaAu/(deltaAu+betaPodeltaAu*EXP(-betaAu*tblData[[#This Row],[Day'# Aust]])),"")</f>
        <v>2089.7354150837959</v>
      </c>
      <c r="AK73" s="70">
        <f>IF(ISNUMBER(tblData[Day'# Aust]),tblData[Au LogiP(t)]/$AI$9,"")</f>
        <v>823.89820812324399</v>
      </c>
      <c r="AL73" s="11" t="str">
        <f>IF(AND(tblData[Date]&gt;=StartDt2Au,ISNUMBER(tblData[NSW])),(tblData[[#This Row],[Au LogiP(t)]]-tblData[[#This Row],[Au]])^2,"")</f>
        <v/>
      </c>
      <c r="AM73">
        <f>IF(tblData[Date]&gt;StartDt2NSW,tblData[Date]-StartDt2NSW,"")</f>
        <v>59</v>
      </c>
      <c r="AN73" t="str">
        <f t="shared" si="11"/>
        <v/>
      </c>
      <c r="AO73" s="11">
        <f>IF(tblData[Date]&gt;StartDt2NSW,betaNSW/(deltaNSW+betaPodeltaNSW*EXP(-betaNSW*tblData[[#This Row],[Day '# NSW]])),"")</f>
        <v>828.83402991996695</v>
      </c>
      <c r="AP73" s="12" t="str">
        <f>IF(AND(ISNUMBER(tblData[NSW]),tblData[Date]&gt;StartDt2NSW),(tblData[[#This Row],[NSW LogiP(t)]]-tblData[[#This Row],[NSW]])^2,"")</f>
        <v/>
      </c>
      <c r="AQ73" s="12">
        <f>IF(AND(tblData[Date]&gt;StartDt2NSW,ISNUMBER(tblData[Day'# Aust])),tblData[NSW LogiP(t)]/$AL$9,"")</f>
        <v>1025.7846904950086</v>
      </c>
      <c r="AR73" s="11">
        <f>IF(AND(tblData[Date]&gt;StartDt2Italy,ISNUMBER(tblData[Days'# Italy])),betaItaly/(deltaItaly+betaPodeltaItaly*EXP(-betaItaly*tblData[Days'# Italy])),"")</f>
        <v>58078.104220257788</v>
      </c>
      <c r="AS73" s="11" t="str">
        <f>IF(AND(tblData[Date]&gt;StartDt2Italy,ISNUMBER(tblData[Italy])),(tblData[[#This Row],[Italy LogiP(t)]]-tblData[[#This Row],[Italy]])^2,"")</f>
        <v/>
      </c>
      <c r="AT73" s="43">
        <f>IF(AND(tblData[Date]&gt;StartDt2Italy,ISNUMBER(tblData[Days'# Italy])),tblData[[#This Row],[Italy LogiP(t)]]/$AS$9,"")</f>
        <v>9607.6268354438034</v>
      </c>
      <c r="AU73" s="21">
        <f>IF(ISNUMBER(tblData[[#This Row],[Days'# US]]),betaUS/(deltaUS+betaPodeltaUS*EXP(-betaUS*tblData[Days'# US])),"")</f>
        <v>49264.206269601622</v>
      </c>
      <c r="AV73" s="11" t="str">
        <f>IF(ISNUMBER(tblData[US]),(tblData[[#This Row],[US LogiP(t)]]-tblData[US])^2,"")</f>
        <v/>
      </c>
      <c r="AW73" s="21">
        <f>IF(ISNUMBER(tblData[[#This Row],[Days'# US]]),tblData[[#This Row],[US LogiP(t)]]/$AV$9,"")</f>
        <v>1496.356454404108</v>
      </c>
      <c r="AX73" s="21">
        <f>IF(tblData[Date]&gt;=StartDt2Korea,betaSKorea/(deltaSKorea+betaPodeltaSKorea*EXP(-betaSKorea*(tblData[Date]-StartDt2Korea))),"")</f>
        <v>8483.2201985491156</v>
      </c>
      <c r="AY73" s="21" t="str">
        <f>IF(AND(tblData[Date]&gt;=StartDt2Korea,ISNUMBER(tblData[SKorea])),(tblData[[#This Row],[SKorea LogiP(t)]]-tblData[[#This Row],[SKorea]])^2,"")</f>
        <v/>
      </c>
      <c r="AZ73" s="21">
        <f>IF(tblData[Date]&gt;=StartDt2Korea,tblData[[#This Row],[SKorea LogiP(t)]]/$AY$9,"")</f>
        <v>1650.4319452430186</v>
      </c>
      <c r="BA73" s="11">
        <f>IF(ISNUMBER(tblData[Days'# UK]),betaUK/(deltaUK+betaPodeltaUK*EXP(-betaUK*tblData[Days'# UK])),"")</f>
        <v>9281.556093499903</v>
      </c>
      <c r="BB73" s="21" t="str">
        <f>IF(ISNUMBER(tblData[UK]),(tblData[[#This Row],[UK LogiP(t)]]-tblData[[#This Row],[UK]])^2,"")</f>
        <v/>
      </c>
      <c r="BC73" s="21">
        <f>IF(ISNUMBER(tblData[Days'# UK]),tblData[[#This Row],[UK LogiP(t)]]/$BB$9,"")</f>
        <v>1396.9831567579624</v>
      </c>
      <c r="BD73" s="11">
        <f>IF(ISNUMBER(tblData[Days'# China]),betaChina/(deltaChina+betaPodeltaChina*EXP(-betaChina*tblData[Days'# China])),"")</f>
        <v>80974.621259210777</v>
      </c>
      <c r="BE73" s="11" t="str">
        <f>IF(ISNUMBER(tblData[China]),(tblData[[#This Row],[China LogiP(t)]]-tblData[[#This Row],[China]])^2,"")</f>
        <v/>
      </c>
      <c r="BF73" s="11">
        <f>tblData[[#This Row],[China LogiP(t)]]/$BE$9</f>
        <v>562.58795004586079</v>
      </c>
      <c r="BG73" s="11">
        <f>IF(ISNUMBER(tblData[Day'# Singapore]),betaSingapore/(deltaSingapore+betaPodeltaSingapore*EXP(-betaSingapore*tblData[Day'# Singapore])),"")</f>
        <v>373.98495896815075</v>
      </c>
      <c r="BH73" s="11" t="str">
        <f>IF(AND(ISNUMBER(tblData[Singapore]),tblData[Date]&gt;=StartDt2Singapore),(tblData[[#This Row],[Singapore LogiP(t)]]-tblData[[#This Row],[Singapore]])^2,"")</f>
        <v/>
      </c>
      <c r="BI73" s="11">
        <f>IF(ISNUMBER(tblData[Day'# Singapore]),tblData[Singapore LogiP(t)]/$BH$9,"")</f>
        <v>639.29052815068508</v>
      </c>
      <c r="BJ73" s="11"/>
      <c r="BK73" s="11"/>
      <c r="BL73" s="11" t="str">
        <f>IF(ISNUMBER(tblData[[#This Row],[NSW Number of Tests]]),tblData[[#This Row],[NSW Number of Tests]]-BJ72,"")</f>
        <v/>
      </c>
      <c r="BM73" s="11" t="str">
        <f>IF(ISNUMBER(tblData[[#This Row],[NSW Under Investigation'']]),tblData[[#This Row],[NSW Under Investigation'']]-BK72,"")</f>
        <v/>
      </c>
      <c r="BN73" s="11">
        <f t="shared" si="8"/>
        <v>19</v>
      </c>
      <c r="BO73" s="11">
        <f>IF(ISNUMBER(tblData[[#This Row],[NSW Test Day Number]]),betaTest/(deltaTest+betaPodeltaTest*EXP(-betaTest*tblData[[#This Row],[NSW Test Day Number]])),"")</f>
        <v>86574.414084765027</v>
      </c>
      <c r="BP73" s="11" t="str">
        <f>IF(ISNUMBER(tblData[[#This Row],[NSW Number of Tests]]),(tblData[[#This Row],[NSW Number of Tests]]-tblData[[#This Row],[NSW Test Logi]])^2,"")</f>
        <v/>
      </c>
      <c r="BR73"/>
      <c r="BV73" s="26"/>
      <c r="CE73"/>
      <c r="CF73"/>
      <c r="CG73"/>
      <c r="CH73" s="26"/>
      <c r="CS73" s="26"/>
      <c r="CT73" s="26"/>
      <c r="DM73"/>
      <c r="DN73" s="26" t="s">
        <v>975</v>
      </c>
      <c r="DO73" s="80"/>
      <c r="DP73" s="27"/>
      <c r="DQ73" s="27"/>
      <c r="DR73" s="26">
        <v>8</v>
      </c>
      <c r="DS73" s="23">
        <v>0.20209478104227763</v>
      </c>
      <c r="DT73" s="108">
        <v>1.0000000000000751E-10</v>
      </c>
      <c r="DU73" s="22">
        <v>5.7886977342360797E-3</v>
      </c>
      <c r="DV73" s="108">
        <v>2020947810.4226243</v>
      </c>
      <c r="DW73" s="22">
        <v>1385.0469640460797</v>
      </c>
      <c r="DX73" s="37">
        <v>34.911959532184611</v>
      </c>
      <c r="DY73" s="112">
        <v>1.0000000000000751E-7</v>
      </c>
      <c r="DZ73" s="24"/>
      <c r="EA73" s="27">
        <v>43908</v>
      </c>
      <c r="EB73" s="27" t="s">
        <v>988</v>
      </c>
      <c r="EC73" s="27"/>
      <c r="ED73" s="113">
        <v>33387</v>
      </c>
      <c r="EE73" s="26" t="s">
        <v>989</v>
      </c>
      <c r="EF73" s="27">
        <v>43908</v>
      </c>
      <c r="EG73" s="19">
        <v>13</v>
      </c>
      <c r="EH73" s="27" t="s">
        <v>990</v>
      </c>
      <c r="EI73" s="26"/>
      <c r="EJ73" s="26" t="s">
        <v>1020</v>
      </c>
      <c r="EK73" s="26"/>
      <c r="EL73" s="18" t="s">
        <v>1021</v>
      </c>
      <c r="EM73" s="26"/>
      <c r="EO73" s="19"/>
      <c r="EP73" s="94"/>
      <c r="EQ73" s="26"/>
    </row>
    <row r="74" spans="2:183" x14ac:dyDescent="0.25">
      <c r="B74" s="1">
        <f t="shared" si="12"/>
        <v>43915</v>
      </c>
      <c r="D74" s="26"/>
      <c r="L74" s="12" t="str">
        <f>IF(ISNUMBER(tblData[[#This Row],[NSW]]),tblData[[#This Row],[New South Wales]]/$L$9,"")</f>
        <v/>
      </c>
      <c r="M74" s="26"/>
      <c r="N74" s="48" t="str">
        <f>IF(ISNUMBER(tblData[Italy]),tblData[Italy]/$N$9,"")</f>
        <v/>
      </c>
      <c r="O74" s="26"/>
      <c r="P74" s="48" t="str">
        <f>IF(ISNUMBER(tblData[US]),tblData[US]/$P$9,"")</f>
        <v/>
      </c>
      <c r="Q74" s="48"/>
      <c r="R74" s="19" t="str">
        <f>IF(ISNUMBER(tblData[SKorea]),tblData[SKorea]/$R$9,"")</f>
        <v/>
      </c>
      <c r="S74" s="48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1"/>
      <c r="X74" s="21" t="str">
        <f>IF(ISNUMBER(tblData[Singapore]),tblData[Singapore]/$X$9,"")</f>
        <v/>
      </c>
      <c r="Y74" s="21"/>
      <c r="Z74" s="21"/>
      <c r="AA74" s="26">
        <f>IF(tblData[[#This Row],[Date]]&lt;ItalyStart,"",tblData[[#This Row],[Date]]-ItalyStart)</f>
        <v>55</v>
      </c>
      <c r="AB74" s="26">
        <f t="shared" si="9"/>
        <v>45</v>
      </c>
      <c r="AC74" s="26">
        <f t="shared" si="4"/>
        <v>63</v>
      </c>
      <c r="AD74" s="26">
        <f>IF(tblData[[#This Row],[Date]]&lt;StartDt2Korea,"",tblData[[#This Row],[Date]]-StartDt2Korea)</f>
        <v>35</v>
      </c>
      <c r="AE74" s="26">
        <f>IF(tblData[[#This Row],[Date]]&lt;UKStart,"",tblData[[#This Row],[Date]]-UKStart)</f>
        <v>55</v>
      </c>
      <c r="AF74" s="26">
        <f>IF(tblData[[#This Row],[Date]]&lt;SingaporeStart,"",tblData[[#This Row],[Date]]-SingaporeStart)</f>
        <v>62</v>
      </c>
      <c r="AG74">
        <f>IF(tblData[Date]&gt;=StartDt2Au,tblData[Date]-StartDt2Au,"")</f>
        <v>60</v>
      </c>
      <c r="AH74" s="26" t="str">
        <f>IF(tblData[New South Wales]&gt;0,SUM(tblData[[#This Row],[Australian Capital Territory]:[Western Australia]]),"")</f>
        <v/>
      </c>
      <c r="AI74" s="12" t="str">
        <f>IF(ISNUMBER(tblData[Au]),tblData[Au]/$AE$9,"")</f>
        <v/>
      </c>
      <c r="AJ74" s="19">
        <f>IF(ISNUMBER(tblData[[#This Row],[Day'# Aust]]),betaAu/(deltaAu+betaPodeltaAu*EXP(-betaAu*tblData[[#This Row],[Day'# Aust]])),"")</f>
        <v>2590.4307464991866</v>
      </c>
      <c r="AK74" s="70">
        <f>IF(ISNUMBER(tblData[Day'# Aust]),tblData[Au LogiP(t)]/$AI$9,"")</f>
        <v>1021.3021394492929</v>
      </c>
      <c r="AL74" s="11" t="str">
        <f>IF(AND(tblData[Date]&gt;=StartDt2Au,ISNUMBER(tblData[NSW])),(tblData[[#This Row],[Au LogiP(t)]]-tblData[[#This Row],[Au]])^2,"")</f>
        <v/>
      </c>
      <c r="AM74">
        <f>IF(tblData[Date]&gt;StartDt2NSW,tblData[Date]-StartDt2NSW,"")</f>
        <v>60</v>
      </c>
      <c r="AN74" t="str">
        <f t="shared" si="11"/>
        <v/>
      </c>
      <c r="AO74" s="11">
        <f>IF(tblData[Date]&gt;StartDt2NSW,betaNSW/(deltaNSW+betaPodeltaNSW*EXP(-betaNSW*tblData[[#This Row],[Day '# NSW]])),"")</f>
        <v>1010.6600118550527</v>
      </c>
      <c r="AP74" s="12" t="str">
        <f>IF(AND(ISNUMBER(tblData[NSW]),tblData[Date]&gt;StartDt2NSW),(tblData[[#This Row],[NSW LogiP(t)]]-tblData[[#This Row],[NSW]])^2,"")</f>
        <v/>
      </c>
      <c r="AQ74" s="12">
        <f>IF(AND(tblData[Date]&gt;StartDt2NSW,ISNUMBER(tblData[Day'# Aust])),tblData[NSW LogiP(t)]/$AL$9,"")</f>
        <v>1250.8168463552631</v>
      </c>
      <c r="AR74" s="11">
        <f>IF(AND(tblData[Date]&gt;StartDt2Italy,ISNUMBER(tblData[Days'# Italy])),betaItaly/(deltaItaly+betaPodeltaItaly*EXP(-betaItaly*tblData[Days'# Italy])),"")</f>
        <v>59603.813224618207</v>
      </c>
      <c r="AS74" s="11" t="str">
        <f>IF(AND(tblData[Date]&gt;StartDt2Italy,ISNUMBER(tblData[Italy])),(tblData[[#This Row],[Italy LogiP(t)]]-tblData[[#This Row],[Italy]])^2,"")</f>
        <v/>
      </c>
      <c r="AT74" s="43">
        <f>IF(AND(tblData[Date]&gt;StartDt2Italy,ISNUMBER(tblData[Days'# Italy])),tblData[[#This Row],[Italy LogiP(t)]]/$AS$9,"")</f>
        <v>9860.0187302925078</v>
      </c>
      <c r="AU74" s="21">
        <f>IF(ISNUMBER(tblData[[#This Row],[Days'# US]]),betaUS/(deltaUS+betaPodeltaUS*EXP(-betaUS*tblData[Days'# US])),"")</f>
        <v>61515.227235075654</v>
      </c>
      <c r="AV74" s="11" t="str">
        <f>IF(ISNUMBER(tblData[US]),(tblData[[#This Row],[US LogiP(t)]]-tblData[US])^2,"")</f>
        <v/>
      </c>
      <c r="AW74" s="21">
        <f>IF(ISNUMBER(tblData[[#This Row],[Days'# US]]),tblData[[#This Row],[US LogiP(t)]]/$AV$9,"")</f>
        <v>1868.4703213038326</v>
      </c>
      <c r="AX74" s="21">
        <f>IF(tblData[Date]&gt;=StartDt2Korea,betaSKorea/(deltaSKorea+betaPodeltaSKorea*EXP(-betaSKorea*(tblData[Date]-StartDt2Korea))),"")</f>
        <v>8485.6674800114215</v>
      </c>
      <c r="AY74" s="21" t="str">
        <f>IF(AND(tblData[Date]&gt;=StartDt2Korea,ISNUMBER(tblData[SKorea])),(tblData[[#This Row],[SKorea LogiP(t)]]-tblData[[#This Row],[SKorea]])^2,"")</f>
        <v/>
      </c>
      <c r="AZ74" s="21">
        <f>IF(tblData[Date]&gt;=StartDt2Korea,tblData[[#This Row],[SKorea LogiP(t)]]/$AY$9,"")</f>
        <v>1650.9080700411328</v>
      </c>
      <c r="BA74" s="11">
        <f>IF(ISNUMBER(tblData[Days'# UK]),betaUK/(deltaUK+betaPodeltaUK*EXP(-betaUK*tblData[Days'# UK])),"")</f>
        <v>11495.046715611412</v>
      </c>
      <c r="BB74" s="21" t="str">
        <f>IF(ISNUMBER(tblData[UK]),(tblData[[#This Row],[UK LogiP(t)]]-tblData[[#This Row],[UK]])^2,"")</f>
        <v/>
      </c>
      <c r="BC74" s="21">
        <f>IF(ISNUMBER(tblData[Days'# UK]),tblData[[#This Row],[UK LogiP(t)]]/$BB$9,"")</f>
        <v>1730.1394815790807</v>
      </c>
      <c r="BD74" s="11">
        <f>IF(ISNUMBER(tblData[Days'# China]),betaChina/(deltaChina+betaPodeltaChina*EXP(-betaChina*tblData[Days'# China])),"")</f>
        <v>80975.490874717943</v>
      </c>
      <c r="BE74" s="11" t="str">
        <f>IF(ISNUMBER(tblData[China]),(tblData[[#This Row],[China LogiP(t)]]-tblData[[#This Row],[China]])^2,"")</f>
        <v/>
      </c>
      <c r="BF74" s="11">
        <f>tblData[[#This Row],[China LogiP(t)]]/$BE$9</f>
        <v>562.59399187968359</v>
      </c>
      <c r="BG74" s="11">
        <f>IF(ISNUMBER(tblData[Day'# Singapore]),betaSingapore/(deltaSingapore+betaPodeltaSingapore*EXP(-betaSingapore*tblData[Day'# Singapore])),"")</f>
        <v>390.78642991992058</v>
      </c>
      <c r="BH74" s="11" t="str">
        <f>IF(AND(ISNUMBER(tblData[Singapore]),tblData[Date]&gt;=StartDt2Singapore),(tblData[[#This Row],[Singapore LogiP(t)]]-tblData[[#This Row],[Singapore]])^2,"")</f>
        <v/>
      </c>
      <c r="BI74" s="11">
        <f>IF(ISNUMBER(tblData[Day'# Singapore]),tblData[Singapore LogiP(t)]/$BH$9,"")</f>
        <v>668.01099131610363</v>
      </c>
      <c r="BJ74" s="11"/>
      <c r="BK74" s="11"/>
      <c r="BL74" s="11" t="str">
        <f>IF(ISNUMBER(tblData[[#This Row],[NSW Number of Tests]]),tblData[[#This Row],[NSW Number of Tests]]-BJ73,"")</f>
        <v/>
      </c>
      <c r="BM74" s="11" t="str">
        <f>IF(ISNUMBER(tblData[[#This Row],[NSW Under Investigation'']]),tblData[[#This Row],[NSW Under Investigation'']]-BK73,"")</f>
        <v/>
      </c>
      <c r="BN74" s="11">
        <f t="shared" si="8"/>
        <v>20</v>
      </c>
      <c r="BO74" s="11">
        <f>IF(ISNUMBER(tblData[[#This Row],[NSW Test Day Number]]),betaTest/(deltaTest+betaPodeltaTest*EXP(-betaTest*tblData[[#This Row],[NSW Test Day Number]])),"")</f>
        <v>97155.726134002703</v>
      </c>
      <c r="BP74" s="11" t="str">
        <f>IF(ISNUMBER(tblData[[#This Row],[NSW Number of Tests]]),(tblData[[#This Row],[NSW Number of Tests]]-tblData[[#This Row],[NSW Test Logi]])^2,"")</f>
        <v/>
      </c>
      <c r="BR74"/>
      <c r="BV74" s="26"/>
      <c r="CE74"/>
      <c r="CF74"/>
      <c r="CG74"/>
      <c r="CH74" s="26"/>
      <c r="CS74" s="26"/>
      <c r="CT74" s="26"/>
      <c r="DM74"/>
      <c r="DN74" t="s">
        <v>975</v>
      </c>
      <c r="DO74" s="80">
        <v>43911.866342592592</v>
      </c>
      <c r="DP74" s="27"/>
      <c r="DQ74" s="27">
        <v>43896</v>
      </c>
      <c r="DR74">
        <v>8</v>
      </c>
      <c r="DS74">
        <v>0.20209478104227763</v>
      </c>
      <c r="DT74" s="107">
        <v>1.0000000000000751E-10</v>
      </c>
      <c r="DU74">
        <v>5.7886977342360797E-3</v>
      </c>
      <c r="DV74" s="108">
        <v>2020947810.4226243</v>
      </c>
      <c r="DW74" s="19">
        <v>1753.8770216205796</v>
      </c>
      <c r="DX74" s="12">
        <v>34.911959532184611</v>
      </c>
      <c r="DY74" s="112">
        <v>1.0000000000000751E-7</v>
      </c>
      <c r="EA74" s="27">
        <v>43910</v>
      </c>
      <c r="EB74" t="s">
        <v>988</v>
      </c>
      <c r="EC74" s="26"/>
      <c r="ED74" s="113">
        <v>40298</v>
      </c>
      <c r="EE74" t="s">
        <v>989</v>
      </c>
      <c r="EF74" s="27">
        <v>43910</v>
      </c>
      <c r="EG74">
        <v>15</v>
      </c>
      <c r="EH74" t="s">
        <v>990</v>
      </c>
      <c r="EJ74" t="s">
        <v>1020</v>
      </c>
      <c r="EL74" t="s">
        <v>1388</v>
      </c>
      <c r="EP74" s="94"/>
      <c r="ER74" s="26"/>
    </row>
    <row r="75" spans="2:183" x14ac:dyDescent="0.25">
      <c r="B75" s="1">
        <f t="shared" si="12"/>
        <v>43916</v>
      </c>
      <c r="D75" s="26"/>
      <c r="L75" s="12" t="str">
        <f>IF(ISNUMBER(tblData[[#This Row],[NSW]]),tblData[[#This Row],[New South Wales]]/$L$9,"")</f>
        <v/>
      </c>
      <c r="M75" s="26"/>
      <c r="N75" s="48" t="str">
        <f>IF(ISNUMBER(tblData[Italy]),tblData[Italy]/$N$9,"")</f>
        <v/>
      </c>
      <c r="O75" s="26"/>
      <c r="P75" s="48" t="str">
        <f>IF(ISNUMBER(tblData[US]),tblData[US]/$P$9,"")</f>
        <v/>
      </c>
      <c r="Q75" s="48"/>
      <c r="R75" s="19" t="str">
        <f>IF(ISNUMBER(tblData[SKorea]),tblData[SKorea]/$R$9,"")</f>
        <v/>
      </c>
      <c r="S75" s="48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1"/>
      <c r="X75" s="21" t="str">
        <f>IF(ISNUMBER(tblData[Singapore]),tblData[Singapore]/$X$9,"")</f>
        <v/>
      </c>
      <c r="Y75" s="21"/>
      <c r="Z75" s="21"/>
      <c r="AA75" s="26">
        <f>IF(tblData[[#This Row],[Date]]&lt;ItalyStart,"",tblData[[#This Row],[Date]]-ItalyStart)</f>
        <v>56</v>
      </c>
      <c r="AB75" s="26">
        <f t="shared" si="9"/>
        <v>46</v>
      </c>
      <c r="AC75" s="26">
        <f t="shared" si="4"/>
        <v>64</v>
      </c>
      <c r="AD75" s="26">
        <f>IF(tblData[[#This Row],[Date]]&lt;StartDt2Korea,"",tblData[[#This Row],[Date]]-StartDt2Korea)</f>
        <v>36</v>
      </c>
      <c r="AE75" s="26">
        <f>IF(tblData[[#This Row],[Date]]&lt;UKStart,"",tblData[[#This Row],[Date]]-UKStart)</f>
        <v>56</v>
      </c>
      <c r="AF75" s="26">
        <f>IF(tblData[[#This Row],[Date]]&lt;SingaporeStart,"",tblData[[#This Row],[Date]]-SingaporeStart)</f>
        <v>63</v>
      </c>
      <c r="AG75">
        <f>IF(tblData[Date]&gt;=StartDt2Au,tblData[Date]-StartDt2Au,"")</f>
        <v>61</v>
      </c>
      <c r="AH75" s="26" t="str">
        <f>IF(tblData[New South Wales]&gt;0,SUM(tblData[[#This Row],[Australian Capital Territory]:[Western Australia]]),"")</f>
        <v/>
      </c>
      <c r="AI75" s="12" t="str">
        <f>IF(ISNUMBER(tblData[Au]),tblData[Au]/$AE$9,"")</f>
        <v/>
      </c>
      <c r="AJ75" s="19">
        <f>IF(ISNUMBER(tblData[[#This Row],[Day'# Aust]]),betaAu/(deltaAu+betaPodeltaAu*EXP(-betaAu*tblData[[#This Row],[Day'# Aust]])),"")</f>
        <v>3211.0914138818521</v>
      </c>
      <c r="AK75" s="70">
        <f>IF(ISNUMBER(tblData[Day'# Aust]),tblData[Au LogiP(t)]/$AI$9,"")</f>
        <v>1266.0035538092777</v>
      </c>
      <c r="AL75" s="11" t="str">
        <f>IF(AND(tblData[Date]&gt;=StartDt2Au,ISNUMBER(tblData[NSW])),(tblData[[#This Row],[Au LogiP(t)]]-tblData[[#This Row],[Au]])^2,"")</f>
        <v/>
      </c>
      <c r="AM75">
        <f>IF(tblData[Date]&gt;StartDt2NSW,tblData[Date]-StartDt2NSW,"")</f>
        <v>61</v>
      </c>
      <c r="AN75" t="str">
        <f t="shared" si="11"/>
        <v/>
      </c>
      <c r="AO75" s="11">
        <f>IF(tblData[Date]&gt;StartDt2NSW,betaNSW/(deltaNSW+betaPodeltaNSW*EXP(-betaNSW*tblData[[#This Row],[Day '# NSW]])),"")</f>
        <v>1232.3741816634438</v>
      </c>
      <c r="AP75" s="12" t="str">
        <f>IF(AND(ISNUMBER(tblData[NSW]),tblData[Date]&gt;StartDt2NSW),(tblData[[#This Row],[NSW LogiP(t)]]-tblData[[#This Row],[NSW]])^2,"")</f>
        <v/>
      </c>
      <c r="AQ75" s="12">
        <f>IF(AND(tblData[Date]&gt;StartDt2NSW,ISNUMBER(tblData[Day'# Aust])),tblData[NSW LogiP(t)]/$AL$9,"")</f>
        <v>1525.2155713656482</v>
      </c>
      <c r="AR75" s="11">
        <f>IF(AND(tblData[Date]&gt;StartDt2Italy,ISNUMBER(tblData[Days'# Italy])),betaItaly/(deltaItaly+betaPodeltaItaly*EXP(-betaItaly*tblData[Days'# Italy])),"")</f>
        <v>60837.656397486578</v>
      </c>
      <c r="AS75" s="11" t="str">
        <f>IF(AND(tblData[Date]&gt;StartDt2Italy,ISNUMBER(tblData[Italy])),(tblData[[#This Row],[Italy LogiP(t)]]-tblData[[#This Row],[Italy]])^2,"")</f>
        <v/>
      </c>
      <c r="AT75" s="43">
        <f>IF(AND(tblData[Date]&gt;StartDt2Italy,ISNUMBER(tblData[Days'# Italy])),tblData[[#This Row],[Italy LogiP(t)]]/$AS$9,"")</f>
        <v>10064.12843630878</v>
      </c>
      <c r="AU75" s="21">
        <f>IF(ISNUMBER(tblData[[#This Row],[Days'# US]]),betaUS/(deltaUS+betaPodeltaUS*EXP(-betaUS*tblData[Days'# US])),"")</f>
        <v>74789.949254051855</v>
      </c>
      <c r="AV75" s="11" t="str">
        <f>IF(ISNUMBER(tblData[US]),(tblData[[#This Row],[US LogiP(t)]]-tblData[US])^2,"")</f>
        <v/>
      </c>
      <c r="AW75" s="21">
        <f>IF(ISNUMBER(tblData[[#This Row],[Days'# US]]),tblData[[#This Row],[US LogiP(t)]]/$AV$9,"")</f>
        <v>2271.6781973185171</v>
      </c>
      <c r="AX75" s="21">
        <f>IF(tblData[Date]&gt;=StartDt2Korea,betaSKorea/(deltaSKorea+betaPodeltaSKorea*EXP(-betaSKorea*(tblData[Date]-StartDt2Korea))),"")</f>
        <v>8487.462630978318</v>
      </c>
      <c r="AY75" s="21" t="str">
        <f>IF(AND(tblData[Date]&gt;=StartDt2Korea,ISNUMBER(tblData[SKorea])),(tblData[[#This Row],[SKorea LogiP(t)]]-tblData[[#This Row],[SKorea]])^2,"")</f>
        <v/>
      </c>
      <c r="AZ75" s="21">
        <f>IF(tblData[Date]&gt;=StartDt2Korea,tblData[[#This Row],[SKorea LogiP(t)]]/$AY$9,"")</f>
        <v>1651.2573212020075</v>
      </c>
      <c r="BA75" s="11">
        <f>IF(ISNUMBER(tblData[Days'# UK]),betaUK/(deltaUK+betaPodeltaUK*EXP(-betaUK*tblData[Days'# UK])),"")</f>
        <v>14162.746147414911</v>
      </c>
      <c r="BB75" s="21" t="str">
        <f>IF(ISNUMBER(tblData[UK]),(tblData[[#This Row],[UK LogiP(t)]]-tblData[[#This Row],[UK]])^2,"")</f>
        <v/>
      </c>
      <c r="BC75" s="21">
        <f>IF(ISNUMBER(tblData[Days'# UK]),tblData[[#This Row],[UK LogiP(t)]]/$BB$9,"")</f>
        <v>2131.6595646319856</v>
      </c>
      <c r="BD75" s="11">
        <f>IF(ISNUMBER(tblData[Days'# China]),betaChina/(deltaChina+betaPodeltaChina*EXP(-betaChina*tblData[Days'# China])),"")</f>
        <v>80976.187277017336</v>
      </c>
      <c r="BE75" s="11" t="str">
        <f>IF(ISNUMBER(tblData[China]),(tblData[[#This Row],[China LogiP(t)]]-tblData[[#This Row],[China]])^2,"")</f>
        <v/>
      </c>
      <c r="BF75" s="11">
        <f>tblData[[#This Row],[China LogiP(t)]]/$BE$9</f>
        <v>562.59883027887497</v>
      </c>
      <c r="BG75" s="11">
        <f>IF(ISNUMBER(tblData[Day'# Singapore]),betaSingapore/(deltaSingapore+betaPodeltaSingapore*EXP(-betaSingapore*tblData[Day'# Singapore])),"")</f>
        <v>408.34271578269369</v>
      </c>
      <c r="BH75" s="11" t="str">
        <f>IF(AND(ISNUMBER(tblData[Singapore]),tblData[Date]&gt;=StartDt2Singapore),(tblData[[#This Row],[Singapore LogiP(t)]]-tblData[[#This Row],[Singapore]])^2,"")</f>
        <v/>
      </c>
      <c r="BI75" s="11">
        <f>IF(ISNUMBER(tblData[Day'# Singapore]),tblData[Singapore LogiP(t)]/$BH$9,"")</f>
        <v>698.02173638067302</v>
      </c>
      <c r="BJ75" s="11"/>
      <c r="BK75" s="11"/>
      <c r="BL75" s="11" t="str">
        <f>IF(ISNUMBER(tblData[[#This Row],[NSW Number of Tests]]),tblData[[#This Row],[NSW Number of Tests]]-BJ74,"")</f>
        <v/>
      </c>
      <c r="BM75" s="11" t="str">
        <f>IF(ISNUMBER(tblData[[#This Row],[NSW Under Investigation'']]),tblData[[#This Row],[NSW Under Investigation'']]-BK74,"")</f>
        <v/>
      </c>
      <c r="BN75" s="11">
        <f t="shared" si="8"/>
        <v>21</v>
      </c>
      <c r="BO75" s="11">
        <f>IF(ISNUMBER(tblData[[#This Row],[NSW Test Day Number]]),betaTest/(deltaTest+betaPodeltaTest*EXP(-betaTest*tblData[[#This Row],[NSW Test Day Number]])),"")</f>
        <v>108346.48269569721</v>
      </c>
      <c r="BP75" s="11" t="str">
        <f>IF(ISNUMBER(tblData[[#This Row],[NSW Number of Tests]]),(tblData[[#This Row],[NSW Number of Tests]]-tblData[[#This Row],[NSW Test Logi]])^2,"")</f>
        <v/>
      </c>
      <c r="BR75"/>
      <c r="BV75" s="26"/>
      <c r="CE75"/>
      <c r="CF75"/>
      <c r="CG75"/>
      <c r="CH75" s="26"/>
      <c r="CS75" s="26"/>
      <c r="CT75" s="26"/>
      <c r="DM75"/>
      <c r="DN75" t="s">
        <v>975</v>
      </c>
      <c r="DO75" s="80"/>
      <c r="DP75" s="27"/>
      <c r="DQ75" s="27"/>
      <c r="DR75">
        <v>8</v>
      </c>
      <c r="DS75">
        <v>0.20209478104227763</v>
      </c>
      <c r="DT75" s="107">
        <v>1.0000000000000751E-10</v>
      </c>
      <c r="DU75">
        <v>5.7886977342360797E-3</v>
      </c>
      <c r="DV75" s="108">
        <v>2020947810.4226243</v>
      </c>
      <c r="DW75" s="19">
        <v>1753.8770216205796</v>
      </c>
      <c r="DX75" s="12">
        <v>34.911959532184611</v>
      </c>
      <c r="DY75" s="112">
        <v>1.0000000000000751E-7</v>
      </c>
      <c r="EA75" s="27">
        <v>43910</v>
      </c>
      <c r="EB75" t="s">
        <v>988</v>
      </c>
      <c r="EC75" s="26"/>
      <c r="ED75" s="113">
        <v>40298</v>
      </c>
      <c r="EE75" t="s">
        <v>989</v>
      </c>
      <c r="EF75" s="27">
        <v>43910</v>
      </c>
      <c r="EG75">
        <v>15</v>
      </c>
      <c r="EH75" t="s">
        <v>990</v>
      </c>
      <c r="EJ75" t="s">
        <v>1020</v>
      </c>
      <c r="EL75" t="s">
        <v>1308</v>
      </c>
      <c r="EP75" s="94"/>
      <c r="ER75" s="26"/>
    </row>
    <row r="76" spans="2:183" x14ac:dyDescent="0.25">
      <c r="B76" s="1">
        <f t="shared" si="12"/>
        <v>43917</v>
      </c>
      <c r="D76" s="26"/>
      <c r="L76" s="12" t="str">
        <f>IF(ISNUMBER(tblData[[#This Row],[NSW]]),tblData[[#This Row],[New South Wales]]/$L$9,"")</f>
        <v/>
      </c>
      <c r="M76" s="26"/>
      <c r="N76" s="48" t="str">
        <f>IF(ISNUMBER(tblData[Italy]),tblData[Italy]/$N$9,"")</f>
        <v/>
      </c>
      <c r="O76" s="26"/>
      <c r="P76" s="48" t="str">
        <f>IF(ISNUMBER(tblData[US]),tblData[US]/$P$9,"")</f>
        <v/>
      </c>
      <c r="Q76" s="48"/>
      <c r="R76" s="19" t="str">
        <f>IF(ISNUMBER(tblData[SKorea]),tblData[SKorea]/$R$9,"")</f>
        <v/>
      </c>
      <c r="S76" s="48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1"/>
      <c r="X76" s="21" t="str">
        <f>IF(ISNUMBER(tblData[Singapore]),tblData[Singapore]/$X$9,"")</f>
        <v/>
      </c>
      <c r="Y76" s="21"/>
      <c r="Z76" s="21"/>
      <c r="AA76" s="26">
        <f>IF(tblData[[#This Row],[Date]]&lt;ItalyStart,"",tblData[[#This Row],[Date]]-ItalyStart)</f>
        <v>57</v>
      </c>
      <c r="AB76" s="26">
        <f t="shared" si="9"/>
        <v>47</v>
      </c>
      <c r="AC76" s="26">
        <f t="shared" si="4"/>
        <v>65</v>
      </c>
      <c r="AD76" s="26">
        <f>IF(tblData[[#This Row],[Date]]&lt;StartDt2Korea,"",tblData[[#This Row],[Date]]-StartDt2Korea)</f>
        <v>37</v>
      </c>
      <c r="AE76" s="26">
        <f>IF(tblData[[#This Row],[Date]]&lt;UKStart,"",tblData[[#This Row],[Date]]-UKStart)</f>
        <v>57</v>
      </c>
      <c r="AF76" s="26">
        <f>IF(tblData[[#This Row],[Date]]&lt;SingaporeStart,"",tblData[[#This Row],[Date]]-SingaporeStart)</f>
        <v>64</v>
      </c>
      <c r="AG76">
        <f>IF(tblData[Date]&gt;=StartDt2Au,tblData[Date]-StartDt2Au,"")</f>
        <v>62</v>
      </c>
      <c r="AH76" s="26" t="str">
        <f>IF(tblData[New South Wales]&gt;0,SUM(tblData[[#This Row],[Australian Capital Territory]:[Western Australia]]),"")</f>
        <v/>
      </c>
      <c r="AI76" s="12" t="str">
        <f>IF(ISNUMBER(tblData[Au]),tblData[Au]/$AE$9,"")</f>
        <v/>
      </c>
      <c r="AJ76" s="19">
        <f>IF(ISNUMBER(tblData[[#This Row],[Day'# Aust]]),betaAu/(deltaAu+betaPodeltaAu*EXP(-betaAu*tblData[[#This Row],[Day'# Aust]])),"")</f>
        <v>3980.4608075709616</v>
      </c>
      <c r="AK76" s="70">
        <f>IF(ISNUMBER(tblData[Day'# Aust]),tblData[Au LogiP(t)]/$AI$9,"")</f>
        <v>1569.3348082206915</v>
      </c>
      <c r="AL76" s="11" t="str">
        <f>IF(AND(tblData[Date]&gt;=StartDt2Au,ISNUMBER(tblData[NSW])),(tblData[[#This Row],[Au LogiP(t)]]-tblData[[#This Row],[Au]])^2,"")</f>
        <v/>
      </c>
      <c r="AM76">
        <f>IF(tblData[Date]&gt;StartDt2NSW,tblData[Date]-StartDt2NSW,"")</f>
        <v>62</v>
      </c>
      <c r="AN76" t="str">
        <f t="shared" si="11"/>
        <v/>
      </c>
      <c r="AO76" s="11">
        <f>IF(tblData[Date]&gt;StartDt2NSW,betaNSW/(deltaNSW+betaPodeltaNSW*EXP(-betaNSW*tblData[[#This Row],[Day '# NSW]])),"")</f>
        <v>1502.7270352475532</v>
      </c>
      <c r="AP76" s="12" t="str">
        <f>IF(AND(ISNUMBER(tblData[NSW]),tblData[Date]&gt;StartDt2NSW),(tblData[[#This Row],[NSW LogiP(t)]]-tblData[[#This Row],[NSW]])^2,"")</f>
        <v/>
      </c>
      <c r="AQ76" s="12">
        <f>IF(AND(tblData[Date]&gt;StartDt2NSW,ISNUMBER(tblData[Day'# Aust])),tblData[NSW LogiP(t)]/$AL$9,"")</f>
        <v>1859.8106871875657</v>
      </c>
      <c r="AR76" s="11">
        <f>IF(AND(tblData[Date]&gt;StartDt2Italy,ISNUMBER(tblData[Days'# Italy])),betaItaly/(deltaItaly+betaPodeltaItaly*EXP(-betaItaly*tblData[Days'# Italy])),"")</f>
        <v>61825.716318317718</v>
      </c>
      <c r="AS76" s="11" t="str">
        <f>IF(AND(tblData[Date]&gt;StartDt2Italy,ISNUMBER(tblData[Italy])),(tblData[[#This Row],[Italy LogiP(t)]]-tblData[[#This Row],[Italy]])^2,"")</f>
        <v/>
      </c>
      <c r="AT76" s="43">
        <f>IF(AND(tblData[Date]&gt;StartDt2Italy,ISNUMBER(tblData[Days'# Italy])),tblData[[#This Row],[Italy LogiP(t)]]/$AS$9,"")</f>
        <v>10227.579208985562</v>
      </c>
      <c r="AU76" s="21">
        <f>IF(ISNUMBER(tblData[[#This Row],[Days'# US]]),betaUS/(deltaUS+betaPodeltaUS*EXP(-betaUS*tblData[Days'# US])),"")</f>
        <v>88406.547992818829</v>
      </c>
      <c r="AV76" s="11" t="str">
        <f>IF(ISNUMBER(tblData[US]),(tblData[[#This Row],[US LogiP(t)]]-tblData[US])^2,"")</f>
        <v/>
      </c>
      <c r="AW76" s="21">
        <f>IF(ISNUMBER(tblData[[#This Row],[Days'# US]]),tblData[[#This Row],[US LogiP(t)]]/$AV$9,"")</f>
        <v>2685.2702746632672</v>
      </c>
      <c r="AX76" s="21">
        <f>IF(tblData[Date]&gt;=StartDt2Korea,betaSKorea/(deltaSKorea+betaPodeltaSKorea*EXP(-betaSKorea*(tblData[Date]-StartDt2Korea))),"")</f>
        <v>8488.7792500132055</v>
      </c>
      <c r="AY76" s="21" t="str">
        <f>IF(AND(tblData[Date]&gt;=StartDt2Korea,ISNUMBER(tblData[SKorea])),(tblData[[#This Row],[SKorea LogiP(t)]]-tblData[[#This Row],[SKorea]])^2,"")</f>
        <v/>
      </c>
      <c r="AZ76" s="21">
        <f>IF(tblData[Date]&gt;=StartDt2Korea,tblData[[#This Row],[SKorea LogiP(t)]]/$AY$9,"")</f>
        <v>1651.5134727652153</v>
      </c>
      <c r="BA76" s="11">
        <f>IF(ISNUMBER(tblData[Days'# UK]),betaUK/(deltaUK+betaPodeltaUK*EXP(-betaUK*tblData[Days'# UK])),"")</f>
        <v>17341.396481280331</v>
      </c>
      <c r="BB76" s="21" t="str">
        <f>IF(ISNUMBER(tblData[UK]),(tblData[[#This Row],[UK LogiP(t)]]-tblData[[#This Row],[UK]])^2,"")</f>
        <v/>
      </c>
      <c r="BC76" s="21">
        <f>IF(ISNUMBER(tblData[Days'# UK]),tblData[[#This Row],[UK LogiP(t)]]/$BB$9,"")</f>
        <v>2610.0837569657333</v>
      </c>
      <c r="BD76" s="11">
        <f>IF(ISNUMBER(tblData[Days'# China]),betaChina/(deltaChina+betaPodeltaChina*EXP(-betaChina*tblData[Days'# China])),"")</f>
        <v>80976.744965202888</v>
      </c>
      <c r="BE76" s="11" t="str">
        <f>IF(ISNUMBER(tblData[China]),(tblData[[#This Row],[China LogiP(t)]]-tblData[[#This Row],[China]])^2,"")</f>
        <v/>
      </c>
      <c r="BF76" s="11">
        <f>tblData[[#This Row],[China LogiP(t)]]/$BE$9</f>
        <v>562.60270493303437</v>
      </c>
      <c r="BG76" s="11">
        <f>IF(ISNUMBER(tblData[Day'# Singapore]),betaSingapore/(deltaSingapore+betaPodeltaSingapore*EXP(-betaSingapore*tblData[Day'# Singapore])),"")</f>
        <v>426.6877270123274</v>
      </c>
      <c r="BH76" s="11" t="str">
        <f>IF(AND(ISNUMBER(tblData[Singapore]),tblData[Date]&gt;=StartDt2Singapore),(tblData[[#This Row],[Singapore LogiP(t)]]-tblData[[#This Row],[Singapore]])^2,"")</f>
        <v/>
      </c>
      <c r="BI76" s="11">
        <f>IF(ISNUMBER(tblData[Day'# Singapore]),tblData[Singapore LogiP(t)]/$BH$9,"")</f>
        <v>729.3807299356024</v>
      </c>
      <c r="BJ76" s="11"/>
      <c r="BK76" s="11"/>
      <c r="BL76" s="11" t="str">
        <f>IF(ISNUMBER(tblData[[#This Row],[NSW Number of Tests]]),tblData[[#This Row],[NSW Number of Tests]]-BJ75,"")</f>
        <v/>
      </c>
      <c r="BM76" s="11" t="str">
        <f>IF(ISNUMBER(tblData[[#This Row],[NSW Under Investigation'']]),tblData[[#This Row],[NSW Under Investigation'']]-BK75,"")</f>
        <v/>
      </c>
      <c r="BN76" s="11">
        <f t="shared" si="8"/>
        <v>22</v>
      </c>
      <c r="BO76" s="11">
        <f>IF(ISNUMBER(tblData[[#This Row],[NSW Test Day Number]]),betaTest/(deltaTest+betaPodeltaTest*EXP(-betaTest*tblData[[#This Row],[NSW Test Day Number]])),"")</f>
        <v>120030.05711722217</v>
      </c>
      <c r="BP76" s="11" t="str">
        <f>IF(ISNUMBER(tblData[[#This Row],[NSW Number of Tests]]),(tblData[[#This Row],[NSW Number of Tests]]-tblData[[#This Row],[NSW Test Logi]])^2,"")</f>
        <v/>
      </c>
      <c r="BR76"/>
      <c r="BV76" s="26"/>
      <c r="CE76"/>
      <c r="CF76"/>
      <c r="CG76"/>
      <c r="CH76" s="26"/>
      <c r="CS76" s="26"/>
      <c r="CT76" s="26"/>
      <c r="DM76"/>
      <c r="DN76" t="s">
        <v>975</v>
      </c>
      <c r="DO76" s="80">
        <v>43911.89398148148</v>
      </c>
      <c r="DP76" s="27"/>
      <c r="DQ76" s="27">
        <v>43896</v>
      </c>
      <c r="DR76">
        <v>8</v>
      </c>
      <c r="DS76">
        <v>0.20209478104227763</v>
      </c>
      <c r="DT76" s="107">
        <v>1.0000000000000751E-10</v>
      </c>
      <c r="DU76">
        <v>5.7886977342360797E-3</v>
      </c>
      <c r="DV76" s="108">
        <v>2020947810.4226243</v>
      </c>
      <c r="DW76">
        <v>2141.4153557262753</v>
      </c>
      <c r="DX76">
        <v>34.911959532184611</v>
      </c>
      <c r="DY76" s="112">
        <v>1.0000000000000751E-7</v>
      </c>
      <c r="EA76" s="27">
        <v>43911</v>
      </c>
      <c r="EB76" t="s">
        <v>988</v>
      </c>
      <c r="EC76" s="26"/>
      <c r="ED76" s="113">
        <v>46456</v>
      </c>
      <c r="EE76" t="s">
        <v>989</v>
      </c>
      <c r="EF76" s="27">
        <v>43911</v>
      </c>
      <c r="EG76">
        <v>16</v>
      </c>
      <c r="EH76" t="s">
        <v>990</v>
      </c>
      <c r="EJ76" t="s">
        <v>1020</v>
      </c>
      <c r="EL76" t="s">
        <v>1389</v>
      </c>
      <c r="EP76" s="94"/>
      <c r="ER76" s="26"/>
    </row>
    <row r="77" spans="2:183" s="53" customFormat="1" x14ac:dyDescent="0.25">
      <c r="B77" s="52">
        <f t="shared" si="12"/>
        <v>43918</v>
      </c>
      <c r="L77" s="12" t="str">
        <f>IF(ISNUMBER(tblData[[#This Row],[NSW]]),tblData[[#This Row],[New South Wales]]/$L$9,"")</f>
        <v/>
      </c>
      <c r="N77" s="54" t="str">
        <f>IF(ISNUMBER(tblData[Italy]),tblData[Italy]/$N$9,"")</f>
        <v/>
      </c>
      <c r="P77" s="54" t="str">
        <f>IF(ISNUMBER(tblData[US]),tblData[US]/$P$9,"")</f>
        <v/>
      </c>
      <c r="Q77" s="54"/>
      <c r="R77" s="19" t="str">
        <f>IF(ISNUMBER(tblData[SKorea]),tblData[SKorea]/$R$9,"")</f>
        <v/>
      </c>
      <c r="S77" s="54"/>
      <c r="T77" s="12" t="str">
        <f>IF(ISNUMBER(tblData[UK]),tblData[UK]/$T$9,"")</f>
        <v/>
      </c>
      <c r="V77" s="59" t="str">
        <f>IF(ISNUMBER(tblData[China]),tblData[China]/$V$9,"")</f>
        <v/>
      </c>
      <c r="W77" s="59"/>
      <c r="X77" s="59" t="str">
        <f>IF(ISNUMBER(tblData[Singapore]),tblData[Singapore]/$X$9,"")</f>
        <v/>
      </c>
      <c r="Y77" s="59"/>
      <c r="Z77" s="59"/>
      <c r="AA77" s="26">
        <f>IF(tblData[[#This Row],[Date]]&lt;ItalyStart,"",tblData[[#This Row],[Date]]-ItalyStart)</f>
        <v>58</v>
      </c>
      <c r="AB77" s="26">
        <f t="shared" si="9"/>
        <v>48</v>
      </c>
      <c r="AC77" s="53">
        <f t="shared" ref="AC77:AC107" si="13">AC76+1</f>
        <v>66</v>
      </c>
      <c r="AD77" s="53">
        <f>IF(tblData[[#This Row],[Date]]&lt;StartDt2Korea,"",tblData[[#This Row],[Date]]-StartDt2Korea)</f>
        <v>38</v>
      </c>
      <c r="AE77" s="53">
        <f>IF(tblData[[#This Row],[Date]]&lt;UKStart,"",tblData[[#This Row],[Date]]-UKStart)</f>
        <v>58</v>
      </c>
      <c r="AF77" s="53">
        <f>IF(tblData[[#This Row],[Date]]&lt;SingaporeStart,"",tblData[[#This Row],[Date]]-SingaporeStart)</f>
        <v>65</v>
      </c>
      <c r="AG77" s="53">
        <f>IF(tblData[Date]&gt;=StartDt2Au,tblData[Date]-StartDt2Au,"")</f>
        <v>63</v>
      </c>
      <c r="AH77" s="53" t="str">
        <f>IF(tblData[New South Wales]&gt;0,SUM(tblData[[#This Row],[Australian Capital Territory]:[Western Australia]]),"")</f>
        <v/>
      </c>
      <c r="AI77" s="55" t="str">
        <f>IF(ISNUMBER(tblData[Au]),tblData[Au]/$AE$9,"")</f>
        <v/>
      </c>
      <c r="AJ77" s="56">
        <f>IF(ISNUMBER(tblData[[#This Row],[Day'# Aust]]),betaAu/(deltaAu+betaPodeltaAu*EXP(-betaAu*tblData[[#This Row],[Day'# Aust]])),"")</f>
        <v>4934.1691608388956</v>
      </c>
      <c r="AK77" s="70">
        <f>IF(ISNUMBER(tblData[Day'# Aust]),tblData[Au LogiP(t)]/$AI$9,"")</f>
        <v>1945.3434635068977</v>
      </c>
      <c r="AL77" s="57" t="str">
        <f>IF(AND(tblData[Date]&gt;=StartDt2Au,ISNUMBER(tblData[NSW])),(tblData[[#This Row],[Au LogiP(t)]]-tblData[[#This Row],[Au]])^2,"")</f>
        <v/>
      </c>
      <c r="AM77" s="53">
        <f>IF(tblData[Date]&gt;StartDt2NSW,tblData[Date]-StartDt2NSW,"")</f>
        <v>63</v>
      </c>
      <c r="AN77" s="53" t="str">
        <f t="shared" si="11"/>
        <v/>
      </c>
      <c r="AO77" s="11">
        <f>IF(tblData[Date]&gt;StartDt2NSW,betaNSW/(deltaNSW+betaPodeltaNSW*EXP(-betaNSW*tblData[[#This Row],[Day '# NSW]])),"")</f>
        <v>1832.3887139055155</v>
      </c>
      <c r="AP77" s="12" t="str">
        <f>IF(AND(ISNUMBER(tblData[NSW]),tblData[Date]&gt;StartDt2NSW),(tblData[[#This Row],[NSW LogiP(t)]]-tblData[[#This Row],[NSW]])^2,"")</f>
        <v/>
      </c>
      <c r="AQ77" s="55">
        <f>IF(AND(tblData[Date]&gt;StartDt2NSW,ISNUMBER(tblData[Day'# Aust])),tblData[NSW LogiP(t)]/$AL$9,"")</f>
        <v>2267.8078142394993</v>
      </c>
      <c r="AR77" s="57">
        <f>IF(AND(tblData[Date]&gt;StartDt2Italy,ISNUMBER(tblData[Days'# Italy])),betaItaly/(deltaItaly+betaPodeltaItaly*EXP(-betaItaly*tblData[Days'# Italy])),"")</f>
        <v>62610.749326693556</v>
      </c>
      <c r="AS77" s="11" t="str">
        <f>IF(AND(tblData[Date]&gt;StartDt2Italy,ISNUMBER(tblData[Italy])),(tblData[[#This Row],[Italy LogiP(t)]]-tblData[[#This Row],[Italy]])^2,"")</f>
        <v/>
      </c>
      <c r="AT77" s="58">
        <f>IF(AND(tblData[Date]&gt;StartDt2Italy,ISNUMBER(tblData[Days'# Italy])),tblData[[#This Row],[Italy LogiP(t)]]/$AS$9,"")</f>
        <v>10357.444057352119</v>
      </c>
      <c r="AU77" s="59">
        <f>IF(ISNUMBER(tblData[[#This Row],[Days'# US]]),betaUS/(deltaUS+betaPodeltaUS*EXP(-betaUS*tblData[Days'# US])),"")</f>
        <v>101610.5508843072</v>
      </c>
      <c r="AV77" s="11" t="str">
        <f>IF(ISNUMBER(tblData[US]),(tblData[[#This Row],[US LogiP(t)]]-tblData[US])^2,"")</f>
        <v/>
      </c>
      <c r="AW77" s="59">
        <f>IF(ISNUMBER(tblData[[#This Row],[Days'# US]]),tblData[[#This Row],[US LogiP(t)]]/$AV$9,"")</f>
        <v>3086.3301200715691</v>
      </c>
      <c r="AX77" s="59">
        <f>IF(tblData[Date]&gt;=StartDt2Korea,betaSKorea/(deltaSKorea+betaPodeltaSKorea*EXP(-betaSKorea*(tblData[Date]-StartDt2Korea))),"")</f>
        <v>8489.7448045572601</v>
      </c>
      <c r="AY77" s="59" t="str">
        <f>IF(AND(tblData[Date]&gt;=StartDt2Korea,ISNUMBER(tblData[SKorea])),(tblData[[#This Row],[SKorea LogiP(t)]]-tblData[[#This Row],[SKorea]])^2,"")</f>
        <v/>
      </c>
      <c r="AZ77" s="59">
        <f>IF(tblData[Date]&gt;=StartDt2Korea,tblData[[#This Row],[SKorea LogiP(t)]]/$AY$9,"")</f>
        <v>1651.7013238438251</v>
      </c>
      <c r="BA77" s="11">
        <f>IF(ISNUMBER(tblData[Days'# UK]),betaUK/(deltaUK+betaPodeltaUK*EXP(-betaUK*tblData[Days'# UK])),"")</f>
        <v>21077.79293971054</v>
      </c>
      <c r="BB77" s="59" t="str">
        <f>IF(ISNUMBER(tblData[UK]),(tblData[[#This Row],[UK LogiP(t)]]-tblData[[#This Row],[UK]])^2,"")</f>
        <v/>
      </c>
      <c r="BC77" s="59">
        <f>IF(ISNUMBER(tblData[Days'# UK]),tblData[[#This Row],[UK LogiP(t)]]/$BB$9,"")</f>
        <v>3172.4552889389734</v>
      </c>
      <c r="BD77" s="57">
        <f>IF(ISNUMBER(tblData[Days'# China]),betaChina/(deltaChina+betaPodeltaChina*EXP(-betaChina*tblData[Days'# China])),"")</f>
        <v>80977.191567911024</v>
      </c>
      <c r="BE77" s="57" t="str">
        <f>IF(ISNUMBER(tblData[China]),(tblData[[#This Row],[China LogiP(t)]]-tblData[[#This Row],[China]])^2,"")</f>
        <v/>
      </c>
      <c r="BF77" s="57">
        <f>tblData[[#This Row],[China LogiP(t)]]/$BE$9</f>
        <v>562.60580779783515</v>
      </c>
      <c r="BG77" s="57">
        <f>IF(ISNUMBER(tblData[Day'# Singapore]),betaSingapore/(deltaSingapore+betaPodeltaSingapore*EXP(-betaSingapore*tblData[Day'# Singapore])),"")</f>
        <v>445.85689750963883</v>
      </c>
      <c r="BH77" s="57" t="str">
        <f>IF(AND(ISNUMBER(tblData[Singapore]),tblData[Date]&gt;=StartDt2Singapore),(tblData[[#This Row],[Singapore LogiP(t)]]-tblData[[#This Row],[Singapore]])^2,"")</f>
        <v/>
      </c>
      <c r="BI77" s="11">
        <f>IF(ISNUMBER(tblData[Day'# Singapore]),tblData[Singapore LogiP(t)]/$BH$9,"")</f>
        <v>762.14854275151936</v>
      </c>
      <c r="BJ77" s="57"/>
      <c r="BK77" s="57"/>
      <c r="BL77" s="57" t="str">
        <f>IF(ISNUMBER(tblData[[#This Row],[NSW Number of Tests]]),tblData[[#This Row],[NSW Number of Tests]]-BJ76,"")</f>
        <v/>
      </c>
      <c r="BM77" s="57" t="str">
        <f>IF(ISNUMBER(tblData[[#This Row],[NSW Under Investigation'']]),tblData[[#This Row],[NSW Under Investigation'']]-BK76,"")</f>
        <v/>
      </c>
      <c r="BN77" s="11">
        <f t="shared" si="8"/>
        <v>23</v>
      </c>
      <c r="BO77" s="11">
        <f>IF(ISNUMBER(tblData[[#This Row],[NSW Test Day Number]]),betaTest/(deltaTest+betaPodeltaTest*EXP(-betaTest*tblData[[#This Row],[NSW Test Day Number]])),"")</f>
        <v>132064.97818109719</v>
      </c>
      <c r="BP77" s="57" t="str">
        <f>IF(ISNUMBER(tblData[[#This Row],[NSW Number of Tests]]),(tblData[[#This Row],[NSW Number of Tests]]-tblData[[#This Row],[NSW Test Logi]])^2,"")</f>
        <v/>
      </c>
      <c r="BS77"/>
      <c r="BT77" s="26"/>
      <c r="BU77"/>
      <c r="BV77" s="26"/>
      <c r="BW77"/>
      <c r="BX77"/>
      <c r="BY77"/>
      <c r="BZ77"/>
      <c r="CA77"/>
      <c r="CB77"/>
      <c r="CC77"/>
      <c r="CD77"/>
      <c r="CE77"/>
      <c r="CF77"/>
      <c r="CG77"/>
      <c r="CH77" s="26"/>
      <c r="CI77"/>
      <c r="CJ77"/>
      <c r="CK77"/>
      <c r="CL77"/>
      <c r="CM77"/>
      <c r="CN77"/>
      <c r="CO77"/>
      <c r="CP77"/>
      <c r="CQ77"/>
      <c r="CR77"/>
      <c r="CS77" s="26"/>
      <c r="CT77" s="26"/>
      <c r="CU77"/>
      <c r="CV77"/>
      <c r="CW77"/>
      <c r="CX77"/>
      <c r="CY77"/>
      <c r="CZ77"/>
      <c r="DA77"/>
      <c r="DB77"/>
      <c r="DC77"/>
      <c r="DD77"/>
      <c r="DE77"/>
      <c r="DN77" t="s">
        <v>975</v>
      </c>
      <c r="DO77" s="80">
        <v>43912.78765046296</v>
      </c>
      <c r="DP77" s="27"/>
      <c r="DQ77" s="27">
        <v>43896</v>
      </c>
      <c r="DR77">
        <v>8</v>
      </c>
      <c r="DS77">
        <v>0.20209478104227763</v>
      </c>
      <c r="DT77" s="107">
        <v>1.0000000000000751E-10</v>
      </c>
      <c r="DU77">
        <v>5.7886977342360797E-3</v>
      </c>
      <c r="DV77" s="108">
        <v>2020947810.4226243</v>
      </c>
      <c r="DW77">
        <v>2141.4153557262753</v>
      </c>
      <c r="DX77">
        <v>34.911959532184611</v>
      </c>
      <c r="DY77" s="112">
        <v>1.0000000000000751E-7</v>
      </c>
      <c r="DZ77"/>
      <c r="EA77" s="27">
        <v>43911</v>
      </c>
      <c r="EB77" t="s">
        <v>988</v>
      </c>
      <c r="EC77" s="26"/>
      <c r="ED77" s="113">
        <v>46456</v>
      </c>
      <c r="EE77" t="s">
        <v>989</v>
      </c>
      <c r="EF77" s="27">
        <v>43911</v>
      </c>
      <c r="EG77">
        <v>16</v>
      </c>
      <c r="EH77" t="s">
        <v>1498</v>
      </c>
      <c r="EI77"/>
      <c r="EJ77" t="s">
        <v>1020</v>
      </c>
      <c r="EK77"/>
      <c r="EL77" t="s">
        <v>1499</v>
      </c>
      <c r="EM77"/>
      <c r="EN77" s="94"/>
      <c r="EO77"/>
      <c r="EP77" s="94"/>
      <c r="EQ77"/>
      <c r="ER77" s="26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</row>
    <row r="78" spans="2:183" x14ac:dyDescent="0.25">
      <c r="B78" s="1">
        <f t="shared" si="12"/>
        <v>43919</v>
      </c>
      <c r="D78" s="26"/>
      <c r="L78" s="12" t="str">
        <f>IF(ISNUMBER(tblData[[#This Row],[NSW]]),tblData[[#This Row],[New South Wales]]/$L$9,"")</f>
        <v/>
      </c>
      <c r="M78" s="26"/>
      <c r="N78" s="48" t="str">
        <f>IF(ISNUMBER(tblData[Italy]),tblData[Italy]/$N$9,"")</f>
        <v/>
      </c>
      <c r="O78" s="26"/>
      <c r="P78" s="48" t="str">
        <f>IF(ISNUMBER(tblData[US]),tblData[US]/$P$9,"")</f>
        <v/>
      </c>
      <c r="Q78" s="48"/>
      <c r="R78" s="19" t="str">
        <f>IF(ISNUMBER(tblData[SKorea]),tblData[SKorea]/$R$9,"")</f>
        <v/>
      </c>
      <c r="S78" s="48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1"/>
      <c r="X78" s="21" t="str">
        <f>IF(ISNUMBER(tblData[Singapore]),tblData[Singapore]/$X$9,"")</f>
        <v/>
      </c>
      <c r="Y78" s="21"/>
      <c r="Z78" s="21"/>
      <c r="AA78" s="26">
        <f>IF(tblData[[#This Row],[Date]]&lt;ItalyStart,"",tblData[[#This Row],[Date]]-ItalyStart)</f>
        <v>59</v>
      </c>
      <c r="AB78" s="26">
        <f t="shared" si="9"/>
        <v>49</v>
      </c>
      <c r="AC78" s="26">
        <f t="shared" si="13"/>
        <v>67</v>
      </c>
      <c r="AD78" s="26">
        <f>IF(tblData[[#This Row],[Date]]&lt;StartDt2Korea,"",tblData[[#This Row],[Date]]-StartDt2Korea)</f>
        <v>39</v>
      </c>
      <c r="AE78" s="26">
        <f>IF(tblData[[#This Row],[Date]]&lt;UKStart,"",tblData[[#This Row],[Date]]-UKStart)</f>
        <v>59</v>
      </c>
      <c r="AF78" s="26">
        <f>IF(tblData[[#This Row],[Date]]&lt;SingaporeStart,"",tblData[[#This Row],[Date]]-SingaporeStart)</f>
        <v>66</v>
      </c>
      <c r="AG78">
        <f>IF(tblData[Date]&gt;=StartDt2Au,tblData[Date]-StartDt2Au,"")</f>
        <v>64</v>
      </c>
      <c r="AH78" s="26" t="str">
        <f>IF(tblData[New South Wales]&gt;0,SUM(tblData[[#This Row],[Australian Capital Territory]:[Western Australia]]),"")</f>
        <v/>
      </c>
      <c r="AI78" s="12" t="str">
        <f>IF(ISNUMBER(tblData[Au]),tblData[Au]/$AE$9,"")</f>
        <v/>
      </c>
      <c r="AJ78" s="19">
        <f>IF(ISNUMBER(tblData[[#This Row],[Day'# Aust]]),betaAu/(deltaAu+betaPodeltaAu*EXP(-betaAu*tblData[[#This Row],[Day'# Aust]])),"")</f>
        <v>6116.3836195964122</v>
      </c>
      <c r="AK78" s="70">
        <f>IF(ISNUMBER(tblData[Day'# Aust]),tblData[Au LogiP(t)]/$AI$9,"")</f>
        <v>2411.4428400868997</v>
      </c>
      <c r="AL78" s="11" t="str">
        <f>IF(AND(tblData[Date]&gt;=StartDt2Au,ISNUMBER(tblData[NSW])),(tblData[[#This Row],[Au LogiP(t)]]-tblData[[#This Row],[Au]])^2,"")</f>
        <v/>
      </c>
      <c r="AM78">
        <f>IF(tblData[Date]&gt;StartDt2NSW,tblData[Date]-StartDt2NSW,"")</f>
        <v>64</v>
      </c>
      <c r="AN78" t="str">
        <f t="shared" si="11"/>
        <v/>
      </c>
      <c r="AO78" s="11">
        <f>IF(tblData[Date]&gt;StartDt2NSW,betaNSW/(deltaNSW+betaPodeltaNSW*EXP(-betaNSW*tblData[[#This Row],[Day '# NSW]])),"")</f>
        <v>2234.3701276864927</v>
      </c>
      <c r="AP78" s="12" t="str">
        <f>IF(AND(ISNUMBER(tblData[NSW]),tblData[Date]&gt;StartDt2NSW),(tblData[[#This Row],[NSW LogiP(t)]]-tblData[[#This Row],[NSW]])^2,"")</f>
        <v/>
      </c>
      <c r="AQ78" s="12">
        <f>IF(AND(tblData[Date]&gt;StartDt2NSW,ISNUMBER(tblData[Day'# Aust])),tblData[NSW LogiP(t)]/$AL$9,"")</f>
        <v>2765.3095639684311</v>
      </c>
      <c r="AR78" s="11">
        <f>IF(AND(tblData[Date]&gt;StartDt2Italy,ISNUMBER(tblData[Days'# Italy])),betaItaly/(deltaItaly+betaPodeltaItaly*EXP(-betaItaly*tblData[Days'# Italy])),"")</f>
        <v>63230.581544419809</v>
      </c>
      <c r="AS78" s="11" t="str">
        <f>IF(AND(tblData[Date]&gt;StartDt2Italy,ISNUMBER(tblData[Italy])),(tblData[[#This Row],[Italy LogiP(t)]]-tblData[[#This Row],[Italy]])^2,"")</f>
        <v/>
      </c>
      <c r="AT78" s="43">
        <f>IF(AND(tblData[Date]&gt;StartDt2Italy,ISNUMBER(tblData[Days'# Italy])),tblData[[#This Row],[Italy LogiP(t)]]/$AS$9,"")</f>
        <v>10459.980404370523</v>
      </c>
      <c r="AU78" s="21">
        <f>IF(ISNUMBER(tblData[[#This Row],[Days'# US]]),betaUS/(deltaUS+betaPodeltaUS*EXP(-betaUS*tblData[Days'# US])),"")</f>
        <v>113734.83432869407</v>
      </c>
      <c r="AV78" s="11" t="str">
        <f>IF(ISNUMBER(tblData[US]),(tblData[[#This Row],[US LogiP(t)]]-tblData[US])^2,"")</f>
        <v/>
      </c>
      <c r="AW78" s="21">
        <f>IF(ISNUMBER(tblData[[#This Row],[Days'# US]]),tblData[[#This Row],[US LogiP(t)]]/$AV$9,"")</f>
        <v>3454.5944474769171</v>
      </c>
      <c r="AX78" s="21">
        <f>IF(tblData[Date]&gt;=StartDt2Korea,betaSKorea/(deltaSKorea+betaPodeltaSKorea*EXP(-betaSKorea*(tblData[Date]-StartDt2Korea))),"")</f>
        <v>8490.4528519836276</v>
      </c>
      <c r="AY78" s="21" t="str">
        <f>IF(AND(tblData[Date]&gt;=StartDt2Korea,ISNUMBER(tblData[SKorea])),(tblData[[#This Row],[SKorea LogiP(t)]]-tblData[[#This Row],[SKorea]])^2,"")</f>
        <v/>
      </c>
      <c r="AZ78" s="21">
        <f>IF(tblData[Date]&gt;=StartDt2Korea,tblData[[#This Row],[SKorea LogiP(t)]]/$AY$9,"")</f>
        <v>1651.8390762614063</v>
      </c>
      <c r="BA78" s="11">
        <f>IF(ISNUMBER(tblData[Days'# UK]),betaUK/(deltaUK+betaPodeltaUK*EXP(-betaUK*tblData[Days'# UK])),"")</f>
        <v>25400.354590541883</v>
      </c>
      <c r="BB78" s="21" t="str">
        <f>IF(ISNUMBER(tblData[UK]),(tblData[[#This Row],[UK LogiP(t)]]-tblData[[#This Row],[UK]])^2,"")</f>
        <v/>
      </c>
      <c r="BC78" s="21">
        <f>IF(ISNUMBER(tblData[Days'# UK]),tblData[[#This Row],[UK LogiP(t)]]/$BB$9,"")</f>
        <v>3823.0515638985376</v>
      </c>
      <c r="BD78" s="11">
        <f>IF(ISNUMBER(tblData[Days'# China]),betaChina/(deltaChina+betaPodeltaChina*EXP(-betaChina*tblData[Days'# China])),"")</f>
        <v>80977.549211288322</v>
      </c>
      <c r="BE78" s="11" t="str">
        <f>IF(ISNUMBER(tblData[China]),(tblData[[#This Row],[China LogiP(t)]]-tblData[[#This Row],[China]])^2,"")</f>
        <v/>
      </c>
      <c r="BF78" s="11">
        <f>tblData[[#This Row],[China LogiP(t)]]/$BE$9</f>
        <v>562.60829259926243</v>
      </c>
      <c r="BG78" s="11">
        <f>IF(ISNUMBER(tblData[Day'# Singapore]),betaSingapore/(deltaSingapore+betaPodeltaSingapore*EXP(-betaSingapore*tblData[Day'# Singapore])),"")</f>
        <v>465.88725306196068</v>
      </c>
      <c r="BH78" s="11" t="str">
        <f>IF(AND(ISNUMBER(tblData[Singapore]),tblData[Date]&gt;=StartDt2Singapore),(tblData[[#This Row],[Singapore LogiP(t)]]-tblData[[#This Row],[Singapore]])^2,"")</f>
        <v/>
      </c>
      <c r="BI78" s="11">
        <f>IF(ISNUMBER(tblData[Day'# Singapore]),tblData[Singapore LogiP(t)]/$BH$9,"")</f>
        <v>796.38846677258243</v>
      </c>
      <c r="BJ78" s="11"/>
      <c r="BK78" s="11"/>
      <c r="BL78" s="11" t="str">
        <f>IF(ISNUMBER(tblData[[#This Row],[NSW Number of Tests]]),tblData[[#This Row],[NSW Number of Tests]]-BJ77,"")</f>
        <v/>
      </c>
      <c r="BM78" s="11" t="str">
        <f>IF(ISNUMBER(tblData[[#This Row],[NSW Under Investigation'']]),tblData[[#This Row],[NSW Under Investigation'']]-BK77,"")</f>
        <v/>
      </c>
      <c r="BN78" s="11">
        <f t="shared" si="8"/>
        <v>24</v>
      </c>
      <c r="BO78" s="11">
        <f>IF(ISNUMBER(tblData[[#This Row],[NSW Test Day Number]]),betaTest/(deltaTest+betaPodeltaTest*EXP(-betaTest*tblData[[#This Row],[NSW Test Day Number]])),"")</f>
        <v>144291.06090658344</v>
      </c>
      <c r="BP78" s="11" t="str">
        <f>IF(ISNUMBER(tblData[[#This Row],[NSW Number of Tests]]),(tblData[[#This Row],[NSW Number of Tests]]-tblData[[#This Row],[NSW Test Logi]])^2,"")</f>
        <v/>
      </c>
      <c r="BR78"/>
      <c r="BV78" s="26"/>
      <c r="CE78"/>
      <c r="CF78"/>
      <c r="CG78"/>
      <c r="CH78" s="26"/>
      <c r="CS78" s="26"/>
      <c r="CT78" s="26"/>
      <c r="DM78"/>
      <c r="DN78" t="s">
        <v>975</v>
      </c>
      <c r="DO78" s="80">
        <v>43913.567025462966</v>
      </c>
      <c r="DP78" s="27"/>
      <c r="DQ78" s="27">
        <v>43896</v>
      </c>
      <c r="DR78">
        <v>8</v>
      </c>
      <c r="DS78">
        <v>0.20209478104227763</v>
      </c>
      <c r="DT78" s="107">
        <v>1.0000000000000751E-10</v>
      </c>
      <c r="DU78">
        <v>5.7886977342360797E-3</v>
      </c>
      <c r="DV78" s="108">
        <v>2020947810.4226243</v>
      </c>
      <c r="DW78">
        <v>3735.5046930197191</v>
      </c>
      <c r="DX78">
        <v>34.911959532184611</v>
      </c>
      <c r="DY78" s="112">
        <v>1.0000000000000751E-7</v>
      </c>
      <c r="EA78" s="27">
        <v>43913</v>
      </c>
      <c r="EB78" t="s">
        <v>988</v>
      </c>
      <c r="EC78" s="26"/>
      <c r="ED78" s="113">
        <v>56272</v>
      </c>
      <c r="EE78" t="s">
        <v>989</v>
      </c>
      <c r="EF78" s="27">
        <v>43913</v>
      </c>
      <c r="EG78">
        <v>18</v>
      </c>
      <c r="EH78" t="s">
        <v>1498</v>
      </c>
      <c r="EJ78" t="s">
        <v>1020</v>
      </c>
      <c r="EL78" t="s">
        <v>1706</v>
      </c>
      <c r="EP78" s="94"/>
    </row>
    <row r="79" spans="2:183" x14ac:dyDescent="0.25">
      <c r="B79" s="1">
        <f t="shared" si="12"/>
        <v>43920</v>
      </c>
      <c r="D79" s="26"/>
      <c r="L79" s="12" t="str">
        <f>IF(ISNUMBER(tblData[[#This Row],[NSW]]),tblData[[#This Row],[New South Wales]]/$L$9,"")</f>
        <v/>
      </c>
      <c r="M79" s="26"/>
      <c r="N79" s="48" t="str">
        <f>IF(ISNUMBER(tblData[Italy]),tblData[Italy]/$N$9,"")</f>
        <v/>
      </c>
      <c r="O79" s="26"/>
      <c r="P79" s="48" t="str">
        <f>IF(ISNUMBER(tblData[US]),tblData[US]/$P$9,"")</f>
        <v/>
      </c>
      <c r="Q79" s="48"/>
      <c r="R79" s="19" t="str">
        <f>IF(ISNUMBER(tblData[SKorea]),tblData[SKorea]/$R$9,"")</f>
        <v/>
      </c>
      <c r="S79" s="48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1"/>
      <c r="X79" s="21" t="str">
        <f>IF(ISNUMBER(tblData[Singapore]),tblData[Singapore]/$X$9,"")</f>
        <v/>
      </c>
      <c r="Y79" s="21"/>
      <c r="Z79" s="21"/>
      <c r="AA79" s="26">
        <f>IF(tblData[[#This Row],[Date]]&lt;ItalyStart,"",tblData[[#This Row],[Date]]-ItalyStart)</f>
        <v>60</v>
      </c>
      <c r="AB79" s="26">
        <f t="shared" si="9"/>
        <v>50</v>
      </c>
      <c r="AC79" s="26">
        <f t="shared" si="13"/>
        <v>68</v>
      </c>
      <c r="AD79" s="26">
        <f>IF(tblData[[#This Row],[Date]]&lt;StartDt2Korea,"",tblData[[#This Row],[Date]]-StartDt2Korea)</f>
        <v>40</v>
      </c>
      <c r="AE79" s="26">
        <f>IF(tblData[[#This Row],[Date]]&lt;UKStart,"",tblData[[#This Row],[Date]]-UKStart)</f>
        <v>60</v>
      </c>
      <c r="AF79" s="26">
        <f>IF(tblData[[#This Row],[Date]]&lt;SingaporeStart,"",tblData[[#This Row],[Date]]-SingaporeStart)</f>
        <v>67</v>
      </c>
      <c r="AG79">
        <f>IF(tblData[Date]&gt;=StartDt2Au,tblData[Date]-StartDt2Au,"")</f>
        <v>65</v>
      </c>
      <c r="AH79" s="26" t="str">
        <f>IF(tblData[New South Wales]&gt;0,SUM(tblData[[#This Row],[Australian Capital Territory]:[Western Australia]]),"")</f>
        <v/>
      </c>
      <c r="AI79" s="12" t="str">
        <f>IF(ISNUMBER(tblData[Au]),tblData[Au]/$AE$9,"")</f>
        <v/>
      </c>
      <c r="AJ79" s="19">
        <f>IF(ISNUMBER(tblData[[#This Row],[Day'# Aust]]),betaAu/(deltaAu+betaPodeltaAu*EXP(-betaAu*tblData[[#This Row],[Day'# Aust]])),"")</f>
        <v>7581.8536643707848</v>
      </c>
      <c r="AK79" s="70">
        <f>IF(ISNUMBER(tblData[Day'# Aust]),tblData[Au LogiP(t)]/$AI$9,"")</f>
        <v>2989.2184451864</v>
      </c>
      <c r="AL79" s="11" t="str">
        <f>IF(AND(tblData[Date]&gt;=StartDt2Au,ISNUMBER(tblData[NSW])),(tblData[[#This Row],[Au LogiP(t)]]-tblData[[#This Row],[Au]])^2,"")</f>
        <v/>
      </c>
      <c r="AM79">
        <f>IF(tblData[Date]&gt;StartDt2NSW,tblData[Date]-StartDt2NSW,"")</f>
        <v>65</v>
      </c>
      <c r="AN79" t="str">
        <f t="shared" si="11"/>
        <v/>
      </c>
      <c r="AO79" s="11">
        <f>IF(tblData[Date]&gt;StartDt2NSW,betaNSW/(deltaNSW+betaPodeltaNSW*EXP(-betaNSW*tblData[[#This Row],[Day '# NSW]])),"")</f>
        <v>2724.5364629196624</v>
      </c>
      <c r="AP79" s="12" t="str">
        <f>IF(AND(ISNUMBER(tblData[NSW]),tblData[Date]&gt;StartDt2NSW),(tblData[[#This Row],[NSW LogiP(t)]]-tblData[[#This Row],[NSW]])^2,"")</f>
        <v/>
      </c>
      <c r="AQ79" s="12">
        <f>IF(AND(tblData[Date]&gt;StartDt2NSW,ISNUMBER(tblData[Day'# Aust])),tblData[NSW LogiP(t)]/$AL$9,"")</f>
        <v>3371.9510679698792</v>
      </c>
      <c r="AR79" s="11">
        <f>IF(AND(tblData[Date]&gt;StartDt2Italy,ISNUMBER(tblData[Days'# Italy])),betaItaly/(deltaItaly+betaPodeltaItaly*EXP(-betaItaly*tblData[Days'# Italy])),"")</f>
        <v>63717.563211850007</v>
      </c>
      <c r="AS79" s="11" t="str">
        <f>IF(AND(tblData[Date]&gt;StartDt2Italy,ISNUMBER(tblData[Italy])),(tblData[[#This Row],[Italy LogiP(t)]]-tblData[[#This Row],[Italy]])^2,"")</f>
        <v/>
      </c>
      <c r="AT79" s="43">
        <f>IF(AND(tblData[Date]&gt;StartDt2Italy,ISNUMBER(tblData[Days'# Italy])),tblData[[#This Row],[Italy LogiP(t)]]/$AS$9,"")</f>
        <v>10540.539819991731</v>
      </c>
      <c r="AU79" s="21">
        <f>IF(ISNUMBER(tblData[[#This Row],[Days'# US]]),betaUS/(deltaUS+betaPodeltaUS*EXP(-betaUS*tblData[Days'# US])),"")</f>
        <v>124322.71837161767</v>
      </c>
      <c r="AV79" s="11" t="str">
        <f>IF(ISNUMBER(tblData[US]),(tblData[[#This Row],[US LogiP(t)]]-tblData[US])^2,"")</f>
        <v/>
      </c>
      <c r="AW79" s="21">
        <f>IF(ISNUMBER(tblData[[#This Row],[Days'# US]]),tblData[[#This Row],[US LogiP(t)]]/$AV$9,"")</f>
        <v>3776.1920093945446</v>
      </c>
      <c r="AX79" s="21">
        <f>IF(tblData[Date]&gt;=StartDt2Korea,betaSKorea/(deltaSKorea+betaPodeltaSKorea*EXP(-betaSKorea*(tblData[Date]-StartDt2Korea))),"")</f>
        <v>8490.9720404608597</v>
      </c>
      <c r="AY79" s="21" t="str">
        <f>IF(AND(tblData[Date]&gt;=StartDt2Korea,ISNUMBER(tblData[SKorea])),(tblData[[#This Row],[SKorea LogiP(t)]]-tblData[[#This Row],[SKorea]])^2,"")</f>
        <v/>
      </c>
      <c r="AZ79" s="21">
        <f>IF(tblData[Date]&gt;=StartDt2Korea,tblData[[#This Row],[SKorea LogiP(t)]]/$AY$9,"")</f>
        <v>1651.9400856927743</v>
      </c>
      <c r="BA79" s="11">
        <f>IF(ISNUMBER(tblData[Days'# UK]),betaUK/(deltaUK+betaPodeltaUK*EXP(-betaUK*tblData[Days'# UK])),"")</f>
        <v>30309.789618659062</v>
      </c>
      <c r="BB79" s="21" t="str">
        <f>IF(ISNUMBER(tblData[UK]),(tblData[[#This Row],[UK LogiP(t)]]-tblData[[#This Row],[UK]])^2,"")</f>
        <v/>
      </c>
      <c r="BC79" s="21">
        <f>IF(ISNUMBER(tblData[Days'# UK]),tblData[[#This Row],[UK LogiP(t)]]/$BB$9,"")</f>
        <v>4561.9791719836039</v>
      </c>
      <c r="BD79" s="11">
        <f>IF(ISNUMBER(tblData[Days'# China]),betaChina/(deltaChina+betaPodeltaChina*EXP(-betaChina*tblData[Days'# China])),"")</f>
        <v>80977.835614684329</v>
      </c>
      <c r="BE79" s="11" t="str">
        <f>IF(ISNUMBER(tblData[China]),(tblData[[#This Row],[China LogiP(t)]]-tblData[[#This Row],[China]])^2,"")</f>
        <v/>
      </c>
      <c r="BF79" s="11">
        <f>tblData[[#This Row],[China LogiP(t)]]/$BE$9</f>
        <v>562.61028244616682</v>
      </c>
      <c r="BG79" s="11">
        <f>IF(ISNUMBER(tblData[Day'# Singapore]),betaSingapore/(deltaSingapore+betaPodeltaSingapore*EXP(-betaSingapore*tblData[Day'# Singapore])),"")</f>
        <v>486.81748285946958</v>
      </c>
      <c r="BH79" s="11" t="str">
        <f>IF(AND(ISNUMBER(tblData[Singapore]),tblData[Date]&gt;=StartDt2Singapore),(tblData[[#This Row],[Singapore LogiP(t)]]-tblData[[#This Row],[Singapore]])^2,"")</f>
        <v/>
      </c>
      <c r="BI79" s="11">
        <f>IF(ISNUMBER(tblData[Day'# Singapore]),tblData[Singapore LogiP(t)]/$BH$9,"")</f>
        <v>832.16663736661474</v>
      </c>
      <c r="BJ79" s="11"/>
      <c r="BK79" s="11"/>
      <c r="BL79" s="11" t="str">
        <f>IF(ISNUMBER(tblData[[#This Row],[NSW Number of Tests]]),tblData[[#This Row],[NSW Number of Tests]]-BJ78,"")</f>
        <v/>
      </c>
      <c r="BM79" s="11" t="str">
        <f>IF(ISNUMBER(tblData[[#This Row],[NSW Under Investigation'']]),tblData[[#This Row],[NSW Under Investigation'']]-BK78,"")</f>
        <v/>
      </c>
      <c r="BN79" s="11">
        <f t="shared" si="8"/>
        <v>25</v>
      </c>
      <c r="BO79" s="11">
        <f>IF(ISNUMBER(tblData[[#This Row],[NSW Test Day Number]]),betaTest/(deltaTest+betaPodeltaTest*EXP(-betaTest*tblData[[#This Row],[NSW Test Day Number]])),"")</f>
        <v>156537.58880360742</v>
      </c>
      <c r="BP79" s="11" t="str">
        <f>IF(ISNUMBER(tblData[[#This Row],[NSW Number of Tests]]),(tblData[[#This Row],[NSW Number of Tests]]-tblData[[#This Row],[NSW Test Logi]])^2,"")</f>
        <v/>
      </c>
      <c r="BR79"/>
      <c r="BV79" s="26"/>
      <c r="CE79"/>
      <c r="CF79"/>
      <c r="CG79"/>
      <c r="CH79" s="26"/>
      <c r="CS79" s="26"/>
      <c r="CT79" s="26"/>
      <c r="CW79" s="53"/>
      <c r="CX79" s="53"/>
      <c r="CY79" s="53"/>
      <c r="CZ79" s="53"/>
      <c r="DA79" s="53"/>
      <c r="DB79" s="53"/>
      <c r="DC79" s="53"/>
      <c r="DD79" s="53"/>
      <c r="DE79" s="53"/>
      <c r="DM79"/>
      <c r="DN79" s="26" t="s">
        <v>975</v>
      </c>
      <c r="DO79" s="80">
        <v>43913.570497685185</v>
      </c>
      <c r="DP79" s="27"/>
      <c r="DQ79" s="27">
        <v>43896</v>
      </c>
      <c r="DR79" s="26">
        <v>8</v>
      </c>
      <c r="DS79" s="26">
        <v>0.20209478104227763</v>
      </c>
      <c r="DT79" s="107">
        <v>1.0000000000000751E-10</v>
      </c>
      <c r="DU79" s="26">
        <v>5.7886977342360797E-3</v>
      </c>
      <c r="DV79" s="108">
        <v>2020947810.4226243</v>
      </c>
      <c r="DW79" s="26">
        <v>7900.5352282767808</v>
      </c>
      <c r="DX79" s="26">
        <v>34.911959532184611</v>
      </c>
      <c r="DY79" s="112">
        <v>1.0000000000000751E-7</v>
      </c>
      <c r="DZ79" s="26"/>
      <c r="EA79" s="27">
        <v>43913</v>
      </c>
      <c r="EB79" s="26" t="s">
        <v>988</v>
      </c>
      <c r="EC79" s="26"/>
      <c r="ED79" s="113">
        <v>56272</v>
      </c>
      <c r="EE79" s="26" t="s">
        <v>989</v>
      </c>
      <c r="EF79" s="27">
        <v>43913</v>
      </c>
      <c r="EG79" s="26">
        <v>18</v>
      </c>
      <c r="EH79" s="26" t="s">
        <v>1498</v>
      </c>
      <c r="EI79" s="26"/>
      <c r="EJ79" s="26" t="s">
        <v>1020</v>
      </c>
      <c r="EK79" s="26"/>
      <c r="EL79" s="26" t="s">
        <v>1706</v>
      </c>
      <c r="EM79" s="26"/>
      <c r="EO79" s="26"/>
      <c r="EP79" s="94"/>
      <c r="EQ79" s="26"/>
    </row>
    <row r="80" spans="2:183" x14ac:dyDescent="0.25">
      <c r="B80" s="1">
        <f t="shared" si="12"/>
        <v>43921</v>
      </c>
      <c r="D80" s="26"/>
      <c r="L80" s="12" t="str">
        <f>IF(ISNUMBER(tblData[[#This Row],[NSW]]),tblData[[#This Row],[New South Wales]]/$L$9,"")</f>
        <v/>
      </c>
      <c r="M80" s="26"/>
      <c r="N80" s="48" t="str">
        <f>IF(ISNUMBER(tblData[Italy]),tblData[Italy]/$N$9,"")</f>
        <v/>
      </c>
      <c r="O80" s="26"/>
      <c r="P80" s="48" t="str">
        <f>IF(ISNUMBER(tblData[US]),tblData[US]/$P$9,"")</f>
        <v/>
      </c>
      <c r="Q80" s="48"/>
      <c r="R80" s="19" t="str">
        <f>IF(ISNUMBER(tblData[SKorea]),tblData[SKorea]/$R$9,"")</f>
        <v/>
      </c>
      <c r="S80" s="48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1"/>
      <c r="X80" s="21" t="str">
        <f>IF(ISNUMBER(tblData[Singapore]),tblData[Singapore]/$X$9,"")</f>
        <v/>
      </c>
      <c r="Y80" s="21"/>
      <c r="Z80" s="21"/>
      <c r="AA80" s="26">
        <f>IF(tblData[[#This Row],[Date]]&lt;ItalyStart,"",tblData[[#This Row],[Date]]-ItalyStart)</f>
        <v>61</v>
      </c>
      <c r="AB80" s="26">
        <f t="shared" si="9"/>
        <v>51</v>
      </c>
      <c r="AC80" s="26">
        <f t="shared" si="13"/>
        <v>69</v>
      </c>
      <c r="AD80" s="26">
        <f>IF(tblData[[#This Row],[Date]]&lt;StartDt2Korea,"",tblData[[#This Row],[Date]]-StartDt2Korea)</f>
        <v>41</v>
      </c>
      <c r="AE80" s="26">
        <f>IF(tblData[[#This Row],[Date]]&lt;UKStart,"",tblData[[#This Row],[Date]]-UKStart)</f>
        <v>61</v>
      </c>
      <c r="AF80" s="26">
        <f>IF(tblData[[#This Row],[Date]]&lt;SingaporeStart,"",tblData[[#This Row],[Date]]-SingaporeStart)</f>
        <v>68</v>
      </c>
      <c r="AG80">
        <f>IF(tblData[Date]&gt;=StartDt2Au,tblData[Date]-StartDt2Au,"")</f>
        <v>66</v>
      </c>
      <c r="AH80" s="26" t="str">
        <f>IF(tblData[New South Wales]&gt;0,SUM(tblData[[#This Row],[Australian Capital Territory]:[Western Australia]]),"")</f>
        <v/>
      </c>
      <c r="AI80" s="12" t="str">
        <f>IF(ISNUMBER(tblData[Au]),tblData[Au]/$AE$9,"")</f>
        <v/>
      </c>
      <c r="AJ80" s="19">
        <f>IF(ISNUMBER(tblData[[#This Row],[Day'# Aust]]),betaAu/(deltaAu+betaPodeltaAu*EXP(-betaAu*tblData[[#This Row],[Day'# Aust]])),"")</f>
        <v>9398.4466098208541</v>
      </c>
      <c r="AK80" s="70">
        <f>IF(ISNUMBER(tblData[Day'# Aust]),tblData[Au LogiP(t)]/$AI$9,"")</f>
        <v>3705.4276178129844</v>
      </c>
      <c r="AL80" s="11" t="str">
        <f>IF(AND(tblData[Date]&gt;=StartDt2Au,ISNUMBER(tblData[NSW])),(tblData[[#This Row],[Au LogiP(t)]]-tblData[[#This Row],[Au]])^2,"")</f>
        <v/>
      </c>
      <c r="AM80">
        <f>IF(tblData[Date]&gt;StartDt2NSW,tblData[Date]-StartDt2NSW,"")</f>
        <v>66</v>
      </c>
      <c r="AN80" t="str">
        <f t="shared" si="11"/>
        <v/>
      </c>
      <c r="AO80" s="11">
        <f>IF(tblData[Date]&gt;StartDt2NSW,betaNSW/(deltaNSW+betaPodeltaNSW*EXP(-betaNSW*tblData[[#This Row],[Day '# NSW]])),"")</f>
        <v>3322.2333407403371</v>
      </c>
      <c r="AP80" s="12" t="str">
        <f>IF(AND(ISNUMBER(tblData[NSW]),tblData[Date]&gt;StartDt2NSW),(tblData[[#This Row],[NSW LogiP(t)]]-tblData[[#This Row],[NSW]])^2,"")</f>
        <v/>
      </c>
      <c r="AQ80" s="12">
        <f>IF(AND(tblData[Date]&gt;StartDt2NSW,ISNUMBER(tblData[Day'# Aust])),tblData[NSW LogiP(t)]/$AL$9,"")</f>
        <v>4111.6749266588331</v>
      </c>
      <c r="AR80" s="11">
        <f>IF(AND(tblData[Date]&gt;StartDt2Italy,ISNUMBER(tblData[Days'# Italy])),betaItaly/(deltaItaly+betaPodeltaItaly*EXP(-betaItaly*tblData[Days'# Italy])),"")</f>
        <v>64098.684106445566</v>
      </c>
      <c r="AS80" s="11" t="str">
        <f>IF(AND(tblData[Date]&gt;StartDt2Italy,ISNUMBER(tblData[Italy])),(tblData[[#This Row],[Italy LogiP(t)]]-tblData[[#This Row],[Italy]])^2,"")</f>
        <v/>
      </c>
      <c r="AT80" s="43">
        <f>IF(AND(tblData[Date]&gt;StartDt2Italy,ISNUMBER(tblData[Days'# Italy])),tblData[[#This Row],[Italy LogiP(t)]]/$AS$9,"")</f>
        <v>10603.587114383055</v>
      </c>
      <c r="AU80" s="21">
        <f>IF(ISNUMBER(tblData[[#This Row],[Days'# US]]),betaUS/(deltaUS+betaPodeltaUS*EXP(-betaUS*tblData[Days'# US])),"")</f>
        <v>133171.17032755035</v>
      </c>
      <c r="AV80" s="11" t="str">
        <f>IF(ISNUMBER(tblData[US]),(tblData[[#This Row],[US LogiP(t)]]-tblData[US])^2,"")</f>
        <v/>
      </c>
      <c r="AW80" s="21">
        <f>IF(ISNUMBER(tblData[[#This Row],[Days'# US]]),tblData[[#This Row],[US LogiP(t)]]/$AV$9,"")</f>
        <v>4044.9558685600687</v>
      </c>
      <c r="AX80" s="21">
        <f>IF(tblData[Date]&gt;=StartDt2Korea,betaSKorea/(deltaSKorea+betaPodeltaSKorea*EXP(-betaSKorea*(tblData[Date]-StartDt2Korea))),"")</f>
        <v>8491.3527300447477</v>
      </c>
      <c r="AY80" s="21" t="str">
        <f>IF(AND(tblData[Date]&gt;=StartDt2Korea,ISNUMBER(tblData[SKorea])),(tblData[[#This Row],[SKorea LogiP(t)]]-tblData[[#This Row],[SKorea]])^2,"")</f>
        <v/>
      </c>
      <c r="AZ80" s="21">
        <f>IF(tblData[Date]&gt;=StartDt2Korea,tblData[[#This Row],[SKorea LogiP(t)]]/$AY$9,"")</f>
        <v>1652.0141498141534</v>
      </c>
      <c r="BA80" s="11">
        <f>IF(ISNUMBER(tblData[Days'# UK]),betaUK/(deltaUK+betaPodeltaUK*EXP(-betaUK*tblData[Days'# UK])),"")</f>
        <v>35770.502038461185</v>
      </c>
      <c r="BB80" s="21" t="str">
        <f>IF(ISNUMBER(tblData[UK]),(tblData[[#This Row],[UK LogiP(t)]]-tblData[[#This Row],[UK]])^2,"")</f>
        <v/>
      </c>
      <c r="BC80" s="21">
        <f>IF(ISNUMBER(tblData[Days'# UK]),tblData[[#This Row],[UK LogiP(t)]]/$BB$9,"")</f>
        <v>5383.8804994673665</v>
      </c>
      <c r="BD80" s="11">
        <f>IF(ISNUMBER(tblData[Days'# China]),betaChina/(deltaChina+betaPodeltaChina*EXP(-betaChina*tblData[Days'# China])),"")</f>
        <v>80978.064968226143</v>
      </c>
      <c r="BE80" s="11" t="str">
        <f>IF(ISNUMBER(tblData[China]),(tblData[[#This Row],[China LogiP(t)]]-tblData[[#This Row],[China]])^2,"")</f>
        <v/>
      </c>
      <c r="BF80" s="11">
        <f>tblData[[#This Row],[China LogiP(t)]]/$BE$9</f>
        <v>562.61187592739486</v>
      </c>
      <c r="BG80" s="11">
        <f>IF(ISNUMBER(tblData[Day'# Singapore]),betaSingapore/(deltaSingapore+betaPodeltaSingapore*EXP(-betaSingapore*tblData[Day'# Singapore])),"")</f>
        <v>508.68801422442101</v>
      </c>
      <c r="BH80" s="11" t="str">
        <f>IF(AND(ISNUMBER(tblData[Singapore]),tblData[Date]&gt;=StartDt2Singapore),(tblData[[#This Row],[Singapore LogiP(t)]]-tblData[[#This Row],[Singapore]])^2,"")</f>
        <v/>
      </c>
      <c r="BI80" s="11">
        <f>IF(ISNUMBER(tblData[Day'# Singapore]),tblData[Singapore LogiP(t)]/$BH$9,"")</f>
        <v>869.55216106738635</v>
      </c>
      <c r="BJ80" s="11"/>
      <c r="BK80" s="11"/>
      <c r="BL80" s="11" t="str">
        <f>IF(ISNUMBER(tblData[[#This Row],[NSW Number of Tests]]),tblData[[#This Row],[NSW Number of Tests]]-BJ79,"")</f>
        <v/>
      </c>
      <c r="BM80" s="11" t="str">
        <f>IF(ISNUMBER(tblData[[#This Row],[NSW Under Investigation'']]),tblData[[#This Row],[NSW Under Investigation'']]-BK79,"")</f>
        <v/>
      </c>
      <c r="BN80" s="11">
        <f t="shared" si="8"/>
        <v>26</v>
      </c>
      <c r="BO80" s="11">
        <f>IF(ISNUMBER(tblData[[#This Row],[NSW Test Day Number]]),betaTest/(deltaTest+betaPodeltaTest*EXP(-betaTest*tblData[[#This Row],[NSW Test Day Number]])),"")</f>
        <v>168632.70443547162</v>
      </c>
      <c r="BP80" s="11" t="str">
        <f>IF(ISNUMBER(tblData[[#This Row],[NSW Number of Tests]]),(tblData[[#This Row],[NSW Number of Tests]]-tblData[[#This Row],[NSW Test Logi]])^2,"")</f>
        <v/>
      </c>
      <c r="BR80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DM80"/>
      <c r="DN80" s="26" t="s">
        <v>48</v>
      </c>
      <c r="DO80" s="80">
        <v>43913.58153935185</v>
      </c>
      <c r="DP80" s="27">
        <v>43855</v>
      </c>
      <c r="DQ80" s="27">
        <v>43855</v>
      </c>
      <c r="DR80" s="26">
        <v>0</v>
      </c>
      <c r="DS80" s="26">
        <v>0.21033404791007332</v>
      </c>
      <c r="DT80" s="107">
        <v>1.2749579930545968E-6</v>
      </c>
      <c r="DU80" s="26">
        <v>8.3106214710478091E-3</v>
      </c>
      <c r="DV80" s="108">
        <v>164973.31602757072</v>
      </c>
      <c r="DW80" s="26">
        <v>11.681151162686668</v>
      </c>
      <c r="DX80" s="26">
        <v>25.309062390476196</v>
      </c>
      <c r="DY80" s="112">
        <v>1.2749579930545968E-3</v>
      </c>
      <c r="DZ80" s="26"/>
      <c r="EA80" s="27">
        <v>43913</v>
      </c>
      <c r="EB80" s="26" t="s">
        <v>1708</v>
      </c>
      <c r="EC80" s="26">
        <v>164973.31602757072</v>
      </c>
      <c r="ED80" s="113">
        <v>1619</v>
      </c>
      <c r="EE80" s="26" t="s">
        <v>1709</v>
      </c>
      <c r="EF80" s="27">
        <v>43913</v>
      </c>
      <c r="EG80" s="26">
        <v>59</v>
      </c>
      <c r="EH80" s="26" t="s">
        <v>1710</v>
      </c>
      <c r="EI80" s="26"/>
      <c r="EJ80" s="26" t="s">
        <v>1711</v>
      </c>
      <c r="EK80" s="26"/>
      <c r="EL80" s="26" t="s">
        <v>1712</v>
      </c>
      <c r="EM80" s="26">
        <v>638.3062608421385</v>
      </c>
      <c r="EO80" s="26"/>
      <c r="EP80" s="94"/>
      <c r="EQ80" s="26"/>
      <c r="ER80" s="26" t="s">
        <v>1707</v>
      </c>
    </row>
    <row r="81" spans="2:183" x14ac:dyDescent="0.25">
      <c r="B81" s="1">
        <f>B80+7</f>
        <v>43928</v>
      </c>
      <c r="D81" s="26"/>
      <c r="L81" s="12" t="str">
        <f>IF(ISNUMBER(tblData[[#This Row],[NSW]]),tblData[[#This Row],[New South Wales]]/$L$9,"")</f>
        <v/>
      </c>
      <c r="M81" s="26"/>
      <c r="N81" s="48" t="str">
        <f>IF(ISNUMBER(tblData[Italy]),tblData[Italy]/$N$9,"")</f>
        <v/>
      </c>
      <c r="O81" s="26"/>
      <c r="P81" s="48" t="str">
        <f>IF(ISNUMBER(tblData[US]),tblData[US]/$P$9,"")</f>
        <v/>
      </c>
      <c r="Q81" s="48"/>
      <c r="R81" s="19" t="str">
        <f>IF(ISNUMBER(tblData[SKorea]),tblData[SKorea]/$R$9,"")</f>
        <v/>
      </c>
      <c r="S81" s="48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1"/>
      <c r="X81" s="21" t="str">
        <f>IF(ISNUMBER(tblData[Singapore]),tblData[Singapore]/$X$9,"")</f>
        <v/>
      </c>
      <c r="Y81" s="21"/>
      <c r="Z81" s="21"/>
      <c r="AA81" s="26">
        <f>IF(tblData[[#This Row],[Date]]&lt;ItalyStart,"",tblData[[#This Row],[Date]]-ItalyStart)</f>
        <v>68</v>
      </c>
      <c r="AB81" s="26">
        <f t="shared" si="9"/>
        <v>58</v>
      </c>
      <c r="AC81" s="26">
        <f t="shared" si="13"/>
        <v>70</v>
      </c>
      <c r="AD81" s="26">
        <f>IF(tblData[[#This Row],[Date]]&lt;StartDt2Korea,"",tblData[[#This Row],[Date]]-StartDt2Korea)</f>
        <v>48</v>
      </c>
      <c r="AE81" s="26">
        <f>IF(tblData[[#This Row],[Date]]&lt;UKStart,"",tblData[[#This Row],[Date]]-UKStart)</f>
        <v>68</v>
      </c>
      <c r="AF81" s="26">
        <f>IF(tblData[[#This Row],[Date]]&lt;SingaporeStart,"",tblData[[#This Row],[Date]]-SingaporeStart)</f>
        <v>75</v>
      </c>
      <c r="AG81">
        <f>IF(tblData[Date]&gt;=StartDt2Au,tblData[Date]-StartDt2Au,"")</f>
        <v>73</v>
      </c>
      <c r="AH81" s="26" t="str">
        <f>IF(tblData[New South Wales]&gt;0,SUM(tblData[[#This Row],[Australian Capital Territory]:[Western Australia]]),"")</f>
        <v/>
      </c>
      <c r="AI81" s="12" t="str">
        <f>IF(ISNUMBER(tblData[Au]),tblData[Au]/$AE$9,"")</f>
        <v/>
      </c>
      <c r="AJ81" s="19">
        <f>IF(ISNUMBER(tblData[[#This Row],[Day'# Aust]]),betaAu/(deltaAu+betaPodeltaAu*EXP(-betaAu*tblData[[#This Row],[Day'# Aust]])),"")</f>
        <v>42268.886064639832</v>
      </c>
      <c r="AK81" s="70">
        <f>IF(ISNUMBER(tblData[Day'# Aust]),tblData[Au LogiP(t)]/$AI$9,"")</f>
        <v>16664.91328837716</v>
      </c>
      <c r="AL81" s="11" t="str">
        <f>IF(AND(tblData[Date]&gt;=StartDt2Au,ISNUMBER(tblData[NSW])),(tblData[[#This Row],[Au LogiP(t)]]-tblData[[#This Row],[Au]])^2,"")</f>
        <v/>
      </c>
      <c r="AM81">
        <f>IF(tblData[Date]&gt;StartDt2NSW,tblData[Date]-StartDt2NSW,"")</f>
        <v>73</v>
      </c>
      <c r="AN81" t="str">
        <f t="shared" si="11"/>
        <v/>
      </c>
      <c r="AO81" s="11">
        <f>IF(tblData[Date]&gt;StartDt2NSW,betaNSW/(deltaNSW+betaPodeltaNSW*EXP(-betaNSW*tblData[[#This Row],[Day '# NSW]])),"")</f>
        <v>13316.579139465573</v>
      </c>
      <c r="AP81" s="12" t="str">
        <f>IF(AND(ISNUMBER(tblData[NSW]),tblData[Date]&gt;StartDt2NSW),(tblData[[#This Row],[NSW LogiP(t)]]-tblData[[#This Row],[NSW]])^2,"")</f>
        <v/>
      </c>
      <c r="AQ81" s="12">
        <f>IF(AND(tblData[Date]&gt;StartDt2NSW,ISNUMBER(tblData[Day'# Aust])),tblData[NSW LogiP(t)]/$AL$9,"")</f>
        <v>16480.914776566304</v>
      </c>
      <c r="AR81" s="11">
        <f>IF(AND(tblData[Date]&gt;StartDt2Italy,ISNUMBER(tblData[Days'# Italy])),betaItaly/(deltaItaly+betaPodeltaItaly*EXP(-betaItaly*tblData[Days'# Italy])),"")</f>
        <v>65203.51125760415</v>
      </c>
      <c r="AS81" s="11" t="str">
        <f>IF(AND(tblData[Date]&gt;StartDt2Italy,ISNUMBER(tblData[Italy])),(tblData[[#This Row],[Italy LogiP(t)]]-tblData[[#This Row],[Italy]])^2,"")</f>
        <v/>
      </c>
      <c r="AT81" s="43">
        <f>IF(AND(tblData[Date]&gt;StartDt2Italy,ISNUMBER(tblData[Days'# Italy])),tblData[[#This Row],[Italy LogiP(t)]]/$AS$9,"")</f>
        <v>10786.354219620207</v>
      </c>
      <c r="AU81" s="21">
        <f>IF(ISNUMBER(tblData[[#This Row],[Days'# US]]),betaUS/(deltaUS+betaPodeltaUS*EXP(-betaUS*tblData[Days'# US])),"")</f>
        <v>158672.1629755233</v>
      </c>
      <c r="AV81" s="11" t="str">
        <f>IF(ISNUMBER(tblData[US]),(tblData[[#This Row],[US LogiP(t)]]-tblData[US])^2,"")</f>
        <v/>
      </c>
      <c r="AW81" s="21">
        <f>IF(ISNUMBER(tblData[[#This Row],[Days'# US]]),tblData[[#This Row],[US LogiP(t)]]/$AV$9,"")</f>
        <v>4819.5258420146438</v>
      </c>
      <c r="AX81" s="21">
        <f>IF(tblData[Date]&gt;=StartDt2Korea,betaSKorea/(deltaSKorea+betaPodeltaSKorea*EXP(-betaSKorea*(tblData[Date]-StartDt2Korea))),"")</f>
        <v>8492.2797493068574</v>
      </c>
      <c r="AY81" s="21" t="str">
        <f>IF(AND(tblData[Date]&gt;=StartDt2Korea,ISNUMBER(tblData[SKorea])),(tblData[[#This Row],[SKorea LogiP(t)]]-tblData[[#This Row],[SKorea]])^2,"")</f>
        <v/>
      </c>
      <c r="AZ81" s="21">
        <f>IF(tblData[Date]&gt;=StartDt2Korea,tblData[[#This Row],[SKorea LogiP(t)]]/$AY$9,"")</f>
        <v>1652.1945037561979</v>
      </c>
      <c r="BA81" s="11">
        <f>IF(ISNUMBER(tblData[Days'# UK]),betaUK/(deltaUK+betaPodeltaUK*EXP(-betaUK*tblData[Days'# UK])),"")</f>
        <v>79004.069798877244</v>
      </c>
      <c r="BB81" s="21" t="str">
        <f>IF(ISNUMBER(tblData[UK]),(tblData[[#This Row],[UK LogiP(t)]]-tblData[[#This Row],[UK]])^2,"")</f>
        <v/>
      </c>
      <c r="BC81" s="21">
        <f>IF(ISNUMBER(tblData[Days'# UK]),tblData[[#This Row],[UK LogiP(t)]]/$BB$9,"")</f>
        <v>11891.040005851481</v>
      </c>
      <c r="BD81" s="11">
        <f>IF(ISNUMBER(tblData[Days'# China]),betaChina/(deltaChina+betaPodeltaChina*EXP(-betaChina*tblData[Days'# China])),"")</f>
        <v>80978.248635672629</v>
      </c>
      <c r="BE81" s="11" t="str">
        <f>IF(ISNUMBER(tblData[China]),(tblData[[#This Row],[China LogiP(t)]]-tblData[[#This Row],[China]])^2,"")</f>
        <v/>
      </c>
      <c r="BF81" s="11">
        <f>tblData[[#This Row],[China LogiP(t)]]/$BE$9</f>
        <v>562.61315199501462</v>
      </c>
      <c r="BG81" s="11">
        <f>IF(ISNUMBER(tblData[Day'# Singapore]),betaSingapore/(deltaSingapore+betaPodeltaSingapore*EXP(-betaSingapore*tblData[Day'# Singapore])),"")</f>
        <v>691.90883035468801</v>
      </c>
      <c r="BH81" s="11" t="str">
        <f>IF(AND(ISNUMBER(tblData[Singapore]),tblData[Date]&gt;=StartDt2Singapore),(tblData[[#This Row],[Singapore LogiP(t)]]-tblData[[#This Row],[Singapore]])^2,"")</f>
        <v/>
      </c>
      <c r="BI81" s="11">
        <f>IF(ISNUMBER(tblData[Day'# Singapore]),tblData[Singapore LogiP(t)]/$BH$9,"")</f>
        <v>1182.7501373584412</v>
      </c>
      <c r="BJ81" s="11"/>
      <c r="BK81" s="11"/>
      <c r="BL81" s="11" t="str">
        <f>IF(ISNUMBER(tblData[[#This Row],[NSW Number of Tests]]),tblData[[#This Row],[NSW Number of Tests]]-BJ80,"")</f>
        <v/>
      </c>
      <c r="BM81" s="11" t="str">
        <f>IF(ISNUMBER(tblData[[#This Row],[NSW Under Investigation'']]),tblData[[#This Row],[NSW Under Investigation'']]-BK80,"")</f>
        <v/>
      </c>
      <c r="BN81" s="11">
        <f t="shared" si="8"/>
        <v>27</v>
      </c>
      <c r="BO81" s="11">
        <f>IF(ISNUMBER(tblData[[#This Row],[NSW Test Day Number]]),betaTest/(deltaTest+betaPodeltaTest*EXP(-betaTest*tblData[[#This Row],[NSW Test Day Number]])),"")</f>
        <v>180412.93314116794</v>
      </c>
      <c r="BP81" s="11" t="str">
        <f>IF(ISNUMBER(tblData[[#This Row],[NSW Number of Tests]]),(tblData[[#This Row],[NSW Number of Tests]]-tblData[[#This Row],[NSW Test Logi]])^2,"")</f>
        <v/>
      </c>
      <c r="BR81"/>
      <c r="BV81" s="26"/>
      <c r="CE81"/>
      <c r="CF81"/>
      <c r="CG81"/>
      <c r="CH81" s="26"/>
      <c r="CS81" s="26"/>
      <c r="CT81" s="26"/>
      <c r="DM81"/>
      <c r="DN81" s="26" t="s">
        <v>202</v>
      </c>
      <c r="DO81" s="80">
        <v>43913.581608796296</v>
      </c>
      <c r="DP81" s="27">
        <v>43855</v>
      </c>
      <c r="DQ81" s="27">
        <v>43855</v>
      </c>
      <c r="DR81" s="26">
        <v>1</v>
      </c>
      <c r="DS81" s="26">
        <v>0.19304193258457727</v>
      </c>
      <c r="DT81" s="107">
        <v>7.741697041153024E-7</v>
      </c>
      <c r="DU81" s="26">
        <v>9.08799853365907E-3</v>
      </c>
      <c r="DV81" s="108">
        <v>249353.50939001123</v>
      </c>
      <c r="DW81" s="26">
        <v>4.8079620372406442</v>
      </c>
      <c r="DX81" s="26">
        <v>21.241412488564777</v>
      </c>
      <c r="DY81" s="112">
        <v>7.7416970411530242E-4</v>
      </c>
      <c r="DZ81" s="26">
        <v>4.8079620372406442</v>
      </c>
      <c r="EA81" s="27">
        <v>43913</v>
      </c>
      <c r="EB81" s="26" t="s">
        <v>1714</v>
      </c>
      <c r="EC81" s="26">
        <v>249353.50939001123</v>
      </c>
      <c r="ED81" s="112">
        <v>669</v>
      </c>
      <c r="EE81" s="26" t="s">
        <v>1715</v>
      </c>
      <c r="EF81" s="27">
        <v>43913</v>
      </c>
      <c r="EG81" s="26">
        <v>59</v>
      </c>
      <c r="EH81" s="26" t="s">
        <v>1716</v>
      </c>
      <c r="EI81" s="26"/>
      <c r="EJ81" s="26" t="s">
        <v>1717</v>
      </c>
      <c r="EK81" s="26"/>
      <c r="EL81" s="26" t="s">
        <v>1718</v>
      </c>
      <c r="EM81" s="26">
        <v>827.97029702970292</v>
      </c>
      <c r="EO81" s="26"/>
      <c r="EP81" s="94"/>
      <c r="EQ81" s="26"/>
      <c r="ER81" s="26" t="s">
        <v>1713</v>
      </c>
    </row>
    <row r="82" spans="2:183" x14ac:dyDescent="0.25">
      <c r="B82" s="27">
        <f t="shared" ref="B82:B117" si="14">B81+7</f>
        <v>43935</v>
      </c>
      <c r="D82" s="26"/>
      <c r="L82" s="12" t="str">
        <f>IF(ISNUMBER(tblData[[#This Row],[NSW]]),tblData[[#This Row],[New South Wales]]/$L$9,"")</f>
        <v/>
      </c>
      <c r="M82" s="26"/>
      <c r="N82" s="48" t="str">
        <f>IF(ISNUMBER(tblData[Italy]),tblData[Italy]/$N$9,"")</f>
        <v/>
      </c>
      <c r="O82" s="26"/>
      <c r="P82" s="48" t="str">
        <f>IF(ISNUMBER(tblData[US]),tblData[US]/$P$9,"")</f>
        <v/>
      </c>
      <c r="Q82" s="48"/>
      <c r="R82" s="19" t="str">
        <f>IF(ISNUMBER(tblData[SKorea]),tblData[SKorea]/$R$9,"")</f>
        <v/>
      </c>
      <c r="S82" s="48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1"/>
      <c r="X82" s="21" t="str">
        <f>IF(ISNUMBER(tblData[Singapore]),tblData[Singapore]/$X$9,"")</f>
        <v/>
      </c>
      <c r="Y82" s="21"/>
      <c r="Z82" s="21"/>
      <c r="AA82" s="26">
        <f>IF(tblData[[#This Row],[Date]]&lt;ItalyStart,"",tblData[[#This Row],[Date]]-ItalyStart)</f>
        <v>75</v>
      </c>
      <c r="AB82" s="26">
        <f t="shared" si="9"/>
        <v>65</v>
      </c>
      <c r="AC82" s="26">
        <f t="shared" si="13"/>
        <v>71</v>
      </c>
      <c r="AD82" s="26">
        <f>IF(tblData[[#This Row],[Date]]&lt;StartDt2Korea,"",tblData[[#This Row],[Date]]-StartDt2Korea)</f>
        <v>55</v>
      </c>
      <c r="AE82" s="26">
        <f>IF(tblData[[#This Row],[Date]]&lt;UKStart,"",tblData[[#This Row],[Date]]-UKStart)</f>
        <v>75</v>
      </c>
      <c r="AF82" s="26">
        <f>IF(tblData[[#This Row],[Date]]&lt;SingaporeStart,"",tblData[[#This Row],[Date]]-SingaporeStart)</f>
        <v>82</v>
      </c>
      <c r="AG82">
        <f>IF(tblData[Date]&gt;=StartDt2Au,tblData[Date]-StartDt2Au,"")</f>
        <v>80</v>
      </c>
      <c r="AH82" s="26" t="str">
        <f>IF(tblData[New South Wales]&gt;0,SUM(tblData[[#This Row],[Australian Capital Territory]:[Western Australia]]),"")</f>
        <v/>
      </c>
      <c r="AI82" s="12" t="str">
        <f>IF(ISNUMBER(tblData[Au]),tblData[Au]/$AE$9,"")</f>
        <v/>
      </c>
      <c r="AJ82" s="19">
        <f>IF(ISNUMBER(tblData[[#This Row],[Day'# Aust]]),betaAu/(deltaAu+betaPodeltaAu*EXP(-betaAu*tblData[[#This Row],[Day'# Aust]])),"")</f>
        <v>190101.39090326594</v>
      </c>
      <c r="AK82" s="70">
        <f>IF(ISNUMBER(tblData[Day'# Aust]),tblData[Au LogiP(t)]/$AI$9,"")</f>
        <v>74949.294631472148</v>
      </c>
      <c r="AL82" s="11" t="str">
        <f>IF(AND(tblData[Date]&gt;=StartDt2Au,ISNUMBER(tblData[NSW])),(tblData[[#This Row],[Au LogiP(t)]]-tblData[[#This Row],[Au]])^2,"")</f>
        <v/>
      </c>
      <c r="AM82">
        <f>IF(tblData[Date]&gt;StartDt2NSW,tblData[Date]-StartDt2NSW,"")</f>
        <v>80</v>
      </c>
      <c r="AN82" t="str">
        <f t="shared" si="11"/>
        <v/>
      </c>
      <c r="AO82" s="11">
        <f>IF(tblData[Date]&gt;StartDt2NSW,betaNSW/(deltaNSW+betaPodeltaNSW*EXP(-betaNSW*tblData[[#This Row],[Day '# NSW]])),"")</f>
        <v>53377.12162520281</v>
      </c>
      <c r="AP82" s="12" t="str">
        <f>IF(AND(ISNUMBER(tblData[NSW]),tblData[Date]&gt;StartDt2NSW),(tblData[[#This Row],[NSW LogiP(t)]]-tblData[[#This Row],[NSW]])^2,"")</f>
        <v/>
      </c>
      <c r="AQ82" s="12">
        <f>IF(AND(tblData[Date]&gt;StartDt2NSW,ISNUMBER(tblData[Day'# Aust])),tblData[NSW LogiP(t)]/$AL$9,"")</f>
        <v>66060.794090597527</v>
      </c>
      <c r="AR82" s="11">
        <f>IF(AND(tblData[Date]&gt;StartDt2Italy,ISNUMBER(tblData[Days'# Italy])),betaItaly/(deltaItaly+betaPodeltaItaly*EXP(-betaItaly*tblData[Days'# Italy])),"")</f>
        <v>65387.732184541681</v>
      </c>
      <c r="AS82" s="11" t="str">
        <f>IF(AND(tblData[Date]&gt;StartDt2Italy,ISNUMBER(tblData[Italy])),(tblData[[#This Row],[Italy LogiP(t)]]-tblData[[#This Row],[Italy]])^2,"")</f>
        <v/>
      </c>
      <c r="AT82" s="43">
        <f>IF(AND(tblData[Date]&gt;StartDt2Italy,ISNUMBER(tblData[Days'# Italy])),tblData[[#This Row],[Italy LogiP(t)]]/$AS$9,"")</f>
        <v>10816.829145499038</v>
      </c>
      <c r="AU82" s="21">
        <f>IF(ISNUMBER(tblData[[#This Row],[Days'# US]]),betaUS/(deltaUS+betaPodeltaUS*EXP(-betaUS*tblData[Days'# US])),"")</f>
        <v>161591.98590211832</v>
      </c>
      <c r="AV82" s="11" t="str">
        <f>IF(ISNUMBER(tblData[US]),(tblData[[#This Row],[US LogiP(t)]]-tblData[US])^2,"")</f>
        <v/>
      </c>
      <c r="AW82" s="21">
        <f>IF(ISNUMBER(tblData[[#This Row],[Days'# US]]),tblData[[#This Row],[US LogiP(t)]]/$AV$9,"")</f>
        <v>4908.2128667891293</v>
      </c>
      <c r="AX82" s="21">
        <f>IF(tblData[Date]&gt;=StartDt2Korea,betaSKorea/(deltaSKorea+betaPodeltaSKorea*EXP(-betaSKorea*(tblData[Date]-StartDt2Korea))),"")</f>
        <v>8492.3853194279509</v>
      </c>
      <c r="AY82" s="21" t="str">
        <f>IF(AND(tblData[Date]&gt;=StartDt2Korea,ISNUMBER(tblData[SKorea])),(tblData[[#This Row],[SKorea LogiP(t)]]-tblData[[#This Row],[SKorea]])^2,"")</f>
        <v/>
      </c>
      <c r="AZ82" s="21">
        <f>IF(tblData[Date]&gt;=StartDt2Korea,tblData[[#This Row],[SKorea LogiP(t)]]/$AY$9,"")</f>
        <v>1652.2150426902629</v>
      </c>
      <c r="BA82" s="83">
        <f>IF(ISNUMBER(tblData[Days'# UK]),betaUK/(deltaUK+betaPodeltaUK*EXP(-betaUK*tblData[Days'# UK])),"")</f>
        <v>102836.69479299588</v>
      </c>
      <c r="BB82" s="83" t="str">
        <f>IF(ISNUMBER(tblData[UK]),(tblData[[#This Row],[UK LogiP(t)]]-tblData[[#This Row],[UK]])^2,"")</f>
        <v/>
      </c>
      <c r="BC82" s="83">
        <f>IF(ISNUMBER(tblData[Days'# UK]),tblData[[#This Row],[UK LogiP(t)]]/$BB$9,"")</f>
        <v>15478.129860474997</v>
      </c>
      <c r="BD82" s="11">
        <f>IF(ISNUMBER(tblData[Days'# China]),betaChina/(deltaChina+betaPodeltaChina*EXP(-betaChina*tblData[Days'# China])),"")</f>
        <v>80978.395717319407</v>
      </c>
      <c r="BE82" s="11" t="str">
        <f>IF(ISNUMBER(tblData[China]),(tblData[[#This Row],[China LogiP(t)]]-tblData[[#This Row],[China]])^2,"")</f>
        <v/>
      </c>
      <c r="BF82" s="11">
        <f>tblData[[#This Row],[China LogiP(t)]]/$BE$9</f>
        <v>562.61417387521442</v>
      </c>
      <c r="BG82" s="11">
        <f>IF(ISNUMBER(tblData[Day'# Singapore]),betaSingapore/(deltaSingapore+betaPodeltaSingapore*EXP(-betaSingapore*tblData[Day'# Singapore])),"")</f>
        <v>941.12268309248009</v>
      </c>
      <c r="BH82" s="11" t="str">
        <f>IF(AND(ISNUMBER(tblData[Singapore]),tblData[Date]&gt;=StartDt2Singapore),(tblData[[#This Row],[Singapore LogiP(t)]]-tblData[[#This Row],[Singapore]])^2,"")</f>
        <v/>
      </c>
      <c r="BI82" s="11">
        <f>IF(ISNUMBER(tblData[Day'# Singapore]),tblData[Singapore LogiP(t)]/$BH$9,"")</f>
        <v>1608.7567232350088</v>
      </c>
      <c r="BJ82" s="11"/>
      <c r="BK82" s="11"/>
      <c r="BL82" s="11" t="str">
        <f>IF(ISNUMBER(tblData[[#This Row],[NSW Number of Tests]]),tblData[[#This Row],[NSW Number of Tests]]-BJ81,"")</f>
        <v/>
      </c>
      <c r="BM82" s="11" t="str">
        <f>IF(ISNUMBER(tblData[[#This Row],[NSW Under Investigation'']]),tblData[[#This Row],[NSW Under Investigation'']]-BK81,"")</f>
        <v/>
      </c>
      <c r="BN82" s="11">
        <f t="shared" si="8"/>
        <v>28</v>
      </c>
      <c r="BO82" s="11">
        <f>IF(ISNUMBER(tblData[[#This Row],[NSW Test Day Number]]),betaTest/(deltaTest+betaPodeltaTest*EXP(-betaTest*tblData[[#This Row],[NSW Test Day Number]])),"")</f>
        <v>191731.73865460593</v>
      </c>
      <c r="BP82" s="11" t="str">
        <f>IF(ISNUMBER(tblData[[#This Row],[NSW Number of Tests]]),(tblData[[#This Row],[NSW Number of Tests]]-tblData[[#This Row],[NSW Test Logi]])^2,"")</f>
        <v/>
      </c>
      <c r="BR82"/>
      <c r="BV82" s="26"/>
      <c r="CE82"/>
      <c r="CF82"/>
      <c r="CG82"/>
      <c r="CH82" s="26"/>
      <c r="CS82" s="26"/>
      <c r="CT82" s="26"/>
      <c r="DM82"/>
      <c r="DN82" s="26" t="s">
        <v>58</v>
      </c>
      <c r="DO82" s="80">
        <v>43913.581655092596</v>
      </c>
      <c r="DP82" s="27">
        <v>43860</v>
      </c>
      <c r="DQ82" s="27">
        <v>43860</v>
      </c>
      <c r="DR82" s="26">
        <v>2</v>
      </c>
      <c r="DS82" s="26">
        <v>0.25947894792637805</v>
      </c>
      <c r="DT82" s="107">
        <v>4.2793930730069226E-6</v>
      </c>
      <c r="DU82" s="26">
        <v>0.44221157817092033</v>
      </c>
      <c r="DV82" s="108">
        <v>60634.520713483966</v>
      </c>
      <c r="DW82" s="26">
        <v>1498.6578455090564</v>
      </c>
      <c r="DX82" s="26">
        <v>0.58677128401401213</v>
      </c>
      <c r="DY82" s="112">
        <v>4.2793930730069228E-3</v>
      </c>
      <c r="DZ82" s="26"/>
      <c r="EA82" s="27">
        <v>43911</v>
      </c>
      <c r="EB82" s="26" t="s">
        <v>1396</v>
      </c>
      <c r="EC82" s="26">
        <v>60634.520713483966</v>
      </c>
      <c r="ED82" s="113">
        <v>53578</v>
      </c>
      <c r="EE82" s="26" t="s">
        <v>764</v>
      </c>
      <c r="EF82" s="27">
        <v>43911</v>
      </c>
      <c r="EG82" s="26">
        <v>52</v>
      </c>
      <c r="EH82" s="26" t="s">
        <v>1477</v>
      </c>
      <c r="EI82" s="26"/>
      <c r="EJ82" s="26" t="s">
        <v>1398</v>
      </c>
      <c r="EK82" s="26"/>
      <c r="EL82" s="26" t="s">
        <v>1478</v>
      </c>
      <c r="EM82" s="26">
        <v>8863.1927212572373</v>
      </c>
      <c r="EN82" s="94">
        <v>43897</v>
      </c>
      <c r="EO82" s="26">
        <v>16</v>
      </c>
      <c r="EP82" s="94">
        <v>43896</v>
      </c>
      <c r="EQ82" s="26">
        <v>16</v>
      </c>
      <c r="ER82" s="26"/>
    </row>
    <row r="83" spans="2:183" x14ac:dyDescent="0.25">
      <c r="B83" s="27">
        <f t="shared" si="14"/>
        <v>43942</v>
      </c>
      <c r="D83" s="26"/>
      <c r="L83" s="12" t="str">
        <f>IF(ISNUMBER(tblData[[#This Row],[NSW]]),tblData[[#This Row],[New South Wales]]/$L$9,"")</f>
        <v/>
      </c>
      <c r="M83" s="26"/>
      <c r="N83" s="48" t="str">
        <f>IF(ISNUMBER(tblData[Italy]),tblData[Italy]/$N$9,"")</f>
        <v/>
      </c>
      <c r="O83" s="26"/>
      <c r="P83" s="48" t="str">
        <f>IF(ISNUMBER(tblData[US]),tblData[US]/$P$9,"")</f>
        <v/>
      </c>
      <c r="Q83" s="48"/>
      <c r="R83" s="19" t="str">
        <f>IF(ISNUMBER(tblData[SKorea]),tblData[SKorea]/$R$9,"")</f>
        <v/>
      </c>
      <c r="S83" s="48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1"/>
      <c r="X83" s="21" t="str">
        <f>IF(ISNUMBER(tblData[Singapore]),tblData[Singapore]/$X$9,"")</f>
        <v/>
      </c>
      <c r="Y83" s="21"/>
      <c r="Z83" s="21"/>
      <c r="AA83" s="26">
        <f>IF(tblData[[#This Row],[Date]]&lt;ItalyStart,"",tblData[[#This Row],[Date]]-ItalyStart)</f>
        <v>82</v>
      </c>
      <c r="AB83" s="26">
        <f t="shared" si="9"/>
        <v>72</v>
      </c>
      <c r="AC83" s="26">
        <f t="shared" si="13"/>
        <v>72</v>
      </c>
      <c r="AD83" s="26">
        <f>IF(tblData[[#This Row],[Date]]&lt;StartDt2Korea,"",tblData[[#This Row],[Date]]-StartDt2Korea)</f>
        <v>62</v>
      </c>
      <c r="AE83" s="26">
        <f>IF(tblData[[#This Row],[Date]]&lt;UKStart,"",tblData[[#This Row],[Date]]-UKStart)</f>
        <v>82</v>
      </c>
      <c r="AF83" s="26">
        <f>IF(tblData[[#This Row],[Date]]&lt;SingaporeStart,"",tblData[[#This Row],[Date]]-SingaporeStart)</f>
        <v>89</v>
      </c>
      <c r="AG83">
        <f>IF(tblData[Date]&gt;=StartDt2Au,tblData[Date]-StartDt2Au,"")</f>
        <v>87</v>
      </c>
      <c r="AH83" s="26" t="str">
        <f>IF(tblData[New South Wales]&gt;0,SUM(tblData[[#This Row],[Australian Capital Territory]:[Western Australia]]),"")</f>
        <v/>
      </c>
      <c r="AI83" s="12" t="str">
        <f>IF(ISNUMBER(tblData[Au]),tblData[Au]/$AE$9,"")</f>
        <v/>
      </c>
      <c r="AJ83" s="19">
        <f>IF(ISNUMBER(tblData[[#This Row],[Day'# Aust]]),betaAu/(deltaAu+betaPodeltaAu*EXP(-betaAu*tblData[[#This Row],[Day'# Aust]])),"")</f>
        <v>854965.79625251936</v>
      </c>
      <c r="AK83" s="70">
        <f>IF(ISNUMBER(tblData[Day'# Aust]),tblData[Au LogiP(t)]/$AI$9,"")</f>
        <v>337078.45617904089</v>
      </c>
      <c r="AL83" s="11" t="str">
        <f>IF(AND(tblData[Date]&gt;=StartDt2Au,ISNUMBER(tblData[NSW])),(tblData[[#This Row],[Au LogiP(t)]]-tblData[[#This Row],[Au]])^2,"")</f>
        <v/>
      </c>
      <c r="AM83">
        <f>IF(tblData[Date]&gt;StartDt2NSW,tblData[Date]-StartDt2NSW,"")</f>
        <v>87</v>
      </c>
      <c r="AN83" t="str">
        <f t="shared" si="11"/>
        <v/>
      </c>
      <c r="AO83" s="11">
        <f>IF(tblData[Date]&gt;StartDt2NSW,betaNSW/(deltaNSW+betaPodeltaNSW*EXP(-betaNSW*tblData[[#This Row],[Day '# NSW]])),"")</f>
        <v>213952.49875883435</v>
      </c>
      <c r="AP83" s="12" t="str">
        <f>IF(AND(ISNUMBER(tblData[NSW]),tblData[Date]&gt;StartDt2NSW),(tblData[[#This Row],[NSW LogiP(t)]]-tblData[[#This Row],[NSW]])^2,"")</f>
        <v/>
      </c>
      <c r="AQ83" s="12">
        <f>IF(AND(tblData[Date]&gt;StartDt2NSW,ISNUMBER(tblData[Day'# Aust])),tblData[NSW LogiP(t)]/$AL$9,"")</f>
        <v>264792.69648370583</v>
      </c>
      <c r="AR83" s="11">
        <f>IF(AND(tblData[Date]&gt;StartDt2Italy,ISNUMBER(tblData[Days'# Italy])),betaItaly/(deltaItaly+betaPodeltaItaly*EXP(-betaItaly*tblData[Days'# Italy])),"")</f>
        <v>65417.942991594085</v>
      </c>
      <c r="AS83" s="11" t="str">
        <f>IF(AND(tblData[Date]&gt;StartDt2Italy,ISNUMBER(tblData[Italy])),(tblData[[#This Row],[Italy LogiP(t)]]-tblData[[#This Row],[Italy]])^2,"")</f>
        <v/>
      </c>
      <c r="AT83" s="43">
        <f>IF(AND(tblData[Date]&gt;StartDt2Italy,ISNUMBER(tblData[Days'# Italy])),tblData[[#This Row],[Italy LogiP(t)]]/$AS$9,"")</f>
        <v>10821.826797616888</v>
      </c>
      <c r="AU83" s="21">
        <f>IF(ISNUMBER(tblData[[#This Row],[Days'# US]]),betaUS/(deltaUS+betaPodeltaUS*EXP(-betaUS*tblData[Days'# US])),"")</f>
        <v>161873.05957853477</v>
      </c>
      <c r="AV83" s="11" t="str">
        <f>IF(ISNUMBER(tblData[US]),(tblData[[#This Row],[US LogiP(t)]]-tblData[US])^2,"")</f>
        <v/>
      </c>
      <c r="AW83" s="21">
        <f>IF(ISNUMBER(tblData[[#This Row],[Days'# US]]),tblData[[#This Row],[US LogiP(t)]]/$AV$9,"")</f>
        <v>4916.7502297493111</v>
      </c>
      <c r="AX83" s="21">
        <f>IF(tblData[Date]&gt;=StartDt2Korea,betaSKorea/(deltaSKorea+betaPodeltaSKorea*EXP(-betaSKorea*(tblData[Date]-StartDt2Korea))),"")</f>
        <v>8492.3973405909419</v>
      </c>
      <c r="AY83" s="21" t="str">
        <f>IF(AND(tblData[Date]&gt;=StartDt2Korea,ISNUMBER(tblData[SKorea])),(tblData[[#This Row],[SKorea LogiP(t)]]-tblData[[#This Row],[SKorea]])^2,"")</f>
        <v/>
      </c>
      <c r="AZ83" s="21">
        <f>IF(tblData[Date]&gt;=StartDt2Korea,tblData[[#This Row],[SKorea LogiP(t)]]/$AY$9,"")</f>
        <v>1652.2173814379266</v>
      </c>
      <c r="BA83" s="83">
        <f>IF(ISNUMBER(tblData[Days'# UK]),betaUK/(deltaUK+betaPodeltaUK*EXP(-betaUK*tblData[Days'# UK])),"")</f>
        <v>109150.26383529294</v>
      </c>
      <c r="BB83" s="83" t="str">
        <f>IF(ISNUMBER(tblData[UK]),(tblData[[#This Row],[UK LogiP(t)]]-tblData[[#This Row],[UK]])^2,"")</f>
        <v/>
      </c>
      <c r="BC83" s="83">
        <f>IF(ISNUMBER(tblData[Days'# UK]),tblData[[#This Row],[UK LogiP(t)]]/$BB$9,"")</f>
        <v>16428.396122109112</v>
      </c>
      <c r="BD83" s="11">
        <f>IF(ISNUMBER(tblData[Days'# China]),betaChina/(deltaChina+betaPodeltaChina*EXP(-betaChina*tblData[Days'# China])),"")</f>
        <v>80978.513500811416</v>
      </c>
      <c r="BE83" s="11" t="str">
        <f>IF(ISNUMBER(tblData[China]),(tblData[[#This Row],[China LogiP(t)]]-tblData[[#This Row],[China]])^2,"")</f>
        <v/>
      </c>
      <c r="BF83" s="11">
        <f>tblData[[#This Row],[China LogiP(t)]]/$BE$9</f>
        <v>562.61499220041662</v>
      </c>
      <c r="BG83" s="11">
        <f>IF(ISNUMBER(tblData[Day'# Singapore]),betaSingapore/(deltaSingapore+betaPodeltaSingapore*EXP(-betaSingapore*tblData[Day'# Singapore])),"")</f>
        <v>1280.0991459640888</v>
      </c>
      <c r="BH83" s="11" t="str">
        <f>IF(AND(ISNUMBER(tblData[Singapore]),tblData[Date]&gt;=StartDt2Singapore),(tblData[[#This Row],[Singapore LogiP(t)]]-tblData[[#This Row],[Singapore]])^2,"")</f>
        <v/>
      </c>
      <c r="BI83" s="11">
        <f>IF(ISNUMBER(tblData[Day'# Singapore]),tblData[Singapore LogiP(t)]/$BH$9,"")</f>
        <v>2188.2036683146821</v>
      </c>
      <c r="BJ83" s="11"/>
      <c r="BK83" s="11"/>
      <c r="BL83" s="11" t="str">
        <f>IF(ISNUMBER(tblData[[#This Row],[NSW Number of Tests]]),tblData[[#This Row],[NSW Number of Tests]]-BJ82,"")</f>
        <v/>
      </c>
      <c r="BM83" s="11" t="str">
        <f>IF(ISNUMBER(tblData[[#This Row],[NSW Under Investigation'']]),tblData[[#This Row],[NSW Under Investigation'']]-BK82,"")</f>
        <v/>
      </c>
      <c r="BN83" s="11">
        <f t="shared" si="8"/>
        <v>29</v>
      </c>
      <c r="BO83" s="11">
        <f>IF(ISNUMBER(tblData[[#This Row],[NSW Test Day Number]]),betaTest/(deltaTest+betaPodeltaTest*EXP(-betaTest*tblData[[#This Row],[NSW Test Day Number]])),"")</f>
        <v>202466.19675997517</v>
      </c>
      <c r="BP83" s="11" t="str">
        <f>IF(ISNUMBER(tblData[[#This Row],[NSW Number of Tests]]),(tblData[[#This Row],[NSW Number of Tests]]-tblData[[#This Row],[NSW Test Logi]])^2,"")</f>
        <v/>
      </c>
      <c r="BR83"/>
      <c r="BV83" s="26"/>
      <c r="CE83"/>
      <c r="CF83"/>
      <c r="CG83"/>
      <c r="CH83" s="26"/>
      <c r="CS83" s="26"/>
      <c r="CT83" s="26"/>
      <c r="DM83"/>
      <c r="DN83" t="s">
        <v>480</v>
      </c>
      <c r="DO83" s="80">
        <v>43913.581689814811</v>
      </c>
      <c r="DP83" s="27">
        <v>43852</v>
      </c>
      <c r="DQ83" s="27">
        <v>43870</v>
      </c>
      <c r="DR83">
        <v>3</v>
      </c>
      <c r="DS83">
        <v>0.33723338069623404</v>
      </c>
      <c r="DT83" s="107">
        <v>9.9999999999795755E-11</v>
      </c>
      <c r="DU83">
        <v>2.5463658145686113E-2</v>
      </c>
      <c r="DV83" s="108">
        <v>3372333806.9692283</v>
      </c>
      <c r="DW83">
        <v>322.06292198158718</v>
      </c>
      <c r="DX83">
        <v>13.243713011078873</v>
      </c>
      <c r="DY83" s="112">
        <v>9.9999999999795755E-8</v>
      </c>
      <c r="EA83" s="27">
        <v>43911</v>
      </c>
      <c r="EB83" t="s">
        <v>1459</v>
      </c>
      <c r="EC83" s="26">
        <v>3372333806.9692283</v>
      </c>
      <c r="ED83" s="113">
        <v>25489</v>
      </c>
      <c r="EE83" t="s">
        <v>1460</v>
      </c>
      <c r="EF83" s="27">
        <v>43911</v>
      </c>
      <c r="EG83">
        <v>42</v>
      </c>
      <c r="EH83" t="s">
        <v>1479</v>
      </c>
      <c r="EJ83" t="s">
        <v>1462</v>
      </c>
      <c r="EL83" t="s">
        <v>1480</v>
      </c>
      <c r="EM83">
        <v>774.20570743755002</v>
      </c>
      <c r="EN83" s="94">
        <v>43913</v>
      </c>
      <c r="EO83">
        <v>0</v>
      </c>
      <c r="EP83" s="94">
        <v>43911</v>
      </c>
      <c r="EQ83">
        <v>1</v>
      </c>
      <c r="ER83" s="26"/>
    </row>
    <row r="84" spans="2:183" x14ac:dyDescent="0.25">
      <c r="B84" s="27">
        <f t="shared" si="14"/>
        <v>43949</v>
      </c>
      <c r="D84" s="26"/>
      <c r="L84" s="12" t="str">
        <f>IF(ISNUMBER(tblData[[#This Row],[NSW]]),tblData[[#This Row],[New South Wales]]/$L$9,"")</f>
        <v/>
      </c>
      <c r="M84" s="26"/>
      <c r="N84" s="48" t="str">
        <f>IF(ISNUMBER(tblData[Italy]),tblData[Italy]/$N$9,"")</f>
        <v/>
      </c>
      <c r="O84" s="26"/>
      <c r="P84" s="48" t="str">
        <f>IF(ISNUMBER(tblData[US]),tblData[US]/$P$9,"")</f>
        <v/>
      </c>
      <c r="Q84" s="48"/>
      <c r="R84" s="19" t="str">
        <f>IF(ISNUMBER(tblData[SKorea]),tblData[SKorea]/$R$9,"")</f>
        <v/>
      </c>
      <c r="S84" s="48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1"/>
      <c r="X84" s="21" t="str">
        <f>IF(ISNUMBER(tblData[Singapore]),tblData[Singapore]/$X$9,"")</f>
        <v/>
      </c>
      <c r="Y84" s="21"/>
      <c r="Z84" s="21"/>
      <c r="AA84" s="26">
        <f>IF(tblData[[#This Row],[Date]]&lt;ItalyStart,"",tblData[[#This Row],[Date]]-ItalyStart)</f>
        <v>89</v>
      </c>
      <c r="AB84" s="26">
        <f t="shared" si="9"/>
        <v>79</v>
      </c>
      <c r="AC84" s="26">
        <f t="shared" si="13"/>
        <v>73</v>
      </c>
      <c r="AD84" s="26">
        <f>IF(tblData[[#This Row],[Date]]&lt;StartDt2Korea,"",tblData[[#This Row],[Date]]-StartDt2Korea)</f>
        <v>69</v>
      </c>
      <c r="AE84" s="26">
        <f>IF(tblData[[#This Row],[Date]]&lt;UKStart,"",tblData[[#This Row],[Date]]-UKStart)</f>
        <v>89</v>
      </c>
      <c r="AF84" s="26">
        <f>IF(tblData[[#This Row],[Date]]&lt;SingaporeStart,"",tblData[[#This Row],[Date]]-SingaporeStart)</f>
        <v>96</v>
      </c>
      <c r="AG84">
        <f>IF(tblData[Date]&gt;=StartDt2Au,tblData[Date]-StartDt2Au,"")</f>
        <v>94</v>
      </c>
      <c r="AH84" s="26" t="str">
        <f>IF(tblData[New South Wales]&gt;0,SUM(tblData[[#This Row],[Australian Capital Territory]:[Western Australia]]),"")</f>
        <v/>
      </c>
      <c r="AI84" s="12" t="str">
        <f>IF(ISNUMBER(tblData[Au]),tblData[Au]/$AE$9,"")</f>
        <v/>
      </c>
      <c r="AJ84" s="43">
        <f>IF(ISNUMBER(tblData[[#This Row],[Day'# Aust]]),betaAu/(deltaAu+betaPodeltaAu*EXP(-betaAu*tblData[[#This Row],[Day'# Aust]])),"")</f>
        <v>3845098.638283005</v>
      </c>
      <c r="AK84" s="71">
        <f>IF(ISNUMBER(tblData[Day'# Aust]),tblData[Au LogiP(t)]/$AI$9,"")</f>
        <v>1515966.976140595</v>
      </c>
      <c r="AL84" s="11" t="str">
        <f>IF(AND(tblData[Date]&gt;=StartDt2Au,ISNUMBER(tblData[NSW])),(tblData[[#This Row],[Au LogiP(t)]]-tblData[[#This Row],[Au]])^2,"")</f>
        <v/>
      </c>
      <c r="AM84">
        <f>IF(tblData[Date]&gt;StartDt2NSW,tblData[Date]-StartDt2NSW,"")</f>
        <v>94</v>
      </c>
      <c r="AN84" t="str">
        <f t="shared" si="11"/>
        <v/>
      </c>
      <c r="AO84" s="11">
        <f>IF(tblData[Date]&gt;StartDt2NSW,betaNSW/(deltaNSW+betaPodeltaNSW*EXP(-betaNSW*tblData[[#This Row],[Day '# NSW]])),"")</f>
        <v>857587.64885195834</v>
      </c>
      <c r="AP84" s="12" t="str">
        <f>IF(AND(ISNUMBER(tblData[NSW]),tblData[Date]&gt;StartDt2NSW),(tblData[[#This Row],[NSW LogiP(t)]]-tblData[[#This Row],[NSW]])^2,"")</f>
        <v/>
      </c>
      <c r="AQ84" s="43">
        <f>IF(AND(tblData[Date]&gt;StartDt2NSW,ISNUMBER(tblData[Day'# Aust])),tblData[NSW LogiP(t)]/$AL$9,"")</f>
        <v>1061370.8525395524</v>
      </c>
      <c r="AR84" s="11">
        <f>IF(AND(tblData[Date]&gt;StartDt2Italy,ISNUMBER(tblData[Days'# Italy])),betaItaly/(deltaItaly+betaPodeltaItaly*EXP(-betaItaly*tblData[Days'# Italy])),"")</f>
        <v>65422.88374522778</v>
      </c>
      <c r="AS84" s="11" t="str">
        <f>IF(AND(tblData[Date]&gt;StartDt2Italy,ISNUMBER(tblData[Italy])),(tblData[[#This Row],[Italy LogiP(t)]]-tblData[[#This Row],[Italy]])^2,"")</f>
        <v/>
      </c>
      <c r="AT84" s="43">
        <f>IF(AND(tblData[Date]&gt;StartDt2Italy,ISNUMBER(tblData[Days'# Italy])),tblData[[#This Row],[Italy LogiP(t)]]/$AS$9,"")</f>
        <v>10822.64412658855</v>
      </c>
      <c r="AU84" s="21">
        <f>IF(ISNUMBER(tblData[[#This Row],[Days'# US]]),betaUS/(deltaUS+betaPodeltaUS*EXP(-betaUS*tblData[Days'# US])),"")</f>
        <v>161899.63230058012</v>
      </c>
      <c r="AV84" s="11" t="str">
        <f>IF(ISNUMBER(tblData[US]),(tblData[[#This Row],[US LogiP(t)]]-tblData[US])^2,"")</f>
        <v/>
      </c>
      <c r="AW84" s="21">
        <f>IF(ISNUMBER(tblData[[#This Row],[Days'# US]]),tblData[[#This Row],[US LogiP(t)]]/$AV$9,"")</f>
        <v>4917.557352550114</v>
      </c>
      <c r="AX84" s="21">
        <f>IF(tblData[Date]&gt;=StartDt2Korea,betaSKorea/(deltaSKorea+betaPodeltaSKorea*EXP(-betaSKorea*(tblData[Date]-StartDt2Korea))),"")</f>
        <v>8492.3987094118274</v>
      </c>
      <c r="AY84" s="21" t="str">
        <f>IF(AND(tblData[Date]&gt;=StartDt2Korea,ISNUMBER(tblData[SKorea])),(tblData[[#This Row],[SKorea LogiP(t)]]-tblData[[#This Row],[SKorea]])^2,"")</f>
        <v/>
      </c>
      <c r="AZ84" s="21">
        <f>IF(tblData[Date]&gt;=StartDt2Korea,tblData[[#This Row],[SKorea LogiP(t)]]/$AY$9,"")</f>
        <v>1652.2176477454918</v>
      </c>
      <c r="BA84" s="83">
        <f>IF(ISNUMBER(tblData[Days'# UK]),betaUK/(deltaUK+betaPodeltaUK*EXP(-betaUK*tblData[Days'# UK])),"")</f>
        <v>110450.49999399477</v>
      </c>
      <c r="BB84" s="83" t="str">
        <f>IF(ISNUMBER(tblData[UK]),(tblData[[#This Row],[UK LogiP(t)]]-tblData[[#This Row],[UK]])^2,"")</f>
        <v/>
      </c>
      <c r="BC84" s="83">
        <f>IF(ISNUMBER(tblData[Days'# UK]),tblData[[#This Row],[UK LogiP(t)]]/$BB$9,"")</f>
        <v>16624.096928656647</v>
      </c>
      <c r="BD84" s="11">
        <f>IF(ISNUMBER(tblData[Days'# China]),betaChina/(deltaChina+betaPodeltaChina*EXP(-betaChina*tblData[Days'# China])),"")</f>
        <v>80978.607822178208</v>
      </c>
      <c r="BE84" s="11" t="str">
        <f>IF(ISNUMBER(tblData[China]),(tblData[[#This Row],[China LogiP(t)]]-tblData[[#This Row],[China]])^2,"")</f>
        <v/>
      </c>
      <c r="BF84" s="11">
        <f>tblData[[#This Row],[China LogiP(t)]]/$BE$9</f>
        <v>562.61564751764524</v>
      </c>
      <c r="BG84" s="11">
        <f>IF(ISNUMBER(tblData[Day'# Singapore]),betaSingapore/(deltaSingapore+betaPodeltaSingapore*EXP(-betaSingapore*tblData[Day'# Singapore])),"")</f>
        <v>1741.1691890804352</v>
      </c>
      <c r="BH84" s="11" t="str">
        <f>IF(AND(ISNUMBER(tblData[Singapore]),tblData[Date]&gt;=StartDt2Singapore),(tblData[[#This Row],[Singapore LogiP(t)]]-tblData[[#This Row],[Singapore]])^2,"")</f>
        <v/>
      </c>
      <c r="BI84" s="11">
        <f>IF(ISNUMBER(tblData[Day'# Singapore]),tblData[Singapore LogiP(t)]/$BH$9,"")</f>
        <v>2976.3575881716843</v>
      </c>
      <c r="BJ84" s="11"/>
      <c r="BK84" s="11"/>
      <c r="BL84" s="11" t="str">
        <f>IF(ISNUMBER(tblData[[#This Row],[NSW Number of Tests]]),tblData[[#This Row],[NSW Number of Tests]]-BJ83,"")</f>
        <v/>
      </c>
      <c r="BM84" s="11" t="str">
        <f>IF(ISNUMBER(tblData[[#This Row],[NSW Under Investigation'']]),tblData[[#This Row],[NSW Under Investigation'']]-BK83,"")</f>
        <v/>
      </c>
      <c r="BN84" s="11">
        <f t="shared" si="8"/>
        <v>30</v>
      </c>
      <c r="BO84" s="11">
        <f>IF(ISNUMBER(tblData[[#This Row],[NSW Test Day Number]]),betaTest/(deltaTest+betaPodeltaTest*EXP(-betaTest*tblData[[#This Row],[NSW Test Day Number]])),"")</f>
        <v>212521.22015931713</v>
      </c>
      <c r="BP84" s="11" t="str">
        <f>IF(ISNUMBER(tblData[[#This Row],[NSW Number of Tests]]),(tblData[[#This Row],[NSW Number of Tests]]-tblData[[#This Row],[NSW Test Logi]])^2,"")</f>
        <v/>
      </c>
      <c r="BR84"/>
      <c r="BV84" s="26"/>
      <c r="CE84"/>
      <c r="CF84"/>
      <c r="CG84"/>
      <c r="CH84" s="26"/>
      <c r="CS84" s="26"/>
      <c r="CT84" s="26"/>
      <c r="DM84"/>
      <c r="DN84" t="s">
        <v>225</v>
      </c>
      <c r="DO84" s="80">
        <v>43913.581712962965</v>
      </c>
      <c r="DP84" s="27">
        <v>43852</v>
      </c>
      <c r="DQ84" s="27">
        <v>43852</v>
      </c>
      <c r="DR84">
        <v>4</v>
      </c>
      <c r="DS84">
        <v>0.2221429979133962</v>
      </c>
      <c r="DT84" s="107">
        <v>2.7437378104594008E-6</v>
      </c>
      <c r="DU84">
        <v>1537.6493038446686</v>
      </c>
      <c r="DV84" s="108">
        <v>80963.639115430429</v>
      </c>
      <c r="DW84">
        <v>2077.1062416181903</v>
      </c>
      <c r="DX84">
        <v>1.4172548372006768E-4</v>
      </c>
      <c r="DY84" s="112">
        <v>2.743737810459401E-3</v>
      </c>
      <c r="EA84" s="27">
        <v>43911</v>
      </c>
      <c r="EB84" t="s">
        <v>1360</v>
      </c>
      <c r="EC84" s="26">
        <v>80963.638867120171</v>
      </c>
      <c r="ED84" s="113">
        <v>81305</v>
      </c>
      <c r="EE84" t="s">
        <v>1486</v>
      </c>
      <c r="EF84" s="27">
        <v>43911</v>
      </c>
      <c r="EG84">
        <v>60</v>
      </c>
      <c r="EH84" t="s">
        <v>1487</v>
      </c>
      <c r="EJ84" t="s">
        <v>1488</v>
      </c>
      <c r="EL84" t="s">
        <v>1719</v>
      </c>
      <c r="EM84">
        <v>564.88332476486516</v>
      </c>
      <c r="EN84" s="94">
        <v>43912</v>
      </c>
      <c r="EO84">
        <v>-1</v>
      </c>
      <c r="EP84" s="94">
        <v>43913</v>
      </c>
      <c r="EQ84">
        <v>1</v>
      </c>
      <c r="ER84" s="26"/>
    </row>
    <row r="85" spans="2:183" x14ac:dyDescent="0.25">
      <c r="B85" s="27">
        <f t="shared" si="14"/>
        <v>43956</v>
      </c>
      <c r="D85" s="26"/>
      <c r="L85" s="12" t="str">
        <f>IF(ISNUMBER(tblData[[#This Row],[NSW]]),tblData[[#This Row],[New South Wales]]/$L$9,"")</f>
        <v/>
      </c>
      <c r="M85" s="26"/>
      <c r="N85" s="48" t="str">
        <f>IF(ISNUMBER(tblData[Italy]),tblData[Italy]/$N$9,"")</f>
        <v/>
      </c>
      <c r="O85" s="26"/>
      <c r="P85" s="48" t="str">
        <f>IF(ISNUMBER(tblData[US]),tblData[US]/$P$9,"")</f>
        <v/>
      </c>
      <c r="Q85" s="48"/>
      <c r="R85" s="19" t="str">
        <f>IF(ISNUMBER(tblData[SKorea]),tblData[SKorea]/$R$9,"")</f>
        <v/>
      </c>
      <c r="S85" s="48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1"/>
      <c r="X85" s="21" t="str">
        <f>IF(ISNUMBER(tblData[Singapore]),tblData[Singapore]/$X$9,"")</f>
        <v/>
      </c>
      <c r="Y85" s="21"/>
      <c r="Z85" s="21"/>
      <c r="AA85" s="26">
        <f>IF(tblData[[#This Row],[Date]]&lt;ItalyStart,"",tblData[[#This Row],[Date]]-ItalyStart)</f>
        <v>96</v>
      </c>
      <c r="AB85" s="26">
        <f t="shared" si="9"/>
        <v>86</v>
      </c>
      <c r="AC85" s="26">
        <f t="shared" si="13"/>
        <v>74</v>
      </c>
      <c r="AD85" s="26">
        <f>IF(tblData[[#This Row],[Date]]&lt;StartDt2Korea,"",tblData[[#This Row],[Date]]-StartDt2Korea)</f>
        <v>76</v>
      </c>
      <c r="AE85" s="26">
        <f>IF(tblData[[#This Row],[Date]]&lt;UKStart,"",tblData[[#This Row],[Date]]-UKStart)</f>
        <v>96</v>
      </c>
      <c r="AF85" s="26">
        <f>IF(tblData[[#This Row],[Date]]&lt;SingaporeStart,"",tblData[[#This Row],[Date]]-SingaporeStart)</f>
        <v>103</v>
      </c>
      <c r="AG85">
        <f>IF(tblData[Date]&gt;=StartDt2Au,tblData[Date]-StartDt2Au,"")</f>
        <v>101</v>
      </c>
      <c r="AH85" s="26" t="str">
        <f>IF(tblData[New South Wales]&gt;0,SUM(tblData[[#This Row],[Australian Capital Territory]:[Western Australia]]),"")</f>
        <v/>
      </c>
      <c r="AI85" s="12" t="str">
        <f>IF(ISNUMBER(tblData[Au]),tblData[Au]/$AE$9,"")</f>
        <v/>
      </c>
      <c r="AJ85" s="43">
        <f>IF(ISNUMBER(tblData[[#This Row],[Day'# Aust]]),betaAu/(deltaAu+betaPodeltaAu*EXP(-betaAu*tblData[[#This Row],[Day'# Aust]])),"")</f>
        <v>17291994.356730103</v>
      </c>
      <c r="AK85" s="71">
        <f>IF(ISNUMBER(tblData[Day'# Aust]),tblData[Au LogiP(t)]/$AI$9,"")</f>
        <v>6817534.4412277648</v>
      </c>
      <c r="AL85" s="11" t="str">
        <f>IF(AND(tblData[Date]&gt;=StartDt2Au,ISNUMBER(tblData[NSW])),(tblData[[#This Row],[Au LogiP(t)]]-tblData[[#This Row],[Au]])^2,"")</f>
        <v/>
      </c>
      <c r="AM85">
        <f>IF(tblData[Date]&gt;StartDt2NSW,tblData[Date]-StartDt2NSW,"")</f>
        <v>101</v>
      </c>
      <c r="AN85" t="str">
        <f t="shared" si="11"/>
        <v/>
      </c>
      <c r="AO85" s="11">
        <f>IF(tblData[Date]&gt;StartDt2NSW,betaNSW/(deltaNSW+betaPodeltaNSW*EXP(-betaNSW*tblData[[#This Row],[Day '# NSW]])),"")</f>
        <v>3437442.4230213282</v>
      </c>
      <c r="AP85" s="12" t="str">
        <f>IF(AND(ISNUMBER(tblData[NSW]),tblData[Date]&gt;StartDt2NSW),(tblData[[#This Row],[NSW LogiP(t)]]-tblData[[#This Row],[NSW]])^2,"")</f>
        <v/>
      </c>
      <c r="AQ85" s="43">
        <f>IF(AND(tblData[Date]&gt;StartDt2NSW,ISNUMBER(tblData[Day'# Aust])),tblData[NSW LogiP(t)]/$AL$9,"")</f>
        <v>4254260.4245313462</v>
      </c>
      <c r="AR85" s="11">
        <f>IF(AND(tblData[Date]&gt;StartDt2Italy,ISNUMBER(tblData[Days'# Italy])),betaItaly/(deltaItaly+betaPodeltaItaly*EXP(-betaItaly*tblData[Days'# Italy])),"")</f>
        <v>65423.691405689373</v>
      </c>
      <c r="AS85" s="11" t="str">
        <f>IF(AND(tblData[Date]&gt;StartDt2Italy,ISNUMBER(tblData[Italy])),(tblData[[#This Row],[Italy LogiP(t)]]-tblData[[#This Row],[Italy]])^2,"")</f>
        <v/>
      </c>
      <c r="AT85" s="43">
        <f>IF(AND(tblData[Date]&gt;StartDt2Italy,ISNUMBER(tblData[Days'# Italy])),tblData[[#This Row],[Italy LogiP(t)]]/$AS$9,"")</f>
        <v>10822.777734605355</v>
      </c>
      <c r="AU85" s="21">
        <f>IF(ISNUMBER(tblData[[#This Row],[Days'# US]]),betaUS/(deltaUS+betaPodeltaUS*EXP(-betaUS*tblData[Days'# US])),"")</f>
        <v>161902.14016402667</v>
      </c>
      <c r="AV85" s="11" t="str">
        <f>IF(ISNUMBER(tblData[US]),(tblData[[#This Row],[US LogiP(t)]]-tblData[US])^2,"")</f>
        <v/>
      </c>
      <c r="AW85" s="21">
        <f>IF(ISNUMBER(tblData[[#This Row],[Days'# US]]),tblData[[#This Row],[US LogiP(t)]]/$AV$9,"")</f>
        <v>4917.6335266720407</v>
      </c>
      <c r="AX85" s="21">
        <f>IF(tblData[Date]&gt;=StartDt2Korea,betaSKorea/(deltaSKorea+betaPodeltaSKorea*EXP(-betaSKorea*(tblData[Date]-StartDt2Korea))),"")</f>
        <v>8492.3988652759472</v>
      </c>
      <c r="AY85" s="21" t="str">
        <f>IF(AND(tblData[Date]&gt;=StartDt2Korea,ISNUMBER(tblData[SKorea])),(tblData[[#This Row],[SKorea LogiP(t)]]-tblData[[#This Row],[SKorea]])^2,"")</f>
        <v/>
      </c>
      <c r="AZ85" s="21">
        <f>IF(tblData[Date]&gt;=StartDt2Korea,tblData[[#This Row],[SKorea LogiP(t)]]/$AY$9,"")</f>
        <v>1652.2176780692505</v>
      </c>
      <c r="BA85" s="83">
        <f>IF(ISNUMBER(tblData[Days'# UK]),betaUK/(deltaUK+betaPodeltaUK*EXP(-betaUK*tblData[Days'# UK])),"")</f>
        <v>110703.36340626296</v>
      </c>
      <c r="BB85" s="83" t="str">
        <f>IF(ISNUMBER(tblData[UK]),(tblData[[#This Row],[UK LogiP(t)]]-tblData[[#This Row],[UK]])^2,"")</f>
        <v/>
      </c>
      <c r="BC85" s="83">
        <f>IF(ISNUMBER(tblData[Days'# UK]),tblData[[#This Row],[UK LogiP(t)]]/$BB$9,"")</f>
        <v>16662.155840798157</v>
      </c>
      <c r="BD85" s="11">
        <f>IF(ISNUMBER(tblData[Days'# China]),betaChina/(deltaChina+betaPodeltaChina*EXP(-betaChina*tblData[Days'# China])),"")</f>
        <v>80978.683354966706</v>
      </c>
      <c r="BE85" s="11" t="str">
        <f>IF(ISNUMBER(tblData[China]),(tblData[[#This Row],[China LogiP(t)]]-tblData[[#This Row],[China]])^2,"")</f>
        <v/>
      </c>
      <c r="BF85" s="11">
        <f>tblData[[#This Row],[China LogiP(t)]]/$BE$9</f>
        <v>562.6161722973352</v>
      </c>
      <c r="BG85" s="11">
        <f>IF(ISNUMBER(tblData[Day'# Singapore]),betaSingapore/(deltaSingapore+betaPodeltaSingapore*EXP(-betaSingapore*tblData[Day'# Singapore])),"")</f>
        <v>2368.3088478768882</v>
      </c>
      <c r="BH85" s="11" t="str">
        <f>IF(AND(ISNUMBER(tblData[Singapore]),tblData[Date]&gt;=StartDt2Singapore),(tblData[[#This Row],[Singapore LogiP(t)]]-tblData[[#This Row],[Singapore]])^2,"")</f>
        <v/>
      </c>
      <c r="BI85" s="11">
        <f>IF(ISNUMBER(tblData[Day'# Singapore]),tblData[Singapore LogiP(t)]/$BH$9,"")</f>
        <v>4048.3911929519459</v>
      </c>
      <c r="BJ85" s="11"/>
      <c r="BK85" s="11"/>
      <c r="BL85" s="11" t="str">
        <f>IF(ISNUMBER(tblData[[#This Row],[NSW Number of Tests]]),tblData[[#This Row],[NSW Number of Tests]]-BJ84,"")</f>
        <v/>
      </c>
      <c r="BM85" s="11" t="str">
        <f>IF(ISNUMBER(tblData[[#This Row],[NSW Under Investigation'']]),tblData[[#This Row],[NSW Under Investigation'']]-BK84,"")</f>
        <v/>
      </c>
      <c r="BN85" s="11">
        <f t="shared" si="8"/>
        <v>31</v>
      </c>
      <c r="BO85" s="11">
        <f>IF(ISNUMBER(tblData[[#This Row],[NSW Test Day Number]]),betaTest/(deltaTest+betaPodeltaTest*EXP(-betaTest*tblData[[#This Row],[NSW Test Day Number]])),"")</f>
        <v>221831.18028052556</v>
      </c>
      <c r="BP85" s="11" t="str">
        <f>IF(ISNUMBER(tblData[[#This Row],[NSW Number of Tests]]),(tblData[[#This Row],[NSW Number of Tests]]-tblData[[#This Row],[NSW Test Logi]])^2,"")</f>
        <v/>
      </c>
      <c r="BR85"/>
      <c r="BV85" s="26"/>
      <c r="CE85"/>
      <c r="CF85"/>
      <c r="CG85"/>
      <c r="CH85" s="26"/>
      <c r="CS85" s="26"/>
      <c r="CT85" s="26"/>
      <c r="DM85"/>
      <c r="DN85" t="s">
        <v>1265</v>
      </c>
      <c r="DO85" s="80">
        <v>43913.581724537034</v>
      </c>
      <c r="DP85" s="27">
        <v>43852</v>
      </c>
      <c r="DQ85" s="27">
        <v>43880</v>
      </c>
      <c r="DR85">
        <v>5</v>
      </c>
      <c r="DS85">
        <v>0.32049770084288381</v>
      </c>
      <c r="DT85" s="107">
        <v>3.8254432735924097E-5</v>
      </c>
      <c r="DU85">
        <v>182.80037759483983</v>
      </c>
      <c r="DV85" s="108">
        <v>8378.0539383586201</v>
      </c>
      <c r="DW85">
        <v>160.3709022384939</v>
      </c>
      <c r="DX85">
        <v>1.7150116439525903E-3</v>
      </c>
      <c r="DY85" s="112">
        <v>3.8254432735924097E-2</v>
      </c>
      <c r="EA85" s="27">
        <v>43911</v>
      </c>
      <c r="EB85" t="s">
        <v>1406</v>
      </c>
      <c r="EC85" s="26">
        <v>8378.0539383586201</v>
      </c>
      <c r="ED85" s="113">
        <v>8799</v>
      </c>
      <c r="EE85" t="s">
        <v>1407</v>
      </c>
      <c r="EF85" s="27">
        <v>43911</v>
      </c>
      <c r="EG85">
        <v>60</v>
      </c>
      <c r="EH85" t="s">
        <v>1720</v>
      </c>
      <c r="EJ85" t="s">
        <v>1409</v>
      </c>
      <c r="EK85" t="s">
        <v>1490</v>
      </c>
      <c r="EL85" t="s">
        <v>1721</v>
      </c>
      <c r="EM85">
        <v>1711.8677042801557</v>
      </c>
      <c r="EN85" s="94">
        <v>43892</v>
      </c>
      <c r="EO85">
        <v>21</v>
      </c>
      <c r="EP85" s="94">
        <v>43891</v>
      </c>
      <c r="EQ85">
        <v>21</v>
      </c>
      <c r="ER85" s="26"/>
    </row>
    <row r="86" spans="2:183" x14ac:dyDescent="0.25">
      <c r="B86" s="27">
        <f t="shared" si="14"/>
        <v>43963</v>
      </c>
      <c r="D86" s="26"/>
      <c r="L86" s="12" t="str">
        <f>IF(ISNUMBER(tblData[[#This Row],[NSW]]),tblData[[#This Row],[New South Wales]]/$L$9,"")</f>
        <v/>
      </c>
      <c r="M86" s="26"/>
      <c r="N86" s="48" t="str">
        <f>IF(ISNUMBER(tblData[Italy]),tblData[Italy]/$N$9,"")</f>
        <v/>
      </c>
      <c r="O86" s="26"/>
      <c r="P86" s="48" t="str">
        <f>IF(ISNUMBER(tblData[US]),tblData[US]/$P$9,"")</f>
        <v/>
      </c>
      <c r="Q86" s="48"/>
      <c r="R86" s="19" t="str">
        <f>IF(ISNUMBER(tblData[SKorea]),tblData[SKorea]/$R$9,"")</f>
        <v/>
      </c>
      <c r="S86" s="48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1"/>
      <c r="X86" s="21" t="str">
        <f>IF(ISNUMBER(tblData[Singapore]),tblData[Singapore]/$X$9,"")</f>
        <v/>
      </c>
      <c r="Y86" s="21"/>
      <c r="Z86" s="21"/>
      <c r="AA86" s="26">
        <f>IF(tblData[[#This Row],[Date]]&lt;ItalyStart,"",tblData[[#This Row],[Date]]-ItalyStart)</f>
        <v>103</v>
      </c>
      <c r="AB86" s="26">
        <f t="shared" si="9"/>
        <v>93</v>
      </c>
      <c r="AC86" s="26">
        <f t="shared" si="13"/>
        <v>75</v>
      </c>
      <c r="AD86" s="26">
        <f>IF(tblData[[#This Row],[Date]]&lt;StartDt2Korea,"",tblData[[#This Row],[Date]]-StartDt2Korea)</f>
        <v>83</v>
      </c>
      <c r="AE86" s="26">
        <f>IF(tblData[[#This Row],[Date]]&lt;UKStart,"",tblData[[#This Row],[Date]]-UKStart)</f>
        <v>103</v>
      </c>
      <c r="AF86" s="26">
        <f>IF(tblData[[#This Row],[Date]]&lt;SingaporeStart,"",tblData[[#This Row],[Date]]-SingaporeStart)</f>
        <v>110</v>
      </c>
      <c r="AG86">
        <f>IF(tblData[Date]&gt;=StartDt2Au,tblData[Date]-StartDt2Au,"")</f>
        <v>108</v>
      </c>
      <c r="AH86" s="26" t="str">
        <f>IF(tblData[New South Wales]&gt;0,SUM(tblData[[#This Row],[Australian Capital Territory]:[Western Australia]]),"")</f>
        <v/>
      </c>
      <c r="AI86" s="12" t="str">
        <f>IF(ISNUMBER(tblData[Au]),tblData[Au]/$AE$9,"")</f>
        <v/>
      </c>
      <c r="AJ86" s="43">
        <f>IF(ISNUMBER(tblData[[#This Row],[Day'# Aust]]),betaAu/(deltaAu+betaPodeltaAu*EXP(-betaAu*tblData[[#This Row],[Day'# Aust]])),"")</f>
        <v>77747710.418103278</v>
      </c>
      <c r="AK86" s="71">
        <f>IF(ISNUMBER(tblData[Day'# Aust]),tblData[Au LogiP(t)]/$AI$9,"")</f>
        <v>30652779.694883805</v>
      </c>
      <c r="AL86" s="11" t="str">
        <f>IF(AND(tblData[Date]&gt;=StartDt2Au,ISNUMBER(tblData[NSW])),(tblData[[#This Row],[Au LogiP(t)]]-tblData[[#This Row],[Au]])^2,"")</f>
        <v/>
      </c>
      <c r="AM86">
        <f>IF(tblData[Date]&gt;StartDt2NSW,tblData[Date]-StartDt2NSW,"")</f>
        <v>108</v>
      </c>
      <c r="AN86" t="str">
        <f t="shared" si="11"/>
        <v/>
      </c>
      <c r="AO86" s="11">
        <f>IF(tblData[Date]&gt;StartDt2NSW,betaNSW/(deltaNSW+betaPodeltaNSW*EXP(-betaNSW*tblData[[#This Row],[Day '# NSW]])),"")</f>
        <v>13777656.533686081</v>
      </c>
      <c r="AP86" s="12" t="str">
        <f>IF(AND(ISNUMBER(tblData[NSW]),tblData[Date]&gt;StartDt2NSW),(tblData[[#This Row],[NSW LogiP(t)]]-tblData[[#This Row],[NSW]])^2,"")</f>
        <v/>
      </c>
      <c r="AQ86" s="43">
        <f>IF(AND(tblData[Date]&gt;StartDt2NSW,ISNUMBER(tblData[Day'# Aust])),tblData[NSW LogiP(t)]/$AL$9,"")</f>
        <v>17051555.115948118</v>
      </c>
      <c r="AR86" s="11">
        <f>IF(AND(tblData[Date]&gt;StartDt2Italy,ISNUMBER(tblData[Days'# Italy])),betaItaly/(deltaItaly+betaPodeltaItaly*EXP(-betaItaly*tblData[Days'# Italy])),"")</f>
        <v>65423.823423499365</v>
      </c>
      <c r="AS86" s="11" t="str">
        <f>IF(AND(tblData[Date]&gt;StartDt2Italy,ISNUMBER(tblData[Italy])),(tblData[[#This Row],[Italy LogiP(t)]]-tblData[[#This Row],[Italy]])^2,"")</f>
        <v/>
      </c>
      <c r="AT86" s="43">
        <f>IF(AND(tblData[Date]&gt;StartDt2Italy,ISNUMBER(tblData[Days'# Italy])),tblData[[#This Row],[Italy LogiP(t)]]/$AS$9,"")</f>
        <v>10822.799573779879</v>
      </c>
      <c r="AU86" s="21">
        <f>IF(ISNUMBER(tblData[[#This Row],[Days'# US]]),betaUS/(deltaUS+betaPodeltaUS*EXP(-betaUS*tblData[Days'# US])),"")</f>
        <v>161902.37681106519</v>
      </c>
      <c r="AV86" s="11" t="str">
        <f>IF(ISNUMBER(tblData[US]),(tblData[[#This Row],[US LogiP(t)]]-tblData[US])^2,"")</f>
        <v/>
      </c>
      <c r="AW86" s="21">
        <f>IF(ISNUMBER(tblData[[#This Row],[Days'# US]]),tblData[[#This Row],[US LogiP(t)]]/$AV$9,"")</f>
        <v>4917.6407146153833</v>
      </c>
      <c r="AX86" s="21">
        <f>IF(tblData[Date]&gt;=StartDt2Korea,betaSKorea/(deltaSKorea+betaPodeltaSKorea*EXP(-betaSKorea*(tblData[Date]-StartDt2Korea))),"")</f>
        <v>8492.3988830237922</v>
      </c>
      <c r="AY86" s="21" t="str">
        <f>IF(AND(tblData[Date]&gt;=StartDt2Korea,ISNUMBER(tblData[SKorea])),(tblData[[#This Row],[SKorea LogiP(t)]]-tblData[[#This Row],[SKorea]])^2,"")</f>
        <v/>
      </c>
      <c r="AZ86" s="21">
        <f>IF(tblData[Date]&gt;=StartDt2Korea,tblData[[#This Row],[SKorea LogiP(t)]]/$AY$9,"")</f>
        <v>1652.2176815221387</v>
      </c>
      <c r="BA86" s="83">
        <f>IF(ISNUMBER(tblData[Days'# UK]),betaUK/(deltaUK+betaPodeltaUK*EXP(-betaUK*tblData[Days'# UK])),"")</f>
        <v>110751.98145691851</v>
      </c>
      <c r="BB86" s="83" t="str">
        <f>IF(ISNUMBER(tblData[UK]),(tblData[[#This Row],[UK LogiP(t)]]-tblData[[#This Row],[UK]])^2,"")</f>
        <v/>
      </c>
      <c r="BC86" s="83">
        <f>IF(ISNUMBER(tblData[Days'# UK]),tblData[[#This Row],[UK LogiP(t)]]/$BB$9,"")</f>
        <v>16669.473428193636</v>
      </c>
      <c r="BD86" s="11">
        <f>IF(ISNUMBER(tblData[Days'# China]),betaChina/(deltaChina+betaPodeltaChina*EXP(-betaChina*tblData[Days'# China])),"")</f>
        <v>80978.743841789023</v>
      </c>
      <c r="BE86" s="11" t="str">
        <f>IF(ISNUMBER(tblData[China]),(tblData[[#This Row],[China LogiP(t)]]-tblData[[#This Row],[China]])^2,"")</f>
        <v/>
      </c>
      <c r="BF86" s="11">
        <f>tblData[[#This Row],[China LogiP(t)]]/$BE$9</f>
        <v>562.61659254205927</v>
      </c>
      <c r="BG86" s="11">
        <f>IF(ISNUMBER(tblData[Day'# Singapore]),betaSingapore/(deltaSingapore+betaPodeltaSingapore*EXP(-betaSingapore*tblData[Day'# Singapore])),"")</f>
        <v>3221.333575896726</v>
      </c>
      <c r="BH86" s="11" t="str">
        <f>IF(AND(ISNUMBER(tblData[Singapore]),tblData[Date]&gt;=StartDt2Singapore),(tblData[[#This Row],[Singapore LogiP(t)]]-tblData[[#This Row],[Singapore]])^2,"")</f>
        <v/>
      </c>
      <c r="BI86" s="11">
        <f>IF(ISNUMBER(tblData[Day'# Singapore]),tblData[Singapore LogiP(t)]/$BH$9,"")</f>
        <v>5506.5531211909847</v>
      </c>
      <c r="BJ86" s="11"/>
      <c r="BK86" s="11"/>
      <c r="BL86" s="11" t="str">
        <f>IF(ISNUMBER(tblData[[#This Row],[NSW Number of Tests]]),tblData[[#This Row],[NSW Number of Tests]]-BJ85,"")</f>
        <v/>
      </c>
      <c r="BM86" s="11" t="str">
        <f>IF(ISNUMBER(tblData[[#This Row],[NSW Under Investigation'']]),tblData[[#This Row],[NSW Under Investigation'']]-BK85,"")</f>
        <v/>
      </c>
      <c r="BN86" s="11">
        <f t="shared" si="8"/>
        <v>32</v>
      </c>
      <c r="BO86" s="11">
        <f>IF(ISNUMBER(tblData[[#This Row],[NSW Test Day Number]]),betaTest/(deltaTest+betaPodeltaTest*EXP(-betaTest*tblData[[#This Row],[NSW Test Day Number]])),"")</f>
        <v>230359.15016001387</v>
      </c>
      <c r="BP86" s="11" t="str">
        <f>IF(ISNUMBER(tblData[[#This Row],[NSW Number of Tests]]),(tblData[[#This Row],[NSW Number of Tests]]-tblData[[#This Row],[NSW Test Logi]])^2,"")</f>
        <v/>
      </c>
      <c r="BR86"/>
      <c r="BV86" s="26"/>
      <c r="CE86"/>
      <c r="CF86"/>
      <c r="CG86"/>
      <c r="CH86" s="26"/>
      <c r="CS86" s="26"/>
      <c r="CT86" s="26"/>
      <c r="DM86"/>
      <c r="DN86" t="s">
        <v>1236</v>
      </c>
      <c r="DO86" s="80">
        <v>43913.581747685188</v>
      </c>
      <c r="DP86" s="27">
        <v>43860</v>
      </c>
      <c r="DQ86" s="27">
        <v>43860</v>
      </c>
      <c r="DR86">
        <v>6</v>
      </c>
      <c r="DS86">
        <v>0.23594006316216143</v>
      </c>
      <c r="DT86" s="107">
        <v>9.9999999999999655E-12</v>
      </c>
      <c r="DU86">
        <v>2.9674631046950263E-2</v>
      </c>
      <c r="DV86" s="108">
        <v>23594006316.216225</v>
      </c>
      <c r="DW86">
        <v>71.926727825145534</v>
      </c>
      <c r="DX86">
        <v>7.9509013200052188</v>
      </c>
      <c r="DY86" s="112">
        <v>9.9999999999999655E-9</v>
      </c>
      <c r="EA86" s="27">
        <v>43911</v>
      </c>
      <c r="EB86" t="s">
        <v>1722</v>
      </c>
      <c r="EC86" s="26">
        <v>23594006316.216225</v>
      </c>
      <c r="ED86" s="113">
        <v>5067</v>
      </c>
      <c r="EE86" t="s">
        <v>1723</v>
      </c>
      <c r="EF86" s="27">
        <v>43911</v>
      </c>
      <c r="EG86">
        <v>52</v>
      </c>
      <c r="EH86" t="s">
        <v>1724</v>
      </c>
      <c r="EJ86" t="s">
        <v>1725</v>
      </c>
      <c r="EL86" t="s">
        <v>1726</v>
      </c>
      <c r="EM86">
        <v>762.64298615291989</v>
      </c>
      <c r="EN86" s="94">
        <v>43913</v>
      </c>
      <c r="EO86">
        <v>0</v>
      </c>
      <c r="EP86" s="94">
        <v>43911</v>
      </c>
      <c r="EQ86">
        <v>1</v>
      </c>
      <c r="ER86" s="26"/>
    </row>
    <row r="87" spans="2:183" x14ac:dyDescent="0.25">
      <c r="B87" s="27">
        <f t="shared" si="14"/>
        <v>43970</v>
      </c>
      <c r="D87" s="26"/>
      <c r="L87" s="12" t="str">
        <f>IF(ISNUMBER(tblData[[#This Row],[NSW]]),tblData[[#This Row],[New South Wales]]/$L$9,"")</f>
        <v/>
      </c>
      <c r="M87" s="26"/>
      <c r="N87" s="48" t="str">
        <f>IF(ISNUMBER(tblData[Italy]),tblData[Italy]/$N$9,"")</f>
        <v/>
      </c>
      <c r="O87" s="26"/>
      <c r="P87" s="48" t="str">
        <f>IF(ISNUMBER(tblData[US]),tblData[US]/$P$9,"")</f>
        <v/>
      </c>
      <c r="Q87" s="48"/>
      <c r="R87" s="19" t="str">
        <f>IF(ISNUMBER(tblData[SKorea]),tblData[SKorea]/$R$9,"")</f>
        <v/>
      </c>
      <c r="S87" s="48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1"/>
      <c r="X87" s="21" t="str">
        <f>IF(ISNUMBER(tblData[Singapore]),tblData[Singapore]/$X$9,"")</f>
        <v/>
      </c>
      <c r="Y87" s="21"/>
      <c r="Z87" s="21"/>
      <c r="AA87" s="26">
        <f>IF(tblData[[#This Row],[Date]]&lt;ItalyStart,"",tblData[[#This Row],[Date]]-ItalyStart)</f>
        <v>110</v>
      </c>
      <c r="AB87" s="26">
        <f t="shared" si="9"/>
        <v>100</v>
      </c>
      <c r="AC87" s="26">
        <f t="shared" si="13"/>
        <v>76</v>
      </c>
      <c r="AD87" s="26">
        <f>IF(tblData[[#This Row],[Date]]&lt;StartDt2Korea,"",tblData[[#This Row],[Date]]-StartDt2Korea)</f>
        <v>90</v>
      </c>
      <c r="AE87" s="26">
        <f>IF(tblData[[#This Row],[Date]]&lt;UKStart,"",tblData[[#This Row],[Date]]-UKStart)</f>
        <v>110</v>
      </c>
      <c r="AF87" s="26">
        <f>IF(tblData[[#This Row],[Date]]&lt;SingaporeStart,"",tblData[[#This Row],[Date]]-SingaporeStart)</f>
        <v>117</v>
      </c>
      <c r="AG87">
        <f>IF(tblData[Date]&gt;=StartDt2Au,tblData[Date]-StartDt2Au,"")</f>
        <v>115</v>
      </c>
      <c r="AH87" s="26" t="str">
        <f>IF(tblData[New South Wales]&gt;0,SUM(tblData[[#This Row],[Australian Capital Territory]:[Western Australia]]),"")</f>
        <v/>
      </c>
      <c r="AI87" s="12" t="str">
        <f>IF(ISNUMBER(tblData[Au]),tblData[Au]/$AE$9,"")</f>
        <v/>
      </c>
      <c r="AJ87" s="43">
        <f>IF(ISNUMBER(tblData[[#This Row],[Day'# Aust]]),betaAu/(deltaAu+betaPodeltaAu*EXP(-betaAu*tblData[[#This Row],[Day'# Aust]])),"")</f>
        <v>349223077.31341201</v>
      </c>
      <c r="AK87" s="71">
        <f>IF(ISNUMBER(tblData[Day'# Aust]),tblData[Au LogiP(t)]/$AI$9,"")</f>
        <v>137684543.96523103</v>
      </c>
      <c r="AL87" s="11" t="str">
        <f>IF(AND(tblData[Date]&gt;=StartDt2Au,ISNUMBER(tblData[NSW])),(tblData[[#This Row],[Au LogiP(t)]]-tblData[[#This Row],[Au]])^2,"")</f>
        <v/>
      </c>
      <c r="AM87">
        <f>IF(tblData[Date]&gt;StartDt2NSW,tblData[Date]-StartDt2NSW,"")</f>
        <v>115</v>
      </c>
      <c r="AN87" t="str">
        <f t="shared" si="11"/>
        <v/>
      </c>
      <c r="AO87" s="11">
        <f>IF(tblData[Date]&gt;StartDt2NSW,betaNSW/(deltaNSW+betaPodeltaNSW*EXP(-betaNSW*tblData[[#This Row],[Day '# NSW]])),"")</f>
        <v>55213740.686265126</v>
      </c>
      <c r="AP87" s="12" t="str">
        <f>IF(AND(ISNUMBER(tblData[NSW]),tblData[Date]&gt;StartDt2NSW),(tblData[[#This Row],[NSW LogiP(t)]]-tblData[[#This Row],[NSW]])^2,"")</f>
        <v/>
      </c>
      <c r="AQ87" s="43">
        <f>IF(AND(tblData[Date]&gt;StartDt2NSW,ISNUMBER(tblData[Day'# Aust])),tblData[NSW LogiP(t)]/$AL$9,"")</f>
        <v>68333837.483001396</v>
      </c>
      <c r="AR87" s="11">
        <f>IF(AND(tblData[Date]&gt;StartDt2Italy,ISNUMBER(tblData[Days'# Italy])),betaItaly/(deltaItaly+betaPodeltaItaly*EXP(-betaItaly*tblData[Days'# Italy])),"")</f>
        <v>65423.845002484064</v>
      </c>
      <c r="AS87" s="11" t="str">
        <f>IF(AND(tblData[Date]&gt;StartDt2Italy,ISNUMBER(tblData[Italy])),(tblData[[#This Row],[Italy LogiP(t)]]-tblData[[#This Row],[Italy]])^2,"")</f>
        <v/>
      </c>
      <c r="AT87" s="43">
        <f>IF(AND(tblData[Date]&gt;StartDt2Italy,ISNUMBER(tblData[Days'# Italy])),tblData[[#This Row],[Italy LogiP(t)]]/$AS$9,"")</f>
        <v>10822.803143504394</v>
      </c>
      <c r="AU87" s="21">
        <f>IF(ISNUMBER(tblData[[#This Row],[Days'# US]]),betaUS/(deltaUS+betaPodeltaUS*EXP(-betaUS*tblData[Days'# US])),"")</f>
        <v>161902.39914121284</v>
      </c>
      <c r="AV87" s="11" t="str">
        <f>IF(ISNUMBER(tblData[US]),(tblData[[#This Row],[US LogiP(t)]]-tblData[US])^2,"")</f>
        <v/>
      </c>
      <c r="AW87" s="21">
        <f>IF(ISNUMBER(tblData[[#This Row],[Days'# US]]),tblData[[#This Row],[US LogiP(t)]]/$AV$9,"")</f>
        <v>4917.6413928737602</v>
      </c>
      <c r="AX87" s="21">
        <f>IF(tblData[Date]&gt;=StartDt2Korea,betaSKorea/(deltaSKorea+betaPodeltaSKorea*EXP(-betaSKorea*(tblData[Date]-StartDt2Korea))),"")</f>
        <v>8492.3988850446949</v>
      </c>
      <c r="AY87" s="21" t="str">
        <f>IF(AND(tblData[Date]&gt;=StartDt2Korea,ISNUMBER(tblData[SKorea])),(tblData[[#This Row],[SKorea LogiP(t)]]-tblData[[#This Row],[SKorea]])^2,"")</f>
        <v/>
      </c>
      <c r="AZ87" s="21">
        <f>IF(tblData[Date]&gt;=StartDt2Korea,tblData[[#This Row],[SKorea LogiP(t)]]/$AY$9,"")</f>
        <v>1652.2176819153103</v>
      </c>
      <c r="BA87" s="83">
        <f>IF(ISNUMBER(tblData[Days'# UK]),betaUK/(deltaUK+betaPodeltaUK*EXP(-betaUK*tblData[Days'# UK])),"")</f>
        <v>110761.30868363364</v>
      </c>
      <c r="BB87" s="83" t="str">
        <f>IF(ISNUMBER(tblData[UK]),(tblData[[#This Row],[UK LogiP(t)]]-tblData[[#This Row],[UK]])^2,"")</f>
        <v/>
      </c>
      <c r="BC87" s="83">
        <f>IF(ISNUMBER(tblData[Days'# UK]),tblData[[#This Row],[UK LogiP(t)]]/$BB$9,"")</f>
        <v>16670.877285315117</v>
      </c>
      <c r="BD87" s="11">
        <f>IF(ISNUMBER(tblData[Days'# China]),betaChina/(deltaChina+betaPodeltaChina*EXP(-betaChina*tblData[Days'# China])),"")</f>
        <v>80978.79227975251</v>
      </c>
      <c r="BE87" s="11" t="str">
        <f>IF(ISNUMBER(tblData[China]),(tblData[[#This Row],[China LogiP(t)]]-tblData[[#This Row],[China]])^2,"")</f>
        <v/>
      </c>
      <c r="BF87" s="11">
        <f>tblData[[#This Row],[China LogiP(t)]]/$BE$9</f>
        <v>562.61692907484155</v>
      </c>
      <c r="BG87" s="11">
        <f>IF(ISNUMBER(tblData[Day'# Singapore]),betaSingapore/(deltaSingapore+betaPodeltaSingapore*EXP(-betaSingapore*tblData[Day'# Singapore])),"")</f>
        <v>4381.6033301364678</v>
      </c>
      <c r="BH87" s="11" t="str">
        <f>IF(AND(ISNUMBER(tblData[Singapore]),tblData[Date]&gt;=StartDt2Singapore),(tblData[[#This Row],[Singapore LogiP(t)]]-tblData[[#This Row],[Singapore]])^2,"")</f>
        <v/>
      </c>
      <c r="BI87" s="11">
        <f>IF(ISNUMBER(tblData[Day'# Singapore]),tblData[Singapore LogiP(t)]/$BH$9,"")</f>
        <v>7489.9202224555011</v>
      </c>
      <c r="BJ87" s="11"/>
      <c r="BK87" s="11"/>
      <c r="BL87" s="11" t="str">
        <f>IF(ISNUMBER(tblData[[#This Row],[NSW Number of Tests]]),tblData[[#This Row],[NSW Number of Tests]]-BJ86,"")</f>
        <v/>
      </c>
      <c r="BM87" s="11" t="str">
        <f>IF(ISNUMBER(tblData[[#This Row],[NSW Under Investigation'']]),tblData[[#This Row],[NSW Under Investigation'']]-BK86,"")</f>
        <v/>
      </c>
      <c r="BN87" s="11">
        <f t="shared" si="8"/>
        <v>33</v>
      </c>
      <c r="BO87" s="11">
        <f>IF(ISNUMBER(tblData[[#This Row],[NSW Test Day Number]]),betaTest/(deltaTest+betaPodeltaTest*EXP(-betaTest*tblData[[#This Row],[NSW Test Day Number]])),"")</f>
        <v>238094.26328236688</v>
      </c>
      <c r="BP87" s="11" t="str">
        <f>IF(ISNUMBER(tblData[[#This Row],[NSW Number of Tests]]),(tblData[[#This Row],[NSW Number of Tests]]-tblData[[#This Row],[NSW Test Logi]])^2,"")</f>
        <v/>
      </c>
      <c r="BR87"/>
      <c r="BV87" s="26"/>
      <c r="CE87"/>
      <c r="CF87"/>
      <c r="CG87"/>
      <c r="CH87" s="26"/>
      <c r="CS87" s="26"/>
      <c r="CT87" s="26"/>
      <c r="DM87"/>
      <c r="DN87" t="s">
        <v>975</v>
      </c>
      <c r="DO87" s="80">
        <v>43913.581782407404</v>
      </c>
      <c r="DP87" s="27"/>
      <c r="DQ87" s="27">
        <v>43896</v>
      </c>
      <c r="DR87">
        <v>8</v>
      </c>
      <c r="DS87">
        <v>0.20209478104227763</v>
      </c>
      <c r="DT87" s="107">
        <v>1.0000000000000751E-10</v>
      </c>
      <c r="DU87">
        <v>5.7886977342360797E-3</v>
      </c>
      <c r="DV87" s="108">
        <v>2020947810.4226243</v>
      </c>
      <c r="DW87">
        <v>7900.5352282767808</v>
      </c>
      <c r="DX87">
        <v>34.911959532184611</v>
      </c>
      <c r="DY87" s="112">
        <v>1.0000000000000751E-7</v>
      </c>
      <c r="EA87" s="27">
        <v>43913</v>
      </c>
      <c r="EB87" t="s">
        <v>988</v>
      </c>
      <c r="EC87" s="26"/>
      <c r="ED87" s="113">
        <v>56272</v>
      </c>
      <c r="EE87" t="s">
        <v>989</v>
      </c>
      <c r="EF87" s="27">
        <v>43913</v>
      </c>
      <c r="EG87">
        <v>18</v>
      </c>
      <c r="EH87" t="s">
        <v>1498</v>
      </c>
      <c r="EJ87" t="s">
        <v>1020</v>
      </c>
      <c r="EL87" t="s">
        <v>1706</v>
      </c>
      <c r="EP87" s="94"/>
    </row>
    <row r="88" spans="2:183" x14ac:dyDescent="0.25">
      <c r="B88" s="27">
        <f t="shared" si="14"/>
        <v>43977</v>
      </c>
      <c r="D88" s="26"/>
      <c r="L88" s="12" t="str">
        <f>IF(ISNUMBER(tblData[[#This Row],[NSW]]),tblData[[#This Row],[New South Wales]]/$L$9,"")</f>
        <v/>
      </c>
      <c r="M88" s="26"/>
      <c r="N88" s="48" t="str">
        <f>IF(ISNUMBER(tblData[Italy]),tblData[Italy]/$N$9,"")</f>
        <v/>
      </c>
      <c r="O88" s="26"/>
      <c r="P88" s="48" t="str">
        <f>IF(ISNUMBER(tblData[US]),tblData[US]/$P$9,"")</f>
        <v/>
      </c>
      <c r="Q88" s="48"/>
      <c r="R88" s="19" t="str">
        <f>IF(ISNUMBER(tblData[SKorea]),tblData[SKorea]/$R$9,"")</f>
        <v/>
      </c>
      <c r="S88" s="48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1"/>
      <c r="X88" s="21" t="str">
        <f>IF(ISNUMBER(tblData[Singapore]),tblData[Singapore]/$X$9,"")</f>
        <v/>
      </c>
      <c r="Y88" s="21"/>
      <c r="Z88" s="21"/>
      <c r="AA88" s="26">
        <f>IF(tblData[[#This Row],[Date]]&lt;ItalyStart,"",tblData[[#This Row],[Date]]-ItalyStart)</f>
        <v>117</v>
      </c>
      <c r="AB88" s="26">
        <f t="shared" si="9"/>
        <v>107</v>
      </c>
      <c r="AC88" s="26">
        <f t="shared" si="13"/>
        <v>77</v>
      </c>
      <c r="AD88" s="26">
        <f>IF(tblData[[#This Row],[Date]]&lt;StartDt2Korea,"",tblData[[#This Row],[Date]]-StartDt2Korea)</f>
        <v>97</v>
      </c>
      <c r="AE88" s="26">
        <f>IF(tblData[[#This Row],[Date]]&lt;UKStart,"",tblData[[#This Row],[Date]]-UKStart)</f>
        <v>117</v>
      </c>
      <c r="AF88" s="26">
        <f>IF(tblData[[#This Row],[Date]]&lt;SingaporeStart,"",tblData[[#This Row],[Date]]-SingaporeStart)</f>
        <v>124</v>
      </c>
      <c r="AG88">
        <f>IF(tblData[Date]&gt;=StartDt2Au,tblData[Date]-StartDt2Au,"")</f>
        <v>122</v>
      </c>
      <c r="AH88" s="26" t="str">
        <f>IF(tblData[New South Wales]&gt;0,SUM(tblData[[#This Row],[Australian Capital Territory]:[Western Australia]]),"")</f>
        <v/>
      </c>
      <c r="AI88" s="12" t="str">
        <f>IF(ISNUMBER(tblData[Au]),tblData[Au]/$AE$9,"")</f>
        <v/>
      </c>
      <c r="AJ88" s="43">
        <f>IF(ISNUMBER(tblData[[#This Row],[Day'# Aust]]),betaAu/(deltaAu+betaPodeltaAu*EXP(-betaAu*tblData[[#This Row],[Day'# Aust]])),"")</f>
        <v>1561726951.652065</v>
      </c>
      <c r="AK88" s="71">
        <f>IF(ISNUMBER(tblData[Day'# Aust]),tblData[Au LogiP(t)]/$AI$9,"")</f>
        <v>615725812.8260783</v>
      </c>
      <c r="AL88" s="11" t="str">
        <f>IF(AND(tblData[Date]&gt;=StartDt2Au,ISNUMBER(tblData[NSW])),(tblData[[#This Row],[Au LogiP(t)]]-tblData[[#This Row],[Au]])^2,"")</f>
        <v/>
      </c>
      <c r="AM88">
        <f>IF(tblData[Date]&gt;StartDt2NSW,tblData[Date]-StartDt2NSW,"")</f>
        <v>122</v>
      </c>
      <c r="AN88" t="str">
        <f t="shared" si="11"/>
        <v/>
      </c>
      <c r="AO88" s="11">
        <f>IF(tblData[Date]&gt;StartDt2NSW,betaNSW/(deltaNSW+betaPodeltaNSW*EXP(-betaNSW*tblData[[#This Row],[Day '# NSW]])),"")</f>
        <v>221129245.28298774</v>
      </c>
      <c r="AP88" s="12" t="str">
        <f>IF(AND(ISNUMBER(tblData[NSW]),tblData[Date]&gt;StartDt2NSW),(tblData[[#This Row],[NSW LogiP(t)]]-tblData[[#This Row],[NSW]])^2,"")</f>
        <v/>
      </c>
      <c r="AQ88" s="43">
        <f>IF(AND(tblData[Date]&gt;StartDt2NSW,ISNUMBER(tblData[Day'# Aust])),tblData[NSW LogiP(t)]/$AL$9,"")</f>
        <v>273674808.51854914</v>
      </c>
      <c r="AR88" s="11">
        <f>IF(AND(tblData[Date]&gt;StartDt2Italy,ISNUMBER(tblData[Days'# Italy])),betaItaly/(deltaItaly+betaPodeltaItaly*EXP(-betaItaly*tblData[Days'# Italy])),"")</f>
        <v>65423.848529672308</v>
      </c>
      <c r="AS88" s="11" t="str">
        <f>IF(AND(tblData[Date]&gt;StartDt2Italy,ISNUMBER(tblData[Italy])),(tblData[[#This Row],[Italy LogiP(t)]]-tblData[[#This Row],[Italy]])^2,"")</f>
        <v/>
      </c>
      <c r="AT88" s="43">
        <f>IF(AND(tblData[Date]&gt;StartDt2Italy,ISNUMBER(tblData[Days'# Italy])),tblData[[#This Row],[Italy LogiP(t)]]/$AS$9,"")</f>
        <v>10822.803726992937</v>
      </c>
      <c r="AU88" s="21">
        <f>IF(ISNUMBER(tblData[[#This Row],[Days'# US]]),betaUS/(deltaUS+betaPodeltaUS*EXP(-betaUS*tblData[Days'# US])),"")</f>
        <v>161902.40124829506</v>
      </c>
      <c r="AV88" s="11" t="str">
        <f>IF(ISNUMBER(tblData[US]),(tblData[[#This Row],[US LogiP(t)]]-tblData[US])^2,"")</f>
        <v/>
      </c>
      <c r="AW88" s="21">
        <f>IF(ISNUMBER(tblData[[#This Row],[Days'# US]]),tblData[[#This Row],[US LogiP(t)]]/$AV$9,"")</f>
        <v>4917.6414568745085</v>
      </c>
      <c r="AX88" s="21">
        <f>IF(tblData[Date]&gt;=StartDt2Korea,betaSKorea/(deltaSKorea+betaPodeltaSKorea*EXP(-betaSKorea*(tblData[Date]-StartDt2Korea))),"")</f>
        <v>8492.3988852748098</v>
      </c>
      <c r="AY88" s="21" t="str">
        <f>IF(AND(tblData[Date]&gt;=StartDt2Korea,ISNUMBER(tblData[SKorea])),(tblData[[#This Row],[SKorea LogiP(t)]]-tblData[[#This Row],[SKorea]])^2,"")</f>
        <v/>
      </c>
      <c r="AZ88" s="21">
        <f>IF(tblData[Date]&gt;=StartDt2Korea,tblData[[#This Row],[SKorea LogiP(t)]]/$AY$9,"")</f>
        <v>1652.2176819600797</v>
      </c>
      <c r="BA88" s="83">
        <f>IF(ISNUMBER(tblData[Days'# UK]),betaUK/(deltaUK+betaPodeltaUK*EXP(-betaUK*tblData[Days'# UK])),"")</f>
        <v>110763.09732738149</v>
      </c>
      <c r="BB88" s="83" t="str">
        <f>IF(ISNUMBER(tblData[UK]),(tblData[[#This Row],[UK LogiP(t)]]-tblData[[#This Row],[UK]])^2,"")</f>
        <v/>
      </c>
      <c r="BC88" s="83">
        <f>IF(ISNUMBER(tblData[Days'# UK]),tblData[[#This Row],[UK LogiP(t)]]/$BB$9,"")</f>
        <v>16671.146497197697</v>
      </c>
      <c r="BD88" s="11">
        <f>IF(ISNUMBER(tblData[Days'# China]),betaChina/(deltaChina+betaPodeltaChina*EXP(-betaChina*tblData[Days'# China])),"")</f>
        <v>80978.831068956279</v>
      </c>
      <c r="BE88" s="11" t="str">
        <f>IF(ISNUMBER(tblData[China]),(tblData[[#This Row],[China LogiP(t)]]-tblData[[#This Row],[China]])^2,"")</f>
        <v/>
      </c>
      <c r="BF88" s="11">
        <f>tblData[[#This Row],[China LogiP(t)]]/$BE$9</f>
        <v>562.61719857086746</v>
      </c>
      <c r="BG88" s="11">
        <f>IF(ISNUMBER(tblData[Day'# Singapore]),betaSingapore/(deltaSingapore+betaPodeltaSingapore*EXP(-betaSingapore*tblData[Day'# Singapore])),"")</f>
        <v>5959.7825272557329</v>
      </c>
      <c r="BH88" s="11" t="str">
        <f>IF(AND(ISNUMBER(tblData[Singapore]),tblData[Date]&gt;=StartDt2Singapore),(tblData[[#This Row],[Singapore LogiP(t)]]-tblData[[#This Row],[Singapore]])^2,"")</f>
        <v/>
      </c>
      <c r="BI88" s="11">
        <f>IF(ISNUMBER(tblData[Day'# Singapore]),tblData[Singapore LogiP(t)]/$BH$9,"")</f>
        <v>10187.662439753391</v>
      </c>
      <c r="BJ88" s="11"/>
      <c r="BK88" s="11"/>
      <c r="BL88" s="11" t="str">
        <f>IF(ISNUMBER(tblData[[#This Row],[NSW Number of Tests]]),tblData[[#This Row],[NSW Number of Tests]]-BJ87,"")</f>
        <v/>
      </c>
      <c r="BM88" s="11" t="str">
        <f>IF(ISNUMBER(tblData[[#This Row],[NSW Under Investigation'']]),tblData[[#This Row],[NSW Under Investigation'']]-BK87,"")</f>
        <v/>
      </c>
      <c r="BN88" s="11">
        <f t="shared" si="8"/>
        <v>34</v>
      </c>
      <c r="BO88" s="11">
        <f>IF(ISNUMBER(tblData[[#This Row],[NSW Test Day Number]]),betaTest/(deltaTest+betaPodeltaTest*EXP(-betaTest*tblData[[#This Row],[NSW Test Day Number]])),"")</f>
        <v>245047.81528302477</v>
      </c>
      <c r="BP88" s="11" t="str">
        <f>IF(ISNUMBER(tblData[[#This Row],[NSW Number of Tests]]),(tblData[[#This Row],[NSW Number of Tests]]-tblData[[#This Row],[NSW Test Logi]])^2,"")</f>
        <v/>
      </c>
      <c r="BR88"/>
      <c r="BV88" s="26"/>
      <c r="CE88"/>
      <c r="CF88"/>
      <c r="CG88"/>
      <c r="CH88" s="26"/>
      <c r="CS88" s="26"/>
      <c r="CT88" s="26"/>
      <c r="DM88"/>
      <c r="DN88" t="s">
        <v>1236</v>
      </c>
      <c r="DO88" s="80">
        <v>43913.582685185182</v>
      </c>
      <c r="DP88" s="27">
        <v>43860</v>
      </c>
      <c r="DQ88" s="27">
        <v>43860</v>
      </c>
      <c r="DR88">
        <v>6</v>
      </c>
      <c r="DS88">
        <v>0.23594006316216143</v>
      </c>
      <c r="DT88" s="107">
        <v>9.9999999999999655E-12</v>
      </c>
      <c r="DU88">
        <v>2.9674631046950263E-2</v>
      </c>
      <c r="DV88" s="108">
        <v>23594006316.216225</v>
      </c>
      <c r="DW88">
        <v>71.926727825145534</v>
      </c>
      <c r="DX88">
        <v>7.9509013200052188</v>
      </c>
      <c r="DY88" s="112">
        <v>9.9999999999999655E-9</v>
      </c>
      <c r="EA88" s="27">
        <v>43911</v>
      </c>
      <c r="EB88" t="s">
        <v>1722</v>
      </c>
      <c r="EC88" s="26">
        <v>23594006316.216225</v>
      </c>
      <c r="ED88" s="113">
        <v>5067</v>
      </c>
      <c r="EE88" t="s">
        <v>1723</v>
      </c>
      <c r="EF88" s="27">
        <v>43911</v>
      </c>
      <c r="EG88">
        <v>52</v>
      </c>
      <c r="EH88" t="s">
        <v>1724</v>
      </c>
      <c r="EJ88" t="s">
        <v>1725</v>
      </c>
      <c r="EL88" t="s">
        <v>1726</v>
      </c>
      <c r="EM88">
        <v>762.64298615291989</v>
      </c>
      <c r="EN88" s="94">
        <v>43913</v>
      </c>
      <c r="EO88">
        <v>0</v>
      </c>
      <c r="EP88" s="94">
        <v>43911</v>
      </c>
      <c r="EQ88">
        <v>1</v>
      </c>
    </row>
    <row r="89" spans="2:183" x14ac:dyDescent="0.25">
      <c r="B89" s="27">
        <f t="shared" si="14"/>
        <v>43984</v>
      </c>
      <c r="D89" s="26"/>
      <c r="L89" s="12" t="str">
        <f>IF(ISNUMBER(tblData[[#This Row],[NSW]]),tblData[[#This Row],[New South Wales]]/$L$9,"")</f>
        <v/>
      </c>
      <c r="M89" s="26"/>
      <c r="N89" s="48" t="str">
        <f>IF(ISNUMBER(tblData[Italy]),tblData[Italy]/$N$9,"")</f>
        <v/>
      </c>
      <c r="O89" s="26"/>
      <c r="P89" s="48" t="str">
        <f>IF(ISNUMBER(tblData[US]),tblData[US]/$P$9,"")</f>
        <v/>
      </c>
      <c r="Q89" s="48"/>
      <c r="R89" s="19" t="str">
        <f>IF(ISNUMBER(tblData[SKorea]),tblData[SKorea]/$R$9,"")</f>
        <v/>
      </c>
      <c r="S89" s="48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1"/>
      <c r="X89" s="21" t="str">
        <f>IF(ISNUMBER(tblData[Singapore]),tblData[Singapore]/$X$9,"")</f>
        <v/>
      </c>
      <c r="Y89" s="21"/>
      <c r="Z89" s="21"/>
      <c r="AA89" s="26">
        <f>IF(tblData[[#This Row],[Date]]&lt;ItalyStart,"",tblData[[#This Row],[Date]]-ItalyStart)</f>
        <v>124</v>
      </c>
      <c r="AB89" s="26">
        <f t="shared" si="9"/>
        <v>114</v>
      </c>
      <c r="AC89" s="26">
        <f t="shared" si="13"/>
        <v>78</v>
      </c>
      <c r="AD89" s="26">
        <f>IF(tblData[[#This Row],[Date]]&lt;StartDt2Korea,"",tblData[[#This Row],[Date]]-StartDt2Korea)</f>
        <v>104</v>
      </c>
      <c r="AE89" s="26">
        <f>IF(tblData[[#This Row],[Date]]&lt;UKStart,"",tblData[[#This Row],[Date]]-UKStart)</f>
        <v>124</v>
      </c>
      <c r="AF89" s="26">
        <f>IF(tblData[[#This Row],[Date]]&lt;SingaporeStart,"",tblData[[#This Row],[Date]]-SingaporeStart)</f>
        <v>131</v>
      </c>
      <c r="AG89">
        <f>IF(tblData[Date]&gt;=StartDt2Au,tblData[Date]-StartDt2Au,"")</f>
        <v>129</v>
      </c>
      <c r="AH89" s="26" t="str">
        <f>IF(tblData[New South Wales]&gt;0,SUM(tblData[[#This Row],[Australian Capital Territory]:[Western Australia]]),"")</f>
        <v/>
      </c>
      <c r="AI89" s="12" t="str">
        <f>IF(ISNUMBER(tblData[Au]),tblData[Au]/$AE$9,"")</f>
        <v/>
      </c>
      <c r="AJ89" s="43">
        <f>IF(ISNUMBER(tblData[[#This Row],[Day'# Aust]]),betaAu/(deltaAu+betaPodeltaAu*EXP(-betaAu*tblData[[#This Row],[Day'# Aust]])),"")</f>
        <v>6849578633.1830397</v>
      </c>
      <c r="AK89" s="71">
        <f>IF(ISNUMBER(tblData[Day'# Aust]),tblData[Au LogiP(t)]/$AI$9,"")</f>
        <v>2700511998.5739789</v>
      </c>
      <c r="AL89" s="11" t="str">
        <f>IF(AND(tblData[Date]&gt;=StartDt2Au,ISNUMBER(tblData[NSW])),(tblData[[#This Row],[Au LogiP(t)]]-tblData[[#This Row],[Au]])^2,"")</f>
        <v/>
      </c>
      <c r="AM89">
        <f>IF(tblData[Date]&gt;StartDt2NSW,tblData[Date]-StartDt2NSW,"")</f>
        <v>129</v>
      </c>
      <c r="AN89" t="str">
        <f t="shared" si="11"/>
        <v/>
      </c>
      <c r="AO89" s="11">
        <f>IF(tblData[Date]&gt;StartDt2NSW,betaNSW/(deltaNSW+betaPodeltaNSW*EXP(-betaNSW*tblData[[#This Row],[Day '# NSW]])),"")</f>
        <v>883394240.11853361</v>
      </c>
      <c r="AP89" s="12" t="str">
        <f>IF(AND(ISNUMBER(tblData[NSW]),tblData[Date]&gt;StartDt2NSW),(tblData[[#This Row],[NSW LogiP(t)]]-tblData[[#This Row],[NSW]])^2,"")</f>
        <v/>
      </c>
      <c r="AQ89" s="43">
        <f>IF(AND(tblData[Date]&gt;StartDt2NSW,ISNUMBER(tblData[Day'# Aust])),tblData[NSW LogiP(t)]/$AL$9,"")</f>
        <v>1093309703.116997</v>
      </c>
      <c r="AR89" s="11">
        <f>IF(AND(tblData[Date]&gt;StartDt2Italy,ISNUMBER(tblData[Days'# Italy])),betaItaly/(deltaItaly+betaPodeltaItaly*EXP(-betaItaly*tblData[Days'# Italy])),"")</f>
        <v>65423.849106207897</v>
      </c>
      <c r="AS89" s="11" t="str">
        <f>IF(AND(tblData[Date]&gt;StartDt2Italy,ISNUMBER(tblData[Italy])),(tblData[[#This Row],[Italy LogiP(t)]]-tblData[[#This Row],[Italy]])^2,"")</f>
        <v/>
      </c>
      <c r="AT89" s="43">
        <f>IF(AND(tblData[Date]&gt;StartDt2Italy,ISNUMBER(tblData[Days'# Italy])),tblData[[#This Row],[Italy LogiP(t)]]/$AS$9,"")</f>
        <v>10822.803822366897</v>
      </c>
      <c r="AU89" s="21">
        <f>IF(ISNUMBER(tblData[[#This Row],[Days'# US]]),betaUS/(deltaUS+betaPodeltaUS*EXP(-betaUS*tblData[Days'# US])),"")</f>
        <v>161902.40144712024</v>
      </c>
      <c r="AV89" s="11" t="str">
        <f>IF(ISNUMBER(tblData[US]),(tblData[[#This Row],[US LogiP(t)]]-tblData[US])^2,"")</f>
        <v/>
      </c>
      <c r="AW89" s="21">
        <f>IF(ISNUMBER(tblData[[#This Row],[Days'# US]]),tblData[[#This Row],[US LogiP(t)]]/$AV$9,"")</f>
        <v>4917.641462913647</v>
      </c>
      <c r="AX89" s="21">
        <f>IF(tblData[Date]&gt;=StartDt2Korea,betaSKorea/(deltaSKorea+betaPodeltaSKorea*EXP(-betaSKorea*(tblData[Date]-StartDt2Korea))),"")</f>
        <v>8492.3988853010123</v>
      </c>
      <c r="AY89" s="21" t="str">
        <f>IF(AND(tblData[Date]&gt;=StartDt2Korea,ISNUMBER(tblData[SKorea])),(tblData[[#This Row],[SKorea LogiP(t)]]-tblData[[#This Row],[SKorea]])^2,"")</f>
        <v/>
      </c>
      <c r="AZ89" s="21">
        <f>IF(tblData[Date]&gt;=StartDt2Korea,tblData[[#This Row],[SKorea LogiP(t)]]/$AY$9,"")</f>
        <v>1652.2176819651777</v>
      </c>
      <c r="BA89" s="83">
        <f>IF(ISNUMBER(tblData[Days'# UK]),betaUK/(deltaUK+betaPodeltaUK*EXP(-betaUK*tblData[Days'# UK])),"")</f>
        <v>110763.44030038417</v>
      </c>
      <c r="BB89" s="83" t="str">
        <f>IF(ISNUMBER(tblData[UK]),(tblData[[#This Row],[UK LogiP(t)]]-tblData[[#This Row],[UK]])^2,"")</f>
        <v/>
      </c>
      <c r="BC89" s="83">
        <f>IF(ISNUMBER(tblData[Days'# UK]),tblData[[#This Row],[UK LogiP(t)]]/$BB$9,"")</f>
        <v>16671.198118661072</v>
      </c>
      <c r="BD89" s="11">
        <f>IF(ISNUMBER(tblData[Days'# China]),betaChina/(deltaChina+betaPodeltaChina*EXP(-betaChina*tblData[Days'# China])),"")</f>
        <v>80978.862131410177</v>
      </c>
      <c r="BE89" s="11" t="str">
        <f>IF(ISNUMBER(tblData[China]),(tblData[[#This Row],[China LogiP(t)]]-tblData[[#This Row],[China]])^2,"")</f>
        <v/>
      </c>
      <c r="BF89" s="11">
        <f>tblData[[#This Row],[China LogiP(t)]]/$BE$9</f>
        <v>562.61741438369859</v>
      </c>
      <c r="BG89" s="11">
        <f>IF(ISNUMBER(tblData[Day'# Singapore]),betaSingapore/(deltaSingapore+betaPodeltaSingapore*EXP(-betaSingapore*tblData[Day'# Singapore])),"")</f>
        <v>8106.3949966553937</v>
      </c>
      <c r="BH89" s="11" t="str">
        <f>IF(AND(ISNUMBER(tblData[Singapore]),tblData[Date]&gt;=StartDt2Singapore),(tblData[[#This Row],[Singapore LogiP(t)]]-tblData[[#This Row],[Singapore]])^2,"")</f>
        <v/>
      </c>
      <c r="BI89" s="11">
        <f>IF(ISNUMBER(tblData[Day'# Singapore]),tblData[Singapore LogiP(t)]/$BH$9,"")</f>
        <v>13857.085464368196</v>
      </c>
      <c r="BJ89" s="11"/>
      <c r="BK89" s="11"/>
      <c r="BL89" s="11" t="str">
        <f>IF(ISNUMBER(tblData[[#This Row],[NSW Number of Tests]]),tblData[[#This Row],[NSW Number of Tests]]-BJ88,"")</f>
        <v/>
      </c>
      <c r="BM89" s="11" t="str">
        <f>IF(ISNUMBER(tblData[[#This Row],[NSW Under Investigation'']]),tblData[[#This Row],[NSW Under Investigation'']]-BK88,"")</f>
        <v/>
      </c>
      <c r="BN89" s="11">
        <f t="shared" si="8"/>
        <v>35</v>
      </c>
      <c r="BO89" s="11">
        <f>IF(ISNUMBER(tblData[[#This Row],[NSW Test Day Number]]),betaTest/(deltaTest+betaPodeltaTest*EXP(-betaTest*tblData[[#This Row],[NSW Test Day Number]])),"")</f>
        <v>251248.73822939911</v>
      </c>
      <c r="BP89" s="11" t="str">
        <f>IF(ISNUMBER(tblData[[#This Row],[NSW Number of Tests]]),(tblData[[#This Row],[NSW Number of Tests]]-tblData[[#This Row],[NSW Test Logi]])^2,"")</f>
        <v/>
      </c>
      <c r="BR89"/>
      <c r="BV89" s="26"/>
      <c r="CE89"/>
      <c r="CF89"/>
      <c r="CG89"/>
      <c r="CH89" s="26"/>
      <c r="CS89" s="26"/>
      <c r="CT89" s="26"/>
      <c r="DM89"/>
      <c r="DN89" t="s">
        <v>40</v>
      </c>
      <c r="DO89" s="80">
        <v>43913.623993055553</v>
      </c>
      <c r="DP89" s="27">
        <v>43852</v>
      </c>
      <c r="DQ89" s="27"/>
      <c r="DR89">
        <v>6</v>
      </c>
      <c r="DS89">
        <v>0.32049770084288381</v>
      </c>
      <c r="DT89" s="107">
        <v>3.8254432735924097E-5</v>
      </c>
      <c r="DU89">
        <v>182.80037759483983</v>
      </c>
      <c r="DV89" s="108">
        <v>8378.0539383586201</v>
      </c>
      <c r="DW89">
        <v>183.08482726537369</v>
      </c>
      <c r="DX89">
        <v>1.7150116439525903E-3</v>
      </c>
      <c r="DY89" s="112">
        <v>3.8254432735924097E-2</v>
      </c>
      <c r="EA89" s="27">
        <v>43912</v>
      </c>
      <c r="EB89" t="s">
        <v>1406</v>
      </c>
      <c r="EC89" s="26">
        <v>8378.0539383586201</v>
      </c>
      <c r="ED89" s="113">
        <v>455</v>
      </c>
      <c r="EE89" t="s">
        <v>1850</v>
      </c>
      <c r="EF89" s="27">
        <v>43912</v>
      </c>
      <c r="EG89">
        <v>61</v>
      </c>
      <c r="EH89" t="s">
        <v>1851</v>
      </c>
      <c r="EJ89" t="s">
        <v>1852</v>
      </c>
      <c r="EL89" t="s">
        <v>1853</v>
      </c>
      <c r="EM89">
        <v>68.482841661649601</v>
      </c>
      <c r="EN89" s="94">
        <v>43901</v>
      </c>
      <c r="EO89">
        <v>-12</v>
      </c>
      <c r="EP89" s="94">
        <v>43903</v>
      </c>
      <c r="EQ89">
        <v>-10</v>
      </c>
    </row>
    <row r="90" spans="2:183" x14ac:dyDescent="0.25">
      <c r="B90" s="27">
        <f t="shared" si="14"/>
        <v>43991</v>
      </c>
      <c r="D90" s="26"/>
      <c r="L90" s="12" t="str">
        <f>IF(ISNUMBER(tblData[[#This Row],[NSW]]),tblData[[#This Row],[New South Wales]]/$L$9,"")</f>
        <v/>
      </c>
      <c r="M90" s="26"/>
      <c r="N90" s="48" t="str">
        <f>IF(ISNUMBER(tblData[Italy]),tblData[Italy]/$N$9,"")</f>
        <v/>
      </c>
      <c r="O90" s="26"/>
      <c r="P90" s="48" t="str">
        <f>IF(ISNUMBER(tblData[US]),tblData[US]/$P$9,"")</f>
        <v/>
      </c>
      <c r="Q90" s="48"/>
      <c r="R90" s="19" t="str">
        <f>IF(ISNUMBER(tblData[SKorea]),tblData[SKorea]/$R$9,"")</f>
        <v/>
      </c>
      <c r="S90" s="48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1"/>
      <c r="X90" s="21" t="str">
        <f>IF(ISNUMBER(tblData[Singapore]),tblData[Singapore]/$X$9,"")</f>
        <v/>
      </c>
      <c r="Y90" s="21"/>
      <c r="Z90" s="21"/>
      <c r="AA90" s="26">
        <f>IF(tblData[[#This Row],[Date]]&lt;ItalyStart,"",tblData[[#This Row],[Date]]-ItalyStart)</f>
        <v>131</v>
      </c>
      <c r="AB90" s="26">
        <f t="shared" si="9"/>
        <v>121</v>
      </c>
      <c r="AC90" s="26">
        <f t="shared" si="13"/>
        <v>79</v>
      </c>
      <c r="AD90" s="26">
        <f>IF(tblData[[#This Row],[Date]]&lt;StartDt2Korea,"",tblData[[#This Row],[Date]]-StartDt2Korea)</f>
        <v>111</v>
      </c>
      <c r="AE90" s="26">
        <f>IF(tblData[[#This Row],[Date]]&lt;UKStart,"",tblData[[#This Row],[Date]]-UKStart)</f>
        <v>131</v>
      </c>
      <c r="AF90" s="26">
        <f>IF(tblData[[#This Row],[Date]]&lt;SingaporeStart,"",tblData[[#This Row],[Date]]-SingaporeStart)</f>
        <v>138</v>
      </c>
      <c r="AG90">
        <f>IF(tblData[Date]&gt;=StartDt2Au,tblData[Date]-StartDt2Au,"")</f>
        <v>136</v>
      </c>
      <c r="AH90" s="26" t="str">
        <f>IF(tblData[New South Wales]&gt;0,SUM(tblData[[#This Row],[Australian Capital Territory]:[Western Australia]]),"")</f>
        <v/>
      </c>
      <c r="AI90" s="12" t="str">
        <f>IF(ISNUMBER(tblData[Au]),tblData[Au]/$AE$9,"")</f>
        <v/>
      </c>
      <c r="AJ90" s="43">
        <f>IF(ISNUMBER(tblData[[#This Row],[Day'# Aust]]),betaAu/(deltaAu+betaPodeltaAu*EXP(-betaAu*tblData[[#This Row],[Day'# Aust]])),"")</f>
        <v>27714434849.268353</v>
      </c>
      <c r="AK90" s="71">
        <f>IF(ISNUMBER(tblData[Day'# Aust]),tblData[Au LogiP(t)]/$AI$9,"")</f>
        <v>10926681457.68347</v>
      </c>
      <c r="AL90" s="11" t="str">
        <f>IF(AND(tblData[Date]&gt;=StartDt2Au,ISNUMBER(tblData[NSW])),(tblData[[#This Row],[Au LogiP(t)]]-tblData[[#This Row],[Au]])^2,"")</f>
        <v/>
      </c>
      <c r="AM90">
        <f>IF(tblData[Date]&gt;StartDt2NSW,tblData[Date]-StartDt2NSW,"")</f>
        <v>136</v>
      </c>
      <c r="AN90" t="str">
        <f t="shared" si="11"/>
        <v/>
      </c>
      <c r="AO90" s="11">
        <f>IF(tblData[Date]&gt;StartDt2NSW,betaNSW/(deltaNSW+betaPodeltaNSW*EXP(-betaNSW*tblData[[#This Row],[Day '# NSW]])),"")</f>
        <v>3494110830.4169621</v>
      </c>
      <c r="AP90" s="12" t="str">
        <f>IF(AND(ISNUMBER(tblData[NSW]),tblData[Date]&gt;StartDt2NSW),(tblData[[#This Row],[NSW LogiP(t)]]-tblData[[#This Row],[NSW]])^2,"")</f>
        <v/>
      </c>
      <c r="AQ90" s="43">
        <f>IF(AND(tblData[Date]&gt;StartDt2NSW,ISNUMBER(tblData[Day'# Aust])),tblData[NSW LogiP(t)]/$AL$9,"")</f>
        <v>4324394592.1002007</v>
      </c>
      <c r="AR90" s="11">
        <f>IF(AND(tblData[Date]&gt;StartDt2Italy,ISNUMBER(tblData[Days'# Italy])),betaItaly/(deltaItaly+betaPodeltaItaly*EXP(-betaItaly*tblData[Days'# Italy])),"")</f>
        <v>65423.849200445366</v>
      </c>
      <c r="AS90" s="11" t="str">
        <f>IF(AND(tblData[Date]&gt;StartDt2Italy,ISNUMBER(tblData[Italy])),(tblData[[#This Row],[Italy LogiP(t)]]-tblData[[#This Row],[Italy]])^2,"")</f>
        <v/>
      </c>
      <c r="AT90" s="43">
        <f>IF(AND(tblData[Date]&gt;StartDt2Italy,ISNUMBER(tblData[Days'# Italy])),tblData[[#This Row],[Italy LogiP(t)]]/$AS$9,"")</f>
        <v>10822.803837956222</v>
      </c>
      <c r="AU90" s="21">
        <f>IF(ISNUMBER(tblData[[#This Row],[Days'# US]]),betaUS/(deltaUS+betaPodeltaUS*EXP(-betaUS*tblData[Days'# US])),"")</f>
        <v>161902.40146588144</v>
      </c>
      <c r="AV90" s="11" t="str">
        <f>IF(ISNUMBER(tblData[US]),(tblData[[#This Row],[US LogiP(t)]]-tblData[US])^2,"")</f>
        <v/>
      </c>
      <c r="AW90" s="21">
        <f>IF(ISNUMBER(tblData[[#This Row],[Days'# US]]),tblData[[#This Row],[US LogiP(t)]]/$AV$9,"")</f>
        <v>4917.6414634835019</v>
      </c>
      <c r="AX90" s="21">
        <f>IF(tblData[Date]&gt;=StartDt2Korea,betaSKorea/(deltaSKorea+betaPodeltaSKorea*EXP(-betaSKorea*(tblData[Date]-StartDt2Korea))),"")</f>
        <v>8492.3988853039955</v>
      </c>
      <c r="AY90" s="21" t="str">
        <f>IF(AND(tblData[Date]&gt;=StartDt2Korea,ISNUMBER(tblData[SKorea])),(tblData[[#This Row],[SKorea LogiP(t)]]-tblData[[#This Row],[SKorea]])^2,"")</f>
        <v/>
      </c>
      <c r="AZ90" s="21">
        <f>IF(tblData[Date]&gt;=StartDt2Korea,tblData[[#This Row],[SKorea LogiP(t)]]/$AY$9,"")</f>
        <v>1652.2176819657579</v>
      </c>
      <c r="BA90" s="83">
        <f>IF(ISNUMBER(tblData[Days'# UK]),betaUK/(deltaUK+betaPodeltaUK*EXP(-betaUK*tblData[Days'# UK])),"")</f>
        <v>110763.50606454264</v>
      </c>
      <c r="BB90" s="83" t="str">
        <f>IF(ISNUMBER(tblData[UK]),(tblData[[#This Row],[UK LogiP(t)]]-tblData[[#This Row],[UK]])^2,"")</f>
        <v/>
      </c>
      <c r="BC90" s="83">
        <f>IF(ISNUMBER(tblData[Days'# UK]),tblData[[#This Row],[UK LogiP(t)]]/$BB$9,"")</f>
        <v>16671.208016938988</v>
      </c>
      <c r="BD90" s="11">
        <f>IF(ISNUMBER(tblData[Days'# China]),betaChina/(deltaChina+betaPodeltaChina*EXP(-betaChina*tblData[Days'# China])),"")</f>
        <v>80978.887006266625</v>
      </c>
      <c r="BE90" s="11" t="str">
        <f>IF(ISNUMBER(tblData[China]),(tblData[[#This Row],[China LogiP(t)]]-tblData[[#This Row],[China]])^2,"")</f>
        <v/>
      </c>
      <c r="BF90" s="11">
        <f>tblData[[#This Row],[China LogiP(t)]]/$BE$9</f>
        <v>562.617587206915</v>
      </c>
      <c r="BG90" s="11">
        <f>IF(ISNUMBER(tblData[Day'# Singapore]),betaSingapore/(deltaSingapore+betaPodeltaSingapore*EXP(-betaSingapore*tblData[Day'# Singapore])),"")</f>
        <v>11026.180634128143</v>
      </c>
      <c r="BH90" s="11" t="str">
        <f>IF(AND(ISNUMBER(tblData[Singapore]),tblData[Date]&gt;=StartDt2Singapore),(tblData[[#This Row],[Singapore LogiP(t)]]-tblData[[#This Row],[Singapore]])^2,"")</f>
        <v/>
      </c>
      <c r="BI90" s="11">
        <f>IF(ISNUMBER(tblData[Day'# Singapore]),tblData[Singapore LogiP(t)]/$BH$9,"")</f>
        <v>18848.172024150674</v>
      </c>
      <c r="BJ90" s="11"/>
      <c r="BK90" s="11"/>
      <c r="BL90" s="11" t="str">
        <f>IF(ISNUMBER(tblData[[#This Row],[NSW Number of Tests]]),tblData[[#This Row],[NSW Number of Tests]]-BJ89,"")</f>
        <v/>
      </c>
      <c r="BM90" s="11" t="str">
        <f>IF(ISNUMBER(tblData[[#This Row],[NSW Under Investigation'']]),tblData[[#This Row],[NSW Under Investigation'']]-BK89,"")</f>
        <v/>
      </c>
      <c r="BN90" s="11">
        <f t="shared" si="8"/>
        <v>36</v>
      </c>
      <c r="BO90" s="11">
        <f>IF(ISNUMBER(tblData[[#This Row],[NSW Test Day Number]]),betaTest/(deltaTest+betaPodeltaTest*EXP(-betaTest*tblData[[#This Row],[NSW Test Day Number]])),"")</f>
        <v>256738.98661071045</v>
      </c>
      <c r="BP90" s="11" t="str">
        <f>IF(ISNUMBER(tblData[[#This Row],[NSW Number of Tests]]),(tblData[[#This Row],[NSW Number of Tests]]-tblData[[#This Row],[NSW Test Logi]])^2,"")</f>
        <v/>
      </c>
      <c r="BR90"/>
      <c r="BV90" s="26"/>
      <c r="CE90"/>
      <c r="CF90"/>
      <c r="CG90"/>
      <c r="CH90" s="26"/>
      <c r="CS90" s="26"/>
      <c r="CT90" s="26"/>
      <c r="DM90"/>
      <c r="DN90" t="s">
        <v>40</v>
      </c>
      <c r="DO90" s="80">
        <v>43913.634884259256</v>
      </c>
      <c r="DP90" s="27">
        <v>43853</v>
      </c>
      <c r="DQ90" s="27">
        <v>43853</v>
      </c>
      <c r="DR90">
        <v>6</v>
      </c>
      <c r="DS90">
        <v>0.32049770084288381</v>
      </c>
      <c r="DT90" s="107">
        <v>3.8254432735924097E-5</v>
      </c>
      <c r="DU90">
        <v>182.80037759483983</v>
      </c>
      <c r="DV90" s="107">
        <v>8378.0539383586201</v>
      </c>
      <c r="DW90">
        <v>183.08482726537369</v>
      </c>
      <c r="DX90">
        <v>1.7150116439525903E-3</v>
      </c>
      <c r="DY90" s="110">
        <v>3.8254432735924097E-2</v>
      </c>
      <c r="EA90" s="27">
        <v>43912</v>
      </c>
      <c r="EB90" t="s">
        <v>1406</v>
      </c>
      <c r="EC90" s="26">
        <v>8378.0539383586201</v>
      </c>
      <c r="ED90" s="113">
        <v>455</v>
      </c>
      <c r="EE90" t="s">
        <v>1850</v>
      </c>
      <c r="EF90" s="27">
        <v>43912</v>
      </c>
      <c r="EG90">
        <v>61</v>
      </c>
      <c r="EH90" t="s">
        <v>1851</v>
      </c>
      <c r="EJ90" t="s">
        <v>1852</v>
      </c>
      <c r="EL90" t="s">
        <v>1853</v>
      </c>
      <c r="EM90">
        <v>68.482841661649601</v>
      </c>
      <c r="EN90" s="94">
        <v>43901</v>
      </c>
      <c r="EO90">
        <v>-12</v>
      </c>
      <c r="EP90" s="94">
        <v>43903</v>
      </c>
      <c r="EQ90">
        <v>-10</v>
      </c>
    </row>
    <row r="91" spans="2:183" x14ac:dyDescent="0.25">
      <c r="B91" s="27">
        <f t="shared" si="14"/>
        <v>43998</v>
      </c>
      <c r="D91" s="26"/>
      <c r="L91" s="12" t="str">
        <f>IF(ISNUMBER(tblData[[#This Row],[NSW]]),tblData[[#This Row],[New South Wales]]/$L$9,"")</f>
        <v/>
      </c>
      <c r="M91" s="26"/>
      <c r="N91" s="48" t="str">
        <f>IF(ISNUMBER(tblData[Italy]),tblData[Italy]/$N$9,"")</f>
        <v/>
      </c>
      <c r="O91" s="26"/>
      <c r="P91" s="48" t="str">
        <f>IF(ISNUMBER(tblData[US]),tblData[US]/$P$9,"")</f>
        <v/>
      </c>
      <c r="Q91" s="48"/>
      <c r="R91" s="19" t="str">
        <f>IF(ISNUMBER(tblData[SKorea]),tblData[SKorea]/$R$9,"")</f>
        <v/>
      </c>
      <c r="S91" s="48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1"/>
      <c r="X91" s="21" t="str">
        <f>IF(ISNUMBER(tblData[Singapore]),tblData[Singapore]/$X$9,"")</f>
        <v/>
      </c>
      <c r="Y91" s="21"/>
      <c r="Z91" s="21"/>
      <c r="AA91" s="26">
        <f>IF(tblData[[#This Row],[Date]]&lt;ItalyStart,"",tblData[[#This Row],[Date]]-ItalyStart)</f>
        <v>138</v>
      </c>
      <c r="AB91" s="26">
        <f t="shared" si="9"/>
        <v>128</v>
      </c>
      <c r="AC91" s="26">
        <f t="shared" si="13"/>
        <v>80</v>
      </c>
      <c r="AD91" s="26">
        <f>IF(tblData[[#This Row],[Date]]&lt;StartDt2Korea,"",tblData[[#This Row],[Date]]-StartDt2Korea)</f>
        <v>118</v>
      </c>
      <c r="AE91" s="26">
        <f>IF(tblData[[#This Row],[Date]]&lt;UKStart,"",tblData[[#This Row],[Date]]-UKStart)</f>
        <v>138</v>
      </c>
      <c r="AF91" s="26">
        <f>IF(tblData[[#This Row],[Date]]&lt;SingaporeStart,"",tblData[[#This Row],[Date]]-SingaporeStart)</f>
        <v>145</v>
      </c>
      <c r="AG91">
        <f>IF(tblData[Date]&gt;=StartDt2Au,tblData[Date]-StartDt2Au,"")</f>
        <v>143</v>
      </c>
      <c r="AH91" s="26" t="str">
        <f>IF(tblData[New South Wales]&gt;0,SUM(tblData[[#This Row],[Australian Capital Territory]:[Western Australia]]),"")</f>
        <v/>
      </c>
      <c r="AI91" s="12" t="str">
        <f>IF(ISNUMBER(tblData[Au]),tblData[Au]/$AE$9,"")</f>
        <v/>
      </c>
      <c r="AJ91" s="43">
        <f>IF(ISNUMBER(tblData[[#This Row],[Day'# Aust]]),betaAu/(deltaAu+betaPodeltaAu*EXP(-betaAu*tblData[[#This Row],[Day'# Aust]])),"")</f>
        <v>85885326560.430084</v>
      </c>
      <c r="AK91" s="71">
        <f>IF(ISNUMBER(tblData[Day'# Aust]),tblData[Au LogiP(t)]/$AI$9,"")</f>
        <v>33861112821.491123</v>
      </c>
      <c r="AL91" s="11" t="str">
        <f>IF(AND(tblData[Date]&gt;=StartDt2Au,ISNUMBER(tblData[NSW])),(tblData[[#This Row],[Au LogiP(t)]]-tblData[[#This Row],[Au]])^2,"")</f>
        <v/>
      </c>
      <c r="AM91">
        <f>IF(tblData[Date]&gt;StartDt2NSW,tblData[Date]-StartDt2NSW,"")</f>
        <v>143</v>
      </c>
      <c r="AN91" t="str">
        <f t="shared" si="11"/>
        <v/>
      </c>
      <c r="AO91" s="11">
        <f>IF(tblData[Date]&gt;StartDt2NSW,betaNSW/(deltaNSW+betaPodeltaNSW*EXP(-betaNSW*tblData[[#This Row],[Day '# NSW]])),"")</f>
        <v>13300624196.245211</v>
      </c>
      <c r="AP91" s="12" t="str">
        <f>IF(AND(ISNUMBER(tblData[NSW]),tblData[Date]&gt;StartDt2NSW),(tblData[[#This Row],[NSW LogiP(t)]]-tblData[[#This Row],[NSW]])^2,"")</f>
        <v/>
      </c>
      <c r="AQ91" s="43">
        <f>IF(AND(tblData[Date]&gt;StartDt2NSW,ISNUMBER(tblData[Day'# Aust])),tblData[NSW LogiP(t)]/$AL$9,"")</f>
        <v>16461168559.709417</v>
      </c>
      <c r="AR91" s="11">
        <f>IF(AND(tblData[Date]&gt;StartDt2Italy,ISNUMBER(tblData[Days'# Italy])),betaItaly/(deltaItaly+betaPodeltaItaly*EXP(-betaItaly*tblData[Days'# Italy])),"")</f>
        <v>65423.849215848917</v>
      </c>
      <c r="AS91" s="11" t="str">
        <f>IF(AND(tblData[Date]&gt;StartDt2Italy,ISNUMBER(tblData[Italy])),(tblData[[#This Row],[Italy LogiP(t)]]-tblData[[#This Row],[Italy]])^2,"")</f>
        <v/>
      </c>
      <c r="AT91" s="43">
        <f>IF(AND(tblData[Date]&gt;StartDt2Italy,ISNUMBER(tblData[Days'# Italy])),tblData[[#This Row],[Italy LogiP(t)]]/$AS$9,"")</f>
        <v>10822.80384050437</v>
      </c>
      <c r="AU91" s="21">
        <f>IF(ISNUMBER(tblData[[#This Row],[Days'# US]]),betaUS/(deltaUS+betaPodeltaUS*EXP(-betaUS*tblData[Days'# US])),"")</f>
        <v>161902.40146765177</v>
      </c>
      <c r="AV91" s="11" t="str">
        <f>IF(ISNUMBER(tblData[US]),(tblData[[#This Row],[US LogiP(t)]]-tblData[US])^2,"")</f>
        <v/>
      </c>
      <c r="AW91" s="21">
        <f>IF(ISNUMBER(tblData[[#This Row],[Days'# US]]),tblData[[#This Row],[US LogiP(t)]]/$AV$9,"")</f>
        <v>4917.6414635372739</v>
      </c>
      <c r="AX91" s="21">
        <f>IF(tblData[Date]&gt;=StartDt2Korea,betaSKorea/(deltaSKorea+betaPodeltaSKorea*EXP(-betaSKorea*(tblData[Date]-StartDt2Korea))),"")</f>
        <v>8492.3988853043338</v>
      </c>
      <c r="AY91" s="21" t="str">
        <f>IF(AND(tblData[Date]&gt;=StartDt2Korea,ISNUMBER(tblData[SKorea])),(tblData[[#This Row],[SKorea LogiP(t)]]-tblData[[#This Row],[SKorea]])^2,"")</f>
        <v/>
      </c>
      <c r="AZ91" s="21">
        <f>IF(tblData[Date]&gt;=StartDt2Korea,tblData[[#This Row],[SKorea LogiP(t)]]/$AY$9,"")</f>
        <v>1652.2176819658239</v>
      </c>
      <c r="BA91" s="83">
        <f>IF(ISNUMBER(tblData[Days'# UK]),betaUK/(deltaUK+betaPodeltaUK*EXP(-betaUK*tblData[Days'# UK])),"")</f>
        <v>110763.518674607</v>
      </c>
      <c r="BB91" s="83" t="str">
        <f>IF(ISNUMBER(tblData[UK]),(tblData[[#This Row],[UK LogiP(t)]]-tblData[[#This Row],[UK]])^2,"")</f>
        <v/>
      </c>
      <c r="BC91" s="83">
        <f>IF(ISNUMBER(tblData[Days'# UK]),tblData[[#This Row],[UK LogiP(t)]]/$BB$9,"")</f>
        <v>16671.209914901716</v>
      </c>
      <c r="BD91" s="11">
        <f>IF(ISNUMBER(tblData[Days'# China]),betaChina/(deltaChina+betaPodeltaChina*EXP(-betaChina*tblData[Days'# China])),"")</f>
        <v>80978.90692608367</v>
      </c>
      <c r="BE91" s="11" t="str">
        <f>IF(ISNUMBER(tblData[China]),(tblData[[#This Row],[China LogiP(t)]]-tblData[[#This Row],[China]])^2,"")</f>
        <v/>
      </c>
      <c r="BF91" s="11">
        <f>tblData[[#This Row],[China LogiP(t)]]/$BE$9</f>
        <v>562.61772560396912</v>
      </c>
      <c r="BG91" s="11">
        <f>IF(ISNUMBER(tblData[Day'# Singapore]),betaSingapore/(deltaSingapore+betaPodeltaSingapore*EXP(-betaSingapore*tblData[Day'# Singapore])),"")</f>
        <v>14997.623051571865</v>
      </c>
      <c r="BH91" s="11" t="str">
        <f>IF(AND(ISNUMBER(tblData[Singapore]),tblData[Date]&gt;=StartDt2Singapore),(tblData[[#This Row],[Singapore LogiP(t)]]-tblData[[#This Row],[Singapore]])^2,"")</f>
        <v/>
      </c>
      <c r="BI91" s="11">
        <f>IF(ISNUMBER(tblData[Day'# Singapore]),tblData[Singapore LogiP(t)]/$BH$9,"")</f>
        <v>25636.962481319428</v>
      </c>
      <c r="BJ91" s="11"/>
      <c r="BK91" s="11"/>
      <c r="BL91" s="11" t="str">
        <f>IF(ISNUMBER(tblData[[#This Row],[NSW Number of Tests]]),tblData[[#This Row],[NSW Number of Tests]]-BJ90,"")</f>
        <v/>
      </c>
      <c r="BM91" s="11" t="str">
        <f>IF(ISNUMBER(tblData[[#This Row],[NSW Under Investigation'']]),tblData[[#This Row],[NSW Under Investigation'']]-BK90,"")</f>
        <v/>
      </c>
      <c r="BN91" s="11">
        <f t="shared" si="8"/>
        <v>37</v>
      </c>
      <c r="BO91" s="11">
        <f>IF(ISNUMBER(tblData[[#This Row],[NSW Test Day Number]]),betaTest/(deltaTest+betaPodeltaTest*EXP(-betaTest*tblData[[#This Row],[NSW Test Day Number]])),"")</f>
        <v>261569.23467269019</v>
      </c>
      <c r="BP91" s="11" t="str">
        <f>IF(ISNUMBER(tblData[[#This Row],[NSW Number of Tests]]),(tblData[[#This Row],[NSW Number of Tests]]-tblData[[#This Row],[NSW Test Logi]])^2,"")</f>
        <v/>
      </c>
      <c r="BR91"/>
      <c r="BV91" s="26"/>
      <c r="CE91"/>
      <c r="CF91"/>
      <c r="CG91"/>
      <c r="CH91" s="26"/>
      <c r="CS91" s="26"/>
      <c r="CT91" s="26"/>
      <c r="DM91"/>
      <c r="DN91" t="s">
        <v>48</v>
      </c>
      <c r="DO91" s="80">
        <v>43913.686678240738</v>
      </c>
      <c r="DP91" s="27">
        <v>43855</v>
      </c>
      <c r="DQ91" s="27">
        <v>43855</v>
      </c>
      <c r="DR91">
        <v>0</v>
      </c>
      <c r="DS91">
        <v>0.20946993609128423</v>
      </c>
      <c r="DT91" s="107">
        <v>1.0000000000276037E-12</v>
      </c>
      <c r="DU91">
        <v>8.7014432070134148E-3</v>
      </c>
      <c r="DV91" s="107">
        <v>209469936085.50208</v>
      </c>
      <c r="DW91">
        <v>11.322136770692364</v>
      </c>
      <c r="DX91">
        <v>24.073010776240146</v>
      </c>
      <c r="DY91" s="110">
        <v>1.0000000000276037E-9</v>
      </c>
      <c r="EA91" s="27">
        <v>43913</v>
      </c>
      <c r="EB91" t="s">
        <v>1855</v>
      </c>
      <c r="EC91" s="26">
        <v>209469936085.50208</v>
      </c>
      <c r="ED91" s="113">
        <v>1639</v>
      </c>
      <c r="EE91" t="s">
        <v>1856</v>
      </c>
      <c r="EF91" s="27">
        <v>43913</v>
      </c>
      <c r="EG91">
        <v>59</v>
      </c>
      <c r="EH91" t="s">
        <v>1857</v>
      </c>
      <c r="EJ91" t="s">
        <v>1858</v>
      </c>
      <c r="EL91" t="s">
        <v>1859</v>
      </c>
      <c r="EM91">
        <v>646.19145245229458</v>
      </c>
      <c r="EP91" s="94"/>
      <c r="ER91" t="s">
        <v>1854</v>
      </c>
    </row>
    <row r="92" spans="2:183" x14ac:dyDescent="0.25">
      <c r="B92" s="27">
        <f t="shared" si="14"/>
        <v>44005</v>
      </c>
      <c r="D92" s="26"/>
      <c r="L92" s="12" t="str">
        <f>IF(ISNUMBER(tblData[[#This Row],[NSW]]),tblData[[#This Row],[New South Wales]]/$L$9,"")</f>
        <v/>
      </c>
      <c r="M92" s="26"/>
      <c r="N92" s="48" t="str">
        <f>IF(ISNUMBER(tblData[Italy]),tblData[Italy]/$N$9,"")</f>
        <v/>
      </c>
      <c r="O92" s="26"/>
      <c r="P92" s="48" t="str">
        <f>IF(ISNUMBER(tblData[US]),tblData[US]/$P$9,"")</f>
        <v/>
      </c>
      <c r="Q92" s="48"/>
      <c r="R92" s="19" t="str">
        <f>IF(ISNUMBER(tblData[SKorea]),tblData[SKorea]/$R$9,"")</f>
        <v/>
      </c>
      <c r="S92" s="48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1"/>
      <c r="X92" s="21" t="str">
        <f>IF(ISNUMBER(tblData[Singapore]),tblData[Singapore]/$X$9,"")</f>
        <v/>
      </c>
      <c r="Y92" s="21"/>
      <c r="Z92" s="21"/>
      <c r="AA92" s="26">
        <f>IF(tblData[[#This Row],[Date]]&lt;ItalyStart,"",tblData[[#This Row],[Date]]-ItalyStart)</f>
        <v>145</v>
      </c>
      <c r="AB92" s="26">
        <f t="shared" si="9"/>
        <v>135</v>
      </c>
      <c r="AC92" s="26">
        <f t="shared" si="13"/>
        <v>81</v>
      </c>
      <c r="AD92" s="26">
        <f>IF(tblData[[#This Row],[Date]]&lt;StartDt2Korea,"",tblData[[#This Row],[Date]]-StartDt2Korea)</f>
        <v>125</v>
      </c>
      <c r="AE92" s="26">
        <f>IF(tblData[[#This Row],[Date]]&lt;UKStart,"",tblData[[#This Row],[Date]]-UKStart)</f>
        <v>145</v>
      </c>
      <c r="AF92" s="26">
        <f>IF(tblData[[#This Row],[Date]]&lt;SingaporeStart,"",tblData[[#This Row],[Date]]-SingaporeStart)</f>
        <v>152</v>
      </c>
      <c r="AG92">
        <f>IF(tblData[Date]&gt;=StartDt2Au,tblData[Date]-StartDt2Au,"")</f>
        <v>150</v>
      </c>
      <c r="AH92" s="26" t="str">
        <f>IF(tblData[New South Wales]&gt;0,SUM(tblData[[#This Row],[Australian Capital Territory]:[Western Australia]]),"")</f>
        <v/>
      </c>
      <c r="AI92" s="12" t="str">
        <f>IF(ISNUMBER(tblData[Au]),tblData[Au]/$AE$9,"")</f>
        <v/>
      </c>
      <c r="AJ92" s="43">
        <f>IF(ISNUMBER(tblData[[#This Row],[Day'# Aust]]),betaAu/(deltaAu+betaPodeltaAu*EXP(-betaAu*tblData[[#This Row],[Day'# Aust]])),"")</f>
        <v>161044112461.1824</v>
      </c>
      <c r="AK92" s="71">
        <f>IF(ISNUMBER(tblData[Day'# Aust]),tblData[Au LogiP(t)]/$AI$9,"")</f>
        <v>63493184222.197762</v>
      </c>
      <c r="AL92" s="11" t="str">
        <f>IF(AND(tblData[Date]&gt;=StartDt2Au,ISNUMBER(tblData[NSW])),(tblData[[#This Row],[Au LogiP(t)]]-tblData[[#This Row],[Au]])^2,"")</f>
        <v/>
      </c>
      <c r="AM92">
        <f>IF(tblData[Date]&gt;StartDt2NSW,tblData[Date]-StartDt2NSW,"")</f>
        <v>150</v>
      </c>
      <c r="AN92" t="str">
        <f t="shared" si="11"/>
        <v/>
      </c>
      <c r="AO92" s="11">
        <f>IF(tblData[Date]&gt;StartDt2NSW,betaNSW/(deltaNSW+betaPodeltaNSW*EXP(-betaNSW*tblData[[#This Row],[Day '# NSW]])),"")</f>
        <v>44363386906.464539</v>
      </c>
      <c r="AP92" s="12" t="str">
        <f>IF(AND(ISNUMBER(tblData[NSW]),tblData[Date]&gt;StartDt2NSW),(tblData[[#This Row],[NSW LogiP(t)]]-tblData[[#This Row],[NSW]])^2,"")</f>
        <v/>
      </c>
      <c r="AQ92" s="43">
        <f>IF(AND(tblData[Date]&gt;StartDt2NSW,ISNUMBER(tblData[Day'# Aust])),tblData[NSW LogiP(t)]/$AL$9,"")</f>
        <v>54905181814.931358</v>
      </c>
      <c r="AR92" s="11">
        <f>IF(AND(tblData[Date]&gt;StartDt2Italy,ISNUMBER(tblData[Days'# Italy])),betaItaly/(deltaItaly+betaPodeltaItaly*EXP(-betaItaly*tblData[Days'# Italy])),"")</f>
        <v>65423.849218366704</v>
      </c>
      <c r="AS92" s="11" t="str">
        <f>IF(AND(tblData[Date]&gt;StartDt2Italy,ISNUMBER(tblData[Italy])),(tblData[[#This Row],[Italy LogiP(t)]]-tblData[[#This Row],[Italy]])^2,"")</f>
        <v/>
      </c>
      <c r="AT92" s="43">
        <f>IF(AND(tblData[Date]&gt;StartDt2Italy,ISNUMBER(tblData[Days'# Italy])),tblData[[#This Row],[Italy LogiP(t)]]/$AS$9,"")</f>
        <v>10822.803840920878</v>
      </c>
      <c r="AU92" s="21">
        <f>IF(ISNUMBER(tblData[[#This Row],[Days'# US]]),betaUS/(deltaUS+betaPodeltaUS*EXP(-betaUS*tblData[Days'# US])),"")</f>
        <v>161902.4014678188</v>
      </c>
      <c r="AV92" s="11" t="str">
        <f>IF(ISNUMBER(tblData[US]),(tblData[[#This Row],[US LogiP(t)]]-tblData[US])^2,"")</f>
        <v/>
      </c>
      <c r="AW92" s="21">
        <f>IF(ISNUMBER(tblData[[#This Row],[Days'# US]]),tblData[[#This Row],[US LogiP(t)]]/$AV$9,"")</f>
        <v>4917.6414635423471</v>
      </c>
      <c r="AX92" s="21">
        <f>IF(tblData[Date]&gt;=StartDt2Korea,betaSKorea/(deltaSKorea+betaPodeltaSKorea*EXP(-betaSKorea*(tblData[Date]-StartDt2Korea))),"")</f>
        <v>8492.3988853043738</v>
      </c>
      <c r="AY92" s="21" t="str">
        <f>IF(AND(tblData[Date]&gt;=StartDt2Korea,ISNUMBER(tblData[SKorea])),(tblData[[#This Row],[SKorea LogiP(t)]]-tblData[[#This Row],[SKorea]])^2,"")</f>
        <v/>
      </c>
      <c r="AZ92" s="21">
        <f>IF(tblData[Date]&gt;=StartDt2Korea,tblData[[#This Row],[SKorea LogiP(t)]]/$AY$9,"")</f>
        <v>1652.2176819658316</v>
      </c>
      <c r="BA92" s="83">
        <f>IF(ISNUMBER(tblData[Days'# UK]),betaUK/(deltaUK+betaPodeltaUK*EXP(-betaUK*tblData[Days'# UK])),"")</f>
        <v>110763.52109254462</v>
      </c>
      <c r="BB92" s="83" t="str">
        <f>IF(ISNUMBER(tblData[UK]),(tblData[[#This Row],[UK LogiP(t)]]-tblData[[#This Row],[UK]])^2,"")</f>
        <v/>
      </c>
      <c r="BC92" s="83">
        <f>IF(ISNUMBER(tblData[Days'# UK]),tblData[[#This Row],[UK LogiP(t)]]/$BB$9,"")</f>
        <v>16671.210278829712</v>
      </c>
      <c r="BD92" s="11">
        <f>IF(ISNUMBER(tblData[Days'# China]),betaChina/(deltaChina+betaPodeltaChina*EXP(-betaChina*tblData[Days'# China])),"")</f>
        <v>80978.922877897043</v>
      </c>
      <c r="BE92" s="11" t="str">
        <f>IF(ISNUMBER(tblData[China]),(tblData[[#This Row],[China LogiP(t)]]-tblData[[#This Row],[China]])^2,"")</f>
        <v/>
      </c>
      <c r="BF92" s="11">
        <f>tblData[[#This Row],[China LogiP(t)]]/$BE$9</f>
        <v>562.61783643249601</v>
      </c>
      <c r="BG92" s="11">
        <f>IF(ISNUMBER(tblData[Day'# Singapore]),betaSingapore/(deltaSingapore+betaPodeltaSingapore*EXP(-betaSingapore*tblData[Day'# Singapore])),"")</f>
        <v>20399.510704489054</v>
      </c>
      <c r="BH92" s="11" t="str">
        <f>IF(AND(ISNUMBER(tblData[Singapore]),tblData[Date]&gt;=StartDt2Singapore),(tblData[[#This Row],[Singapore LogiP(t)]]-tblData[[#This Row],[Singapore]])^2,"")</f>
        <v/>
      </c>
      <c r="BI92" s="11">
        <f>IF(ISNUMBER(tblData[Day'# Singapore]),tblData[Singapore LogiP(t)]/$BH$9,"")</f>
        <v>34870.958469212062</v>
      </c>
      <c r="BJ92" s="11"/>
      <c r="BK92" s="11"/>
      <c r="BL92" s="11" t="str">
        <f>IF(ISNUMBER(tblData[[#This Row],[NSW Number of Tests]]),tblData[[#This Row],[NSW Number of Tests]]-BJ91,"")</f>
        <v/>
      </c>
      <c r="BM92" s="11" t="str">
        <f>IF(ISNUMBER(tblData[[#This Row],[NSW Under Investigation'']]),tblData[[#This Row],[NSW Under Investigation'']]-BK91,"")</f>
        <v/>
      </c>
      <c r="BN92" s="11">
        <f t="shared" si="8"/>
        <v>38</v>
      </c>
      <c r="BO92" s="11">
        <f>IF(ISNUMBER(tblData[[#This Row],[NSW Test Day Number]]),betaTest/(deltaTest+betaPodeltaTest*EXP(-betaTest*tblData[[#This Row],[NSW Test Day Number]])),"")</f>
        <v>265795.13559729984</v>
      </c>
      <c r="BP92" s="11" t="str">
        <f>IF(ISNUMBER(tblData[[#This Row],[NSW Number of Tests]]),(tblData[[#This Row],[NSW Number of Tests]]-tblData[[#This Row],[NSW Test Logi]])^2,"")</f>
        <v/>
      </c>
      <c r="BR92"/>
      <c r="BV92" s="26"/>
      <c r="CE92"/>
      <c r="CF92"/>
      <c r="CG92"/>
      <c r="CH92" s="26"/>
      <c r="CS92" s="26"/>
      <c r="CT92" s="26"/>
      <c r="DM92"/>
      <c r="DN92" t="s">
        <v>202</v>
      </c>
      <c r="DO92" s="80">
        <v>43913.686701388891</v>
      </c>
      <c r="DP92" s="27">
        <v>43855</v>
      </c>
      <c r="DQ92" s="27">
        <v>43855</v>
      </c>
      <c r="DR92">
        <v>1</v>
      </c>
      <c r="DS92">
        <v>0.19304193258456839</v>
      </c>
      <c r="DT92" s="107">
        <v>7.7143821954333995E-7</v>
      </c>
      <c r="DU92">
        <v>9.0879985336590873E-3</v>
      </c>
      <c r="DV92" s="107">
        <v>250236.41257862665</v>
      </c>
      <c r="DW92">
        <v>4.8079619102153499</v>
      </c>
      <c r="DX92">
        <v>21.241412491295243</v>
      </c>
      <c r="DY92" s="110">
        <v>7.7143821954333994E-4</v>
      </c>
      <c r="DZ92">
        <v>4.8079619102153499</v>
      </c>
      <c r="EA92" s="27">
        <v>43913</v>
      </c>
      <c r="EB92" t="s">
        <v>1861</v>
      </c>
      <c r="EC92" s="26">
        <v>250236.41257862665</v>
      </c>
      <c r="ED92" s="112">
        <v>669</v>
      </c>
      <c r="EE92" t="s">
        <v>1862</v>
      </c>
      <c r="EF92" s="27">
        <v>43913</v>
      </c>
      <c r="EG92">
        <v>59</v>
      </c>
      <c r="EH92" t="s">
        <v>1863</v>
      </c>
      <c r="EJ92" t="s">
        <v>1864</v>
      </c>
      <c r="EL92" t="s">
        <v>1865</v>
      </c>
      <c r="EM92">
        <v>827.97029702970292</v>
      </c>
      <c r="EP92" s="94"/>
      <c r="ER92" t="s">
        <v>1860</v>
      </c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</row>
    <row r="93" spans="2:183" x14ac:dyDescent="0.25">
      <c r="B93" s="27">
        <f t="shared" si="14"/>
        <v>44012</v>
      </c>
      <c r="D93" s="26"/>
      <c r="L93" s="12" t="str">
        <f>IF(ISNUMBER(tblData[[#This Row],[NSW]]),tblData[[#This Row],[New South Wales]]/$L$9,"")</f>
        <v/>
      </c>
      <c r="M93" s="26"/>
      <c r="N93" s="48" t="str">
        <f>IF(ISNUMBER(tblData[Italy]),tblData[Italy]/$N$9,"")</f>
        <v/>
      </c>
      <c r="O93" s="26"/>
      <c r="P93" s="48" t="str">
        <f>IF(ISNUMBER(tblData[US]),tblData[US]/$P$9,"")</f>
        <v/>
      </c>
      <c r="Q93" s="48"/>
      <c r="R93" s="19" t="str">
        <f>IF(ISNUMBER(tblData[SKorea]),tblData[SKorea]/$R$9,"")</f>
        <v/>
      </c>
      <c r="S93" s="48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1"/>
      <c r="X93" s="21" t="str">
        <f>IF(ISNUMBER(tblData[Singapore]),tblData[Singapore]/$X$9,"")</f>
        <v/>
      </c>
      <c r="Y93" s="21"/>
      <c r="Z93" s="21"/>
      <c r="AA93" s="26">
        <f>IF(tblData[[#This Row],[Date]]&lt;ItalyStart,"",tblData[[#This Row],[Date]]-ItalyStart)</f>
        <v>152</v>
      </c>
      <c r="AB93" s="26">
        <f t="shared" ref="AB93:AB117" si="15">IF($B93&lt;BU$14+18,"",$B93-BU$14-18)</f>
        <v>142</v>
      </c>
      <c r="AC93" s="26">
        <f t="shared" si="13"/>
        <v>82</v>
      </c>
      <c r="AD93" s="26">
        <f>IF(tblData[[#This Row],[Date]]&lt;StartDt2Korea,"",tblData[[#This Row],[Date]]-StartDt2Korea)</f>
        <v>132</v>
      </c>
      <c r="AE93" s="26">
        <f>IF(tblData[[#This Row],[Date]]&lt;UKStart,"",tblData[[#This Row],[Date]]-UKStart)</f>
        <v>152</v>
      </c>
      <c r="AF93" s="26">
        <f>IF(tblData[[#This Row],[Date]]&lt;SingaporeStart,"",tblData[[#This Row],[Date]]-SingaporeStart)</f>
        <v>159</v>
      </c>
      <c r="AG93">
        <f>IF(tblData[Date]&gt;=StartDt2Au,tblData[Date]-StartDt2Au,"")</f>
        <v>157</v>
      </c>
      <c r="AH93" s="26" t="str">
        <f>IF(tblData[New South Wales]&gt;0,SUM(tblData[[#This Row],[Australian Capital Territory]:[Western Australia]]),"")</f>
        <v/>
      </c>
      <c r="AI93" s="12" t="str">
        <f>IF(ISNUMBER(tblData[Au]),tblData[Au]/$AE$9,"")</f>
        <v/>
      </c>
      <c r="AJ93" s="43">
        <f>IF(ISNUMBER(tblData[[#This Row],[Day'# Aust]]),betaAu/(deltaAu+betaPodeltaAu*EXP(-betaAu*tblData[[#This Row],[Day'# Aust]])),"")</f>
        <v>199950230847.86234</v>
      </c>
      <c r="AK93" s="71">
        <f>IF(ISNUMBER(tblData[Day'# Aust]),tblData[Au LogiP(t)]/$AI$9,"")</f>
        <v>78832294136.517242</v>
      </c>
      <c r="AL93" s="11" t="str">
        <f>IF(AND(tblData[Date]&gt;=StartDt2Au,ISNUMBER(tblData[NSW])),(tblData[[#This Row],[Au LogiP(t)]]-tblData[[#This Row],[Au]])^2,"")</f>
        <v/>
      </c>
      <c r="AM93">
        <f>IF(tblData[Date]&gt;StartDt2NSW,tblData[Date]-StartDt2NSW,"")</f>
        <v>157</v>
      </c>
      <c r="AN93" t="str">
        <f t="shared" si="11"/>
        <v/>
      </c>
      <c r="AO93" s="11">
        <f>IF(tblData[Date]&gt;StartDt2NSW,betaNSW/(deltaNSW+betaPodeltaNSW*EXP(-betaNSW*tblData[[#This Row],[Day '# NSW]])),"")</f>
        <v>106297028468.89545</v>
      </c>
      <c r="AP93" s="12" t="str">
        <f>IF(AND(ISNUMBER(tblData[NSW]),tblData[Date]&gt;StartDt2NSW),(tblData[[#This Row],[NSW LogiP(t)]]-tblData[[#This Row],[NSW]])^2,"")</f>
        <v/>
      </c>
      <c r="AQ93" s="43">
        <f>IF(AND(tblData[Date]&gt;StartDt2NSW,ISNUMBER(tblData[Day'# Aust])),tblData[NSW LogiP(t)]/$AL$9,"")</f>
        <v>131555728303.08841</v>
      </c>
      <c r="AR93" s="11">
        <f>IF(AND(tblData[Date]&gt;StartDt2Italy,ISNUMBER(tblData[Days'# Italy])),betaItaly/(deltaItaly+betaPodeltaItaly*EXP(-betaItaly*tblData[Days'# Italy])),"")</f>
        <v>65423.849218778247</v>
      </c>
      <c r="AS93" s="11" t="str">
        <f>IF(AND(tblData[Date]&gt;StartDt2Italy,ISNUMBER(tblData[Italy])),(tblData[[#This Row],[Italy LogiP(t)]]-tblData[[#This Row],[Italy]])^2,"")</f>
        <v/>
      </c>
      <c r="AT93" s="43">
        <f>IF(AND(tblData[Date]&gt;StartDt2Italy,ISNUMBER(tblData[Days'# Italy])),tblData[[#This Row],[Italy LogiP(t)]]/$AS$9,"")</f>
        <v>10822.803840988958</v>
      </c>
      <c r="AU93" s="21">
        <f>IF(ISNUMBER(tblData[[#This Row],[Days'# US]]),betaUS/(deltaUS+betaPodeltaUS*EXP(-betaUS*tblData[Days'# US])),"")</f>
        <v>161902.40146783457</v>
      </c>
      <c r="AV93" s="11" t="str">
        <f>IF(ISNUMBER(tblData[US]),(tblData[[#This Row],[US LogiP(t)]]-tblData[US])^2,"")</f>
        <v/>
      </c>
      <c r="AW93" s="21">
        <f>IF(ISNUMBER(tblData[[#This Row],[Days'# US]]),tblData[[#This Row],[US LogiP(t)]]/$AV$9,"")</f>
        <v>4917.6414635428264</v>
      </c>
      <c r="AX93" s="21">
        <f>IF(tblData[Date]&gt;=StartDt2Korea,betaSKorea/(deltaSKorea+betaPodeltaSKorea*EXP(-betaSKorea*(tblData[Date]-StartDt2Korea))),"")</f>
        <v>8492.3988853043793</v>
      </c>
      <c r="AY93" s="21" t="str">
        <f>IF(AND(tblData[Date]&gt;=StartDt2Korea,ISNUMBER(tblData[SKorea])),(tblData[[#This Row],[SKorea LogiP(t)]]-tblData[[#This Row],[SKorea]])^2,"")</f>
        <v/>
      </c>
      <c r="AZ93" s="21">
        <f>IF(tblData[Date]&gt;=StartDt2Korea,tblData[[#This Row],[SKorea LogiP(t)]]/$AY$9,"")</f>
        <v>1652.2176819658328</v>
      </c>
      <c r="BA93" s="83">
        <f>IF(ISNUMBER(tblData[Days'# UK]),betaUK/(deltaUK+betaPodeltaUK*EXP(-betaUK*tblData[Days'# UK])),"")</f>
        <v>110763.52155617601</v>
      </c>
      <c r="BB93" s="83" t="str">
        <f>IF(ISNUMBER(tblData[UK]),(tblData[[#This Row],[UK LogiP(t)]]-tblData[[#This Row],[UK]])^2,"")</f>
        <v/>
      </c>
      <c r="BC93" s="83">
        <f>IF(ISNUMBER(tblData[Days'# UK]),tblData[[#This Row],[UK LogiP(t)]]/$BB$9,"")</f>
        <v>16671.210348611683</v>
      </c>
      <c r="BD93" s="11">
        <f>IF(ISNUMBER(tblData[Days'# China]),betaChina/(deltaChina+betaPodeltaChina*EXP(-betaChina*tblData[Days'# China])),"")</f>
        <v>80978.935652127155</v>
      </c>
      <c r="BE93" s="11" t="str">
        <f>IF(ISNUMBER(tblData[China]),(tblData[[#This Row],[China LogiP(t)]]-tblData[[#This Row],[China]])^2,"")</f>
        <v/>
      </c>
      <c r="BF93" s="11">
        <f>tblData[[#This Row],[China LogiP(t)]]/$BE$9</f>
        <v>562.61792518410505</v>
      </c>
      <c r="BG93" s="11">
        <f>IF(ISNUMBER(tblData[Day'# Singapore]),betaSingapore/(deltaSingapore+betaPodeltaSingapore*EXP(-betaSingapore*tblData[Day'# Singapore])),"")</f>
        <v>27747.064793349011</v>
      </c>
      <c r="BH93" s="11" t="str">
        <f>IF(AND(ISNUMBER(tblData[Singapore]),tblData[Date]&gt;=StartDt2Singapore),(tblData[[#This Row],[Singapore LogiP(t)]]-tblData[[#This Row],[Singapore]])^2,"")</f>
        <v/>
      </c>
      <c r="BI93" s="11">
        <f>IF(ISNUMBER(tblData[Day'# Singapore]),tblData[Singapore LogiP(t)]/$BH$9,"")</f>
        <v>47430.87998863079</v>
      </c>
      <c r="BJ93" s="11"/>
      <c r="BK93" s="11"/>
      <c r="BL93" s="11" t="str">
        <f>IF(ISNUMBER(tblData[[#This Row],[NSW Number of Tests]]),tblData[[#This Row],[NSW Number of Tests]]-BJ92,"")</f>
        <v/>
      </c>
      <c r="BM93" s="11" t="str">
        <f>IF(ISNUMBER(tblData[[#This Row],[NSW Under Investigation'']]),tblData[[#This Row],[NSW Under Investigation'']]-BK92,"")</f>
        <v/>
      </c>
      <c r="BN93" s="11">
        <f t="shared" si="8"/>
        <v>39</v>
      </c>
      <c r="BO93" s="11">
        <f>IF(ISNUMBER(tblData[[#This Row],[NSW Test Day Number]]),betaTest/(deltaTest+betaPodeltaTest*EXP(-betaTest*tblData[[#This Row],[NSW Test Day Number]])),"")</f>
        <v>269474.26115389238</v>
      </c>
      <c r="BP93" s="11" t="str">
        <f>IF(ISNUMBER(tblData[[#This Row],[NSW Number of Tests]]),(tblData[[#This Row],[NSW Number of Tests]]-tblData[[#This Row],[NSW Test Logi]])^2,"")</f>
        <v/>
      </c>
      <c r="BR93"/>
      <c r="BV93" s="26"/>
      <c r="CE93"/>
      <c r="CF93"/>
      <c r="CG93"/>
      <c r="CH93" s="26"/>
      <c r="CS93" s="26"/>
      <c r="CT93" s="26"/>
      <c r="DM93"/>
      <c r="DN93" t="s">
        <v>58</v>
      </c>
      <c r="DO93" s="80">
        <v>43913.686712962961</v>
      </c>
      <c r="DP93" s="27">
        <v>43860</v>
      </c>
      <c r="DQ93" s="27">
        <v>43860</v>
      </c>
      <c r="DR93">
        <v>2</v>
      </c>
      <c r="DS93">
        <v>0.25874561068947871</v>
      </c>
      <c r="DT93" s="107">
        <v>3.9549126775453369E-6</v>
      </c>
      <c r="DU93">
        <v>0.4422145518547565</v>
      </c>
      <c r="DV93" s="107">
        <v>65423.849218858661</v>
      </c>
      <c r="DW93">
        <v>1794.1813077040256</v>
      </c>
      <c r="DX93">
        <v>0.58510933365785012</v>
      </c>
      <c r="DY93" s="110">
        <v>3.9549126775453372E-3</v>
      </c>
      <c r="EA93" s="27">
        <v>43912</v>
      </c>
      <c r="EB93" t="s">
        <v>1866</v>
      </c>
      <c r="EC93" s="26">
        <v>65423.849218858661</v>
      </c>
      <c r="ED93" s="113">
        <v>59138</v>
      </c>
      <c r="EE93" t="s">
        <v>1867</v>
      </c>
      <c r="EF93" s="27">
        <v>43912</v>
      </c>
      <c r="EG93">
        <v>53</v>
      </c>
      <c r="EH93" t="s">
        <v>1868</v>
      </c>
      <c r="EJ93" t="s">
        <v>1869</v>
      </c>
      <c r="EL93" t="s">
        <v>1870</v>
      </c>
      <c r="EM93">
        <v>9782.9611248966085</v>
      </c>
      <c r="EN93" s="94">
        <v>43897</v>
      </c>
      <c r="EO93">
        <v>16</v>
      </c>
      <c r="EP93" s="94">
        <v>43896</v>
      </c>
      <c r="EQ93">
        <v>17</v>
      </c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</row>
    <row r="94" spans="2:183" x14ac:dyDescent="0.25">
      <c r="B94" s="27">
        <f t="shared" si="14"/>
        <v>44019</v>
      </c>
      <c r="D94" s="26"/>
      <c r="L94" s="12" t="str">
        <f>IF(ISNUMBER(tblData[[#This Row],[NSW]]),tblData[[#This Row],[New South Wales]]/$L$9,"")</f>
        <v/>
      </c>
      <c r="M94" s="26"/>
      <c r="N94" s="48" t="str">
        <f>IF(ISNUMBER(tblData[Italy]),tblData[Italy]/$N$9,"")</f>
        <v/>
      </c>
      <c r="O94" s="26"/>
      <c r="P94" s="48" t="str">
        <f>IF(ISNUMBER(tblData[US]),tblData[US]/$P$9,"")</f>
        <v/>
      </c>
      <c r="Q94" s="48"/>
      <c r="R94" s="19" t="str">
        <f>IF(ISNUMBER(tblData[SKorea]),tblData[SKorea]/$R$9,"")</f>
        <v/>
      </c>
      <c r="S94" s="48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1"/>
      <c r="X94" s="21" t="str">
        <f>IF(ISNUMBER(tblData[Singapore]),tblData[Singapore]/$X$9,"")</f>
        <v/>
      </c>
      <c r="Y94" s="21"/>
      <c r="Z94" s="21"/>
      <c r="AA94" s="26">
        <f>IF(tblData[[#This Row],[Date]]&lt;ItalyStart,"",tblData[[#This Row],[Date]]-ItalyStart)</f>
        <v>159</v>
      </c>
      <c r="AB94" s="26">
        <f t="shared" si="15"/>
        <v>149</v>
      </c>
      <c r="AC94" s="26">
        <f t="shared" si="13"/>
        <v>83</v>
      </c>
      <c r="AD94" s="26">
        <f>IF(tblData[[#This Row],[Date]]&lt;StartDt2Korea,"",tblData[[#This Row],[Date]]-StartDt2Korea)</f>
        <v>139</v>
      </c>
      <c r="AE94" s="26">
        <f>IF(tblData[[#This Row],[Date]]&lt;UKStart,"",tblData[[#This Row],[Date]]-UKStart)</f>
        <v>159</v>
      </c>
      <c r="AF94" s="26">
        <f>IF(tblData[[#This Row],[Date]]&lt;SingaporeStart,"",tblData[[#This Row],[Date]]-SingaporeStart)</f>
        <v>166</v>
      </c>
      <c r="AG94">
        <f>IF(tblData[Date]&gt;=StartDt2Au,tblData[Date]-StartDt2Au,"")</f>
        <v>164</v>
      </c>
      <c r="AH94" s="26" t="str">
        <f>IF(tblData[New South Wales]&gt;0,SUM(tblData[[#This Row],[Australian Capital Territory]:[Western Australia]]),"")</f>
        <v/>
      </c>
      <c r="AI94" s="12" t="str">
        <f>IF(ISNUMBER(tblData[Au]),tblData[Au]/$AE$9,"")</f>
        <v/>
      </c>
      <c r="AJ94" s="43">
        <f>IF(ISNUMBER(tblData[[#This Row],[Day'# Aust]]),betaAu/(deltaAu+betaPodeltaAu*EXP(-betaAu*tblData[[#This Row],[Day'# Aust]])),"")</f>
        <v>211300572516.20093</v>
      </c>
      <c r="AK94" s="71">
        <f>IF(ISNUMBER(tblData[Day'# Aust]),tblData[Au LogiP(t)]/$AI$9,"")</f>
        <v>83307275081.296692</v>
      </c>
      <c r="AL94" s="11" t="str">
        <f>IF(AND(tblData[Date]&gt;=StartDt2Au,ISNUMBER(tblData[NSW])),(tblData[[#This Row],[Au LogiP(t)]]-tblData[[#This Row],[Au]])^2,"")</f>
        <v/>
      </c>
      <c r="AM94">
        <f>IF(tblData[Date]&gt;StartDt2NSW,tblData[Date]-StartDt2NSW,"")</f>
        <v>164</v>
      </c>
      <c r="AN94" t="str">
        <f t="shared" si="11"/>
        <v/>
      </c>
      <c r="AO94" s="11">
        <f>IF(tblData[Date]&gt;StartDt2NSW,betaNSW/(deltaNSW+betaPodeltaNSW*EXP(-betaNSW*tblData[[#This Row],[Day '# NSW]])),"")</f>
        <v>163104468152.17191</v>
      </c>
      <c r="AP94" s="12" t="str">
        <f>IF(AND(ISNUMBER(tblData[NSW]),tblData[Date]&gt;StartDt2NSW),(tblData[[#This Row],[NSW LogiP(t)]]-tblData[[#This Row],[NSW]])^2,"")</f>
        <v/>
      </c>
      <c r="AQ94" s="43">
        <f>IF(AND(tblData[Date]&gt;StartDt2NSW,ISNUMBER(tblData[Day'# Aust])),tblData[NSW LogiP(t)]/$AL$9,"")</f>
        <v>201861965534.86621</v>
      </c>
      <c r="AR94" s="11">
        <f>IF(AND(tblData[Date]&gt;StartDt2Italy,ISNUMBER(tblData[Days'# Italy])),betaItaly/(deltaItaly+betaPodeltaItaly*EXP(-betaItaly*tblData[Days'# Italy])),"")</f>
        <v>65423.84921884552</v>
      </c>
      <c r="AS94" s="11" t="str">
        <f>IF(AND(tblData[Date]&gt;StartDt2Italy,ISNUMBER(tblData[Italy])),(tblData[[#This Row],[Italy LogiP(t)]]-tblData[[#This Row],[Italy]])^2,"")</f>
        <v/>
      </c>
      <c r="AT94" s="43">
        <f>IF(AND(tblData[Date]&gt;StartDt2Italy,ISNUMBER(tblData[Days'# Italy])),tblData[[#This Row],[Italy LogiP(t)]]/$AS$9,"")</f>
        <v>10822.803841000086</v>
      </c>
      <c r="AU94" s="21">
        <f>IF(ISNUMBER(tblData[[#This Row],[Days'# US]]),betaUS/(deltaUS+betaPodeltaUS*EXP(-betaUS*tblData[Days'# US])),"")</f>
        <v>161902.40146783605</v>
      </c>
      <c r="AV94" s="11" t="str">
        <f>IF(ISNUMBER(tblData[US]),(tblData[[#This Row],[US LogiP(t)]]-tblData[US])^2,"")</f>
        <v/>
      </c>
      <c r="AW94" s="21">
        <f>IF(ISNUMBER(tblData[[#This Row],[Days'# US]]),tblData[[#This Row],[US LogiP(t)]]/$AV$9,"")</f>
        <v>4917.641463542871</v>
      </c>
      <c r="AX94" s="21">
        <f>IF(tblData[Date]&gt;=StartDt2Korea,betaSKorea/(deltaSKorea+betaPodeltaSKorea*EXP(-betaSKorea*(tblData[Date]-StartDt2Korea))),"")</f>
        <v>8492.3988853043793</v>
      </c>
      <c r="AY94" s="21" t="str">
        <f>IF(AND(tblData[Date]&gt;=StartDt2Korea,ISNUMBER(tblData[SKorea])),(tblData[[#This Row],[SKorea LogiP(t)]]-tblData[[#This Row],[SKorea]])^2,"")</f>
        <v/>
      </c>
      <c r="AZ94" s="21">
        <f>IF(tblData[Date]&gt;=StartDt2Korea,tblData[[#This Row],[SKorea LogiP(t)]]/$AY$9,"")</f>
        <v>1652.2176819658328</v>
      </c>
      <c r="BA94" s="83">
        <f>IF(ISNUMBER(tblData[Days'# UK]),betaUK/(deltaUK+betaPodeltaUK*EXP(-betaUK*tblData[Days'# UK])),"")</f>
        <v>110763.52164507576</v>
      </c>
      <c r="BB94" s="83" t="str">
        <f>IF(ISNUMBER(tblData[UK]),(tblData[[#This Row],[UK LogiP(t)]]-tblData[[#This Row],[UK]])^2,"")</f>
        <v/>
      </c>
      <c r="BC94" s="83">
        <f>IF(ISNUMBER(tblData[Days'# UK]),tblData[[#This Row],[UK LogiP(t)]]/$BB$9,"")</f>
        <v>16671.210361992136</v>
      </c>
      <c r="BD94" s="11">
        <f>IF(ISNUMBER(tblData[Days'# China]),betaChina/(deltaChina+betaPodeltaChina*EXP(-betaChina*tblData[Days'# China])),"")</f>
        <v>80978.945881744308</v>
      </c>
      <c r="BE94" s="11" t="str">
        <f>IF(ISNUMBER(tblData[China]),(tblData[[#This Row],[China LogiP(t)]]-tblData[[#This Row],[China]])^2,"")</f>
        <v/>
      </c>
      <c r="BF94" s="11">
        <f>tblData[[#This Row],[China LogiP(t)]]/$BE$9</f>
        <v>562.6179962564886</v>
      </c>
      <c r="BG94" s="11">
        <f>IF(ISNUMBER(tblData[Day'# Singapore]),betaSingapore/(deltaSingapore+betaPodeltaSingapore*EXP(-betaSingapore*tblData[Day'# Singapore])),"")</f>
        <v>37741.079648174928</v>
      </c>
      <c r="BH94" s="11" t="str">
        <f>IF(AND(ISNUMBER(tblData[Singapore]),tblData[Date]&gt;=StartDt2Singapore),(tblData[[#This Row],[Singapore LogiP(t)]]-tblData[[#This Row],[Singapore]])^2,"")</f>
        <v/>
      </c>
      <c r="BI94" s="11">
        <f>IF(ISNUMBER(tblData[Day'# Singapore]),tblData[Singapore LogiP(t)]/$BH$9,"")</f>
        <v>64514.666065256293</v>
      </c>
      <c r="BJ94" s="11"/>
      <c r="BK94" s="11"/>
      <c r="BL94" s="11" t="str">
        <f>IF(ISNUMBER(tblData[[#This Row],[NSW Number of Tests]]),tblData[[#This Row],[NSW Number of Tests]]-BJ93,"")</f>
        <v/>
      </c>
      <c r="BM94" s="11" t="str">
        <f>IF(ISNUMBER(tblData[[#This Row],[NSW Under Investigation'']]),tblData[[#This Row],[NSW Under Investigation'']]-BK93,"")</f>
        <v/>
      </c>
      <c r="BN94" s="11">
        <f t="shared" si="8"/>
        <v>40</v>
      </c>
      <c r="BO94" s="11">
        <f>IF(ISNUMBER(tblData[[#This Row],[NSW Test Day Number]]),betaTest/(deltaTest+betaPodeltaTest*EXP(-betaTest*tblData[[#This Row],[NSW Test Day Number]])),"")</f>
        <v>272663.73934651189</v>
      </c>
      <c r="BP94" s="11" t="str">
        <f>IF(ISNUMBER(tblData[[#This Row],[NSW Number of Tests]]),(tblData[[#This Row],[NSW Number of Tests]]-tblData[[#This Row],[NSW Test Logi]])^2,"")</f>
        <v/>
      </c>
      <c r="BR94"/>
      <c r="BV94" s="26"/>
      <c r="CE94"/>
      <c r="CF94"/>
      <c r="CG94"/>
      <c r="CH94" s="26"/>
      <c r="CS94" s="26"/>
      <c r="CT94" s="26"/>
      <c r="DM94"/>
      <c r="DN94" t="s">
        <v>480</v>
      </c>
      <c r="DO94" s="80">
        <v>43913.686736111114</v>
      </c>
      <c r="DP94" s="27">
        <v>43852</v>
      </c>
      <c r="DQ94" s="27">
        <v>43870</v>
      </c>
      <c r="DR94">
        <v>3</v>
      </c>
      <c r="DS94">
        <v>0.33723338048188056</v>
      </c>
      <c r="DT94" s="107">
        <v>5.5706351680568401E-7</v>
      </c>
      <c r="DU94">
        <v>2.5463658144544234E-2</v>
      </c>
      <c r="DV94" s="108">
        <v>605376.89205648517</v>
      </c>
      <c r="DW94">
        <v>389.60916165331662</v>
      </c>
      <c r="DX94">
        <v>13.243712446291234</v>
      </c>
      <c r="DY94" s="112">
        <v>5.5706351680568397E-4</v>
      </c>
      <c r="EA94" s="27">
        <v>43912</v>
      </c>
      <c r="EB94" t="s">
        <v>1872</v>
      </c>
      <c r="EC94" s="26">
        <v>605376.89205648517</v>
      </c>
      <c r="ED94" s="113">
        <v>33272</v>
      </c>
      <c r="EE94" t="s">
        <v>1873</v>
      </c>
      <c r="EF94" s="27">
        <v>43912</v>
      </c>
      <c r="EG94">
        <v>43</v>
      </c>
      <c r="EH94" t="s">
        <v>1874</v>
      </c>
      <c r="EJ94" t="s">
        <v>1875</v>
      </c>
      <c r="EL94" t="s">
        <v>1876</v>
      </c>
      <c r="EM94">
        <v>1010.6074109561836</v>
      </c>
      <c r="EN94" s="94">
        <v>43912</v>
      </c>
      <c r="EO94">
        <v>1</v>
      </c>
      <c r="EP94" s="94">
        <v>43911</v>
      </c>
      <c r="EQ94">
        <v>2</v>
      </c>
      <c r="ER94" t="s">
        <v>1871</v>
      </c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</row>
    <row r="95" spans="2:183" x14ac:dyDescent="0.25">
      <c r="B95" s="27">
        <f t="shared" si="14"/>
        <v>44026</v>
      </c>
      <c r="D95" s="26"/>
      <c r="L95" s="12" t="str">
        <f>IF(ISNUMBER(tblData[[#This Row],[NSW]]),tblData[[#This Row],[New South Wales]]/$L$9,"")</f>
        <v/>
      </c>
      <c r="M95" s="26"/>
      <c r="N95" s="48" t="str">
        <f>IF(ISNUMBER(tblData[Italy]),tblData[Italy]/$N$9,"")</f>
        <v/>
      </c>
      <c r="O95" s="26"/>
      <c r="P95" s="48" t="str">
        <f>IF(ISNUMBER(tblData[US]),tblData[US]/$P$9,"")</f>
        <v/>
      </c>
      <c r="Q95" s="48"/>
      <c r="R95" s="19" t="str">
        <f>IF(ISNUMBER(tblData[SKorea]),tblData[SKorea]/$R$9,"")</f>
        <v/>
      </c>
      <c r="S95" s="48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1"/>
      <c r="X95" s="21" t="str">
        <f>IF(ISNUMBER(tblData[Singapore]),tblData[Singapore]/$X$9,"")</f>
        <v/>
      </c>
      <c r="Y95" s="21"/>
      <c r="Z95" s="21"/>
      <c r="AA95" s="26">
        <f>IF(tblData[[#This Row],[Date]]&lt;ItalyStart,"",tblData[[#This Row],[Date]]-ItalyStart)</f>
        <v>166</v>
      </c>
      <c r="AB95" s="26">
        <f t="shared" si="15"/>
        <v>156</v>
      </c>
      <c r="AC95" s="26">
        <f t="shared" si="13"/>
        <v>84</v>
      </c>
      <c r="AD95" s="26">
        <f>IF(tblData[[#This Row],[Date]]&lt;StartDt2Korea,"",tblData[[#This Row],[Date]]-StartDt2Korea)</f>
        <v>146</v>
      </c>
      <c r="AE95" s="26">
        <f>IF(tblData[[#This Row],[Date]]&lt;UKStart,"",tblData[[#This Row],[Date]]-UKStart)</f>
        <v>166</v>
      </c>
      <c r="AF95" s="26">
        <f>IF(tblData[[#This Row],[Date]]&lt;SingaporeStart,"",tblData[[#This Row],[Date]]-SingaporeStart)</f>
        <v>173</v>
      </c>
      <c r="AG95">
        <f>IF(tblData[Date]&gt;=StartDt2Au,tblData[Date]-StartDt2Au,"")</f>
        <v>171</v>
      </c>
      <c r="AH95" s="26" t="str">
        <f>IF(tblData[New South Wales]&gt;0,SUM(tblData[[#This Row],[Australian Capital Territory]:[Western Australia]]),"")</f>
        <v/>
      </c>
      <c r="AI95" s="12" t="str">
        <f>IF(ISNUMBER(tblData[Au]),tblData[Au]/$AE$9,"")</f>
        <v/>
      </c>
      <c r="AJ95" s="43">
        <f>IF(ISNUMBER(tblData[[#This Row],[Day'# Aust]]),betaAu/(deltaAu+betaPodeltaAu*EXP(-betaAu*tblData[[#This Row],[Day'# Aust]])),"")</f>
        <v>214001664573.49271</v>
      </c>
      <c r="AK95" s="71">
        <f>IF(ISNUMBER(tblData[Day'# Aust]),tblData[Au LogiP(t)]/$AI$9,"")</f>
        <v>84372206502.717514</v>
      </c>
      <c r="AL95" s="11" t="str">
        <f>IF(AND(tblData[Date]&gt;=StartDt2Au,ISNUMBER(tblData[NSW])),(tblData[[#This Row],[Au LogiP(t)]]-tblData[[#This Row],[Au]])^2,"")</f>
        <v/>
      </c>
      <c r="AM95">
        <f>IF(tblData[Date]&gt;StartDt2NSW,tblData[Date]-StartDt2NSW,"")</f>
        <v>171</v>
      </c>
      <c r="AN95" t="str">
        <f t="shared" si="11"/>
        <v/>
      </c>
      <c r="AO95" s="11">
        <f>IF(tblData[Date]&gt;StartDt2NSW,betaNSW/(deltaNSW+betaPodeltaNSW*EXP(-betaNSW*tblData[[#This Row],[Day '# NSW]])),"")</f>
        <v>188196316027.02487</v>
      </c>
      <c r="AP95" s="12" t="str">
        <f>IF(AND(ISNUMBER(tblData[NSW]),tblData[Date]&gt;StartDt2NSW),(tblData[[#This Row],[NSW LogiP(t)]]-tblData[[#This Row],[NSW]])^2,"")</f>
        <v/>
      </c>
      <c r="AQ95" s="43">
        <f>IF(AND(tblData[Date]&gt;StartDt2NSW,ISNUMBER(tblData[Day'# Aust])),tblData[NSW LogiP(t)]/$AL$9,"")</f>
        <v>232916232706.71393</v>
      </c>
      <c r="AR95" s="11">
        <f>IF(AND(tblData[Date]&gt;StartDt2Italy,ISNUMBER(tblData[Days'# Italy])),betaItaly/(deltaItaly+betaPodeltaItaly*EXP(-betaItaly*tblData[Days'# Italy])),"")</f>
        <v>65423.849218856521</v>
      </c>
      <c r="AS95" s="11" t="str">
        <f>IF(AND(tblData[Date]&gt;StartDt2Italy,ISNUMBER(tblData[Italy])),(tblData[[#This Row],[Italy LogiP(t)]]-tblData[[#This Row],[Italy]])^2,"")</f>
        <v/>
      </c>
      <c r="AT95" s="43">
        <f>IF(AND(tblData[Date]&gt;StartDt2Italy,ISNUMBER(tblData[Days'# Italy])),tblData[[#This Row],[Italy LogiP(t)]]/$AS$9,"")</f>
        <v>10822.803841001905</v>
      </c>
      <c r="AU95" s="21">
        <f>IF(ISNUMBER(tblData[[#This Row],[Days'# US]]),betaUS/(deltaUS+betaPodeltaUS*EXP(-betaUS*tblData[Days'# US])),"")</f>
        <v>161902.4014678362</v>
      </c>
      <c r="AV95" s="11" t="str">
        <f>IF(ISNUMBER(tblData[US]),(tblData[[#This Row],[US LogiP(t)]]-tblData[US])^2,"")</f>
        <v/>
      </c>
      <c r="AW95" s="21">
        <f>IF(ISNUMBER(tblData[[#This Row],[Days'# US]]),tblData[[#This Row],[US LogiP(t)]]/$AV$9,"")</f>
        <v>4917.6414635428755</v>
      </c>
      <c r="AX95" s="21">
        <f>IF(tblData[Date]&gt;=StartDt2Korea,betaSKorea/(deltaSKorea+betaPodeltaSKorea*EXP(-betaSKorea*(tblData[Date]-StartDt2Korea))),"")</f>
        <v>8492.3988853043793</v>
      </c>
      <c r="AY95" s="21" t="str">
        <f>IF(AND(tblData[Date]&gt;=StartDt2Korea,ISNUMBER(tblData[SKorea])),(tblData[[#This Row],[SKorea LogiP(t)]]-tblData[[#This Row],[SKorea]])^2,"")</f>
        <v/>
      </c>
      <c r="AZ95" s="21">
        <f>IF(tblData[Date]&gt;=StartDt2Korea,tblData[[#This Row],[SKorea LogiP(t)]]/$AY$9,"")</f>
        <v>1652.2176819658328</v>
      </c>
      <c r="BA95" s="83">
        <f>IF(ISNUMBER(tblData[Days'# UK]),betaUK/(deltaUK+betaPodeltaUK*EXP(-betaUK*tblData[Days'# UK])),"")</f>
        <v>110763.52166212199</v>
      </c>
      <c r="BB95" s="83" t="str">
        <f>IF(ISNUMBER(tblData[UK]),(tblData[[#This Row],[UK LogiP(t)]]-tblData[[#This Row],[UK]])^2,"")</f>
        <v/>
      </c>
      <c r="BC95" s="83">
        <f>IF(ISNUMBER(tblData[Days'# UK]),tblData[[#This Row],[UK LogiP(t)]]/$BB$9,"")</f>
        <v>16671.210364557795</v>
      </c>
      <c r="BD95" s="11">
        <f>IF(ISNUMBER(tblData[Days'# China]),betaChina/(deltaChina+betaPodeltaChina*EXP(-betaChina*tblData[Days'# China])),"")</f>
        <v>80978.954073632209</v>
      </c>
      <c r="BE95" s="11" t="str">
        <f>IF(ISNUMBER(tblData[China]),(tblData[[#This Row],[China LogiP(t)]]-tblData[[#This Row],[China]])^2,"")</f>
        <v/>
      </c>
      <c r="BF95" s="11">
        <f>tblData[[#This Row],[China LogiP(t)]]/$BE$9</f>
        <v>562.61805317132632</v>
      </c>
      <c r="BG95" s="11">
        <f>IF(ISNUMBER(tblData[Day'# Singapore]),betaSingapore/(deltaSingapore+betaPodeltaSingapore*EXP(-betaSingapore*tblData[Day'# Singapore])),"")</f>
        <v>51334.762323282914</v>
      </c>
      <c r="BH95" s="11" t="str">
        <f>IF(AND(ISNUMBER(tblData[Singapore]),tblData[Date]&gt;=StartDt2Singapore),(tblData[[#This Row],[Singapore LogiP(t)]]-tblData[[#This Row],[Singapore]])^2,"")</f>
        <v/>
      </c>
      <c r="BI95" s="11">
        <f>IF(ISNUMBER(tblData[Day'# Singapore]),tblData[Singapore LogiP(t)]/$BH$9,"")</f>
        <v>87751.730467150279</v>
      </c>
      <c r="BJ95" s="11"/>
      <c r="BK95" s="11"/>
      <c r="BL95" s="11" t="str">
        <f>IF(ISNUMBER(tblData[[#This Row],[NSW Number of Tests]]),tblData[[#This Row],[NSW Number of Tests]]-BJ94,"")</f>
        <v/>
      </c>
      <c r="BM95" s="11" t="str">
        <f>IF(ISNUMBER(tblData[[#This Row],[NSW Under Investigation'']]),tblData[[#This Row],[NSW Under Investigation'']]-BK94,"")</f>
        <v/>
      </c>
      <c r="BN95" s="11">
        <f t="shared" si="8"/>
        <v>41</v>
      </c>
      <c r="BO95" s="11">
        <f>IF(ISNUMBER(tblData[[#This Row],[NSW Test Day Number]]),betaTest/(deltaTest+betaPodeltaTest*EXP(-betaTest*tblData[[#This Row],[NSW Test Day Number]])),"")</f>
        <v>275418.54007533938</v>
      </c>
      <c r="BP95" s="11" t="str">
        <f>IF(ISNUMBER(tblData[[#This Row],[NSW Number of Tests]]),(tblData[[#This Row],[NSW Number of Tests]]-tblData[[#This Row],[NSW Test Logi]])^2,"")</f>
        <v/>
      </c>
      <c r="BR95"/>
      <c r="BV95" s="26"/>
      <c r="CE95"/>
      <c r="CF95"/>
      <c r="CG95"/>
      <c r="CH95" s="26"/>
      <c r="CS95" s="26"/>
      <c r="CT95" s="26"/>
      <c r="DM95"/>
      <c r="DN95" t="s">
        <v>225</v>
      </c>
      <c r="DO95" s="80">
        <v>43913.686747685184</v>
      </c>
      <c r="DP95" s="27">
        <v>43852</v>
      </c>
      <c r="DQ95" s="27">
        <v>43852</v>
      </c>
      <c r="DR95">
        <v>4</v>
      </c>
      <c r="DS95">
        <v>0.2221429979133962</v>
      </c>
      <c r="DT95" s="107">
        <v>2.7436905724700776E-6</v>
      </c>
      <c r="DU95">
        <v>1537.6493038446686</v>
      </c>
      <c r="DV95" s="108">
        <v>80965.033062531642</v>
      </c>
      <c r="DW95">
        <v>2060.7809258065713</v>
      </c>
      <c r="DX95">
        <v>1.4172553095805702E-4</v>
      </c>
      <c r="DY95" s="112">
        <v>2.7436905724700774E-3</v>
      </c>
      <c r="EA95" s="27">
        <v>43912</v>
      </c>
      <c r="EB95" t="s">
        <v>1360</v>
      </c>
      <c r="EC95" s="26">
        <v>80965.03281421274</v>
      </c>
      <c r="ED95" s="113">
        <v>81397</v>
      </c>
      <c r="EE95" t="s">
        <v>1486</v>
      </c>
      <c r="EF95" s="27">
        <v>43912</v>
      </c>
      <c r="EG95">
        <v>61</v>
      </c>
      <c r="EH95" t="s">
        <v>1487</v>
      </c>
      <c r="EJ95" t="s">
        <v>1488</v>
      </c>
      <c r="EL95" t="s">
        <v>1489</v>
      </c>
      <c r="EM95">
        <v>565.52251381693293</v>
      </c>
      <c r="EN95" s="94">
        <v>43912</v>
      </c>
      <c r="EO95">
        <v>-1</v>
      </c>
      <c r="EP95" s="94">
        <v>43913</v>
      </c>
      <c r="EQ95">
        <v>0</v>
      </c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</row>
    <row r="96" spans="2:183" x14ac:dyDescent="0.25">
      <c r="B96" s="27">
        <f t="shared" si="14"/>
        <v>44033</v>
      </c>
      <c r="D96" s="26"/>
      <c r="L96" s="12" t="str">
        <f>IF(ISNUMBER(tblData[[#This Row],[NSW]]),tblData[[#This Row],[New South Wales]]/$L$9,"")</f>
        <v/>
      </c>
      <c r="M96" s="26"/>
      <c r="N96" s="48" t="str">
        <f>IF(ISNUMBER(tblData[Italy]),tblData[Italy]/$N$9,"")</f>
        <v/>
      </c>
      <c r="O96" s="26"/>
      <c r="P96" s="48" t="str">
        <f>IF(ISNUMBER(tblData[US]),tblData[US]/$P$9,"")</f>
        <v/>
      </c>
      <c r="Q96" s="48"/>
      <c r="R96" s="19" t="str">
        <f>IF(ISNUMBER(tblData[SKorea]),tblData[SKorea]/$R$9,"")</f>
        <v/>
      </c>
      <c r="S96" s="48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1"/>
      <c r="X96" s="21" t="str">
        <f>IF(ISNUMBER(tblData[Singapore]),tblData[Singapore]/$X$9,"")</f>
        <v/>
      </c>
      <c r="Y96" s="21"/>
      <c r="Z96" s="21"/>
      <c r="AA96" s="26">
        <f>IF(tblData[[#This Row],[Date]]&lt;ItalyStart,"",tblData[[#This Row],[Date]]-ItalyStart)</f>
        <v>173</v>
      </c>
      <c r="AB96" s="26">
        <f t="shared" si="15"/>
        <v>163</v>
      </c>
      <c r="AC96" s="26">
        <f t="shared" si="13"/>
        <v>85</v>
      </c>
      <c r="AD96" s="26">
        <f>IF(tblData[[#This Row],[Date]]&lt;StartDt2Korea,"",tblData[[#This Row],[Date]]-StartDt2Korea)</f>
        <v>153</v>
      </c>
      <c r="AE96" s="26">
        <f>IF(tblData[[#This Row],[Date]]&lt;UKStart,"",tblData[[#This Row],[Date]]-UKStart)</f>
        <v>173</v>
      </c>
      <c r="AF96" s="26">
        <f>IF(tblData[[#This Row],[Date]]&lt;SingaporeStart,"",tblData[[#This Row],[Date]]-SingaporeStart)</f>
        <v>180</v>
      </c>
      <c r="AG96">
        <f>IF(tblData[Date]&gt;=StartDt2Au,tblData[Date]-StartDt2Au,"")</f>
        <v>178</v>
      </c>
      <c r="AH96" s="26" t="str">
        <f>IF(tblData[New South Wales]&gt;0,SUM(tblData[[#This Row],[Australian Capital Territory]:[Western Australia]]),"")</f>
        <v/>
      </c>
      <c r="AI96" s="12" t="str">
        <f>IF(ISNUMBER(tblData[Au]),tblData[Au]/$AE$9,"")</f>
        <v/>
      </c>
      <c r="AJ96" s="43">
        <f>IF(ISNUMBER(tblData[[#This Row],[Day'# Aust]]),betaAu/(deltaAu+betaPodeltaAu*EXP(-betaAu*tblData[[#This Row],[Day'# Aust]])),"")</f>
        <v>214611660924.61188</v>
      </c>
      <c r="AK96" s="71">
        <f>IF(ISNUMBER(tblData[Day'# Aust]),tblData[Au LogiP(t)]/$AI$9,"")</f>
        <v>84612703408.221054</v>
      </c>
      <c r="AL96" s="11" t="str">
        <f>IF(AND(tblData[Date]&gt;=StartDt2Au,ISNUMBER(tblData[NSW])),(tblData[[#This Row],[Au LogiP(t)]]-tblData[[#This Row],[Au]])^2,"")</f>
        <v/>
      </c>
      <c r="AM96">
        <f>IF(tblData[Date]&gt;StartDt2NSW,tblData[Date]-StartDt2NSW,"")</f>
        <v>178</v>
      </c>
      <c r="AN96" t="str">
        <f t="shared" ref="AN96:AN117" si="16">IF(E96&gt;0,E96,"")</f>
        <v/>
      </c>
      <c r="AO96" s="11">
        <f>IF(tblData[Date]&gt;StartDt2NSW,betaNSW/(deltaNSW+betaPodeltaNSW*EXP(-betaNSW*tblData[[#This Row],[Day '# NSW]])),"")</f>
        <v>195707559231.82919</v>
      </c>
      <c r="AP96" s="12" t="str">
        <f>IF(AND(ISNUMBER(tblData[NSW]),tblData[Date]&gt;StartDt2NSW),(tblData[[#This Row],[NSW LogiP(t)]]-tblData[[#This Row],[NSW]])^2,"")</f>
        <v/>
      </c>
      <c r="AQ96" s="43">
        <f>IF(AND(tblData[Date]&gt;StartDt2NSW,ISNUMBER(tblData[Day'# Aust])),tblData[NSW LogiP(t)]/$AL$9,"")</f>
        <v>242212325781.9668</v>
      </c>
      <c r="AR96" s="11">
        <f>IF(AND(tblData[Date]&gt;StartDt2Italy,ISNUMBER(tblData[Days'# Italy])),betaItaly/(deltaItaly+betaPodeltaItaly*EXP(-betaItaly*tblData[Days'# Italy])),"")</f>
        <v>65423.849218858311</v>
      </c>
      <c r="AS96" s="11" t="str">
        <f>IF(AND(tblData[Date]&gt;StartDt2Italy,ISNUMBER(tblData[Italy])),(tblData[[#This Row],[Italy LogiP(t)]]-tblData[[#This Row],[Italy]])^2,"")</f>
        <v/>
      </c>
      <c r="AT96" s="43">
        <f>IF(AND(tblData[Date]&gt;StartDt2Italy,ISNUMBER(tblData[Days'# Italy])),tblData[[#This Row],[Italy LogiP(t)]]/$AS$9,"")</f>
        <v>10822.803841002202</v>
      </c>
      <c r="AU96" s="21">
        <f>IF(ISNUMBER(tblData[[#This Row],[Days'# US]]),betaUS/(deltaUS+betaPodeltaUS*EXP(-betaUS*tblData[Days'# US])),"")</f>
        <v>161902.4014678362</v>
      </c>
      <c r="AV96" s="11" t="str">
        <f>IF(ISNUMBER(tblData[US]),(tblData[[#This Row],[US LogiP(t)]]-tblData[US])^2,"")</f>
        <v/>
      </c>
      <c r="AW96" s="21">
        <f>IF(ISNUMBER(tblData[[#This Row],[Days'# US]]),tblData[[#This Row],[US LogiP(t)]]/$AV$9,"")</f>
        <v>4917.6414635428755</v>
      </c>
      <c r="AX96" s="21">
        <f>IF(tblData[Date]&gt;=StartDt2Korea,betaSKorea/(deltaSKorea+betaPodeltaSKorea*EXP(-betaSKorea*(tblData[Date]-StartDt2Korea))),"")</f>
        <v>8492.3988853043793</v>
      </c>
      <c r="AY96" s="21" t="str">
        <f>IF(AND(tblData[Date]&gt;=StartDt2Korea,ISNUMBER(tblData[SKorea])),(tblData[[#This Row],[SKorea LogiP(t)]]-tblData[[#This Row],[SKorea]])^2,"")</f>
        <v/>
      </c>
      <c r="AZ96" s="21">
        <f>IF(tblData[Date]&gt;=StartDt2Korea,tblData[[#This Row],[SKorea LogiP(t)]]/$AY$9,"")</f>
        <v>1652.2176819658328</v>
      </c>
      <c r="BA96" s="83">
        <f>IF(ISNUMBER(tblData[Days'# UK]),betaUK/(deltaUK+betaPodeltaUK*EXP(-betaUK*tblData[Days'# UK])),"")</f>
        <v>110763.52166539054</v>
      </c>
      <c r="BB96" s="83" t="str">
        <f>IF(ISNUMBER(tblData[UK]),(tblData[[#This Row],[UK LogiP(t)]]-tblData[[#This Row],[UK]])^2,"")</f>
        <v/>
      </c>
      <c r="BC96" s="83">
        <f>IF(ISNUMBER(tblData[Days'# UK]),tblData[[#This Row],[UK LogiP(t)]]/$BB$9,"")</f>
        <v>16671.210365049748</v>
      </c>
      <c r="BD96" s="11">
        <f>IF(ISNUMBER(tblData[Days'# China]),betaChina/(deltaChina+betaPodeltaChina*EXP(-betaChina*tblData[Days'# China])),"")</f>
        <v>80978.960633704162</v>
      </c>
      <c r="BE96" s="11" t="str">
        <f>IF(ISNUMBER(tblData[China]),(tblData[[#This Row],[China LogiP(t)]]-tblData[[#This Row],[China]])^2,"")</f>
        <v/>
      </c>
      <c r="BF96" s="11">
        <f>tblData[[#This Row],[China LogiP(t)]]/$BE$9</f>
        <v>562.61809874878463</v>
      </c>
      <c r="BG96" s="11">
        <f>IF(ISNUMBER(tblData[Day'# Singapore]),betaSingapore/(deltaSingapore+betaPodeltaSingapore*EXP(-betaSingapore*tblData[Day'# Singapore])),"")</f>
        <v>69824.64608183055</v>
      </c>
      <c r="BH96" s="11" t="str">
        <f>IF(AND(ISNUMBER(tblData[Singapore]),tblData[Date]&gt;=StartDt2Singapore),(tblData[[#This Row],[Singapore LogiP(t)]]-tblData[[#This Row],[Singapore]])^2,"")</f>
        <v/>
      </c>
      <c r="BI96" s="11">
        <f>IF(ISNUMBER(tblData[Day'# Singapore]),tblData[Singapore LogiP(t)]/$BH$9,"")</f>
        <v>119358.36937065051</v>
      </c>
      <c r="BJ96" s="11"/>
      <c r="BK96" s="11"/>
      <c r="BL96" s="11" t="str">
        <f>IF(ISNUMBER(tblData[[#This Row],[NSW Number of Tests]]),tblData[[#This Row],[NSW Number of Tests]]-BJ95,"")</f>
        <v/>
      </c>
      <c r="BM96" s="11" t="str">
        <f>IF(ISNUMBER(tblData[[#This Row],[NSW Under Investigation'']]),tblData[[#This Row],[NSW Under Investigation'']]-BK95,"")</f>
        <v/>
      </c>
      <c r="BN96" s="11">
        <f t="shared" si="8"/>
        <v>42</v>
      </c>
      <c r="BO96" s="11">
        <f>IF(ISNUMBER(tblData[[#This Row],[NSW Test Day Number]]),betaTest/(deltaTest+betaPodeltaTest*EXP(-betaTest*tblData[[#This Row],[NSW Test Day Number]])),"")</f>
        <v>277790.32105869165</v>
      </c>
      <c r="BP96" s="11" t="str">
        <f>IF(ISNUMBER(tblData[[#This Row],[NSW Number of Tests]]),(tblData[[#This Row],[NSW Number of Tests]]-tblData[[#This Row],[NSW Test Logi]])^2,"")</f>
        <v/>
      </c>
      <c r="BR96"/>
      <c r="BV96" s="26"/>
      <c r="CE96"/>
      <c r="CF96"/>
      <c r="CG96"/>
      <c r="CH96" s="26"/>
      <c r="CS96" s="26"/>
      <c r="CT96" s="26"/>
      <c r="DM96"/>
      <c r="DN96" t="s">
        <v>1265</v>
      </c>
      <c r="DO96" s="80">
        <v>43913.686759259261</v>
      </c>
      <c r="DP96" s="27">
        <v>43852</v>
      </c>
      <c r="DQ96" s="27">
        <v>43880</v>
      </c>
      <c r="DR96">
        <v>5</v>
      </c>
      <c r="DS96">
        <v>0.31530846480479197</v>
      </c>
      <c r="DT96" s="107">
        <v>3.7372683191517248E-5</v>
      </c>
      <c r="DU96">
        <v>191.45902658948677</v>
      </c>
      <c r="DV96" s="108">
        <v>8436.8698706749492</v>
      </c>
      <c r="DW96">
        <v>180.57430629595535</v>
      </c>
      <c r="DX96">
        <v>1.6094990805559013E-3</v>
      </c>
      <c r="DY96" s="112">
        <v>3.737268319151725E-2</v>
      </c>
      <c r="EA96" s="27">
        <v>43912</v>
      </c>
      <c r="EB96" t="s">
        <v>1491</v>
      </c>
      <c r="EC96" s="26">
        <v>8436.8698706749492</v>
      </c>
      <c r="ED96" s="113">
        <v>8897</v>
      </c>
      <c r="EE96" t="s">
        <v>1492</v>
      </c>
      <c r="EF96" s="27">
        <v>43912</v>
      </c>
      <c r="EG96">
        <v>61</v>
      </c>
      <c r="EH96" t="s">
        <v>1493</v>
      </c>
      <c r="EJ96" t="s">
        <v>1494</v>
      </c>
      <c r="EK96" t="s">
        <v>1490</v>
      </c>
      <c r="EL96" t="s">
        <v>1495</v>
      </c>
      <c r="EM96">
        <v>1730.933852140078</v>
      </c>
      <c r="EN96" s="94">
        <v>43892</v>
      </c>
      <c r="EO96">
        <v>21</v>
      </c>
      <c r="EP96" s="94">
        <v>43891</v>
      </c>
      <c r="EQ96">
        <v>22</v>
      </c>
    </row>
    <row r="97" spans="2:183" x14ac:dyDescent="0.25">
      <c r="B97" s="27">
        <f t="shared" si="14"/>
        <v>44040</v>
      </c>
      <c r="D97" s="26"/>
      <c r="L97" s="12" t="str">
        <f>IF(ISNUMBER(tblData[[#This Row],[NSW]]),tblData[[#This Row],[New South Wales]]/$L$9,"")</f>
        <v/>
      </c>
      <c r="M97" s="26"/>
      <c r="N97" s="48" t="str">
        <f>IF(ISNUMBER(tblData[Italy]),tblData[Italy]/$N$9,"")</f>
        <v/>
      </c>
      <c r="O97" s="26"/>
      <c r="P97" s="48" t="str">
        <f>IF(ISNUMBER(tblData[US]),tblData[US]/$P$9,"")</f>
        <v/>
      </c>
      <c r="Q97" s="48"/>
      <c r="R97" s="19" t="str">
        <f>IF(ISNUMBER(tblData[SKorea]),tblData[SKorea]/$R$9,"")</f>
        <v/>
      </c>
      <c r="S97" s="48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1"/>
      <c r="X97" s="21" t="str">
        <f>IF(ISNUMBER(tblData[Singapore]),tblData[Singapore]/$X$9,"")</f>
        <v/>
      </c>
      <c r="Y97" s="21"/>
      <c r="Z97" s="21"/>
      <c r="AA97" s="26">
        <f>IF(tblData[[#This Row],[Date]]&lt;ItalyStart,"",tblData[[#This Row],[Date]]-ItalyStart)</f>
        <v>180</v>
      </c>
      <c r="AB97" s="26">
        <f t="shared" si="15"/>
        <v>170</v>
      </c>
      <c r="AC97" s="26">
        <f t="shared" si="13"/>
        <v>86</v>
      </c>
      <c r="AD97" s="26">
        <f>IF(tblData[[#This Row],[Date]]&lt;StartDt2Korea,"",tblData[[#This Row],[Date]]-StartDt2Korea)</f>
        <v>160</v>
      </c>
      <c r="AE97" s="26">
        <f>IF(tblData[[#This Row],[Date]]&lt;UKStart,"",tblData[[#This Row],[Date]]-UKStart)</f>
        <v>180</v>
      </c>
      <c r="AF97" s="26">
        <f>IF(tblData[[#This Row],[Date]]&lt;SingaporeStart,"",tblData[[#This Row],[Date]]-SingaporeStart)</f>
        <v>187</v>
      </c>
      <c r="AG97">
        <f>IF(tblData[Date]&gt;=StartDt2Au,tblData[Date]-StartDt2Au,"")</f>
        <v>185</v>
      </c>
      <c r="AH97" s="26" t="str">
        <f>IF(tblData[New South Wales]&gt;0,SUM(tblData[[#This Row],[Australian Capital Territory]:[Western Australia]]),"")</f>
        <v/>
      </c>
      <c r="AI97" s="12" t="str">
        <f>IF(ISNUMBER(tblData[Au]),tblData[Au]/$AE$9,"")</f>
        <v/>
      </c>
      <c r="AJ97" s="43">
        <f>IF(ISNUMBER(tblData[[#This Row],[Day'# Aust]]),betaAu/(deltaAu+betaPodeltaAu*EXP(-betaAu*tblData[[#This Row],[Day'# Aust]])),"")</f>
        <v>214747765883.74506</v>
      </c>
      <c r="AK97" s="71">
        <f>IF(ISNUMBER(tblData[Day'# Aust]),tblData[Au LogiP(t)]/$AI$9,"")</f>
        <v>84666364092.313934</v>
      </c>
      <c r="AL97" s="11" t="str">
        <f>IF(AND(tblData[Date]&gt;=StartDt2Au,ISNUMBER(tblData[NSW])),(tblData[[#This Row],[Au LogiP(t)]]-tblData[[#This Row],[Au]])^2,"")</f>
        <v/>
      </c>
      <c r="AM97">
        <f>IF(tblData[Date]&gt;StartDt2NSW,tblData[Date]-StartDt2NSW,"")</f>
        <v>185</v>
      </c>
      <c r="AN97" t="str">
        <f t="shared" si="16"/>
        <v/>
      </c>
      <c r="AO97" s="11">
        <f>IF(tblData[Date]&gt;StartDt2NSW,betaNSW/(deltaNSW+betaPodeltaNSW*EXP(-betaNSW*tblData[[#This Row],[Day '# NSW]])),"")</f>
        <v>197675861452.57901</v>
      </c>
      <c r="AP97" s="12" t="str">
        <f>IF(AND(ISNUMBER(tblData[NSW]),tblData[Date]&gt;StartDt2NSW),(tblData[[#This Row],[NSW LogiP(t)]]-tblData[[#This Row],[NSW]])^2,"")</f>
        <v/>
      </c>
      <c r="AQ97" s="43">
        <f>IF(AND(tblData[Date]&gt;StartDt2NSW,ISNUMBER(tblData[Day'# Aust])),tblData[NSW LogiP(t)]/$AL$9,"")</f>
        <v>244648343381.90469</v>
      </c>
      <c r="AR97" s="11">
        <f>IF(AND(tblData[Date]&gt;StartDt2Italy,ISNUMBER(tblData[Days'# Italy])),betaItaly/(deltaItaly+betaPodeltaItaly*EXP(-betaItaly*tblData[Days'# Italy])),"")</f>
        <v>65423.84921885861</v>
      </c>
      <c r="AS97" s="11" t="str">
        <f>IF(AND(tblData[Date]&gt;StartDt2Italy,ISNUMBER(tblData[Italy])),(tblData[[#This Row],[Italy LogiP(t)]]-tblData[[#This Row],[Italy]])^2,"")</f>
        <v/>
      </c>
      <c r="AT97" s="43">
        <f>IF(AND(tblData[Date]&gt;StartDt2Italy,ISNUMBER(tblData[Days'# Italy])),tblData[[#This Row],[Italy LogiP(t)]]/$AS$9,"")</f>
        <v>10822.803841002251</v>
      </c>
      <c r="AU97" s="21">
        <f>IF(ISNUMBER(tblData[[#This Row],[Days'# US]]),betaUS/(deltaUS+betaPodeltaUS*EXP(-betaUS*tblData[Days'# US])),"")</f>
        <v>161902.4014678362</v>
      </c>
      <c r="AV97" s="11" t="str">
        <f>IF(ISNUMBER(tblData[US]),(tblData[[#This Row],[US LogiP(t)]]-tblData[US])^2,"")</f>
        <v/>
      </c>
      <c r="AW97" s="21">
        <f>IF(ISNUMBER(tblData[[#This Row],[Days'# US]]),tblData[[#This Row],[US LogiP(t)]]/$AV$9,"")</f>
        <v>4917.6414635428755</v>
      </c>
      <c r="AX97" s="21">
        <f>IF(tblData[Date]&gt;=StartDt2Korea,betaSKorea/(deltaSKorea+betaPodeltaSKorea*EXP(-betaSKorea*(tblData[Date]-StartDt2Korea))),"")</f>
        <v>8492.3988853043793</v>
      </c>
      <c r="AY97" s="21" t="str">
        <f>IF(AND(tblData[Date]&gt;=StartDt2Korea,ISNUMBER(tblData[SKorea])),(tblData[[#This Row],[SKorea LogiP(t)]]-tblData[[#This Row],[SKorea]])^2,"")</f>
        <v/>
      </c>
      <c r="AZ97" s="21">
        <f>IF(tblData[Date]&gt;=StartDt2Korea,tblData[[#This Row],[SKorea LogiP(t)]]/$AY$9,"")</f>
        <v>1652.2176819658328</v>
      </c>
      <c r="BA97" s="83">
        <f>IF(ISNUMBER(tblData[Days'# UK]),betaUK/(deltaUK+betaPodeltaUK*EXP(-betaUK*tblData[Days'# UK])),"")</f>
        <v>110763.52166601727</v>
      </c>
      <c r="BB97" s="83" t="str">
        <f>IF(ISNUMBER(tblData[UK]),(tblData[[#This Row],[UK LogiP(t)]]-tblData[[#This Row],[UK]])^2,"")</f>
        <v/>
      </c>
      <c r="BC97" s="83">
        <f>IF(ISNUMBER(tblData[Days'# UK]),tblData[[#This Row],[UK LogiP(t)]]/$BB$9,"")</f>
        <v>16671.210365144081</v>
      </c>
      <c r="BD97" s="11">
        <f>IF(ISNUMBER(tblData[Days'# China]),betaChina/(deltaChina+betaPodeltaChina*EXP(-betaChina*tblData[Days'# China])),"")</f>
        <v>80978.965887016064</v>
      </c>
      <c r="BE97" s="11" t="str">
        <f>IF(ISNUMBER(tblData[China]),(tblData[[#This Row],[China LogiP(t)]]-tblData[[#This Row],[China]])^2,"")</f>
        <v/>
      </c>
      <c r="BF97" s="11">
        <f>tblData[[#This Row],[China LogiP(t)]]/$BE$9</f>
        <v>562.61813524725699</v>
      </c>
      <c r="BG97" s="11">
        <f>IF(ISNUMBER(tblData[Day'# Singapore]),betaSingapore/(deltaSingapore+betaPodeltaSingapore*EXP(-betaSingapore*tblData[Day'# Singapore])),"")</f>
        <v>94974.24826659188</v>
      </c>
      <c r="BH97" s="11" t="str">
        <f>IF(AND(ISNUMBER(tblData[Singapore]),tblData[Date]&gt;=StartDt2Singapore),(tblData[[#This Row],[Singapore LogiP(t)]]-tblData[[#This Row],[Singapore]])^2,"")</f>
        <v/>
      </c>
      <c r="BI97" s="11">
        <f>IF(ISNUMBER(tblData[Day'# Singapore]),tblData[Singapore LogiP(t)]/$BH$9,"")</f>
        <v>162349.1423360545</v>
      </c>
      <c r="BJ97" s="11"/>
      <c r="BK97" s="11"/>
      <c r="BL97" s="11" t="str">
        <f>IF(ISNUMBER(tblData[[#This Row],[NSW Number of Tests]]),tblData[[#This Row],[NSW Number of Tests]]-BJ96,"")</f>
        <v/>
      </c>
      <c r="BM97" s="11" t="str">
        <f>IF(ISNUMBER(tblData[[#This Row],[NSW Under Investigation'']]),tblData[[#This Row],[NSW Under Investigation'']]-BK96,"")</f>
        <v/>
      </c>
      <c r="BN97" s="11"/>
      <c r="BO97" s="11" t="str">
        <f>IF(ISNUMBER(tblData[[#This Row],[NSW Test Day Number]]),betaTest/(deltaTest+betaPodeltaTest*EXP(-betaTest*tblData[[#This Row],[NSW Test Day Number]])),"")</f>
        <v/>
      </c>
      <c r="BP97" s="11" t="str">
        <f>IF(ISNUMBER(tblData[[#This Row],[NSW Number of Tests]]),(tblData[[#This Row],[NSW Number of Tests]]-tblData[[#This Row],[NSW Test Logi]])^2,"")</f>
        <v/>
      </c>
      <c r="BR97"/>
      <c r="BV97" s="26"/>
      <c r="CE97"/>
      <c r="CF97"/>
      <c r="CG97"/>
      <c r="CH97" s="26"/>
      <c r="CS97" s="26"/>
      <c r="CT97" s="26"/>
      <c r="DM97"/>
      <c r="DN97" t="s">
        <v>1236</v>
      </c>
      <c r="DO97" s="80">
        <v>43913.686782407407</v>
      </c>
      <c r="DP97" s="27">
        <v>43860</v>
      </c>
      <c r="DQ97" s="27">
        <v>43860</v>
      </c>
      <c r="DR97">
        <v>6</v>
      </c>
      <c r="DS97">
        <v>0.23594006273685905</v>
      </c>
      <c r="DT97" s="107">
        <v>2.1301242429612073E-6</v>
      </c>
      <c r="DU97">
        <v>2.9674631042839659E-2</v>
      </c>
      <c r="DV97" s="108">
        <v>110763.52166616597</v>
      </c>
      <c r="DW97">
        <v>87.808162964545772</v>
      </c>
      <c r="DX97">
        <v>7.9508991766601662</v>
      </c>
      <c r="DY97" s="112">
        <v>2.1301242429612073E-3</v>
      </c>
      <c r="EA97" s="27">
        <v>43912</v>
      </c>
      <c r="EB97" t="s">
        <v>1877</v>
      </c>
      <c r="EC97" s="26">
        <v>110763.52166616597</v>
      </c>
      <c r="ED97" s="113">
        <v>5741</v>
      </c>
      <c r="EE97" t="s">
        <v>1878</v>
      </c>
      <c r="EF97" s="27">
        <v>43912</v>
      </c>
      <c r="EG97">
        <v>53</v>
      </c>
      <c r="EH97" t="s">
        <v>1879</v>
      </c>
      <c r="EJ97" t="s">
        <v>1880</v>
      </c>
      <c r="EL97" t="s">
        <v>1881</v>
      </c>
      <c r="EM97">
        <v>864.08789885611077</v>
      </c>
      <c r="EN97" s="94">
        <v>43912</v>
      </c>
      <c r="EO97">
        <v>1</v>
      </c>
      <c r="EP97" s="94">
        <v>43911</v>
      </c>
      <c r="EQ97">
        <v>2</v>
      </c>
    </row>
    <row r="98" spans="2:183" x14ac:dyDescent="0.25">
      <c r="B98" s="27">
        <f t="shared" si="14"/>
        <v>44047</v>
      </c>
      <c r="D98" s="26"/>
      <c r="L98" s="12" t="str">
        <f>IF(ISNUMBER(tblData[[#This Row],[NSW]]),tblData[[#This Row],[New South Wales]]/$L$9,"")</f>
        <v/>
      </c>
      <c r="M98" s="26"/>
      <c r="N98" s="48" t="str">
        <f>IF(ISNUMBER(tblData[Italy]),tblData[Italy]/$N$9,"")</f>
        <v/>
      </c>
      <c r="O98" s="26"/>
      <c r="P98" s="48" t="str">
        <f>IF(ISNUMBER(tblData[US]),tblData[US]/$P$9,"")</f>
        <v/>
      </c>
      <c r="Q98" s="48"/>
      <c r="R98" s="19" t="str">
        <f>IF(ISNUMBER(tblData[SKorea]),tblData[SKorea]/$R$9,"")</f>
        <v/>
      </c>
      <c r="S98" s="48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1"/>
      <c r="X98" s="21" t="str">
        <f>IF(ISNUMBER(tblData[Singapore]),tblData[Singapore]/$X$9,"")</f>
        <v/>
      </c>
      <c r="Y98" s="21"/>
      <c r="Z98" s="21"/>
      <c r="AA98" s="26">
        <f>IF(tblData[[#This Row],[Date]]&lt;ItalyStart,"",tblData[[#This Row],[Date]]-ItalyStart)</f>
        <v>187</v>
      </c>
      <c r="AB98" s="26">
        <f t="shared" si="15"/>
        <v>177</v>
      </c>
      <c r="AC98" s="26">
        <f t="shared" si="13"/>
        <v>87</v>
      </c>
      <c r="AD98" s="26">
        <f>IF(tblData[[#This Row],[Date]]&lt;StartDt2Korea,"",tblData[[#This Row],[Date]]-StartDt2Korea)</f>
        <v>167</v>
      </c>
      <c r="AE98" s="26">
        <f>IF(tblData[[#This Row],[Date]]&lt;UKStart,"",tblData[[#This Row],[Date]]-UKStart)</f>
        <v>187</v>
      </c>
      <c r="AF98" s="26">
        <f>IF(tblData[[#This Row],[Date]]&lt;SingaporeStart,"",tblData[[#This Row],[Date]]-SingaporeStart)</f>
        <v>194</v>
      </c>
      <c r="AG98">
        <f>IF(tblData[Date]&gt;=StartDt2Au,tblData[Date]-StartDt2Au,"")</f>
        <v>192</v>
      </c>
      <c r="AH98" s="26" t="str">
        <f>IF(tblData[New South Wales]&gt;0,SUM(tblData[[#This Row],[Australian Capital Territory]:[Western Australia]]),"")</f>
        <v/>
      </c>
      <c r="AI98" s="12" t="str">
        <f>IF(ISNUMBER(tblData[Au]),tblData[Au]/$AE$9,"")</f>
        <v/>
      </c>
      <c r="AJ98" s="43">
        <f>IF(ISNUMBER(tblData[[#This Row],[Day'# Aust]]),betaAu/(deltaAu+betaPodeltaAu*EXP(-betaAu*tblData[[#This Row],[Day'# Aust]])),"")</f>
        <v>214778052150.4595</v>
      </c>
      <c r="AK98" s="71">
        <f>IF(ISNUMBER(tblData[Day'# Aust]),tblData[Au LogiP(t)]/$AI$9,"")</f>
        <v>84678304743.123917</v>
      </c>
      <c r="AL98" s="11" t="str">
        <f>IF(AND(tblData[Date]&gt;=StartDt2Au,ISNUMBER(tblData[NSW])),(tblData[[#This Row],[Au LogiP(t)]]-tblData[[#This Row],[Au]])^2,"")</f>
        <v/>
      </c>
      <c r="AM98">
        <f>IF(tblData[Date]&gt;StartDt2NSW,tblData[Date]-StartDt2NSW,"")</f>
        <v>192</v>
      </c>
      <c r="AN98" t="str">
        <f t="shared" si="16"/>
        <v/>
      </c>
      <c r="AO98" s="11">
        <f>IF(tblData[Date]&gt;StartDt2NSW,betaNSW/(deltaNSW+betaPodeltaNSW*EXP(-betaNSW*tblData[[#This Row],[Day '# NSW]])),"")</f>
        <v>198173101758.25128</v>
      </c>
      <c r="AP98" s="12" t="str">
        <f>IF(AND(ISNUMBER(tblData[NSW]),tblData[Date]&gt;StartDt2NSW),(tblData[[#This Row],[NSW LogiP(t)]]-tblData[[#This Row],[NSW]])^2,"")</f>
        <v/>
      </c>
      <c r="AQ98" s="43">
        <f>IF(AND(tblData[Date]&gt;StartDt2NSW,ISNUMBER(tblData[Day'# Aust])),tblData[NSW LogiP(t)]/$AL$9,"")</f>
        <v>245263739799.81592</v>
      </c>
      <c r="AR98" s="11">
        <f>IF(AND(tblData[Date]&gt;StartDt2Italy,ISNUMBER(tblData[Days'# Italy])),betaItaly/(deltaItaly+betaPodeltaItaly*EXP(-betaItaly*tblData[Days'# Italy])),"")</f>
        <v>65423.849218858646</v>
      </c>
      <c r="AS98" s="11" t="str">
        <f>IF(AND(tblData[Date]&gt;StartDt2Italy,ISNUMBER(tblData[Italy])),(tblData[[#This Row],[Italy LogiP(t)]]-tblData[[#This Row],[Italy]])^2,"")</f>
        <v/>
      </c>
      <c r="AT98" s="43">
        <f>IF(AND(tblData[Date]&gt;StartDt2Italy,ISNUMBER(tblData[Days'# Italy])),tblData[[#This Row],[Italy LogiP(t)]]/$AS$9,"")</f>
        <v>10822.803841002258</v>
      </c>
      <c r="AU98" s="21">
        <f>IF(ISNUMBER(tblData[[#This Row],[Days'# US]]),betaUS/(deltaUS+betaPodeltaUS*EXP(-betaUS*tblData[Days'# US])),"")</f>
        <v>161902.4014678362</v>
      </c>
      <c r="AV98" s="11" t="str">
        <f>IF(ISNUMBER(tblData[US]),(tblData[[#This Row],[US LogiP(t)]]-tblData[US])^2,"")</f>
        <v/>
      </c>
      <c r="AW98" s="21">
        <f>IF(ISNUMBER(tblData[[#This Row],[Days'# US]]),tblData[[#This Row],[US LogiP(t)]]/$AV$9,"")</f>
        <v>4917.6414635428755</v>
      </c>
      <c r="AX98" s="21">
        <f>IF(tblData[Date]&gt;=StartDt2Korea,betaSKorea/(deltaSKorea+betaPodeltaSKorea*EXP(-betaSKorea*(tblData[Date]-StartDt2Korea))),"")</f>
        <v>8492.3988853043793</v>
      </c>
      <c r="AY98" s="21" t="str">
        <f>IF(AND(tblData[Date]&gt;=StartDt2Korea,ISNUMBER(tblData[SKorea])),(tblData[[#This Row],[SKorea LogiP(t)]]-tblData[[#This Row],[SKorea]])^2,"")</f>
        <v/>
      </c>
      <c r="AZ98" s="21">
        <f>IF(tblData[Date]&gt;=StartDt2Korea,tblData[[#This Row],[SKorea LogiP(t)]]/$AY$9,"")</f>
        <v>1652.2176819658328</v>
      </c>
      <c r="BA98" s="83">
        <f>IF(ISNUMBER(tblData[Days'# UK]),betaUK/(deltaUK+betaPodeltaUK*EXP(-betaUK*tblData[Days'# UK])),"")</f>
        <v>110763.52166613744</v>
      </c>
      <c r="BB98" s="83" t="str">
        <f>IF(ISNUMBER(tblData[UK]),(tblData[[#This Row],[UK LogiP(t)]]-tblData[[#This Row],[UK]])^2,"")</f>
        <v/>
      </c>
      <c r="BC98" s="83">
        <f>IF(ISNUMBER(tblData[Days'# UK]),tblData[[#This Row],[UK LogiP(t)]]/$BB$9,"")</f>
        <v>16671.210365162169</v>
      </c>
      <c r="BD98" s="11">
        <f>IF(ISNUMBER(tblData[Days'# China]),betaChina/(deltaChina+betaPodeltaChina*EXP(-betaChina*tblData[Days'# China])),"")</f>
        <v>80978.970093873169</v>
      </c>
      <c r="BE98" s="11" t="str">
        <f>IF(ISNUMBER(tblData[China]),(tblData[[#This Row],[China LogiP(t)]]-tblData[[#This Row],[China]])^2,"")</f>
        <v/>
      </c>
      <c r="BF98" s="11">
        <f>tblData[[#This Row],[China LogiP(t)]]/$BE$9</f>
        <v>562.61816447526792</v>
      </c>
      <c r="BG98" s="11">
        <f>IF(ISNUMBER(tblData[Day'# Singapore]),betaSingapore/(deltaSingapore+betaPodeltaSingapore*EXP(-betaSingapore*tblData[Day'# Singapore])),"")</f>
        <v>129182.26558470134</v>
      </c>
      <c r="BH98" s="11" t="str">
        <f>IF(AND(ISNUMBER(tblData[Singapore]),tblData[Date]&gt;=StartDt2Singapore),(tblData[[#This Row],[Singapore LogiP(t)]]-tblData[[#This Row],[Singapore]])^2,"")</f>
        <v/>
      </c>
      <c r="BI98" s="11">
        <f>IF(ISNUMBER(tblData[Day'# Singapore]),tblData[Singapore LogiP(t)]/$BH$9,"")</f>
        <v>220824.3856148741</v>
      </c>
      <c r="BJ98" s="11"/>
      <c r="BK98" s="11"/>
      <c r="BL98" s="11" t="str">
        <f>IF(ISNUMBER(tblData[[#This Row],[NSW Number of Tests]]),tblData[[#This Row],[NSW Number of Tests]]-BJ97,"")</f>
        <v/>
      </c>
      <c r="BM98" s="11" t="str">
        <f>IF(ISNUMBER(tblData[[#This Row],[NSW Under Investigation'']]),tblData[[#This Row],[NSW Under Investigation'']]-BK97,"")</f>
        <v/>
      </c>
      <c r="BN98" s="11"/>
      <c r="BO98" s="11" t="str">
        <f>IF(ISNUMBER(tblData[[#This Row],[NSW Test Day Number]]),betaTest/(deltaTest+betaPodeltaTest*EXP(-betaTest*tblData[[#This Row],[NSW Test Day Number]])),"")</f>
        <v/>
      </c>
      <c r="BP98" s="11" t="str">
        <f>IF(ISNUMBER(tblData[[#This Row],[NSW Number of Tests]]),(tblData[[#This Row],[NSW Number of Tests]]-tblData[[#This Row],[NSW Test Logi]])^2,"")</f>
        <v/>
      </c>
      <c r="BR98"/>
      <c r="BV98" s="26"/>
      <c r="CE98"/>
      <c r="CF98"/>
      <c r="CG98"/>
      <c r="CH98" s="26"/>
      <c r="CS98" s="26"/>
      <c r="CT98" s="26"/>
      <c r="DM98"/>
      <c r="DN98" t="s">
        <v>40</v>
      </c>
      <c r="DO98" s="80">
        <v>43913.686793981484</v>
      </c>
      <c r="DP98" s="27">
        <v>43853</v>
      </c>
      <c r="DQ98" s="27">
        <v>43853</v>
      </c>
      <c r="DR98">
        <v>6</v>
      </c>
      <c r="DS98">
        <v>4.3945616156224152E-2</v>
      </c>
      <c r="DT98" s="107">
        <v>1.0000000045861967E-12</v>
      </c>
      <c r="DU98">
        <v>625.27317338720138</v>
      </c>
      <c r="DV98" s="108">
        <v>43945615954.680916</v>
      </c>
      <c r="DW98">
        <v>33.199544473907444</v>
      </c>
      <c r="DX98">
        <v>1.7150116439525903E-3</v>
      </c>
      <c r="DY98" s="112">
        <v>3.8254432735924097E-2</v>
      </c>
      <c r="EA98" s="27">
        <v>43912</v>
      </c>
      <c r="EB98" t="s">
        <v>1882</v>
      </c>
      <c r="EC98" s="26">
        <v>44577267.854490131</v>
      </c>
      <c r="ED98" s="112">
        <v>455</v>
      </c>
      <c r="EE98" t="s">
        <v>1883</v>
      </c>
      <c r="EF98" s="27">
        <v>43912</v>
      </c>
      <c r="EG98">
        <v>61</v>
      </c>
      <c r="EH98" t="s">
        <v>1884</v>
      </c>
      <c r="EJ98" t="s">
        <v>1885</v>
      </c>
      <c r="EL98" t="s">
        <v>1886</v>
      </c>
      <c r="EM98">
        <v>777.77777777777783</v>
      </c>
      <c r="EN98" s="94">
        <v>43913</v>
      </c>
      <c r="EO98">
        <v>0</v>
      </c>
      <c r="EP98" s="94">
        <v>43910</v>
      </c>
      <c r="EQ98">
        <v>3</v>
      </c>
    </row>
    <row r="99" spans="2:183" x14ac:dyDescent="0.25">
      <c r="B99" s="27">
        <f t="shared" si="14"/>
        <v>44054</v>
      </c>
      <c r="D99" s="26"/>
      <c r="L99" s="12" t="str">
        <f>IF(ISNUMBER(tblData[[#This Row],[NSW]]),tblData[[#This Row],[New South Wales]]/$L$9,"")</f>
        <v/>
      </c>
      <c r="M99" s="26"/>
      <c r="N99" s="48" t="str">
        <f>IF(ISNUMBER(tblData[Italy]),tblData[Italy]/$N$9,"")</f>
        <v/>
      </c>
      <c r="O99" s="26"/>
      <c r="P99" s="48" t="str">
        <f>IF(ISNUMBER(tblData[US]),tblData[US]/$P$9,"")</f>
        <v/>
      </c>
      <c r="Q99" s="48"/>
      <c r="R99" s="19" t="str">
        <f>IF(ISNUMBER(tblData[SKorea]),tblData[SKorea]/$R$9,"")</f>
        <v/>
      </c>
      <c r="S99" s="48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1"/>
      <c r="X99" s="21" t="str">
        <f>IF(ISNUMBER(tblData[Singapore]),tblData[Singapore]/$X$9,"")</f>
        <v/>
      </c>
      <c r="Y99" s="21"/>
      <c r="Z99" s="21"/>
      <c r="AA99" s="26">
        <f>IF(tblData[[#This Row],[Date]]&lt;ItalyStart,"",tblData[[#This Row],[Date]]-ItalyStart)</f>
        <v>194</v>
      </c>
      <c r="AB99" s="26">
        <f t="shared" si="15"/>
        <v>184</v>
      </c>
      <c r="AC99" s="26">
        <f t="shared" si="13"/>
        <v>88</v>
      </c>
      <c r="AD99" s="26">
        <f>IF(tblData[[#This Row],[Date]]&lt;StartDt2Korea,"",tblData[[#This Row],[Date]]-StartDt2Korea)</f>
        <v>174</v>
      </c>
      <c r="AE99" s="26">
        <f>IF(tblData[[#This Row],[Date]]&lt;UKStart,"",tblData[[#This Row],[Date]]-UKStart)</f>
        <v>194</v>
      </c>
      <c r="AF99" s="26">
        <f>IF(tblData[[#This Row],[Date]]&lt;SingaporeStart,"",tblData[[#This Row],[Date]]-SingaporeStart)</f>
        <v>201</v>
      </c>
      <c r="AG99">
        <f>IF(tblData[Date]&gt;=StartDt2Au,tblData[Date]-StartDt2Au,"")</f>
        <v>199</v>
      </c>
      <c r="AH99" s="26" t="str">
        <f>IF(tblData[New South Wales]&gt;0,SUM(tblData[[#This Row],[Australian Capital Territory]:[Western Australia]]),"")</f>
        <v/>
      </c>
      <c r="AI99" s="12" t="str">
        <f>IF(ISNUMBER(tblData[Au]),tblData[Au]/$AE$9,"")</f>
        <v/>
      </c>
      <c r="AJ99" s="43">
        <f>IF(ISNUMBER(tblData[[#This Row],[Day'# Aust]]),betaAu/(deltaAu+betaPodeltaAu*EXP(-betaAu*tblData[[#This Row],[Day'# Aust]])),"")</f>
        <v>214784787432.95654</v>
      </c>
      <c r="AK99" s="71">
        <f>IF(ISNUMBER(tblData[Day'# Aust]),tblData[Au LogiP(t)]/$AI$9,"")</f>
        <v>84680960192.775803</v>
      </c>
      <c r="AL99" s="11" t="str">
        <f>IF(AND(tblData[Date]&gt;=StartDt2Au,ISNUMBER(tblData[NSW])),(tblData[[#This Row],[Au LogiP(t)]]-tblData[[#This Row],[Au]])^2,"")</f>
        <v/>
      </c>
      <c r="AM99">
        <f>IF(tblData[Date]&gt;StartDt2NSW,tblData[Date]-StartDt2NSW,"")</f>
        <v>199</v>
      </c>
      <c r="AN99" t="str">
        <f t="shared" si="16"/>
        <v/>
      </c>
      <c r="AO99" s="11">
        <f>IF(tblData[Date]&gt;StartDt2NSW,betaNSW/(deltaNSW+betaPodeltaNSW*EXP(-betaNSW*tblData[[#This Row],[Day '# NSW]])),"")</f>
        <v>198297543893.91</v>
      </c>
      <c r="AP99" s="12" t="str">
        <f>IF(AND(ISNUMBER(tblData[NSW]),tblData[Date]&gt;StartDt2NSW),(tblData[[#This Row],[NSW LogiP(t)]]-tblData[[#This Row],[NSW]])^2,"")</f>
        <v/>
      </c>
      <c r="AQ99" s="43">
        <f>IF(AND(tblData[Date]&gt;StartDt2NSW,ISNUMBER(tblData[Day'# Aust])),tblData[NSW LogiP(t)]/$AL$9,"")</f>
        <v>245417752343.948</v>
      </c>
      <c r="AR99" s="11">
        <f>IF(AND(tblData[Date]&gt;StartDt2Italy,ISNUMBER(tblData[Days'# Italy])),betaItaly/(deltaItaly+betaPodeltaItaly*EXP(-betaItaly*tblData[Days'# Italy])),"")</f>
        <v>65423.849218858661</v>
      </c>
      <c r="AS99" s="11" t="str">
        <f>IF(AND(tblData[Date]&gt;StartDt2Italy,ISNUMBER(tblData[Italy])),(tblData[[#This Row],[Italy LogiP(t)]]-tblData[[#This Row],[Italy]])^2,"")</f>
        <v/>
      </c>
      <c r="AT99" s="43">
        <f>IF(AND(tblData[Date]&gt;StartDt2Italy,ISNUMBER(tblData[Days'# Italy])),tblData[[#This Row],[Italy LogiP(t)]]/$AS$9,"")</f>
        <v>10822.80384100226</v>
      </c>
      <c r="AU99" s="21">
        <f>IF(ISNUMBER(tblData[[#This Row],[Days'# US]]),betaUS/(deltaUS+betaPodeltaUS*EXP(-betaUS*tblData[Days'# US])),"")</f>
        <v>161902.4014678362</v>
      </c>
      <c r="AV99" s="11" t="str">
        <f>IF(ISNUMBER(tblData[US]),(tblData[[#This Row],[US LogiP(t)]]-tblData[US])^2,"")</f>
        <v/>
      </c>
      <c r="AW99" s="21">
        <f>IF(ISNUMBER(tblData[[#This Row],[Days'# US]]),tblData[[#This Row],[US LogiP(t)]]/$AV$9,"")</f>
        <v>4917.6414635428755</v>
      </c>
      <c r="AX99" s="21">
        <f>IF(tblData[Date]&gt;=StartDt2Korea,betaSKorea/(deltaSKorea+betaPodeltaSKorea*EXP(-betaSKorea*(tblData[Date]-StartDt2Korea))),"")</f>
        <v>8492.3988853043793</v>
      </c>
      <c r="AY99" s="21" t="str">
        <f>IF(AND(tblData[Date]&gt;=StartDt2Korea,ISNUMBER(tblData[SKorea])),(tblData[[#This Row],[SKorea LogiP(t)]]-tblData[[#This Row],[SKorea]])^2,"")</f>
        <v/>
      </c>
      <c r="AZ99" s="21">
        <f>IF(tblData[Date]&gt;=StartDt2Korea,tblData[[#This Row],[SKorea LogiP(t)]]/$AY$9,"")</f>
        <v>1652.2176819658328</v>
      </c>
      <c r="BA99" s="83">
        <f>IF(ISNUMBER(tblData[Days'# UK]),betaUK/(deltaUK+betaPodeltaUK*EXP(-betaUK*tblData[Days'# UK])),"")</f>
        <v>110763.52166616051</v>
      </c>
      <c r="BB99" s="83" t="str">
        <f>IF(ISNUMBER(tblData[UK]),(tblData[[#This Row],[UK LogiP(t)]]-tblData[[#This Row],[UK]])^2,"")</f>
        <v/>
      </c>
      <c r="BC99" s="83">
        <f>IF(ISNUMBER(tblData[Days'# UK]),tblData[[#This Row],[UK LogiP(t)]]/$BB$9,"")</f>
        <v>16671.21036516564</v>
      </c>
      <c r="BD99" s="11">
        <f>IF(ISNUMBER(tblData[Days'# China]),betaChina/(deltaChina+betaPodeltaChina*EXP(-betaChina*tblData[Days'# China])),"")</f>
        <v>80978.973462728201</v>
      </c>
      <c r="BE99" s="11" t="str">
        <f>IF(ISNUMBER(tblData[China]),(tblData[[#This Row],[China LogiP(t)]]-tblData[[#This Row],[China]])^2,"")</f>
        <v/>
      </c>
      <c r="BF99" s="11">
        <f>tblData[[#This Row],[China LogiP(t)]]/$BE$9</f>
        <v>562.61818788108599</v>
      </c>
      <c r="BG99" s="11">
        <f>IF(ISNUMBER(tblData[Day'# Singapore]),betaSingapore/(deltaSingapore+betaPodeltaSingapore*EXP(-betaSingapore*tblData[Day'# Singapore])),"")</f>
        <v>175711.34667876392</v>
      </c>
      <c r="BH99" s="11" t="str">
        <f>IF(AND(ISNUMBER(tblData[Singapore]),tblData[Date]&gt;=StartDt2Singapore),(tblData[[#This Row],[Singapore LogiP(t)]]-tblData[[#This Row],[Singapore]])^2,"")</f>
        <v/>
      </c>
      <c r="BI99" s="11">
        <f>IF(ISNUMBER(tblData[Day'# Singapore]),tblData[Singapore LogiP(t)]/$BH$9,"")</f>
        <v>300361.27637395542</v>
      </c>
      <c r="BJ99" s="11"/>
      <c r="BK99" s="11"/>
      <c r="BL99" s="11" t="str">
        <f>IF(ISNUMBER(tblData[[#This Row],[NSW Number of Tests]]),tblData[[#This Row],[NSW Number of Tests]]-BJ98,"")</f>
        <v/>
      </c>
      <c r="BM99" s="11" t="str">
        <f>IF(ISNUMBER(tblData[[#This Row],[NSW Under Investigation'']]),tblData[[#This Row],[NSW Under Investigation'']]-BK98,"")</f>
        <v/>
      </c>
      <c r="BN99" s="11"/>
      <c r="BO99" s="11" t="str">
        <f>IF(ISNUMBER(tblData[[#This Row],[NSW Test Day Number]]),betaTest/(deltaTest+betaPodeltaTest*EXP(-betaTest*tblData[[#This Row],[NSW Test Day Number]])),"")</f>
        <v/>
      </c>
      <c r="BP99" s="11" t="str">
        <f>IF(ISNUMBER(tblData[[#This Row],[NSW Number of Tests]]),(tblData[[#This Row],[NSW Number of Tests]]-tblData[[#This Row],[NSW Test Logi]])^2,"")</f>
        <v/>
      </c>
      <c r="BR99"/>
      <c r="BV99" s="26"/>
      <c r="CE99"/>
      <c r="CF99"/>
      <c r="CG99"/>
      <c r="CH99" s="26"/>
      <c r="CS99" s="26"/>
      <c r="CT99" s="26"/>
      <c r="DM99"/>
      <c r="DN99" t="s">
        <v>975</v>
      </c>
      <c r="DO99" s="80">
        <v>43913.68681712963</v>
      </c>
      <c r="DP99" s="27"/>
      <c r="DQ99" s="27">
        <v>43896</v>
      </c>
      <c r="DR99">
        <v>7</v>
      </c>
      <c r="DS99">
        <v>0.20209478104227763</v>
      </c>
      <c r="DT99" s="107">
        <v>1.0000000000000751E-10</v>
      </c>
      <c r="DU99">
        <v>5.7886977342360797E-3</v>
      </c>
      <c r="DV99" s="108">
        <v>2020947810.4226243</v>
      </c>
      <c r="DW99">
        <v>7900.5352282767808</v>
      </c>
      <c r="DX99">
        <v>34.911959532184611</v>
      </c>
      <c r="DY99" s="112">
        <v>1.0000000000000751E-7</v>
      </c>
      <c r="EA99" s="27">
        <v>43913</v>
      </c>
      <c r="EB99" t="s">
        <v>988</v>
      </c>
      <c r="EC99" s="26"/>
      <c r="ED99" s="113">
        <v>56272</v>
      </c>
      <c r="EE99" t="s">
        <v>989</v>
      </c>
      <c r="EF99" s="27">
        <v>43913</v>
      </c>
      <c r="EG99">
        <v>18</v>
      </c>
      <c r="EH99" t="s">
        <v>1498</v>
      </c>
      <c r="EJ99" t="s">
        <v>1020</v>
      </c>
      <c r="EL99" t="s">
        <v>1706</v>
      </c>
      <c r="EP99" s="94"/>
    </row>
    <row r="100" spans="2:183" x14ac:dyDescent="0.25">
      <c r="B100" s="27">
        <f t="shared" si="14"/>
        <v>44061</v>
      </c>
      <c r="D100" s="26"/>
      <c r="L100" s="12" t="str">
        <f>IF(ISNUMBER(tblData[[#This Row],[NSW]]),tblData[[#This Row],[New South Wales]]/$L$9,"")</f>
        <v/>
      </c>
      <c r="M100" s="26"/>
      <c r="N100" s="48" t="str">
        <f>IF(ISNUMBER(tblData[Italy]),tblData[Italy]/$N$9,"")</f>
        <v/>
      </c>
      <c r="O100" s="26"/>
      <c r="P100" s="48" t="str">
        <f>IF(ISNUMBER(tblData[US]),tblData[US]/$P$9,"")</f>
        <v/>
      </c>
      <c r="Q100" s="48"/>
      <c r="R100" s="19" t="str">
        <f>IF(ISNUMBER(tblData[SKorea]),tblData[SKorea]/$R$9,"")</f>
        <v/>
      </c>
      <c r="S100" s="48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1"/>
      <c r="X100" s="21" t="str">
        <f>IF(ISNUMBER(tblData[Singapore]),tblData[Singapore]/$X$9,"")</f>
        <v/>
      </c>
      <c r="Y100" s="21"/>
      <c r="Z100" s="21"/>
      <c r="AA100" s="26">
        <f>IF(tblData[[#This Row],[Date]]&lt;ItalyStart,"",tblData[[#This Row],[Date]]-ItalyStart)</f>
        <v>201</v>
      </c>
      <c r="AB100" s="26">
        <f t="shared" si="15"/>
        <v>191</v>
      </c>
      <c r="AC100" s="26">
        <f t="shared" si="13"/>
        <v>89</v>
      </c>
      <c r="AD100" s="26">
        <f>IF(tblData[[#This Row],[Date]]&lt;StartDt2Korea,"",tblData[[#This Row],[Date]]-StartDt2Korea)</f>
        <v>181</v>
      </c>
      <c r="AE100" s="26">
        <f>IF(tblData[[#This Row],[Date]]&lt;UKStart,"",tblData[[#This Row],[Date]]-UKStart)</f>
        <v>201</v>
      </c>
      <c r="AF100" s="26">
        <f>IF(tblData[[#This Row],[Date]]&lt;SingaporeStart,"",tblData[[#This Row],[Date]]-SingaporeStart)</f>
        <v>208</v>
      </c>
      <c r="AG100">
        <f>IF(tblData[Date]&gt;=StartDt2Au,tblData[Date]-StartDt2Au,"")</f>
        <v>206</v>
      </c>
      <c r="AH100" s="26" t="str">
        <f>IF(tblData[New South Wales]&gt;0,SUM(tblData[[#This Row],[Australian Capital Territory]:[Western Australia]]),"")</f>
        <v/>
      </c>
      <c r="AI100" s="12" t="str">
        <f>IF(ISNUMBER(tblData[Au]),tblData[Au]/$AE$9,"")</f>
        <v/>
      </c>
      <c r="AJ100" s="43">
        <f>IF(ISNUMBER(tblData[[#This Row],[Day'# Aust]]),betaAu/(deltaAu+betaPodeltaAu*EXP(-betaAu*tblData[[#This Row],[Day'# Aust]])),"")</f>
        <v>214786285073.78961</v>
      </c>
      <c r="AK100" s="71">
        <f>IF(ISNUMBER(tblData[Day'# Aust]),tblData[Au LogiP(t)]/$AI$9,"")</f>
        <v>84681550652.0224</v>
      </c>
      <c r="AL100" s="11" t="str">
        <f>IF(AND(tblData[Date]&gt;=StartDt2Au,ISNUMBER(tblData[NSW])),(tblData[[#This Row],[Au LogiP(t)]]-tblData[[#This Row],[Au]])^2,"")</f>
        <v/>
      </c>
      <c r="AM100">
        <f>IF(tblData[Date]&gt;StartDt2NSW,tblData[Date]-StartDt2NSW,"")</f>
        <v>206</v>
      </c>
      <c r="AN100" t="str">
        <f t="shared" si="16"/>
        <v/>
      </c>
      <c r="AO100" s="11">
        <f>IF(tblData[Date]&gt;StartDt2NSW,betaNSW/(deltaNSW+betaPodeltaNSW*EXP(-betaNSW*tblData[[#This Row],[Day '# NSW]])),"")</f>
        <v>198328614202.18292</v>
      </c>
      <c r="AP100" s="12" t="str">
        <f>IF(AND(ISNUMBER(tblData[NSW]),tblData[Date]&gt;StartDt2NSW),(tblData[[#This Row],[NSW LogiP(t)]]-tblData[[#This Row],[NSW]])^2,"")</f>
        <v/>
      </c>
      <c r="AQ100" s="43">
        <f>IF(AND(tblData[Date]&gt;StartDt2NSW,ISNUMBER(tblData[Day'# Aust])),tblData[NSW LogiP(t)]/$AL$9,"")</f>
        <v>245456205695.77094</v>
      </c>
      <c r="AR100" s="11">
        <f>IF(AND(tblData[Date]&gt;StartDt2Italy,ISNUMBER(tblData[Days'# Italy])),betaItaly/(deltaItaly+betaPodeltaItaly*EXP(-betaItaly*tblData[Days'# Italy])),"")</f>
        <v>65423.849218858661</v>
      </c>
      <c r="AS100" s="11" t="str">
        <f>IF(AND(tblData[Date]&gt;StartDt2Italy,ISNUMBER(tblData[Italy])),(tblData[[#This Row],[Italy LogiP(t)]]-tblData[[#This Row],[Italy]])^2,"")</f>
        <v/>
      </c>
      <c r="AT100" s="43">
        <f>IF(AND(tblData[Date]&gt;StartDt2Italy,ISNUMBER(tblData[Days'# Italy])),tblData[[#This Row],[Italy LogiP(t)]]/$AS$9,"")</f>
        <v>10822.80384100226</v>
      </c>
      <c r="AU100" s="21">
        <f>IF(ISNUMBER(tblData[[#This Row],[Days'# US]]),betaUS/(deltaUS+betaPodeltaUS*EXP(-betaUS*tblData[Days'# US])),"")</f>
        <v>161902.4014678362</v>
      </c>
      <c r="AV100" s="11" t="str">
        <f>IF(ISNUMBER(tblData[US]),(tblData[[#This Row],[US LogiP(t)]]-tblData[US])^2,"")</f>
        <v/>
      </c>
      <c r="AW100" s="21">
        <f>IF(ISNUMBER(tblData[[#This Row],[Days'# US]]),tblData[[#This Row],[US LogiP(t)]]/$AV$9,"")</f>
        <v>4917.6414635428755</v>
      </c>
      <c r="AX100" s="21">
        <f>IF(tblData[Date]&gt;=StartDt2Korea,betaSKorea/(deltaSKorea+betaPodeltaSKorea*EXP(-betaSKorea*(tblData[Date]-StartDt2Korea))),"")</f>
        <v>8492.3988853043793</v>
      </c>
      <c r="AY100" s="21" t="str">
        <f>IF(AND(tblData[Date]&gt;=StartDt2Korea,ISNUMBER(tblData[SKorea])),(tblData[[#This Row],[SKorea LogiP(t)]]-tblData[[#This Row],[SKorea]])^2,"")</f>
        <v/>
      </c>
      <c r="AZ100" s="21">
        <f>IF(tblData[Date]&gt;=StartDt2Korea,tblData[[#This Row],[SKorea LogiP(t)]]/$AY$9,"")</f>
        <v>1652.2176819658328</v>
      </c>
      <c r="BA100" s="83">
        <f>IF(ISNUMBER(tblData[Days'# UK]),betaUK/(deltaUK+betaPodeltaUK*EXP(-betaUK*tblData[Days'# UK])),"")</f>
        <v>110763.5216661649</v>
      </c>
      <c r="BB100" s="83" t="str">
        <f>IF(ISNUMBER(tblData[UK]),(tblData[[#This Row],[UK LogiP(t)]]-tblData[[#This Row],[UK]])^2,"")</f>
        <v/>
      </c>
      <c r="BC100" s="83">
        <f>IF(ISNUMBER(tblData[Days'# UK]),tblData[[#This Row],[UK LogiP(t)]]/$BB$9,"")</f>
        <v>16671.210365166302</v>
      </c>
      <c r="BD100" s="11">
        <f>IF(ISNUMBER(tblData[Days'# China]),betaChina/(deltaChina+betaPodeltaChina*EXP(-betaChina*tblData[Days'# China])),"")</f>
        <v>80978.976160510341</v>
      </c>
      <c r="BE100" s="11" t="str">
        <f>IF(ISNUMBER(tblData[China]),(tblData[[#This Row],[China LogiP(t)]]-tblData[[#This Row],[China]])^2,"")</f>
        <v/>
      </c>
      <c r="BF100" s="11">
        <f>tblData[[#This Row],[China LogiP(t)]]/$BE$9</f>
        <v>562.61820662448599</v>
      </c>
      <c r="BG100" s="11">
        <f>IF(ISNUMBER(tblData[Day'# Singapore]),betaSingapore/(deltaSingapore+betaPodeltaSingapore*EXP(-betaSingapore*tblData[Day'# Singapore])),"")</f>
        <v>238999.25765914176</v>
      </c>
      <c r="BH100" s="11" t="str">
        <f>IF(AND(ISNUMBER(tblData[Singapore]),tblData[Date]&gt;=StartDt2Singapore),(tblData[[#This Row],[Singapore LogiP(t)]]-tblData[[#This Row],[Singapore]])^2,"")</f>
        <v/>
      </c>
      <c r="BI100" s="11">
        <f>IF(ISNUMBER(tblData[Day'# Singapore]),tblData[Singapore LogiP(t)]/$BH$9,"")</f>
        <v>408545.73958827654</v>
      </c>
      <c r="BJ100" s="11"/>
      <c r="BK100" s="11"/>
      <c r="BL100" s="11" t="str">
        <f>IF(ISNUMBER(tblData[[#This Row],[NSW Number of Tests]]),tblData[[#This Row],[NSW Number of Tests]]-BJ99,"")</f>
        <v/>
      </c>
      <c r="BM100" s="11" t="str">
        <f>IF(ISNUMBER(tblData[[#This Row],[NSW Under Investigation'']]),tblData[[#This Row],[NSW Under Investigation'']]-BK99,"")</f>
        <v/>
      </c>
      <c r="BN100" s="11"/>
      <c r="BO100" s="11" t="str">
        <f>IF(ISNUMBER(tblData[[#This Row],[NSW Test Day Number]]),betaTest/(deltaTest+betaPodeltaTest*EXP(-betaTest*tblData[[#This Row],[NSW Test Day Number]])),"")</f>
        <v/>
      </c>
      <c r="BP100" s="11" t="str">
        <f>IF(ISNUMBER(tblData[[#This Row],[NSW Number of Tests]]),(tblData[[#This Row],[NSW Number of Tests]]-tblData[[#This Row],[NSW Test Logi]])^2,"")</f>
        <v/>
      </c>
      <c r="BR100"/>
      <c r="BV100" s="26"/>
      <c r="CE100"/>
      <c r="CF100"/>
      <c r="CG100"/>
      <c r="CH100" s="26"/>
      <c r="CS100" s="26"/>
      <c r="CT100" s="26"/>
      <c r="DM100"/>
      <c r="DN100" t="s">
        <v>48</v>
      </c>
      <c r="DO100" s="80">
        <v>43913.689016203702</v>
      </c>
      <c r="DP100" s="27">
        <v>43855</v>
      </c>
      <c r="DQ100" s="27">
        <v>43855</v>
      </c>
      <c r="DR100">
        <v>0</v>
      </c>
      <c r="DS100">
        <v>0.20972306828053236</v>
      </c>
      <c r="DT100" s="107">
        <v>1.0000000000276037E-12</v>
      </c>
      <c r="DU100">
        <v>8.5841244238156391E-3</v>
      </c>
      <c r="DV100" s="108">
        <v>209723068274.74323</v>
      </c>
      <c r="DW100">
        <v>11.300897407235656</v>
      </c>
      <c r="DX100">
        <v>24.431503776747679</v>
      </c>
      <c r="DY100" s="112">
        <v>1.0000000000276037E-9</v>
      </c>
      <c r="EA100" s="27">
        <v>43913</v>
      </c>
      <c r="EB100" t="s">
        <v>1888</v>
      </c>
      <c r="EC100" s="26">
        <v>209723068274.74323</v>
      </c>
      <c r="ED100" s="113">
        <v>1642</v>
      </c>
      <c r="EE100" t="s">
        <v>1889</v>
      </c>
      <c r="EF100" s="27">
        <v>43913</v>
      </c>
      <c r="EG100">
        <v>59</v>
      </c>
      <c r="EH100" t="s">
        <v>1890</v>
      </c>
      <c r="EJ100" t="s">
        <v>1891</v>
      </c>
      <c r="EL100" t="s">
        <v>1892</v>
      </c>
      <c r="EM100">
        <v>647.37423119381799</v>
      </c>
      <c r="EP100" s="94"/>
      <c r="ER100" t="s">
        <v>1887</v>
      </c>
    </row>
    <row r="101" spans="2:183" x14ac:dyDescent="0.25">
      <c r="B101" s="27">
        <f t="shared" si="14"/>
        <v>44068</v>
      </c>
      <c r="D101" s="26"/>
      <c r="L101" s="12" t="str">
        <f>IF(ISNUMBER(tblData[[#This Row],[NSW]]),tblData[[#This Row],[New South Wales]]/$L$9,"")</f>
        <v/>
      </c>
      <c r="M101" s="26"/>
      <c r="N101" s="48" t="str">
        <f>IF(ISNUMBER(tblData[Italy]),tblData[Italy]/$N$9,"")</f>
        <v/>
      </c>
      <c r="O101" s="26"/>
      <c r="P101" s="48" t="str">
        <f>IF(ISNUMBER(tblData[US]),tblData[US]/$P$9,"")</f>
        <v/>
      </c>
      <c r="Q101" s="48"/>
      <c r="R101" s="19" t="str">
        <f>IF(ISNUMBER(tblData[SKorea]),tblData[SKorea]/$R$9,"")</f>
        <v/>
      </c>
      <c r="S101" s="48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1"/>
      <c r="X101" s="21" t="str">
        <f>IF(ISNUMBER(tblData[Singapore]),tblData[Singapore]/$X$9,"")</f>
        <v/>
      </c>
      <c r="Y101" s="21"/>
      <c r="Z101" s="21"/>
      <c r="AA101" s="26">
        <f>IF(tblData[[#This Row],[Date]]&lt;ItalyStart,"",tblData[[#This Row],[Date]]-ItalyStart)</f>
        <v>208</v>
      </c>
      <c r="AB101" s="26">
        <f t="shared" si="15"/>
        <v>198</v>
      </c>
      <c r="AC101" s="26">
        <f t="shared" si="13"/>
        <v>90</v>
      </c>
      <c r="AD101" s="26">
        <f>IF(tblData[[#This Row],[Date]]&lt;StartDt2Korea,"",tblData[[#This Row],[Date]]-StartDt2Korea)</f>
        <v>188</v>
      </c>
      <c r="AE101" s="26">
        <f>IF(tblData[[#This Row],[Date]]&lt;UKStart,"",tblData[[#This Row],[Date]]-UKStart)</f>
        <v>208</v>
      </c>
      <c r="AF101" s="26">
        <f>IF(tblData[[#This Row],[Date]]&lt;SingaporeStart,"",tblData[[#This Row],[Date]]-SingaporeStart)</f>
        <v>215</v>
      </c>
      <c r="AG101">
        <f>IF(tblData[Date]&gt;=StartDt2Au,tblData[Date]-StartDt2Au,"")</f>
        <v>213</v>
      </c>
      <c r="AH101" s="26" t="str">
        <f>IF(tblData[New South Wales]&gt;0,SUM(tblData[[#This Row],[Australian Capital Territory]:[Western Australia]]),"")</f>
        <v/>
      </c>
      <c r="AI101" s="12" t="str">
        <f>IF(ISNUMBER(tblData[Au]),tblData[Au]/$AE$9,"")</f>
        <v/>
      </c>
      <c r="AJ101" s="43">
        <f>IF(ISNUMBER(tblData[[#This Row],[Day'# Aust]]),betaAu/(deltaAu+betaPodeltaAu*EXP(-betaAu*tblData[[#This Row],[Day'# Aust]])),"")</f>
        <v>214786618075.59152</v>
      </c>
      <c r="AK101" s="71">
        <f>IF(ISNUMBER(tblData[Day'# Aust]),tblData[Au LogiP(t)]/$AI$9,"")</f>
        <v>84681681941.173126</v>
      </c>
      <c r="AL101" s="11" t="str">
        <f>IF(AND(tblData[Date]&gt;=StartDt2Au,ISNUMBER(tblData[NSW])),(tblData[[#This Row],[Au LogiP(t)]]-tblData[[#This Row],[Au]])^2,"")</f>
        <v/>
      </c>
      <c r="AM101">
        <f>IF(tblData[Date]&gt;StartDt2NSW,tblData[Date]-StartDt2NSW,"")</f>
        <v>213</v>
      </c>
      <c r="AN101" t="str">
        <f t="shared" si="16"/>
        <v/>
      </c>
      <c r="AO101" s="11">
        <f>IF(tblData[Date]&gt;StartDt2NSW,betaNSW/(deltaNSW+betaPodeltaNSW*EXP(-betaNSW*tblData[[#This Row],[Day '# NSW]])),"")</f>
        <v>198336367170.64682</v>
      </c>
      <c r="AP101" s="12" t="str">
        <f>IF(AND(ISNUMBER(tblData[NSW]),tblData[Date]&gt;StartDt2NSW),(tblData[[#This Row],[NSW LogiP(t)]]-tblData[[#This Row],[NSW]])^2,"")</f>
        <v/>
      </c>
      <c r="AQ101" s="43">
        <f>IF(AND(tblData[Date]&gt;StartDt2NSW,ISNUMBER(tblData[Day'# Aust])),tblData[NSW LogiP(t)]/$AL$9,"")</f>
        <v>245465800953.77081</v>
      </c>
      <c r="AR101" s="11">
        <f>IF(AND(tblData[Date]&gt;StartDt2Italy,ISNUMBER(tblData[Days'# Italy])),betaItaly/(deltaItaly+betaPodeltaItaly*EXP(-betaItaly*tblData[Days'# Italy])),"")</f>
        <v>65423.849218858661</v>
      </c>
      <c r="AS101" s="11" t="str">
        <f>IF(AND(tblData[Date]&gt;StartDt2Italy,ISNUMBER(tblData[Italy])),(tblData[[#This Row],[Italy LogiP(t)]]-tblData[[#This Row],[Italy]])^2,"")</f>
        <v/>
      </c>
      <c r="AT101" s="43">
        <f>IF(AND(tblData[Date]&gt;StartDt2Italy,ISNUMBER(tblData[Days'# Italy])),tblData[[#This Row],[Italy LogiP(t)]]/$AS$9,"")</f>
        <v>10822.80384100226</v>
      </c>
      <c r="AU101" s="21">
        <f>IF(ISNUMBER(tblData[[#This Row],[Days'# US]]),betaUS/(deltaUS+betaPodeltaUS*EXP(-betaUS*tblData[Days'# US])),"")</f>
        <v>161902.4014678362</v>
      </c>
      <c r="AV101" s="11" t="str">
        <f>IF(ISNUMBER(tblData[US]),(tblData[[#This Row],[US LogiP(t)]]-tblData[US])^2,"")</f>
        <v/>
      </c>
      <c r="AW101" s="21">
        <f>IF(ISNUMBER(tblData[[#This Row],[Days'# US]]),tblData[[#This Row],[US LogiP(t)]]/$AV$9,"")</f>
        <v>4917.6414635428755</v>
      </c>
      <c r="AX101" s="21">
        <f>IF(tblData[Date]&gt;=StartDt2Korea,betaSKorea/(deltaSKorea+betaPodeltaSKorea*EXP(-betaSKorea*(tblData[Date]-StartDt2Korea))),"")</f>
        <v>8492.3988853043793</v>
      </c>
      <c r="AY101" s="21" t="str">
        <f>IF(AND(tblData[Date]&gt;=StartDt2Korea,ISNUMBER(tblData[SKorea])),(tblData[[#This Row],[SKorea LogiP(t)]]-tblData[[#This Row],[SKorea]])^2,"")</f>
        <v/>
      </c>
      <c r="AZ101" s="21">
        <f>IF(tblData[Date]&gt;=StartDt2Korea,tblData[[#This Row],[SKorea LogiP(t)]]/$AY$9,"")</f>
        <v>1652.2176819658328</v>
      </c>
      <c r="BA101" s="83">
        <f>IF(ISNUMBER(tblData[Days'# UK]),betaUK/(deltaUK+betaPodeltaUK*EXP(-betaUK*tblData[Days'# UK])),"")</f>
        <v>110763.52166616576</v>
      </c>
      <c r="BB101" s="83" t="str">
        <f>IF(ISNUMBER(tblData[UK]),(tblData[[#This Row],[UK LogiP(t)]]-tblData[[#This Row],[UK]])^2,"")</f>
        <v/>
      </c>
      <c r="BC101" s="83">
        <f>IF(ISNUMBER(tblData[Days'# UK]),tblData[[#This Row],[UK LogiP(t)]]/$BB$9,"")</f>
        <v>16671.210365166429</v>
      </c>
      <c r="BD101" s="11">
        <f>IF(ISNUMBER(tblData[Days'# China]),betaChina/(deltaChina+betaPodeltaChina*EXP(-betaChina*tblData[Days'# China])),"")</f>
        <v>80978.978320896698</v>
      </c>
      <c r="BE101" s="11" t="str">
        <f>IF(ISNUMBER(tblData[China]),(tblData[[#This Row],[China LogiP(t)]]-tblData[[#This Row],[China]])^2,"")</f>
        <v/>
      </c>
      <c r="BF101" s="11">
        <f>tblData[[#This Row],[China LogiP(t)]]/$BE$9</f>
        <v>562.61822163421766</v>
      </c>
      <c r="BG101" s="11">
        <f>IF(ISNUMBER(tblData[Day'# Singapore]),betaSingapore/(deltaSingapore+betaPodeltaSingapore*EXP(-betaSingapore*tblData[Day'# Singapore])),"")</f>
        <v>325082.11115581053</v>
      </c>
      <c r="BH101" s="11" t="str">
        <f>IF(AND(ISNUMBER(tblData[Singapore]),tblData[Date]&gt;=StartDt2Singapore),(tblData[[#This Row],[Singapore LogiP(t)]]-tblData[[#This Row],[Singapore]])^2,"")</f>
        <v/>
      </c>
      <c r="BI101" s="11">
        <f>IF(ISNUMBER(tblData[Day'# Singapore]),tblData[Singapore LogiP(t)]/$BH$9,"")</f>
        <v>555695.91650565912</v>
      </c>
      <c r="BJ101" s="11"/>
      <c r="BK101" s="11"/>
      <c r="BL101" s="11" t="str">
        <f>IF(ISNUMBER(tblData[[#This Row],[NSW Number of Tests]]),tblData[[#This Row],[NSW Number of Tests]]-BJ100,"")</f>
        <v/>
      </c>
      <c r="BM101" s="11" t="str">
        <f>IF(ISNUMBER(tblData[[#This Row],[NSW Under Investigation'']]),tblData[[#This Row],[NSW Under Investigation'']]-BK100,"")</f>
        <v/>
      </c>
      <c r="BN101" s="11"/>
      <c r="BO101" s="11" t="str">
        <f>IF(ISNUMBER(tblData[[#This Row],[NSW Test Day Number]]),betaTest/(deltaTest+betaPodeltaTest*EXP(-betaTest*tblData[[#This Row],[NSW Test Day Number]])),"")</f>
        <v/>
      </c>
      <c r="BP101" s="11" t="str">
        <f>IF(ISNUMBER(tblData[[#This Row],[NSW Number of Tests]]),(tblData[[#This Row],[NSW Number of Tests]]-tblData[[#This Row],[NSW Test Logi]])^2,"")</f>
        <v/>
      </c>
      <c r="BR101"/>
      <c r="BV101" s="26"/>
      <c r="CE101"/>
      <c r="CF101"/>
      <c r="CG101"/>
      <c r="CH101" s="26"/>
      <c r="CS101" s="26"/>
      <c r="CT101" s="26"/>
      <c r="DM101"/>
      <c r="DN101" t="s">
        <v>48</v>
      </c>
      <c r="DO101" s="80">
        <v>43913.916122685187</v>
      </c>
      <c r="DP101" s="27">
        <v>43855</v>
      </c>
      <c r="DQ101" s="27">
        <v>43855</v>
      </c>
      <c r="DR101">
        <v>0</v>
      </c>
      <c r="DS101">
        <v>0.21478671329488938</v>
      </c>
      <c r="DT101">
        <v>1.0000000000276037E-12</v>
      </c>
      <c r="DU101">
        <v>6.554369625399732E-3</v>
      </c>
      <c r="DV101" s="107">
        <v>214786713288.96048</v>
      </c>
      <c r="DW101">
        <v>12.341461769254712</v>
      </c>
      <c r="DX101">
        <v>32.77000315370276</v>
      </c>
      <c r="DY101" s="110">
        <v>1.0000000000276037E-9</v>
      </c>
      <c r="EA101" s="27">
        <v>43913</v>
      </c>
      <c r="EB101" t="s">
        <v>1895</v>
      </c>
      <c r="EC101" s="26">
        <v>214786713288.96048</v>
      </c>
      <c r="ED101" s="112">
        <v>1711</v>
      </c>
      <c r="EE101" t="s">
        <v>1896</v>
      </c>
      <c r="EF101" s="27">
        <v>43913</v>
      </c>
      <c r="EG101">
        <v>59</v>
      </c>
      <c r="EH101" t="s">
        <v>1897</v>
      </c>
      <c r="EJ101" t="s">
        <v>1898</v>
      </c>
      <c r="EL101" t="s">
        <v>1899</v>
      </c>
      <c r="EM101">
        <v>674.57814224885669</v>
      </c>
      <c r="EP101" s="94"/>
      <c r="ER101" t="s">
        <v>1894</v>
      </c>
    </row>
    <row r="102" spans="2:183" x14ac:dyDescent="0.25">
      <c r="B102" s="27">
        <f t="shared" si="14"/>
        <v>44075</v>
      </c>
      <c r="D102" s="26"/>
      <c r="L102" s="12" t="str">
        <f>IF(ISNUMBER(tblData[[#This Row],[NSW]]),tblData[[#This Row],[New South Wales]]/$L$9,"")</f>
        <v/>
      </c>
      <c r="M102" s="26"/>
      <c r="N102" s="48" t="str">
        <f>IF(ISNUMBER(tblData[Italy]),tblData[Italy]/$N$9,"")</f>
        <v/>
      </c>
      <c r="O102" s="26"/>
      <c r="P102" s="48" t="str">
        <f>IF(ISNUMBER(tblData[US]),tblData[US]/$P$9,"")</f>
        <v/>
      </c>
      <c r="Q102" s="48"/>
      <c r="R102" s="19" t="str">
        <f>IF(ISNUMBER(tblData[SKorea]),tblData[SKorea]/$R$9,"")</f>
        <v/>
      </c>
      <c r="S102" s="48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1"/>
      <c r="X102" s="21" t="str">
        <f>IF(ISNUMBER(tblData[Singapore]),tblData[Singapore]/$X$9,"")</f>
        <v/>
      </c>
      <c r="Y102" s="21"/>
      <c r="Z102" s="21"/>
      <c r="AA102" s="26">
        <f>IF(tblData[[#This Row],[Date]]&lt;ItalyStart,"",tblData[[#This Row],[Date]]-ItalyStart)</f>
        <v>215</v>
      </c>
      <c r="AB102" s="26">
        <f t="shared" si="15"/>
        <v>205</v>
      </c>
      <c r="AC102" s="26">
        <f t="shared" si="13"/>
        <v>91</v>
      </c>
      <c r="AD102" s="26">
        <f>IF(tblData[[#This Row],[Date]]&lt;StartDt2Korea,"",tblData[[#This Row],[Date]]-StartDt2Korea)</f>
        <v>195</v>
      </c>
      <c r="AE102" s="26">
        <f>IF(tblData[[#This Row],[Date]]&lt;UKStart,"",tblData[[#This Row],[Date]]-UKStart)</f>
        <v>215</v>
      </c>
      <c r="AF102" s="26">
        <f>IF(tblData[[#This Row],[Date]]&lt;SingaporeStart,"",tblData[[#This Row],[Date]]-SingaporeStart)</f>
        <v>222</v>
      </c>
      <c r="AG102">
        <f>IF(tblData[Date]&gt;=StartDt2Au,tblData[Date]-StartDt2Au,"")</f>
        <v>220</v>
      </c>
      <c r="AH102" s="26" t="str">
        <f>IF(tblData[New South Wales]&gt;0,SUM(tblData[[#This Row],[Australian Capital Territory]:[Western Australia]]),"")</f>
        <v/>
      </c>
      <c r="AI102" s="12" t="str">
        <f>IF(ISNUMBER(tblData[Au]),tblData[Au]/$AE$9,"")</f>
        <v/>
      </c>
      <c r="AJ102" s="43">
        <f>IF(ISNUMBER(tblData[[#This Row],[Day'# Aust]]),betaAu/(deltaAu+betaPodeltaAu*EXP(-betaAu*tblData[[#This Row],[Day'# Aust]])),"")</f>
        <v>214786692118.3544</v>
      </c>
      <c r="AK102" s="71">
        <f>IF(ISNUMBER(tblData[Day'# Aust]),tblData[Au LogiP(t)]/$AI$9,"")</f>
        <v>84681711133.24176</v>
      </c>
      <c r="AL102" s="11" t="str">
        <f>IF(AND(tblData[Date]&gt;=StartDt2Au,ISNUMBER(tblData[NSW])),(tblData[[#This Row],[Au LogiP(t)]]-tblData[[#This Row],[Au]])^2,"")</f>
        <v/>
      </c>
      <c r="AM102">
        <f>IF(tblData[Date]&gt;StartDt2NSW,tblData[Date]-StartDt2NSW,"")</f>
        <v>220</v>
      </c>
      <c r="AN102" t="str">
        <f t="shared" si="16"/>
        <v/>
      </c>
      <c r="AO102" s="11">
        <f>IF(tblData[Date]&gt;StartDt2NSW,betaNSW/(deltaNSW+betaPodeltaNSW*EXP(-betaNSW*tblData[[#This Row],[Day '# NSW]])),"")</f>
        <v>198338301483.26956</v>
      </c>
      <c r="AP102" s="12" t="str">
        <f>IF(AND(ISNUMBER(tblData[NSW]),tblData[Date]&gt;StartDt2NSW),(tblData[[#This Row],[NSW LogiP(t)]]-tblData[[#This Row],[NSW]])^2,"")</f>
        <v/>
      </c>
      <c r="AQ102" s="43">
        <f>IF(AND(tblData[Date]&gt;StartDt2NSW,ISNUMBER(tblData[Day'# Aust])),tblData[NSW LogiP(t)]/$AL$9,"")</f>
        <v>245468194905.03656</v>
      </c>
      <c r="AR102" s="11">
        <f>IF(AND(tblData[Date]&gt;StartDt2Italy,ISNUMBER(tblData[Days'# Italy])),betaItaly/(deltaItaly+betaPodeltaItaly*EXP(-betaItaly*tblData[Days'# Italy])),"")</f>
        <v>65423.849218858661</v>
      </c>
      <c r="AS102" s="11" t="str">
        <f>IF(AND(tblData[Date]&gt;StartDt2Italy,ISNUMBER(tblData[Italy])),(tblData[[#This Row],[Italy LogiP(t)]]-tblData[[#This Row],[Italy]])^2,"")</f>
        <v/>
      </c>
      <c r="AT102" s="43">
        <f>IF(AND(tblData[Date]&gt;StartDt2Italy,ISNUMBER(tblData[Days'# Italy])),tblData[[#This Row],[Italy LogiP(t)]]/$AS$9,"")</f>
        <v>10822.80384100226</v>
      </c>
      <c r="AU102" s="21">
        <f>IF(ISNUMBER(tblData[[#This Row],[Days'# US]]),betaUS/(deltaUS+betaPodeltaUS*EXP(-betaUS*tblData[Days'# US])),"")</f>
        <v>161902.4014678362</v>
      </c>
      <c r="AV102" s="11" t="str">
        <f>IF(ISNUMBER(tblData[US]),(tblData[[#This Row],[US LogiP(t)]]-tblData[US])^2,"")</f>
        <v/>
      </c>
      <c r="AW102" s="21">
        <f>IF(ISNUMBER(tblData[[#This Row],[Days'# US]]),tblData[[#This Row],[US LogiP(t)]]/$AV$9,"")</f>
        <v>4917.6414635428755</v>
      </c>
      <c r="AX102" s="21">
        <f>IF(tblData[Date]&gt;=StartDt2Korea,betaSKorea/(deltaSKorea+betaPodeltaSKorea*EXP(-betaSKorea*(tblData[Date]-StartDt2Korea))),"")</f>
        <v>8492.3988853043793</v>
      </c>
      <c r="AY102" s="21" t="str">
        <f>IF(AND(tblData[Date]&gt;=StartDt2Korea,ISNUMBER(tblData[SKorea])),(tblData[[#This Row],[SKorea LogiP(t)]]-tblData[[#This Row],[SKorea]])^2,"")</f>
        <v/>
      </c>
      <c r="AZ102" s="21">
        <f>IF(tblData[Date]&gt;=StartDt2Korea,tblData[[#This Row],[SKorea LogiP(t)]]/$AY$9,"")</f>
        <v>1652.2176819658328</v>
      </c>
      <c r="BA102" s="83">
        <f>IF(ISNUMBER(tblData[Days'# UK]),betaUK/(deltaUK+betaPodeltaUK*EXP(-betaUK*tblData[Days'# UK])),"")</f>
        <v>110763.52166616592</v>
      </c>
      <c r="BB102" s="83" t="str">
        <f>IF(ISNUMBER(tblData[UK]),(tblData[[#This Row],[UK LogiP(t)]]-tblData[[#This Row],[UK]])^2,"")</f>
        <v/>
      </c>
      <c r="BC102" s="83">
        <f>IF(ISNUMBER(tblData[Days'# UK]),tblData[[#This Row],[UK LogiP(t)]]/$BB$9,"")</f>
        <v>16671.210365166455</v>
      </c>
      <c r="BD102" s="11">
        <f>IF(ISNUMBER(tblData[Days'# China]),betaChina/(deltaChina+betaPodeltaChina*EXP(-betaChina*tblData[Days'# China])),"")</f>
        <v>80978.980050935977</v>
      </c>
      <c r="BE102" s="11" t="str">
        <f>IF(ISNUMBER(tblData[China]),(tblData[[#This Row],[China LogiP(t)]]-tblData[[#This Row],[China]])^2,"")</f>
        <v/>
      </c>
      <c r="BF102" s="11">
        <f>tblData[[#This Row],[China LogiP(t)]]/$BE$9</f>
        <v>562.61823365402381</v>
      </c>
      <c r="BG102" s="11">
        <f>IF(ISNUMBER(tblData[Day'# Singapore]),betaSingapore/(deltaSingapore+betaPodeltaSingapore*EXP(-betaSingapore*tblData[Day'# Singapore])),"")</f>
        <v>442170.0111873782</v>
      </c>
      <c r="BH102" s="11" t="str">
        <f>IF(AND(ISNUMBER(tblData[Singapore]),tblData[Date]&gt;=StartDt2Singapore),(tblData[[#This Row],[Singapore LogiP(t)]]-tblData[[#This Row],[Singapore]])^2,"")</f>
        <v/>
      </c>
      <c r="BI102" s="11">
        <f>IF(ISNUMBER(tblData[Day'# Singapore]),tblData[Singapore LogiP(t)]/$BH$9,"")</f>
        <v>755846.17296987725</v>
      </c>
      <c r="BJ102" s="11"/>
      <c r="BK102" s="11"/>
      <c r="BL102" s="11" t="str">
        <f>IF(ISNUMBER(tblData[[#This Row],[NSW Number of Tests]]),tblData[[#This Row],[NSW Number of Tests]]-BJ101,"")</f>
        <v/>
      </c>
      <c r="BM102" s="11" t="str">
        <f>IF(ISNUMBER(tblData[[#This Row],[NSW Under Investigation'']]),tblData[[#This Row],[NSW Under Investigation'']]-BK101,"")</f>
        <v/>
      </c>
      <c r="BN102" s="11"/>
      <c r="BO102" s="11" t="str">
        <f>IF(ISNUMBER(tblData[[#This Row],[NSW Test Day Number]]),betaTest/(deltaTest+betaPodeltaTest*EXP(-betaTest*tblData[[#This Row],[NSW Test Day Number]])),"")</f>
        <v/>
      </c>
      <c r="BP102" s="11" t="str">
        <f>IF(ISNUMBER(tblData[[#This Row],[NSW Number of Tests]]),(tblData[[#This Row],[NSW Number of Tests]]-tblData[[#This Row],[NSW Test Logi]])^2,"")</f>
        <v/>
      </c>
      <c r="BR102"/>
      <c r="BV102" s="26"/>
      <c r="CE102"/>
      <c r="CF102"/>
      <c r="CG102"/>
      <c r="CH102" s="26"/>
      <c r="CS102" s="26"/>
      <c r="CT102" s="26"/>
      <c r="DM102"/>
      <c r="DN102" t="s">
        <v>202</v>
      </c>
      <c r="DO102" s="80">
        <v>43913.916145833333</v>
      </c>
      <c r="DP102" s="27">
        <v>43855</v>
      </c>
      <c r="DQ102" s="27">
        <v>43855</v>
      </c>
      <c r="DR102">
        <v>1</v>
      </c>
      <c r="DS102">
        <v>0.19833894448440331</v>
      </c>
      <c r="DT102">
        <v>1.0000000000276037E-12</v>
      </c>
      <c r="DU102">
        <v>6.8604805376862562E-3</v>
      </c>
      <c r="DV102" s="107">
        <v>198338944478.92844</v>
      </c>
      <c r="DW102">
        <v>6.5477230241247009</v>
      </c>
      <c r="DX102">
        <v>28.910357429756317</v>
      </c>
      <c r="DY102" s="110">
        <v>1.0000000000276037E-9</v>
      </c>
      <c r="DZ102">
        <v>6.5477230241247009</v>
      </c>
      <c r="EA102" s="27">
        <v>43913</v>
      </c>
      <c r="EB102" t="s">
        <v>1901</v>
      </c>
      <c r="EC102" s="26">
        <v>198338944478.92786</v>
      </c>
      <c r="ED102" s="112">
        <v>704</v>
      </c>
      <c r="EE102" t="s">
        <v>1902</v>
      </c>
      <c r="EF102" s="27">
        <v>43913</v>
      </c>
      <c r="EG102">
        <v>59</v>
      </c>
      <c r="EH102" t="s">
        <v>1903</v>
      </c>
      <c r="EJ102" t="s">
        <v>1904</v>
      </c>
      <c r="EL102" t="s">
        <v>1905</v>
      </c>
      <c r="EM102">
        <v>871.28712871287121</v>
      </c>
      <c r="EP102" s="94"/>
      <c r="ER102" t="s">
        <v>1900</v>
      </c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</row>
    <row r="103" spans="2:183" x14ac:dyDescent="0.25">
      <c r="B103" s="27">
        <f t="shared" si="14"/>
        <v>44082</v>
      </c>
      <c r="D103" s="26"/>
      <c r="L103" s="12" t="str">
        <f>IF(ISNUMBER(tblData[[#This Row],[NSW]]),tblData[[#This Row],[New South Wales]]/$L$9,"")</f>
        <v/>
      </c>
      <c r="M103" s="26"/>
      <c r="N103" s="48" t="str">
        <f>IF(ISNUMBER(tblData[Italy]),tblData[Italy]/$N$9,"")</f>
        <v/>
      </c>
      <c r="O103" s="26"/>
      <c r="P103" s="48" t="str">
        <f>IF(ISNUMBER(tblData[US]),tblData[US]/$P$9,"")</f>
        <v/>
      </c>
      <c r="Q103" s="48"/>
      <c r="R103" s="19" t="str">
        <f>IF(ISNUMBER(tblData[SKorea]),tblData[SKorea]/$R$9,"")</f>
        <v/>
      </c>
      <c r="S103" s="48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1"/>
      <c r="X103" s="21" t="str">
        <f>IF(ISNUMBER(tblData[Singapore]),tblData[Singapore]/$X$9,"")</f>
        <v/>
      </c>
      <c r="Y103" s="21"/>
      <c r="Z103" s="21"/>
      <c r="AA103" s="26">
        <f>IF(tblData[[#This Row],[Date]]&lt;ItalyStart,"",tblData[[#This Row],[Date]]-ItalyStart)</f>
        <v>222</v>
      </c>
      <c r="AB103" s="26">
        <f t="shared" si="15"/>
        <v>212</v>
      </c>
      <c r="AC103" s="26">
        <f t="shared" si="13"/>
        <v>92</v>
      </c>
      <c r="AD103" s="26">
        <f>IF(tblData[[#This Row],[Date]]&lt;StartDt2Korea,"",tblData[[#This Row],[Date]]-StartDt2Korea)</f>
        <v>202</v>
      </c>
      <c r="AE103" s="26">
        <f>IF(tblData[[#This Row],[Date]]&lt;UKStart,"",tblData[[#This Row],[Date]]-UKStart)</f>
        <v>222</v>
      </c>
      <c r="AF103" s="26">
        <f>IF(tblData[[#This Row],[Date]]&lt;SingaporeStart,"",tblData[[#This Row],[Date]]-SingaporeStart)</f>
        <v>229</v>
      </c>
      <c r="AG103">
        <f>IF(tblData[Date]&gt;=StartDt2Au,tblData[Date]-StartDt2Au,"")</f>
        <v>227</v>
      </c>
      <c r="AH103" s="26" t="str">
        <f>IF(tblData[New South Wales]&gt;0,SUM(tblData[[#This Row],[Australian Capital Territory]:[Western Australia]]),"")</f>
        <v/>
      </c>
      <c r="AI103" s="12" t="str">
        <f>IF(ISNUMBER(tblData[Au]),tblData[Au]/$AE$9,"")</f>
        <v/>
      </c>
      <c r="AJ103" s="43">
        <f>IF(ISNUMBER(tblData[[#This Row],[Day'# Aust]]),betaAu/(deltaAu+betaPodeltaAu*EXP(-betaAu*tblData[[#This Row],[Day'# Aust]])),"")</f>
        <v>214786708581.69672</v>
      </c>
      <c r="AK103" s="71">
        <f>IF(ISNUMBER(tblData[Day'# Aust]),tblData[Au LogiP(t)]/$AI$9,"")</f>
        <v>84681717624.072189</v>
      </c>
      <c r="AL103" s="11" t="str">
        <f>IF(AND(tblData[Date]&gt;=StartDt2Au,ISNUMBER(tblData[NSW])),(tblData[[#This Row],[Au LogiP(t)]]-tblData[[#This Row],[Au]])^2,"")</f>
        <v/>
      </c>
      <c r="AM103">
        <f>IF(tblData[Date]&gt;StartDt2NSW,tblData[Date]-StartDt2NSW,"")</f>
        <v>227</v>
      </c>
      <c r="AN103" t="str">
        <f t="shared" si="16"/>
        <v/>
      </c>
      <c r="AO103" s="11">
        <f>IF(tblData[Date]&gt;StartDt2NSW,betaNSW/(deltaNSW+betaPodeltaNSW*EXP(-betaNSW*tblData[[#This Row],[Day '# NSW]])),"")</f>
        <v>198338784063.35297</v>
      </c>
      <c r="AP103" s="12" t="str">
        <f>IF(AND(ISNUMBER(tblData[NSW]),tblData[Date]&gt;StartDt2NSW),(tblData[[#This Row],[NSW LogiP(t)]]-tblData[[#This Row],[NSW]])^2,"")</f>
        <v/>
      </c>
      <c r="AQ103" s="43">
        <f>IF(AND(tblData[Date]&gt;StartDt2NSW,ISNUMBER(tblData[Day'# Aust])),tblData[NSW LogiP(t)]/$AL$9,"")</f>
        <v>245468792157.61505</v>
      </c>
      <c r="AR103" s="11">
        <f>IF(AND(tblData[Date]&gt;StartDt2Italy,ISNUMBER(tblData[Days'# Italy])),betaItaly/(deltaItaly+betaPodeltaItaly*EXP(-betaItaly*tblData[Days'# Italy])),"")</f>
        <v>65423.849218858661</v>
      </c>
      <c r="AS103" s="11" t="str">
        <f>IF(AND(tblData[Date]&gt;StartDt2Italy,ISNUMBER(tblData[Italy])),(tblData[[#This Row],[Italy LogiP(t)]]-tblData[[#This Row],[Italy]])^2,"")</f>
        <v/>
      </c>
      <c r="AT103" s="43">
        <f>IF(AND(tblData[Date]&gt;StartDt2Italy,ISNUMBER(tblData[Days'# Italy])),tblData[[#This Row],[Italy LogiP(t)]]/$AS$9,"")</f>
        <v>10822.80384100226</v>
      </c>
      <c r="AU103" s="21">
        <f>IF(ISNUMBER(tblData[[#This Row],[Days'# US]]),betaUS/(deltaUS+betaPodeltaUS*EXP(-betaUS*tblData[Days'# US])),"")</f>
        <v>161902.4014678362</v>
      </c>
      <c r="AV103" s="11" t="str">
        <f>IF(ISNUMBER(tblData[US]),(tblData[[#This Row],[US LogiP(t)]]-tblData[US])^2,"")</f>
        <v/>
      </c>
      <c r="AW103" s="21">
        <f>IF(ISNUMBER(tblData[[#This Row],[Days'# US]]),tblData[[#This Row],[US LogiP(t)]]/$AV$9,"")</f>
        <v>4917.6414635428755</v>
      </c>
      <c r="AX103" s="21">
        <f>IF(tblData[Date]&gt;=StartDt2Korea,betaSKorea/(deltaSKorea+betaPodeltaSKorea*EXP(-betaSKorea*(tblData[Date]-StartDt2Korea))),"")</f>
        <v>8492.3988853043793</v>
      </c>
      <c r="AY103" s="21" t="str">
        <f>IF(AND(tblData[Date]&gt;=StartDt2Korea,ISNUMBER(tblData[SKorea])),(tblData[[#This Row],[SKorea LogiP(t)]]-tblData[[#This Row],[SKorea]])^2,"")</f>
        <v/>
      </c>
      <c r="AZ103" s="21">
        <f>IF(tblData[Date]&gt;=StartDt2Korea,tblData[[#This Row],[SKorea LogiP(t)]]/$AY$9,"")</f>
        <v>1652.2176819658328</v>
      </c>
      <c r="BA103" s="83">
        <f>IF(ISNUMBER(tblData[Days'# UK]),betaUK/(deltaUK+betaPodeltaUK*EXP(-betaUK*tblData[Days'# UK])),"")</f>
        <v>110763.52166616597</v>
      </c>
      <c r="BB103" s="83" t="str">
        <f>IF(ISNUMBER(tblData[UK]),(tblData[[#This Row],[UK LogiP(t)]]-tblData[[#This Row],[UK]])^2,"")</f>
        <v/>
      </c>
      <c r="BC103" s="83">
        <f>IF(ISNUMBER(tblData[Days'# UK]),tblData[[#This Row],[UK LogiP(t)]]/$BB$9,"")</f>
        <v>16671.210365166462</v>
      </c>
      <c r="BD103" s="11">
        <f>IF(ISNUMBER(tblData[Days'# China]),betaChina/(deltaChina+betaPodeltaChina*EXP(-betaChina*tblData[Days'# China])),"")</f>
        <v>80978.981436352973</v>
      </c>
      <c r="BE103" s="11" t="str">
        <f>IF(ISNUMBER(tblData[China]),(tblData[[#This Row],[China LogiP(t)]]-tblData[[#This Row],[China]])^2,"")</f>
        <v/>
      </c>
      <c r="BF103" s="11">
        <f>tblData[[#This Row],[China LogiP(t)]]/$BE$9</f>
        <v>562.61824327949523</v>
      </c>
      <c r="BG103" s="11">
        <f>IF(ISNUMBER(tblData[Day'# Singapore]),betaSingapore/(deltaSingapore+betaPodeltaSingapore*EXP(-betaSingapore*tblData[Day'# Singapore])),"")</f>
        <v>601429.99093578523</v>
      </c>
      <c r="BH103" s="11" t="str">
        <f>IF(AND(ISNUMBER(tblData[Singapore]),tblData[Date]&gt;=StartDt2Singapore),(tblData[[#This Row],[Singapore LogiP(t)]]-tblData[[#This Row],[Singapore]])^2,"")</f>
        <v/>
      </c>
      <c r="BI103" s="11">
        <f>IF(ISNUMBER(tblData[Day'# Singapore]),tblData[Singapore LogiP(t)]/$BH$9,"")</f>
        <v>1028085.4545910859</v>
      </c>
      <c r="BJ103" s="11"/>
      <c r="BK103" s="11"/>
      <c r="BL103" s="11" t="str">
        <f>IF(ISNUMBER(tblData[[#This Row],[NSW Number of Tests]]),tblData[[#This Row],[NSW Number of Tests]]-BJ102,"")</f>
        <v/>
      </c>
      <c r="BM103" s="11" t="str">
        <f>IF(ISNUMBER(tblData[[#This Row],[NSW Under Investigation'']]),tblData[[#This Row],[NSW Under Investigation'']]-BK102,"")</f>
        <v/>
      </c>
      <c r="BN103" s="11"/>
      <c r="BO103" s="11" t="str">
        <f>IF(ISNUMBER(tblData[[#This Row],[NSW Test Day Number]]),betaTest/(deltaTest+betaPodeltaTest*EXP(-betaTest*tblData[[#This Row],[NSW Test Day Number]])),"")</f>
        <v/>
      </c>
      <c r="BP103" s="11" t="str">
        <f>IF(ISNUMBER(tblData[[#This Row],[NSW Number of Tests]]),(tblData[[#This Row],[NSW Number of Tests]]-tblData[[#This Row],[NSW Test Logi]])^2,"")</f>
        <v/>
      </c>
      <c r="BR103"/>
      <c r="BV103" s="26"/>
      <c r="CE103"/>
      <c r="CF103"/>
      <c r="CG103"/>
      <c r="CH103" s="26"/>
      <c r="CS103" s="26"/>
      <c r="CT103" s="26"/>
      <c r="DM103"/>
      <c r="DN103" t="s">
        <v>58</v>
      </c>
      <c r="DO103" s="80">
        <v>43913.916168981479</v>
      </c>
      <c r="DP103" s="27">
        <v>43860</v>
      </c>
      <c r="DQ103" s="27">
        <v>43860</v>
      </c>
      <c r="DR103">
        <v>2</v>
      </c>
      <c r="DS103">
        <v>0.25874561068947871</v>
      </c>
      <c r="DT103">
        <v>3.9549126775453369E-6</v>
      </c>
      <c r="DU103">
        <v>0.4422145518547565</v>
      </c>
      <c r="DV103" s="107">
        <v>65423.849218858661</v>
      </c>
      <c r="DW103">
        <v>1794.1813077040256</v>
      </c>
      <c r="DX103">
        <v>0.58510933365785012</v>
      </c>
      <c r="DY103" s="110">
        <v>3.9549126775453372E-3</v>
      </c>
      <c r="EA103" s="27">
        <v>43912</v>
      </c>
      <c r="EB103" t="s">
        <v>1866</v>
      </c>
      <c r="EC103" s="26">
        <v>65423.849218858661</v>
      </c>
      <c r="ED103" s="112">
        <v>59138</v>
      </c>
      <c r="EE103" t="s">
        <v>1867</v>
      </c>
      <c r="EF103" s="27">
        <v>43912</v>
      </c>
      <c r="EG103">
        <v>53</v>
      </c>
      <c r="EH103" t="s">
        <v>1868</v>
      </c>
      <c r="EJ103" t="s">
        <v>1869</v>
      </c>
      <c r="EL103" t="s">
        <v>1870</v>
      </c>
      <c r="EM103">
        <v>9782.9611248966085</v>
      </c>
      <c r="EN103" s="94">
        <v>43897</v>
      </c>
      <c r="EO103">
        <v>16</v>
      </c>
      <c r="EP103" s="94">
        <v>43896</v>
      </c>
      <c r="EQ103">
        <v>17</v>
      </c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</row>
    <row r="104" spans="2:183" x14ac:dyDescent="0.25">
      <c r="B104" s="27">
        <f t="shared" si="14"/>
        <v>44089</v>
      </c>
      <c r="D104" s="26"/>
      <c r="L104" s="12" t="str">
        <f>IF(ISNUMBER(tblData[[#This Row],[NSW]]),tblData[[#This Row],[New South Wales]]/$L$9,"")</f>
        <v/>
      </c>
      <c r="M104" s="26"/>
      <c r="N104" s="48" t="str">
        <f>IF(ISNUMBER(tblData[Italy]),tblData[Italy]/$N$9,"")</f>
        <v/>
      </c>
      <c r="O104" s="26"/>
      <c r="P104" s="48" t="str">
        <f>IF(ISNUMBER(tblData[US]),tblData[US]/$P$9,"")</f>
        <v/>
      </c>
      <c r="Q104" s="48"/>
      <c r="R104" s="19" t="str">
        <f>IF(ISNUMBER(tblData[SKorea]),tblData[SKorea]/$R$9,"")</f>
        <v/>
      </c>
      <c r="S104" s="48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1"/>
      <c r="X104" s="21" t="str">
        <f>IF(ISNUMBER(tblData[Singapore]),tblData[Singapore]/$X$9,"")</f>
        <v/>
      </c>
      <c r="Y104" s="21"/>
      <c r="Z104" s="21"/>
      <c r="AA104" s="26">
        <f>IF(tblData[[#This Row],[Date]]&lt;ItalyStart,"",tblData[[#This Row],[Date]]-ItalyStart)</f>
        <v>229</v>
      </c>
      <c r="AB104" s="26">
        <f t="shared" si="15"/>
        <v>219</v>
      </c>
      <c r="AC104" s="26">
        <f t="shared" si="13"/>
        <v>93</v>
      </c>
      <c r="AD104" s="26">
        <f>IF(tblData[[#This Row],[Date]]&lt;StartDt2Korea,"",tblData[[#This Row],[Date]]-StartDt2Korea)</f>
        <v>209</v>
      </c>
      <c r="AE104" s="26">
        <f>IF(tblData[[#This Row],[Date]]&lt;UKStart,"",tblData[[#This Row],[Date]]-UKStart)</f>
        <v>229</v>
      </c>
      <c r="AF104" s="26">
        <f>IF(tblData[[#This Row],[Date]]&lt;SingaporeStart,"",tblData[[#This Row],[Date]]-SingaporeStart)</f>
        <v>236</v>
      </c>
      <c r="AG104">
        <f>IF(tblData[Date]&gt;=StartDt2Au,tblData[Date]-StartDt2Au,"")</f>
        <v>234</v>
      </c>
      <c r="AH104" s="26" t="str">
        <f>IF(tblData[New South Wales]&gt;0,SUM(tblData[[#This Row],[Australian Capital Territory]:[Western Australia]]),"")</f>
        <v/>
      </c>
      <c r="AI104" s="12" t="str">
        <f>IF(ISNUMBER(tblData[Au]),tblData[Au]/$AE$9,"")</f>
        <v/>
      </c>
      <c r="AJ104" s="43">
        <f>IF(ISNUMBER(tblData[[#This Row],[Day'# Aust]]),betaAu/(deltaAu+betaPodeltaAu*EXP(-betaAu*tblData[[#This Row],[Day'# Aust]])),"")</f>
        <v>214786712242.30502</v>
      </c>
      <c r="AK104" s="71">
        <f>IF(ISNUMBER(tblData[Day'# Aust]),tblData[Au LogiP(t)]/$AI$9,"")</f>
        <v>84681719067.302094</v>
      </c>
      <c r="AL104" s="11" t="str">
        <f>IF(AND(tblData[Date]&gt;=StartDt2Au,ISNUMBER(tblData[NSW])),(tblData[[#This Row],[Au LogiP(t)]]-tblData[[#This Row],[Au]])^2,"")</f>
        <v/>
      </c>
      <c r="AM104">
        <f>IF(tblData[Date]&gt;StartDt2NSW,tblData[Date]-StartDt2NSW,"")</f>
        <v>234</v>
      </c>
      <c r="AN104" t="str">
        <f t="shared" si="16"/>
        <v/>
      </c>
      <c r="AO104" s="11">
        <f>IF(tblData[Date]&gt;StartDt2NSW,betaNSW/(deltaNSW+betaPodeltaNSW*EXP(-betaNSW*tblData[[#This Row],[Day '# NSW]])),"")</f>
        <v>198338904458.26965</v>
      </c>
      <c r="AP104" s="12" t="str">
        <f>IF(AND(ISNUMBER(tblData[NSW]),tblData[Date]&gt;StartDt2NSW),(tblData[[#This Row],[NSW LogiP(t)]]-tblData[[#This Row],[NSW]])^2,"")</f>
        <v/>
      </c>
      <c r="AQ104" s="43">
        <f>IF(AND(tblData[Date]&gt;StartDt2NSW,ISNUMBER(tblData[Day'# Aust])),tblData[NSW LogiP(t)]/$AL$9,"")</f>
        <v>245468941161.22479</v>
      </c>
      <c r="AR104" s="11">
        <f>IF(AND(tblData[Date]&gt;StartDt2Italy,ISNUMBER(tblData[Days'# Italy])),betaItaly/(deltaItaly+betaPodeltaItaly*EXP(-betaItaly*tblData[Days'# Italy])),"")</f>
        <v>65423.849218858661</v>
      </c>
      <c r="AS104" s="11" t="str">
        <f>IF(AND(tblData[Date]&gt;StartDt2Italy,ISNUMBER(tblData[Italy])),(tblData[[#This Row],[Italy LogiP(t)]]-tblData[[#This Row],[Italy]])^2,"")</f>
        <v/>
      </c>
      <c r="AT104" s="43">
        <f>IF(AND(tblData[Date]&gt;StartDt2Italy,ISNUMBER(tblData[Days'# Italy])),tblData[[#This Row],[Italy LogiP(t)]]/$AS$9,"")</f>
        <v>10822.80384100226</v>
      </c>
      <c r="AU104" s="21">
        <f>IF(ISNUMBER(tblData[[#This Row],[Days'# US]]),betaUS/(deltaUS+betaPodeltaUS*EXP(-betaUS*tblData[Days'# US])),"")</f>
        <v>161902.4014678362</v>
      </c>
      <c r="AV104" s="11" t="str">
        <f>IF(ISNUMBER(tblData[US]),(tblData[[#This Row],[US LogiP(t)]]-tblData[US])^2,"")</f>
        <v/>
      </c>
      <c r="AW104" s="21">
        <f>IF(ISNUMBER(tblData[[#This Row],[Days'# US]]),tblData[[#This Row],[US LogiP(t)]]/$AV$9,"")</f>
        <v>4917.6414635428755</v>
      </c>
      <c r="AX104" s="21">
        <f>IF(tblData[Date]&gt;=StartDt2Korea,betaSKorea/(deltaSKorea+betaPodeltaSKorea*EXP(-betaSKorea*(tblData[Date]-StartDt2Korea))),"")</f>
        <v>8492.3988853043793</v>
      </c>
      <c r="AY104" s="21" t="str">
        <f>IF(AND(tblData[Date]&gt;=StartDt2Korea,ISNUMBER(tblData[SKorea])),(tblData[[#This Row],[SKorea LogiP(t)]]-tblData[[#This Row],[SKorea]])^2,"")</f>
        <v/>
      </c>
      <c r="AZ104" s="21">
        <f>IF(tblData[Date]&gt;=StartDt2Korea,tblData[[#This Row],[SKorea LogiP(t)]]/$AY$9,"")</f>
        <v>1652.2176819658328</v>
      </c>
      <c r="BA104" s="83">
        <f>IF(ISNUMBER(tblData[Days'# UK]),betaUK/(deltaUK+betaPodeltaUK*EXP(-betaUK*tblData[Days'# UK])),"")</f>
        <v>110763.52166616597</v>
      </c>
      <c r="BB104" s="83" t="str">
        <f>IF(ISNUMBER(tblData[UK]),(tblData[[#This Row],[UK LogiP(t)]]-tblData[[#This Row],[UK]])^2,"")</f>
        <v/>
      </c>
      <c r="BC104" s="83">
        <f>IF(ISNUMBER(tblData[Days'# UK]),tblData[[#This Row],[UK LogiP(t)]]/$BB$9,"")</f>
        <v>16671.210365166462</v>
      </c>
      <c r="BD104" s="11">
        <f>IF(ISNUMBER(tblData[Days'# China]),betaChina/(deltaChina+betaPodeltaChina*EXP(-betaChina*tblData[Days'# China])),"")</f>
        <v>80978.982545796083</v>
      </c>
      <c r="BE104" s="11" t="str">
        <f>IF(ISNUMBER(tblData[China]),(tblData[[#This Row],[China LogiP(t)]]-tblData[[#This Row],[China]])^2,"")</f>
        <v/>
      </c>
      <c r="BF104" s="11">
        <f>tblData[[#This Row],[China LogiP(t)]]/$BE$9</f>
        <v>562.61825098758106</v>
      </c>
      <c r="BG104" s="11">
        <f>IF(ISNUMBER(tblData[Day'# Singapore]),betaSingapore/(deltaSingapore+betaPodeltaSingapore*EXP(-betaSingapore*tblData[Day'# Singapore])),"")</f>
        <v>818050.86887966096</v>
      </c>
      <c r="BH104" s="11" t="str">
        <f>IF(AND(ISNUMBER(tblData[Singapore]),tblData[Date]&gt;=StartDt2Singapore),(tblData[[#This Row],[Singapore LogiP(t)]]-tblData[[#This Row],[Singapore]])^2,"")</f>
        <v/>
      </c>
      <c r="BI104" s="11">
        <f>IF(ISNUMBER(tblData[Day'# Singapore]),tblData[Singapore LogiP(t)]/$BH$9,"")</f>
        <v>1398377.5536404462</v>
      </c>
      <c r="BJ104" s="11"/>
      <c r="BK104" s="11"/>
      <c r="BL104" s="11" t="str">
        <f>IF(ISNUMBER(tblData[[#This Row],[NSW Number of Tests]]),tblData[[#This Row],[NSW Number of Tests]]-BJ103,"")</f>
        <v/>
      </c>
      <c r="BM104" s="11" t="str">
        <f>IF(ISNUMBER(tblData[[#This Row],[NSW Under Investigation'']]),tblData[[#This Row],[NSW Under Investigation'']]-BK103,"")</f>
        <v/>
      </c>
      <c r="BN104" s="11"/>
      <c r="BO104" s="11" t="str">
        <f>IF(ISNUMBER(tblData[[#This Row],[NSW Test Day Number]]),betaTest/(deltaTest+betaPodeltaTest*EXP(-betaTest*tblData[[#This Row],[NSW Test Day Number]])),"")</f>
        <v/>
      </c>
      <c r="BP104" s="11" t="str">
        <f>IF(ISNUMBER(tblData[[#This Row],[NSW Number of Tests]]),(tblData[[#This Row],[NSW Number of Tests]]-tblData[[#This Row],[NSW Test Logi]])^2,"")</f>
        <v/>
      </c>
      <c r="BR104"/>
      <c r="BV104" s="26"/>
      <c r="CE104"/>
      <c r="CF104"/>
      <c r="CG104"/>
      <c r="CH104" s="26"/>
      <c r="CS104" s="26"/>
      <c r="CT104" s="26"/>
      <c r="DM104"/>
      <c r="DN104" t="s">
        <v>480</v>
      </c>
      <c r="DO104" s="80">
        <v>43913.916192129633</v>
      </c>
      <c r="DP104" s="27">
        <v>43852</v>
      </c>
      <c r="DQ104" s="27">
        <v>43870</v>
      </c>
      <c r="DR104">
        <v>3</v>
      </c>
      <c r="DS104">
        <v>0.33723338041194412</v>
      </c>
      <c r="DT104">
        <v>2.0829424230556546E-6</v>
      </c>
      <c r="DU104">
        <v>2.5463658144183617E-2</v>
      </c>
      <c r="DV104" s="107">
        <v>161902.4014678362</v>
      </c>
      <c r="DW104">
        <v>1033.5727100803306</v>
      </c>
      <c r="DX104">
        <v>13.243710917853365</v>
      </c>
      <c r="DY104" s="110">
        <v>2.0829424230556547E-3</v>
      </c>
      <c r="EA104" s="27">
        <v>43913</v>
      </c>
      <c r="EB104" t="s">
        <v>1907</v>
      </c>
      <c r="EC104" s="26">
        <v>161902.4014678362</v>
      </c>
      <c r="ED104" s="112">
        <v>35224</v>
      </c>
      <c r="EE104" t="s">
        <v>1908</v>
      </c>
      <c r="EF104" s="27">
        <v>43912</v>
      </c>
      <c r="EG104">
        <v>44</v>
      </c>
      <c r="EH104" t="s">
        <v>1909</v>
      </c>
      <c r="EJ104" t="s">
        <v>1910</v>
      </c>
      <c r="EL104" t="s">
        <v>1911</v>
      </c>
      <c r="EM104">
        <v>1069.8976750276693</v>
      </c>
      <c r="EN104" s="94">
        <v>43912</v>
      </c>
      <c r="EO104">
        <v>1</v>
      </c>
      <c r="EP104" s="94">
        <v>43911</v>
      </c>
      <c r="EQ104">
        <v>2</v>
      </c>
      <c r="ER104" t="s">
        <v>1906</v>
      </c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</row>
    <row r="105" spans="2:183" x14ac:dyDescent="0.25">
      <c r="B105" s="27">
        <f t="shared" si="14"/>
        <v>44096</v>
      </c>
      <c r="D105" s="26"/>
      <c r="L105" s="12" t="str">
        <f>IF(ISNUMBER(tblData[[#This Row],[NSW]]),tblData[[#This Row],[New South Wales]]/$L$9,"")</f>
        <v/>
      </c>
      <c r="M105" s="26"/>
      <c r="N105" s="48" t="str">
        <f>IF(ISNUMBER(tblData[Italy]),tblData[Italy]/$N$9,"")</f>
        <v/>
      </c>
      <c r="O105" s="26"/>
      <c r="P105" s="48" t="str">
        <f>IF(ISNUMBER(tblData[US]),tblData[US]/$P$9,"")</f>
        <v/>
      </c>
      <c r="Q105" s="48"/>
      <c r="R105" s="19" t="str">
        <f>IF(ISNUMBER(tblData[SKorea]),tblData[SKorea]/$R$9,"")</f>
        <v/>
      </c>
      <c r="S105" s="48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1"/>
      <c r="X105" s="21" t="str">
        <f>IF(ISNUMBER(tblData[Singapore]),tblData[Singapore]/$X$9,"")</f>
        <v/>
      </c>
      <c r="Y105" s="21"/>
      <c r="Z105" s="21"/>
      <c r="AA105" s="26">
        <f>IF(tblData[[#This Row],[Date]]&lt;ItalyStart,"",tblData[[#This Row],[Date]]-ItalyStart)</f>
        <v>236</v>
      </c>
      <c r="AB105" s="26">
        <f t="shared" si="15"/>
        <v>226</v>
      </c>
      <c r="AC105" s="26">
        <f t="shared" si="13"/>
        <v>94</v>
      </c>
      <c r="AD105" s="26">
        <f>IF(tblData[[#This Row],[Date]]&lt;StartDt2Korea,"",tblData[[#This Row],[Date]]-StartDt2Korea)</f>
        <v>216</v>
      </c>
      <c r="AE105" s="26">
        <f>IF(tblData[[#This Row],[Date]]&lt;UKStart,"",tblData[[#This Row],[Date]]-UKStart)</f>
        <v>236</v>
      </c>
      <c r="AF105" s="26">
        <f>IF(tblData[[#This Row],[Date]]&lt;SingaporeStart,"",tblData[[#This Row],[Date]]-SingaporeStart)</f>
        <v>243</v>
      </c>
      <c r="AG105">
        <f>IF(tblData[Date]&gt;=StartDt2Au,tblData[Date]-StartDt2Au,"")</f>
        <v>241</v>
      </c>
      <c r="AH105" s="26" t="str">
        <f>IF(tblData[New South Wales]&gt;0,SUM(tblData[[#This Row],[Australian Capital Territory]:[Western Australia]]),"")</f>
        <v/>
      </c>
      <c r="AI105" s="12" t="str">
        <f>IF(ISNUMBER(tblData[Au]),tblData[Au]/$AE$9,"")</f>
        <v/>
      </c>
      <c r="AJ105" s="43">
        <f>IF(ISNUMBER(tblData[[#This Row],[Day'# Aust]]),betaAu/(deltaAu+betaPodeltaAu*EXP(-betaAu*tblData[[#This Row],[Day'# Aust]])),"")</f>
        <v>214786713056.23764</v>
      </c>
      <c r="AK105" s="71">
        <f>IF(ISNUMBER(tblData[Day'# Aust]),tblData[Au LogiP(t)]/$AI$9,"")</f>
        <v>84681719388.20282</v>
      </c>
      <c r="AL105" s="11" t="str">
        <f>IF(AND(tblData[Date]&gt;=StartDt2Au,ISNUMBER(tblData[NSW])),(tblData[[#This Row],[Au LogiP(t)]]-tblData[[#This Row],[Au]])^2,"")</f>
        <v/>
      </c>
      <c r="AM105">
        <f>IF(tblData[Date]&gt;StartDt2NSW,tblData[Date]-StartDt2NSW,"")</f>
        <v>241</v>
      </c>
      <c r="AN105" t="str">
        <f t="shared" si="16"/>
        <v/>
      </c>
      <c r="AO105" s="11">
        <f>IF(tblData[Date]&gt;StartDt2NSW,betaNSW/(deltaNSW+betaPodeltaNSW*EXP(-betaNSW*tblData[[#This Row],[Day '# NSW]])),"")</f>
        <v>198338934494.53384</v>
      </c>
      <c r="AP105" s="12" t="str">
        <f>IF(AND(ISNUMBER(tblData[NSW]),tblData[Date]&gt;StartDt2NSW),(tblData[[#This Row],[NSW LogiP(t)]]-tblData[[#This Row],[NSW]])^2,"")</f>
        <v/>
      </c>
      <c r="AQ105" s="43">
        <f>IF(AND(tblData[Date]&gt;StartDt2NSW,ISNUMBER(tblData[Day'# Aust])),tblData[NSW LogiP(t)]/$AL$9,"")</f>
        <v>245468978334.81909</v>
      </c>
      <c r="AR105" s="11">
        <f>IF(AND(tblData[Date]&gt;StartDt2Italy,ISNUMBER(tblData[Days'# Italy])),betaItaly/(deltaItaly+betaPodeltaItaly*EXP(-betaItaly*tblData[Days'# Italy])),"")</f>
        <v>65423.849218858661</v>
      </c>
      <c r="AS105" s="11" t="str">
        <f>IF(AND(tblData[Date]&gt;StartDt2Italy,ISNUMBER(tblData[Italy])),(tblData[[#This Row],[Italy LogiP(t)]]-tblData[[#This Row],[Italy]])^2,"")</f>
        <v/>
      </c>
      <c r="AT105" s="43">
        <f>IF(AND(tblData[Date]&gt;StartDt2Italy,ISNUMBER(tblData[Days'# Italy])),tblData[[#This Row],[Italy LogiP(t)]]/$AS$9,"")</f>
        <v>10822.80384100226</v>
      </c>
      <c r="AU105" s="21">
        <f>IF(ISNUMBER(tblData[[#This Row],[Days'# US]]),betaUS/(deltaUS+betaPodeltaUS*EXP(-betaUS*tblData[Days'# US])),"")</f>
        <v>161902.4014678362</v>
      </c>
      <c r="AV105" s="11" t="str">
        <f>IF(ISNUMBER(tblData[US]),(tblData[[#This Row],[US LogiP(t)]]-tblData[US])^2,"")</f>
        <v/>
      </c>
      <c r="AW105" s="21">
        <f>IF(ISNUMBER(tblData[[#This Row],[Days'# US]]),tblData[[#This Row],[US LogiP(t)]]/$AV$9,"")</f>
        <v>4917.6414635428755</v>
      </c>
      <c r="AX105" s="21">
        <f>IF(tblData[Date]&gt;=StartDt2Korea,betaSKorea/(deltaSKorea+betaPodeltaSKorea*EXP(-betaSKorea*(tblData[Date]-StartDt2Korea))),"")</f>
        <v>8492.3988853043793</v>
      </c>
      <c r="AY105" s="21" t="str">
        <f>IF(AND(tblData[Date]&gt;=StartDt2Korea,ISNUMBER(tblData[SKorea])),(tblData[[#This Row],[SKorea LogiP(t)]]-tblData[[#This Row],[SKorea]])^2,"")</f>
        <v/>
      </c>
      <c r="AZ105" s="21">
        <f>IF(tblData[Date]&gt;=StartDt2Korea,tblData[[#This Row],[SKorea LogiP(t)]]/$AY$9,"")</f>
        <v>1652.2176819658328</v>
      </c>
      <c r="BA105" s="83">
        <f>IF(ISNUMBER(tblData[Days'# UK]),betaUK/(deltaUK+betaPodeltaUK*EXP(-betaUK*tblData[Days'# UK])),"")</f>
        <v>110763.52166616597</v>
      </c>
      <c r="BB105" s="83" t="str">
        <f>IF(ISNUMBER(tblData[UK]),(tblData[[#This Row],[UK LogiP(t)]]-tblData[[#This Row],[UK]])^2,"")</f>
        <v/>
      </c>
      <c r="BC105" s="83">
        <f>IF(ISNUMBER(tblData[Days'# UK]),tblData[[#This Row],[UK LogiP(t)]]/$BB$9,"")</f>
        <v>16671.210365166462</v>
      </c>
      <c r="BD105" s="11">
        <f>IF(ISNUMBER(tblData[Days'# China]),betaChina/(deltaChina+betaPodeltaChina*EXP(-betaChina*tblData[Days'# China])),"")</f>
        <v>80978.983434239097</v>
      </c>
      <c r="BE105" s="11" t="str">
        <f>IF(ISNUMBER(tblData[China]),(tblData[[#This Row],[China LogiP(t)]]-tblData[[#This Row],[China]])^2,"")</f>
        <v/>
      </c>
      <c r="BF105" s="11">
        <f>tblData[[#This Row],[China LogiP(t)]]/$BE$9</f>
        <v>562.61825716022281</v>
      </c>
      <c r="BG105" s="11">
        <f>IF(ISNUMBER(tblData[Day'# Singapore]),betaSingapore/(deltaSingapore+betaPodeltaSingapore*EXP(-betaSingapore*tblData[Day'# Singapore])),"")</f>
        <v>1112691.4953119566</v>
      </c>
      <c r="BH105" s="11" t="str">
        <f>IF(AND(ISNUMBER(tblData[Singapore]),tblData[Date]&gt;=StartDt2Singapore),(tblData[[#This Row],[Singapore LogiP(t)]]-tblData[[#This Row],[Singapore]])^2,"")</f>
        <v/>
      </c>
      <c r="BI105" s="11">
        <f>IF(ISNUMBER(tblData[Day'# Singapore]),tblData[Singapore LogiP(t)]/$BH$9,"")</f>
        <v>1902036.744123003</v>
      </c>
      <c r="BJ105" s="11"/>
      <c r="BK105" s="11"/>
      <c r="BL105" s="11" t="str">
        <f>IF(ISNUMBER(tblData[[#This Row],[NSW Number of Tests]]),tblData[[#This Row],[NSW Number of Tests]]-BJ104,"")</f>
        <v/>
      </c>
      <c r="BM105" s="11" t="str">
        <f>IF(ISNUMBER(tblData[[#This Row],[NSW Under Investigation'']]),tblData[[#This Row],[NSW Under Investigation'']]-BK104,"")</f>
        <v/>
      </c>
      <c r="BN105" s="11"/>
      <c r="BO105" s="11" t="str">
        <f>IF(ISNUMBER(tblData[[#This Row],[NSW Test Day Number]]),betaTest/(deltaTest+betaPodeltaTest*EXP(-betaTest*tblData[[#This Row],[NSW Test Day Number]])),"")</f>
        <v/>
      </c>
      <c r="BP105" s="11" t="str">
        <f>IF(ISNUMBER(tblData[[#This Row],[NSW Number of Tests]]),(tblData[[#This Row],[NSW Number of Tests]]-tblData[[#This Row],[NSW Test Logi]])^2,"")</f>
        <v/>
      </c>
      <c r="BR105"/>
      <c r="BV105" s="26"/>
      <c r="CE105"/>
      <c r="CF105"/>
      <c r="CG105"/>
      <c r="CH105" s="26"/>
      <c r="CS105" s="26"/>
      <c r="CT105" s="26"/>
      <c r="DM105"/>
      <c r="DN105" t="s">
        <v>225</v>
      </c>
      <c r="DO105" s="80">
        <v>43913.916203703702</v>
      </c>
      <c r="DP105" s="27">
        <v>43852</v>
      </c>
      <c r="DQ105" s="27">
        <v>43852</v>
      </c>
      <c r="DR105">
        <v>4</v>
      </c>
      <c r="DS105">
        <v>0.2221429979133962</v>
      </c>
      <c r="DT105">
        <v>2.7432177917623539E-6</v>
      </c>
      <c r="DU105">
        <v>1537.6493038446686</v>
      </c>
      <c r="DV105" s="107">
        <v>80978.987005870425</v>
      </c>
      <c r="DW105">
        <v>2045.0311506785802</v>
      </c>
      <c r="DX105">
        <v>1.4172600373876473E-4</v>
      </c>
      <c r="DY105" s="110">
        <v>2.7432177917623541E-3</v>
      </c>
      <c r="EA105" s="27">
        <v>43912</v>
      </c>
      <c r="EB105" t="s">
        <v>1360</v>
      </c>
      <c r="EC105" s="26">
        <v>80978.9867574651</v>
      </c>
      <c r="ED105" s="112">
        <v>81454</v>
      </c>
      <c r="EE105" t="s">
        <v>1486</v>
      </c>
      <c r="EF105" s="27">
        <v>43913</v>
      </c>
      <c r="EG105">
        <v>62</v>
      </c>
      <c r="EH105" t="s">
        <v>1487</v>
      </c>
      <c r="EJ105" t="s">
        <v>1488</v>
      </c>
      <c r="EL105" t="s">
        <v>1912</v>
      </c>
      <c r="EM105">
        <v>565.91853312093133</v>
      </c>
      <c r="EN105" s="94">
        <v>43912</v>
      </c>
      <c r="EO105">
        <v>-1</v>
      </c>
      <c r="EP105" s="94">
        <v>43913</v>
      </c>
      <c r="EQ105">
        <v>0</v>
      </c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</row>
    <row r="106" spans="2:183" x14ac:dyDescent="0.25">
      <c r="B106" s="27">
        <f t="shared" si="14"/>
        <v>44103</v>
      </c>
      <c r="D106" s="26"/>
      <c r="L106" s="12" t="str">
        <f>IF(ISNUMBER(tblData[[#This Row],[NSW]]),tblData[[#This Row],[New South Wales]]/$L$9,"")</f>
        <v/>
      </c>
      <c r="M106" s="26"/>
      <c r="N106" s="48" t="str">
        <f>IF(ISNUMBER(tblData[Italy]),tblData[Italy]/$N$9,"")</f>
        <v/>
      </c>
      <c r="O106" s="26"/>
      <c r="P106" s="48" t="str">
        <f>IF(ISNUMBER(tblData[US]),tblData[US]/$P$9,"")</f>
        <v/>
      </c>
      <c r="Q106" s="48"/>
      <c r="R106" s="19" t="str">
        <f>IF(ISNUMBER(tblData[SKorea]),tblData[SKorea]/$R$9,"")</f>
        <v/>
      </c>
      <c r="S106" s="48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1"/>
      <c r="X106" s="21" t="str">
        <f>IF(ISNUMBER(tblData[Singapore]),tblData[Singapore]/$X$9,"")</f>
        <v/>
      </c>
      <c r="Y106" s="21"/>
      <c r="Z106" s="21"/>
      <c r="AA106" s="26">
        <f>IF(tblData[[#This Row],[Date]]&lt;ItalyStart,"",tblData[[#This Row],[Date]]-ItalyStart)</f>
        <v>243</v>
      </c>
      <c r="AB106" s="26">
        <f t="shared" si="15"/>
        <v>233</v>
      </c>
      <c r="AC106" s="26">
        <f t="shared" si="13"/>
        <v>95</v>
      </c>
      <c r="AD106" s="26">
        <f>IF(tblData[[#This Row],[Date]]&lt;StartDt2Korea,"",tblData[[#This Row],[Date]]-StartDt2Korea)</f>
        <v>223</v>
      </c>
      <c r="AE106" s="26">
        <f>IF(tblData[[#This Row],[Date]]&lt;UKStart,"",tblData[[#This Row],[Date]]-UKStart)</f>
        <v>243</v>
      </c>
      <c r="AF106" s="26">
        <f>IF(tblData[[#This Row],[Date]]&lt;SingaporeStart,"",tblData[[#This Row],[Date]]-SingaporeStart)</f>
        <v>250</v>
      </c>
      <c r="AG106">
        <f>IF(tblData[Date]&gt;=StartDt2Au,tblData[Date]-StartDt2Au,"")</f>
        <v>248</v>
      </c>
      <c r="AH106" s="26" t="str">
        <f>IF(tblData[New South Wales]&gt;0,SUM(tblData[[#This Row],[Australian Capital Territory]:[Western Australia]]),"")</f>
        <v/>
      </c>
      <c r="AI106" s="12" t="str">
        <f>IF(ISNUMBER(tblData[Au]),tblData[Au]/$AE$9,"")</f>
        <v/>
      </c>
      <c r="AJ106" s="43">
        <f>IF(ISNUMBER(tblData[[#This Row],[Day'# Aust]]),betaAu/(deltaAu+betaPodeltaAu*EXP(-betaAu*tblData[[#This Row],[Day'# Aust]])),"")</f>
        <v>214786713237.21478</v>
      </c>
      <c r="AK106" s="71">
        <f>IF(ISNUMBER(tblData[Day'# Aust]),tblData[Au LogiP(t)]/$AI$9,"")</f>
        <v>84681719459.554794</v>
      </c>
      <c r="AL106" s="11" t="str">
        <f>IF(AND(tblData[Date]&gt;=StartDt2Au,ISNUMBER(tblData[NSW])),(tblData[[#This Row],[Au LogiP(t)]]-tblData[[#This Row],[Au]])^2,"")</f>
        <v/>
      </c>
      <c r="AM106">
        <f>IF(tblData[Date]&gt;StartDt2NSW,tblData[Date]-StartDt2NSW,"")</f>
        <v>248</v>
      </c>
      <c r="AN106" t="str">
        <f t="shared" si="16"/>
        <v/>
      </c>
      <c r="AO106" s="11">
        <f>IF(tblData[Date]&gt;StartDt2NSW,betaNSW/(deltaNSW+betaPodeltaNSW*EXP(-betaNSW*tblData[[#This Row],[Day '# NSW]])),"")</f>
        <v>198338941988.01184</v>
      </c>
      <c r="AP106" s="12" t="str">
        <f>IF(AND(ISNUMBER(tblData[NSW]),tblData[Date]&gt;StartDt2NSW),(tblData[[#This Row],[NSW LogiP(t)]]-tblData[[#This Row],[NSW]])^2,"")</f>
        <v/>
      </c>
      <c r="AQ106" s="43">
        <f>IF(AND(tblData[Date]&gt;StartDt2NSW,ISNUMBER(tblData[Day'# Aust])),tblData[NSW LogiP(t)]/$AL$9,"")</f>
        <v>245468987608.92554</v>
      </c>
      <c r="AR106" s="11">
        <f>IF(AND(tblData[Date]&gt;StartDt2Italy,ISNUMBER(tblData[Days'# Italy])),betaItaly/(deltaItaly+betaPodeltaItaly*EXP(-betaItaly*tblData[Days'# Italy])),"")</f>
        <v>65423.849218858661</v>
      </c>
      <c r="AS106" s="11" t="str">
        <f>IF(AND(tblData[Date]&gt;StartDt2Italy,ISNUMBER(tblData[Italy])),(tblData[[#This Row],[Italy LogiP(t)]]-tblData[[#This Row],[Italy]])^2,"")</f>
        <v/>
      </c>
      <c r="AT106" s="43">
        <f>IF(AND(tblData[Date]&gt;StartDt2Italy,ISNUMBER(tblData[Days'# Italy])),tblData[[#This Row],[Italy LogiP(t)]]/$AS$9,"")</f>
        <v>10822.80384100226</v>
      </c>
      <c r="AU106" s="21">
        <f>IF(ISNUMBER(tblData[[#This Row],[Days'# US]]),betaUS/(deltaUS+betaPodeltaUS*EXP(-betaUS*tblData[Days'# US])),"")</f>
        <v>161902.4014678362</v>
      </c>
      <c r="AV106" s="11" t="str">
        <f>IF(ISNUMBER(tblData[US]),(tblData[[#This Row],[US LogiP(t)]]-tblData[US])^2,"")</f>
        <v/>
      </c>
      <c r="AW106" s="21">
        <f>IF(ISNUMBER(tblData[[#This Row],[Days'# US]]),tblData[[#This Row],[US LogiP(t)]]/$AV$9,"")</f>
        <v>4917.6414635428755</v>
      </c>
      <c r="AX106" s="21">
        <f>IF(tblData[Date]&gt;=StartDt2Korea,betaSKorea/(deltaSKorea+betaPodeltaSKorea*EXP(-betaSKorea*(tblData[Date]-StartDt2Korea))),"")</f>
        <v>8492.3988853043793</v>
      </c>
      <c r="AY106" s="21" t="str">
        <f>IF(AND(tblData[Date]&gt;=StartDt2Korea,ISNUMBER(tblData[SKorea])),(tblData[[#This Row],[SKorea LogiP(t)]]-tblData[[#This Row],[SKorea]])^2,"")</f>
        <v/>
      </c>
      <c r="AZ106" s="21">
        <f>IF(tblData[Date]&gt;=StartDt2Korea,tblData[[#This Row],[SKorea LogiP(t)]]/$AY$9,"")</f>
        <v>1652.2176819658328</v>
      </c>
      <c r="BA106" s="83">
        <f>IF(ISNUMBER(tblData[Days'# UK]),betaUK/(deltaUK+betaPodeltaUK*EXP(-betaUK*tblData[Days'# UK])),"")</f>
        <v>110763.52166616597</v>
      </c>
      <c r="BB106" s="83" t="str">
        <f>IF(ISNUMBER(tblData[UK]),(tblData[[#This Row],[UK LogiP(t)]]-tblData[[#This Row],[UK]])^2,"")</f>
        <v/>
      </c>
      <c r="BC106" s="83">
        <f>IF(ISNUMBER(tblData[Days'# UK]),tblData[[#This Row],[UK LogiP(t)]]/$BB$9,"")</f>
        <v>16671.210365166462</v>
      </c>
      <c r="BD106" s="11">
        <f>IF(ISNUMBER(tblData[Days'# China]),betaChina/(deltaChina+betaPodeltaChina*EXP(-betaChina*tblData[Days'# China])),"")</f>
        <v>80978.984145705021</v>
      </c>
      <c r="BE106" s="11" t="str">
        <f>IF(ISNUMBER(tblData[China]),(tblData[[#This Row],[China LogiP(t)]]-tblData[[#This Row],[China]])^2,"")</f>
        <v/>
      </c>
      <c r="BF106" s="11">
        <f>tblData[[#This Row],[China LogiP(t)]]/$BE$9</f>
        <v>562.61826210327968</v>
      </c>
      <c r="BG106" s="11">
        <f>IF(ISNUMBER(tblData[Day'# Singapore]),betaSingapore/(deltaSingapore+betaPodeltaSingapore*EXP(-betaSingapore*tblData[Day'# Singapore])),"")</f>
        <v>1513450.3501093839</v>
      </c>
      <c r="BH106" s="11" t="str">
        <f>IF(AND(ISNUMBER(tblData[Singapore]),tblData[Date]&gt;=StartDt2Singapore),(tblData[[#This Row],[Singapore LogiP(t)]]-tblData[[#This Row],[Singapore]])^2,"")</f>
        <v/>
      </c>
      <c r="BI106" s="11">
        <f>IF(ISNUMBER(tblData[Day'# Singapore]),tblData[Singapore LogiP(t)]/$BH$9,"")</f>
        <v>2587094.6155715967</v>
      </c>
      <c r="BJ106" s="11"/>
      <c r="BK106" s="11"/>
      <c r="BL106" s="11" t="str">
        <f>IF(ISNUMBER(tblData[[#This Row],[NSW Number of Tests]]),tblData[[#This Row],[NSW Number of Tests]]-BJ105,"")</f>
        <v/>
      </c>
      <c r="BM106" s="11" t="str">
        <f>IF(ISNUMBER(tblData[[#This Row],[NSW Under Investigation'']]),tblData[[#This Row],[NSW Under Investigation'']]-BK105,"")</f>
        <v/>
      </c>
      <c r="BN106" s="11"/>
      <c r="BO106" s="11" t="str">
        <f>IF(ISNUMBER(tblData[[#This Row],[NSW Test Day Number]]),betaTest/(deltaTest+betaPodeltaTest*EXP(-betaTest*tblData[[#This Row],[NSW Test Day Number]])),"")</f>
        <v/>
      </c>
      <c r="BP106" s="11" t="str">
        <f>IF(ISNUMBER(tblData[[#This Row],[NSW Number of Tests]]),(tblData[[#This Row],[NSW Number of Tests]]-tblData[[#This Row],[NSW Test Logi]])^2,"")</f>
        <v/>
      </c>
      <c r="BR106"/>
      <c r="BV106" s="26"/>
      <c r="CE106"/>
      <c r="CF106"/>
      <c r="CG106"/>
      <c r="CH106" s="26"/>
      <c r="CS106" s="26"/>
      <c r="CT106" s="26"/>
      <c r="DM106"/>
      <c r="DN106" t="s">
        <v>1265</v>
      </c>
      <c r="DO106" s="80">
        <v>43913.916215277779</v>
      </c>
      <c r="DP106" s="27">
        <v>43852</v>
      </c>
      <c r="DQ106" s="27">
        <v>43880</v>
      </c>
      <c r="DR106">
        <v>5</v>
      </c>
      <c r="DS106">
        <v>0.31038865067069232</v>
      </c>
      <c r="DT106">
        <v>3.6548995738742622E-5</v>
      </c>
      <c r="DU106">
        <v>200.10242498173187</v>
      </c>
      <c r="DV106" s="107">
        <v>8492.3988853043793</v>
      </c>
      <c r="DW106">
        <v>198.05252918764555</v>
      </c>
      <c r="DX106">
        <v>1.5145998756406467E-3</v>
      </c>
      <c r="DY106" s="110">
        <v>3.6548995738742623E-2</v>
      </c>
      <c r="EA106" s="27">
        <v>43913</v>
      </c>
      <c r="EB106" t="s">
        <v>1913</v>
      </c>
      <c r="EC106" s="26">
        <v>8492.3988853043793</v>
      </c>
      <c r="ED106" s="112">
        <v>8961</v>
      </c>
      <c r="EE106" t="s">
        <v>1914</v>
      </c>
      <c r="EF106" s="27">
        <v>43913</v>
      </c>
      <c r="EG106">
        <v>62</v>
      </c>
      <c r="EH106" t="s">
        <v>1915</v>
      </c>
      <c r="EJ106" t="s">
        <v>1916</v>
      </c>
      <c r="EK106" t="s">
        <v>1490</v>
      </c>
      <c r="EL106" t="s">
        <v>1917</v>
      </c>
      <c r="EM106">
        <v>1743.3852140077822</v>
      </c>
      <c r="EN106" s="94">
        <v>43893</v>
      </c>
      <c r="EO106">
        <v>20</v>
      </c>
      <c r="EP106" s="94">
        <v>43891</v>
      </c>
      <c r="EQ106">
        <v>22</v>
      </c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</row>
    <row r="107" spans="2:183" x14ac:dyDescent="0.25">
      <c r="B107" s="27">
        <f t="shared" si="14"/>
        <v>44110</v>
      </c>
      <c r="D107" s="26"/>
      <c r="L107" s="12" t="str">
        <f>IF(ISNUMBER(tblData[[#This Row],[NSW]]),tblData[[#This Row],[New South Wales]]/$L$9,"")</f>
        <v/>
      </c>
      <c r="M107" s="26"/>
      <c r="N107" s="48" t="str">
        <f>IF(ISNUMBER(tblData[Italy]),tblData[Italy]/$N$9,"")</f>
        <v/>
      </c>
      <c r="O107" s="26"/>
      <c r="P107" s="48" t="str">
        <f>IF(ISNUMBER(tblData[US]),tblData[US]/$P$9,"")</f>
        <v/>
      </c>
      <c r="Q107" s="48"/>
      <c r="R107" s="19" t="str">
        <f>IF(ISNUMBER(tblData[SKorea]),tblData[SKorea]/$R$9,"")</f>
        <v/>
      </c>
      <c r="S107" s="48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1"/>
      <c r="X107" s="21" t="str">
        <f>IF(ISNUMBER(tblData[Singapore]),tblData[Singapore]/$X$9,"")</f>
        <v/>
      </c>
      <c r="Y107" s="21"/>
      <c r="Z107" s="21"/>
      <c r="AA107" s="26">
        <f>IF(tblData[[#This Row],[Date]]&lt;ItalyStart,"",tblData[[#This Row],[Date]]-ItalyStart)</f>
        <v>250</v>
      </c>
      <c r="AB107" s="26">
        <f t="shared" si="15"/>
        <v>240</v>
      </c>
      <c r="AC107" s="26">
        <f t="shared" si="13"/>
        <v>96</v>
      </c>
      <c r="AD107" s="26">
        <f>IF(tblData[[#This Row],[Date]]&lt;StartDt2Korea,"",tblData[[#This Row],[Date]]-StartDt2Korea)</f>
        <v>230</v>
      </c>
      <c r="AE107" s="26">
        <f>IF(tblData[[#This Row],[Date]]&lt;UKStart,"",tblData[[#This Row],[Date]]-UKStart)</f>
        <v>250</v>
      </c>
      <c r="AF107" s="26">
        <f>IF(tblData[[#This Row],[Date]]&lt;SingaporeStart,"",tblData[[#This Row],[Date]]-SingaporeStart)</f>
        <v>257</v>
      </c>
      <c r="AG107">
        <f>IF(tblData[Date]&gt;=StartDt2Au,tblData[Date]-StartDt2Au,"")</f>
        <v>255</v>
      </c>
      <c r="AH107" s="26" t="str">
        <f>IF(tblData[New South Wales]&gt;0,SUM(tblData[[#This Row],[Australian Capital Territory]:[Western Australia]]),"")</f>
        <v/>
      </c>
      <c r="AI107" s="12" t="str">
        <f>IF(ISNUMBER(tblData[Au]),tblData[Au]/$AE$9,"")</f>
        <v/>
      </c>
      <c r="AJ107" s="43">
        <f>IF(ISNUMBER(tblData[[#This Row],[Day'# Aust]]),betaAu/(deltaAu+betaPodeltaAu*EXP(-betaAu*tblData[[#This Row],[Day'# Aust]])),"")</f>
        <v>214786713277.45486</v>
      </c>
      <c r="AK107" s="71">
        <f>IF(ISNUMBER(tblData[Day'# Aust]),tblData[Au LogiP(t)]/$AI$9,"")</f>
        <v>84681719475.41983</v>
      </c>
      <c r="AL107" s="11" t="str">
        <f>IF(AND(tblData[Date]&gt;=StartDt2Au,ISNUMBER(tblData[NSW])),(tblData[[#This Row],[Au LogiP(t)]]-tblData[[#This Row],[Au]])^2,"")</f>
        <v/>
      </c>
      <c r="AM107">
        <f>IF(tblData[Date]&gt;StartDt2NSW,tblData[Date]-StartDt2NSW,"")</f>
        <v>255</v>
      </c>
      <c r="AN107" s="26" t="str">
        <f t="shared" si="16"/>
        <v/>
      </c>
      <c r="AO107" s="11">
        <f>IF(tblData[Date]&gt;StartDt2NSW,betaNSW/(deltaNSW+betaPodeltaNSW*EXP(-betaNSW*tblData[[#This Row],[Day '# NSW]])),"")</f>
        <v>198338943857.49213</v>
      </c>
      <c r="AP107" s="12" t="str">
        <f>IF(AND(ISNUMBER(tblData[NSW]),tblData[Date]&gt;StartDt2NSW),(tblData[[#This Row],[NSW LogiP(t)]]-tblData[[#This Row],[NSW]])^2,"")</f>
        <v/>
      </c>
      <c r="AQ107" s="43">
        <f>IF(AND(tblData[Date]&gt;StartDt2NSW,ISNUMBER(tblData[Day'# Aust])),tblData[NSW LogiP(t)]/$AL$9,"")</f>
        <v>245468989922.63876</v>
      </c>
      <c r="AR107" s="11">
        <f>IF(AND(tblData[Date]&gt;StartDt2Italy,ISNUMBER(tblData[Days'# Italy])),betaItaly/(deltaItaly+betaPodeltaItaly*EXP(-betaItaly*tblData[Days'# Italy])),"")</f>
        <v>65423.849218858661</v>
      </c>
      <c r="AS107" s="11" t="str">
        <f>IF(AND(tblData[Date]&gt;StartDt2Italy,ISNUMBER(tblData[Italy])),(tblData[[#This Row],[Italy LogiP(t)]]-tblData[[#This Row],[Italy]])^2,"")</f>
        <v/>
      </c>
      <c r="AT107" s="43">
        <f>IF(AND(tblData[Date]&gt;StartDt2Italy,ISNUMBER(tblData[Days'# Italy])),tblData[[#This Row],[Italy LogiP(t)]]/$AS$9,"")</f>
        <v>10822.80384100226</v>
      </c>
      <c r="AU107" s="21">
        <f>IF(ISNUMBER(tblData[[#This Row],[Days'# US]]),betaUS/(deltaUS+betaPodeltaUS*EXP(-betaUS*tblData[Days'# US])),"")</f>
        <v>161902.4014678362</v>
      </c>
      <c r="AV107" s="11" t="str">
        <f>IF(ISNUMBER(tblData[US]),(tblData[[#This Row],[US LogiP(t)]]-tblData[US])^2,"")</f>
        <v/>
      </c>
      <c r="AW107" s="21">
        <f>IF(ISNUMBER(tblData[[#This Row],[Days'# US]]),tblData[[#This Row],[US LogiP(t)]]/$AV$9,"")</f>
        <v>4917.6414635428755</v>
      </c>
      <c r="AX107" s="21">
        <f>IF(tblData[Date]&gt;=StartDt2Korea,betaSKorea/(deltaSKorea+betaPodeltaSKorea*EXP(-betaSKorea*(tblData[Date]-StartDt2Korea))),"")</f>
        <v>8492.3988853043793</v>
      </c>
      <c r="AY107" s="21" t="str">
        <f>IF(AND(tblData[Date]&gt;=StartDt2Korea,ISNUMBER(tblData[SKorea])),(tblData[[#This Row],[SKorea LogiP(t)]]-tblData[[#This Row],[SKorea]])^2,"")</f>
        <v/>
      </c>
      <c r="AZ107" s="21">
        <f>IF(tblData[Date]&gt;=StartDt2Korea,tblData[[#This Row],[SKorea LogiP(t)]]/$AY$9,"")</f>
        <v>1652.2176819658328</v>
      </c>
      <c r="BA107" s="83">
        <f>IF(ISNUMBER(tblData[Days'# UK]),betaUK/(deltaUK+betaPodeltaUK*EXP(-betaUK*tblData[Days'# UK])),"")</f>
        <v>110763.52166616597</v>
      </c>
      <c r="BB107" s="83" t="str">
        <f>IF(ISNUMBER(tblData[UK]),(tblData[[#This Row],[UK LogiP(t)]]-tblData[[#This Row],[UK]])^2,"")</f>
        <v/>
      </c>
      <c r="BC107" s="83">
        <f>IF(ISNUMBER(tblData[Days'# UK]),tblData[[#This Row],[UK LogiP(t)]]/$BB$9,"")</f>
        <v>16671.210365166462</v>
      </c>
      <c r="BD107" s="11">
        <f>IF(ISNUMBER(tblData[Days'# China]),betaChina/(deltaChina+betaPodeltaChina*EXP(-betaChina*tblData[Days'# China])),"")</f>
        <v>80978.984715447528</v>
      </c>
      <c r="BE107" s="11" t="str">
        <f>IF(ISNUMBER(tblData[China]),(tblData[[#This Row],[China LogiP(t)]]-tblData[[#This Row],[China]])^2,"")</f>
        <v/>
      </c>
      <c r="BF107" s="11">
        <f>tblData[[#This Row],[China LogiP(t)]]/$BE$9</f>
        <v>562.6182660616837</v>
      </c>
      <c r="BG107" s="11">
        <f>IF(ISNUMBER(tblData[Day'# Singapore]),betaSingapore/(deltaSingapore+betaPodeltaSingapore*EXP(-betaSingapore*tblData[Day'# Singapore])),"")</f>
        <v>2058544.0334210531</v>
      </c>
      <c r="BH107" s="11" t="str">
        <f>IF(AND(ISNUMBER(tblData[Singapore]),tblData[Date]&gt;=StartDt2Singapore),(tblData[[#This Row],[Singapore LogiP(t)]]-tblData[[#This Row],[Singapore]])^2,"")</f>
        <v/>
      </c>
      <c r="BI107" s="11">
        <f>IF(ISNUMBER(tblData[Day'# Singapore]),tblData[Singapore LogiP(t)]/$BH$9,"")</f>
        <v>3518878.6896086382</v>
      </c>
      <c r="BJ107" s="11"/>
      <c r="BK107" s="11"/>
      <c r="BL107" s="11" t="str">
        <f>IF(ISNUMBER(tblData[[#This Row],[NSW Number of Tests]]),tblData[[#This Row],[NSW Number of Tests]]-BJ106,"")</f>
        <v/>
      </c>
      <c r="BM107" s="11" t="str">
        <f>IF(ISNUMBER(tblData[[#This Row],[NSW Under Investigation'']]),tblData[[#This Row],[NSW Under Investigation'']]-BK106,"")</f>
        <v/>
      </c>
      <c r="BN107" s="11"/>
      <c r="BO107" s="11" t="str">
        <f>IF(ISNUMBER(tblData[[#This Row],[NSW Test Day Number]]),betaTest/(deltaTest+betaPodeltaTest*EXP(-betaTest*tblData[[#This Row],[NSW Test Day Number]])),"")</f>
        <v/>
      </c>
      <c r="BP107" s="11" t="str">
        <f>IF(ISNUMBER(tblData[[#This Row],[NSW Number of Tests]]),(tblData[[#This Row],[NSW Number of Tests]]-tblData[[#This Row],[NSW Test Logi]])^2,"")</f>
        <v/>
      </c>
      <c r="BR107"/>
      <c r="BV107" s="26"/>
      <c r="CE107"/>
      <c r="CF107"/>
      <c r="CG107"/>
      <c r="CH107" s="26"/>
      <c r="CS107" s="26"/>
      <c r="CT107" s="26"/>
      <c r="DM107"/>
      <c r="DN107" t="s">
        <v>1236</v>
      </c>
      <c r="DO107" s="80">
        <v>43913.916226851848</v>
      </c>
      <c r="DP107" s="27">
        <v>43860</v>
      </c>
      <c r="DQ107" s="27">
        <v>43860</v>
      </c>
      <c r="DR107">
        <v>6</v>
      </c>
      <c r="DS107">
        <v>0.23594006273685905</v>
      </c>
      <c r="DT107">
        <v>2.1301242429612073E-6</v>
      </c>
      <c r="DU107">
        <v>2.9674631042839659E-2</v>
      </c>
      <c r="DV107" s="107">
        <v>110763.52166616597</v>
      </c>
      <c r="DW107">
        <v>87.808162964545772</v>
      </c>
      <c r="DX107">
        <v>7.9508991766601662</v>
      </c>
      <c r="DY107" s="110">
        <v>2.1301242429612073E-3</v>
      </c>
      <c r="EA107" s="27">
        <v>43912</v>
      </c>
      <c r="EB107" t="s">
        <v>1877</v>
      </c>
      <c r="EC107" s="26">
        <v>110763.52166616597</v>
      </c>
      <c r="ED107" s="112">
        <v>5741</v>
      </c>
      <c r="EE107" t="s">
        <v>1878</v>
      </c>
      <c r="EF107" s="27">
        <v>43912</v>
      </c>
      <c r="EG107">
        <v>53</v>
      </c>
      <c r="EH107" t="s">
        <v>1879</v>
      </c>
      <c r="EJ107" t="s">
        <v>1880</v>
      </c>
      <c r="EL107" t="s">
        <v>1881</v>
      </c>
      <c r="EM107">
        <v>864.08789885611077</v>
      </c>
      <c r="EN107" s="94">
        <v>43913</v>
      </c>
      <c r="EO107">
        <v>0</v>
      </c>
      <c r="EP107" s="94">
        <v>43911</v>
      </c>
      <c r="EQ107">
        <v>2</v>
      </c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</row>
    <row r="108" spans="2:183" s="26" customFormat="1" x14ac:dyDescent="0.25">
      <c r="B108" s="27">
        <f t="shared" si="14"/>
        <v>44117</v>
      </c>
      <c r="L108" s="12" t="str">
        <f>IF(ISNUMBER(tblData[[#This Row],[NSW]]),tblData[[#This Row],[New South Wales]]/$L$9,"")</f>
        <v/>
      </c>
      <c r="N108" s="48" t="str">
        <f>IF(ISNUMBER(tblData[Italy]),tblData[Italy]/$N$9,"")</f>
        <v/>
      </c>
      <c r="P108" s="48" t="str">
        <f>IF(ISNUMBER(tblData[US]),tblData[US]/$P$9,"")</f>
        <v/>
      </c>
      <c r="Q108" s="48"/>
      <c r="R108" s="19" t="str">
        <f>IF(ISNUMBER(tblData[SKorea]),tblData[SKorea]/$R$9,"")</f>
        <v/>
      </c>
      <c r="S108" s="48"/>
      <c r="T108" s="12" t="str">
        <f>IF(ISNUMBER(tblData[UK]),tblData[UK]/$T$9,"")</f>
        <v/>
      </c>
      <c r="V108" s="21" t="str">
        <f>IF(ISNUMBER(tblData[China]),tblData[China]/$V$9,"")</f>
        <v/>
      </c>
      <c r="W108" s="21"/>
      <c r="X108" s="21" t="str">
        <f>IF(ISNUMBER(tblData[Singapore]),tblData[Singapore]/$X$9,"")</f>
        <v/>
      </c>
      <c r="Y108" s="21"/>
      <c r="Z108" s="21"/>
      <c r="AA108" s="26">
        <f>IF(tblData[[#This Row],[Date]]&lt;ItalyStart,"",tblData[[#This Row],[Date]]-ItalyStart)</f>
        <v>257</v>
      </c>
      <c r="AB108" s="26">
        <f t="shared" si="15"/>
        <v>247</v>
      </c>
      <c r="AC108" s="26">
        <f t="shared" ref="AC108" si="17">AC107+1</f>
        <v>97</v>
      </c>
      <c r="AD108" s="26">
        <f>IF(tblData[[#This Row],[Date]]&lt;StartDt2Korea,"",tblData[[#This Row],[Date]]-StartDt2Korea)</f>
        <v>237</v>
      </c>
      <c r="AE108" s="26">
        <f>IF(tblData[[#This Row],[Date]]&lt;UKStart,"",tblData[[#This Row],[Date]]-UKStart)</f>
        <v>257</v>
      </c>
      <c r="AF108" s="26">
        <f>IF(tblData[[#This Row],[Date]]&lt;SingaporeStart,"",tblData[[#This Row],[Date]]-SingaporeStart)</f>
        <v>264</v>
      </c>
      <c r="AG108" s="26">
        <f>IF(tblData[Date]&gt;=StartDt2Au,tblData[Date]-StartDt2Au,"")</f>
        <v>262</v>
      </c>
      <c r="AH108" s="26" t="str">
        <f>IF(tblData[New South Wales]&gt;0,SUM(tblData[[#This Row],[Australian Capital Territory]:[Western Australia]]),"")</f>
        <v/>
      </c>
      <c r="AI108" s="12" t="str">
        <f>IF(ISNUMBER(tblData[Au]),tblData[Au]/$AE$9,"")</f>
        <v/>
      </c>
      <c r="AJ108" s="43">
        <f>IF(ISNUMBER(tblData[[#This Row],[Day'# Aust]]),betaAu/(deltaAu+betaPodeltaAu*EXP(-betaAu*tblData[[#This Row],[Day'# Aust]])),"")</f>
        <v>214786713286.40222</v>
      </c>
      <c r="AK108" s="71">
        <f>IF(ISNUMBER(tblData[Day'# Aust]),tblData[Au LogiP(t)]/$AI$9,"")</f>
        <v>84681719478.947418</v>
      </c>
      <c r="AL108" s="11" t="str">
        <f>IF(AND(tblData[Date]&gt;=StartDt2Au,ISNUMBER(tblData[NSW])),(tblData[[#This Row],[Au LogiP(t)]]-tblData[[#This Row],[Au]])^2,"")</f>
        <v/>
      </c>
      <c r="AM108" s="26">
        <f>IF(tblData[Date]&gt;StartDt2NSW,tblData[Date]-StartDt2NSW,"")</f>
        <v>262</v>
      </c>
      <c r="AN108" s="26" t="str">
        <f t="shared" si="16"/>
        <v/>
      </c>
      <c r="AO108" s="11">
        <f>IF(tblData[Date]&gt;StartDt2NSW,betaNSW/(deltaNSW+betaPodeltaNSW*EXP(-betaNSW*tblData[[#This Row],[Day '# NSW]])),"")</f>
        <v>198338944323.89188</v>
      </c>
      <c r="AP108" s="12" t="str">
        <f>IF(AND(ISNUMBER(tblData[NSW]),tblData[Date]&gt;StartDt2NSW),(tblData[[#This Row],[NSW LogiP(t)]]-tblData[[#This Row],[NSW]])^2,"")</f>
        <v/>
      </c>
      <c r="AQ108" s="43">
        <f>IF(AND(tblData[Date]&gt;StartDt2NSW,ISNUMBER(tblData[Day'# Aust])),tblData[NSW LogiP(t)]/$AL$9,"")</f>
        <v>245468990499.86618</v>
      </c>
      <c r="AR108" s="11">
        <f>IF(AND(tblData[Date]&gt;StartDt2Italy,ISNUMBER(tblData[Days'# Italy])),betaItaly/(deltaItaly+betaPodeltaItaly*EXP(-betaItaly*tblData[Days'# Italy])),"")</f>
        <v>65423.849218858661</v>
      </c>
      <c r="AS108" s="11" t="str">
        <f>IF(AND(tblData[Date]&gt;StartDt2Italy,ISNUMBER(tblData[Italy])),(tblData[[#This Row],[Italy LogiP(t)]]-tblData[[#This Row],[Italy]])^2,"")</f>
        <v/>
      </c>
      <c r="AT108" s="43">
        <f>IF(AND(tblData[Date]&gt;StartDt2Italy,ISNUMBER(tblData[Days'# Italy])),tblData[[#This Row],[Italy LogiP(t)]]/$AS$9,"")</f>
        <v>10822.80384100226</v>
      </c>
      <c r="AU108" s="21">
        <f>IF(ISNUMBER(tblData[[#This Row],[Days'# US]]),betaUS/(deltaUS+betaPodeltaUS*EXP(-betaUS*tblData[Days'# US])),"")</f>
        <v>161902.4014678362</v>
      </c>
      <c r="AV108" s="11" t="str">
        <f>IF(ISNUMBER(tblData[US]),(tblData[[#This Row],[US LogiP(t)]]-tblData[US])^2,"")</f>
        <v/>
      </c>
      <c r="AW108" s="21">
        <f>IF(ISNUMBER(tblData[[#This Row],[Days'# US]]),tblData[[#This Row],[US LogiP(t)]]/$AV$9,"")</f>
        <v>4917.6414635428755</v>
      </c>
      <c r="AX108" s="21">
        <f>IF(tblData[Date]&gt;=StartDt2Korea,betaSKorea/(deltaSKorea+betaPodeltaSKorea*EXP(-betaSKorea*(tblData[Date]-StartDt2Korea))),"")</f>
        <v>8492.3988853043793</v>
      </c>
      <c r="AY108" s="21" t="str">
        <f>IF(AND(tblData[Date]&gt;=StartDt2Korea,ISNUMBER(tblData[SKorea])),(tblData[[#This Row],[SKorea LogiP(t)]]-tblData[[#This Row],[SKorea]])^2,"")</f>
        <v/>
      </c>
      <c r="AZ108" s="21">
        <f>IF(tblData[Date]&gt;=StartDt2Korea,tblData[[#This Row],[SKorea LogiP(t)]]/$AY$9,"")</f>
        <v>1652.2176819658328</v>
      </c>
      <c r="BA108" s="83">
        <f>IF(ISNUMBER(tblData[Days'# UK]),betaUK/(deltaUK+betaPodeltaUK*EXP(-betaUK*tblData[Days'# UK])),"")</f>
        <v>110763.52166616597</v>
      </c>
      <c r="BB108" s="83" t="str">
        <f>IF(ISNUMBER(tblData[UK]),(tblData[[#This Row],[UK LogiP(t)]]-tblData[[#This Row],[UK]])^2,"")</f>
        <v/>
      </c>
      <c r="BC108" s="83">
        <f>IF(ISNUMBER(tblData[Days'# UK]),tblData[[#This Row],[UK LogiP(t)]]/$BB$9,"")</f>
        <v>16671.210365166462</v>
      </c>
      <c r="BD108" s="11">
        <f>IF(ISNUMBER(tblData[Days'# China]),betaChina/(deltaChina+betaPodeltaChina*EXP(-betaChina*tblData[Days'# China])),"")</f>
        <v>80978.98517169783</v>
      </c>
      <c r="BE108" s="11" t="str">
        <f>IF(ISNUMBER(tblData[China]),(tblData[[#This Row],[China LogiP(t)]]-tblData[[#This Row],[China]])^2,"")</f>
        <v/>
      </c>
      <c r="BF108" s="11">
        <f>tblData[[#This Row],[China LogiP(t)]]/$BE$9</f>
        <v>562.61826923157719</v>
      </c>
      <c r="BG108" s="11">
        <f>IF(ISNUMBER(tblData[Day'# Singapore]),betaSingapore/(deltaSingapore+betaPodeltaSingapore*EXP(-betaSingapore*tblData[Day'# Singapore])),"")</f>
        <v>2799949.5361227649</v>
      </c>
      <c r="BH108" s="11" t="str">
        <f>IF(AND(ISNUMBER(tblData[Singapore]),tblData[Date]&gt;=StartDt2Singapore),(tblData[[#This Row],[Singapore LogiP(t)]]-tblData[[#This Row],[Singapore]])^2,"")</f>
        <v/>
      </c>
      <c r="BI108" s="11">
        <f>IF(ISNUMBER(tblData[Day'# Singapore]),tblData[Singapore LogiP(t)]/$BH$9,"")</f>
        <v>4786238.5232867775</v>
      </c>
      <c r="BJ108" s="11"/>
      <c r="BK108" s="11"/>
      <c r="BL108" s="11" t="str">
        <f>IF(ISNUMBER(tblData[[#This Row],[NSW Number of Tests]]),tblData[[#This Row],[NSW Number of Tests]]-BJ107,"")</f>
        <v/>
      </c>
      <c r="BM108" s="11" t="str">
        <f>IF(ISNUMBER(tblData[[#This Row],[NSW Under Investigation'']]),tblData[[#This Row],[NSW Under Investigation'']]-BK107,"")</f>
        <v/>
      </c>
      <c r="BN108" s="11"/>
      <c r="BO108" s="11" t="str">
        <f>IF(ISNUMBER(tblData[[#This Row],[NSW Test Day Number]]),betaTest/(deltaTest+betaPodeltaTest*EXP(-betaTest*tblData[[#This Row],[NSW Test Day Number]])),"")</f>
        <v/>
      </c>
      <c r="BP108" s="11" t="str">
        <f>IF(ISNUMBER(tblData[[#This Row],[NSW Number of Tests]]),(tblData[[#This Row],[NSW Number of Tests]]-tblData[[#This Row],[NSW Test Logi]])^2,"")</f>
        <v/>
      </c>
      <c r="BS108"/>
      <c r="BU108"/>
      <c r="BW108"/>
      <c r="BX108"/>
      <c r="BY108"/>
      <c r="BZ108"/>
      <c r="CA108"/>
      <c r="CB108"/>
      <c r="CC108"/>
      <c r="CD108"/>
      <c r="CE108"/>
      <c r="CF108"/>
      <c r="CG108"/>
      <c r="CI108"/>
      <c r="CJ108"/>
      <c r="CK108"/>
      <c r="CL108"/>
      <c r="CM108"/>
      <c r="CN108"/>
      <c r="CO108"/>
      <c r="CP108"/>
      <c r="CQ108"/>
      <c r="CR108"/>
      <c r="CU108"/>
      <c r="CV108"/>
      <c r="CW108"/>
      <c r="CX108"/>
      <c r="CY108"/>
      <c r="CZ108"/>
      <c r="DA108"/>
      <c r="DB108"/>
      <c r="DC108"/>
      <c r="DD108"/>
      <c r="DE108"/>
      <c r="DN108" t="s">
        <v>40</v>
      </c>
      <c r="DO108" s="80">
        <v>43913.916238425925</v>
      </c>
      <c r="DP108" s="27">
        <v>43853</v>
      </c>
      <c r="DQ108" s="27">
        <v>43853</v>
      </c>
      <c r="DR108">
        <v>6</v>
      </c>
      <c r="DS108">
        <v>4.3945616156224152E-2</v>
      </c>
      <c r="DT108">
        <v>1.0000000045861967E-12</v>
      </c>
      <c r="DU108">
        <v>625.27317338720138</v>
      </c>
      <c r="DV108" s="107">
        <v>43945615954.680916</v>
      </c>
      <c r="DW108">
        <v>33.199544473907444</v>
      </c>
      <c r="DX108">
        <v>1.7150116439525903E-3</v>
      </c>
      <c r="DY108" s="110">
        <v>3.8254432735924097E-2</v>
      </c>
      <c r="DZ108"/>
      <c r="EA108" s="27">
        <v>43912</v>
      </c>
      <c r="EB108" t="s">
        <v>1882</v>
      </c>
      <c r="EC108" s="26">
        <v>44577267.854490131</v>
      </c>
      <c r="ED108" s="112">
        <v>455</v>
      </c>
      <c r="EE108" t="s">
        <v>1883</v>
      </c>
      <c r="EF108" s="27">
        <v>43912</v>
      </c>
      <c r="EG108">
        <v>61</v>
      </c>
      <c r="EH108" t="s">
        <v>1884</v>
      </c>
      <c r="EI108"/>
      <c r="EJ108" t="s">
        <v>1885</v>
      </c>
      <c r="EK108"/>
      <c r="EL108" t="s">
        <v>1886</v>
      </c>
      <c r="EM108">
        <v>777.77777777777783</v>
      </c>
      <c r="EN108" s="94">
        <v>43913</v>
      </c>
      <c r="EO108">
        <v>0</v>
      </c>
      <c r="EP108" s="94">
        <v>43911</v>
      </c>
      <c r="EQ108">
        <v>2</v>
      </c>
      <c r="ER108"/>
    </row>
    <row r="109" spans="2:183" s="26" customFormat="1" x14ac:dyDescent="0.25">
      <c r="B109" s="27">
        <f t="shared" si="14"/>
        <v>44124</v>
      </c>
      <c r="L109" s="12" t="str">
        <f>IF(ISNUMBER(tblData[[#This Row],[NSW]]),tblData[[#This Row],[New South Wales]]/$L$9,"")</f>
        <v/>
      </c>
      <c r="N109" s="48" t="str">
        <f>IF(ISNUMBER(tblData[Italy]),tblData[Italy]/$N$9,"")</f>
        <v/>
      </c>
      <c r="P109" s="48" t="str">
        <f>IF(ISNUMBER(tblData[US]),tblData[US]/$P$9,"")</f>
        <v/>
      </c>
      <c r="Q109" s="48"/>
      <c r="R109" s="19" t="str">
        <f>IF(ISNUMBER(tblData[SKorea]),tblData[SKorea]/$R$9,"")</f>
        <v/>
      </c>
      <c r="S109" s="48"/>
      <c r="T109" s="12" t="str">
        <f>IF(ISNUMBER(tblData[UK]),tblData[UK]/$T$9,"")</f>
        <v/>
      </c>
      <c r="V109" s="21" t="str">
        <f>IF(ISNUMBER(tblData[China]),tblData[China]/$V$9,"")</f>
        <v/>
      </c>
      <c r="W109" s="21"/>
      <c r="X109" s="21" t="str">
        <f>IF(ISNUMBER(tblData[Singapore]),tblData[Singapore]/$X$9,"")</f>
        <v/>
      </c>
      <c r="Y109" s="21"/>
      <c r="Z109" s="21"/>
      <c r="AA109" s="26">
        <f>IF(tblData[[#This Row],[Date]]&lt;ItalyStart,"",tblData[[#This Row],[Date]]-ItalyStart)</f>
        <v>264</v>
      </c>
      <c r="AB109" s="26">
        <f t="shared" si="15"/>
        <v>254</v>
      </c>
      <c r="AC109" s="26">
        <f t="shared" ref="AC109" si="18">AC108+1</f>
        <v>98</v>
      </c>
      <c r="AD109" s="26">
        <f>IF(tblData[[#This Row],[Date]]&lt;StartDt2Korea,"",tblData[[#This Row],[Date]]-StartDt2Korea)</f>
        <v>244</v>
      </c>
      <c r="AE109" s="26">
        <f>IF(tblData[[#This Row],[Date]]&lt;UKStart,"",tblData[[#This Row],[Date]]-UKStart)</f>
        <v>264</v>
      </c>
      <c r="AF109" s="26">
        <f>IF(tblData[[#This Row],[Date]]&lt;SingaporeStart,"",tblData[[#This Row],[Date]]-SingaporeStart)</f>
        <v>271</v>
      </c>
      <c r="AG109" s="26">
        <f>IF(tblData[Date]&gt;=StartDt2Au,tblData[Date]-StartDt2Au,"")</f>
        <v>269</v>
      </c>
      <c r="AH109" s="26" t="str">
        <f>IF(tblData[New South Wales]&gt;0,SUM(tblData[[#This Row],[Australian Capital Territory]:[Western Australia]]),"")</f>
        <v/>
      </c>
      <c r="AI109" s="12" t="str">
        <f>IF(ISNUMBER(tblData[Au]),tblData[Au]/$AE$9,"")</f>
        <v/>
      </c>
      <c r="AJ109" s="43">
        <f>IF(ISNUMBER(tblData[[#This Row],[Day'# Aust]]),betaAu/(deltaAu+betaPodeltaAu*EXP(-betaAu*tblData[[#This Row],[Day'# Aust]])),"")</f>
        <v>214786713288.39163</v>
      </c>
      <c r="AK109" s="71">
        <f>IF(ISNUMBER(tblData[Day'# Aust]),tblData[Au LogiP(t)]/$AI$9,"")</f>
        <v>84681719479.731766</v>
      </c>
      <c r="AL109" s="11" t="str">
        <f>IF(AND(tblData[Date]&gt;=StartDt2Au,ISNUMBER(tblData[NSW])),(tblData[[#This Row],[Au LogiP(t)]]-tblData[[#This Row],[Au]])^2,"")</f>
        <v/>
      </c>
      <c r="AM109" s="26">
        <f>IF(tblData[Date]&gt;StartDt2NSW,tblData[Date]-StartDt2NSW,"")</f>
        <v>269</v>
      </c>
      <c r="AN109" s="26" t="str">
        <f t="shared" si="16"/>
        <v/>
      </c>
      <c r="AO109" s="11">
        <f>IF(tblData[Date]&gt;StartDt2NSW,betaNSW/(deltaNSW+betaPodeltaNSW*EXP(-betaNSW*tblData[[#This Row],[Day '# NSW]])),"")</f>
        <v>198338944440.24979</v>
      </c>
      <c r="AP109" s="12" t="str">
        <f>IF(AND(ISNUMBER(tblData[NSW]),tblData[Date]&gt;StartDt2NSW),(tblData[[#This Row],[NSW LogiP(t)]]-tblData[[#This Row],[NSW]])^2,"")</f>
        <v/>
      </c>
      <c r="AQ109" s="43">
        <f>IF(AND(tblData[Date]&gt;StartDt2NSW,ISNUMBER(tblData[Day'# Aust])),tblData[NSW LogiP(t)]/$AL$9,"")</f>
        <v>245468990643.87347</v>
      </c>
      <c r="AR109" s="11">
        <f>IF(AND(tblData[Date]&gt;StartDt2Italy,ISNUMBER(tblData[Days'# Italy])),betaItaly/(deltaItaly+betaPodeltaItaly*EXP(-betaItaly*tblData[Days'# Italy])),"")</f>
        <v>65423.849218858661</v>
      </c>
      <c r="AS109" s="11" t="str">
        <f>IF(AND(tblData[Date]&gt;StartDt2Italy,ISNUMBER(tblData[Italy])),(tblData[[#This Row],[Italy LogiP(t)]]-tblData[[#This Row],[Italy]])^2,"")</f>
        <v/>
      </c>
      <c r="AT109" s="43">
        <f>IF(AND(tblData[Date]&gt;StartDt2Italy,ISNUMBER(tblData[Days'# Italy])),tblData[[#This Row],[Italy LogiP(t)]]/$AS$9,"")</f>
        <v>10822.80384100226</v>
      </c>
      <c r="AU109" s="21">
        <f>IF(ISNUMBER(tblData[[#This Row],[Days'# US]]),betaUS/(deltaUS+betaPodeltaUS*EXP(-betaUS*tblData[Days'# US])),"")</f>
        <v>161902.4014678362</v>
      </c>
      <c r="AV109" s="11" t="str">
        <f>IF(ISNUMBER(tblData[US]),(tblData[[#This Row],[US LogiP(t)]]-tblData[US])^2,"")</f>
        <v/>
      </c>
      <c r="AW109" s="21">
        <f>IF(ISNUMBER(tblData[[#This Row],[Days'# US]]),tblData[[#This Row],[US LogiP(t)]]/$AV$9,"")</f>
        <v>4917.6414635428755</v>
      </c>
      <c r="AX109" s="21">
        <f>IF(tblData[Date]&gt;=StartDt2Korea,betaSKorea/(deltaSKorea+betaPodeltaSKorea*EXP(-betaSKorea*(tblData[Date]-StartDt2Korea))),"")</f>
        <v>8492.3988853043793</v>
      </c>
      <c r="AY109" s="21" t="str">
        <f>IF(AND(tblData[Date]&gt;=StartDt2Korea,ISNUMBER(tblData[SKorea])),(tblData[[#This Row],[SKorea LogiP(t)]]-tblData[[#This Row],[SKorea]])^2,"")</f>
        <v/>
      </c>
      <c r="AZ109" s="21">
        <f>IF(tblData[Date]&gt;=StartDt2Korea,tblData[[#This Row],[SKorea LogiP(t)]]/$AY$9,"")</f>
        <v>1652.2176819658328</v>
      </c>
      <c r="BA109" s="83">
        <f>IF(ISNUMBER(tblData[Days'# UK]),betaUK/(deltaUK+betaPodeltaUK*EXP(-betaUK*tblData[Days'# UK])),"")</f>
        <v>110763.52166616597</v>
      </c>
      <c r="BB109" s="83" t="str">
        <f>IF(ISNUMBER(tblData[UK]),(tblData[[#This Row],[UK LogiP(t)]]-tblData[[#This Row],[UK]])^2,"")</f>
        <v/>
      </c>
      <c r="BC109" s="83">
        <f>IF(ISNUMBER(tblData[Days'# UK]),tblData[[#This Row],[UK LogiP(t)]]/$BB$9,"")</f>
        <v>16671.210365166462</v>
      </c>
      <c r="BD109" s="11">
        <f>IF(ISNUMBER(tblData[Days'# China]),betaChina/(deltaChina+betaPodeltaChina*EXP(-betaChina*tblData[Days'# China])),"")</f>
        <v>80978.985537063461</v>
      </c>
      <c r="BE109" s="11" t="str">
        <f>IF(ISNUMBER(tblData[China]),(tblData[[#This Row],[China LogiP(t)]]-tblData[[#This Row],[China]])^2,"")</f>
        <v/>
      </c>
      <c r="BF109" s="11">
        <f>tblData[[#This Row],[China LogiP(t)]]/$BE$9</f>
        <v>562.61827177003056</v>
      </c>
      <c r="BG109" s="11">
        <f>IF(ISNUMBER(tblData[Day'# Singapore]),betaSingapore/(deltaSingapore+betaPodeltaSingapore*EXP(-betaSingapore*tblData[Day'# Singapore])),"")</f>
        <v>3808356.6052032369</v>
      </c>
      <c r="BH109" s="11" t="str">
        <f>IF(AND(ISNUMBER(tblData[Singapore]),tblData[Date]&gt;=StartDt2Singapore),(tblData[[#This Row],[Singapore LogiP(t)]]-tblData[[#This Row],[Singapore]])^2,"")</f>
        <v/>
      </c>
      <c r="BI109" s="11">
        <f>IF(ISNUMBER(tblData[Day'# Singapore]),tblData[Singapore LogiP(t)]/$BH$9,"")</f>
        <v>6510011.2909457041</v>
      </c>
      <c r="BJ109" s="11"/>
      <c r="BK109" s="11"/>
      <c r="BL109" s="11" t="str">
        <f>IF(ISNUMBER(tblData[[#This Row],[NSW Number of Tests]]),tblData[[#This Row],[NSW Number of Tests]]-BJ108,"")</f>
        <v/>
      </c>
      <c r="BM109" s="11" t="str">
        <f>IF(ISNUMBER(tblData[[#This Row],[NSW Under Investigation'']]),tblData[[#This Row],[NSW Under Investigation'']]-BK108,"")</f>
        <v/>
      </c>
      <c r="BN109" s="11"/>
      <c r="BO109" s="11" t="str">
        <f>IF(ISNUMBER(tblData[[#This Row],[NSW Test Day Number]]),betaTest/(deltaTest+betaPodeltaTest*EXP(-betaTest*tblData[[#This Row],[NSW Test Day Number]])),"")</f>
        <v/>
      </c>
      <c r="BP109" s="11" t="str">
        <f>IF(ISNUMBER(tblData[[#This Row],[NSW Number of Tests]]),(tblData[[#This Row],[NSW Number of Tests]]-tblData[[#This Row],[NSW Test Logi]])^2,"")</f>
        <v/>
      </c>
      <c r="BS109"/>
      <c r="BU109"/>
      <c r="BW109"/>
      <c r="BX109"/>
      <c r="BY109"/>
      <c r="BZ109"/>
      <c r="CA109"/>
      <c r="CB109"/>
      <c r="CC109"/>
      <c r="CD109"/>
      <c r="CE109"/>
      <c r="CF109"/>
      <c r="CG109"/>
      <c r="CI109"/>
      <c r="CJ109"/>
      <c r="CK109"/>
      <c r="CL109"/>
      <c r="CM109"/>
      <c r="CN109"/>
      <c r="CO109"/>
      <c r="CP109"/>
      <c r="CQ109"/>
      <c r="CR109"/>
      <c r="CU109"/>
      <c r="CV109"/>
      <c r="CW109"/>
      <c r="CX109"/>
      <c r="CY109"/>
      <c r="CZ109"/>
      <c r="DA109"/>
      <c r="DB109"/>
      <c r="DC109"/>
      <c r="DD109"/>
      <c r="DE109"/>
      <c r="DN109" t="s">
        <v>975</v>
      </c>
      <c r="DO109" s="80">
        <v>43913.916250000002</v>
      </c>
      <c r="DP109" s="27"/>
      <c r="DQ109" s="27">
        <v>43896</v>
      </c>
      <c r="DR109">
        <v>7</v>
      </c>
      <c r="DS109">
        <v>0.20209478104227763</v>
      </c>
      <c r="DT109">
        <v>1.0000000000000751E-10</v>
      </c>
      <c r="DU109">
        <v>5.7886977342360797E-3</v>
      </c>
      <c r="DV109" s="107">
        <v>2020947810.4226243</v>
      </c>
      <c r="DW109">
        <v>7900.5352282767808</v>
      </c>
      <c r="DX109">
        <v>34.911959532184611</v>
      </c>
      <c r="DY109" s="110">
        <v>1.0000000000000751E-7</v>
      </c>
      <c r="DZ109"/>
      <c r="EA109" s="27">
        <v>43913</v>
      </c>
      <c r="EB109" t="s">
        <v>988</v>
      </c>
      <c r="ED109" s="112">
        <v>56272</v>
      </c>
      <c r="EE109" t="s">
        <v>989</v>
      </c>
      <c r="EF109" s="27">
        <v>43913</v>
      </c>
      <c r="EG109">
        <v>18</v>
      </c>
      <c r="EH109" t="s">
        <v>1498</v>
      </c>
      <c r="EI109"/>
      <c r="EJ109" t="s">
        <v>1020</v>
      </c>
      <c r="EK109"/>
      <c r="EL109" t="s">
        <v>1706</v>
      </c>
      <c r="EM109"/>
      <c r="EN109" s="94"/>
      <c r="EO109"/>
      <c r="EP109" s="94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</row>
    <row r="110" spans="2:183" s="26" customFormat="1" x14ac:dyDescent="0.25">
      <c r="B110" s="27">
        <f t="shared" si="14"/>
        <v>44131</v>
      </c>
      <c r="L110" s="12" t="str">
        <f>IF(ISNUMBER(tblData[[#This Row],[NSW]]),tblData[[#This Row],[New South Wales]]/$L$9,"")</f>
        <v/>
      </c>
      <c r="N110" s="48" t="str">
        <f>IF(ISNUMBER(tblData[Italy]),tblData[Italy]/$N$9,"")</f>
        <v/>
      </c>
      <c r="P110" s="48" t="str">
        <f>IF(ISNUMBER(tblData[US]),tblData[US]/$P$9,"")</f>
        <v/>
      </c>
      <c r="Q110" s="48"/>
      <c r="R110" s="19" t="str">
        <f>IF(ISNUMBER(tblData[SKorea]),tblData[SKorea]/$R$9,"")</f>
        <v/>
      </c>
      <c r="S110" s="48"/>
      <c r="T110" s="12" t="str">
        <f>IF(ISNUMBER(tblData[UK]),tblData[UK]/$T$9,"")</f>
        <v/>
      </c>
      <c r="V110" s="21" t="str">
        <f>IF(ISNUMBER(tblData[China]),tblData[China]/$V$9,"")</f>
        <v/>
      </c>
      <c r="W110" s="21"/>
      <c r="X110" s="21" t="str">
        <f>IF(ISNUMBER(tblData[Singapore]),tblData[Singapore]/$X$9,"")</f>
        <v/>
      </c>
      <c r="Y110" s="21"/>
      <c r="Z110" s="21"/>
      <c r="AA110" s="26">
        <f>IF(tblData[[#This Row],[Date]]&lt;ItalyStart,"",tblData[[#This Row],[Date]]-ItalyStart)</f>
        <v>271</v>
      </c>
      <c r="AB110" s="26">
        <f t="shared" si="15"/>
        <v>261</v>
      </c>
      <c r="AC110" s="26">
        <f t="shared" ref="AC110" si="19">AC109+1</f>
        <v>99</v>
      </c>
      <c r="AD110" s="26">
        <f>IF(tblData[[#This Row],[Date]]&lt;StartDt2Korea,"",tblData[[#This Row],[Date]]-StartDt2Korea)</f>
        <v>251</v>
      </c>
      <c r="AE110" s="26">
        <f>IF(tblData[[#This Row],[Date]]&lt;UKStart,"",tblData[[#This Row],[Date]]-UKStart)</f>
        <v>271</v>
      </c>
      <c r="AF110" s="26">
        <f>IF(tblData[[#This Row],[Date]]&lt;SingaporeStart,"",tblData[[#This Row],[Date]]-SingaporeStart)</f>
        <v>278</v>
      </c>
      <c r="AG110" s="26">
        <f>IF(tblData[Date]&gt;=StartDt2Au,tblData[Date]-StartDt2Au,"")</f>
        <v>276</v>
      </c>
      <c r="AH110" s="26" t="str">
        <f>IF(tblData[New South Wales]&gt;0,SUM(tblData[[#This Row],[Australian Capital Territory]:[Western Australia]]),"")</f>
        <v/>
      </c>
      <c r="AI110" s="12" t="str">
        <f>IF(ISNUMBER(tblData[Au]),tblData[Au]/$AE$9,"")</f>
        <v/>
      </c>
      <c r="AJ110" s="43">
        <f>IF(ISNUMBER(tblData[[#This Row],[Day'# Aust]]),betaAu/(deltaAu+betaPodeltaAu*EXP(-betaAu*tblData[[#This Row],[Day'# Aust]])),"")</f>
        <v>214786713288.83398</v>
      </c>
      <c r="AK110" s="71">
        <f>IF(ISNUMBER(tblData[Day'# Aust]),tblData[Au LogiP(t)]/$AI$9,"")</f>
        <v>84681719479.906158</v>
      </c>
      <c r="AL110" s="11" t="str">
        <f>IF(AND(tblData[Date]&gt;=StartDt2Au,ISNUMBER(tblData[NSW])),(tblData[[#This Row],[Au LogiP(t)]]-tblData[[#This Row],[Au]])^2,"")</f>
        <v/>
      </c>
      <c r="AM110" s="26">
        <f>IF(tblData[Date]&gt;StartDt2NSW,tblData[Date]-StartDt2NSW,"")</f>
        <v>276</v>
      </c>
      <c r="AN110" s="26" t="str">
        <f t="shared" si="16"/>
        <v/>
      </c>
      <c r="AO110" s="11">
        <f>IF(tblData[Date]&gt;StartDt2NSW,betaNSW/(deltaNSW+betaPodeltaNSW*EXP(-betaNSW*tblData[[#This Row],[Day '# NSW]])),"")</f>
        <v>198338944469.27884</v>
      </c>
      <c r="AP110" s="12" t="str">
        <f>IF(AND(ISNUMBER(tblData[NSW]),tblData[Date]&gt;StartDt2NSW),(tblData[[#This Row],[NSW LogiP(t)]]-tblData[[#This Row],[NSW]])^2,"")</f>
        <v/>
      </c>
      <c r="AQ110" s="43">
        <f>IF(AND(tblData[Date]&gt;StartDt2NSW,ISNUMBER(tblData[Day'# Aust])),tblData[NSW LogiP(t)]/$AL$9,"")</f>
        <v>245468990679.80054</v>
      </c>
      <c r="AR110" s="11">
        <f>IF(AND(tblData[Date]&gt;StartDt2Italy,ISNUMBER(tblData[Days'# Italy])),betaItaly/(deltaItaly+betaPodeltaItaly*EXP(-betaItaly*tblData[Days'# Italy])),"")</f>
        <v>65423.849218858661</v>
      </c>
      <c r="AS110" s="11" t="str">
        <f>IF(AND(tblData[Date]&gt;StartDt2Italy,ISNUMBER(tblData[Italy])),(tblData[[#This Row],[Italy LogiP(t)]]-tblData[[#This Row],[Italy]])^2,"")</f>
        <v/>
      </c>
      <c r="AT110" s="43">
        <f>IF(AND(tblData[Date]&gt;StartDt2Italy,ISNUMBER(tblData[Days'# Italy])),tblData[[#This Row],[Italy LogiP(t)]]/$AS$9,"")</f>
        <v>10822.80384100226</v>
      </c>
      <c r="AU110" s="21">
        <f>IF(ISNUMBER(tblData[[#This Row],[Days'# US]]),betaUS/(deltaUS+betaPodeltaUS*EXP(-betaUS*tblData[Days'# US])),"")</f>
        <v>161902.4014678362</v>
      </c>
      <c r="AV110" s="11" t="str">
        <f>IF(ISNUMBER(tblData[US]),(tblData[[#This Row],[US LogiP(t)]]-tblData[US])^2,"")</f>
        <v/>
      </c>
      <c r="AW110" s="21">
        <f>IF(ISNUMBER(tblData[[#This Row],[Days'# US]]),tblData[[#This Row],[US LogiP(t)]]/$AV$9,"")</f>
        <v>4917.6414635428755</v>
      </c>
      <c r="AX110" s="21">
        <f>IF(tblData[Date]&gt;=StartDt2Korea,betaSKorea/(deltaSKorea+betaPodeltaSKorea*EXP(-betaSKorea*(tblData[Date]-StartDt2Korea))),"")</f>
        <v>8492.3988853043793</v>
      </c>
      <c r="AY110" s="21" t="str">
        <f>IF(AND(tblData[Date]&gt;=StartDt2Korea,ISNUMBER(tblData[SKorea])),(tblData[[#This Row],[SKorea LogiP(t)]]-tblData[[#This Row],[SKorea]])^2,"")</f>
        <v/>
      </c>
      <c r="AZ110" s="21">
        <f>IF(tblData[Date]&gt;=StartDt2Korea,tblData[[#This Row],[SKorea LogiP(t)]]/$AY$9,"")</f>
        <v>1652.2176819658328</v>
      </c>
      <c r="BA110" s="83">
        <f>IF(ISNUMBER(tblData[Days'# UK]),betaUK/(deltaUK+betaPodeltaUK*EXP(-betaUK*tblData[Days'# UK])),"")</f>
        <v>110763.52166616597</v>
      </c>
      <c r="BB110" s="83" t="str">
        <f>IF(ISNUMBER(tblData[UK]),(tblData[[#This Row],[UK LogiP(t)]]-tblData[[#This Row],[UK]])^2,"")</f>
        <v/>
      </c>
      <c r="BC110" s="83">
        <f>IF(ISNUMBER(tblData[Days'# UK]),tblData[[#This Row],[UK LogiP(t)]]/$BB$9,"")</f>
        <v>16671.210365166462</v>
      </c>
      <c r="BD110" s="11">
        <f>IF(ISNUMBER(tblData[Days'# China]),betaChina/(deltaChina+betaPodeltaChina*EXP(-betaChina*tblData[Days'# China])),"")</f>
        <v>80978.985829648562</v>
      </c>
      <c r="BE110" s="11" t="str">
        <f>IF(ISNUMBER(tblData[China]),(tblData[[#This Row],[China LogiP(t)]]-tblData[[#This Row],[China]])^2,"")</f>
        <v/>
      </c>
      <c r="BF110" s="11">
        <f>tblData[[#This Row],[China LogiP(t)]]/$BE$9</f>
        <v>562.61827380282614</v>
      </c>
      <c r="BG110" s="11">
        <f>IF(ISNUMBER(tblData[Day'# Singapore]),betaSingapore/(deltaSingapore+betaPodeltaSingapore*EXP(-betaSingapore*tblData[Day'# Singapore])),"")</f>
        <v>5179900.5577490851</v>
      </c>
      <c r="BH110" s="11" t="str">
        <f>IF(AND(ISNUMBER(tblData[Singapore]),tblData[Date]&gt;=StartDt2Singapore),(tblData[[#This Row],[Singapore LogiP(t)]]-tblData[[#This Row],[Singapore]])^2,"")</f>
        <v/>
      </c>
      <c r="BI110" s="11">
        <f>IF(ISNUMBER(tblData[Day'# Singapore]),tblData[Singapore LogiP(t)]/$BH$9,"")</f>
        <v>8854530.8679471537</v>
      </c>
      <c r="BJ110" s="11"/>
      <c r="BK110" s="11"/>
      <c r="BL110" s="11" t="str">
        <f>IF(ISNUMBER(tblData[[#This Row],[NSW Number of Tests]]),tblData[[#This Row],[NSW Number of Tests]]-BJ109,"")</f>
        <v/>
      </c>
      <c r="BM110" s="11" t="str">
        <f>IF(ISNUMBER(tblData[[#This Row],[NSW Under Investigation'']]),tblData[[#This Row],[NSW Under Investigation'']]-BK109,"")</f>
        <v/>
      </c>
      <c r="BN110" s="11"/>
      <c r="BO110" s="11" t="str">
        <f>IF(ISNUMBER(tblData[[#This Row],[NSW Test Day Number]]),betaTest/(deltaTest+betaPodeltaTest*EXP(-betaTest*tblData[[#This Row],[NSW Test Day Number]])),"")</f>
        <v/>
      </c>
      <c r="BP110" s="11" t="str">
        <f>IF(ISNUMBER(tblData[[#This Row],[NSW Number of Tests]]),(tblData[[#This Row],[NSW Number of Tests]]-tblData[[#This Row],[NSW Test Logi]])^2,"")</f>
        <v/>
      </c>
      <c r="BS110"/>
      <c r="BU110"/>
      <c r="BW110"/>
      <c r="BX110"/>
      <c r="BY110"/>
      <c r="BZ110"/>
      <c r="CA110"/>
      <c r="CB110"/>
      <c r="CC110"/>
      <c r="CD110"/>
      <c r="CE110"/>
      <c r="CF110"/>
      <c r="CG110"/>
      <c r="CI110"/>
      <c r="CJ110"/>
      <c r="CK110"/>
      <c r="CL110"/>
      <c r="CM110"/>
      <c r="CN110"/>
      <c r="CO110"/>
      <c r="CP110"/>
      <c r="CQ110"/>
      <c r="CR110"/>
      <c r="CU110"/>
      <c r="CV110"/>
      <c r="DN110"/>
      <c r="DO110" s="80"/>
      <c r="DP110" s="27"/>
      <c r="DQ110" s="27"/>
      <c r="DR110"/>
      <c r="DS110"/>
      <c r="DT110"/>
      <c r="DU110"/>
      <c r="DV110" s="107"/>
      <c r="DW110"/>
      <c r="DX110"/>
      <c r="DY110" s="110"/>
      <c r="DZ110"/>
      <c r="EA110" s="27"/>
      <c r="EB110"/>
      <c r="ED110" s="112"/>
      <c r="EE110"/>
      <c r="EF110" s="27"/>
      <c r="EG110"/>
      <c r="EH110"/>
      <c r="EI110"/>
      <c r="EJ110"/>
      <c r="EK110"/>
      <c r="EL110"/>
      <c r="EM110"/>
      <c r="EN110" s="94"/>
      <c r="EO110"/>
      <c r="EP110" s="94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</row>
    <row r="111" spans="2:183" s="26" customFormat="1" x14ac:dyDescent="0.25">
      <c r="B111" s="27">
        <f t="shared" si="14"/>
        <v>44138</v>
      </c>
      <c r="L111" s="12" t="str">
        <f>IF(ISNUMBER(tblData[[#This Row],[NSW]]),tblData[[#This Row],[New South Wales]]/$L$9,"")</f>
        <v/>
      </c>
      <c r="N111" s="48" t="str">
        <f>IF(ISNUMBER(tblData[Italy]),tblData[Italy]/$N$9,"")</f>
        <v/>
      </c>
      <c r="P111" s="48" t="str">
        <f>IF(ISNUMBER(tblData[US]),tblData[US]/$P$9,"")</f>
        <v/>
      </c>
      <c r="Q111" s="48"/>
      <c r="R111" s="19" t="str">
        <f>IF(ISNUMBER(tblData[SKorea]),tblData[SKorea]/$R$9,"")</f>
        <v/>
      </c>
      <c r="S111" s="48"/>
      <c r="T111" s="12" t="str">
        <f>IF(ISNUMBER(tblData[UK]),tblData[UK]/$T$9,"")</f>
        <v/>
      </c>
      <c r="V111" s="21" t="str">
        <f>IF(ISNUMBER(tblData[China]),tblData[China]/$V$9,"")</f>
        <v/>
      </c>
      <c r="W111" s="21"/>
      <c r="X111" s="21" t="str">
        <f>IF(ISNUMBER(tblData[Singapore]),tblData[Singapore]/$X$9,"")</f>
        <v/>
      </c>
      <c r="Y111" s="21"/>
      <c r="Z111" s="21"/>
      <c r="AA111" s="26">
        <f>IF(tblData[[#This Row],[Date]]&lt;ItalyStart,"",tblData[[#This Row],[Date]]-ItalyStart)</f>
        <v>278</v>
      </c>
      <c r="AB111" s="26">
        <f t="shared" si="15"/>
        <v>268</v>
      </c>
      <c r="AC111" s="26">
        <f t="shared" ref="AC111" si="20">AC110+1</f>
        <v>100</v>
      </c>
      <c r="AD111" s="26">
        <f>IF(tblData[[#This Row],[Date]]&lt;StartDt2Korea,"",tblData[[#This Row],[Date]]-StartDt2Korea)</f>
        <v>258</v>
      </c>
      <c r="AE111" s="26">
        <f>IF(tblData[[#This Row],[Date]]&lt;UKStart,"",tblData[[#This Row],[Date]]-UKStart)</f>
        <v>278</v>
      </c>
      <c r="AF111" s="26">
        <f>IF(tblData[[#This Row],[Date]]&lt;SingaporeStart,"",tblData[[#This Row],[Date]]-SingaporeStart)</f>
        <v>285</v>
      </c>
      <c r="AG111" s="26">
        <f>IF(tblData[Date]&gt;=StartDt2Au,tblData[Date]-StartDt2Au,"")</f>
        <v>283</v>
      </c>
      <c r="AH111" s="26" t="str">
        <f>IF(tblData[New South Wales]&gt;0,SUM(tblData[[#This Row],[Australian Capital Territory]:[Western Australia]]),"")</f>
        <v/>
      </c>
      <c r="AI111" s="12" t="str">
        <f>IF(ISNUMBER(tblData[Au]),tblData[Au]/$AE$9,"")</f>
        <v/>
      </c>
      <c r="AJ111" s="43">
        <f>IF(ISNUMBER(tblData[[#This Row],[Day'# Aust]]),betaAu/(deltaAu+betaPodeltaAu*EXP(-betaAu*tblData[[#This Row],[Day'# Aust]])),"")</f>
        <v>214786713288.93237</v>
      </c>
      <c r="AK111" s="71">
        <f>IF(ISNUMBER(tblData[Day'# Aust]),tblData[Au LogiP(t)]/$AI$9,"")</f>
        <v>84681719479.944946</v>
      </c>
      <c r="AL111" s="11" t="str">
        <f>IF(AND(tblData[Date]&gt;=StartDt2Au,ISNUMBER(tblData[NSW])),(tblData[[#This Row],[Au LogiP(t)]]-tblData[[#This Row],[Au]])^2,"")</f>
        <v/>
      </c>
      <c r="AM111" s="26">
        <f>IF(tblData[Date]&gt;StartDt2NSW,tblData[Date]-StartDt2NSW,"")</f>
        <v>283</v>
      </c>
      <c r="AN111" s="26" t="str">
        <f t="shared" si="16"/>
        <v/>
      </c>
      <c r="AO111" s="11">
        <f>IF(tblData[Date]&gt;StartDt2NSW,betaNSW/(deltaNSW+betaPodeltaNSW*EXP(-betaNSW*tblData[[#This Row],[Day '# NSW]])),"")</f>
        <v>198338944476.52106</v>
      </c>
      <c r="AP111" s="12" t="str">
        <f>IF(AND(ISNUMBER(tblData[NSW]),tblData[Date]&gt;StartDt2NSW),(tblData[[#This Row],[NSW LogiP(t)]]-tblData[[#This Row],[NSW]])^2,"")</f>
        <v/>
      </c>
      <c r="AQ111" s="43">
        <f>IF(AND(tblData[Date]&gt;StartDt2NSW,ISNUMBER(tblData[Day'# Aust])),tblData[NSW LogiP(t)]/$AL$9,"")</f>
        <v>245468990688.76367</v>
      </c>
      <c r="AR111" s="11">
        <f>IF(AND(tblData[Date]&gt;StartDt2Italy,ISNUMBER(tblData[Days'# Italy])),betaItaly/(deltaItaly+betaPodeltaItaly*EXP(-betaItaly*tblData[Days'# Italy])),"")</f>
        <v>65423.849218858661</v>
      </c>
      <c r="AS111" s="11" t="str">
        <f>IF(AND(tblData[Date]&gt;StartDt2Italy,ISNUMBER(tblData[Italy])),(tblData[[#This Row],[Italy LogiP(t)]]-tblData[[#This Row],[Italy]])^2,"")</f>
        <v/>
      </c>
      <c r="AT111" s="43">
        <f>IF(AND(tblData[Date]&gt;StartDt2Italy,ISNUMBER(tblData[Days'# Italy])),tblData[[#This Row],[Italy LogiP(t)]]/$AS$9,"")</f>
        <v>10822.80384100226</v>
      </c>
      <c r="AU111" s="21">
        <f>IF(ISNUMBER(tblData[[#This Row],[Days'# US]]),betaUS/(deltaUS+betaPodeltaUS*EXP(-betaUS*tblData[Days'# US])),"")</f>
        <v>161902.4014678362</v>
      </c>
      <c r="AV111" s="11" t="str">
        <f>IF(ISNUMBER(tblData[US]),(tblData[[#This Row],[US LogiP(t)]]-tblData[US])^2,"")</f>
        <v/>
      </c>
      <c r="AW111" s="21">
        <f>IF(ISNUMBER(tblData[[#This Row],[Days'# US]]),tblData[[#This Row],[US LogiP(t)]]/$AV$9,"")</f>
        <v>4917.6414635428755</v>
      </c>
      <c r="AX111" s="21">
        <f>IF(tblData[Date]&gt;=StartDt2Korea,betaSKorea/(deltaSKorea+betaPodeltaSKorea*EXP(-betaSKorea*(tblData[Date]-StartDt2Korea))),"")</f>
        <v>8492.3988853043793</v>
      </c>
      <c r="AY111" s="21" t="str">
        <f>IF(AND(tblData[Date]&gt;=StartDt2Korea,ISNUMBER(tblData[SKorea])),(tblData[[#This Row],[SKorea LogiP(t)]]-tblData[[#This Row],[SKorea]])^2,"")</f>
        <v/>
      </c>
      <c r="AZ111" s="21">
        <f>IF(tblData[Date]&gt;=StartDt2Korea,tblData[[#This Row],[SKorea LogiP(t)]]/$AY$9,"")</f>
        <v>1652.2176819658328</v>
      </c>
      <c r="BA111" s="83">
        <f>IF(ISNUMBER(tblData[Days'# UK]),betaUK/(deltaUK+betaPodeltaUK*EXP(-betaUK*tblData[Days'# UK])),"")</f>
        <v>110763.52166616597</v>
      </c>
      <c r="BB111" s="83" t="str">
        <f>IF(ISNUMBER(tblData[UK]),(tblData[[#This Row],[UK LogiP(t)]]-tblData[[#This Row],[UK]])^2,"")</f>
        <v/>
      </c>
      <c r="BC111" s="83">
        <f>IF(ISNUMBER(tblData[Days'# UK]),tblData[[#This Row],[UK LogiP(t)]]/$BB$9,"")</f>
        <v>16671.210365166462</v>
      </c>
      <c r="BD111" s="11">
        <f>IF(ISNUMBER(tblData[Days'# China]),betaChina/(deltaChina+betaPodeltaChina*EXP(-betaChina*tblData[Days'# China])),"")</f>
        <v>80978.986063950957</v>
      </c>
      <c r="BE111" s="11" t="str">
        <f>IF(ISNUMBER(tblData[China]),(tblData[[#This Row],[China LogiP(t)]]-tblData[[#This Row],[China]])^2,"")</f>
        <v/>
      </c>
      <c r="BF111" s="11">
        <f>tblData[[#This Row],[China LogiP(t)]]/$BE$9</f>
        <v>562.61827543069057</v>
      </c>
      <c r="BG111" s="11">
        <f>IF(ISNUMBER(tblData[Day'# Singapore]),betaSingapore/(deltaSingapore+betaPodeltaSingapore*EXP(-betaSingapore*tblData[Day'# Singapore])),"")</f>
        <v>7045314.0192224029</v>
      </c>
      <c r="BH111" s="11" t="str">
        <f>IF(AND(ISNUMBER(tblData[Singapore]),tblData[Date]&gt;=StartDt2Singapore),(tblData[[#This Row],[Singapore LogiP(t)]]-tblData[[#This Row],[Singapore]])^2,"")</f>
        <v/>
      </c>
      <c r="BI111" s="11">
        <f>IF(ISNUMBER(tblData[Day'# Singapore]),tblData[Singapore LogiP(t)]/$BH$9,"")</f>
        <v>12043271.827730604</v>
      </c>
      <c r="BJ111" s="11"/>
      <c r="BK111" s="11"/>
      <c r="BL111" s="11" t="str">
        <f>IF(ISNUMBER(tblData[[#This Row],[NSW Number of Tests]]),tblData[[#This Row],[NSW Number of Tests]]-BJ110,"")</f>
        <v/>
      </c>
      <c r="BM111" s="11" t="str">
        <f>IF(ISNUMBER(tblData[[#This Row],[NSW Under Investigation'']]),tblData[[#This Row],[NSW Under Investigation'']]-BK110,"")</f>
        <v/>
      </c>
      <c r="BN111" s="11"/>
      <c r="BO111" s="11" t="str">
        <f>IF(ISNUMBER(tblData[[#This Row],[NSW Test Day Number]]),betaTest/(deltaTest+betaPodeltaTest*EXP(-betaTest*tblData[[#This Row],[NSW Test Day Number]])),"")</f>
        <v/>
      </c>
      <c r="BP111" s="11" t="str">
        <f>IF(ISNUMBER(tblData[[#This Row],[NSW Number of Tests]]),(tblData[[#This Row],[NSW Number of Tests]]-tblData[[#This Row],[NSW Test Logi]])^2,"")</f>
        <v/>
      </c>
      <c r="DN111"/>
      <c r="DO111" s="80"/>
      <c r="DP111" s="27"/>
      <c r="DQ111" s="27"/>
      <c r="DR111"/>
      <c r="DS111"/>
      <c r="DT111"/>
      <c r="DU111"/>
      <c r="DV111" s="107"/>
      <c r="DW111"/>
      <c r="DX111"/>
      <c r="DY111" s="110"/>
      <c r="DZ111"/>
      <c r="EA111" s="27"/>
      <c r="EB111"/>
      <c r="ED111" s="112"/>
      <c r="EE111"/>
      <c r="EF111" s="27"/>
      <c r="EG111"/>
      <c r="EH111"/>
      <c r="EI111"/>
      <c r="EJ111"/>
      <c r="EK111"/>
      <c r="EL111"/>
      <c r="EM111"/>
      <c r="EN111" s="94"/>
      <c r="EO111"/>
      <c r="EP111" s="94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</row>
    <row r="112" spans="2:183" x14ac:dyDescent="0.25">
      <c r="B112" s="27">
        <f t="shared" si="14"/>
        <v>44145</v>
      </c>
      <c r="L112" s="12" t="str">
        <f>IF(ISNUMBER(tblData[[#This Row],[NSW]]),tblData[[#This Row],[New South Wales]]/$L$9,"")</f>
        <v/>
      </c>
      <c r="N112" s="48" t="str">
        <f>IF(ISNUMBER(tblData[Italy]),tblData[Italy]/$N$9,"")</f>
        <v/>
      </c>
      <c r="P112" s="48" t="str">
        <f>IF(ISNUMBER(tblData[US]),tblData[US]/$P$9,"")</f>
        <v/>
      </c>
      <c r="Q112" s="48"/>
      <c r="R112" s="19" t="str">
        <f>IF(ISNUMBER(tblData[SKorea]),tblData[SKorea]/$R$9,"")</f>
        <v/>
      </c>
      <c r="S112" s="48"/>
      <c r="T112" s="12" t="str">
        <f>IF(ISNUMBER(tblData[UK]),tblData[UK]/$T$9,"")</f>
        <v/>
      </c>
      <c r="V112" s="21" t="str">
        <f>IF(ISNUMBER(tblData[China]),tblData[China]/$V$9,"")</f>
        <v/>
      </c>
      <c r="W112" s="21"/>
      <c r="X112" s="21" t="str">
        <f>IF(ISNUMBER(tblData[Singapore]),tblData[Singapore]/$X$9,"")</f>
        <v/>
      </c>
      <c r="Y112" s="21"/>
      <c r="Z112" s="21"/>
      <c r="AA112" s="26">
        <f>IF(tblData[[#This Row],[Date]]&lt;ItalyStart,"",tblData[[#This Row],[Date]]-ItalyStart)</f>
        <v>285</v>
      </c>
      <c r="AB112" s="26">
        <f t="shared" si="15"/>
        <v>275</v>
      </c>
      <c r="AC112" s="26">
        <f t="shared" ref="AC112" si="21">AC111+1</f>
        <v>101</v>
      </c>
      <c r="AD112" s="26">
        <f>IF(tblData[[#This Row],[Date]]&lt;StartDt2Korea,"",tblData[[#This Row],[Date]]-StartDt2Korea)</f>
        <v>265</v>
      </c>
      <c r="AE112" s="26">
        <f>IF(tblData[[#This Row],[Date]]&lt;UKStart,"",tblData[[#This Row],[Date]]-UKStart)</f>
        <v>285</v>
      </c>
      <c r="AF112" s="26">
        <f>IF(tblData[[#This Row],[Date]]&lt;SingaporeStart,"",tblData[[#This Row],[Date]]-SingaporeStart)</f>
        <v>292</v>
      </c>
      <c r="AG112">
        <f>IF(tblData[Date]&gt;=StartDt2Au,tblData[Date]-StartDt2Au,"")</f>
        <v>290</v>
      </c>
      <c r="AH112" s="26" t="str">
        <f>IF(tblData[New South Wales]&gt;0,SUM(tblData[[#This Row],[Australian Capital Territory]:[Western Australia]]),"")</f>
        <v/>
      </c>
      <c r="AI112" s="12" t="str">
        <f>IF(ISNUMBER(tblData[Au]),tblData[Au]/$AE$9,"")</f>
        <v/>
      </c>
      <c r="AJ112" s="43">
        <f>IF(ISNUMBER(tblData[[#This Row],[Day'# Aust]]),betaAu/(deltaAu+betaPodeltaAu*EXP(-betaAu*tblData[[#This Row],[Day'# Aust]])),"")</f>
        <v>214786713288.95422</v>
      </c>
      <c r="AK112" s="71">
        <f>IF(ISNUMBER(tblData[Day'# Aust]),tblData[Au LogiP(t)]/$AI$9,"")</f>
        <v>84681719479.953568</v>
      </c>
      <c r="AL112" s="11" t="str">
        <f>IF(AND(tblData[Date]&gt;=StartDt2Au,ISNUMBER(tblData[NSW])),(tblData[[#This Row],[Au LogiP(t)]]-tblData[[#This Row],[Au]])^2,"")</f>
        <v/>
      </c>
      <c r="AM112">
        <f>IF(tblData[Date]&gt;StartDt2NSW,tblData[Date]-StartDt2NSW,"")</f>
        <v>290</v>
      </c>
      <c r="AN112" s="26" t="str">
        <f t="shared" si="16"/>
        <v/>
      </c>
      <c r="AO112" s="11">
        <f>IF(tblData[Date]&gt;StartDt2NSW,betaNSW/(deltaNSW+betaPodeltaNSW*EXP(-betaNSW*tblData[[#This Row],[Day '# NSW]])),"")</f>
        <v>198338944478.32782</v>
      </c>
      <c r="AP112" s="12" t="str">
        <f>IF(AND(ISNUMBER(tblData[NSW]),tblData[Date]&gt;StartDt2NSW),(tblData[[#This Row],[NSW LogiP(t)]]-tblData[[#This Row],[NSW]])^2,"")</f>
        <v/>
      </c>
      <c r="AQ112" s="43">
        <f>IF(AND(tblData[Date]&gt;StartDt2NSW,ISNUMBER(tblData[Day'# Aust])),tblData[NSW LogiP(t)]/$AL$9,"")</f>
        <v>245468990690.99976</v>
      </c>
      <c r="AR112" s="11">
        <f>IF(AND(tblData[Date]&gt;StartDt2Italy,ISNUMBER(tblData[Days'# Italy])),betaItaly/(deltaItaly+betaPodeltaItaly*EXP(-betaItaly*tblData[Days'# Italy])),"")</f>
        <v>65423.849218858661</v>
      </c>
      <c r="AS112" s="11" t="str">
        <f>IF(AND(tblData[Date]&gt;StartDt2Italy,ISNUMBER(tblData[Italy])),(tblData[[#This Row],[Italy LogiP(t)]]-tblData[[#This Row],[Italy]])^2,"")</f>
        <v/>
      </c>
      <c r="AT112" s="43">
        <f>IF(AND(tblData[Date]&gt;StartDt2Italy,ISNUMBER(tblData[Days'# Italy])),tblData[[#This Row],[Italy LogiP(t)]]/$AS$9,"")</f>
        <v>10822.80384100226</v>
      </c>
      <c r="AU112" s="21">
        <f>IF(ISNUMBER(tblData[[#This Row],[Days'# US]]),betaUS/(deltaUS+betaPodeltaUS*EXP(-betaUS*tblData[Days'# US])),"")</f>
        <v>161902.4014678362</v>
      </c>
      <c r="AV112" s="11" t="str">
        <f>IF(ISNUMBER(tblData[US]),(tblData[[#This Row],[US LogiP(t)]]-tblData[US])^2,"")</f>
        <v/>
      </c>
      <c r="AW112" s="21">
        <f>IF(ISNUMBER(tblData[[#This Row],[Days'# US]]),tblData[[#This Row],[US LogiP(t)]]/$AV$9,"")</f>
        <v>4917.6414635428755</v>
      </c>
      <c r="AX112" s="21">
        <f>IF(tblData[Date]&gt;=StartDt2Korea,betaSKorea/(deltaSKorea+betaPodeltaSKorea*EXP(-betaSKorea*(tblData[Date]-StartDt2Korea))),"")</f>
        <v>8492.3988853043793</v>
      </c>
      <c r="AY112" s="21" t="str">
        <f>IF(AND(tblData[Date]&gt;=StartDt2Korea,ISNUMBER(tblData[SKorea])),(tblData[[#This Row],[SKorea LogiP(t)]]-tblData[[#This Row],[SKorea]])^2,"")</f>
        <v/>
      </c>
      <c r="AZ112" s="21">
        <f>IF(tblData[Date]&gt;=StartDt2Korea,tblData[[#This Row],[SKorea LogiP(t)]]/$AY$9,"")</f>
        <v>1652.2176819658328</v>
      </c>
      <c r="BA112" s="83">
        <f>IF(ISNUMBER(tblData[Days'# UK]),betaUK/(deltaUK+betaPodeltaUK*EXP(-betaUK*tblData[Days'# UK])),"")</f>
        <v>110763.52166616597</v>
      </c>
      <c r="BB112" s="83" t="str">
        <f>IF(ISNUMBER(tblData[UK]),(tblData[[#This Row],[UK LogiP(t)]]-tblData[[#This Row],[UK]])^2,"")</f>
        <v/>
      </c>
      <c r="BC112" s="83">
        <f>IF(ISNUMBER(tblData[Days'# UK]),tblData[[#This Row],[UK LogiP(t)]]/$BB$9,"")</f>
        <v>16671.210365166462</v>
      </c>
      <c r="BD112" s="11">
        <f>IF(ISNUMBER(tblData[Days'# China]),betaChina/(deltaChina+betaPodeltaChina*EXP(-betaChina*tblData[Days'# China])),"")</f>
        <v>80978.986251580529</v>
      </c>
      <c r="BE112" s="11" t="str">
        <f>IF(ISNUMBER(tblData[China]),(tblData[[#This Row],[China LogiP(t)]]-tblData[[#This Row],[China]])^2,"")</f>
        <v/>
      </c>
      <c r="BF112" s="11">
        <f>tblData[[#This Row],[China LogiP(t)]]/$BE$9</f>
        <v>562.61827673428593</v>
      </c>
      <c r="BG112" s="11">
        <f>IF(ISNUMBER(tblData[Day'# Singapore]),betaSingapore/(deltaSingapore+betaPodeltaSingapore*EXP(-betaSingapore*tblData[Day'# Singapore])),"")</f>
        <v>9582363.6422371343</v>
      </c>
      <c r="BH112" s="11" t="str">
        <f>IF(AND(ISNUMBER(tblData[Singapore]),tblData[Date]&gt;=StartDt2Singapore),(tblData[[#This Row],[Singapore LogiP(t)]]-tblData[[#This Row],[Singapore]])^2,"")</f>
        <v/>
      </c>
      <c r="BI112" s="11">
        <f>IF(ISNUMBER(tblData[Day'# Singapore]),tblData[Singapore LogiP(t)]/$BH$9,"")</f>
        <v>16380108.790148949</v>
      </c>
      <c r="BJ112" s="11"/>
      <c r="BK112" s="11"/>
      <c r="BL112" s="11" t="str">
        <f>IF(ISNUMBER(tblData[[#This Row],[NSW Number of Tests]]),tblData[[#This Row],[NSW Number of Tests]]-BJ111,"")</f>
        <v/>
      </c>
      <c r="BM112" s="11" t="str">
        <f>IF(ISNUMBER(tblData[[#This Row],[NSW Under Investigation'']]),tblData[[#This Row],[NSW Under Investigation'']]-BK111,"")</f>
        <v/>
      </c>
      <c r="BN112" s="11"/>
      <c r="BO112" s="11" t="str">
        <f>IF(ISNUMBER(tblData[[#This Row],[NSW Test Day Number]]),betaTest/(deltaTest+betaPodeltaTest*EXP(-betaTest*tblData[[#This Row],[NSW Test Day Number]])),"")</f>
        <v/>
      </c>
      <c r="BP112" s="11" t="str">
        <f>IF(ISNUMBER(tblData[[#This Row],[NSW Number of Tests]]),(tblData[[#This Row],[NSW Number of Tests]]-tblData[[#This Row],[NSW Test Logi]])^2,"")</f>
        <v/>
      </c>
      <c r="BR112"/>
      <c r="BS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M112"/>
      <c r="DN112"/>
      <c r="DO112" s="80"/>
      <c r="DP112" s="27"/>
      <c r="DQ112" s="27"/>
      <c r="EA112" s="27"/>
      <c r="EC112" s="26"/>
      <c r="EF112" s="27"/>
      <c r="EL112"/>
      <c r="EP112" s="94"/>
    </row>
    <row r="113" spans="2:181" x14ac:dyDescent="0.25">
      <c r="B113" s="27">
        <f t="shared" si="14"/>
        <v>44152</v>
      </c>
      <c r="L113" s="12" t="str">
        <f>IF(ISNUMBER(tblData[[#This Row],[NSW]]),tblData[[#This Row],[New South Wales]]/$L$9,"")</f>
        <v/>
      </c>
      <c r="N113" s="48" t="str">
        <f>IF(ISNUMBER(tblData[Italy]),tblData[Italy]/$N$9,"")</f>
        <v/>
      </c>
      <c r="P113" s="48" t="str">
        <f>IF(ISNUMBER(tblData[US]),tblData[US]/$P$9,"")</f>
        <v/>
      </c>
      <c r="Q113" s="48"/>
      <c r="R113" s="19" t="str">
        <f>IF(ISNUMBER(tblData[SKorea]),tblData[SKorea]/$R$9,"")</f>
        <v/>
      </c>
      <c r="S113" s="48"/>
      <c r="T113" s="12" t="str">
        <f>IF(ISNUMBER(tblData[UK]),tblData[UK]/$T$9,"")</f>
        <v/>
      </c>
      <c r="V113" s="21" t="str">
        <f>IF(ISNUMBER(tblData[China]),tblData[China]/$V$9,"")</f>
        <v/>
      </c>
      <c r="W113" s="21"/>
      <c r="X113" s="21" t="str">
        <f>IF(ISNUMBER(tblData[Singapore]),tblData[Singapore]/$X$9,"")</f>
        <v/>
      </c>
      <c r="Y113" s="21"/>
      <c r="Z113" s="21"/>
      <c r="AA113" s="26">
        <f>IF(tblData[[#This Row],[Date]]&lt;ItalyStart,"",tblData[[#This Row],[Date]]-ItalyStart)</f>
        <v>292</v>
      </c>
      <c r="AB113" s="26">
        <f t="shared" si="15"/>
        <v>282</v>
      </c>
      <c r="AC113" s="26">
        <f t="shared" ref="AC113" si="22">AC112+1</f>
        <v>102</v>
      </c>
      <c r="AD113" s="26">
        <f>IF(tblData[[#This Row],[Date]]&lt;StartDt2Korea,"",tblData[[#This Row],[Date]]-StartDt2Korea)</f>
        <v>272</v>
      </c>
      <c r="AE113" s="26">
        <f>IF(tblData[[#This Row],[Date]]&lt;UKStart,"",tblData[[#This Row],[Date]]-UKStart)</f>
        <v>292</v>
      </c>
      <c r="AF113" s="26">
        <f>IF(tblData[[#This Row],[Date]]&lt;SingaporeStart,"",tblData[[#This Row],[Date]]-SingaporeStart)</f>
        <v>299</v>
      </c>
      <c r="AG113">
        <f>IF(tblData[Date]&gt;=StartDt2Au,tblData[Date]-StartDt2Au,"")</f>
        <v>297</v>
      </c>
      <c r="AH113" s="26" t="str">
        <f>IF(tblData[New South Wales]&gt;0,SUM(tblData[[#This Row],[Australian Capital Territory]:[Western Australia]]),"")</f>
        <v/>
      </c>
      <c r="AI113" s="12" t="str">
        <f>IF(ISNUMBER(tblData[Au]),tblData[Au]/$AE$9,"")</f>
        <v/>
      </c>
      <c r="AJ113" s="43">
        <f>IF(ISNUMBER(tblData[[#This Row],[Day'# Aust]]),betaAu/(deltaAu+betaPodeltaAu*EXP(-betaAu*tblData[[#This Row],[Day'# Aust]])),"")</f>
        <v>214786713288.95908</v>
      </c>
      <c r="AK113" s="71">
        <f>IF(ISNUMBER(tblData[Day'# Aust]),tblData[Au LogiP(t)]/$AI$9,"")</f>
        <v>84681719479.955475</v>
      </c>
      <c r="AL113" s="11" t="str">
        <f>IF(AND(tblData[Date]&gt;=StartDt2Au,ISNUMBER(tblData[NSW])),(tblData[[#This Row],[Au LogiP(t)]]-tblData[[#This Row],[Au]])^2,"")</f>
        <v/>
      </c>
      <c r="AM113">
        <f>IF(tblData[Date]&gt;StartDt2NSW,tblData[Date]-StartDt2NSW,"")</f>
        <v>297</v>
      </c>
      <c r="AN113" s="26" t="str">
        <f t="shared" si="16"/>
        <v/>
      </c>
      <c r="AO113" s="11">
        <f>IF(tblData[Date]&gt;StartDt2NSW,betaNSW/(deltaNSW+betaPodeltaNSW*EXP(-betaNSW*tblData[[#This Row],[Day '# NSW]])),"")</f>
        <v>198338944478.77859</v>
      </c>
      <c r="AP113" s="12" t="str">
        <f>IF(AND(ISNUMBER(tblData[NSW]),tblData[Date]&gt;StartDt2NSW),(tblData[[#This Row],[NSW LogiP(t)]]-tblData[[#This Row],[NSW]])^2,"")</f>
        <v/>
      </c>
      <c r="AQ113" s="43">
        <f>IF(AND(tblData[Date]&gt;StartDt2NSW,ISNUMBER(tblData[Day'# Aust])),tblData[NSW LogiP(t)]/$AL$9,"")</f>
        <v>245468990691.55765</v>
      </c>
      <c r="AR113" s="11">
        <f>IF(AND(tblData[Date]&gt;StartDt2Italy,ISNUMBER(tblData[Days'# Italy])),betaItaly/(deltaItaly+betaPodeltaItaly*EXP(-betaItaly*tblData[Days'# Italy])),"")</f>
        <v>65423.849218858661</v>
      </c>
      <c r="AS113" s="11" t="str">
        <f>IF(AND(tblData[Date]&gt;StartDt2Italy,ISNUMBER(tblData[Italy])),(tblData[[#This Row],[Italy LogiP(t)]]-tblData[[#This Row],[Italy]])^2,"")</f>
        <v/>
      </c>
      <c r="AT113" s="43">
        <f>IF(AND(tblData[Date]&gt;StartDt2Italy,ISNUMBER(tblData[Days'# Italy])),tblData[[#This Row],[Italy LogiP(t)]]/$AS$9,"")</f>
        <v>10822.80384100226</v>
      </c>
      <c r="AU113" s="21">
        <f>IF(ISNUMBER(tblData[[#This Row],[Days'# US]]),betaUS/(deltaUS+betaPodeltaUS*EXP(-betaUS*tblData[Days'# US])),"")</f>
        <v>161902.4014678362</v>
      </c>
      <c r="AV113" s="11" t="str">
        <f>IF(ISNUMBER(tblData[US]),(tblData[[#This Row],[US LogiP(t)]]-tblData[US])^2,"")</f>
        <v/>
      </c>
      <c r="AW113" s="21">
        <f>IF(ISNUMBER(tblData[[#This Row],[Days'# US]]),tblData[[#This Row],[US LogiP(t)]]/$AV$9,"")</f>
        <v>4917.6414635428755</v>
      </c>
      <c r="AX113" s="21">
        <f>IF(tblData[Date]&gt;=StartDt2Korea,betaSKorea/(deltaSKorea+betaPodeltaSKorea*EXP(-betaSKorea*(tblData[Date]-StartDt2Korea))),"")</f>
        <v>8492.3988853043793</v>
      </c>
      <c r="AY113" s="21" t="str">
        <f>IF(AND(tblData[Date]&gt;=StartDt2Korea,ISNUMBER(tblData[SKorea])),(tblData[[#This Row],[SKorea LogiP(t)]]-tblData[[#This Row],[SKorea]])^2,"")</f>
        <v/>
      </c>
      <c r="AZ113" s="21">
        <f>IF(tblData[Date]&gt;=StartDt2Korea,tblData[[#This Row],[SKorea LogiP(t)]]/$AY$9,"")</f>
        <v>1652.2176819658328</v>
      </c>
      <c r="BA113" s="83">
        <f>IF(ISNUMBER(tblData[Days'# UK]),betaUK/(deltaUK+betaPodeltaUK*EXP(-betaUK*tblData[Days'# UK])),"")</f>
        <v>110763.52166616597</v>
      </c>
      <c r="BB113" s="83" t="str">
        <f>IF(ISNUMBER(tblData[UK]),(tblData[[#This Row],[UK LogiP(t)]]-tblData[[#This Row],[UK]])^2,"")</f>
        <v/>
      </c>
      <c r="BC113" s="83">
        <f>IF(ISNUMBER(tblData[Days'# UK]),tblData[[#This Row],[UK LogiP(t)]]/$BB$9,"")</f>
        <v>16671.210365166462</v>
      </c>
      <c r="BD113" s="11">
        <f>IF(ISNUMBER(tblData[Days'# China]),betaChina/(deltaChina+betaPodeltaChina*EXP(-betaChina*tblData[Days'# China])),"")</f>
        <v>80978.986401834438</v>
      </c>
      <c r="BE113" s="11" t="str">
        <f>IF(ISNUMBER(tblData[China]),(tblData[[#This Row],[China LogiP(t)]]-tblData[[#This Row],[China]])^2,"")</f>
        <v/>
      </c>
      <c r="BF113" s="11">
        <f>tblData[[#This Row],[China LogiP(t)]]/$BE$9</f>
        <v>562.61827777820599</v>
      </c>
      <c r="BG113" s="11">
        <f>IF(ISNUMBER(tblData[Day'# Singapore]),betaSingapore/(deltaSingapore+betaPodeltaSingapore*EXP(-betaSingapore*tblData[Day'# Singapore])),"")</f>
        <v>13032745.387502147</v>
      </c>
      <c r="BH113" s="11" t="str">
        <f>IF(AND(ISNUMBER(tblData[Singapore]),tblData[Date]&gt;=StartDt2Singapore),(tblData[[#This Row],[Singapore LogiP(t)]]-tblData[[#This Row],[Singapore]])^2,"")</f>
        <v/>
      </c>
      <c r="BI113" s="11">
        <f>IF(ISNUMBER(tblData[Day'# Singapore]),tblData[Singapore LogiP(t)]/$BH$9,"")</f>
        <v>22278197.243593413</v>
      </c>
      <c r="BJ113" s="11"/>
      <c r="BK113" s="11"/>
      <c r="BL113" s="11" t="str">
        <f>IF(ISNUMBER(tblData[[#This Row],[NSW Number of Tests]]),tblData[[#This Row],[NSW Number of Tests]]-BJ112,"")</f>
        <v/>
      </c>
      <c r="BM113" s="11" t="str">
        <f>IF(ISNUMBER(tblData[[#This Row],[NSW Under Investigation'']]),tblData[[#This Row],[NSW Under Investigation'']]-BK112,"")</f>
        <v/>
      </c>
      <c r="BN113" s="11"/>
      <c r="BO113" s="11" t="str">
        <f>IF(ISNUMBER(tblData[[#This Row],[NSW Test Day Number]]),betaTest/(deltaTest+betaPodeltaTest*EXP(-betaTest*tblData[[#This Row],[NSW Test Day Number]])),"")</f>
        <v/>
      </c>
      <c r="BP113" s="11" t="str">
        <f>IF(ISNUMBER(tblData[[#This Row],[NSW Number of Tests]]),(tblData[[#This Row],[NSW Number of Tests]]-tblData[[#This Row],[NSW Test Logi]])^2,"")</f>
        <v/>
      </c>
      <c r="BR113"/>
      <c r="BS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M113"/>
      <c r="DN113"/>
      <c r="DO113" s="80"/>
      <c r="DP113" s="27"/>
      <c r="DQ113" s="27"/>
      <c r="EA113" s="27"/>
      <c r="EC113" s="26"/>
      <c r="EF113" s="27"/>
      <c r="EL113"/>
      <c r="EP113" s="94"/>
    </row>
    <row r="114" spans="2:181" x14ac:dyDescent="0.25">
      <c r="B114" s="27">
        <f t="shared" si="14"/>
        <v>44159</v>
      </c>
      <c r="L114" s="12" t="str">
        <f>IF(ISNUMBER(tblData[[#This Row],[NSW]]),tblData[[#This Row],[New South Wales]]/$L$9,"")</f>
        <v/>
      </c>
      <c r="N114" s="48" t="str">
        <f>IF(ISNUMBER(tblData[Italy]),tblData[Italy]/$N$9,"")</f>
        <v/>
      </c>
      <c r="P114" s="48" t="str">
        <f>IF(ISNUMBER(tblData[US]),tblData[US]/$P$9,"")</f>
        <v/>
      </c>
      <c r="Q114" s="48"/>
      <c r="R114" s="19" t="str">
        <f>IF(ISNUMBER(tblData[SKorea]),tblData[SKorea]/$R$9,"")</f>
        <v/>
      </c>
      <c r="S114" s="48"/>
      <c r="T114" s="12" t="str">
        <f>IF(ISNUMBER(tblData[UK]),tblData[UK]/$T$9,"")</f>
        <v/>
      </c>
      <c r="V114" s="21" t="str">
        <f>IF(ISNUMBER(tblData[China]),tblData[China]/$V$9,"")</f>
        <v/>
      </c>
      <c r="W114" s="21"/>
      <c r="X114" s="21" t="str">
        <f>IF(ISNUMBER(tblData[Singapore]),tblData[Singapore]/$X$9,"")</f>
        <v/>
      </c>
      <c r="Y114" s="21"/>
      <c r="Z114" s="21"/>
      <c r="AA114" s="26">
        <f>IF(tblData[[#This Row],[Date]]&lt;ItalyStart,"",tblData[[#This Row],[Date]]-ItalyStart)</f>
        <v>299</v>
      </c>
      <c r="AB114" s="26">
        <f t="shared" si="15"/>
        <v>289</v>
      </c>
      <c r="AC114" s="26">
        <f t="shared" ref="AC114" si="23">AC113+1</f>
        <v>103</v>
      </c>
      <c r="AD114" s="26">
        <f>IF(tblData[[#This Row],[Date]]&lt;StartDt2Korea,"",tblData[[#This Row],[Date]]-StartDt2Korea)</f>
        <v>279</v>
      </c>
      <c r="AE114" s="26">
        <f>IF(tblData[[#This Row],[Date]]&lt;UKStart,"",tblData[[#This Row],[Date]]-UKStart)</f>
        <v>299</v>
      </c>
      <c r="AF114" s="26">
        <f>IF(tblData[[#This Row],[Date]]&lt;SingaporeStart,"",tblData[[#This Row],[Date]]-SingaporeStart)</f>
        <v>306</v>
      </c>
      <c r="AG114">
        <f>IF(tblData[Date]&gt;=StartDt2Au,tblData[Date]-StartDt2Au,"")</f>
        <v>304</v>
      </c>
      <c r="AH114" s="26" t="str">
        <f>IF(tblData[New South Wales]&gt;0,SUM(tblData[[#This Row],[Australian Capital Territory]:[Western Australia]]),"")</f>
        <v/>
      </c>
      <c r="AI114" s="12" t="str">
        <f>IF(ISNUMBER(tblData[Au]),tblData[Au]/$AE$9,"")</f>
        <v/>
      </c>
      <c r="AJ114" s="43">
        <f>IF(ISNUMBER(tblData[[#This Row],[Day'# Aust]]),betaAu/(deltaAu+betaPodeltaAu*EXP(-betaAu*tblData[[#This Row],[Day'# Aust]])),"")</f>
        <v>214786713288.96017</v>
      </c>
      <c r="AK114" s="71">
        <f>IF(ISNUMBER(tblData[Day'# Aust]),tblData[Au LogiP(t)]/$AI$9,"")</f>
        <v>84681719479.955917</v>
      </c>
      <c r="AL114" s="11" t="str">
        <f>IF(AND(tblData[Date]&gt;=StartDt2Au,ISNUMBER(tblData[NSW])),(tblData[[#This Row],[Au LogiP(t)]]-tblData[[#This Row],[Au]])^2,"")</f>
        <v/>
      </c>
      <c r="AM114">
        <f>IF(tblData[Date]&gt;StartDt2NSW,tblData[Date]-StartDt2NSW,"")</f>
        <v>304</v>
      </c>
      <c r="AN114" s="26" t="str">
        <f t="shared" si="16"/>
        <v/>
      </c>
      <c r="AO114" s="11">
        <f>IF(tblData[Date]&gt;StartDt2NSW,betaNSW/(deltaNSW+betaPodeltaNSW*EXP(-betaNSW*tblData[[#This Row],[Day '# NSW]])),"")</f>
        <v>198338944478.89105</v>
      </c>
      <c r="AP114" s="12" t="str">
        <f>IF(AND(ISNUMBER(tblData[NSW]),tblData[Date]&gt;StartDt2NSW),(tblData[[#This Row],[NSW LogiP(t)]]-tblData[[#This Row],[NSW]])^2,"")</f>
        <v/>
      </c>
      <c r="AQ114" s="43">
        <f>IF(AND(tblData[Date]&gt;StartDt2NSW,ISNUMBER(tblData[Day'# Aust])),tblData[NSW LogiP(t)]/$AL$9,"")</f>
        <v>245468990691.69684</v>
      </c>
      <c r="AR114" s="11">
        <f>IF(AND(tblData[Date]&gt;StartDt2Italy,ISNUMBER(tblData[Days'# Italy])),betaItaly/(deltaItaly+betaPodeltaItaly*EXP(-betaItaly*tblData[Days'# Italy])),"")</f>
        <v>65423.849218858661</v>
      </c>
      <c r="AS114" s="11" t="str">
        <f>IF(AND(tblData[Date]&gt;StartDt2Italy,ISNUMBER(tblData[Italy])),(tblData[[#This Row],[Italy LogiP(t)]]-tblData[[#This Row],[Italy]])^2,"")</f>
        <v/>
      </c>
      <c r="AT114" s="43">
        <f>IF(AND(tblData[Date]&gt;StartDt2Italy,ISNUMBER(tblData[Days'# Italy])),tblData[[#This Row],[Italy LogiP(t)]]/$AS$9,"")</f>
        <v>10822.80384100226</v>
      </c>
      <c r="AU114" s="21">
        <f>IF(ISNUMBER(tblData[[#This Row],[Days'# US]]),betaUS/(deltaUS+betaPodeltaUS*EXP(-betaUS*tblData[Days'# US])),"")</f>
        <v>161902.4014678362</v>
      </c>
      <c r="AV114" s="11" t="str">
        <f>IF(ISNUMBER(tblData[US]),(tblData[[#This Row],[US LogiP(t)]]-tblData[US])^2,"")</f>
        <v/>
      </c>
      <c r="AW114" s="21">
        <f>IF(ISNUMBER(tblData[[#This Row],[Days'# US]]),tblData[[#This Row],[US LogiP(t)]]/$AV$9,"")</f>
        <v>4917.6414635428755</v>
      </c>
      <c r="AX114" s="21">
        <f>IF(tblData[Date]&gt;=StartDt2Korea,betaSKorea/(deltaSKorea+betaPodeltaSKorea*EXP(-betaSKorea*(tblData[Date]-StartDt2Korea))),"")</f>
        <v>8492.3988853043793</v>
      </c>
      <c r="AY114" s="21" t="str">
        <f>IF(AND(tblData[Date]&gt;=StartDt2Korea,ISNUMBER(tblData[SKorea])),(tblData[[#This Row],[SKorea LogiP(t)]]-tblData[[#This Row],[SKorea]])^2,"")</f>
        <v/>
      </c>
      <c r="AZ114" s="21">
        <f>IF(tblData[Date]&gt;=StartDt2Korea,tblData[[#This Row],[SKorea LogiP(t)]]/$AY$9,"")</f>
        <v>1652.2176819658328</v>
      </c>
      <c r="BA114" s="83">
        <f>IF(ISNUMBER(tblData[Days'# UK]),betaUK/(deltaUK+betaPodeltaUK*EXP(-betaUK*tblData[Days'# UK])),"")</f>
        <v>110763.52166616597</v>
      </c>
      <c r="BB114" s="83" t="str">
        <f>IF(ISNUMBER(tblData[UK]),(tblData[[#This Row],[UK LogiP(t)]]-tblData[[#This Row],[UK]])^2,"")</f>
        <v/>
      </c>
      <c r="BC114" s="83">
        <f>IF(ISNUMBER(tblData[Days'# UK]),tblData[[#This Row],[UK LogiP(t)]]/$BB$9,"")</f>
        <v>16671.210365166462</v>
      </c>
      <c r="BD114" s="11">
        <f>IF(ISNUMBER(tblData[Days'# China]),betaChina/(deltaChina+betaPodeltaChina*EXP(-betaChina*tblData[Days'# China])),"")</f>
        <v>80978.986522157895</v>
      </c>
      <c r="BE114" s="11" t="str">
        <f>IF(ISNUMBER(tblData[China]),(tblData[[#This Row],[China LogiP(t)]]-tblData[[#This Row],[China]])^2,"")</f>
        <v/>
      </c>
      <c r="BF114" s="11">
        <f>tblData[[#This Row],[China LogiP(t)]]/$BE$9</f>
        <v>562.61827861417817</v>
      </c>
      <c r="BG114" s="11">
        <f>IF(ISNUMBER(tblData[Day'# Singapore]),betaSingapore/(deltaSingapore+betaPodeltaSingapore*EXP(-betaSingapore*tblData[Day'# Singapore])),"")</f>
        <v>17725026.497871313</v>
      </c>
      <c r="BH114" s="11" t="str">
        <f>IF(AND(ISNUMBER(tblData[Singapore]),tblData[Date]&gt;=StartDt2Singapore),(tblData[[#This Row],[Singapore LogiP(t)]]-tblData[[#This Row],[Singapore]])^2,"")</f>
        <v/>
      </c>
      <c r="BI114" s="11">
        <f>IF(ISNUMBER(tblData[Day'# Singapore]),tblData[Singapore LogiP(t)]/$BH$9,"")</f>
        <v>30299190.594651818</v>
      </c>
      <c r="BJ114" s="11"/>
      <c r="BK114" s="11"/>
      <c r="BL114" s="11" t="str">
        <f>IF(ISNUMBER(tblData[[#This Row],[NSW Number of Tests]]),tblData[[#This Row],[NSW Number of Tests]]-BJ113,"")</f>
        <v/>
      </c>
      <c r="BM114" s="11" t="str">
        <f>IF(ISNUMBER(tblData[[#This Row],[NSW Under Investigation'']]),tblData[[#This Row],[NSW Under Investigation'']]-BK113,"")</f>
        <v/>
      </c>
      <c r="BN114" s="11"/>
      <c r="BO114" s="11" t="str">
        <f>IF(ISNUMBER(tblData[[#This Row],[NSW Test Day Number]]),betaTest/(deltaTest+betaPodeltaTest*EXP(-betaTest*tblData[[#This Row],[NSW Test Day Number]])),"")</f>
        <v/>
      </c>
      <c r="BP114" s="11" t="str">
        <f>IF(ISNUMBER(tblData[[#This Row],[NSW Number of Tests]]),(tblData[[#This Row],[NSW Number of Tests]]-tblData[[#This Row],[NSW Test Logi]])^2,"")</f>
        <v/>
      </c>
      <c r="BR114"/>
      <c r="BS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DM114"/>
      <c r="DN114"/>
      <c r="DO114" s="80"/>
      <c r="DP114" s="27"/>
      <c r="DQ114" s="27"/>
      <c r="EA114" s="27"/>
      <c r="EC114" s="26"/>
      <c r="EF114" s="27"/>
      <c r="EL114"/>
      <c r="EP114" s="94"/>
    </row>
    <row r="115" spans="2:181" x14ac:dyDescent="0.25">
      <c r="B115" s="27">
        <f t="shared" si="14"/>
        <v>44166</v>
      </c>
      <c r="L115" s="12" t="str">
        <f>IF(ISNUMBER(tblData[[#This Row],[NSW]]),tblData[[#This Row],[New South Wales]]/$L$9,"")</f>
        <v/>
      </c>
      <c r="N115" s="48" t="str">
        <f>IF(ISNUMBER(tblData[Italy]),tblData[Italy]/$N$9,"")</f>
        <v/>
      </c>
      <c r="P115" s="48" t="str">
        <f>IF(ISNUMBER(tblData[US]),tblData[US]/$P$9,"")</f>
        <v/>
      </c>
      <c r="Q115" s="48"/>
      <c r="R115" s="19" t="str">
        <f>IF(ISNUMBER(tblData[SKorea]),tblData[SKorea]/$R$9,"")</f>
        <v/>
      </c>
      <c r="S115" s="48"/>
      <c r="T115" s="12" t="str">
        <f>IF(ISNUMBER(tblData[UK]),tblData[UK]/$T$9,"")</f>
        <v/>
      </c>
      <c r="V115" s="21" t="str">
        <f>IF(ISNUMBER(tblData[China]),tblData[China]/$V$9,"")</f>
        <v/>
      </c>
      <c r="W115" s="21"/>
      <c r="X115" s="21" t="str">
        <f>IF(ISNUMBER(tblData[Singapore]),tblData[Singapore]/$X$9,"")</f>
        <v/>
      </c>
      <c r="Y115" s="21"/>
      <c r="Z115" s="21"/>
      <c r="AA115" s="26">
        <f>IF(tblData[[#This Row],[Date]]&lt;ItalyStart,"",tblData[[#This Row],[Date]]-ItalyStart)</f>
        <v>306</v>
      </c>
      <c r="AB115" s="26">
        <f t="shared" si="15"/>
        <v>296</v>
      </c>
      <c r="AC115" s="26">
        <f t="shared" ref="AC115" si="24">AC114+1</f>
        <v>104</v>
      </c>
      <c r="AD115" s="26">
        <f>IF(tblData[[#This Row],[Date]]&lt;StartDt2Korea,"",tblData[[#This Row],[Date]]-StartDt2Korea)</f>
        <v>286</v>
      </c>
      <c r="AE115" s="26">
        <f>IF(tblData[[#This Row],[Date]]&lt;UKStart,"",tblData[[#This Row],[Date]]-UKStart)</f>
        <v>306</v>
      </c>
      <c r="AF115" s="26">
        <f>IF(tblData[[#This Row],[Date]]&lt;SingaporeStart,"",tblData[[#This Row],[Date]]-SingaporeStart)</f>
        <v>313</v>
      </c>
      <c r="AG115" s="26">
        <f>IF(tblData[Date]&gt;=StartDt2Au,tblData[Date]-StartDt2Au,"")</f>
        <v>311</v>
      </c>
      <c r="AH115" s="26" t="str">
        <f>IF(tblData[New South Wales]&gt;0,SUM(tblData[[#This Row],[Australian Capital Territory]:[Western Australia]]),"")</f>
        <v/>
      </c>
      <c r="AI115" s="12" t="str">
        <f>IF(ISNUMBER(tblData[Au]),tblData[Au]/$AE$9,"")</f>
        <v/>
      </c>
      <c r="AJ115" s="43">
        <f>IF(ISNUMBER(tblData[[#This Row],[Day'# Aust]]),betaAu/(deltaAu+betaPodeltaAu*EXP(-betaAu*tblData[[#This Row],[Day'# Aust]])),"")</f>
        <v>214786713288.96039</v>
      </c>
      <c r="AK115" s="71">
        <f>IF(ISNUMBER(tblData[Day'# Aust]),tblData[Au LogiP(t)]/$AI$9,"")</f>
        <v>84681719479.955994</v>
      </c>
      <c r="AL115" s="11" t="str">
        <f>IF(AND(tblData[Date]&gt;=StartDt2Au,ISNUMBER(tblData[NSW])),(tblData[[#This Row],[Au LogiP(t)]]-tblData[[#This Row],[Au]])^2,"")</f>
        <v/>
      </c>
      <c r="AM115" s="26">
        <f>IF(tblData[Date]&gt;StartDt2NSW,tblData[Date]-StartDt2NSW,"")</f>
        <v>311</v>
      </c>
      <c r="AN115" s="26" t="str">
        <f t="shared" si="16"/>
        <v/>
      </c>
      <c r="AO115" s="11">
        <f>IF(tblData[Date]&gt;StartDt2NSW,betaNSW/(deltaNSW+betaPodeltaNSW*EXP(-betaNSW*tblData[[#This Row],[Day '# NSW]])),"")</f>
        <v>198338944478.9191</v>
      </c>
      <c r="AP115" s="12" t="str">
        <f>IF(AND(ISNUMBER(tblData[NSW]),tblData[Date]&gt;StartDt2NSW),(tblData[[#This Row],[NSW LogiP(t)]]-tblData[[#This Row],[NSW]])^2,"")</f>
        <v/>
      </c>
      <c r="AQ115" s="43">
        <f>IF(AND(tblData[Date]&gt;StartDt2NSW,ISNUMBER(tblData[Day'# Aust])),tblData[NSW LogiP(t)]/$AL$9,"")</f>
        <v>245468990691.73154</v>
      </c>
      <c r="AR115" s="11">
        <f>IF(AND(tblData[Date]&gt;StartDt2Italy,ISNUMBER(tblData[Days'# Italy])),betaItaly/(deltaItaly+betaPodeltaItaly*EXP(-betaItaly*tblData[Days'# Italy])),"")</f>
        <v>65423.849218858661</v>
      </c>
      <c r="AS115" s="11" t="str">
        <f>IF(AND(tblData[Date]&gt;StartDt2Italy,ISNUMBER(tblData[Italy])),(tblData[[#This Row],[Italy LogiP(t)]]-tblData[[#This Row],[Italy]])^2,"")</f>
        <v/>
      </c>
      <c r="AT115" s="43">
        <f>IF(AND(tblData[Date]&gt;StartDt2Italy,ISNUMBER(tblData[Days'# Italy])),tblData[[#This Row],[Italy LogiP(t)]]/$AS$9,"")</f>
        <v>10822.80384100226</v>
      </c>
      <c r="AU115" s="21">
        <f>IF(ISNUMBER(tblData[[#This Row],[Days'# US]]),betaUS/(deltaUS+betaPodeltaUS*EXP(-betaUS*tblData[Days'# US])),"")</f>
        <v>161902.4014678362</v>
      </c>
      <c r="AV115" s="11" t="str">
        <f>IF(ISNUMBER(tblData[US]),(tblData[[#This Row],[US LogiP(t)]]-tblData[US])^2,"")</f>
        <v/>
      </c>
      <c r="AW115" s="21">
        <f>IF(ISNUMBER(tblData[[#This Row],[Days'# US]]),tblData[[#This Row],[US LogiP(t)]]/$AV$9,"")</f>
        <v>4917.6414635428755</v>
      </c>
      <c r="AX115" s="21">
        <f>IF(tblData[Date]&gt;=StartDt2Korea,betaSKorea/(deltaSKorea+betaPodeltaSKorea*EXP(-betaSKorea*(tblData[Date]-StartDt2Korea))),"")</f>
        <v>8492.3988853043793</v>
      </c>
      <c r="AY115" s="21" t="str">
        <f>IF(AND(tblData[Date]&gt;=StartDt2Korea,ISNUMBER(tblData[SKorea])),(tblData[[#This Row],[SKorea LogiP(t)]]-tblData[[#This Row],[SKorea]])^2,"")</f>
        <v/>
      </c>
      <c r="AZ115" s="21">
        <f>IF(tblData[Date]&gt;=StartDt2Korea,tblData[[#This Row],[SKorea LogiP(t)]]/$AY$9,"")</f>
        <v>1652.2176819658328</v>
      </c>
      <c r="BA115" s="83">
        <f>IF(ISNUMBER(tblData[Days'# UK]),betaUK/(deltaUK+betaPodeltaUK*EXP(-betaUK*tblData[Days'# UK])),"")</f>
        <v>110763.52166616597</v>
      </c>
      <c r="BB115" s="83" t="str">
        <f>IF(ISNUMBER(tblData[UK]),(tblData[[#This Row],[UK LogiP(t)]]-tblData[[#This Row],[UK]])^2,"")</f>
        <v/>
      </c>
      <c r="BC115" s="83">
        <f>IF(ISNUMBER(tblData[Days'# UK]),tblData[[#This Row],[UK LogiP(t)]]/$BB$9,"")</f>
        <v>16671.210365166462</v>
      </c>
      <c r="BD115" s="11">
        <f>IF(ISNUMBER(tblData[Days'# China]),betaChina/(deltaChina+betaPodeltaChina*EXP(-betaChina*tblData[Days'# China])),"")</f>
        <v>80978.986618513009</v>
      </c>
      <c r="BE115" s="11" t="str">
        <f>IF(ISNUMBER(tblData[China]),(tblData[[#This Row],[China LogiP(t)]]-tblData[[#This Row],[China]])^2,"")</f>
        <v/>
      </c>
      <c r="BF115" s="11">
        <f>tblData[[#This Row],[China LogiP(t)]]/$BE$9</f>
        <v>562.61827928362527</v>
      </c>
      <c r="BG115" s="11">
        <f>IF(ISNUMBER(tblData[Day'# Singapore]),betaSingapore/(deltaSingapore+betaPodeltaSingapore*EXP(-betaSingapore*tblData[Day'# Singapore])),"")</f>
        <v>24105779.252218377</v>
      </c>
      <c r="BH115" s="11" t="str">
        <f>IF(AND(ISNUMBER(tblData[Singapore]),tblData[Date]&gt;=StartDt2Singapore),(tblData[[#This Row],[Singapore LogiP(t)]]-tblData[[#This Row],[Singapore]])^2,"")</f>
        <v/>
      </c>
      <c r="BI115" s="11">
        <f>IF(ISNUMBER(tblData[Day'# Singapore]),tblData[Singapore LogiP(t)]/$BH$9,"")</f>
        <v>41206460.260202356</v>
      </c>
      <c r="BJ115" s="11"/>
      <c r="BK115" s="11"/>
      <c r="BL115" s="11" t="str">
        <f>IF(ISNUMBER(tblData[[#This Row],[NSW Number of Tests]]),tblData[[#This Row],[NSW Number of Tests]]-BJ114,"")</f>
        <v/>
      </c>
      <c r="BM115" s="11" t="str">
        <f>IF(ISNUMBER(tblData[[#This Row],[NSW Under Investigation'']]),tblData[[#This Row],[NSW Under Investigation'']]-BK114,"")</f>
        <v/>
      </c>
      <c r="BN115" s="11"/>
      <c r="BO115" s="11" t="str">
        <f>IF(ISNUMBER(tblData[[#This Row],[NSW Test Day Number]]),betaTest/(deltaTest+betaPodeltaTest*EXP(-betaTest*tblData[[#This Row],[NSW Test Day Number]])),"")</f>
        <v/>
      </c>
      <c r="BP115" s="11" t="str">
        <f>IF(ISNUMBER(tblData[[#This Row],[NSW Number of Tests]]),(tblData[[#This Row],[NSW Number of Tests]]-tblData[[#This Row],[NSW Test Logi]])^2,"")</f>
        <v/>
      </c>
      <c r="BR115"/>
      <c r="BV115" s="26"/>
      <c r="CE115"/>
      <c r="CF115"/>
      <c r="CG115"/>
      <c r="CH115" s="26"/>
      <c r="CS115" s="26"/>
      <c r="CT115" s="26"/>
      <c r="DM115"/>
      <c r="DN115"/>
      <c r="DO115" s="80"/>
      <c r="DP115" s="27"/>
      <c r="DQ115" s="27"/>
      <c r="EA115" s="27"/>
      <c r="EC115" s="26"/>
      <c r="EF115" s="27"/>
      <c r="EL115"/>
      <c r="EP115" s="94"/>
    </row>
    <row r="116" spans="2:181" x14ac:dyDescent="0.25">
      <c r="B116" s="27">
        <f t="shared" si="14"/>
        <v>44173</v>
      </c>
      <c r="L116" s="12" t="str">
        <f>IF(ISNUMBER(tblData[[#This Row],[NSW]]),tblData[[#This Row],[New South Wales]]/$L$9,"")</f>
        <v/>
      </c>
      <c r="N116" s="48" t="str">
        <f>IF(ISNUMBER(tblData[Italy]),tblData[Italy]/$N$9,"")</f>
        <v/>
      </c>
      <c r="P116" s="48" t="str">
        <f>IF(ISNUMBER(tblData[US]),tblData[US]/$P$9,"")</f>
        <v/>
      </c>
      <c r="Q116" s="48"/>
      <c r="R116" s="19" t="str">
        <f>IF(ISNUMBER(tblData[SKorea]),tblData[SKorea]/$R$9,"")</f>
        <v/>
      </c>
      <c r="S116" s="48"/>
      <c r="T116" s="12" t="str">
        <f>IF(ISNUMBER(tblData[UK]),tblData[UK]/$T$9,"")</f>
        <v/>
      </c>
      <c r="V116" s="21" t="str">
        <f>IF(ISNUMBER(tblData[China]),tblData[China]/$V$9,"")</f>
        <v/>
      </c>
      <c r="W116" s="21"/>
      <c r="X116" s="21" t="str">
        <f>IF(ISNUMBER(tblData[Singapore]),tblData[Singapore]/$X$9,"")</f>
        <v/>
      </c>
      <c r="Y116" s="21"/>
      <c r="Z116" s="21"/>
      <c r="AA116" s="26">
        <f>IF(tblData[[#This Row],[Date]]&lt;ItalyStart,"",tblData[[#This Row],[Date]]-ItalyStart)</f>
        <v>313</v>
      </c>
      <c r="AB116" s="26">
        <f t="shared" si="15"/>
        <v>303</v>
      </c>
      <c r="AC116" s="26">
        <f t="shared" ref="AC116" si="25">AC115+1</f>
        <v>105</v>
      </c>
      <c r="AD116" s="26">
        <f>IF(tblData[[#This Row],[Date]]&lt;StartDt2Korea,"",tblData[[#This Row],[Date]]-StartDt2Korea)</f>
        <v>293</v>
      </c>
      <c r="AE116" s="26">
        <f>IF(tblData[[#This Row],[Date]]&lt;UKStart,"",tblData[[#This Row],[Date]]-UKStart)</f>
        <v>313</v>
      </c>
      <c r="AF116" s="26">
        <f>IF(tblData[[#This Row],[Date]]&lt;SingaporeStart,"",tblData[[#This Row],[Date]]-SingaporeStart)</f>
        <v>320</v>
      </c>
      <c r="AG116" s="26">
        <f>IF(tblData[Date]&gt;=StartDt2Au,tblData[Date]-StartDt2Au,"")</f>
        <v>318</v>
      </c>
      <c r="AH116" s="26" t="str">
        <f>IF(tblData[New South Wales]&gt;0,SUM(tblData[[#This Row],[Australian Capital Territory]:[Western Australia]]),"")</f>
        <v/>
      </c>
      <c r="AI116" s="12" t="str">
        <f>IF(ISNUMBER(tblData[Au]),tblData[Au]/$AE$9,"")</f>
        <v/>
      </c>
      <c r="AJ116" s="43">
        <f>IF(ISNUMBER(tblData[[#This Row],[Day'# Aust]]),betaAu/(deltaAu+betaPodeltaAu*EXP(-betaAu*tblData[[#This Row],[Day'# Aust]])),"")</f>
        <v>214786713288.96048</v>
      </c>
      <c r="AK116" s="71">
        <f>IF(ISNUMBER(tblData[Day'# Aust]),tblData[Au LogiP(t)]/$AI$9,"")</f>
        <v>84681719479.956039</v>
      </c>
      <c r="AL116" s="11" t="str">
        <f>IF(AND(tblData[Date]&gt;=StartDt2Au,ISNUMBER(tblData[NSW])),(tblData[[#This Row],[Au LogiP(t)]]-tblData[[#This Row],[Au]])^2,"")</f>
        <v/>
      </c>
      <c r="AM116" s="26">
        <f>IF(tblData[Date]&gt;StartDt2NSW,tblData[Date]-StartDt2NSW,"")</f>
        <v>318</v>
      </c>
      <c r="AN116" s="26" t="str">
        <f t="shared" si="16"/>
        <v/>
      </c>
      <c r="AO116" s="11">
        <f>IF(tblData[Date]&gt;StartDt2NSW,betaNSW/(deltaNSW+betaPodeltaNSW*EXP(-betaNSW*tblData[[#This Row],[Day '# NSW]])),"")</f>
        <v>198338944478.92609</v>
      </c>
      <c r="AP116" s="12" t="str">
        <f>IF(AND(ISNUMBER(tblData[NSW]),tblData[Date]&gt;StartDt2NSW),(tblData[[#This Row],[NSW LogiP(t)]]-tblData[[#This Row],[NSW]])^2,"")</f>
        <v/>
      </c>
      <c r="AQ116" s="43">
        <f>IF(AND(tblData[Date]&gt;StartDt2NSW,ISNUMBER(tblData[Day'# Aust])),tblData[NSW LogiP(t)]/$AL$9,"")</f>
        <v>245468990691.7402</v>
      </c>
      <c r="AR116" s="11">
        <f>IF(AND(tblData[Date]&gt;StartDt2Italy,ISNUMBER(tblData[Days'# Italy])),betaItaly/(deltaItaly+betaPodeltaItaly*EXP(-betaItaly*tblData[Days'# Italy])),"")</f>
        <v>65423.849218858661</v>
      </c>
      <c r="AS116" s="11" t="str">
        <f>IF(AND(tblData[Date]&gt;StartDt2Italy,ISNUMBER(tblData[Italy])),(tblData[[#This Row],[Italy LogiP(t)]]-tblData[[#This Row],[Italy]])^2,"")</f>
        <v/>
      </c>
      <c r="AT116" s="43">
        <f>IF(AND(tblData[Date]&gt;StartDt2Italy,ISNUMBER(tblData[Days'# Italy])),tblData[[#This Row],[Italy LogiP(t)]]/$AS$9,"")</f>
        <v>10822.80384100226</v>
      </c>
      <c r="AU116" s="21">
        <f>IF(ISNUMBER(tblData[[#This Row],[Days'# US]]),betaUS/(deltaUS+betaPodeltaUS*EXP(-betaUS*tblData[Days'# US])),"")</f>
        <v>161902.4014678362</v>
      </c>
      <c r="AV116" s="11" t="str">
        <f>IF(ISNUMBER(tblData[US]),(tblData[[#This Row],[US LogiP(t)]]-tblData[US])^2,"")</f>
        <v/>
      </c>
      <c r="AW116" s="21">
        <f>IF(ISNUMBER(tblData[[#This Row],[Days'# US]]),tblData[[#This Row],[US LogiP(t)]]/$AV$9,"")</f>
        <v>4917.6414635428755</v>
      </c>
      <c r="AX116" s="21">
        <f>IF(tblData[Date]&gt;=StartDt2Korea,betaSKorea/(deltaSKorea+betaPodeltaSKorea*EXP(-betaSKorea*(tblData[Date]-StartDt2Korea))),"")</f>
        <v>8492.3988853043793</v>
      </c>
      <c r="AY116" s="21" t="str">
        <f>IF(AND(tblData[Date]&gt;=StartDt2Korea,ISNUMBER(tblData[SKorea])),(tblData[[#This Row],[SKorea LogiP(t)]]-tblData[[#This Row],[SKorea]])^2,"")</f>
        <v/>
      </c>
      <c r="AZ116" s="21">
        <f>IF(tblData[Date]&gt;=StartDt2Korea,tblData[[#This Row],[SKorea LogiP(t)]]/$AY$9,"")</f>
        <v>1652.2176819658328</v>
      </c>
      <c r="BA116" s="83">
        <f>IF(ISNUMBER(tblData[Days'# UK]),betaUK/(deltaUK+betaPodeltaUK*EXP(-betaUK*tblData[Days'# UK])),"")</f>
        <v>110763.52166616597</v>
      </c>
      <c r="BB116" s="83" t="str">
        <f>IF(ISNUMBER(tblData[UK]),(tblData[[#This Row],[UK LogiP(t)]]-tblData[[#This Row],[UK]])^2,"")</f>
        <v/>
      </c>
      <c r="BC116" s="83">
        <f>IF(ISNUMBER(tblData[Days'# UK]),tblData[[#This Row],[UK LogiP(t)]]/$BB$9,"")</f>
        <v>16671.210365166462</v>
      </c>
      <c r="BD116" s="11">
        <f>IF(ISNUMBER(tblData[Days'# China]),betaChina/(deltaChina+betaPodeltaChina*EXP(-betaChina*tblData[Days'# China])),"")</f>
        <v>80978.986695674292</v>
      </c>
      <c r="BE116" s="11" t="str">
        <f>IF(ISNUMBER(tblData[China]),(tblData[[#This Row],[China LogiP(t)]]-tblData[[#This Row],[China]])^2,"")</f>
        <v/>
      </c>
      <c r="BF116" s="11">
        <f>tblData[[#This Row],[China LogiP(t)]]/$BE$9</f>
        <v>562.61827981971931</v>
      </c>
      <c r="BG116" s="11">
        <f>IF(ISNUMBER(tblData[Day'# Singapore]),betaSingapore/(deltaSingapore+betaPodeltaSingapore*EXP(-betaSingapore*tblData[Day'# Singapore])),"")</f>
        <v>32781796.407264475</v>
      </c>
      <c r="BH116" s="11" t="str">
        <f>IF(AND(ISNUMBER(tblData[Singapore]),tblData[Date]&gt;=StartDt2Singapore),(tblData[[#This Row],[Singapore LogiP(t)]]-tblData[[#This Row],[Singapore]])^2,"")</f>
        <v/>
      </c>
      <c r="BI116" s="11">
        <f>IF(ISNUMBER(tblData[Day'# Singapore]),tblData[Singapore LogiP(t)]/$BH$9,"")</f>
        <v>56037258.815836713</v>
      </c>
      <c r="BJ116" s="11"/>
      <c r="BK116" s="11"/>
      <c r="BL116" s="11" t="str">
        <f>IF(ISNUMBER(tblData[[#This Row],[NSW Number of Tests]]),tblData[[#This Row],[NSW Number of Tests]]-BJ115,"")</f>
        <v/>
      </c>
      <c r="BM116" s="11" t="str">
        <f>IF(ISNUMBER(tblData[[#This Row],[NSW Under Investigation'']]),tblData[[#This Row],[NSW Under Investigation'']]-BK115,"")</f>
        <v/>
      </c>
      <c r="BN116" s="11"/>
      <c r="BO116" s="11" t="str">
        <f>IF(ISNUMBER(tblData[[#This Row],[NSW Test Day Number]]),betaTest/(deltaTest+betaPodeltaTest*EXP(-betaTest*tblData[[#This Row],[NSW Test Day Number]])),"")</f>
        <v/>
      </c>
      <c r="BP116" s="11" t="str">
        <f>IF(ISNUMBER(tblData[[#This Row],[NSW Number of Tests]]),(tblData[[#This Row],[NSW Number of Tests]]-tblData[[#This Row],[NSW Test Logi]])^2,"")</f>
        <v/>
      </c>
      <c r="BR116"/>
      <c r="BV116" s="26"/>
      <c r="CE116"/>
      <c r="CF116"/>
      <c r="CG116"/>
      <c r="CH116" s="26"/>
      <c r="CS116" s="26"/>
      <c r="CT116" s="26"/>
      <c r="DM116"/>
      <c r="DN116"/>
      <c r="DO116" s="80"/>
      <c r="DP116" s="27"/>
      <c r="DQ116" s="27"/>
      <c r="EA116" s="27"/>
      <c r="EC116" s="26"/>
      <c r="EF116" s="27"/>
      <c r="EL116"/>
      <c r="EP116" s="94"/>
    </row>
    <row r="117" spans="2:181" x14ac:dyDescent="0.25">
      <c r="B117" s="27">
        <f t="shared" si="14"/>
        <v>44180</v>
      </c>
      <c r="L117" s="12" t="str">
        <f>IF(ISNUMBER(tblData[[#This Row],[NSW]]),tblData[[#This Row],[New South Wales]]/$L$9,"")</f>
        <v/>
      </c>
      <c r="N117" s="48" t="str">
        <f>IF(ISNUMBER(tblData[Italy]),tblData[Italy]/$N$9,"")</f>
        <v/>
      </c>
      <c r="P117" s="48" t="str">
        <f>IF(ISNUMBER(tblData[US]),tblData[US]/$P$9,"")</f>
        <v/>
      </c>
      <c r="Q117" s="48"/>
      <c r="R117" s="19" t="str">
        <f>IF(ISNUMBER(tblData[SKorea]),tblData[SKorea]/$R$9,"")</f>
        <v/>
      </c>
      <c r="S117" s="48"/>
      <c r="T117" s="12" t="str">
        <f>IF(ISNUMBER(tblData[UK]),tblData[UK]/$T$9,"")</f>
        <v/>
      </c>
      <c r="V117" s="21" t="str">
        <f>IF(ISNUMBER(tblData[China]),tblData[China]/$V$9,"")</f>
        <v/>
      </c>
      <c r="W117" s="21"/>
      <c r="X117" s="21" t="str">
        <f>IF(ISNUMBER(tblData[Singapore]),tblData[Singapore]/$X$9,"")</f>
        <v/>
      </c>
      <c r="Y117" s="21"/>
      <c r="Z117" s="21"/>
      <c r="AA117" s="26">
        <f>IF(tblData[[#This Row],[Date]]&lt;ItalyStart,"",tblData[[#This Row],[Date]]-ItalyStart)</f>
        <v>320</v>
      </c>
      <c r="AB117" s="26">
        <f t="shared" si="15"/>
        <v>310</v>
      </c>
      <c r="AC117" s="26">
        <f t="shared" ref="AC117" si="26">AC116+1</f>
        <v>106</v>
      </c>
      <c r="AD117" s="26">
        <f>IF(tblData[[#This Row],[Date]]&lt;StartDt2Korea,"",tblData[[#This Row],[Date]]-StartDt2Korea)</f>
        <v>300</v>
      </c>
      <c r="AE117" s="26">
        <f>IF(tblData[[#This Row],[Date]]&lt;UKStart,"",tblData[[#This Row],[Date]]-UKStart)</f>
        <v>320</v>
      </c>
      <c r="AF117" s="26">
        <f>IF(tblData[[#This Row],[Date]]&lt;SingaporeStart,"",tblData[[#This Row],[Date]]-SingaporeStart)</f>
        <v>327</v>
      </c>
      <c r="AG117" s="26">
        <f>IF(tblData[Date]&gt;=StartDt2Au,tblData[Date]-StartDt2Au,"")</f>
        <v>325</v>
      </c>
      <c r="AH117" s="26" t="str">
        <f>IF(tblData[New South Wales]&gt;0,SUM(tblData[[#This Row],[Australian Capital Territory]:[Western Australia]]),"")</f>
        <v/>
      </c>
      <c r="AI117" s="12" t="str">
        <f>IF(ISNUMBER(tblData[Au]),tblData[Au]/$AE$9,"")</f>
        <v/>
      </c>
      <c r="AJ117" s="43">
        <f>IF(ISNUMBER(tblData[[#This Row],[Day'# Aust]]),betaAu/(deltaAu+betaPodeltaAu*EXP(-betaAu*tblData[[#This Row],[Day'# Aust]])),"")</f>
        <v>214786713288.96048</v>
      </c>
      <c r="AK117" s="71">
        <f>IF(ISNUMBER(tblData[Day'# Aust]),tblData[Au LogiP(t)]/$AI$9,"")</f>
        <v>84681719479.956039</v>
      </c>
      <c r="AL117" s="11" t="str">
        <f>IF(AND(tblData[Date]&gt;=StartDt2Au,ISNUMBER(tblData[NSW])),(tblData[[#This Row],[Au LogiP(t)]]-tblData[[#This Row],[Au]])^2,"")</f>
        <v/>
      </c>
      <c r="AM117" s="26">
        <f>IF(tblData[Date]&gt;StartDt2NSW,tblData[Date]-StartDt2NSW,"")</f>
        <v>325</v>
      </c>
      <c r="AN117" s="26" t="str">
        <f t="shared" si="16"/>
        <v/>
      </c>
      <c r="AO117" s="11">
        <f>IF(tblData[Date]&gt;StartDt2NSW,betaNSW/(deltaNSW+betaPodeltaNSW*EXP(-betaNSW*tblData[[#This Row],[Day '# NSW]])),"")</f>
        <v>198338944478.92786</v>
      </c>
      <c r="AP117" s="12" t="str">
        <f>IF(AND(ISNUMBER(tblData[NSW]),tblData[Date]&gt;StartDt2NSW),(tblData[[#This Row],[NSW LogiP(t)]]-tblData[[#This Row],[NSW]])^2,"")</f>
        <v/>
      </c>
      <c r="AQ117" s="43">
        <f>IF(AND(tblData[Date]&gt;StartDt2NSW,ISNUMBER(tblData[Day'# Aust])),tblData[NSW LogiP(t)]/$AL$9,"")</f>
        <v>245468990691.74237</v>
      </c>
      <c r="AR117" s="11">
        <f>IF(AND(tblData[Date]&gt;StartDt2Italy,ISNUMBER(tblData[Days'# Italy])),betaItaly/(deltaItaly+betaPodeltaItaly*EXP(-betaItaly*tblData[Days'# Italy])),"")</f>
        <v>65423.849218858661</v>
      </c>
      <c r="AS117" s="11" t="str">
        <f>IF(AND(tblData[Date]&gt;StartDt2Italy,ISNUMBER(tblData[Italy])),(tblData[[#This Row],[Italy LogiP(t)]]-tblData[[#This Row],[Italy]])^2,"")</f>
        <v/>
      </c>
      <c r="AT117" s="43">
        <f>IF(AND(tblData[Date]&gt;StartDt2Italy,ISNUMBER(tblData[Days'# Italy])),tblData[[#This Row],[Italy LogiP(t)]]/$AS$9,"")</f>
        <v>10822.80384100226</v>
      </c>
      <c r="AU117" s="21">
        <f>IF(ISNUMBER(tblData[[#This Row],[Days'# US]]),betaUS/(deltaUS+betaPodeltaUS*EXP(-betaUS*tblData[Days'# US])),"")</f>
        <v>161902.4014678362</v>
      </c>
      <c r="AV117" s="11" t="str">
        <f>IF(ISNUMBER(tblData[US]),(tblData[[#This Row],[US LogiP(t)]]-tblData[US])^2,"")</f>
        <v/>
      </c>
      <c r="AW117" s="21">
        <f>IF(ISNUMBER(tblData[[#This Row],[Days'# US]]),tblData[[#This Row],[US LogiP(t)]]/$AV$9,"")</f>
        <v>4917.6414635428755</v>
      </c>
      <c r="AX117" s="21">
        <f>IF(tblData[Date]&gt;=StartDt2Korea,betaSKorea/(deltaSKorea+betaPodeltaSKorea*EXP(-betaSKorea*(tblData[Date]-StartDt2Korea))),"")</f>
        <v>8492.3988853043793</v>
      </c>
      <c r="AY117" s="21" t="str">
        <f>IF(AND(tblData[Date]&gt;=StartDt2Korea,ISNUMBER(tblData[SKorea])),(tblData[[#This Row],[SKorea LogiP(t)]]-tblData[[#This Row],[SKorea]])^2,"")</f>
        <v/>
      </c>
      <c r="AZ117" s="21">
        <f>IF(tblData[Date]&gt;=StartDt2Korea,tblData[[#This Row],[SKorea LogiP(t)]]/$AY$9,"")</f>
        <v>1652.2176819658328</v>
      </c>
      <c r="BA117" s="83">
        <f>IF(ISNUMBER(tblData[Days'# UK]),betaUK/(deltaUK+betaPodeltaUK*EXP(-betaUK*tblData[Days'# UK])),"")</f>
        <v>110763.52166616597</v>
      </c>
      <c r="BB117" s="83" t="str">
        <f>IF(ISNUMBER(tblData[UK]),(tblData[[#This Row],[UK LogiP(t)]]-tblData[[#This Row],[UK]])^2,"")</f>
        <v/>
      </c>
      <c r="BC117" s="83">
        <f>IF(ISNUMBER(tblData[Days'# UK]),tblData[[#This Row],[UK LogiP(t)]]/$BB$9,"")</f>
        <v>16671.210365166462</v>
      </c>
      <c r="BD117" s="11">
        <f>IF(ISNUMBER(tblData[Days'# China]),betaChina/(deltaChina+betaPodeltaChina*EXP(-betaChina*tblData[Days'# China])),"")</f>
        <v>80978.9867574651</v>
      </c>
      <c r="BE117" s="11" t="str">
        <f>IF(ISNUMBER(tblData[China]),(tblData[[#This Row],[China LogiP(t)]]-tblData[[#This Row],[China]])^2,"")</f>
        <v/>
      </c>
      <c r="BF117" s="11">
        <f>tblData[[#This Row],[China LogiP(t)]]/$BE$9</f>
        <v>562.61828024902366</v>
      </c>
      <c r="BG117" s="11">
        <f>IF(ISNUMBER(tblData[Day'# Singapore]),betaSingapore/(deltaSingapore+betaPodeltaSingapore*EXP(-betaSingapore*tblData[Day'# Singapore])),"")</f>
        <v>44577267.854490131</v>
      </c>
      <c r="BH117" s="11" t="str">
        <f>IF(AND(ISNUMBER(tblData[Singapore]),tblData[Date]&gt;=StartDt2Singapore),(tblData[[#This Row],[Singapore LogiP(t)]]-tblData[[#This Row],[Singapore]])^2,"")</f>
        <v/>
      </c>
      <c r="BI117" s="11">
        <f>IF(ISNUMBER(tblData[Day'# Singapore]),tblData[Singapore LogiP(t)]/$BH$9,"")</f>
        <v>76200457.870923311</v>
      </c>
      <c r="BJ117" s="11"/>
      <c r="BK117" s="11"/>
      <c r="BL117" s="11" t="str">
        <f>IF(ISNUMBER(tblData[[#This Row],[NSW Number of Tests]]),tblData[[#This Row],[NSW Number of Tests]]-BJ116,"")</f>
        <v/>
      </c>
      <c r="BM117" s="11" t="str">
        <f>IF(ISNUMBER(tblData[[#This Row],[NSW Under Investigation'']]),tblData[[#This Row],[NSW Under Investigation'']]-BK116,"")</f>
        <v/>
      </c>
      <c r="BN117" s="11"/>
      <c r="BO117" s="11" t="str">
        <f>IF(ISNUMBER(tblData[[#This Row],[NSW Test Day Number]]),betaTest/(deltaTest+betaPodeltaTest*EXP(-betaTest*tblData[[#This Row],[NSW Test Day Number]])),"")</f>
        <v/>
      </c>
      <c r="BP117" s="11" t="str">
        <f>IF(ISNUMBER(tblData[[#This Row],[NSW Number of Tests]]),(tblData[[#This Row],[NSW Number of Tests]]-tblData[[#This Row],[NSW Test Logi]])^2,"")</f>
        <v/>
      </c>
      <c r="BR117"/>
      <c r="BV117" s="26"/>
      <c r="CE117"/>
      <c r="CF117"/>
      <c r="CG117"/>
      <c r="CH117" s="26"/>
      <c r="CS117" s="26"/>
      <c r="CT117" s="26"/>
      <c r="DM117"/>
      <c r="DN117"/>
      <c r="DO117" s="80"/>
      <c r="DP117" s="27"/>
      <c r="DQ117" s="27"/>
      <c r="EA117" s="27"/>
      <c r="EC117" s="26"/>
      <c r="EF117" s="27"/>
      <c r="EL117"/>
      <c r="EP117" s="94"/>
    </row>
    <row r="118" spans="2:181" s="26" customFormat="1" x14ac:dyDescent="0.25">
      <c r="B118" s="27"/>
      <c r="T118" s="11"/>
      <c r="W118" s="11"/>
      <c r="X118" s="11"/>
      <c r="Y118" s="11"/>
      <c r="Z118" s="11"/>
      <c r="AA118" s="2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BK118"/>
      <c r="BL118"/>
      <c r="BM118"/>
      <c r="BN118"/>
      <c r="BO118"/>
      <c r="BP118"/>
      <c r="BQ118"/>
      <c r="BS118"/>
      <c r="BU118"/>
      <c r="BW118"/>
      <c r="BX118"/>
      <c r="BY118"/>
      <c r="BZ118"/>
      <c r="CA118"/>
      <c r="CB118"/>
      <c r="CC118"/>
      <c r="CD118"/>
      <c r="CE118"/>
      <c r="CF118"/>
      <c r="CG118"/>
      <c r="CI118"/>
      <c r="CJ118"/>
      <c r="CK118"/>
      <c r="CL118"/>
      <c r="CM118"/>
      <c r="CN118"/>
      <c r="CO118"/>
      <c r="CP118"/>
      <c r="CQ118"/>
      <c r="CR118"/>
      <c r="CU118"/>
      <c r="CV118"/>
      <c r="CW118"/>
      <c r="DL118"/>
      <c r="DM118" s="80"/>
      <c r="DN118" s="27"/>
      <c r="DO118" s="27"/>
      <c r="DP118"/>
      <c r="DQ118"/>
      <c r="DR118"/>
      <c r="DS118"/>
      <c r="DT118"/>
      <c r="DU118"/>
      <c r="DV118" s="107"/>
      <c r="DW118"/>
      <c r="DX118"/>
      <c r="DY118" s="110"/>
      <c r="DZ118"/>
      <c r="EB118"/>
      <c r="EC118"/>
      <c r="ED118" s="112"/>
      <c r="EE118"/>
      <c r="EF118"/>
      <c r="EG118"/>
      <c r="EH118"/>
      <c r="EI118"/>
      <c r="EJ118"/>
      <c r="EK118"/>
      <c r="EL118" s="94"/>
      <c r="EM118"/>
      <c r="EN118" s="94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</row>
    <row r="119" spans="2:181" s="26" customFormat="1" x14ac:dyDescent="0.25">
      <c r="B119" s="27"/>
      <c r="T119" s="11"/>
      <c r="W119" s="11"/>
      <c r="X119" s="11"/>
      <c r="Y119" s="11"/>
      <c r="Z119" s="11"/>
      <c r="AA119" s="21"/>
      <c r="AB119" s="11"/>
      <c r="AC119" s="11"/>
      <c r="AD119" s="11"/>
      <c r="AE119" s="11"/>
      <c r="AF119" s="11"/>
      <c r="AG119" s="11"/>
      <c r="AH119" s="11"/>
      <c r="AI119" s="11"/>
      <c r="AJ119" s="11" t="str">
        <f>Cengnotation(AU117,3)</f>
        <v>162 k</v>
      </c>
      <c r="AK119" s="11"/>
      <c r="BK119"/>
      <c r="BL119"/>
      <c r="BM119"/>
      <c r="BN119"/>
      <c r="BO119"/>
      <c r="BP119"/>
      <c r="BQ119"/>
      <c r="BS119"/>
      <c r="BU119"/>
      <c r="BV119"/>
      <c r="BW119"/>
      <c r="BX119"/>
      <c r="BY119"/>
      <c r="BZ119"/>
      <c r="CA119"/>
      <c r="CB119"/>
      <c r="CC119"/>
      <c r="CD119"/>
      <c r="CE119"/>
      <c r="CG119"/>
      <c r="CH119"/>
      <c r="CI119"/>
      <c r="CJ119"/>
      <c r="CM119"/>
      <c r="CN119"/>
      <c r="CO119"/>
      <c r="CP119"/>
      <c r="CQ119"/>
      <c r="CR119"/>
      <c r="CS119"/>
      <c r="CT119"/>
      <c r="CU119"/>
      <c r="CV119"/>
      <c r="CW119"/>
      <c r="DL119"/>
      <c r="DM119" s="80"/>
      <c r="DN119" s="27"/>
      <c r="DO119" s="27"/>
      <c r="DP119"/>
      <c r="DQ119"/>
      <c r="DR119"/>
      <c r="DS119"/>
      <c r="DT119"/>
      <c r="DU119"/>
      <c r="DV119" s="107"/>
      <c r="DW119"/>
      <c r="DX119"/>
      <c r="DY119" s="110"/>
      <c r="DZ119"/>
      <c r="EB119"/>
      <c r="EC119"/>
      <c r="ED119" s="112"/>
      <c r="EE119"/>
      <c r="EF119"/>
      <c r="EG119"/>
      <c r="EH119"/>
      <c r="EI119"/>
      <c r="EJ119"/>
      <c r="EK119"/>
      <c r="EL119" s="94"/>
      <c r="EM119"/>
      <c r="EN119" s="94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</row>
    <row r="120" spans="2:181" s="26" customFormat="1" x14ac:dyDescent="0.25">
      <c r="B120" s="27"/>
      <c r="T120" s="11"/>
      <c r="W120" s="11"/>
      <c r="X120" s="11"/>
      <c r="Y120" s="11"/>
      <c r="Z120" s="11"/>
      <c r="AA120" s="2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BS120"/>
      <c r="BU120"/>
      <c r="BV120"/>
      <c r="BW120"/>
      <c r="BX120"/>
      <c r="BY120"/>
      <c r="BZ120"/>
      <c r="CA120"/>
      <c r="CB120"/>
      <c r="CC120"/>
      <c r="CD120"/>
      <c r="CE120"/>
      <c r="CG120"/>
      <c r="CH120"/>
      <c r="CI120"/>
      <c r="CJ120"/>
      <c r="CM120"/>
      <c r="CN120"/>
      <c r="CO120"/>
      <c r="CP120"/>
      <c r="CQ120"/>
      <c r="CR120"/>
      <c r="CS120"/>
      <c r="CT120"/>
      <c r="CU120"/>
      <c r="CV120"/>
      <c r="DL120"/>
      <c r="DM120" s="80"/>
      <c r="DN120" s="27"/>
      <c r="DO120" s="27"/>
      <c r="DP120"/>
      <c r="DQ120"/>
      <c r="DR120"/>
      <c r="DS120"/>
      <c r="DT120"/>
      <c r="DU120"/>
      <c r="DV120" s="107"/>
      <c r="DW120"/>
      <c r="DX120"/>
      <c r="DY120" s="110"/>
      <c r="DZ120"/>
      <c r="EB120"/>
      <c r="EC120"/>
      <c r="ED120" s="112"/>
      <c r="EE120"/>
      <c r="EF120"/>
      <c r="EG120"/>
      <c r="EH120"/>
      <c r="EI120"/>
      <c r="EJ120"/>
      <c r="EK120"/>
      <c r="EL120" s="94"/>
      <c r="EM120"/>
      <c r="EN120" s="94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</row>
    <row r="121" spans="2:181" s="26" customFormat="1" x14ac:dyDescent="0.25">
      <c r="B121" s="27"/>
      <c r="T121" s="11"/>
      <c r="W121" s="11"/>
      <c r="X121" s="11"/>
      <c r="Y121" s="11"/>
      <c r="Z121" s="11"/>
      <c r="AA121" s="2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DL121"/>
      <c r="DM121" s="80"/>
      <c r="DN121" s="27"/>
      <c r="DO121" s="27"/>
      <c r="DP121"/>
      <c r="DQ121"/>
      <c r="DR121"/>
      <c r="DS121"/>
      <c r="DT121"/>
      <c r="DU121"/>
      <c r="DV121" s="107"/>
      <c r="DW121"/>
      <c r="DX121"/>
      <c r="DY121" s="110"/>
      <c r="DZ121"/>
      <c r="EB121"/>
      <c r="EC121"/>
      <c r="ED121" s="112"/>
      <c r="EE121"/>
      <c r="EF121"/>
      <c r="EG121"/>
      <c r="EH121"/>
      <c r="EI121"/>
      <c r="EJ121"/>
      <c r="EK121"/>
      <c r="EL121" s="94"/>
      <c r="EM121"/>
      <c r="EN121" s="94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</row>
    <row r="122" spans="2:181" s="26" customFormat="1" x14ac:dyDescent="0.25">
      <c r="B122" s="27"/>
      <c r="T122" s="11"/>
      <c r="W122" s="11"/>
      <c r="X122" s="11"/>
      <c r="Y122" s="11"/>
      <c r="Z122" s="11"/>
      <c r="AA122" s="2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DL122"/>
      <c r="DM122" s="80"/>
      <c r="DN122" s="27"/>
      <c r="DO122" s="27"/>
      <c r="DP122"/>
      <c r="DQ122"/>
      <c r="DR122"/>
      <c r="DS122"/>
      <c r="DT122"/>
      <c r="DU122"/>
      <c r="DV122" s="107"/>
      <c r="DW122"/>
      <c r="DX122"/>
      <c r="DY122" s="110"/>
      <c r="DZ122"/>
      <c r="EB122"/>
      <c r="EC122"/>
      <c r="ED122" s="112"/>
      <c r="EE122"/>
      <c r="EF122"/>
      <c r="EG122"/>
      <c r="EH122"/>
      <c r="EI122"/>
      <c r="EJ122"/>
      <c r="EK122"/>
      <c r="EL122" s="94"/>
      <c r="EM122"/>
      <c r="EN122" s="94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</row>
    <row r="123" spans="2:181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11"/>
      <c r="Z123" s="11"/>
      <c r="AA123" s="2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DL123"/>
      <c r="DM123" s="80"/>
      <c r="DN123" s="27"/>
      <c r="DO123" s="27"/>
      <c r="DP123"/>
      <c r="DQ123"/>
      <c r="DR123"/>
      <c r="DS123"/>
      <c r="DT123"/>
      <c r="DU123"/>
      <c r="DV123" s="107"/>
      <c r="DW123"/>
      <c r="DX123"/>
      <c r="DY123" s="110"/>
      <c r="DZ123"/>
      <c r="EB123"/>
      <c r="EC123"/>
      <c r="ED123" s="112"/>
      <c r="EE123"/>
      <c r="EF123"/>
      <c r="EG123"/>
      <c r="EH123"/>
      <c r="EI123"/>
      <c r="EJ123"/>
      <c r="EK123"/>
      <c r="EL123" s="94"/>
      <c r="EM123"/>
      <c r="EN123" s="94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</row>
    <row r="124" spans="2:181" s="26" customFormat="1" x14ac:dyDescent="0.25">
      <c r="B124" s="27"/>
      <c r="T124" s="11"/>
      <c r="W124" s="11"/>
      <c r="X124" s="11"/>
      <c r="Y124" s="11"/>
      <c r="Z124" s="11"/>
      <c r="AA124" s="2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DL124"/>
      <c r="DM124" s="80"/>
      <c r="DN124" s="27"/>
      <c r="DO124" s="27"/>
      <c r="DP124"/>
      <c r="DQ124"/>
      <c r="DR124"/>
      <c r="DS124"/>
      <c r="DT124"/>
      <c r="DU124"/>
      <c r="DV124" s="107"/>
      <c r="DW124"/>
      <c r="DX124"/>
      <c r="DY124" s="110"/>
      <c r="DZ124"/>
      <c r="EB124"/>
      <c r="EC124"/>
      <c r="ED124" s="112"/>
      <c r="EE124"/>
      <c r="EF124"/>
      <c r="EG124"/>
      <c r="EH124"/>
      <c r="EI124"/>
      <c r="EJ124"/>
      <c r="EK124"/>
      <c r="EL124" s="94"/>
      <c r="EM124"/>
      <c r="EN124" s="9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</row>
    <row r="125" spans="2:181" x14ac:dyDescent="0.25">
      <c r="B125" t="s">
        <v>242</v>
      </c>
      <c r="BK125" s="26"/>
      <c r="BL125" s="26"/>
      <c r="BM125" s="26"/>
      <c r="BN125" s="26"/>
      <c r="BO125" s="26"/>
      <c r="BP125" s="26"/>
      <c r="BQ125" s="26"/>
      <c r="BS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</row>
    <row r="126" spans="2:181" x14ac:dyDescent="0.25">
      <c r="B126" s="15" t="s">
        <v>243</v>
      </c>
      <c r="BK126" s="26"/>
      <c r="BL126" s="26"/>
      <c r="BM126" s="26"/>
      <c r="BN126" s="26"/>
      <c r="BO126" s="26"/>
      <c r="BP126" s="26"/>
      <c r="BQ126" s="26"/>
      <c r="BS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</row>
    <row r="127" spans="2:181" x14ac:dyDescent="0.25">
      <c r="BS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</row>
    <row r="129" spans="2:4" x14ac:dyDescent="0.25">
      <c r="B129" s="13" t="s">
        <v>218</v>
      </c>
      <c r="C129" s="16" t="s">
        <v>219</v>
      </c>
      <c r="D129" s="36"/>
    </row>
  </sheetData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AE10" workbookViewId="0">
      <selection activeCell="BG12" sqref="BG12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488</v>
      </c>
      <c r="B7" s="32" t="s">
        <v>489</v>
      </c>
      <c r="C7" s="32" t="s">
        <v>490</v>
      </c>
      <c r="D7" s="32" t="s">
        <v>491</v>
      </c>
    </row>
    <row r="8" spans="1:7" ht="30" x14ac:dyDescent="0.25">
      <c r="C8" t="s">
        <v>819</v>
      </c>
      <c r="D8" t="s">
        <v>820</v>
      </c>
      <c r="E8" s="14" t="s">
        <v>805</v>
      </c>
      <c r="F8" t="s">
        <v>493</v>
      </c>
      <c r="G8" s="33" t="s">
        <v>806</v>
      </c>
    </row>
    <row r="9" spans="1:7" ht="30" x14ac:dyDescent="0.25">
      <c r="E9" s="14" t="s">
        <v>805</v>
      </c>
      <c r="F9" t="s">
        <v>807</v>
      </c>
      <c r="G9" s="33" t="s">
        <v>808</v>
      </c>
    </row>
    <row r="10" spans="1:7" ht="30" x14ac:dyDescent="0.25">
      <c r="E10" s="14" t="s">
        <v>805</v>
      </c>
      <c r="F10" t="s">
        <v>498</v>
      </c>
      <c r="G10" s="33" t="s">
        <v>809</v>
      </c>
    </row>
    <row r="11" spans="1:7" ht="30" x14ac:dyDescent="0.25">
      <c r="E11" s="14" t="s">
        <v>805</v>
      </c>
      <c r="F11" t="s">
        <v>810</v>
      </c>
      <c r="G11" s="33" t="s">
        <v>811</v>
      </c>
    </row>
    <row r="12" spans="1:7" ht="30" x14ac:dyDescent="0.25">
      <c r="E12" s="14" t="s">
        <v>805</v>
      </c>
      <c r="F12" t="s">
        <v>496</v>
      </c>
      <c r="G12" s="33" t="s">
        <v>812</v>
      </c>
    </row>
    <row r="13" spans="1:7" ht="30" x14ac:dyDescent="0.25">
      <c r="E13" s="14" t="s">
        <v>805</v>
      </c>
      <c r="F13" t="s">
        <v>813</v>
      </c>
      <c r="G13" s="33" t="s">
        <v>814</v>
      </c>
    </row>
    <row r="14" spans="1:7" ht="30" x14ac:dyDescent="0.25">
      <c r="E14" s="14" t="s">
        <v>805</v>
      </c>
      <c r="F14" t="s">
        <v>815</v>
      </c>
      <c r="G14" s="33" t="s">
        <v>816</v>
      </c>
    </row>
    <row r="15" spans="1:7" ht="30" x14ac:dyDescent="0.25">
      <c r="E15" s="14" t="s">
        <v>805</v>
      </c>
      <c r="F15" t="s">
        <v>817</v>
      </c>
      <c r="G15" s="33" t="s">
        <v>818</v>
      </c>
    </row>
    <row r="17" spans="3:7" ht="75" x14ac:dyDescent="0.25">
      <c r="C17" s="14" t="s">
        <v>823</v>
      </c>
      <c r="D17" t="s">
        <v>500</v>
      </c>
      <c r="E17" s="14" t="s">
        <v>506</v>
      </c>
      <c r="F17" t="s">
        <v>498</v>
      </c>
      <c r="G17" s="33" t="s">
        <v>821</v>
      </c>
    </row>
    <row r="18" spans="3:7" ht="45" x14ac:dyDescent="0.25">
      <c r="E18" s="14" t="s">
        <v>506</v>
      </c>
      <c r="F18" t="s">
        <v>499</v>
      </c>
      <c r="G18" s="33" t="s">
        <v>822</v>
      </c>
    </row>
    <row r="20" spans="3:7" ht="75" x14ac:dyDescent="0.25">
      <c r="C20" s="14" t="s">
        <v>823</v>
      </c>
      <c r="D20" t="s">
        <v>502</v>
      </c>
      <c r="E20" s="14" t="s">
        <v>507</v>
      </c>
      <c r="F20" t="s">
        <v>498</v>
      </c>
      <c r="G20" s="33" t="s">
        <v>821</v>
      </c>
    </row>
    <row r="21" spans="3:7" ht="30" x14ac:dyDescent="0.25">
      <c r="E21" s="14" t="s">
        <v>507</v>
      </c>
      <c r="F21" t="s">
        <v>501</v>
      </c>
      <c r="G21" s="33" t="s">
        <v>824</v>
      </c>
    </row>
    <row r="23" spans="3:7" ht="75" x14ac:dyDescent="0.25">
      <c r="C23" s="14" t="s">
        <v>827</v>
      </c>
      <c r="D23" t="s">
        <v>492</v>
      </c>
      <c r="E23" s="14" t="s">
        <v>508</v>
      </c>
      <c r="F23" t="s">
        <v>496</v>
      </c>
      <c r="G23" s="33" t="s">
        <v>825</v>
      </c>
    </row>
    <row r="24" spans="3:7" ht="30" x14ac:dyDescent="0.25">
      <c r="E24" s="14" t="s">
        <v>508</v>
      </c>
      <c r="F24" t="s">
        <v>497</v>
      </c>
      <c r="G24" s="33" t="s">
        <v>826</v>
      </c>
    </row>
    <row r="26" spans="3:7" ht="75" x14ac:dyDescent="0.25">
      <c r="C26" s="14" t="s">
        <v>827</v>
      </c>
      <c r="D26" t="s">
        <v>492</v>
      </c>
      <c r="E26" s="14" t="s">
        <v>509</v>
      </c>
      <c r="F26" t="s">
        <v>496</v>
      </c>
      <c r="G26" s="33" t="s">
        <v>825</v>
      </c>
    </row>
    <row r="27" spans="3:7" ht="30" x14ac:dyDescent="0.25">
      <c r="E27" s="14" t="s">
        <v>509</v>
      </c>
      <c r="F27" t="s">
        <v>497</v>
      </c>
      <c r="G27" s="33" t="s">
        <v>826</v>
      </c>
    </row>
    <row r="29" spans="3:7" ht="75" x14ac:dyDescent="0.25">
      <c r="C29" s="14" t="s">
        <v>829</v>
      </c>
      <c r="D29" t="s">
        <v>495</v>
      </c>
      <c r="E29" s="14" t="s">
        <v>510</v>
      </c>
      <c r="F29" t="s">
        <v>493</v>
      </c>
      <c r="G29" s="33" t="s">
        <v>806</v>
      </c>
    </row>
    <row r="30" spans="3:7" ht="45" x14ac:dyDescent="0.25">
      <c r="E30" s="14" t="s">
        <v>510</v>
      </c>
      <c r="F30" t="s">
        <v>494</v>
      </c>
      <c r="G30" s="33" t="s">
        <v>828</v>
      </c>
    </row>
    <row r="32" spans="3:7" ht="75" x14ac:dyDescent="0.25">
      <c r="C32" s="14" t="s">
        <v>829</v>
      </c>
      <c r="D32" t="s">
        <v>495</v>
      </c>
      <c r="E32" s="14" t="s">
        <v>511</v>
      </c>
      <c r="F32" t="s">
        <v>493</v>
      </c>
      <c r="G32" s="33" t="s">
        <v>806</v>
      </c>
    </row>
    <row r="33" spans="3:7" ht="30" x14ac:dyDescent="0.25">
      <c r="E33" s="14" t="s">
        <v>511</v>
      </c>
      <c r="F33" t="s">
        <v>494</v>
      </c>
      <c r="G33" s="33" t="s">
        <v>828</v>
      </c>
    </row>
    <row r="35" spans="3:7" ht="75" x14ac:dyDescent="0.25">
      <c r="C35" s="14" t="s">
        <v>835</v>
      </c>
      <c r="D35" t="s">
        <v>836</v>
      </c>
      <c r="E35" s="14" t="s">
        <v>830</v>
      </c>
      <c r="F35" t="s">
        <v>831</v>
      </c>
      <c r="G35" s="33" t="s">
        <v>832</v>
      </c>
    </row>
    <row r="36" spans="3:7" ht="30" x14ac:dyDescent="0.25">
      <c r="E36" s="14" t="s">
        <v>830</v>
      </c>
      <c r="F36" t="s">
        <v>833</v>
      </c>
      <c r="G36" s="33" t="s">
        <v>834</v>
      </c>
    </row>
    <row r="38" spans="3:7" ht="45" x14ac:dyDescent="0.25">
      <c r="C38" t="s">
        <v>504</v>
      </c>
      <c r="D38" t="s">
        <v>505</v>
      </c>
      <c r="E38" s="14" t="s">
        <v>512</v>
      </c>
      <c r="F38" t="s">
        <v>493</v>
      </c>
      <c r="G38" s="33" t="s">
        <v>806</v>
      </c>
    </row>
    <row r="39" spans="3:7" ht="45" x14ac:dyDescent="0.25">
      <c r="E39" s="14" t="s">
        <v>512</v>
      </c>
      <c r="F39" t="s">
        <v>503</v>
      </c>
      <c r="G39" s="33" t="s">
        <v>837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513</v>
      </c>
      <c r="B1" s="26" t="s">
        <v>514</v>
      </c>
      <c r="C1" s="26" t="s">
        <v>515</v>
      </c>
      <c r="D1" s="26" t="s">
        <v>516</v>
      </c>
      <c r="E1" s="26" t="s">
        <v>517</v>
      </c>
      <c r="F1" s="26" t="s">
        <v>518</v>
      </c>
      <c r="G1" s="26"/>
      <c r="H1" s="26"/>
      <c r="I1" s="26"/>
      <c r="J1" s="26"/>
      <c r="K1" s="26"/>
      <c r="L1" s="26"/>
    </row>
    <row r="2" spans="1:12" x14ac:dyDescent="0.25">
      <c r="A2" s="26" t="s">
        <v>519</v>
      </c>
      <c r="B2" s="26" t="s">
        <v>520</v>
      </c>
      <c r="C2" s="26" t="s">
        <v>521</v>
      </c>
      <c r="D2" s="26" t="s">
        <v>522</v>
      </c>
      <c r="E2" s="26" t="s">
        <v>523</v>
      </c>
      <c r="F2" s="26" t="s">
        <v>524</v>
      </c>
      <c r="G2" s="26"/>
      <c r="H2" s="26"/>
      <c r="I2" s="26"/>
      <c r="J2" s="26"/>
      <c r="K2" s="26"/>
      <c r="L2" s="26"/>
    </row>
    <row r="3" spans="1:12" x14ac:dyDescent="0.25">
      <c r="A3" s="26" t="s">
        <v>525</v>
      </c>
      <c r="B3" s="26" t="s">
        <v>526</v>
      </c>
      <c r="C3" s="26" t="s">
        <v>521</v>
      </c>
      <c r="D3" s="26" t="s">
        <v>527</v>
      </c>
      <c r="E3" s="26" t="s">
        <v>528</v>
      </c>
      <c r="F3" s="26" t="s">
        <v>529</v>
      </c>
      <c r="G3" s="26" t="s">
        <v>530</v>
      </c>
      <c r="H3" s="26"/>
      <c r="I3" s="26"/>
      <c r="J3" s="26"/>
      <c r="K3" s="26"/>
      <c r="L3" s="26"/>
    </row>
    <row r="4" spans="1:12" x14ac:dyDescent="0.25">
      <c r="A4" s="26" t="s">
        <v>531</v>
      </c>
      <c r="B4" s="26" t="s">
        <v>532</v>
      </c>
      <c r="C4" s="26" t="s">
        <v>533</v>
      </c>
      <c r="D4" s="26" t="s">
        <v>534</v>
      </c>
      <c r="E4" s="26" t="s">
        <v>535</v>
      </c>
      <c r="F4" s="26" t="s">
        <v>532</v>
      </c>
      <c r="G4" s="26"/>
      <c r="H4" s="26"/>
      <c r="I4" s="26"/>
      <c r="J4" s="26"/>
      <c r="K4" s="26"/>
      <c r="L4" s="26"/>
    </row>
    <row r="5" spans="1:12" x14ac:dyDescent="0.25">
      <c r="A5" s="26" t="s">
        <v>536</v>
      </c>
      <c r="B5" s="26" t="s">
        <v>537</v>
      </c>
      <c r="C5" s="26" t="s">
        <v>538</v>
      </c>
      <c r="D5" s="26" t="s">
        <v>539</v>
      </c>
      <c r="E5" s="26" t="s">
        <v>540</v>
      </c>
      <c r="F5" s="26" t="s">
        <v>541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542</v>
      </c>
      <c r="B6" s="26" t="s">
        <v>543</v>
      </c>
      <c r="C6" s="26" t="s">
        <v>544</v>
      </c>
      <c r="D6" s="26" t="s">
        <v>545</v>
      </c>
      <c r="E6" s="26" t="s">
        <v>546</v>
      </c>
      <c r="F6" s="26" t="s">
        <v>547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548</v>
      </c>
      <c r="B7" s="26" t="s">
        <v>549</v>
      </c>
      <c r="C7" s="26" t="s">
        <v>550</v>
      </c>
      <c r="D7" s="26" t="s">
        <v>551</v>
      </c>
      <c r="E7" s="26" t="s">
        <v>552</v>
      </c>
      <c r="F7" s="26" t="s">
        <v>553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554</v>
      </c>
      <c r="B8" s="26" t="s">
        <v>555</v>
      </c>
      <c r="C8" s="26" t="s">
        <v>556</v>
      </c>
      <c r="D8" s="26" t="s">
        <v>557</v>
      </c>
      <c r="E8" s="26" t="s">
        <v>558</v>
      </c>
      <c r="F8" s="26" t="s">
        <v>559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560</v>
      </c>
      <c r="B9" s="26" t="s">
        <v>561</v>
      </c>
      <c r="C9" s="26" t="s">
        <v>562</v>
      </c>
      <c r="D9" s="26" t="s">
        <v>563</v>
      </c>
      <c r="E9" s="26" t="s">
        <v>564</v>
      </c>
      <c r="F9" s="26" t="s">
        <v>565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566</v>
      </c>
      <c r="B10" s="26" t="s">
        <v>567</v>
      </c>
      <c r="C10" s="26" t="s">
        <v>568</v>
      </c>
      <c r="D10" s="26" t="s">
        <v>569</v>
      </c>
      <c r="E10" s="26" t="s">
        <v>570</v>
      </c>
      <c r="F10" s="26" t="s">
        <v>571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572</v>
      </c>
      <c r="B11" s="26" t="s">
        <v>573</v>
      </c>
      <c r="C11" s="26" t="s">
        <v>574</v>
      </c>
      <c r="D11" s="26" t="s">
        <v>575</v>
      </c>
      <c r="E11" s="26" t="s">
        <v>576</v>
      </c>
      <c r="F11" s="26" t="s">
        <v>577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578</v>
      </c>
      <c r="B12" s="26" t="s">
        <v>579</v>
      </c>
      <c r="C12" s="26" t="s">
        <v>580</v>
      </c>
      <c r="D12" s="26" t="s">
        <v>581</v>
      </c>
      <c r="E12" s="26" t="s">
        <v>582</v>
      </c>
      <c r="F12" s="26" t="s">
        <v>583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584</v>
      </c>
      <c r="B13" s="26" t="s">
        <v>585</v>
      </c>
      <c r="C13" s="26" t="s">
        <v>586</v>
      </c>
      <c r="D13" s="26" t="s">
        <v>587</v>
      </c>
      <c r="E13" s="26" t="s">
        <v>588</v>
      </c>
      <c r="F13" s="26" t="s">
        <v>589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590</v>
      </c>
      <c r="B16" s="26" t="s">
        <v>591</v>
      </c>
      <c r="C16" s="26" t="s">
        <v>592</v>
      </c>
      <c r="D16" s="26" t="s">
        <v>593</v>
      </c>
      <c r="E16" s="26" t="s">
        <v>594</v>
      </c>
      <c r="F16" s="26" t="s">
        <v>595</v>
      </c>
      <c r="G16" s="26"/>
      <c r="H16" s="26"/>
      <c r="I16" s="26"/>
      <c r="J16" s="26"/>
      <c r="K16" s="26"/>
      <c r="L16" s="26"/>
    </row>
    <row r="17" spans="1:12" x14ac:dyDescent="0.25">
      <c r="A17" s="26" t="s">
        <v>596</v>
      </c>
      <c r="B17" s="26" t="s">
        <v>597</v>
      </c>
      <c r="C17" s="26" t="s">
        <v>598</v>
      </c>
      <c r="D17" s="26" t="s">
        <v>599</v>
      </c>
      <c r="E17" s="26" t="s">
        <v>600</v>
      </c>
      <c r="F17" s="26" t="s">
        <v>601</v>
      </c>
      <c r="G17" s="26"/>
      <c r="H17" s="26"/>
      <c r="I17" s="26"/>
      <c r="J17" s="26"/>
      <c r="K17" s="26"/>
      <c r="L17" s="26"/>
    </row>
    <row r="18" spans="1:12" x14ac:dyDescent="0.25">
      <c r="A18" s="26" t="s">
        <v>602</v>
      </c>
      <c r="B18" s="26" t="s">
        <v>585</v>
      </c>
      <c r="C18" s="26" t="s">
        <v>603</v>
      </c>
      <c r="D18" s="26" t="s">
        <v>604</v>
      </c>
      <c r="E18" s="26" t="s">
        <v>605</v>
      </c>
      <c r="F18" s="26" t="s">
        <v>606</v>
      </c>
      <c r="G18" s="26"/>
      <c r="H18" s="26"/>
      <c r="I18" s="26"/>
      <c r="J18" s="26"/>
      <c r="K18" s="26"/>
      <c r="L18" s="26"/>
    </row>
    <row r="19" spans="1:12" x14ac:dyDescent="0.25">
      <c r="A19" s="26" t="s">
        <v>607</v>
      </c>
      <c r="B19" s="26" t="s">
        <v>608</v>
      </c>
      <c r="C19" s="26" t="s">
        <v>609</v>
      </c>
      <c r="D19" s="26" t="s">
        <v>610</v>
      </c>
      <c r="E19" s="26" t="s">
        <v>611</v>
      </c>
      <c r="F19" s="26" t="s">
        <v>612</v>
      </c>
      <c r="G19" s="26"/>
      <c r="H19" s="26"/>
      <c r="I19" s="26"/>
      <c r="J19" s="26"/>
      <c r="K19" s="26"/>
      <c r="L19" s="26"/>
    </row>
    <row r="20" spans="1:12" x14ac:dyDescent="0.25">
      <c r="A20" s="26" t="s">
        <v>613</v>
      </c>
      <c r="B20" s="26" t="s">
        <v>614</v>
      </c>
      <c r="C20" s="26" t="s">
        <v>615</v>
      </c>
      <c r="D20" s="26" t="s">
        <v>616</v>
      </c>
      <c r="E20" s="26" t="s">
        <v>617</v>
      </c>
      <c r="F20" s="26" t="s">
        <v>618</v>
      </c>
      <c r="G20" s="26"/>
      <c r="H20" s="26"/>
      <c r="I20" s="26"/>
      <c r="J20" s="26"/>
      <c r="K20" s="26"/>
      <c r="L20" s="26"/>
    </row>
    <row r="21" spans="1:12" x14ac:dyDescent="0.25">
      <c r="A21" s="26" t="s">
        <v>619</v>
      </c>
      <c r="B21" s="26" t="s">
        <v>620</v>
      </c>
      <c r="C21" s="26" t="s">
        <v>621</v>
      </c>
      <c r="D21" s="26" t="s">
        <v>622</v>
      </c>
      <c r="E21" s="26" t="s">
        <v>623</v>
      </c>
      <c r="F21" s="26" t="s">
        <v>624</v>
      </c>
      <c r="G21" s="26"/>
      <c r="H21" s="26"/>
      <c r="I21" s="26"/>
      <c r="J21" s="26"/>
      <c r="K21" s="26"/>
      <c r="L21" s="26"/>
    </row>
    <row r="22" spans="1:12" x14ac:dyDescent="0.25">
      <c r="A22" s="26" t="s">
        <v>625</v>
      </c>
      <c r="B22" s="26" t="s">
        <v>626</v>
      </c>
      <c r="C22" s="26" t="s">
        <v>627</v>
      </c>
      <c r="D22" s="26" t="s">
        <v>628</v>
      </c>
      <c r="E22" s="26" t="s">
        <v>629</v>
      </c>
      <c r="F22" s="26" t="s">
        <v>630</v>
      </c>
      <c r="G22" s="26"/>
      <c r="H22" s="26"/>
      <c r="I22" s="26"/>
      <c r="J22" s="26" t="s">
        <v>631</v>
      </c>
      <c r="K22" s="26">
        <v>13500</v>
      </c>
      <c r="L22" s="26"/>
    </row>
    <row r="23" spans="1:12" x14ac:dyDescent="0.25">
      <c r="A23" s="26" t="s">
        <v>632</v>
      </c>
      <c r="B23" s="26" t="s">
        <v>633</v>
      </c>
      <c r="C23" s="26" t="s">
        <v>634</v>
      </c>
      <c r="D23" s="26" t="s">
        <v>635</v>
      </c>
      <c r="E23" s="26" t="s">
        <v>636</v>
      </c>
      <c r="F23" s="26" t="s">
        <v>637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638</v>
      </c>
      <c r="B24" s="26" t="s">
        <v>639</v>
      </c>
      <c r="C24" s="26" t="s">
        <v>640</v>
      </c>
      <c r="D24" s="26" t="s">
        <v>641</v>
      </c>
      <c r="E24" s="26" t="s">
        <v>642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57"/>
  <sheetViews>
    <sheetView topLeftCell="A267" workbookViewId="0">
      <selection activeCell="D286" sqref="D286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4" customFormat="1" x14ac:dyDescent="0.25">
      <c r="A1" s="76" t="s">
        <v>911</v>
      </c>
      <c r="B1" s="74" t="s">
        <v>912</v>
      </c>
      <c r="C1" s="74" t="s">
        <v>913</v>
      </c>
      <c r="D1" s="76" t="s">
        <v>914</v>
      </c>
      <c r="E1" s="77" t="s">
        <v>915</v>
      </c>
      <c r="F1" s="74" t="s">
        <v>847</v>
      </c>
      <c r="G1" s="74" t="s">
        <v>909</v>
      </c>
      <c r="H1" s="74" t="s">
        <v>910</v>
      </c>
      <c r="I1" s="76"/>
      <c r="M1" s="76"/>
      <c r="P1" s="76"/>
    </row>
    <row r="2" spans="1:16" x14ac:dyDescent="0.25">
      <c r="A2" s="33" t="s">
        <v>714</v>
      </c>
      <c r="B2" t="s">
        <v>485</v>
      </c>
      <c r="C2" t="s">
        <v>848</v>
      </c>
      <c r="D2" s="33" t="s">
        <v>849</v>
      </c>
      <c r="E2" s="49" t="s">
        <v>849</v>
      </c>
      <c r="I2" s="33"/>
      <c r="M2" s="33"/>
      <c r="P2" s="33"/>
    </row>
    <row r="3" spans="1:16" x14ac:dyDescent="0.25">
      <c r="A3" s="33" t="s">
        <v>714</v>
      </c>
      <c r="B3" t="s">
        <v>663</v>
      </c>
      <c r="C3" t="s">
        <v>715</v>
      </c>
      <c r="D3" s="33" t="s">
        <v>716</v>
      </c>
      <c r="E3" s="49" t="s">
        <v>716</v>
      </c>
      <c r="I3" s="33"/>
      <c r="M3" s="33"/>
      <c r="P3" s="33"/>
    </row>
    <row r="4" spans="1:16" x14ac:dyDescent="0.25">
      <c r="A4" s="33" t="s">
        <v>714</v>
      </c>
      <c r="B4" t="s">
        <v>664</v>
      </c>
      <c r="C4" t="s">
        <v>717</v>
      </c>
      <c r="D4" s="33" t="s">
        <v>850</v>
      </c>
      <c r="E4" s="49" t="s">
        <v>850</v>
      </c>
      <c r="I4" s="33"/>
      <c r="M4" s="33"/>
      <c r="P4" s="33"/>
    </row>
    <row r="5" spans="1:16" x14ac:dyDescent="0.25">
      <c r="A5" s="33" t="s">
        <v>714</v>
      </c>
      <c r="B5" t="s">
        <v>665</v>
      </c>
      <c r="C5" t="s">
        <v>718</v>
      </c>
      <c r="D5" s="33" t="s">
        <v>851</v>
      </c>
      <c r="E5" s="49" t="s">
        <v>851</v>
      </c>
      <c r="I5" s="33"/>
      <c r="M5" s="33"/>
      <c r="P5" s="33"/>
    </row>
    <row r="6" spans="1:16" x14ac:dyDescent="0.25">
      <c r="A6" s="33" t="s">
        <v>714</v>
      </c>
      <c r="B6" t="s">
        <v>666</v>
      </c>
      <c r="C6" t="s">
        <v>719</v>
      </c>
      <c r="D6" s="33" t="s">
        <v>852</v>
      </c>
      <c r="E6" s="49" t="s">
        <v>852</v>
      </c>
      <c r="I6" s="33"/>
      <c r="M6" s="33"/>
      <c r="P6" s="33"/>
    </row>
    <row r="7" spans="1:16" x14ac:dyDescent="0.25">
      <c r="A7" s="33" t="s">
        <v>714</v>
      </c>
      <c r="B7" t="s">
        <v>667</v>
      </c>
      <c r="C7" t="s">
        <v>720</v>
      </c>
      <c r="D7" s="33" t="s">
        <v>721</v>
      </c>
      <c r="E7" s="49" t="s">
        <v>721</v>
      </c>
      <c r="I7" s="33"/>
      <c r="M7" s="33"/>
      <c r="P7" s="33"/>
    </row>
    <row r="8" spans="1:16" x14ac:dyDescent="0.25">
      <c r="A8" s="33" t="s">
        <v>714</v>
      </c>
      <c r="B8" t="s">
        <v>668</v>
      </c>
      <c r="C8" t="s">
        <v>722</v>
      </c>
      <c r="D8" s="33" t="s">
        <v>853</v>
      </c>
      <c r="E8" s="49" t="s">
        <v>853</v>
      </c>
      <c r="I8" s="33"/>
      <c r="M8" s="33"/>
      <c r="P8" s="33"/>
    </row>
    <row r="9" spans="1:16" x14ac:dyDescent="0.25">
      <c r="A9" s="33" t="s">
        <v>714</v>
      </c>
      <c r="B9" t="s">
        <v>669</v>
      </c>
      <c r="C9" t="s">
        <v>723</v>
      </c>
      <c r="D9" s="33" t="s">
        <v>854</v>
      </c>
      <c r="E9" s="49" t="s">
        <v>854</v>
      </c>
      <c r="I9" s="33"/>
      <c r="M9" s="33"/>
      <c r="P9" s="33"/>
    </row>
    <row r="10" spans="1:16" x14ac:dyDescent="0.25">
      <c r="A10" s="33" t="s">
        <v>714</v>
      </c>
      <c r="B10" t="s">
        <v>670</v>
      </c>
      <c r="C10" t="s">
        <v>724</v>
      </c>
      <c r="D10" s="33" t="s">
        <v>855</v>
      </c>
      <c r="E10" s="49" t="s">
        <v>855</v>
      </c>
      <c r="I10" s="33"/>
      <c r="M10" s="33"/>
      <c r="P10" s="33"/>
    </row>
    <row r="11" spans="1:16" x14ac:dyDescent="0.25">
      <c r="A11" s="33" t="s">
        <v>714</v>
      </c>
      <c r="B11" t="s">
        <v>856</v>
      </c>
      <c r="C11" t="s">
        <v>857</v>
      </c>
      <c r="D11" s="33" t="s">
        <v>858</v>
      </c>
      <c r="E11" s="49" t="s">
        <v>858</v>
      </c>
      <c r="I11" s="33"/>
      <c r="M11" s="33"/>
      <c r="P11" s="33"/>
    </row>
    <row r="12" spans="1:16" x14ac:dyDescent="0.25">
      <c r="A12" s="33" t="s">
        <v>714</v>
      </c>
      <c r="B12" t="s">
        <v>671</v>
      </c>
      <c r="C12" t="s">
        <v>725</v>
      </c>
      <c r="D12" s="33" t="s">
        <v>859</v>
      </c>
      <c r="E12" s="49" t="s">
        <v>859</v>
      </c>
      <c r="I12" s="33"/>
      <c r="M12" s="33"/>
      <c r="P12" s="33"/>
    </row>
    <row r="13" spans="1:16" x14ac:dyDescent="0.25">
      <c r="A13" s="33" t="s">
        <v>714</v>
      </c>
      <c r="B13" t="s">
        <v>860</v>
      </c>
      <c r="C13" t="s">
        <v>861</v>
      </c>
      <c r="D13" s="33" t="s">
        <v>862</v>
      </c>
      <c r="E13" s="49" t="s">
        <v>862</v>
      </c>
      <c r="I13" s="33"/>
      <c r="M13" s="33"/>
      <c r="P13" s="33"/>
    </row>
    <row r="14" spans="1:16" x14ac:dyDescent="0.25">
      <c r="A14" s="33" t="s">
        <v>714</v>
      </c>
      <c r="B14" t="s">
        <v>672</v>
      </c>
      <c r="C14" t="s">
        <v>726</v>
      </c>
      <c r="D14" s="33" t="s">
        <v>863</v>
      </c>
      <c r="E14" s="49" t="s">
        <v>863</v>
      </c>
      <c r="I14" s="33"/>
      <c r="M14" s="33"/>
      <c r="P14" s="33"/>
    </row>
    <row r="15" spans="1:16" x14ac:dyDescent="0.25">
      <c r="A15" s="33" t="s">
        <v>714</v>
      </c>
      <c r="B15" t="s">
        <v>673</v>
      </c>
      <c r="C15" t="s">
        <v>727</v>
      </c>
      <c r="D15" s="33" t="s">
        <v>674</v>
      </c>
      <c r="E15" s="49" t="s">
        <v>674</v>
      </c>
      <c r="G15" s="33" t="s">
        <v>936</v>
      </c>
      <c r="H15" s="33" t="s">
        <v>916</v>
      </c>
      <c r="I15" s="33" t="s">
        <v>674</v>
      </c>
      <c r="J15" s="33" t="s">
        <v>937</v>
      </c>
      <c r="M15" s="33"/>
      <c r="P15" s="33"/>
    </row>
    <row r="16" spans="1:16" x14ac:dyDescent="0.25">
      <c r="A16" s="33" t="s">
        <v>714</v>
      </c>
      <c r="B16" t="s">
        <v>675</v>
      </c>
      <c r="C16" t="s">
        <v>728</v>
      </c>
      <c r="D16" s="33" t="s">
        <v>676</v>
      </c>
      <c r="E16" s="49" t="s">
        <v>676</v>
      </c>
      <c r="I16" s="33"/>
      <c r="M16" s="33"/>
      <c r="P16" s="33"/>
    </row>
    <row r="17" spans="1:16" x14ac:dyDescent="0.25">
      <c r="A17" s="33" t="s">
        <v>714</v>
      </c>
      <c r="B17" t="s">
        <v>677</v>
      </c>
      <c r="C17" t="s">
        <v>729</v>
      </c>
      <c r="D17" s="33" t="s">
        <v>678</v>
      </c>
      <c r="E17" s="49" t="s">
        <v>678</v>
      </c>
      <c r="G17" s="33" t="s">
        <v>918</v>
      </c>
      <c r="H17" s="33" t="s">
        <v>917</v>
      </c>
      <c r="I17" s="33" t="s">
        <v>678</v>
      </c>
      <c r="J17" s="33" t="s">
        <v>941</v>
      </c>
      <c r="M17" s="33"/>
      <c r="P17" s="33"/>
    </row>
    <row r="18" spans="1:16" x14ac:dyDescent="0.25">
      <c r="A18" s="33" t="s">
        <v>714</v>
      </c>
      <c r="B18" t="s">
        <v>864</v>
      </c>
      <c r="C18" t="s">
        <v>865</v>
      </c>
      <c r="D18" s="33" t="s">
        <v>679</v>
      </c>
      <c r="E18" s="49" t="s">
        <v>679</v>
      </c>
      <c r="I18" s="33"/>
      <c r="M18" s="33"/>
      <c r="P18" s="33"/>
    </row>
    <row r="19" spans="1:16" x14ac:dyDescent="0.25">
      <c r="A19" s="33" t="s">
        <v>714</v>
      </c>
      <c r="B19" t="s">
        <v>866</v>
      </c>
      <c r="C19" t="s">
        <v>867</v>
      </c>
      <c r="D19" s="33" t="s">
        <v>868</v>
      </c>
      <c r="E19" s="49" t="s">
        <v>868</v>
      </c>
      <c r="I19" s="33"/>
      <c r="M19" s="33"/>
      <c r="P19" s="33"/>
    </row>
    <row r="20" spans="1:16" x14ac:dyDescent="0.25">
      <c r="A20" s="33"/>
      <c r="B20" t="s">
        <v>869</v>
      </c>
      <c r="C20" t="s">
        <v>869</v>
      </c>
      <c r="D20" s="33" t="s">
        <v>870</v>
      </c>
      <c r="E20" s="49" t="s">
        <v>870</v>
      </c>
      <c r="I20" s="33"/>
      <c r="M20" s="33"/>
      <c r="P20" s="33"/>
    </row>
    <row r="21" spans="1:16" x14ac:dyDescent="0.25">
      <c r="A21" s="33" t="s">
        <v>714</v>
      </c>
      <c r="B21" t="s">
        <v>680</v>
      </c>
      <c r="C21" t="s">
        <v>730</v>
      </c>
      <c r="D21" s="33" t="s">
        <v>731</v>
      </c>
      <c r="E21" s="49" t="s">
        <v>731</v>
      </c>
      <c r="I21" s="33"/>
      <c r="M21" s="33"/>
      <c r="P21" s="33"/>
    </row>
    <row r="22" spans="1:16" x14ac:dyDescent="0.25">
      <c r="A22" s="33" t="s">
        <v>714</v>
      </c>
      <c r="B22" t="s">
        <v>681</v>
      </c>
      <c r="C22" t="s">
        <v>732</v>
      </c>
      <c r="D22" s="33" t="s">
        <v>871</v>
      </c>
      <c r="E22" s="49" t="s">
        <v>871</v>
      </c>
      <c r="I22" s="33"/>
      <c r="M22" s="33"/>
      <c r="P22" s="33"/>
    </row>
    <row r="23" spans="1:16" x14ac:dyDescent="0.25">
      <c r="A23" s="33" t="s">
        <v>714</v>
      </c>
      <c r="B23" t="s">
        <v>682</v>
      </c>
      <c r="C23" t="s">
        <v>733</v>
      </c>
      <c r="D23" s="33" t="s">
        <v>872</v>
      </c>
      <c r="E23" s="49" t="s">
        <v>872</v>
      </c>
      <c r="I23" s="33"/>
      <c r="M23" s="33"/>
      <c r="P23" s="33"/>
    </row>
    <row r="24" spans="1:16" x14ac:dyDescent="0.25">
      <c r="A24" s="33" t="s">
        <v>714</v>
      </c>
      <c r="B24" t="s">
        <v>683</v>
      </c>
      <c r="C24" t="s">
        <v>734</v>
      </c>
      <c r="D24" s="33" t="s">
        <v>873</v>
      </c>
      <c r="E24" s="49" t="s">
        <v>873</v>
      </c>
      <c r="I24" s="33"/>
      <c r="M24" s="33"/>
      <c r="P24" s="33"/>
    </row>
    <row r="25" spans="1:16" x14ac:dyDescent="0.25">
      <c r="A25" s="33" t="s">
        <v>714</v>
      </c>
      <c r="B25" t="s">
        <v>874</v>
      </c>
      <c r="C25" t="s">
        <v>875</v>
      </c>
      <c r="D25" s="33" t="s">
        <v>876</v>
      </c>
      <c r="E25" s="49" t="s">
        <v>876</v>
      </c>
      <c r="I25" s="33"/>
      <c r="M25" s="33"/>
      <c r="P25" s="33"/>
    </row>
    <row r="26" spans="1:16" x14ac:dyDescent="0.25">
      <c r="A26" s="33" t="s">
        <v>714</v>
      </c>
      <c r="B26" t="s">
        <v>684</v>
      </c>
      <c r="C26" t="s">
        <v>735</v>
      </c>
      <c r="D26" s="33" t="s">
        <v>877</v>
      </c>
      <c r="E26" s="49" t="s">
        <v>877</v>
      </c>
      <c r="I26" s="33"/>
      <c r="M26" s="33"/>
      <c r="P26" s="33"/>
    </row>
    <row r="27" spans="1:16" x14ac:dyDescent="0.25">
      <c r="A27" s="33" t="s">
        <v>714</v>
      </c>
      <c r="B27" t="s">
        <v>685</v>
      </c>
      <c r="C27" t="s">
        <v>736</v>
      </c>
      <c r="D27" s="33" t="s">
        <v>686</v>
      </c>
      <c r="E27" s="49" t="s">
        <v>686</v>
      </c>
      <c r="G27" s="33" t="s">
        <v>942</v>
      </c>
      <c r="H27" s="33" t="s">
        <v>930</v>
      </c>
      <c r="I27" s="33" t="s">
        <v>686</v>
      </c>
      <c r="J27" s="33" t="s">
        <v>944</v>
      </c>
      <c r="M27" s="33"/>
      <c r="P27" s="33"/>
    </row>
    <row r="28" spans="1:16" x14ac:dyDescent="0.25">
      <c r="A28" s="33" t="s">
        <v>714</v>
      </c>
      <c r="B28" t="s">
        <v>687</v>
      </c>
      <c r="C28" t="s">
        <v>737</v>
      </c>
      <c r="D28" s="33" t="s">
        <v>688</v>
      </c>
      <c r="E28" s="49" t="s">
        <v>688</v>
      </c>
      <c r="I28" s="33"/>
      <c r="M28" s="33"/>
      <c r="P28" s="33"/>
    </row>
    <row r="29" spans="1:16" x14ac:dyDescent="0.25">
      <c r="A29" s="33" t="s">
        <v>714</v>
      </c>
      <c r="B29" t="s">
        <v>689</v>
      </c>
      <c r="C29" t="s">
        <v>738</v>
      </c>
      <c r="D29" s="33" t="s">
        <v>690</v>
      </c>
      <c r="E29" s="49" t="s">
        <v>690</v>
      </c>
      <c r="G29" t="s">
        <v>931</v>
      </c>
      <c r="H29" t="s">
        <v>932</v>
      </c>
      <c r="I29" s="33"/>
      <c r="M29" s="33"/>
      <c r="P29" s="33"/>
    </row>
    <row r="30" spans="1:16" x14ac:dyDescent="0.25">
      <c r="A30" s="33" t="s">
        <v>714</v>
      </c>
      <c r="B30" t="s">
        <v>691</v>
      </c>
      <c r="C30" t="s">
        <v>739</v>
      </c>
      <c r="D30" s="33" t="s">
        <v>692</v>
      </c>
      <c r="E30" s="49" t="s">
        <v>692</v>
      </c>
      <c r="I30" s="33"/>
      <c r="M30" s="33"/>
      <c r="P30" s="33"/>
    </row>
    <row r="31" spans="1:16" x14ac:dyDescent="0.25">
      <c r="A31" s="33" t="s">
        <v>714</v>
      </c>
      <c r="B31" t="s">
        <v>878</v>
      </c>
      <c r="C31" t="s">
        <v>879</v>
      </c>
      <c r="D31" s="33" t="s">
        <v>880</v>
      </c>
      <c r="E31" s="49" t="s">
        <v>880</v>
      </c>
      <c r="I31" s="33"/>
      <c r="M31" s="33"/>
      <c r="P31" s="33"/>
    </row>
    <row r="32" spans="1:16" x14ac:dyDescent="0.25">
      <c r="A32" s="33" t="s">
        <v>714</v>
      </c>
      <c r="B32" t="s">
        <v>693</v>
      </c>
      <c r="C32" t="s">
        <v>740</v>
      </c>
      <c r="D32" s="33" t="s">
        <v>881</v>
      </c>
      <c r="E32" s="49" t="s">
        <v>881</v>
      </c>
      <c r="I32" s="33"/>
      <c r="M32" s="33"/>
      <c r="P32" s="33"/>
    </row>
    <row r="33" spans="1:16" x14ac:dyDescent="0.25">
      <c r="A33" s="33" t="s">
        <v>714</v>
      </c>
      <c r="B33" t="s">
        <v>694</v>
      </c>
      <c r="C33" t="s">
        <v>741</v>
      </c>
      <c r="D33" s="33" t="s">
        <v>882</v>
      </c>
      <c r="E33" s="49" t="s">
        <v>882</v>
      </c>
      <c r="I33" s="33"/>
      <c r="M33" s="33"/>
      <c r="P33" s="33"/>
    </row>
    <row r="34" spans="1:16" x14ac:dyDescent="0.25">
      <c r="A34" s="33" t="s">
        <v>714</v>
      </c>
      <c r="B34" t="s">
        <v>695</v>
      </c>
      <c r="C34" t="s">
        <v>742</v>
      </c>
      <c r="D34" s="33" t="s">
        <v>883</v>
      </c>
      <c r="E34" s="49" t="s">
        <v>883</v>
      </c>
      <c r="I34" s="33"/>
      <c r="M34" s="33"/>
      <c r="P34" s="33"/>
    </row>
    <row r="35" spans="1:16" x14ac:dyDescent="0.25">
      <c r="A35" s="33" t="s">
        <v>714</v>
      </c>
      <c r="B35" t="s">
        <v>884</v>
      </c>
      <c r="C35" t="s">
        <v>885</v>
      </c>
      <c r="D35" s="33" t="s">
        <v>886</v>
      </c>
      <c r="E35" s="49" t="s">
        <v>886</v>
      </c>
      <c r="I35" s="33"/>
      <c r="M35" s="33"/>
      <c r="P35" s="33"/>
    </row>
    <row r="36" spans="1:16" x14ac:dyDescent="0.25">
      <c r="A36" s="33" t="s">
        <v>714</v>
      </c>
      <c r="B36" t="s">
        <v>696</v>
      </c>
      <c r="C36" t="s">
        <v>743</v>
      </c>
      <c r="D36" s="33" t="s">
        <v>887</v>
      </c>
      <c r="E36" s="49" t="s">
        <v>887</v>
      </c>
      <c r="I36" s="33"/>
      <c r="M36" s="33"/>
      <c r="P36" s="33"/>
    </row>
    <row r="37" spans="1:16" x14ac:dyDescent="0.25">
      <c r="A37" s="33" t="s">
        <v>714</v>
      </c>
      <c r="B37" t="s">
        <v>888</v>
      </c>
      <c r="C37" t="s">
        <v>889</v>
      </c>
      <c r="D37" s="33" t="s">
        <v>890</v>
      </c>
      <c r="E37" s="49" t="s">
        <v>890</v>
      </c>
      <c r="I37" s="33"/>
      <c r="M37" s="33"/>
      <c r="P37" s="33"/>
    </row>
    <row r="38" spans="1:16" x14ac:dyDescent="0.25">
      <c r="A38" s="33" t="s">
        <v>714</v>
      </c>
      <c r="B38" t="s">
        <v>697</v>
      </c>
      <c r="C38" t="s">
        <v>744</v>
      </c>
      <c r="D38" s="33" t="s">
        <v>698</v>
      </c>
      <c r="E38" s="49" t="s">
        <v>698</v>
      </c>
      <c r="G38" s="33" t="s">
        <v>943</v>
      </c>
      <c r="H38" s="33" t="s">
        <v>933</v>
      </c>
      <c r="I38" s="33" t="s">
        <v>698</v>
      </c>
      <c r="J38" s="33" t="s">
        <v>945</v>
      </c>
      <c r="M38" s="33"/>
      <c r="P38" s="33"/>
    </row>
    <row r="39" spans="1:16" x14ac:dyDescent="0.25">
      <c r="A39" s="33" t="s">
        <v>714</v>
      </c>
      <c r="B39" t="s">
        <v>699</v>
      </c>
      <c r="C39" t="s">
        <v>745</v>
      </c>
      <c r="D39" s="33" t="s">
        <v>700</v>
      </c>
      <c r="E39" s="49" t="s">
        <v>700</v>
      </c>
      <c r="I39" s="33"/>
      <c r="M39" s="33"/>
      <c r="P39" s="33"/>
    </row>
    <row r="40" spans="1:16" x14ac:dyDescent="0.25">
      <c r="A40" s="33" t="s">
        <v>714</v>
      </c>
      <c r="B40" t="s">
        <v>701</v>
      </c>
      <c r="C40" t="s">
        <v>746</v>
      </c>
      <c r="D40" s="33" t="s">
        <v>702</v>
      </c>
      <c r="E40" s="49" t="s">
        <v>702</v>
      </c>
      <c r="G40" t="s">
        <v>934</v>
      </c>
      <c r="H40" t="s">
        <v>935</v>
      </c>
      <c r="I40" s="33"/>
      <c r="M40" s="33"/>
      <c r="P40" s="33"/>
    </row>
    <row r="41" spans="1:16" x14ac:dyDescent="0.25">
      <c r="A41" s="33" t="s">
        <v>714</v>
      </c>
      <c r="B41" t="s">
        <v>703</v>
      </c>
      <c r="C41" t="s">
        <v>747</v>
      </c>
      <c r="D41" s="33" t="s">
        <v>704</v>
      </c>
      <c r="E41" s="49" t="s">
        <v>704</v>
      </c>
      <c r="I41" s="33"/>
      <c r="M41" s="33"/>
      <c r="P41" s="33"/>
    </row>
    <row r="42" spans="1:16" x14ac:dyDescent="0.25">
      <c r="A42" s="33" t="s">
        <v>714</v>
      </c>
      <c r="B42" t="s">
        <v>891</v>
      </c>
      <c r="C42" t="s">
        <v>892</v>
      </c>
      <c r="D42" s="33" t="s">
        <v>893</v>
      </c>
      <c r="E42" s="49" t="s">
        <v>893</v>
      </c>
      <c r="I42" s="33"/>
      <c r="M42" s="33"/>
      <c r="P42" s="33"/>
    </row>
    <row r="43" spans="1:16" x14ac:dyDescent="0.25">
      <c r="A43" s="33" t="s">
        <v>714</v>
      </c>
      <c r="B43" t="s">
        <v>207</v>
      </c>
      <c r="C43" t="s">
        <v>748</v>
      </c>
      <c r="D43" s="33" t="s">
        <v>749</v>
      </c>
      <c r="E43" s="49" t="s">
        <v>749</v>
      </c>
      <c r="I43" s="33"/>
      <c r="M43" s="33"/>
      <c r="P43" s="33"/>
    </row>
    <row r="44" spans="1:16" x14ac:dyDescent="0.25">
      <c r="A44" s="33" t="s">
        <v>714</v>
      </c>
      <c r="B44" t="s">
        <v>705</v>
      </c>
      <c r="C44" t="s">
        <v>750</v>
      </c>
      <c r="D44" s="33" t="s">
        <v>894</v>
      </c>
      <c r="E44" s="49" t="s">
        <v>894</v>
      </c>
      <c r="I44" s="33"/>
      <c r="M44" s="33"/>
      <c r="P44" s="33"/>
    </row>
    <row r="45" spans="1:16" x14ac:dyDescent="0.25">
      <c r="A45" s="33" t="s">
        <v>714</v>
      </c>
      <c r="B45" t="s">
        <v>706</v>
      </c>
      <c r="C45" t="s">
        <v>751</v>
      </c>
      <c r="D45" s="33" t="s">
        <v>895</v>
      </c>
      <c r="E45" s="49" t="s">
        <v>895</v>
      </c>
      <c r="I45" s="33"/>
      <c r="M45" s="33"/>
      <c r="P45" s="33"/>
    </row>
    <row r="46" spans="1:16" x14ac:dyDescent="0.25">
      <c r="A46" s="33" t="s">
        <v>714</v>
      </c>
      <c r="B46" t="s">
        <v>707</v>
      </c>
      <c r="C46" t="s">
        <v>752</v>
      </c>
      <c r="D46" s="33" t="s">
        <v>896</v>
      </c>
      <c r="E46" s="49" t="s">
        <v>896</v>
      </c>
      <c r="I46" s="33"/>
      <c r="M46" s="33"/>
      <c r="P46" s="33"/>
    </row>
    <row r="47" spans="1:16" x14ac:dyDescent="0.25">
      <c r="A47" s="33" t="s">
        <v>714</v>
      </c>
      <c r="B47" t="s">
        <v>897</v>
      </c>
      <c r="C47" t="s">
        <v>898</v>
      </c>
      <c r="D47" s="33" t="s">
        <v>899</v>
      </c>
      <c r="E47" s="49" t="s">
        <v>899</v>
      </c>
      <c r="I47" s="33"/>
      <c r="M47" s="33"/>
      <c r="P47" s="33"/>
    </row>
    <row r="48" spans="1:16" x14ac:dyDescent="0.25">
      <c r="A48" s="33" t="s">
        <v>714</v>
      </c>
      <c r="B48" t="s">
        <v>900</v>
      </c>
      <c r="C48" t="s">
        <v>901</v>
      </c>
      <c r="D48" s="33" t="s">
        <v>902</v>
      </c>
      <c r="E48" s="49" t="s">
        <v>902</v>
      </c>
      <c r="I48" s="33"/>
      <c r="M48" s="33"/>
      <c r="P48" s="33"/>
    </row>
    <row r="49" spans="1:16" x14ac:dyDescent="0.25">
      <c r="A49" s="33" t="s">
        <v>714</v>
      </c>
      <c r="B49" t="s">
        <v>708</v>
      </c>
      <c r="C49" t="s">
        <v>753</v>
      </c>
      <c r="D49" s="33" t="s">
        <v>903</v>
      </c>
      <c r="E49" s="49" t="s">
        <v>903</v>
      </c>
      <c r="I49" s="33"/>
      <c r="M49" s="33"/>
      <c r="P49" s="33"/>
    </row>
    <row r="50" spans="1:16" x14ac:dyDescent="0.25">
      <c r="B50" t="s">
        <v>904</v>
      </c>
      <c r="C50" t="s">
        <v>904</v>
      </c>
      <c r="D50" s="33" t="s">
        <v>905</v>
      </c>
      <c r="E50" s="49" t="s">
        <v>905</v>
      </c>
      <c r="I50" s="33"/>
      <c r="M50" s="33"/>
      <c r="P50" s="33"/>
    </row>
    <row r="51" spans="1:16" x14ac:dyDescent="0.25">
      <c r="A51" s="33" t="s">
        <v>714</v>
      </c>
      <c r="B51" t="s">
        <v>709</v>
      </c>
      <c r="C51" t="s">
        <v>754</v>
      </c>
      <c r="D51" s="33" t="s">
        <v>921</v>
      </c>
      <c r="E51" s="49" t="s">
        <v>921</v>
      </c>
      <c r="G51" s="33" t="s">
        <v>927</v>
      </c>
      <c r="H51" s="33" t="s">
        <v>926</v>
      </c>
      <c r="I51" s="33" t="s">
        <v>921</v>
      </c>
      <c r="J51" s="33" t="s">
        <v>946</v>
      </c>
      <c r="M51" s="33"/>
      <c r="P51" s="33"/>
    </row>
    <row r="52" spans="1:16" x14ac:dyDescent="0.25">
      <c r="A52" s="33" t="s">
        <v>714</v>
      </c>
      <c r="B52" t="s">
        <v>710</v>
      </c>
      <c r="C52" t="s">
        <v>755</v>
      </c>
      <c r="D52" s="33" t="s">
        <v>922</v>
      </c>
      <c r="E52" s="49" t="s">
        <v>922</v>
      </c>
      <c r="G52" s="26"/>
      <c r="H52" s="26"/>
      <c r="I52" s="33"/>
      <c r="M52" s="33"/>
      <c r="P52" s="33"/>
    </row>
    <row r="53" spans="1:16" x14ac:dyDescent="0.25">
      <c r="A53" s="33" t="s">
        <v>714</v>
      </c>
      <c r="B53" t="s">
        <v>711</v>
      </c>
      <c r="C53" t="s">
        <v>756</v>
      </c>
      <c r="D53" s="33" t="s">
        <v>923</v>
      </c>
      <c r="E53" s="49" t="s">
        <v>923</v>
      </c>
      <c r="G53" s="26"/>
      <c r="H53" s="26"/>
      <c r="I53" s="33"/>
      <c r="M53" s="33"/>
      <c r="P53" s="33"/>
    </row>
    <row r="54" spans="1:16" s="26" customFormat="1" x14ac:dyDescent="0.25">
      <c r="A54" s="33" t="s">
        <v>714</v>
      </c>
      <c r="B54" s="26" t="s">
        <v>712</v>
      </c>
      <c r="C54" s="26" t="s">
        <v>757</v>
      </c>
      <c r="D54" s="33" t="s">
        <v>924</v>
      </c>
      <c r="E54" s="49"/>
      <c r="G54" s="26" t="s">
        <v>928</v>
      </c>
      <c r="H54" s="26" t="s">
        <v>929</v>
      </c>
      <c r="I54" s="33"/>
      <c r="M54" s="33"/>
      <c r="P54" s="33"/>
    </row>
    <row r="55" spans="1:16" x14ac:dyDescent="0.25">
      <c r="A55" s="33" t="s">
        <v>714</v>
      </c>
      <c r="B55" t="s">
        <v>713</v>
      </c>
      <c r="C55" t="s">
        <v>758</v>
      </c>
      <c r="D55" s="33" t="s">
        <v>925</v>
      </c>
      <c r="E55" s="49" t="s">
        <v>925</v>
      </c>
      <c r="G55" s="26"/>
      <c r="H55" s="26"/>
      <c r="I55" s="33"/>
      <c r="M55" s="33"/>
      <c r="P55" s="33"/>
    </row>
    <row r="56" spans="1:16" x14ac:dyDescent="0.25">
      <c r="A56" s="33" t="s">
        <v>714</v>
      </c>
      <c r="B56" t="s">
        <v>906</v>
      </c>
      <c r="C56" t="s">
        <v>907</v>
      </c>
      <c r="D56" s="33" t="s">
        <v>908</v>
      </c>
      <c r="E56" s="49" t="s">
        <v>908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4" customFormat="1" x14ac:dyDescent="0.25">
      <c r="A59" s="74" t="s">
        <v>1026</v>
      </c>
      <c r="B59" s="74" t="s">
        <v>1025</v>
      </c>
      <c r="C59" s="75" t="s">
        <v>913</v>
      </c>
      <c r="D59" s="76" t="s">
        <v>914</v>
      </c>
      <c r="E59" s="76" t="s">
        <v>915</v>
      </c>
      <c r="H59" s="76"/>
    </row>
    <row r="60" spans="1:16" x14ac:dyDescent="0.25">
      <c r="A60" s="33" t="s">
        <v>1029</v>
      </c>
      <c r="B60" t="s">
        <v>1025</v>
      </c>
      <c r="C60" s="28" t="s">
        <v>1027</v>
      </c>
      <c r="D60" s="33" t="s">
        <v>1028</v>
      </c>
      <c r="E60" s="33" t="s">
        <v>1028</v>
      </c>
      <c r="H60" s="33"/>
    </row>
    <row r="61" spans="1:16" x14ac:dyDescent="0.25">
      <c r="A61" t="s">
        <v>714</v>
      </c>
      <c r="B61" t="s">
        <v>485</v>
      </c>
      <c r="C61" s="49" t="s">
        <v>1030</v>
      </c>
      <c r="D61" s="33" t="s">
        <v>1031</v>
      </c>
      <c r="E61" s="33" t="s">
        <v>1031</v>
      </c>
      <c r="H61" s="33"/>
    </row>
    <row r="62" spans="1:16" x14ac:dyDescent="0.25">
      <c r="A62" t="s">
        <v>714</v>
      </c>
      <c r="B62" t="s">
        <v>1032</v>
      </c>
      <c r="C62" s="28" t="s">
        <v>848</v>
      </c>
      <c r="D62" s="33" t="s">
        <v>849</v>
      </c>
      <c r="E62" s="33" t="s">
        <v>849</v>
      </c>
      <c r="H62" s="33"/>
    </row>
    <row r="63" spans="1:16" x14ac:dyDescent="0.25">
      <c r="A63" t="s">
        <v>714</v>
      </c>
      <c r="B63" t="s">
        <v>1035</v>
      </c>
      <c r="C63" s="28" t="s">
        <v>1033</v>
      </c>
      <c r="D63" s="33" t="s">
        <v>1034</v>
      </c>
      <c r="E63" s="33" t="s">
        <v>1034</v>
      </c>
      <c r="H63" s="33"/>
    </row>
    <row r="64" spans="1:16" x14ac:dyDescent="0.25">
      <c r="A64" t="s">
        <v>714</v>
      </c>
      <c r="B64" t="s">
        <v>1038</v>
      </c>
      <c r="C64" s="28" t="s">
        <v>1036</v>
      </c>
      <c r="D64" s="33" t="s">
        <v>1037</v>
      </c>
      <c r="E64" s="33" t="s">
        <v>1037</v>
      </c>
      <c r="H64" s="33"/>
    </row>
    <row r="65" spans="1:8" x14ac:dyDescent="0.25">
      <c r="A65" t="s">
        <v>714</v>
      </c>
      <c r="B65" t="s">
        <v>1041</v>
      </c>
      <c r="C65" s="28" t="s">
        <v>1039</v>
      </c>
      <c r="D65" s="33" t="s">
        <v>1040</v>
      </c>
      <c r="E65" s="33" t="s">
        <v>1040</v>
      </c>
      <c r="H65" s="33"/>
    </row>
    <row r="66" spans="1:8" x14ac:dyDescent="0.25">
      <c r="A66" t="s">
        <v>714</v>
      </c>
      <c r="B66" t="s">
        <v>1043</v>
      </c>
      <c r="C66" s="28" t="s">
        <v>1042</v>
      </c>
      <c r="D66" s="33" t="s">
        <v>704</v>
      </c>
      <c r="E66" s="33" t="s">
        <v>704</v>
      </c>
      <c r="H66" s="33"/>
    </row>
    <row r="67" spans="1:8" x14ac:dyDescent="0.25">
      <c r="A67" t="s">
        <v>714</v>
      </c>
      <c r="B67" t="s">
        <v>1046</v>
      </c>
      <c r="C67" s="28" t="s">
        <v>1044</v>
      </c>
      <c r="D67" s="33" t="s">
        <v>1045</v>
      </c>
      <c r="E67" s="33" t="s">
        <v>1045</v>
      </c>
    </row>
    <row r="68" spans="1:8" x14ac:dyDescent="0.25">
      <c r="A68" t="s">
        <v>714</v>
      </c>
      <c r="B68" t="s">
        <v>1049</v>
      </c>
      <c r="C68" s="28" t="s">
        <v>1047</v>
      </c>
      <c r="D68" s="33" t="s">
        <v>1048</v>
      </c>
      <c r="E68" s="33" t="s">
        <v>1048</v>
      </c>
    </row>
    <row r="69" spans="1:8" x14ac:dyDescent="0.25">
      <c r="A69" t="s">
        <v>714</v>
      </c>
      <c r="B69" t="s">
        <v>663</v>
      </c>
      <c r="C69" s="28" t="s">
        <v>1050</v>
      </c>
      <c r="D69" s="33" t="s">
        <v>1051</v>
      </c>
      <c r="E69" s="33" t="s">
        <v>1051</v>
      </c>
    </row>
    <row r="70" spans="1:8" x14ac:dyDescent="0.25">
      <c r="A70" t="s">
        <v>714</v>
      </c>
      <c r="B70" t="s">
        <v>1052</v>
      </c>
      <c r="C70" s="28" t="s">
        <v>715</v>
      </c>
      <c r="D70" s="33" t="s">
        <v>716</v>
      </c>
      <c r="E70" s="33" t="s">
        <v>716</v>
      </c>
    </row>
    <row r="71" spans="1:8" x14ac:dyDescent="0.25">
      <c r="A71" t="s">
        <v>714</v>
      </c>
      <c r="B71" t="s">
        <v>664</v>
      </c>
      <c r="C71" s="28" t="s">
        <v>1053</v>
      </c>
      <c r="D71" s="33" t="s">
        <v>1054</v>
      </c>
      <c r="E71" s="33" t="s">
        <v>1054</v>
      </c>
    </row>
    <row r="72" spans="1:8" x14ac:dyDescent="0.25">
      <c r="A72" t="s">
        <v>714</v>
      </c>
      <c r="B72" t="s">
        <v>665</v>
      </c>
      <c r="C72" s="28" t="s">
        <v>717</v>
      </c>
      <c r="D72" s="33" t="s">
        <v>1055</v>
      </c>
      <c r="E72" s="33" t="s">
        <v>1055</v>
      </c>
    </row>
    <row r="73" spans="1:8" x14ac:dyDescent="0.25">
      <c r="A73" t="s">
        <v>714</v>
      </c>
      <c r="B73" t="s">
        <v>666</v>
      </c>
      <c r="C73" s="28" t="s">
        <v>718</v>
      </c>
      <c r="D73" s="33" t="s">
        <v>1056</v>
      </c>
      <c r="E73" s="33" t="s">
        <v>1056</v>
      </c>
    </row>
    <row r="74" spans="1:8" x14ac:dyDescent="0.25">
      <c r="A74" t="s">
        <v>714</v>
      </c>
      <c r="B74" t="s">
        <v>667</v>
      </c>
      <c r="C74" s="28" t="s">
        <v>719</v>
      </c>
      <c r="D74" s="33" t="s">
        <v>1057</v>
      </c>
      <c r="E74" s="33" t="s">
        <v>1057</v>
      </c>
    </row>
    <row r="75" spans="1:8" x14ac:dyDescent="0.25">
      <c r="A75" t="s">
        <v>714</v>
      </c>
      <c r="B75" t="s">
        <v>1058</v>
      </c>
      <c r="C75" s="49" t="s">
        <v>720</v>
      </c>
      <c r="D75" s="33" t="s">
        <v>721</v>
      </c>
      <c r="E75" s="33" t="s">
        <v>721</v>
      </c>
    </row>
    <row r="76" spans="1:8" x14ac:dyDescent="0.25">
      <c r="A76" s="33" t="s">
        <v>714</v>
      </c>
      <c r="B76" t="s">
        <v>668</v>
      </c>
      <c r="C76" s="49" t="s">
        <v>1059</v>
      </c>
      <c r="D76" s="33" t="s">
        <v>1060</v>
      </c>
      <c r="E76" s="33" t="s">
        <v>1060</v>
      </c>
    </row>
    <row r="77" spans="1:8" x14ac:dyDescent="0.25">
      <c r="A77" s="33" t="s">
        <v>714</v>
      </c>
      <c r="B77" t="s">
        <v>669</v>
      </c>
      <c r="C77" s="49" t="s">
        <v>722</v>
      </c>
      <c r="D77" s="33" t="s">
        <v>1061</v>
      </c>
      <c r="E77" s="33" t="s">
        <v>1061</v>
      </c>
    </row>
    <row r="78" spans="1:8" x14ac:dyDescent="0.25">
      <c r="A78" s="33" t="s">
        <v>714</v>
      </c>
      <c r="B78" t="s">
        <v>670</v>
      </c>
      <c r="C78" s="49" t="s">
        <v>723</v>
      </c>
      <c r="D78" s="33" t="s">
        <v>1062</v>
      </c>
      <c r="E78" s="33" t="s">
        <v>1062</v>
      </c>
    </row>
    <row r="79" spans="1:8" x14ac:dyDescent="0.25">
      <c r="A79" s="33" t="s">
        <v>714</v>
      </c>
      <c r="B79" t="s">
        <v>856</v>
      </c>
      <c r="C79" s="49" t="s">
        <v>724</v>
      </c>
      <c r="D79" s="33" t="s">
        <v>1063</v>
      </c>
      <c r="E79" s="33" t="s">
        <v>1063</v>
      </c>
    </row>
    <row r="80" spans="1:8" x14ac:dyDescent="0.25">
      <c r="A80" s="33" t="s">
        <v>714</v>
      </c>
      <c r="B80" t="s">
        <v>671</v>
      </c>
      <c r="C80" s="49" t="s">
        <v>857</v>
      </c>
      <c r="D80" s="33" t="s">
        <v>858</v>
      </c>
      <c r="E80" s="33" t="s">
        <v>858</v>
      </c>
    </row>
    <row r="81" spans="1:5" x14ac:dyDescent="0.25">
      <c r="A81" s="33" t="s">
        <v>714</v>
      </c>
      <c r="B81" t="s">
        <v>860</v>
      </c>
      <c r="C81" s="49" t="s">
        <v>725</v>
      </c>
      <c r="D81" s="33" t="s">
        <v>1064</v>
      </c>
      <c r="E81" s="33" t="s">
        <v>1064</v>
      </c>
    </row>
    <row r="82" spans="1:5" x14ac:dyDescent="0.25">
      <c r="A82" s="33" t="s">
        <v>714</v>
      </c>
      <c r="B82" t="s">
        <v>1065</v>
      </c>
      <c r="C82" s="49" t="s">
        <v>861</v>
      </c>
      <c r="D82" s="33" t="s">
        <v>862</v>
      </c>
      <c r="E82" s="33" t="s">
        <v>862</v>
      </c>
    </row>
    <row r="83" spans="1:5" x14ac:dyDescent="0.25">
      <c r="A83" t="s">
        <v>714</v>
      </c>
      <c r="B83" t="s">
        <v>672</v>
      </c>
      <c r="C83" s="28" t="s">
        <v>1066</v>
      </c>
      <c r="D83" s="33" t="s">
        <v>1067</v>
      </c>
      <c r="E83" s="33" t="s">
        <v>1067</v>
      </c>
    </row>
    <row r="84" spans="1:5" x14ac:dyDescent="0.25">
      <c r="A84" t="s">
        <v>714</v>
      </c>
      <c r="B84" t="s">
        <v>673</v>
      </c>
      <c r="C84" s="28" t="s">
        <v>726</v>
      </c>
      <c r="D84" s="33" t="s">
        <v>1068</v>
      </c>
      <c r="E84" s="33" t="s">
        <v>1068</v>
      </c>
    </row>
    <row r="85" spans="1:5" x14ac:dyDescent="0.25">
      <c r="A85" t="s">
        <v>714</v>
      </c>
      <c r="B85" t="s">
        <v>675</v>
      </c>
      <c r="C85" s="28" t="s">
        <v>727</v>
      </c>
      <c r="D85" s="33" t="s">
        <v>937</v>
      </c>
      <c r="E85" s="33" t="s">
        <v>937</v>
      </c>
    </row>
    <row r="86" spans="1:5" x14ac:dyDescent="0.25">
      <c r="A86" t="s">
        <v>714</v>
      </c>
      <c r="B86" t="s">
        <v>677</v>
      </c>
      <c r="C86" s="28" t="s">
        <v>728</v>
      </c>
      <c r="D86" s="33" t="s">
        <v>676</v>
      </c>
      <c r="E86" s="33" t="s">
        <v>676</v>
      </c>
    </row>
    <row r="87" spans="1:5" x14ac:dyDescent="0.25">
      <c r="A87" t="s">
        <v>714</v>
      </c>
      <c r="B87" t="s">
        <v>864</v>
      </c>
      <c r="C87" s="28" t="s">
        <v>729</v>
      </c>
      <c r="D87" s="33" t="s">
        <v>941</v>
      </c>
      <c r="E87" s="33" t="s">
        <v>941</v>
      </c>
    </row>
    <row r="88" spans="1:5" x14ac:dyDescent="0.25">
      <c r="A88" t="s">
        <v>714</v>
      </c>
      <c r="B88" t="s">
        <v>1069</v>
      </c>
      <c r="C88" s="28" t="s">
        <v>865</v>
      </c>
      <c r="D88" s="33" t="s">
        <v>679</v>
      </c>
      <c r="E88" s="33" t="s">
        <v>679</v>
      </c>
    </row>
    <row r="89" spans="1:5" x14ac:dyDescent="0.25">
      <c r="A89" t="s">
        <v>714</v>
      </c>
      <c r="B89" t="s">
        <v>866</v>
      </c>
      <c r="C89" s="28" t="s">
        <v>1070</v>
      </c>
      <c r="D89" s="33" t="s">
        <v>1071</v>
      </c>
      <c r="E89" s="33" t="s">
        <v>1071</v>
      </c>
    </row>
    <row r="90" spans="1:5" x14ac:dyDescent="0.25">
      <c r="B90" t="s">
        <v>869</v>
      </c>
      <c r="C90" s="28" t="s">
        <v>867</v>
      </c>
      <c r="D90" s="33" t="s">
        <v>1072</v>
      </c>
      <c r="E90" s="33" t="s">
        <v>1072</v>
      </c>
    </row>
    <row r="91" spans="1:5" x14ac:dyDescent="0.25">
      <c r="A91" t="s">
        <v>714</v>
      </c>
      <c r="B91" t="s">
        <v>680</v>
      </c>
      <c r="C91" s="28" t="s">
        <v>869</v>
      </c>
      <c r="D91" s="33" t="s">
        <v>1073</v>
      </c>
      <c r="E91" s="33" t="s">
        <v>1073</v>
      </c>
    </row>
    <row r="92" spans="1:5" x14ac:dyDescent="0.25">
      <c r="A92" t="s">
        <v>714</v>
      </c>
      <c r="B92" t="s">
        <v>1074</v>
      </c>
      <c r="C92" s="28" t="s">
        <v>730</v>
      </c>
      <c r="D92" s="33" t="s">
        <v>731</v>
      </c>
      <c r="E92" s="33" t="s">
        <v>731</v>
      </c>
    </row>
    <row r="93" spans="1:5" x14ac:dyDescent="0.25">
      <c r="A93" t="s">
        <v>714</v>
      </c>
      <c r="B93" t="s">
        <v>681</v>
      </c>
      <c r="C93" s="28" t="s">
        <v>1075</v>
      </c>
      <c r="D93" s="33" t="s">
        <v>1076</v>
      </c>
      <c r="E93" s="33" t="s">
        <v>1076</v>
      </c>
    </row>
    <row r="94" spans="1:5" x14ac:dyDescent="0.25">
      <c r="A94" t="s">
        <v>714</v>
      </c>
      <c r="B94" t="s">
        <v>682</v>
      </c>
      <c r="C94" s="28" t="s">
        <v>732</v>
      </c>
      <c r="D94" s="33" t="s">
        <v>1077</v>
      </c>
      <c r="E94" s="33" t="s">
        <v>1077</v>
      </c>
    </row>
    <row r="95" spans="1:5" x14ac:dyDescent="0.25">
      <c r="A95" t="s">
        <v>714</v>
      </c>
      <c r="B95" t="s">
        <v>683</v>
      </c>
      <c r="C95" s="28" t="s">
        <v>733</v>
      </c>
      <c r="D95" s="33" t="s">
        <v>1078</v>
      </c>
      <c r="E95" s="33" t="s">
        <v>1078</v>
      </c>
    </row>
    <row r="96" spans="1:5" x14ac:dyDescent="0.25">
      <c r="A96" t="s">
        <v>714</v>
      </c>
      <c r="B96" t="s">
        <v>874</v>
      </c>
      <c r="C96" s="28" t="s">
        <v>734</v>
      </c>
      <c r="D96" s="33" t="s">
        <v>1079</v>
      </c>
      <c r="E96" s="33" t="s">
        <v>1079</v>
      </c>
    </row>
    <row r="97" spans="1:5" x14ac:dyDescent="0.25">
      <c r="A97" t="s">
        <v>714</v>
      </c>
      <c r="B97" t="s">
        <v>1080</v>
      </c>
      <c r="C97" s="28" t="s">
        <v>875</v>
      </c>
      <c r="D97" s="33" t="s">
        <v>876</v>
      </c>
      <c r="E97" s="33" t="s">
        <v>876</v>
      </c>
    </row>
    <row r="98" spans="1:5" x14ac:dyDescent="0.25">
      <c r="A98" t="s">
        <v>714</v>
      </c>
      <c r="B98" t="s">
        <v>684</v>
      </c>
      <c r="C98" s="28" t="s">
        <v>1081</v>
      </c>
      <c r="D98" s="33" t="s">
        <v>1082</v>
      </c>
      <c r="E98" s="33" t="s">
        <v>1082</v>
      </c>
    </row>
    <row r="99" spans="1:5" x14ac:dyDescent="0.25">
      <c r="A99" t="s">
        <v>714</v>
      </c>
      <c r="B99" t="s">
        <v>685</v>
      </c>
      <c r="C99" s="28" t="s">
        <v>735</v>
      </c>
      <c r="D99" s="33" t="s">
        <v>1083</v>
      </c>
      <c r="E99" s="33" t="s">
        <v>1083</v>
      </c>
    </row>
    <row r="100" spans="1:5" x14ac:dyDescent="0.25">
      <c r="A100" t="s">
        <v>714</v>
      </c>
      <c r="B100" t="s">
        <v>687</v>
      </c>
      <c r="C100" s="28" t="s">
        <v>736</v>
      </c>
      <c r="D100" s="33" t="s">
        <v>1084</v>
      </c>
      <c r="E100" s="33" t="s">
        <v>1084</v>
      </c>
    </row>
    <row r="101" spans="1:5" x14ac:dyDescent="0.25">
      <c r="A101" t="s">
        <v>714</v>
      </c>
      <c r="B101" t="s">
        <v>689</v>
      </c>
      <c r="C101" s="28" t="s">
        <v>737</v>
      </c>
      <c r="D101" s="33" t="s">
        <v>688</v>
      </c>
      <c r="E101" s="33" t="s">
        <v>688</v>
      </c>
    </row>
    <row r="102" spans="1:5" x14ac:dyDescent="0.25">
      <c r="A102" t="s">
        <v>714</v>
      </c>
      <c r="B102" t="s">
        <v>691</v>
      </c>
      <c r="C102" s="28" t="s">
        <v>738</v>
      </c>
      <c r="D102" s="33" t="s">
        <v>1085</v>
      </c>
      <c r="E102" s="33" t="s">
        <v>1085</v>
      </c>
    </row>
    <row r="103" spans="1:5" x14ac:dyDescent="0.25">
      <c r="A103" t="s">
        <v>714</v>
      </c>
      <c r="B103" t="s">
        <v>1086</v>
      </c>
      <c r="C103" s="28" t="s">
        <v>739</v>
      </c>
      <c r="D103" s="33" t="s">
        <v>692</v>
      </c>
      <c r="E103" s="33" t="s">
        <v>692</v>
      </c>
    </row>
    <row r="104" spans="1:5" x14ac:dyDescent="0.25">
      <c r="A104" t="s">
        <v>714</v>
      </c>
      <c r="B104" t="s">
        <v>878</v>
      </c>
      <c r="C104" s="28" t="s">
        <v>1087</v>
      </c>
      <c r="D104" s="33" t="s">
        <v>1088</v>
      </c>
      <c r="E104" s="33" t="s">
        <v>1088</v>
      </c>
    </row>
    <row r="105" spans="1:5" x14ac:dyDescent="0.25">
      <c r="A105" t="s">
        <v>714</v>
      </c>
      <c r="B105" t="s">
        <v>1090</v>
      </c>
      <c r="C105" s="28" t="s">
        <v>879</v>
      </c>
      <c r="D105" s="33" t="s">
        <v>1089</v>
      </c>
      <c r="E105" s="33" t="s">
        <v>1089</v>
      </c>
    </row>
    <row r="106" spans="1:5" x14ac:dyDescent="0.25">
      <c r="A106" t="s">
        <v>714</v>
      </c>
      <c r="B106" t="s">
        <v>1093</v>
      </c>
      <c r="C106" s="28" t="s">
        <v>1091</v>
      </c>
      <c r="D106" s="33" t="s">
        <v>1092</v>
      </c>
      <c r="E106" s="33" t="s">
        <v>1092</v>
      </c>
    </row>
    <row r="107" spans="1:5" x14ac:dyDescent="0.25">
      <c r="A107" t="s">
        <v>714</v>
      </c>
      <c r="B107" t="s">
        <v>1096</v>
      </c>
      <c r="C107" s="28" t="s">
        <v>1094</v>
      </c>
      <c r="D107" s="33" t="s">
        <v>1095</v>
      </c>
      <c r="E107" s="33" t="s">
        <v>1095</v>
      </c>
    </row>
    <row r="108" spans="1:5" x14ac:dyDescent="0.25">
      <c r="A108" t="s">
        <v>714</v>
      </c>
      <c r="B108" t="s">
        <v>693</v>
      </c>
      <c r="C108" s="28" t="s">
        <v>1097</v>
      </c>
      <c r="D108" s="33" t="s">
        <v>1098</v>
      </c>
      <c r="E108" s="33" t="s">
        <v>1098</v>
      </c>
    </row>
    <row r="109" spans="1:5" x14ac:dyDescent="0.25">
      <c r="A109" t="s">
        <v>714</v>
      </c>
      <c r="B109" t="s">
        <v>694</v>
      </c>
      <c r="C109" s="28" t="s">
        <v>740</v>
      </c>
      <c r="D109" s="33" t="s">
        <v>1099</v>
      </c>
      <c r="E109" s="33" t="s">
        <v>1099</v>
      </c>
    </row>
    <row r="110" spans="1:5" x14ac:dyDescent="0.25">
      <c r="A110" t="s">
        <v>714</v>
      </c>
      <c r="B110" t="s">
        <v>695</v>
      </c>
      <c r="C110" s="28" t="s">
        <v>741</v>
      </c>
      <c r="D110" s="33" t="s">
        <v>1100</v>
      </c>
      <c r="E110" s="33" t="s">
        <v>1100</v>
      </c>
    </row>
    <row r="111" spans="1:5" x14ac:dyDescent="0.25">
      <c r="A111" t="s">
        <v>714</v>
      </c>
      <c r="B111" t="s">
        <v>884</v>
      </c>
      <c r="C111" s="28" t="s">
        <v>742</v>
      </c>
      <c r="D111" s="33" t="s">
        <v>1101</v>
      </c>
      <c r="E111" s="33" t="s">
        <v>1101</v>
      </c>
    </row>
    <row r="112" spans="1:5" x14ac:dyDescent="0.25">
      <c r="A112" t="s">
        <v>714</v>
      </c>
      <c r="B112" t="s">
        <v>1102</v>
      </c>
      <c r="C112" s="28" t="s">
        <v>885</v>
      </c>
      <c r="D112" s="33" t="s">
        <v>886</v>
      </c>
      <c r="E112" s="33" t="s">
        <v>886</v>
      </c>
    </row>
    <row r="113" spans="1:5" x14ac:dyDescent="0.25">
      <c r="A113" t="s">
        <v>714</v>
      </c>
      <c r="B113" t="s">
        <v>696</v>
      </c>
      <c r="C113" s="28" t="s">
        <v>1103</v>
      </c>
      <c r="D113" s="33" t="s">
        <v>1104</v>
      </c>
      <c r="E113" s="33" t="s">
        <v>1104</v>
      </c>
    </row>
    <row r="114" spans="1:5" x14ac:dyDescent="0.25">
      <c r="A114" t="s">
        <v>714</v>
      </c>
      <c r="B114" t="s">
        <v>888</v>
      </c>
      <c r="C114" s="28" t="s">
        <v>743</v>
      </c>
      <c r="D114" s="33" t="s">
        <v>1105</v>
      </c>
      <c r="E114" s="33" t="s">
        <v>1105</v>
      </c>
    </row>
    <row r="115" spans="1:5" x14ac:dyDescent="0.25">
      <c r="A115" t="s">
        <v>714</v>
      </c>
      <c r="B115" t="s">
        <v>697</v>
      </c>
      <c r="C115" s="28" t="s">
        <v>889</v>
      </c>
      <c r="D115" s="33" t="s">
        <v>890</v>
      </c>
      <c r="E115" s="33" t="s">
        <v>890</v>
      </c>
    </row>
    <row r="116" spans="1:5" x14ac:dyDescent="0.25">
      <c r="A116" t="s">
        <v>714</v>
      </c>
      <c r="B116" t="s">
        <v>699</v>
      </c>
      <c r="C116" s="28" t="s">
        <v>744</v>
      </c>
      <c r="D116" s="33" t="s">
        <v>1106</v>
      </c>
      <c r="E116" s="33" t="s">
        <v>1106</v>
      </c>
    </row>
    <row r="117" spans="1:5" x14ac:dyDescent="0.25">
      <c r="A117" t="s">
        <v>714</v>
      </c>
      <c r="B117" t="s">
        <v>701</v>
      </c>
      <c r="C117" s="28" t="s">
        <v>745</v>
      </c>
      <c r="D117" s="33" t="s">
        <v>700</v>
      </c>
      <c r="E117" s="33" t="s">
        <v>700</v>
      </c>
    </row>
    <row r="118" spans="1:5" x14ac:dyDescent="0.25">
      <c r="A118" t="s">
        <v>714</v>
      </c>
      <c r="B118" t="s">
        <v>703</v>
      </c>
      <c r="C118" s="28" t="s">
        <v>746</v>
      </c>
      <c r="D118" s="33" t="s">
        <v>1107</v>
      </c>
      <c r="E118" s="33" t="s">
        <v>1107</v>
      </c>
    </row>
    <row r="119" spans="1:5" x14ac:dyDescent="0.25">
      <c r="A119" t="s">
        <v>714</v>
      </c>
      <c r="B119" t="s">
        <v>1108</v>
      </c>
      <c r="C119" s="28" t="s">
        <v>747</v>
      </c>
      <c r="D119" s="33" t="s">
        <v>704</v>
      </c>
      <c r="E119" s="33" t="s">
        <v>704</v>
      </c>
    </row>
    <row r="120" spans="1:5" x14ac:dyDescent="0.25">
      <c r="A120" t="s">
        <v>714</v>
      </c>
      <c r="B120" t="s">
        <v>1111</v>
      </c>
      <c r="C120" s="28" t="s">
        <v>1109</v>
      </c>
      <c r="D120" s="33" t="s">
        <v>1110</v>
      </c>
      <c r="E120" s="33" t="s">
        <v>1110</v>
      </c>
    </row>
    <row r="121" spans="1:5" x14ac:dyDescent="0.25">
      <c r="A121" t="s">
        <v>714</v>
      </c>
      <c r="B121" t="s">
        <v>891</v>
      </c>
      <c r="C121" s="28" t="s">
        <v>1112</v>
      </c>
      <c r="D121" s="33" t="s">
        <v>1113</v>
      </c>
      <c r="E121" s="33" t="s">
        <v>1113</v>
      </c>
    </row>
    <row r="122" spans="1:5" x14ac:dyDescent="0.25">
      <c r="A122" t="s">
        <v>714</v>
      </c>
      <c r="B122" t="s">
        <v>948</v>
      </c>
      <c r="C122" s="28" t="s">
        <v>892</v>
      </c>
      <c r="D122" s="33" t="s">
        <v>1114</v>
      </c>
      <c r="E122" s="33" t="s">
        <v>1114</v>
      </c>
    </row>
    <row r="123" spans="1:5" x14ac:dyDescent="0.25">
      <c r="B123" t="s">
        <v>1117</v>
      </c>
      <c r="C123" s="28" t="s">
        <v>1115</v>
      </c>
      <c r="D123" s="33" t="s">
        <v>1116</v>
      </c>
      <c r="E123" s="33" t="s">
        <v>1116</v>
      </c>
    </row>
    <row r="124" spans="1:5" x14ac:dyDescent="0.25">
      <c r="A124" t="s">
        <v>714</v>
      </c>
      <c r="B124" t="s">
        <v>207</v>
      </c>
      <c r="C124" s="28" t="s">
        <v>1117</v>
      </c>
      <c r="D124" s="33" t="s">
        <v>1118</v>
      </c>
      <c r="E124" s="33" t="s">
        <v>1118</v>
      </c>
    </row>
    <row r="125" spans="1:5" x14ac:dyDescent="0.25">
      <c r="A125" t="s">
        <v>714</v>
      </c>
      <c r="B125" t="s">
        <v>1119</v>
      </c>
      <c r="C125" s="28" t="s">
        <v>748</v>
      </c>
      <c r="D125" s="33" t="s">
        <v>749</v>
      </c>
      <c r="E125" s="33" t="s">
        <v>749</v>
      </c>
    </row>
    <row r="126" spans="1:5" x14ac:dyDescent="0.25">
      <c r="A126" t="s">
        <v>714</v>
      </c>
      <c r="B126" t="s">
        <v>705</v>
      </c>
      <c r="C126" s="28" t="s">
        <v>1120</v>
      </c>
      <c r="D126" s="33" t="s">
        <v>1121</v>
      </c>
      <c r="E126" s="33" t="s">
        <v>1121</v>
      </c>
    </row>
    <row r="127" spans="1:5" x14ac:dyDescent="0.25">
      <c r="A127" t="s">
        <v>714</v>
      </c>
      <c r="B127" t="s">
        <v>706</v>
      </c>
      <c r="C127" s="28" t="s">
        <v>750</v>
      </c>
      <c r="D127" s="33" t="s">
        <v>1122</v>
      </c>
      <c r="E127" s="33" t="s">
        <v>1122</v>
      </c>
    </row>
    <row r="128" spans="1:5" x14ac:dyDescent="0.25">
      <c r="A128" t="s">
        <v>714</v>
      </c>
      <c r="B128" t="s">
        <v>707</v>
      </c>
      <c r="C128" s="28" t="s">
        <v>751</v>
      </c>
      <c r="D128" s="33" t="s">
        <v>1123</v>
      </c>
      <c r="E128" s="33" t="s">
        <v>1123</v>
      </c>
    </row>
    <row r="129" spans="1:5" x14ac:dyDescent="0.25">
      <c r="A129" t="s">
        <v>714</v>
      </c>
      <c r="B129" t="s">
        <v>897</v>
      </c>
      <c r="C129" s="28" t="s">
        <v>752</v>
      </c>
      <c r="D129" s="33" t="s">
        <v>1124</v>
      </c>
      <c r="E129" s="33" t="s">
        <v>1124</v>
      </c>
    </row>
    <row r="130" spans="1:5" x14ac:dyDescent="0.25">
      <c r="A130" t="s">
        <v>714</v>
      </c>
      <c r="B130" t="s">
        <v>900</v>
      </c>
      <c r="C130" s="28" t="s">
        <v>898</v>
      </c>
      <c r="D130" s="33" t="s">
        <v>899</v>
      </c>
      <c r="E130" s="33" t="s">
        <v>899</v>
      </c>
    </row>
    <row r="131" spans="1:5" x14ac:dyDescent="0.25">
      <c r="A131" t="s">
        <v>714</v>
      </c>
      <c r="B131" t="s">
        <v>1125</v>
      </c>
      <c r="C131" s="28" t="s">
        <v>901</v>
      </c>
      <c r="D131" s="33" t="s">
        <v>902</v>
      </c>
      <c r="E131" s="33" t="s">
        <v>902</v>
      </c>
    </row>
    <row r="132" spans="1:5" x14ac:dyDescent="0.25">
      <c r="A132" t="s">
        <v>714</v>
      </c>
      <c r="B132" t="s">
        <v>708</v>
      </c>
      <c r="C132" s="28" t="s">
        <v>1126</v>
      </c>
      <c r="D132" s="33" t="s">
        <v>1127</v>
      </c>
      <c r="E132" s="33" t="s">
        <v>1127</v>
      </c>
    </row>
    <row r="133" spans="1:5" x14ac:dyDescent="0.25">
      <c r="A133" t="s">
        <v>714</v>
      </c>
      <c r="B133" t="s">
        <v>1129</v>
      </c>
      <c r="C133" s="28" t="s">
        <v>753</v>
      </c>
      <c r="D133" s="33" t="s">
        <v>1128</v>
      </c>
      <c r="E133" s="33" t="s">
        <v>1128</v>
      </c>
    </row>
    <row r="134" spans="1:5" x14ac:dyDescent="0.25">
      <c r="A134" t="s">
        <v>714</v>
      </c>
      <c r="B134" t="s">
        <v>1132</v>
      </c>
      <c r="C134" s="28" t="s">
        <v>1130</v>
      </c>
      <c r="D134" s="33" t="s">
        <v>1131</v>
      </c>
      <c r="E134" s="33" t="s">
        <v>1131</v>
      </c>
    </row>
    <row r="135" spans="1:5" x14ac:dyDescent="0.25">
      <c r="A135" t="s">
        <v>714</v>
      </c>
      <c r="B135" t="s">
        <v>1135</v>
      </c>
      <c r="C135" s="28" t="s">
        <v>1133</v>
      </c>
      <c r="D135" s="33" t="s">
        <v>1134</v>
      </c>
      <c r="E135" s="33" t="s">
        <v>1134</v>
      </c>
    </row>
    <row r="136" spans="1:5" x14ac:dyDescent="0.25">
      <c r="A136" t="s">
        <v>714</v>
      </c>
      <c r="B136" t="s">
        <v>1138</v>
      </c>
      <c r="C136" s="28" t="s">
        <v>1136</v>
      </c>
      <c r="D136" s="33" t="s">
        <v>1137</v>
      </c>
      <c r="E136" s="33" t="s">
        <v>1137</v>
      </c>
    </row>
    <row r="137" spans="1:5" x14ac:dyDescent="0.25">
      <c r="A137" t="s">
        <v>714</v>
      </c>
      <c r="B137" t="s">
        <v>1140</v>
      </c>
      <c r="C137" s="28" t="s">
        <v>1139</v>
      </c>
      <c r="D137" s="33" t="s">
        <v>1137</v>
      </c>
      <c r="E137" s="33" t="s">
        <v>1137</v>
      </c>
    </row>
    <row r="138" spans="1:5" x14ac:dyDescent="0.25">
      <c r="A138" t="s">
        <v>714</v>
      </c>
      <c r="B138" t="s">
        <v>1142</v>
      </c>
      <c r="C138" s="28" t="s">
        <v>1141</v>
      </c>
      <c r="D138" s="33" t="s">
        <v>1137</v>
      </c>
      <c r="E138" s="33" t="s">
        <v>1137</v>
      </c>
    </row>
    <row r="139" spans="1:5" x14ac:dyDescent="0.25">
      <c r="A139" t="s">
        <v>714</v>
      </c>
      <c r="B139" t="s">
        <v>1145</v>
      </c>
      <c r="C139" s="28" t="s">
        <v>1143</v>
      </c>
      <c r="D139" s="33" t="s">
        <v>1144</v>
      </c>
      <c r="E139" s="33" t="s">
        <v>1144</v>
      </c>
    </row>
    <row r="140" spans="1:5" x14ac:dyDescent="0.25">
      <c r="A140" t="s">
        <v>714</v>
      </c>
      <c r="B140" t="s">
        <v>1147</v>
      </c>
      <c r="C140" s="28" t="s">
        <v>1146</v>
      </c>
      <c r="D140" s="33" t="s">
        <v>716</v>
      </c>
      <c r="E140" s="33" t="s">
        <v>716</v>
      </c>
    </row>
    <row r="141" spans="1:5" x14ac:dyDescent="0.25">
      <c r="A141" t="s">
        <v>714</v>
      </c>
      <c r="B141" t="s">
        <v>1149</v>
      </c>
      <c r="C141" s="28" t="s">
        <v>1148</v>
      </c>
      <c r="D141" s="33" t="s">
        <v>721</v>
      </c>
      <c r="E141" s="33" t="s">
        <v>721</v>
      </c>
    </row>
    <row r="142" spans="1:5" x14ac:dyDescent="0.25">
      <c r="A142" t="s">
        <v>714</v>
      </c>
      <c r="B142" t="s">
        <v>1151</v>
      </c>
      <c r="C142" s="28" t="s">
        <v>1150</v>
      </c>
      <c r="D142" s="33" t="s">
        <v>731</v>
      </c>
      <c r="E142" s="33" t="s">
        <v>731</v>
      </c>
    </row>
    <row r="143" spans="1:5" x14ac:dyDescent="0.25">
      <c r="A143" t="s">
        <v>714</v>
      </c>
      <c r="B143" t="s">
        <v>1153</v>
      </c>
      <c r="C143" s="28" t="s">
        <v>1152</v>
      </c>
      <c r="D143" s="33" t="s">
        <v>731</v>
      </c>
      <c r="E143" s="33" t="s">
        <v>731</v>
      </c>
    </row>
    <row r="144" spans="1:5" x14ac:dyDescent="0.25">
      <c r="A144" t="s">
        <v>714</v>
      </c>
      <c r="B144" t="s">
        <v>1155</v>
      </c>
      <c r="C144" s="28" t="s">
        <v>1154</v>
      </c>
      <c r="D144" s="33" t="s">
        <v>876</v>
      </c>
      <c r="E144" s="33" t="s">
        <v>876</v>
      </c>
    </row>
    <row r="145" spans="1:5" x14ac:dyDescent="0.25">
      <c r="A145" t="s">
        <v>714</v>
      </c>
      <c r="B145" t="s">
        <v>1157</v>
      </c>
      <c r="C145" s="28" t="s">
        <v>1156</v>
      </c>
      <c r="D145" s="33" t="s">
        <v>1144</v>
      </c>
      <c r="E145" s="33" t="s">
        <v>1144</v>
      </c>
    </row>
    <row r="146" spans="1:5" x14ac:dyDescent="0.25">
      <c r="A146" t="s">
        <v>714</v>
      </c>
      <c r="B146" t="s">
        <v>1160</v>
      </c>
      <c r="C146" s="28" t="s">
        <v>1158</v>
      </c>
      <c r="D146" s="33" t="s">
        <v>1159</v>
      </c>
      <c r="E146" s="33" t="s">
        <v>1159</v>
      </c>
    </row>
    <row r="147" spans="1:5" x14ac:dyDescent="0.25">
      <c r="A147" t="s">
        <v>714</v>
      </c>
      <c r="B147" t="s">
        <v>1163</v>
      </c>
      <c r="C147" s="28" t="s">
        <v>1161</v>
      </c>
      <c r="D147" s="33" t="s">
        <v>1162</v>
      </c>
      <c r="E147" s="33" t="s">
        <v>1162</v>
      </c>
    </row>
    <row r="148" spans="1:5" x14ac:dyDescent="0.25">
      <c r="A148" t="s">
        <v>714</v>
      </c>
      <c r="B148" t="s">
        <v>1166</v>
      </c>
      <c r="C148" s="28" t="s">
        <v>1164</v>
      </c>
      <c r="D148" s="33" t="s">
        <v>1165</v>
      </c>
      <c r="E148" s="33" t="s">
        <v>1165</v>
      </c>
    </row>
    <row r="149" spans="1:5" x14ac:dyDescent="0.25">
      <c r="A149" t="s">
        <v>714</v>
      </c>
      <c r="B149" t="s">
        <v>1168</v>
      </c>
      <c r="C149" s="28" t="s">
        <v>1167</v>
      </c>
      <c r="D149" s="33" t="s">
        <v>1137</v>
      </c>
      <c r="E149" s="33" t="s">
        <v>1137</v>
      </c>
    </row>
    <row r="150" spans="1:5" x14ac:dyDescent="0.25">
      <c r="A150" t="s">
        <v>714</v>
      </c>
      <c r="B150" t="s">
        <v>1170</v>
      </c>
      <c r="C150" s="28" t="s">
        <v>1169</v>
      </c>
      <c r="D150" s="33" t="s">
        <v>1144</v>
      </c>
      <c r="E150" s="33" t="s">
        <v>1144</v>
      </c>
    </row>
    <row r="151" spans="1:5" x14ac:dyDescent="0.25">
      <c r="A151" t="s">
        <v>714</v>
      </c>
      <c r="B151" t="s">
        <v>1173</v>
      </c>
      <c r="C151" s="28" t="s">
        <v>1171</v>
      </c>
      <c r="D151" s="33" t="s">
        <v>1172</v>
      </c>
      <c r="E151" s="33" t="s">
        <v>1172</v>
      </c>
    </row>
    <row r="152" spans="1:5" x14ac:dyDescent="0.25">
      <c r="A152" t="s">
        <v>714</v>
      </c>
      <c r="B152" t="s">
        <v>1175</v>
      </c>
      <c r="C152" s="28" t="s">
        <v>1174</v>
      </c>
      <c r="D152" s="33" t="s">
        <v>1137</v>
      </c>
      <c r="E152" s="33" t="s">
        <v>1137</v>
      </c>
    </row>
    <row r="153" spans="1:5" x14ac:dyDescent="0.25">
      <c r="A153" t="s">
        <v>714</v>
      </c>
      <c r="B153" t="s">
        <v>1177</v>
      </c>
      <c r="C153" s="28" t="s">
        <v>1176</v>
      </c>
      <c r="D153" s="33" t="s">
        <v>886</v>
      </c>
      <c r="E153" s="33" t="s">
        <v>886</v>
      </c>
    </row>
    <row r="154" spans="1:5" x14ac:dyDescent="0.25">
      <c r="A154" t="s">
        <v>714</v>
      </c>
      <c r="B154" t="s">
        <v>1180</v>
      </c>
      <c r="C154" s="28" t="s">
        <v>1178</v>
      </c>
      <c r="D154" s="33" t="s">
        <v>1179</v>
      </c>
      <c r="E154" s="33" t="s">
        <v>1179</v>
      </c>
    </row>
    <row r="155" spans="1:5" x14ac:dyDescent="0.25">
      <c r="A155" t="s">
        <v>714</v>
      </c>
      <c r="B155" t="s">
        <v>1182</v>
      </c>
      <c r="C155" s="28" t="s">
        <v>1181</v>
      </c>
      <c r="D155" s="33" t="s">
        <v>1137</v>
      </c>
      <c r="E155" s="33" t="s">
        <v>1137</v>
      </c>
    </row>
    <row r="156" spans="1:5" x14ac:dyDescent="0.25">
      <c r="A156" t="s">
        <v>714</v>
      </c>
      <c r="B156" t="s">
        <v>1184</v>
      </c>
      <c r="C156" s="28" t="s">
        <v>1183</v>
      </c>
      <c r="D156" s="33" t="s">
        <v>1172</v>
      </c>
      <c r="E156" s="33" t="s">
        <v>1172</v>
      </c>
    </row>
    <row r="157" spans="1:5" x14ac:dyDescent="0.25">
      <c r="A157" t="s">
        <v>714</v>
      </c>
      <c r="B157" t="s">
        <v>1186</v>
      </c>
      <c r="C157" s="28" t="s">
        <v>1185</v>
      </c>
      <c r="D157" s="33" t="s">
        <v>1172</v>
      </c>
      <c r="E157" s="33" t="s">
        <v>1172</v>
      </c>
    </row>
    <row r="158" spans="1:5" x14ac:dyDescent="0.25">
      <c r="A158" t="s">
        <v>714</v>
      </c>
      <c r="B158" t="s">
        <v>1188</v>
      </c>
      <c r="C158" s="28" t="s">
        <v>1187</v>
      </c>
      <c r="D158" s="33" t="s">
        <v>1172</v>
      </c>
      <c r="E158" s="33" t="s">
        <v>1172</v>
      </c>
    </row>
    <row r="159" spans="1:5" x14ac:dyDescent="0.25">
      <c r="A159" t="s">
        <v>714</v>
      </c>
      <c r="B159" t="s">
        <v>1190</v>
      </c>
      <c r="C159" s="28" t="s">
        <v>1189</v>
      </c>
      <c r="D159" s="33" t="s">
        <v>1172</v>
      </c>
      <c r="E159" s="33" t="s">
        <v>1172</v>
      </c>
    </row>
    <row r="160" spans="1:5" x14ac:dyDescent="0.25">
      <c r="A160" t="s">
        <v>714</v>
      </c>
      <c r="B160" t="s">
        <v>1192</v>
      </c>
      <c r="C160" s="28" t="s">
        <v>1191</v>
      </c>
      <c r="D160" s="33" t="s">
        <v>1172</v>
      </c>
      <c r="E160" s="33" t="s">
        <v>1172</v>
      </c>
    </row>
    <row r="161" spans="1:5" x14ac:dyDescent="0.25">
      <c r="A161" t="s">
        <v>714</v>
      </c>
      <c r="B161" t="s">
        <v>1195</v>
      </c>
      <c r="C161" s="28" t="s">
        <v>1193</v>
      </c>
      <c r="D161" s="33" t="s">
        <v>1194</v>
      </c>
      <c r="E161" s="33" t="s">
        <v>1194</v>
      </c>
    </row>
    <row r="162" spans="1:5" x14ac:dyDescent="0.25">
      <c r="A162" t="s">
        <v>714</v>
      </c>
      <c r="B162" t="s">
        <v>1198</v>
      </c>
      <c r="C162" s="28" t="s">
        <v>1196</v>
      </c>
      <c r="D162" s="33" t="s">
        <v>1197</v>
      </c>
      <c r="E162" s="33" t="s">
        <v>1197</v>
      </c>
    </row>
    <row r="163" spans="1:5" x14ac:dyDescent="0.25">
      <c r="A163" t="s">
        <v>714</v>
      </c>
      <c r="B163" t="s">
        <v>1200</v>
      </c>
      <c r="C163" s="28" t="s">
        <v>1199</v>
      </c>
      <c r="D163" s="33" t="s">
        <v>1194</v>
      </c>
      <c r="E163" s="33" t="s">
        <v>1194</v>
      </c>
    </row>
    <row r="164" spans="1:5" x14ac:dyDescent="0.25">
      <c r="A164" t="s">
        <v>714</v>
      </c>
      <c r="B164" t="s">
        <v>1203</v>
      </c>
      <c r="C164" s="28" t="s">
        <v>1201</v>
      </c>
      <c r="D164" s="33" t="s">
        <v>1202</v>
      </c>
      <c r="E164" s="33" t="s">
        <v>1202</v>
      </c>
    </row>
    <row r="165" spans="1:5" x14ac:dyDescent="0.25">
      <c r="A165" t="s">
        <v>714</v>
      </c>
      <c r="B165" t="s">
        <v>1205</v>
      </c>
      <c r="C165" s="28" t="s">
        <v>1204</v>
      </c>
      <c r="D165" s="33" t="s">
        <v>1197</v>
      </c>
      <c r="E165" s="33" t="s">
        <v>1197</v>
      </c>
    </row>
    <row r="166" spans="1:5" x14ac:dyDescent="0.25">
      <c r="A166" t="s">
        <v>714</v>
      </c>
      <c r="B166" t="s">
        <v>1207</v>
      </c>
      <c r="C166" s="28" t="s">
        <v>1206</v>
      </c>
      <c r="D166" s="33" t="s">
        <v>1165</v>
      </c>
      <c r="E166" s="33" t="s">
        <v>1165</v>
      </c>
    </row>
    <row r="167" spans="1:5" x14ac:dyDescent="0.25">
      <c r="A167" t="s">
        <v>714</v>
      </c>
      <c r="B167" t="s">
        <v>1209</v>
      </c>
      <c r="C167" s="28" t="s">
        <v>1208</v>
      </c>
      <c r="D167" s="33" t="s">
        <v>1197</v>
      </c>
      <c r="E167" s="33" t="s">
        <v>1197</v>
      </c>
    </row>
    <row r="168" spans="1:5" x14ac:dyDescent="0.25">
      <c r="A168" t="s">
        <v>714</v>
      </c>
      <c r="B168" t="s">
        <v>1211</v>
      </c>
      <c r="C168" s="28" t="s">
        <v>1210</v>
      </c>
      <c r="D168" s="33" t="s">
        <v>1137</v>
      </c>
      <c r="E168" s="33" t="s">
        <v>1137</v>
      </c>
    </row>
    <row r="169" spans="1:5" x14ac:dyDescent="0.25">
      <c r="A169" t="s">
        <v>714</v>
      </c>
      <c r="B169" t="s">
        <v>1213</v>
      </c>
      <c r="C169" s="28" t="s">
        <v>1212</v>
      </c>
      <c r="D169" s="33" t="s">
        <v>1165</v>
      </c>
      <c r="E169" s="33" t="s">
        <v>1165</v>
      </c>
    </row>
    <row r="170" spans="1:5" x14ac:dyDescent="0.25">
      <c r="A170" t="s">
        <v>714</v>
      </c>
      <c r="B170" t="s">
        <v>1216</v>
      </c>
      <c r="C170" s="28" t="s">
        <v>1214</v>
      </c>
      <c r="D170" s="33" t="s">
        <v>1215</v>
      </c>
      <c r="E170" s="33" t="s">
        <v>1215</v>
      </c>
    </row>
    <row r="171" spans="1:5" x14ac:dyDescent="0.25">
      <c r="A171" t="s">
        <v>714</v>
      </c>
      <c r="B171" t="s">
        <v>1218</v>
      </c>
      <c r="C171" s="28" t="s">
        <v>1217</v>
      </c>
      <c r="D171" s="33" t="s">
        <v>1144</v>
      </c>
      <c r="E171" s="33" t="s">
        <v>1144</v>
      </c>
    </row>
    <row r="172" spans="1:5" x14ac:dyDescent="0.25">
      <c r="A172" t="s">
        <v>714</v>
      </c>
      <c r="B172" t="s">
        <v>1221</v>
      </c>
      <c r="C172" s="28" t="s">
        <v>1219</v>
      </c>
      <c r="D172" s="33" t="s">
        <v>1220</v>
      </c>
      <c r="E172" s="33" t="s">
        <v>1220</v>
      </c>
    </row>
    <row r="173" spans="1:5" x14ac:dyDescent="0.25">
      <c r="A173" t="s">
        <v>714</v>
      </c>
      <c r="B173" t="s">
        <v>1223</v>
      </c>
      <c r="C173" s="28" t="s">
        <v>1222</v>
      </c>
      <c r="D173" s="33" t="s">
        <v>1165</v>
      </c>
      <c r="E173" s="33" t="s">
        <v>1165</v>
      </c>
    </row>
    <row r="174" spans="1:5" x14ac:dyDescent="0.25">
      <c r="A174" t="s">
        <v>714</v>
      </c>
      <c r="B174" t="s">
        <v>1225</v>
      </c>
      <c r="C174" s="28" t="s">
        <v>1224</v>
      </c>
      <c r="D174" s="33" t="s">
        <v>1197</v>
      </c>
      <c r="E174" s="33" t="s">
        <v>1197</v>
      </c>
    </row>
    <row r="175" spans="1:5" x14ac:dyDescent="0.25">
      <c r="B175" t="s">
        <v>904</v>
      </c>
      <c r="C175" s="28" t="s">
        <v>1226</v>
      </c>
      <c r="D175" s="33" t="s">
        <v>1172</v>
      </c>
      <c r="E175" s="33" t="s">
        <v>1172</v>
      </c>
    </row>
    <row r="176" spans="1:5" x14ac:dyDescent="0.25">
      <c r="A176" t="s">
        <v>714</v>
      </c>
      <c r="B176" t="s">
        <v>709</v>
      </c>
      <c r="C176" s="28" t="s">
        <v>904</v>
      </c>
      <c r="D176" s="33" t="s">
        <v>905</v>
      </c>
      <c r="E176" s="33" t="s">
        <v>905</v>
      </c>
    </row>
    <row r="177" spans="1:5" x14ac:dyDescent="0.25">
      <c r="A177" t="s">
        <v>714</v>
      </c>
      <c r="B177" t="s">
        <v>710</v>
      </c>
      <c r="C177" s="28" t="s">
        <v>754</v>
      </c>
      <c r="D177" s="33" t="s">
        <v>1227</v>
      </c>
      <c r="E177" s="33" t="s">
        <v>1227</v>
      </c>
    </row>
    <row r="178" spans="1:5" x14ac:dyDescent="0.25">
      <c r="A178" t="s">
        <v>714</v>
      </c>
      <c r="B178" t="s">
        <v>711</v>
      </c>
      <c r="C178" s="28" t="s">
        <v>755</v>
      </c>
      <c r="D178" s="33" t="s">
        <v>1228</v>
      </c>
      <c r="E178" s="33" t="s">
        <v>1228</v>
      </c>
    </row>
    <row r="179" spans="1:5" x14ac:dyDescent="0.25">
      <c r="A179" t="s">
        <v>714</v>
      </c>
      <c r="B179" t="s">
        <v>712</v>
      </c>
      <c r="C179" s="28" t="s">
        <v>756</v>
      </c>
      <c r="D179" s="33" t="s">
        <v>1229</v>
      </c>
      <c r="E179" s="33" t="s">
        <v>1229</v>
      </c>
    </row>
    <row r="180" spans="1:5" x14ac:dyDescent="0.25">
      <c r="A180" t="s">
        <v>714</v>
      </c>
      <c r="B180" t="s">
        <v>713</v>
      </c>
      <c r="C180" s="28" t="s">
        <v>757</v>
      </c>
      <c r="D180" s="33" t="s">
        <v>1230</v>
      </c>
      <c r="E180" s="33" t="s">
        <v>1230</v>
      </c>
    </row>
    <row r="181" spans="1:5" x14ac:dyDescent="0.25">
      <c r="A181" t="s">
        <v>714</v>
      </c>
      <c r="B181" t="s">
        <v>1232</v>
      </c>
      <c r="C181" s="28" t="s">
        <v>758</v>
      </c>
      <c r="D181" s="33" t="s">
        <v>1231</v>
      </c>
      <c r="E181" s="33" t="s">
        <v>1231</v>
      </c>
    </row>
    <row r="182" spans="1:5" x14ac:dyDescent="0.25">
      <c r="A182" t="s">
        <v>714</v>
      </c>
      <c r="B182" t="s">
        <v>906</v>
      </c>
      <c r="C182" s="28" t="s">
        <v>1233</v>
      </c>
      <c r="D182" s="33" t="s">
        <v>1234</v>
      </c>
      <c r="E182" s="33" t="s">
        <v>1234</v>
      </c>
    </row>
    <row r="183" spans="1:5" x14ac:dyDescent="0.25">
      <c r="C183" s="28" t="s">
        <v>907</v>
      </c>
      <c r="D183" s="33" t="s">
        <v>1235</v>
      </c>
      <c r="E183" s="33" t="s">
        <v>1235</v>
      </c>
    </row>
    <row r="184" spans="1:5" x14ac:dyDescent="0.25">
      <c r="E184"/>
    </row>
    <row r="185" spans="1:5" x14ac:dyDescent="0.25">
      <c r="D185" s="27">
        <v>43884</v>
      </c>
    </row>
    <row r="186" spans="1:5" x14ac:dyDescent="0.25">
      <c r="A186" t="s">
        <v>1026</v>
      </c>
      <c r="C186" t="s">
        <v>913</v>
      </c>
      <c r="D186" t="s">
        <v>914</v>
      </c>
      <c r="E186" s="28" t="s">
        <v>915</v>
      </c>
    </row>
    <row r="187" spans="1:5" x14ac:dyDescent="0.25">
      <c r="B187" t="s">
        <v>1025</v>
      </c>
    </row>
    <row r="188" spans="1:5" x14ac:dyDescent="0.25">
      <c r="A188" s="33" t="s">
        <v>1029</v>
      </c>
      <c r="B188" t="s">
        <v>1025</v>
      </c>
      <c r="C188" t="s">
        <v>1027</v>
      </c>
      <c r="D188" s="33" t="s">
        <v>1028</v>
      </c>
      <c r="E188" s="49" t="s">
        <v>1028</v>
      </c>
    </row>
    <row r="189" spans="1:5" x14ac:dyDescent="0.25">
      <c r="B189" t="s">
        <v>1507</v>
      </c>
      <c r="C189" s="33" t="s">
        <v>1030</v>
      </c>
      <c r="D189" s="33" t="s">
        <v>1506</v>
      </c>
      <c r="E189" s="49" t="s">
        <v>1506</v>
      </c>
    </row>
    <row r="190" spans="1:5" x14ac:dyDescent="0.25">
      <c r="A190" t="s">
        <v>714</v>
      </c>
      <c r="B190" t="s">
        <v>485</v>
      </c>
      <c r="C190" t="s">
        <v>1507</v>
      </c>
      <c r="D190" s="33" t="s">
        <v>1508</v>
      </c>
      <c r="E190" s="49" t="s">
        <v>1508</v>
      </c>
    </row>
    <row r="191" spans="1:5" x14ac:dyDescent="0.25">
      <c r="A191" t="s">
        <v>714</v>
      </c>
      <c r="B191" t="s">
        <v>1032</v>
      </c>
      <c r="C191" t="s">
        <v>848</v>
      </c>
      <c r="D191" s="33" t="s">
        <v>849</v>
      </c>
      <c r="E191" s="49" t="s">
        <v>849</v>
      </c>
    </row>
    <row r="192" spans="1:5" x14ac:dyDescent="0.25">
      <c r="A192" t="s">
        <v>714</v>
      </c>
      <c r="B192" t="s">
        <v>1035</v>
      </c>
      <c r="C192" t="s">
        <v>1033</v>
      </c>
      <c r="D192" s="33" t="s">
        <v>1509</v>
      </c>
      <c r="E192" s="49" t="s">
        <v>1509</v>
      </c>
    </row>
    <row r="193" spans="1:5" x14ac:dyDescent="0.25">
      <c r="A193" t="s">
        <v>714</v>
      </c>
      <c r="B193" t="s">
        <v>1038</v>
      </c>
      <c r="C193" t="s">
        <v>1036</v>
      </c>
      <c r="D193" s="33" t="s">
        <v>1037</v>
      </c>
      <c r="E193" s="49" t="s">
        <v>1037</v>
      </c>
    </row>
    <row r="194" spans="1:5" x14ac:dyDescent="0.25">
      <c r="A194" t="s">
        <v>714</v>
      </c>
      <c r="B194" t="s">
        <v>1041</v>
      </c>
      <c r="C194" t="s">
        <v>1039</v>
      </c>
      <c r="D194" s="33" t="s">
        <v>1510</v>
      </c>
      <c r="E194" s="49" t="s">
        <v>1510</v>
      </c>
    </row>
    <row r="195" spans="1:5" x14ac:dyDescent="0.25">
      <c r="A195" t="s">
        <v>714</v>
      </c>
      <c r="B195" t="s">
        <v>1043</v>
      </c>
      <c r="C195" t="s">
        <v>1042</v>
      </c>
      <c r="D195" s="33" t="s">
        <v>1511</v>
      </c>
      <c r="E195" s="49" t="s">
        <v>1511</v>
      </c>
    </row>
    <row r="196" spans="1:5" x14ac:dyDescent="0.25">
      <c r="A196" t="s">
        <v>714</v>
      </c>
      <c r="B196" t="s">
        <v>1046</v>
      </c>
      <c r="C196" t="s">
        <v>1044</v>
      </c>
      <c r="D196" s="33" t="s">
        <v>1512</v>
      </c>
      <c r="E196" s="49" t="s">
        <v>1512</v>
      </c>
    </row>
    <row r="197" spans="1:5" x14ac:dyDescent="0.25">
      <c r="A197" t="s">
        <v>714</v>
      </c>
      <c r="B197" t="s">
        <v>1049</v>
      </c>
      <c r="C197" t="s">
        <v>1047</v>
      </c>
      <c r="D197" s="33" t="s">
        <v>1513</v>
      </c>
      <c r="E197" s="49" t="s">
        <v>1513</v>
      </c>
    </row>
    <row r="198" spans="1:5" x14ac:dyDescent="0.25">
      <c r="A198" t="s">
        <v>714</v>
      </c>
      <c r="B198" t="s">
        <v>663</v>
      </c>
      <c r="C198" t="s">
        <v>1050</v>
      </c>
      <c r="D198" s="33" t="s">
        <v>1514</v>
      </c>
      <c r="E198" s="49" t="s">
        <v>1514</v>
      </c>
    </row>
    <row r="199" spans="1:5" x14ac:dyDescent="0.25">
      <c r="A199" t="s">
        <v>714</v>
      </c>
      <c r="B199" t="s">
        <v>1052</v>
      </c>
      <c r="C199" t="s">
        <v>715</v>
      </c>
      <c r="D199" s="33" t="s">
        <v>716</v>
      </c>
      <c r="E199" s="49" t="s">
        <v>716</v>
      </c>
    </row>
    <row r="200" spans="1:5" x14ac:dyDescent="0.25">
      <c r="A200" t="s">
        <v>714</v>
      </c>
      <c r="B200" t="s">
        <v>664</v>
      </c>
      <c r="C200" t="s">
        <v>1053</v>
      </c>
      <c r="D200" s="33" t="s">
        <v>1515</v>
      </c>
      <c r="E200" s="49" t="s">
        <v>1515</v>
      </c>
    </row>
    <row r="201" spans="1:5" x14ac:dyDescent="0.25">
      <c r="A201" t="s">
        <v>714</v>
      </c>
      <c r="B201" t="s">
        <v>665</v>
      </c>
      <c r="C201" t="s">
        <v>717</v>
      </c>
      <c r="D201" s="33" t="s">
        <v>1516</v>
      </c>
      <c r="E201" s="49" t="s">
        <v>1516</v>
      </c>
    </row>
    <row r="202" spans="1:5" x14ac:dyDescent="0.25">
      <c r="A202" t="s">
        <v>714</v>
      </c>
      <c r="B202" t="s">
        <v>666</v>
      </c>
      <c r="C202" t="s">
        <v>718</v>
      </c>
      <c r="D202" s="33" t="s">
        <v>1517</v>
      </c>
      <c r="E202" s="49" t="s">
        <v>1517</v>
      </c>
    </row>
    <row r="203" spans="1:5" x14ac:dyDescent="0.25">
      <c r="A203" t="s">
        <v>714</v>
      </c>
      <c r="B203" t="s">
        <v>667</v>
      </c>
      <c r="C203" t="s">
        <v>719</v>
      </c>
      <c r="D203" s="33" t="s">
        <v>1518</v>
      </c>
      <c r="E203" s="49" t="s">
        <v>1518</v>
      </c>
    </row>
    <row r="204" spans="1:5" x14ac:dyDescent="0.25">
      <c r="A204" t="s">
        <v>714</v>
      </c>
      <c r="B204" t="s">
        <v>1058</v>
      </c>
      <c r="C204" t="s">
        <v>720</v>
      </c>
      <c r="D204" s="33" t="s">
        <v>721</v>
      </c>
      <c r="E204" s="49" t="s">
        <v>721</v>
      </c>
    </row>
    <row r="205" spans="1:5" x14ac:dyDescent="0.25">
      <c r="A205" t="s">
        <v>714</v>
      </c>
      <c r="B205" t="s">
        <v>668</v>
      </c>
      <c r="C205" t="s">
        <v>1059</v>
      </c>
      <c r="D205" s="33" t="s">
        <v>1519</v>
      </c>
      <c r="E205" s="49" t="s">
        <v>1519</v>
      </c>
    </row>
    <row r="206" spans="1:5" x14ac:dyDescent="0.25">
      <c r="A206" t="s">
        <v>714</v>
      </c>
      <c r="B206" t="s">
        <v>669</v>
      </c>
      <c r="C206" t="s">
        <v>722</v>
      </c>
      <c r="D206" s="33" t="s">
        <v>1520</v>
      </c>
      <c r="E206" s="49" t="s">
        <v>1520</v>
      </c>
    </row>
    <row r="207" spans="1:5" x14ac:dyDescent="0.25">
      <c r="A207" t="s">
        <v>714</v>
      </c>
      <c r="B207" t="s">
        <v>670</v>
      </c>
      <c r="C207" t="s">
        <v>723</v>
      </c>
      <c r="D207" s="33" t="s">
        <v>1521</v>
      </c>
      <c r="E207" s="49" t="s">
        <v>1521</v>
      </c>
    </row>
    <row r="208" spans="1:5" x14ac:dyDescent="0.25">
      <c r="A208" t="s">
        <v>714</v>
      </c>
      <c r="B208" t="s">
        <v>1523</v>
      </c>
      <c r="C208" t="s">
        <v>724</v>
      </c>
      <c r="D208" s="33" t="s">
        <v>1522</v>
      </c>
      <c r="E208" s="49" t="s">
        <v>1522</v>
      </c>
    </row>
    <row r="209" spans="1:5" x14ac:dyDescent="0.25">
      <c r="A209" t="s">
        <v>714</v>
      </c>
      <c r="B209" t="s">
        <v>856</v>
      </c>
      <c r="C209" t="s">
        <v>1524</v>
      </c>
      <c r="D209" s="33" t="s">
        <v>1525</v>
      </c>
      <c r="E209" s="49" t="s">
        <v>1525</v>
      </c>
    </row>
    <row r="210" spans="1:5" x14ac:dyDescent="0.25">
      <c r="A210" t="s">
        <v>714</v>
      </c>
      <c r="B210" t="s">
        <v>1526</v>
      </c>
      <c r="C210" t="s">
        <v>857</v>
      </c>
      <c r="D210" s="33" t="s">
        <v>858</v>
      </c>
      <c r="E210" s="49" t="s">
        <v>858</v>
      </c>
    </row>
    <row r="211" spans="1:5" x14ac:dyDescent="0.25">
      <c r="A211" t="s">
        <v>714</v>
      </c>
      <c r="B211" t="s">
        <v>671</v>
      </c>
      <c r="C211" t="s">
        <v>1527</v>
      </c>
      <c r="D211" s="33" t="s">
        <v>1528</v>
      </c>
      <c r="E211" s="49" t="s">
        <v>1528</v>
      </c>
    </row>
    <row r="212" spans="1:5" x14ac:dyDescent="0.25">
      <c r="A212" t="s">
        <v>714</v>
      </c>
      <c r="B212" t="s">
        <v>1530</v>
      </c>
      <c r="C212" t="s">
        <v>725</v>
      </c>
      <c r="D212" s="33" t="s">
        <v>1529</v>
      </c>
      <c r="E212" s="49" t="s">
        <v>1529</v>
      </c>
    </row>
    <row r="213" spans="1:5" x14ac:dyDescent="0.25">
      <c r="A213" t="s">
        <v>714</v>
      </c>
      <c r="B213" t="s">
        <v>860</v>
      </c>
      <c r="C213" t="s">
        <v>1531</v>
      </c>
      <c r="D213" s="33" t="s">
        <v>1532</v>
      </c>
      <c r="E213" s="49" t="s">
        <v>1532</v>
      </c>
    </row>
    <row r="214" spans="1:5" x14ac:dyDescent="0.25">
      <c r="A214" t="s">
        <v>714</v>
      </c>
      <c r="B214" t="s">
        <v>1065</v>
      </c>
      <c r="C214" t="s">
        <v>861</v>
      </c>
      <c r="D214" s="33" t="s">
        <v>862</v>
      </c>
      <c r="E214" s="49" t="s">
        <v>862</v>
      </c>
    </row>
    <row r="215" spans="1:5" x14ac:dyDescent="0.25">
      <c r="A215" t="s">
        <v>714</v>
      </c>
      <c r="B215" t="s">
        <v>1534</v>
      </c>
      <c r="C215" t="s">
        <v>1066</v>
      </c>
      <c r="D215" s="33" t="s">
        <v>1533</v>
      </c>
      <c r="E215" s="49" t="s">
        <v>1533</v>
      </c>
    </row>
    <row r="216" spans="1:5" x14ac:dyDescent="0.25">
      <c r="A216" t="s">
        <v>714</v>
      </c>
      <c r="B216" t="s">
        <v>672</v>
      </c>
      <c r="C216" t="s">
        <v>1535</v>
      </c>
      <c r="D216" s="33" t="s">
        <v>1536</v>
      </c>
      <c r="E216" s="49" t="s">
        <v>1536</v>
      </c>
    </row>
    <row r="217" spans="1:5" x14ac:dyDescent="0.25">
      <c r="A217" t="s">
        <v>714</v>
      </c>
      <c r="B217" t="s">
        <v>673</v>
      </c>
      <c r="C217" t="s">
        <v>726</v>
      </c>
      <c r="D217" s="33" t="s">
        <v>1537</v>
      </c>
      <c r="E217" s="49" t="s">
        <v>1537</v>
      </c>
    </row>
    <row r="218" spans="1:5" x14ac:dyDescent="0.25">
      <c r="A218" t="s">
        <v>714</v>
      </c>
      <c r="B218" t="s">
        <v>675</v>
      </c>
      <c r="C218" t="s">
        <v>727</v>
      </c>
      <c r="D218" s="33" t="s">
        <v>937</v>
      </c>
      <c r="E218" s="49" t="s">
        <v>937</v>
      </c>
    </row>
    <row r="219" spans="1:5" x14ac:dyDescent="0.25">
      <c r="A219" t="s">
        <v>714</v>
      </c>
      <c r="B219" t="s">
        <v>677</v>
      </c>
      <c r="C219" t="s">
        <v>728</v>
      </c>
      <c r="D219" s="33" t="s">
        <v>676</v>
      </c>
      <c r="E219" s="49" t="s">
        <v>676</v>
      </c>
    </row>
    <row r="220" spans="1:5" x14ac:dyDescent="0.25">
      <c r="A220" t="s">
        <v>714</v>
      </c>
      <c r="B220" t="s">
        <v>864</v>
      </c>
      <c r="C220" t="s">
        <v>729</v>
      </c>
      <c r="D220" s="33" t="s">
        <v>941</v>
      </c>
      <c r="E220" s="49" t="s">
        <v>941</v>
      </c>
    </row>
    <row r="221" spans="1:5" x14ac:dyDescent="0.25">
      <c r="A221" t="s">
        <v>714</v>
      </c>
      <c r="B221" t="s">
        <v>1069</v>
      </c>
      <c r="C221" t="s">
        <v>865</v>
      </c>
      <c r="D221" s="33" t="s">
        <v>679</v>
      </c>
      <c r="E221" s="49" t="s">
        <v>679</v>
      </c>
    </row>
    <row r="222" spans="1:5" x14ac:dyDescent="0.25">
      <c r="A222" t="s">
        <v>714</v>
      </c>
      <c r="B222" t="s">
        <v>866</v>
      </c>
      <c r="C222" t="s">
        <v>1070</v>
      </c>
      <c r="D222" s="33" t="s">
        <v>1538</v>
      </c>
      <c r="E222" s="49" t="s">
        <v>1538</v>
      </c>
    </row>
    <row r="223" spans="1:5" x14ac:dyDescent="0.25">
      <c r="B223" t="s">
        <v>869</v>
      </c>
      <c r="C223" t="s">
        <v>867</v>
      </c>
      <c r="D223" s="33" t="s">
        <v>1539</v>
      </c>
      <c r="E223" s="49" t="s">
        <v>1539</v>
      </c>
    </row>
    <row r="224" spans="1:5" x14ac:dyDescent="0.25">
      <c r="A224" t="s">
        <v>714</v>
      </c>
      <c r="B224" t="s">
        <v>680</v>
      </c>
      <c r="C224" t="s">
        <v>869</v>
      </c>
      <c r="D224" s="33" t="s">
        <v>1540</v>
      </c>
      <c r="E224" s="49" t="s">
        <v>1540</v>
      </c>
    </row>
    <row r="225" spans="1:5" x14ac:dyDescent="0.25">
      <c r="A225" t="s">
        <v>714</v>
      </c>
      <c r="B225" t="s">
        <v>1074</v>
      </c>
      <c r="C225" t="s">
        <v>730</v>
      </c>
      <c r="D225" s="33" t="s">
        <v>731</v>
      </c>
      <c r="E225" s="49" t="s">
        <v>731</v>
      </c>
    </row>
    <row r="226" spans="1:5" x14ac:dyDescent="0.25">
      <c r="A226" t="s">
        <v>714</v>
      </c>
      <c r="B226" t="s">
        <v>681</v>
      </c>
      <c r="C226" t="s">
        <v>1075</v>
      </c>
      <c r="D226" s="33" t="s">
        <v>1541</v>
      </c>
      <c r="E226" s="49" t="s">
        <v>1541</v>
      </c>
    </row>
    <row r="227" spans="1:5" x14ac:dyDescent="0.25">
      <c r="A227" t="s">
        <v>714</v>
      </c>
      <c r="B227" t="s">
        <v>1543</v>
      </c>
      <c r="C227" t="s">
        <v>732</v>
      </c>
      <c r="D227" s="33" t="s">
        <v>1542</v>
      </c>
      <c r="E227" s="49" t="s">
        <v>1542</v>
      </c>
    </row>
    <row r="228" spans="1:5" x14ac:dyDescent="0.25">
      <c r="A228" t="s">
        <v>714</v>
      </c>
      <c r="B228" t="s">
        <v>682</v>
      </c>
      <c r="C228" t="s">
        <v>1544</v>
      </c>
      <c r="D228" s="33" t="s">
        <v>1545</v>
      </c>
      <c r="E228" s="49" t="s">
        <v>1545</v>
      </c>
    </row>
    <row r="229" spans="1:5" x14ac:dyDescent="0.25">
      <c r="A229" t="s">
        <v>714</v>
      </c>
      <c r="B229" t="s">
        <v>683</v>
      </c>
      <c r="C229" t="s">
        <v>733</v>
      </c>
      <c r="D229" s="33" t="s">
        <v>1546</v>
      </c>
      <c r="E229" s="49" t="s">
        <v>1546</v>
      </c>
    </row>
    <row r="230" spans="1:5" x14ac:dyDescent="0.25">
      <c r="A230" t="s">
        <v>714</v>
      </c>
      <c r="B230" t="s">
        <v>1548</v>
      </c>
      <c r="C230" t="s">
        <v>734</v>
      </c>
      <c r="D230" s="33" t="s">
        <v>1547</v>
      </c>
      <c r="E230" s="49" t="s">
        <v>1547</v>
      </c>
    </row>
    <row r="231" spans="1:5" x14ac:dyDescent="0.25">
      <c r="A231" t="s">
        <v>714</v>
      </c>
      <c r="B231" t="s">
        <v>874</v>
      </c>
      <c r="C231" t="s">
        <v>1549</v>
      </c>
      <c r="D231" s="33" t="s">
        <v>1550</v>
      </c>
      <c r="E231" s="49" t="s">
        <v>1550</v>
      </c>
    </row>
    <row r="232" spans="1:5" x14ac:dyDescent="0.25">
      <c r="A232" t="s">
        <v>714</v>
      </c>
      <c r="B232" t="s">
        <v>1080</v>
      </c>
      <c r="C232" t="s">
        <v>875</v>
      </c>
      <c r="D232" s="33" t="s">
        <v>876</v>
      </c>
      <c r="E232" s="49" t="s">
        <v>876</v>
      </c>
    </row>
    <row r="233" spans="1:5" x14ac:dyDescent="0.25">
      <c r="A233" t="s">
        <v>714</v>
      </c>
      <c r="B233" t="s">
        <v>1552</v>
      </c>
      <c r="C233" t="s">
        <v>1081</v>
      </c>
      <c r="D233" s="33" t="s">
        <v>1551</v>
      </c>
      <c r="E233" s="49" t="s">
        <v>1551</v>
      </c>
    </row>
    <row r="234" spans="1:5" x14ac:dyDescent="0.25">
      <c r="A234" t="s">
        <v>714</v>
      </c>
      <c r="B234" t="s">
        <v>684</v>
      </c>
      <c r="C234" t="s">
        <v>1553</v>
      </c>
      <c r="D234" s="33" t="s">
        <v>1554</v>
      </c>
      <c r="E234" s="49" t="s">
        <v>1554</v>
      </c>
    </row>
    <row r="235" spans="1:5" x14ac:dyDescent="0.25">
      <c r="A235" t="s">
        <v>714</v>
      </c>
      <c r="B235" t="s">
        <v>1556</v>
      </c>
      <c r="C235" t="s">
        <v>735</v>
      </c>
      <c r="D235" s="33" t="s">
        <v>1555</v>
      </c>
      <c r="E235" s="49" t="s">
        <v>1555</v>
      </c>
    </row>
    <row r="236" spans="1:5" x14ac:dyDescent="0.25">
      <c r="A236" t="s">
        <v>714</v>
      </c>
      <c r="B236" t="s">
        <v>1559</v>
      </c>
      <c r="C236" t="s">
        <v>1557</v>
      </c>
      <c r="D236" s="33" t="s">
        <v>1558</v>
      </c>
      <c r="E236" s="49" t="s">
        <v>1558</v>
      </c>
    </row>
    <row r="237" spans="1:5" x14ac:dyDescent="0.25">
      <c r="A237" t="s">
        <v>714</v>
      </c>
      <c r="B237" t="s">
        <v>685</v>
      </c>
      <c r="C237" t="s">
        <v>1560</v>
      </c>
      <c r="D237" s="33" t="s">
        <v>1561</v>
      </c>
      <c r="E237" s="49" t="s">
        <v>1561</v>
      </c>
    </row>
    <row r="238" spans="1:5" x14ac:dyDescent="0.25">
      <c r="A238" t="s">
        <v>714</v>
      </c>
      <c r="B238" t="s">
        <v>687</v>
      </c>
      <c r="C238" t="s">
        <v>736</v>
      </c>
      <c r="D238" s="33" t="s">
        <v>1562</v>
      </c>
      <c r="E238" s="49" t="s">
        <v>1562</v>
      </c>
    </row>
    <row r="239" spans="1:5" x14ac:dyDescent="0.25">
      <c r="A239" t="s">
        <v>714</v>
      </c>
      <c r="B239" t="s">
        <v>689</v>
      </c>
      <c r="C239" t="s">
        <v>737</v>
      </c>
      <c r="D239" s="33" t="s">
        <v>1563</v>
      </c>
      <c r="E239" s="49" t="s">
        <v>1563</v>
      </c>
    </row>
    <row r="240" spans="1:5" x14ac:dyDescent="0.25">
      <c r="A240" t="s">
        <v>714</v>
      </c>
      <c r="B240" t="s">
        <v>691</v>
      </c>
      <c r="C240" t="s">
        <v>738</v>
      </c>
      <c r="D240" s="33" t="s">
        <v>1564</v>
      </c>
      <c r="E240" s="49" t="s">
        <v>1564</v>
      </c>
    </row>
    <row r="241" spans="1:5" x14ac:dyDescent="0.25">
      <c r="A241" t="s">
        <v>714</v>
      </c>
      <c r="B241" t="s">
        <v>1086</v>
      </c>
      <c r="C241" t="s">
        <v>739</v>
      </c>
      <c r="D241" s="33" t="s">
        <v>1565</v>
      </c>
      <c r="E241" s="49" t="s">
        <v>1565</v>
      </c>
    </row>
    <row r="242" spans="1:5" x14ac:dyDescent="0.25">
      <c r="A242" t="s">
        <v>714</v>
      </c>
      <c r="B242" t="s">
        <v>878</v>
      </c>
      <c r="C242" t="s">
        <v>1087</v>
      </c>
      <c r="D242" s="33" t="s">
        <v>1088</v>
      </c>
      <c r="E242" s="49" t="s">
        <v>1088</v>
      </c>
    </row>
    <row r="243" spans="1:5" x14ac:dyDescent="0.25">
      <c r="A243" t="s">
        <v>714</v>
      </c>
      <c r="B243" t="s">
        <v>1567</v>
      </c>
      <c r="C243" t="s">
        <v>879</v>
      </c>
      <c r="D243" s="33" t="s">
        <v>1566</v>
      </c>
      <c r="E243" s="49" t="s">
        <v>1566</v>
      </c>
    </row>
    <row r="244" spans="1:5" x14ac:dyDescent="0.25">
      <c r="A244" t="s">
        <v>714</v>
      </c>
      <c r="B244" t="s">
        <v>1570</v>
      </c>
      <c r="C244" t="s">
        <v>1568</v>
      </c>
      <c r="D244" s="33" t="s">
        <v>1569</v>
      </c>
      <c r="E244" s="49" t="s">
        <v>1569</v>
      </c>
    </row>
    <row r="245" spans="1:5" x14ac:dyDescent="0.25">
      <c r="A245" t="s">
        <v>714</v>
      </c>
      <c r="B245" t="s">
        <v>1573</v>
      </c>
      <c r="C245" t="s">
        <v>1571</v>
      </c>
      <c r="D245" s="33" t="s">
        <v>1572</v>
      </c>
      <c r="E245" s="49" t="s">
        <v>1572</v>
      </c>
    </row>
    <row r="246" spans="1:5" x14ac:dyDescent="0.25">
      <c r="A246" t="s">
        <v>714</v>
      </c>
      <c r="B246" t="s">
        <v>1576</v>
      </c>
      <c r="C246" t="s">
        <v>1574</v>
      </c>
      <c r="D246" s="33" t="s">
        <v>1575</v>
      </c>
      <c r="E246" s="49" t="s">
        <v>1575</v>
      </c>
    </row>
    <row r="247" spans="1:5" x14ac:dyDescent="0.25">
      <c r="A247" t="s">
        <v>714</v>
      </c>
      <c r="B247" t="s">
        <v>1090</v>
      </c>
      <c r="C247" t="s">
        <v>1577</v>
      </c>
      <c r="D247" s="33" t="s">
        <v>1578</v>
      </c>
      <c r="E247" s="49" t="s">
        <v>1578</v>
      </c>
    </row>
    <row r="248" spans="1:5" x14ac:dyDescent="0.25">
      <c r="A248" t="s">
        <v>714</v>
      </c>
      <c r="B248" t="s">
        <v>1093</v>
      </c>
      <c r="C248" t="s">
        <v>1091</v>
      </c>
      <c r="D248" s="33" t="s">
        <v>1579</v>
      </c>
      <c r="E248" s="49" t="s">
        <v>1579</v>
      </c>
    </row>
    <row r="249" spans="1:5" x14ac:dyDescent="0.25">
      <c r="A249" t="s">
        <v>714</v>
      </c>
      <c r="B249" t="s">
        <v>1096</v>
      </c>
      <c r="C249" t="s">
        <v>1094</v>
      </c>
      <c r="D249" s="33" t="s">
        <v>1580</v>
      </c>
      <c r="E249" s="49" t="s">
        <v>1580</v>
      </c>
    </row>
    <row r="250" spans="1:5" x14ac:dyDescent="0.25">
      <c r="A250" t="s">
        <v>714</v>
      </c>
      <c r="B250" t="s">
        <v>693</v>
      </c>
      <c r="C250" t="s">
        <v>1097</v>
      </c>
      <c r="D250" s="33" t="s">
        <v>1581</v>
      </c>
      <c r="E250" s="49" t="s">
        <v>1581</v>
      </c>
    </row>
    <row r="251" spans="1:5" x14ac:dyDescent="0.25">
      <c r="A251" t="s">
        <v>714</v>
      </c>
      <c r="B251" t="s">
        <v>694</v>
      </c>
      <c r="C251" t="s">
        <v>740</v>
      </c>
      <c r="D251" s="33" t="s">
        <v>1582</v>
      </c>
      <c r="E251" s="49" t="s">
        <v>1582</v>
      </c>
    </row>
    <row r="252" spans="1:5" x14ac:dyDescent="0.25">
      <c r="A252" t="s">
        <v>714</v>
      </c>
      <c r="B252" t="s">
        <v>695</v>
      </c>
      <c r="C252" t="s">
        <v>741</v>
      </c>
      <c r="D252" s="33" t="s">
        <v>1583</v>
      </c>
      <c r="E252" s="49" t="s">
        <v>1583</v>
      </c>
    </row>
    <row r="253" spans="1:5" x14ac:dyDescent="0.25">
      <c r="A253" t="s">
        <v>714</v>
      </c>
      <c r="B253" t="s">
        <v>1585</v>
      </c>
      <c r="C253" t="s">
        <v>742</v>
      </c>
      <c r="D253" s="33" t="s">
        <v>1584</v>
      </c>
      <c r="E253" s="49" t="s">
        <v>1584</v>
      </c>
    </row>
    <row r="254" spans="1:5" x14ac:dyDescent="0.25">
      <c r="A254" t="s">
        <v>714</v>
      </c>
      <c r="B254" t="s">
        <v>884</v>
      </c>
      <c r="C254" t="s">
        <v>1586</v>
      </c>
      <c r="D254" s="33" t="s">
        <v>1587</v>
      </c>
      <c r="E254" s="49" t="s">
        <v>1587</v>
      </c>
    </row>
    <row r="255" spans="1:5" x14ac:dyDescent="0.25">
      <c r="A255" t="s">
        <v>714</v>
      </c>
      <c r="B255" t="s">
        <v>1102</v>
      </c>
      <c r="C255" t="s">
        <v>885</v>
      </c>
      <c r="D255" s="33" t="s">
        <v>886</v>
      </c>
      <c r="E255" s="49" t="s">
        <v>886</v>
      </c>
    </row>
    <row r="256" spans="1:5" x14ac:dyDescent="0.25">
      <c r="A256" t="s">
        <v>714</v>
      </c>
      <c r="B256" t="s">
        <v>1589</v>
      </c>
      <c r="C256" t="s">
        <v>1103</v>
      </c>
      <c r="D256" s="33" t="s">
        <v>1588</v>
      </c>
      <c r="E256" s="49" t="s">
        <v>1588</v>
      </c>
    </row>
    <row r="257" spans="1:5" x14ac:dyDescent="0.25">
      <c r="A257" t="s">
        <v>714</v>
      </c>
      <c r="B257" t="s">
        <v>696</v>
      </c>
      <c r="C257" t="s">
        <v>1590</v>
      </c>
      <c r="D257" s="33" t="s">
        <v>1591</v>
      </c>
      <c r="E257" s="49" t="s">
        <v>1591</v>
      </c>
    </row>
    <row r="258" spans="1:5" x14ac:dyDescent="0.25">
      <c r="A258" t="s">
        <v>714</v>
      </c>
      <c r="B258" t="s">
        <v>888</v>
      </c>
      <c r="C258" t="s">
        <v>743</v>
      </c>
      <c r="D258" s="33" t="s">
        <v>1592</v>
      </c>
      <c r="E258" s="49" t="s">
        <v>1592</v>
      </c>
    </row>
    <row r="259" spans="1:5" x14ac:dyDescent="0.25">
      <c r="A259" t="s">
        <v>714</v>
      </c>
      <c r="B259" t="s">
        <v>697</v>
      </c>
      <c r="C259" t="s">
        <v>889</v>
      </c>
      <c r="D259" s="33" t="s">
        <v>890</v>
      </c>
      <c r="E259" s="49" t="s">
        <v>890</v>
      </c>
    </row>
    <row r="260" spans="1:5" x14ac:dyDescent="0.25">
      <c r="A260" t="s">
        <v>714</v>
      </c>
      <c r="B260" t="s">
        <v>699</v>
      </c>
      <c r="C260" t="s">
        <v>744</v>
      </c>
      <c r="D260" s="33" t="s">
        <v>1593</v>
      </c>
      <c r="E260" s="49" t="s">
        <v>1593</v>
      </c>
    </row>
    <row r="261" spans="1:5" x14ac:dyDescent="0.25">
      <c r="A261" t="s">
        <v>714</v>
      </c>
      <c r="B261" t="s">
        <v>701</v>
      </c>
      <c r="C261" t="s">
        <v>745</v>
      </c>
      <c r="D261" s="33" t="s">
        <v>1594</v>
      </c>
      <c r="E261" s="49" t="s">
        <v>1594</v>
      </c>
    </row>
    <row r="262" spans="1:5" x14ac:dyDescent="0.25">
      <c r="A262" t="s">
        <v>714</v>
      </c>
      <c r="B262" t="s">
        <v>703</v>
      </c>
      <c r="C262" t="s">
        <v>746</v>
      </c>
      <c r="D262" s="33" t="s">
        <v>1595</v>
      </c>
      <c r="E262" s="49" t="s">
        <v>1595</v>
      </c>
    </row>
    <row r="263" spans="1:5" x14ac:dyDescent="0.25">
      <c r="A263" t="s">
        <v>714</v>
      </c>
      <c r="B263" t="s">
        <v>1108</v>
      </c>
      <c r="C263" t="s">
        <v>747</v>
      </c>
      <c r="D263" s="33" t="s">
        <v>1511</v>
      </c>
      <c r="E263" s="49" t="s">
        <v>1511</v>
      </c>
    </row>
    <row r="264" spans="1:5" x14ac:dyDescent="0.25">
      <c r="A264" t="s">
        <v>714</v>
      </c>
      <c r="B264" t="s">
        <v>1111</v>
      </c>
      <c r="C264" t="s">
        <v>1109</v>
      </c>
      <c r="D264" s="33" t="s">
        <v>1596</v>
      </c>
      <c r="E264" s="49" t="s">
        <v>1596</v>
      </c>
    </row>
    <row r="265" spans="1:5" x14ac:dyDescent="0.25">
      <c r="A265" t="s">
        <v>714</v>
      </c>
      <c r="B265" t="s">
        <v>891</v>
      </c>
      <c r="C265" t="s">
        <v>1112</v>
      </c>
      <c r="D265" s="33" t="s">
        <v>1113</v>
      </c>
      <c r="E265" s="49" t="s">
        <v>1113</v>
      </c>
    </row>
    <row r="266" spans="1:5" x14ac:dyDescent="0.25">
      <c r="A266" t="s">
        <v>714</v>
      </c>
      <c r="B266" t="s">
        <v>948</v>
      </c>
      <c r="C266" t="s">
        <v>892</v>
      </c>
      <c r="D266" s="33" t="s">
        <v>1597</v>
      </c>
      <c r="E266" s="49" t="s">
        <v>1597</v>
      </c>
    </row>
    <row r="267" spans="1:5" x14ac:dyDescent="0.25">
      <c r="B267" t="s">
        <v>1117</v>
      </c>
      <c r="C267" t="s">
        <v>1115</v>
      </c>
      <c r="D267" s="33" t="s">
        <v>1598</v>
      </c>
      <c r="E267" s="49" t="s">
        <v>1598</v>
      </c>
    </row>
    <row r="268" spans="1:5" x14ac:dyDescent="0.25">
      <c r="A268" t="s">
        <v>714</v>
      </c>
      <c r="B268" t="s">
        <v>207</v>
      </c>
      <c r="C268" t="s">
        <v>1117</v>
      </c>
      <c r="D268" s="33" t="s">
        <v>1599</v>
      </c>
      <c r="E268" s="49" t="s">
        <v>1599</v>
      </c>
    </row>
    <row r="269" spans="1:5" x14ac:dyDescent="0.25">
      <c r="A269" t="s">
        <v>714</v>
      </c>
      <c r="B269" t="s">
        <v>1119</v>
      </c>
      <c r="C269" t="s">
        <v>748</v>
      </c>
      <c r="D269" s="33" t="s">
        <v>749</v>
      </c>
      <c r="E269" s="49" t="s">
        <v>749</v>
      </c>
    </row>
    <row r="270" spans="1:5" x14ac:dyDescent="0.25">
      <c r="A270" t="s">
        <v>714</v>
      </c>
      <c r="B270" t="s">
        <v>705</v>
      </c>
      <c r="C270" t="s">
        <v>1120</v>
      </c>
      <c r="D270" s="33" t="s">
        <v>1600</v>
      </c>
      <c r="E270" s="49" t="s">
        <v>1600</v>
      </c>
    </row>
    <row r="271" spans="1:5" x14ac:dyDescent="0.25">
      <c r="A271" t="s">
        <v>714</v>
      </c>
      <c r="B271" t="s">
        <v>706</v>
      </c>
      <c r="C271" t="s">
        <v>750</v>
      </c>
      <c r="D271" s="33" t="s">
        <v>1601</v>
      </c>
      <c r="E271" s="49" t="s">
        <v>1601</v>
      </c>
    </row>
    <row r="272" spans="1:5" x14ac:dyDescent="0.25">
      <c r="A272" t="s">
        <v>714</v>
      </c>
      <c r="B272" t="s">
        <v>707</v>
      </c>
      <c r="C272" t="s">
        <v>751</v>
      </c>
      <c r="D272" s="33" t="s">
        <v>1602</v>
      </c>
      <c r="E272" s="49" t="s">
        <v>1602</v>
      </c>
    </row>
    <row r="273" spans="1:5" x14ac:dyDescent="0.25">
      <c r="A273" t="s">
        <v>714</v>
      </c>
      <c r="B273" t="s">
        <v>897</v>
      </c>
      <c r="C273" t="s">
        <v>752</v>
      </c>
      <c r="D273" s="33" t="s">
        <v>1603</v>
      </c>
      <c r="E273" s="49" t="s">
        <v>1603</v>
      </c>
    </row>
    <row r="274" spans="1:5" x14ac:dyDescent="0.25">
      <c r="A274" t="s">
        <v>714</v>
      </c>
      <c r="B274" t="s">
        <v>1604</v>
      </c>
      <c r="C274" t="s">
        <v>898</v>
      </c>
      <c r="D274" s="33" t="s">
        <v>899</v>
      </c>
      <c r="E274" s="49" t="s">
        <v>899</v>
      </c>
    </row>
    <row r="275" spans="1:5" x14ac:dyDescent="0.25">
      <c r="A275" t="s">
        <v>714</v>
      </c>
      <c r="B275" t="s">
        <v>900</v>
      </c>
      <c r="C275" t="s">
        <v>1605</v>
      </c>
      <c r="D275" s="33" t="s">
        <v>1606</v>
      </c>
      <c r="E275" s="49" t="s">
        <v>1606</v>
      </c>
    </row>
    <row r="276" spans="1:5" x14ac:dyDescent="0.25">
      <c r="A276" t="s">
        <v>714</v>
      </c>
      <c r="B276" t="s">
        <v>1125</v>
      </c>
      <c r="C276" t="s">
        <v>901</v>
      </c>
      <c r="D276" s="33" t="s">
        <v>902</v>
      </c>
      <c r="E276" s="49" t="s">
        <v>902</v>
      </c>
    </row>
    <row r="277" spans="1:5" x14ac:dyDescent="0.25">
      <c r="A277" t="s">
        <v>714</v>
      </c>
      <c r="B277" t="s">
        <v>1608</v>
      </c>
      <c r="C277" t="s">
        <v>1126</v>
      </c>
      <c r="D277" s="33" t="s">
        <v>1607</v>
      </c>
      <c r="E277" s="49" t="s">
        <v>1607</v>
      </c>
    </row>
    <row r="278" spans="1:5" x14ac:dyDescent="0.25">
      <c r="A278" t="s">
        <v>714</v>
      </c>
      <c r="B278" t="s">
        <v>708</v>
      </c>
      <c r="C278" t="s">
        <v>1609</v>
      </c>
      <c r="D278" s="33" t="s">
        <v>1610</v>
      </c>
      <c r="E278" s="49" t="s">
        <v>1610</v>
      </c>
    </row>
    <row r="279" spans="1:5" x14ac:dyDescent="0.25">
      <c r="A279" t="s">
        <v>714</v>
      </c>
      <c r="B279" t="s">
        <v>1612</v>
      </c>
      <c r="C279" t="s">
        <v>753</v>
      </c>
      <c r="D279" s="33" t="s">
        <v>1611</v>
      </c>
      <c r="E279" s="49" t="s">
        <v>1611</v>
      </c>
    </row>
    <row r="280" spans="1:5" x14ac:dyDescent="0.25">
      <c r="A280" t="s">
        <v>714</v>
      </c>
      <c r="B280" t="s">
        <v>1615</v>
      </c>
      <c r="C280" t="s">
        <v>1613</v>
      </c>
      <c r="D280" s="33" t="s">
        <v>1614</v>
      </c>
      <c r="E280" s="49" t="s">
        <v>1614</v>
      </c>
    </row>
    <row r="281" spans="1:5" x14ac:dyDescent="0.25">
      <c r="A281" t="s">
        <v>714</v>
      </c>
      <c r="B281" t="s">
        <v>1618</v>
      </c>
      <c r="C281" t="s">
        <v>1616</v>
      </c>
      <c r="D281" s="33" t="s">
        <v>1617</v>
      </c>
      <c r="E281" s="49" t="s">
        <v>1617</v>
      </c>
    </row>
    <row r="282" spans="1:5" x14ac:dyDescent="0.25">
      <c r="A282" t="s">
        <v>714</v>
      </c>
      <c r="B282" t="s">
        <v>1621</v>
      </c>
      <c r="C282" t="s">
        <v>1619</v>
      </c>
      <c r="D282" s="33" t="s">
        <v>1620</v>
      </c>
      <c r="E282" s="49" t="s">
        <v>1620</v>
      </c>
    </row>
    <row r="283" spans="1:5" x14ac:dyDescent="0.25">
      <c r="A283" t="s">
        <v>714</v>
      </c>
      <c r="B283" t="s">
        <v>1624</v>
      </c>
      <c r="C283" t="s">
        <v>1622</v>
      </c>
      <c r="D283" s="33" t="s">
        <v>1623</v>
      </c>
      <c r="E283" s="49" t="s">
        <v>1623</v>
      </c>
    </row>
    <row r="284" spans="1:5" x14ac:dyDescent="0.25">
      <c r="A284" t="s">
        <v>714</v>
      </c>
      <c r="B284" t="s">
        <v>1627</v>
      </c>
      <c r="C284" t="s">
        <v>1625</v>
      </c>
      <c r="D284" s="33" t="s">
        <v>1626</v>
      </c>
      <c r="E284" s="49" t="s">
        <v>1626</v>
      </c>
    </row>
    <row r="285" spans="1:5" x14ac:dyDescent="0.25">
      <c r="A285" t="s">
        <v>714</v>
      </c>
      <c r="B285" t="s">
        <v>1630</v>
      </c>
      <c r="C285" t="s">
        <v>1628</v>
      </c>
      <c r="D285" s="33" t="s">
        <v>1629</v>
      </c>
      <c r="E285" s="49" t="s">
        <v>1629</v>
      </c>
    </row>
    <row r="286" spans="1:5" x14ac:dyDescent="0.25">
      <c r="A286" t="s">
        <v>714</v>
      </c>
      <c r="B286" t="s">
        <v>1633</v>
      </c>
      <c r="C286" t="s">
        <v>1631</v>
      </c>
      <c r="D286" s="33" t="s">
        <v>1632</v>
      </c>
      <c r="E286" s="49" t="s">
        <v>1632</v>
      </c>
    </row>
    <row r="287" spans="1:5" x14ac:dyDescent="0.25">
      <c r="A287" t="s">
        <v>714</v>
      </c>
      <c r="B287" t="s">
        <v>1635</v>
      </c>
      <c r="C287" t="s">
        <v>1634</v>
      </c>
      <c r="D287" s="33" t="s">
        <v>679</v>
      </c>
      <c r="E287" s="49" t="s">
        <v>679</v>
      </c>
    </row>
    <row r="288" spans="1:5" x14ac:dyDescent="0.25">
      <c r="A288" t="s">
        <v>714</v>
      </c>
      <c r="B288" t="s">
        <v>1637</v>
      </c>
      <c r="C288" t="s">
        <v>1636</v>
      </c>
      <c r="D288" s="33" t="s">
        <v>1071</v>
      </c>
      <c r="E288" s="49" t="s">
        <v>1071</v>
      </c>
    </row>
    <row r="289" spans="1:5" x14ac:dyDescent="0.25">
      <c r="A289" t="s">
        <v>714</v>
      </c>
      <c r="B289" t="s">
        <v>1640</v>
      </c>
      <c r="C289" t="s">
        <v>1638</v>
      </c>
      <c r="D289" s="33" t="s">
        <v>1639</v>
      </c>
      <c r="E289" s="49" t="s">
        <v>1639</v>
      </c>
    </row>
    <row r="290" spans="1:5" x14ac:dyDescent="0.25">
      <c r="A290" t="s">
        <v>714</v>
      </c>
      <c r="B290" t="s">
        <v>1129</v>
      </c>
      <c r="C290" t="s">
        <v>1641</v>
      </c>
      <c r="D290" s="33" t="s">
        <v>1642</v>
      </c>
      <c r="E290" s="49" t="s">
        <v>1642</v>
      </c>
    </row>
    <row r="291" spans="1:5" x14ac:dyDescent="0.25">
      <c r="A291" t="s">
        <v>714</v>
      </c>
      <c r="B291" t="s">
        <v>1132</v>
      </c>
      <c r="C291" t="s">
        <v>1130</v>
      </c>
      <c r="D291" s="33" t="s">
        <v>1643</v>
      </c>
      <c r="E291" s="49" t="s">
        <v>1643</v>
      </c>
    </row>
    <row r="292" spans="1:5" x14ac:dyDescent="0.25">
      <c r="A292" t="s">
        <v>714</v>
      </c>
      <c r="B292" t="s">
        <v>1135</v>
      </c>
      <c r="C292" t="s">
        <v>1133</v>
      </c>
      <c r="D292" s="33" t="s">
        <v>1179</v>
      </c>
      <c r="E292" s="49" t="s">
        <v>1179</v>
      </c>
    </row>
    <row r="293" spans="1:5" x14ac:dyDescent="0.25">
      <c r="A293" t="s">
        <v>714</v>
      </c>
      <c r="B293" t="s">
        <v>1138</v>
      </c>
      <c r="C293" t="s">
        <v>1136</v>
      </c>
      <c r="D293" s="33" t="s">
        <v>1137</v>
      </c>
      <c r="E293" s="49" t="s">
        <v>1137</v>
      </c>
    </row>
    <row r="294" spans="1:5" x14ac:dyDescent="0.25">
      <c r="A294" t="s">
        <v>714</v>
      </c>
      <c r="B294" t="s">
        <v>1140</v>
      </c>
      <c r="C294" t="s">
        <v>1139</v>
      </c>
      <c r="D294" s="33" t="s">
        <v>1137</v>
      </c>
      <c r="E294" s="49" t="s">
        <v>1137</v>
      </c>
    </row>
    <row r="295" spans="1:5" x14ac:dyDescent="0.25">
      <c r="A295" t="s">
        <v>714</v>
      </c>
      <c r="B295" t="s">
        <v>1142</v>
      </c>
      <c r="C295" t="s">
        <v>1141</v>
      </c>
      <c r="D295" s="33" t="s">
        <v>1137</v>
      </c>
      <c r="E295" s="49" t="s">
        <v>1137</v>
      </c>
    </row>
    <row r="296" spans="1:5" x14ac:dyDescent="0.25">
      <c r="A296" t="s">
        <v>714</v>
      </c>
      <c r="B296" t="s">
        <v>1145</v>
      </c>
      <c r="C296" t="s">
        <v>1143</v>
      </c>
      <c r="D296" s="33" t="s">
        <v>1144</v>
      </c>
      <c r="E296" s="49" t="s">
        <v>1144</v>
      </c>
    </row>
    <row r="297" spans="1:5" x14ac:dyDescent="0.25">
      <c r="A297" t="s">
        <v>714</v>
      </c>
      <c r="B297" t="s">
        <v>1147</v>
      </c>
      <c r="C297" t="s">
        <v>1146</v>
      </c>
      <c r="D297" s="33" t="s">
        <v>749</v>
      </c>
      <c r="E297" s="49" t="s">
        <v>749</v>
      </c>
    </row>
    <row r="298" spans="1:5" x14ac:dyDescent="0.25">
      <c r="A298" t="s">
        <v>714</v>
      </c>
      <c r="B298" t="s">
        <v>1149</v>
      </c>
      <c r="C298" t="s">
        <v>1148</v>
      </c>
      <c r="D298" s="33" t="s">
        <v>716</v>
      </c>
      <c r="E298" s="49" t="s">
        <v>716</v>
      </c>
    </row>
    <row r="299" spans="1:5" x14ac:dyDescent="0.25">
      <c r="A299" t="s">
        <v>714</v>
      </c>
      <c r="B299" t="s">
        <v>1151</v>
      </c>
      <c r="C299" t="s">
        <v>1150</v>
      </c>
      <c r="D299" s="33" t="s">
        <v>721</v>
      </c>
      <c r="E299" s="49" t="s">
        <v>721</v>
      </c>
    </row>
    <row r="300" spans="1:5" x14ac:dyDescent="0.25">
      <c r="A300" t="s">
        <v>714</v>
      </c>
      <c r="B300" t="s">
        <v>1153</v>
      </c>
      <c r="C300" t="s">
        <v>1152</v>
      </c>
      <c r="D300" s="33" t="s">
        <v>731</v>
      </c>
      <c r="E300" s="49" t="s">
        <v>731</v>
      </c>
    </row>
    <row r="301" spans="1:5" x14ac:dyDescent="0.25">
      <c r="A301" t="s">
        <v>714</v>
      </c>
      <c r="B301" t="s">
        <v>1155</v>
      </c>
      <c r="C301" t="s">
        <v>1154</v>
      </c>
      <c r="D301" s="33" t="s">
        <v>876</v>
      </c>
      <c r="E301" s="49" t="s">
        <v>876</v>
      </c>
    </row>
    <row r="302" spans="1:5" x14ac:dyDescent="0.25">
      <c r="A302" t="s">
        <v>714</v>
      </c>
      <c r="B302" t="s">
        <v>1157</v>
      </c>
      <c r="C302" t="s">
        <v>1156</v>
      </c>
      <c r="D302" s="33" t="s">
        <v>1144</v>
      </c>
      <c r="E302" s="49" t="s">
        <v>1144</v>
      </c>
    </row>
    <row r="303" spans="1:5" x14ac:dyDescent="0.25">
      <c r="A303" t="s">
        <v>714</v>
      </c>
      <c r="B303" t="s">
        <v>1160</v>
      </c>
      <c r="C303" t="s">
        <v>1158</v>
      </c>
      <c r="D303" s="33" t="s">
        <v>1159</v>
      </c>
      <c r="E303" s="49" t="s">
        <v>1159</v>
      </c>
    </row>
    <row r="304" spans="1:5" x14ac:dyDescent="0.25">
      <c r="A304" t="s">
        <v>714</v>
      </c>
      <c r="B304" t="s">
        <v>1163</v>
      </c>
      <c r="C304" t="s">
        <v>1161</v>
      </c>
      <c r="D304" s="33" t="s">
        <v>1162</v>
      </c>
      <c r="E304" s="49" t="s">
        <v>1162</v>
      </c>
    </row>
    <row r="305" spans="1:5" x14ac:dyDescent="0.25">
      <c r="A305" t="s">
        <v>714</v>
      </c>
      <c r="B305" t="s">
        <v>1166</v>
      </c>
      <c r="C305" t="s">
        <v>1164</v>
      </c>
      <c r="D305" s="33" t="s">
        <v>1165</v>
      </c>
      <c r="E305" s="49" t="s">
        <v>1165</v>
      </c>
    </row>
    <row r="306" spans="1:5" x14ac:dyDescent="0.25">
      <c r="A306" t="s">
        <v>714</v>
      </c>
      <c r="B306" t="s">
        <v>1168</v>
      </c>
      <c r="C306" t="s">
        <v>1167</v>
      </c>
      <c r="D306" s="33" t="s">
        <v>1165</v>
      </c>
      <c r="E306" s="49" t="s">
        <v>1165</v>
      </c>
    </row>
    <row r="307" spans="1:5" x14ac:dyDescent="0.25">
      <c r="A307" t="s">
        <v>714</v>
      </c>
      <c r="B307" t="s">
        <v>1170</v>
      </c>
      <c r="C307" t="s">
        <v>1169</v>
      </c>
      <c r="D307" s="33" t="s">
        <v>1144</v>
      </c>
      <c r="E307" s="49" t="s">
        <v>1144</v>
      </c>
    </row>
    <row r="308" spans="1:5" x14ac:dyDescent="0.25">
      <c r="A308" t="s">
        <v>714</v>
      </c>
      <c r="B308" t="s">
        <v>1173</v>
      </c>
      <c r="C308" t="s">
        <v>1171</v>
      </c>
      <c r="D308" s="33" t="s">
        <v>1644</v>
      </c>
      <c r="E308" s="49" t="s">
        <v>1644</v>
      </c>
    </row>
    <row r="309" spans="1:5" x14ac:dyDescent="0.25">
      <c r="A309" t="s">
        <v>714</v>
      </c>
      <c r="B309" t="s">
        <v>1175</v>
      </c>
      <c r="C309" t="s">
        <v>1174</v>
      </c>
      <c r="D309" s="33" t="s">
        <v>1137</v>
      </c>
      <c r="E309" s="49" t="s">
        <v>1137</v>
      </c>
    </row>
    <row r="310" spans="1:5" x14ac:dyDescent="0.25">
      <c r="A310" t="s">
        <v>714</v>
      </c>
      <c r="B310" t="s">
        <v>1177</v>
      </c>
      <c r="C310" t="s">
        <v>1176</v>
      </c>
      <c r="D310" s="33" t="s">
        <v>1592</v>
      </c>
      <c r="E310" s="49" t="s">
        <v>1592</v>
      </c>
    </row>
    <row r="311" spans="1:5" x14ac:dyDescent="0.25">
      <c r="A311" t="s">
        <v>714</v>
      </c>
      <c r="B311" t="s">
        <v>1180</v>
      </c>
      <c r="C311" t="s">
        <v>1178</v>
      </c>
      <c r="D311" s="33" t="s">
        <v>1194</v>
      </c>
      <c r="E311" s="49" t="s">
        <v>1194</v>
      </c>
    </row>
    <row r="312" spans="1:5" x14ac:dyDescent="0.25">
      <c r="A312" t="s">
        <v>714</v>
      </c>
      <c r="B312" t="s">
        <v>1182</v>
      </c>
      <c r="C312" t="s">
        <v>1181</v>
      </c>
      <c r="D312" s="33" t="s">
        <v>1137</v>
      </c>
      <c r="E312" s="49" t="s">
        <v>1137</v>
      </c>
    </row>
    <row r="313" spans="1:5" x14ac:dyDescent="0.25">
      <c r="A313" t="s">
        <v>714</v>
      </c>
      <c r="B313" t="s">
        <v>1184</v>
      </c>
      <c r="C313" t="s">
        <v>1183</v>
      </c>
      <c r="D313" s="33" t="s">
        <v>1172</v>
      </c>
      <c r="E313" s="49" t="s">
        <v>1172</v>
      </c>
    </row>
    <row r="314" spans="1:5" x14ac:dyDescent="0.25">
      <c r="A314" t="s">
        <v>714</v>
      </c>
      <c r="B314" t="s">
        <v>1186</v>
      </c>
      <c r="C314" t="s">
        <v>1185</v>
      </c>
      <c r="D314" s="33" t="s">
        <v>1172</v>
      </c>
      <c r="E314" s="49" t="s">
        <v>1172</v>
      </c>
    </row>
    <row r="315" spans="1:5" x14ac:dyDescent="0.25">
      <c r="A315" t="s">
        <v>714</v>
      </c>
      <c r="B315" t="s">
        <v>1188</v>
      </c>
      <c r="C315" t="s">
        <v>1187</v>
      </c>
      <c r="D315" s="33" t="s">
        <v>1172</v>
      </c>
      <c r="E315" s="49" t="s">
        <v>1172</v>
      </c>
    </row>
    <row r="316" spans="1:5" x14ac:dyDescent="0.25">
      <c r="A316" t="s">
        <v>714</v>
      </c>
      <c r="B316" t="s">
        <v>1190</v>
      </c>
      <c r="C316" t="s">
        <v>1189</v>
      </c>
      <c r="D316" s="33" t="s">
        <v>1172</v>
      </c>
      <c r="E316" s="49" t="s">
        <v>1172</v>
      </c>
    </row>
    <row r="317" spans="1:5" x14ac:dyDescent="0.25">
      <c r="A317" t="s">
        <v>714</v>
      </c>
      <c r="B317" t="s">
        <v>1192</v>
      </c>
      <c r="C317" t="s">
        <v>1191</v>
      </c>
      <c r="D317" s="33" t="s">
        <v>1172</v>
      </c>
      <c r="E317" s="49" t="s">
        <v>1172</v>
      </c>
    </row>
    <row r="318" spans="1:5" x14ac:dyDescent="0.25">
      <c r="A318" t="s">
        <v>714</v>
      </c>
      <c r="B318" t="s">
        <v>1195</v>
      </c>
      <c r="C318" t="s">
        <v>1193</v>
      </c>
      <c r="D318" s="33" t="s">
        <v>1645</v>
      </c>
      <c r="E318" s="49" t="s">
        <v>1645</v>
      </c>
    </row>
    <row r="319" spans="1:5" x14ac:dyDescent="0.25">
      <c r="A319" t="s">
        <v>714</v>
      </c>
      <c r="B319" t="s">
        <v>1198</v>
      </c>
      <c r="C319" t="s">
        <v>1196</v>
      </c>
      <c r="D319" s="33" t="s">
        <v>1194</v>
      </c>
      <c r="E319" s="49" t="s">
        <v>1194</v>
      </c>
    </row>
    <row r="320" spans="1:5" x14ac:dyDescent="0.25">
      <c r="A320" t="s">
        <v>714</v>
      </c>
      <c r="B320" t="s">
        <v>1200</v>
      </c>
      <c r="C320" t="s">
        <v>1199</v>
      </c>
      <c r="D320" s="33" t="s">
        <v>1197</v>
      </c>
      <c r="E320" s="49" t="s">
        <v>1197</v>
      </c>
    </row>
    <row r="321" spans="1:5" x14ac:dyDescent="0.25">
      <c r="A321" t="s">
        <v>714</v>
      </c>
      <c r="B321" t="s">
        <v>1203</v>
      </c>
      <c r="C321" t="s">
        <v>1201</v>
      </c>
      <c r="D321" s="33" t="s">
        <v>1545</v>
      </c>
      <c r="E321" s="49" t="s">
        <v>1545</v>
      </c>
    </row>
    <row r="322" spans="1:5" x14ac:dyDescent="0.25">
      <c r="A322" t="s">
        <v>714</v>
      </c>
      <c r="B322" t="s">
        <v>1205</v>
      </c>
      <c r="C322" t="s">
        <v>1204</v>
      </c>
      <c r="D322" s="33" t="s">
        <v>1197</v>
      </c>
      <c r="E322" s="49" t="s">
        <v>1197</v>
      </c>
    </row>
    <row r="323" spans="1:5" x14ac:dyDescent="0.25">
      <c r="A323" t="s">
        <v>714</v>
      </c>
      <c r="B323" t="s">
        <v>1207</v>
      </c>
      <c r="C323" t="s">
        <v>1206</v>
      </c>
      <c r="D323" s="33" t="s">
        <v>1165</v>
      </c>
      <c r="E323" s="49" t="s">
        <v>1165</v>
      </c>
    </row>
    <row r="324" spans="1:5" x14ac:dyDescent="0.25">
      <c r="A324" t="s">
        <v>714</v>
      </c>
      <c r="B324" t="s">
        <v>1209</v>
      </c>
      <c r="C324" t="s">
        <v>1208</v>
      </c>
      <c r="D324" s="33" t="s">
        <v>1197</v>
      </c>
      <c r="E324" s="49" t="s">
        <v>1197</v>
      </c>
    </row>
    <row r="325" spans="1:5" x14ac:dyDescent="0.25">
      <c r="A325" t="s">
        <v>714</v>
      </c>
      <c r="B325" t="s">
        <v>1211</v>
      </c>
      <c r="C325" t="s">
        <v>1210</v>
      </c>
      <c r="D325" s="33" t="s">
        <v>1137</v>
      </c>
      <c r="E325" s="49" t="s">
        <v>1137</v>
      </c>
    </row>
    <row r="326" spans="1:5" x14ac:dyDescent="0.25">
      <c r="A326" t="s">
        <v>714</v>
      </c>
      <c r="B326" t="s">
        <v>1213</v>
      </c>
      <c r="C326" t="s">
        <v>1212</v>
      </c>
      <c r="D326" s="33" t="s">
        <v>1165</v>
      </c>
      <c r="E326" s="49" t="s">
        <v>1165</v>
      </c>
    </row>
    <row r="327" spans="1:5" x14ac:dyDescent="0.25">
      <c r="A327" t="s">
        <v>714</v>
      </c>
      <c r="B327" t="s">
        <v>1216</v>
      </c>
      <c r="C327" t="s">
        <v>1214</v>
      </c>
      <c r="D327" s="33" t="s">
        <v>1215</v>
      </c>
      <c r="E327" s="49" t="s">
        <v>1215</v>
      </c>
    </row>
    <row r="328" spans="1:5" x14ac:dyDescent="0.25">
      <c r="A328" t="s">
        <v>714</v>
      </c>
      <c r="B328" t="s">
        <v>1218</v>
      </c>
      <c r="C328" t="s">
        <v>1217</v>
      </c>
      <c r="D328" s="33" t="s">
        <v>1144</v>
      </c>
      <c r="E328" s="49" t="s">
        <v>1144</v>
      </c>
    </row>
    <row r="329" spans="1:5" x14ac:dyDescent="0.25">
      <c r="A329" t="s">
        <v>714</v>
      </c>
      <c r="B329" t="s">
        <v>1221</v>
      </c>
      <c r="C329" t="s">
        <v>1219</v>
      </c>
      <c r="D329" s="33" t="s">
        <v>1220</v>
      </c>
      <c r="E329" s="49" t="s">
        <v>1220</v>
      </c>
    </row>
    <row r="330" spans="1:5" x14ac:dyDescent="0.25">
      <c r="A330" t="s">
        <v>714</v>
      </c>
      <c r="B330" t="s">
        <v>1223</v>
      </c>
      <c r="C330" t="s">
        <v>1222</v>
      </c>
      <c r="D330" s="33" t="s">
        <v>1165</v>
      </c>
      <c r="E330" s="49" t="s">
        <v>1165</v>
      </c>
    </row>
    <row r="331" spans="1:5" x14ac:dyDescent="0.25">
      <c r="A331" t="s">
        <v>714</v>
      </c>
      <c r="B331" t="s">
        <v>1225</v>
      </c>
      <c r="C331" t="s">
        <v>1224</v>
      </c>
      <c r="D331" s="33" t="s">
        <v>1197</v>
      </c>
      <c r="E331" s="49" t="s">
        <v>1197</v>
      </c>
    </row>
    <row r="332" spans="1:5" x14ac:dyDescent="0.25">
      <c r="B332" t="s">
        <v>904</v>
      </c>
      <c r="C332" t="s">
        <v>1226</v>
      </c>
      <c r="D332" s="33" t="s">
        <v>1172</v>
      </c>
      <c r="E332" s="49" t="s">
        <v>1172</v>
      </c>
    </row>
    <row r="333" spans="1:5" x14ac:dyDescent="0.25">
      <c r="A333" t="s">
        <v>714</v>
      </c>
      <c r="B333" t="s">
        <v>1646</v>
      </c>
      <c r="C333" t="s">
        <v>904</v>
      </c>
      <c r="D333" s="33" t="s">
        <v>905</v>
      </c>
      <c r="E333" s="49" t="s">
        <v>905</v>
      </c>
    </row>
    <row r="334" spans="1:5" x14ac:dyDescent="0.25">
      <c r="A334" t="s">
        <v>714</v>
      </c>
      <c r="B334" t="s">
        <v>1649</v>
      </c>
      <c r="C334" t="s">
        <v>1647</v>
      </c>
      <c r="D334" s="33" t="s">
        <v>1648</v>
      </c>
      <c r="E334" s="49" t="s">
        <v>1648</v>
      </c>
    </row>
    <row r="335" spans="1:5" x14ac:dyDescent="0.25">
      <c r="A335" t="s">
        <v>714</v>
      </c>
      <c r="B335" t="s">
        <v>1652</v>
      </c>
      <c r="C335" t="s">
        <v>1650</v>
      </c>
      <c r="D335" s="33" t="s">
        <v>1651</v>
      </c>
      <c r="E335" s="49" t="s">
        <v>1651</v>
      </c>
    </row>
    <row r="336" spans="1:5" x14ac:dyDescent="0.25">
      <c r="A336" t="s">
        <v>714</v>
      </c>
      <c r="B336" t="s">
        <v>1655</v>
      </c>
      <c r="C336" t="s">
        <v>1653</v>
      </c>
      <c r="D336" s="33" t="s">
        <v>1654</v>
      </c>
      <c r="E336" s="49" t="s">
        <v>1654</v>
      </c>
    </row>
    <row r="337" spans="1:5" x14ac:dyDescent="0.25">
      <c r="A337" t="s">
        <v>714</v>
      </c>
      <c r="B337" t="s">
        <v>1658</v>
      </c>
      <c r="C337" t="s">
        <v>1656</v>
      </c>
      <c r="D337" s="33" t="s">
        <v>1657</v>
      </c>
      <c r="E337" s="49" t="s">
        <v>1657</v>
      </c>
    </row>
    <row r="338" spans="1:5" x14ac:dyDescent="0.25">
      <c r="A338" t="s">
        <v>714</v>
      </c>
      <c r="B338" t="s">
        <v>1661</v>
      </c>
      <c r="C338" t="s">
        <v>1659</v>
      </c>
      <c r="D338" s="33" t="s">
        <v>1660</v>
      </c>
      <c r="E338" s="49" t="s">
        <v>1660</v>
      </c>
    </row>
    <row r="339" spans="1:5" x14ac:dyDescent="0.25">
      <c r="A339" t="s">
        <v>714</v>
      </c>
      <c r="B339" t="s">
        <v>1664</v>
      </c>
      <c r="C339" t="s">
        <v>1662</v>
      </c>
      <c r="D339" s="33" t="s">
        <v>1663</v>
      </c>
      <c r="E339" s="49" t="s">
        <v>1663</v>
      </c>
    </row>
    <row r="340" spans="1:5" x14ac:dyDescent="0.25">
      <c r="A340" t="s">
        <v>714</v>
      </c>
      <c r="B340" t="s">
        <v>1667</v>
      </c>
      <c r="C340" t="s">
        <v>1665</v>
      </c>
      <c r="D340" s="33" t="s">
        <v>1666</v>
      </c>
      <c r="E340" s="49" t="s">
        <v>1666</v>
      </c>
    </row>
    <row r="341" spans="1:5" x14ac:dyDescent="0.25">
      <c r="A341" t="s">
        <v>714</v>
      </c>
      <c r="B341" t="s">
        <v>1670</v>
      </c>
      <c r="C341" t="s">
        <v>1668</v>
      </c>
      <c r="D341" s="33" t="s">
        <v>1669</v>
      </c>
      <c r="E341" s="49" t="s">
        <v>1669</v>
      </c>
    </row>
    <row r="342" spans="1:5" x14ac:dyDescent="0.25">
      <c r="A342" t="s">
        <v>714</v>
      </c>
      <c r="B342" t="s">
        <v>1673</v>
      </c>
      <c r="C342" t="s">
        <v>1671</v>
      </c>
      <c r="D342" s="33" t="s">
        <v>1672</v>
      </c>
      <c r="E342" s="49" t="s">
        <v>1672</v>
      </c>
    </row>
    <row r="343" spans="1:5" x14ac:dyDescent="0.25">
      <c r="A343" t="s">
        <v>714</v>
      </c>
      <c r="B343" t="s">
        <v>1676</v>
      </c>
      <c r="C343" t="s">
        <v>1674</v>
      </c>
      <c r="D343" s="33" t="s">
        <v>1675</v>
      </c>
      <c r="E343" s="49" t="s">
        <v>1675</v>
      </c>
    </row>
    <row r="344" spans="1:5" x14ac:dyDescent="0.25">
      <c r="A344" t="s">
        <v>714</v>
      </c>
      <c r="B344" t="s">
        <v>1679</v>
      </c>
      <c r="C344" t="s">
        <v>1677</v>
      </c>
      <c r="D344" s="33" t="s">
        <v>1678</v>
      </c>
      <c r="E344" s="49" t="s">
        <v>1678</v>
      </c>
    </row>
    <row r="345" spans="1:5" x14ac:dyDescent="0.25">
      <c r="A345" t="s">
        <v>714</v>
      </c>
      <c r="B345" t="s">
        <v>1682</v>
      </c>
      <c r="C345" t="s">
        <v>1680</v>
      </c>
      <c r="D345" s="33" t="s">
        <v>1681</v>
      </c>
      <c r="E345" s="49" t="s">
        <v>1681</v>
      </c>
    </row>
    <row r="346" spans="1:5" x14ac:dyDescent="0.25">
      <c r="A346" t="s">
        <v>714</v>
      </c>
      <c r="B346" t="s">
        <v>1685</v>
      </c>
      <c r="C346" t="s">
        <v>1683</v>
      </c>
      <c r="D346" s="33" t="s">
        <v>1684</v>
      </c>
      <c r="E346" s="49" t="s">
        <v>1684</v>
      </c>
    </row>
    <row r="347" spans="1:5" x14ac:dyDescent="0.25">
      <c r="A347" t="s">
        <v>714</v>
      </c>
      <c r="B347" t="s">
        <v>1688</v>
      </c>
      <c r="C347" t="s">
        <v>1686</v>
      </c>
      <c r="D347" s="33" t="s">
        <v>1687</v>
      </c>
      <c r="E347" s="49" t="s">
        <v>1687</v>
      </c>
    </row>
    <row r="348" spans="1:5" x14ac:dyDescent="0.25">
      <c r="A348" t="s">
        <v>714</v>
      </c>
      <c r="B348" t="s">
        <v>1691</v>
      </c>
      <c r="C348" t="s">
        <v>1689</v>
      </c>
      <c r="D348" s="33" t="s">
        <v>1690</v>
      </c>
      <c r="E348" s="49" t="s">
        <v>1690</v>
      </c>
    </row>
    <row r="349" spans="1:5" x14ac:dyDescent="0.25">
      <c r="A349" t="s">
        <v>714</v>
      </c>
      <c r="B349" t="s">
        <v>1694</v>
      </c>
      <c r="C349" t="s">
        <v>1692</v>
      </c>
      <c r="D349" s="33" t="s">
        <v>1693</v>
      </c>
      <c r="E349" s="49" t="s">
        <v>1693</v>
      </c>
    </row>
    <row r="350" spans="1:5" x14ac:dyDescent="0.25">
      <c r="A350" t="s">
        <v>714</v>
      </c>
      <c r="B350" t="s">
        <v>709</v>
      </c>
      <c r="C350" t="s">
        <v>1695</v>
      </c>
      <c r="D350" s="33" t="s">
        <v>1696</v>
      </c>
      <c r="E350" s="49" t="s">
        <v>1696</v>
      </c>
    </row>
    <row r="351" spans="1:5" x14ac:dyDescent="0.25">
      <c r="A351" t="s">
        <v>714</v>
      </c>
      <c r="B351" t="s">
        <v>710</v>
      </c>
      <c r="C351" t="s">
        <v>754</v>
      </c>
      <c r="D351" s="33" t="s">
        <v>1697</v>
      </c>
      <c r="E351" s="49" t="s">
        <v>1697</v>
      </c>
    </row>
    <row r="352" spans="1:5" x14ac:dyDescent="0.25">
      <c r="A352" t="s">
        <v>714</v>
      </c>
      <c r="B352" t="s">
        <v>711</v>
      </c>
      <c r="C352" t="s">
        <v>755</v>
      </c>
      <c r="D352" s="33" t="s">
        <v>1698</v>
      </c>
      <c r="E352" s="49" t="s">
        <v>1698</v>
      </c>
    </row>
    <row r="353" spans="1:5" x14ac:dyDescent="0.25">
      <c r="A353" t="s">
        <v>714</v>
      </c>
      <c r="B353" t="s">
        <v>712</v>
      </c>
      <c r="C353" t="s">
        <v>756</v>
      </c>
      <c r="D353" s="33" t="s">
        <v>1699</v>
      </c>
      <c r="E353" s="49" t="s">
        <v>1699</v>
      </c>
    </row>
    <row r="354" spans="1:5" x14ac:dyDescent="0.25">
      <c r="A354" t="s">
        <v>714</v>
      </c>
      <c r="B354" t="s">
        <v>713</v>
      </c>
      <c r="C354" t="s">
        <v>757</v>
      </c>
      <c r="D354" s="33" t="s">
        <v>1700</v>
      </c>
      <c r="E354" s="49" t="s">
        <v>1700</v>
      </c>
    </row>
    <row r="355" spans="1:5" x14ac:dyDescent="0.25">
      <c r="A355" t="s">
        <v>714</v>
      </c>
      <c r="B355" t="s">
        <v>1232</v>
      </c>
      <c r="C355" t="s">
        <v>758</v>
      </c>
      <c r="D355" s="33" t="s">
        <v>1701</v>
      </c>
      <c r="E355" s="49" t="s">
        <v>1701</v>
      </c>
    </row>
    <row r="356" spans="1:5" x14ac:dyDescent="0.25">
      <c r="A356" t="s">
        <v>714</v>
      </c>
      <c r="B356" t="s">
        <v>906</v>
      </c>
      <c r="C356" t="s">
        <v>1233</v>
      </c>
      <c r="D356" s="33" t="s">
        <v>1234</v>
      </c>
      <c r="E356" s="49" t="s">
        <v>1234</v>
      </c>
    </row>
    <row r="357" spans="1:5" x14ac:dyDescent="0.25">
      <c r="C357" t="s">
        <v>907</v>
      </c>
      <c r="D357" s="33" t="s">
        <v>1702</v>
      </c>
      <c r="E357" s="49" t="s">
        <v>1702</v>
      </c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P488"/>
  <sheetViews>
    <sheetView workbookViewId="0">
      <selection activeCell="BM4" sqref="BM4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62" width="10.7109375" bestFit="1" customWidth="1"/>
    <col min="63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>
        <v>43910</v>
      </c>
      <c r="BL1" s="27">
        <v>43911</v>
      </c>
      <c r="BM1" s="27">
        <v>43912</v>
      </c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  <c r="BL2">
        <v>411</v>
      </c>
      <c r="BM2" s="1" t="s">
        <v>1727</v>
      </c>
    </row>
    <row r="3" spans="1:120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  <c r="BL3">
        <v>1007</v>
      </c>
      <c r="BM3" s="1" t="s">
        <v>1728</v>
      </c>
    </row>
    <row r="4" spans="1:120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  <c r="BL4">
        <v>432</v>
      </c>
      <c r="BM4" s="1" t="s">
        <v>1729</v>
      </c>
    </row>
    <row r="5" spans="1:120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 t="s">
        <v>443</v>
      </c>
    </row>
    <row r="6" spans="1:120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  <c r="BL6">
        <v>1183</v>
      </c>
      <c r="BM6" t="s">
        <v>1730</v>
      </c>
    </row>
    <row r="7" spans="1:120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  <c r="BL7">
        <v>424</v>
      </c>
      <c r="BM7" s="1" t="s">
        <v>1416</v>
      </c>
      <c r="BN7" s="1"/>
      <c r="BO7" s="1"/>
    </row>
    <row r="8" spans="1:120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  <c r="BL8" s="1">
        <v>436</v>
      </c>
      <c r="BM8" t="s">
        <v>1731</v>
      </c>
    </row>
    <row r="9" spans="1:120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  <c r="BL9" s="1">
        <v>229</v>
      </c>
      <c r="BM9" s="26" t="s">
        <v>1732</v>
      </c>
    </row>
    <row r="10" spans="1:120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  <c r="BL10" s="1">
        <v>221</v>
      </c>
      <c r="BM10" t="s">
        <v>1417</v>
      </c>
    </row>
    <row r="11" spans="1:120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  <c r="BL11" s="1">
        <v>53</v>
      </c>
      <c r="BM11" t="s">
        <v>1430</v>
      </c>
    </row>
    <row r="12" spans="1:120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  <c r="BL12" s="1">
        <v>77</v>
      </c>
      <c r="BM12" t="s">
        <v>1733</v>
      </c>
    </row>
    <row r="13" spans="1:120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  <c r="BL13" s="1">
        <v>22213</v>
      </c>
      <c r="BM13" t="s">
        <v>1734</v>
      </c>
    </row>
    <row r="14" spans="1:120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  <c r="BL14" s="1">
        <v>523</v>
      </c>
      <c r="BM14" t="s">
        <v>1735</v>
      </c>
    </row>
    <row r="15" spans="1:120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  <c r="BL15" s="1">
        <v>153</v>
      </c>
      <c r="BM15" t="s">
        <v>1418</v>
      </c>
    </row>
    <row r="16" spans="1:120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  <c r="BL16" s="1">
        <v>307</v>
      </c>
      <c r="BM16" t="s">
        <v>1440</v>
      </c>
    </row>
    <row r="17" spans="1:65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  <c r="BL17" s="1">
        <v>330</v>
      </c>
      <c r="BM17" t="s">
        <v>1431</v>
      </c>
    </row>
    <row r="18" spans="1:65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  <c r="BL18" s="1">
        <v>53578</v>
      </c>
      <c r="BM18" t="s">
        <v>1736</v>
      </c>
    </row>
    <row r="19" spans="1:65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  <c r="BL19" s="1">
        <v>1763</v>
      </c>
      <c r="BM19" t="s">
        <v>1737</v>
      </c>
    </row>
    <row r="20" spans="1:65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  <c r="BL20" s="1">
        <v>25374</v>
      </c>
      <c r="BM20" t="s">
        <v>1738</v>
      </c>
    </row>
    <row r="21" spans="1:65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  <c r="BL21" s="1">
        <v>67</v>
      </c>
      <c r="BM21" t="s">
        <v>1739</v>
      </c>
    </row>
    <row r="22" spans="1:65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  <c r="BL22" s="1">
        <v>2815</v>
      </c>
      <c r="BM22" t="s">
        <v>1740</v>
      </c>
    </row>
    <row r="23" spans="1:65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  <c r="BL23" s="1">
        <v>294</v>
      </c>
      <c r="BM23" t="s">
        <v>1741</v>
      </c>
    </row>
    <row r="24" spans="1:65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 s="1">
        <v>0</v>
      </c>
      <c r="BM24" t="s">
        <v>444</v>
      </c>
    </row>
    <row r="25" spans="1:65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  <c r="BL25" s="1">
        <v>187</v>
      </c>
      <c r="BM25" t="s">
        <v>1435</v>
      </c>
    </row>
    <row r="26" spans="1:65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  <c r="BL26" s="1">
        <v>214</v>
      </c>
      <c r="BM26" t="s">
        <v>1742</v>
      </c>
    </row>
    <row r="27" spans="1:65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  <c r="BL27" s="1">
        <v>52</v>
      </c>
      <c r="BM27" t="s">
        <v>1433</v>
      </c>
    </row>
    <row r="28" spans="1:65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  <c r="BL28" s="1">
        <v>24</v>
      </c>
      <c r="BM28" t="s">
        <v>1743</v>
      </c>
    </row>
    <row r="29" spans="1:65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  <c r="BL29" s="1">
        <v>305</v>
      </c>
      <c r="BM29" t="s">
        <v>1744</v>
      </c>
    </row>
    <row r="30" spans="1:65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  <c r="BL30" s="1">
        <v>176</v>
      </c>
      <c r="BM30" t="s">
        <v>1745</v>
      </c>
    </row>
    <row r="31" spans="1:65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  <c r="BL31" s="1">
        <v>139</v>
      </c>
      <c r="BM31" t="s">
        <v>1746</v>
      </c>
    </row>
    <row r="32" spans="1:65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  <c r="BL32" s="1">
        <v>206</v>
      </c>
      <c r="BM32" t="s">
        <v>1332</v>
      </c>
    </row>
    <row r="33" spans="1:65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  <c r="BL33" s="1">
        <v>6575</v>
      </c>
      <c r="BM33" t="s">
        <v>1747</v>
      </c>
    </row>
    <row r="34" spans="1:65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  <c r="BL34" s="1">
        <v>2814</v>
      </c>
      <c r="BM34" t="s">
        <v>1748</v>
      </c>
    </row>
    <row r="35" spans="1:65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  <c r="BL35" s="1">
        <v>883</v>
      </c>
      <c r="BM35" t="s">
        <v>1749</v>
      </c>
    </row>
    <row r="36" spans="1:65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  <c r="BL36" s="1">
        <v>730</v>
      </c>
      <c r="BM36" t="s">
        <v>1750</v>
      </c>
    </row>
    <row r="37" spans="1:65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  <c r="BL37" s="1">
        <v>1021</v>
      </c>
      <c r="BM37" t="s">
        <v>1751</v>
      </c>
    </row>
    <row r="38" spans="1:65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  <c r="BL38" s="1">
        <v>49</v>
      </c>
      <c r="BM38" t="s">
        <v>1752</v>
      </c>
    </row>
    <row r="39" spans="1:65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  <c r="BL39" s="1">
        <v>530</v>
      </c>
      <c r="BM39" t="s">
        <v>1753</v>
      </c>
    </row>
    <row r="40" spans="1:65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  <c r="BL40" s="1">
        <v>85</v>
      </c>
      <c r="BM40" t="s">
        <v>1329</v>
      </c>
    </row>
    <row r="41" spans="1:65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  <c r="BL41" s="1">
        <v>2118</v>
      </c>
      <c r="BM41" t="s">
        <v>1754</v>
      </c>
    </row>
    <row r="42" spans="1:65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  <c r="BL42" s="1">
        <v>367</v>
      </c>
      <c r="BM42" t="s">
        <v>1755</v>
      </c>
    </row>
    <row r="43" spans="1:65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  <c r="BL43" s="1">
        <v>306</v>
      </c>
      <c r="BM43" t="s">
        <v>1756</v>
      </c>
    </row>
    <row r="44" spans="1:65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  <c r="BL44" s="1">
        <v>144</v>
      </c>
      <c r="BM44" t="s">
        <v>1423</v>
      </c>
    </row>
    <row r="45" spans="1:65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  <c r="BL45" s="1">
        <v>76</v>
      </c>
      <c r="BM45" t="s">
        <v>463</v>
      </c>
    </row>
    <row r="46" spans="1:65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  <c r="BL46" s="1">
        <v>473</v>
      </c>
      <c r="BM46" t="s">
        <v>1757</v>
      </c>
    </row>
    <row r="47" spans="1:65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  <c r="BL47" s="1">
        <v>83</v>
      </c>
      <c r="BM47" t="s">
        <v>1441</v>
      </c>
    </row>
    <row r="48" spans="1:65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  <c r="BL48" s="1">
        <v>203</v>
      </c>
      <c r="BM48" t="s">
        <v>1758</v>
      </c>
    </row>
    <row r="49" spans="1:65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  <c r="BL49" s="1">
        <v>52</v>
      </c>
      <c r="BM49" t="s">
        <v>1335</v>
      </c>
    </row>
    <row r="50" spans="1:65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  <c r="BL50" s="1">
        <v>22</v>
      </c>
      <c r="BM50" t="s">
        <v>1759</v>
      </c>
    </row>
    <row r="51" spans="1:65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  <c r="BL51" s="1">
        <v>90</v>
      </c>
      <c r="BM51" t="s">
        <v>1760</v>
      </c>
    </row>
    <row r="52" spans="1:65" x14ac:dyDescent="0.25">
      <c r="A52" s="26"/>
      <c r="B52" s="26" t="s">
        <v>1237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  <c r="BL52" s="1">
        <v>785</v>
      </c>
      <c r="BM52" t="s">
        <v>1761</v>
      </c>
    </row>
    <row r="53" spans="1:65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  <c r="BL53" s="1">
        <v>670</v>
      </c>
      <c r="BM53" t="s">
        <v>1762</v>
      </c>
    </row>
    <row r="54" spans="1:65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  <c r="BL54" s="1">
        <v>11</v>
      </c>
      <c r="BM54" t="s">
        <v>800</v>
      </c>
    </row>
    <row r="55" spans="1:65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  <c r="BL55" s="1">
        <v>481</v>
      </c>
      <c r="BM55" t="s">
        <v>1763</v>
      </c>
    </row>
    <row r="56" spans="1:65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  <c r="BL56" s="1">
        <v>506</v>
      </c>
      <c r="BM56" t="s">
        <v>1764</v>
      </c>
    </row>
    <row r="57" spans="1:65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  <c r="BL57">
        <v>53</v>
      </c>
      <c r="BM57" t="s">
        <v>1765</v>
      </c>
    </row>
    <row r="58" spans="1:65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  <c r="BL58">
        <v>160</v>
      </c>
      <c r="BM58" t="s">
        <v>1331</v>
      </c>
    </row>
    <row r="59" spans="1:65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  <c r="BL59">
        <v>112</v>
      </c>
      <c r="BM59" t="s">
        <v>1766</v>
      </c>
    </row>
    <row r="60" spans="1:65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  <c r="BL60">
        <v>450</v>
      </c>
      <c r="BM60" t="s">
        <v>1767</v>
      </c>
    </row>
    <row r="61" spans="1:65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  <c r="BL61">
        <v>1280</v>
      </c>
      <c r="BM61" t="s">
        <v>1768</v>
      </c>
    </row>
    <row r="62" spans="1:65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  <c r="BL62">
        <v>88</v>
      </c>
      <c r="BM62" t="s">
        <v>1769</v>
      </c>
    </row>
    <row r="63" spans="1:65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  <c r="BL63">
        <v>16</v>
      </c>
      <c r="BM63" t="s">
        <v>1422</v>
      </c>
    </row>
    <row r="64" spans="1:65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  <c r="BL64">
        <v>124</v>
      </c>
      <c r="BM64" t="s">
        <v>1328</v>
      </c>
    </row>
    <row r="65" spans="1:66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  <c r="BL65">
        <v>96</v>
      </c>
      <c r="BM65" t="s">
        <v>1770</v>
      </c>
    </row>
    <row r="66" spans="1:66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  <c r="BL66">
        <v>392</v>
      </c>
      <c r="BM66" t="s">
        <v>1771</v>
      </c>
    </row>
    <row r="67" spans="1:66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  <c r="BL67">
        <v>47</v>
      </c>
      <c r="BM67" t="s">
        <v>1322</v>
      </c>
    </row>
    <row r="68" spans="1:66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  <c r="BL68">
        <v>158</v>
      </c>
      <c r="BM68" t="s">
        <v>1772</v>
      </c>
    </row>
    <row r="69" spans="1:66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  <c r="BL69">
        <v>537</v>
      </c>
      <c r="BM69" t="s">
        <v>1773</v>
      </c>
    </row>
    <row r="70" spans="1:66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  <c r="BL70">
        <v>85</v>
      </c>
      <c r="BM70" t="s">
        <v>1424</v>
      </c>
    </row>
    <row r="71" spans="1:66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  <c r="BL71">
        <v>47</v>
      </c>
      <c r="BM71" t="s">
        <v>1319</v>
      </c>
    </row>
    <row r="72" spans="1:66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  <c r="BL72">
        <v>103</v>
      </c>
      <c r="BM72" t="s">
        <v>1441</v>
      </c>
    </row>
    <row r="73" spans="1:66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  <c r="BL73">
        <v>3</v>
      </c>
      <c r="BM73" t="s">
        <v>442</v>
      </c>
    </row>
    <row r="74" spans="1:66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  <c r="BL74">
        <v>37</v>
      </c>
      <c r="BM74" t="s">
        <v>842</v>
      </c>
    </row>
    <row r="75" spans="1:66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  <c r="BL75">
        <v>536</v>
      </c>
      <c r="BM75" t="s">
        <v>1774</v>
      </c>
      <c r="BN75" s="1"/>
    </row>
    <row r="76" spans="1:66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  <c r="BL76">
        <v>60</v>
      </c>
      <c r="BM76" t="s">
        <v>464</v>
      </c>
      <c r="BN76" s="1"/>
    </row>
    <row r="77" spans="1:66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  <c r="BL77">
        <v>93</v>
      </c>
      <c r="BM77" t="s">
        <v>1330</v>
      </c>
      <c r="BN77" s="1"/>
    </row>
    <row r="78" spans="1:66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  <c r="BL78">
        <v>383</v>
      </c>
      <c r="BM78" t="s">
        <v>1775</v>
      </c>
      <c r="BN78" s="1"/>
    </row>
    <row r="79" spans="1:66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  <c r="BL79">
        <v>240</v>
      </c>
      <c r="BM79" t="s">
        <v>1776</v>
      </c>
      <c r="BN79" s="1"/>
    </row>
    <row r="80" spans="1:66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  <c r="BL80">
        <v>2</v>
      </c>
      <c r="BM80" t="s">
        <v>443</v>
      </c>
      <c r="BN80" s="1"/>
    </row>
    <row r="81" spans="1:66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  <c r="BL81">
        <v>27</v>
      </c>
      <c r="BM81" t="s">
        <v>1743</v>
      </c>
      <c r="BN81" s="1"/>
    </row>
    <row r="82" spans="1:66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  <c r="BL82">
        <v>196</v>
      </c>
      <c r="BM82" t="s">
        <v>1777</v>
      </c>
      <c r="BN82" s="1"/>
    </row>
    <row r="83" spans="1:66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  <c r="BL83">
        <v>117</v>
      </c>
      <c r="BM83" t="s">
        <v>1333</v>
      </c>
      <c r="BN83" s="1"/>
    </row>
    <row r="84" spans="1:66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  <c r="BL84">
        <v>318</v>
      </c>
      <c r="BM84" t="s">
        <v>1778</v>
      </c>
      <c r="BN84" s="1"/>
    </row>
    <row r="85" spans="1:66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  <c r="BL85">
        <v>171</v>
      </c>
      <c r="BM85" t="s">
        <v>1779</v>
      </c>
      <c r="BN85" s="1"/>
    </row>
    <row r="86" spans="1:66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  <c r="BL86">
        <v>178</v>
      </c>
      <c r="BM86" t="s">
        <v>1780</v>
      </c>
      <c r="BN86" s="1"/>
    </row>
    <row r="87" spans="1:66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  <c r="BL87">
        <v>16</v>
      </c>
      <c r="BM87" t="s">
        <v>1337</v>
      </c>
      <c r="BN87" s="1"/>
    </row>
    <row r="88" spans="1:66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  <c r="BL88">
        <v>73</v>
      </c>
      <c r="BM88" t="s">
        <v>1320</v>
      </c>
      <c r="BN88" s="1"/>
    </row>
    <row r="89" spans="1:66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  <c r="BL89">
        <v>32</v>
      </c>
      <c r="BM89" t="s">
        <v>842</v>
      </c>
      <c r="BN89" s="1"/>
    </row>
    <row r="90" spans="1:66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  <c r="BL90">
        <v>163</v>
      </c>
      <c r="BM90" t="s">
        <v>1420</v>
      </c>
      <c r="BN90" s="1"/>
    </row>
    <row r="91" spans="1:66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  <c r="BL91">
        <v>13</v>
      </c>
      <c r="BM91" t="s">
        <v>801</v>
      </c>
      <c r="BN91" s="1"/>
    </row>
    <row r="92" spans="1:66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  <c r="BL92">
        <v>25</v>
      </c>
      <c r="BM92" t="s">
        <v>1427</v>
      </c>
      <c r="BN92" s="1"/>
    </row>
    <row r="93" spans="1:66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  <c r="BL93">
        <v>18</v>
      </c>
      <c r="BM93" t="s">
        <v>1422</v>
      </c>
      <c r="BN93" s="1"/>
    </row>
    <row r="94" spans="1:66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  <c r="BL94">
        <v>377</v>
      </c>
      <c r="BM94" t="s">
        <v>1781</v>
      </c>
      <c r="BN94" s="1"/>
    </row>
    <row r="95" spans="1:66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  <c r="BL95">
        <v>195</v>
      </c>
      <c r="BM95" t="s">
        <v>1782</v>
      </c>
      <c r="BN95" s="1"/>
    </row>
    <row r="96" spans="1:66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  <c r="BL96">
        <v>181</v>
      </c>
      <c r="BM96" t="s">
        <v>1783</v>
      </c>
      <c r="BN96" s="1"/>
    </row>
    <row r="97" spans="1:66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  <c r="BL97">
        <v>76</v>
      </c>
      <c r="BM97" t="s">
        <v>1784</v>
      </c>
      <c r="BN97" s="1"/>
    </row>
    <row r="98" spans="1:66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  <c r="BL98">
        <v>84</v>
      </c>
      <c r="BM98" t="s">
        <v>1785</v>
      </c>
      <c r="BN98" s="1"/>
    </row>
    <row r="99" spans="1:66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  <c r="BL99">
        <v>83</v>
      </c>
      <c r="BM99" t="s">
        <v>1425</v>
      </c>
      <c r="BN99" s="1"/>
    </row>
    <row r="100" spans="1:66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  <c r="BL100">
        <v>1793</v>
      </c>
      <c r="BM100" t="s">
        <v>1786</v>
      </c>
      <c r="BN100" s="19"/>
    </row>
    <row r="101" spans="1:66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  <c r="BL101">
        <v>11710</v>
      </c>
      <c r="BM101" t="s">
        <v>1787</v>
      </c>
      <c r="BN101" s="1"/>
    </row>
    <row r="102" spans="1:66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  <c r="BL102">
        <v>1364</v>
      </c>
      <c r="BM102" t="s">
        <v>1788</v>
      </c>
      <c r="BN102" s="1"/>
    </row>
    <row r="103" spans="1:66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  <c r="BL103">
        <v>525</v>
      </c>
      <c r="BM103" t="s">
        <v>1789</v>
      </c>
      <c r="BN103" s="1"/>
    </row>
    <row r="104" spans="1:66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  <c r="BL104">
        <v>49</v>
      </c>
      <c r="BM104" t="s">
        <v>448</v>
      </c>
      <c r="BN104" s="1"/>
    </row>
    <row r="105" spans="1:66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  <c r="BL105">
        <v>23</v>
      </c>
      <c r="BM105" t="s">
        <v>1759</v>
      </c>
      <c r="BN105" s="1"/>
    </row>
    <row r="106" spans="1:66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  <c r="BL106">
        <v>507</v>
      </c>
      <c r="BM106" t="s">
        <v>1790</v>
      </c>
      <c r="BN106" s="1"/>
    </row>
    <row r="107" spans="1:66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  <c r="BL107">
        <v>390</v>
      </c>
      <c r="BM107" t="s">
        <v>1791</v>
      </c>
      <c r="BN107" s="1"/>
    </row>
    <row r="108" spans="1:66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  <c r="BL108">
        <v>659</v>
      </c>
      <c r="BM108" t="s">
        <v>1792</v>
      </c>
      <c r="BN108" s="1"/>
    </row>
    <row r="109" spans="1:66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  <c r="BL109">
        <v>1327</v>
      </c>
      <c r="BM109" t="s">
        <v>1793</v>
      </c>
      <c r="BN109" s="1"/>
    </row>
    <row r="110" spans="1:66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  <c r="BL110">
        <v>114</v>
      </c>
      <c r="BM110" t="s">
        <v>1432</v>
      </c>
      <c r="BN110" s="1"/>
    </row>
    <row r="111" spans="1:66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  <c r="BL111">
        <v>581</v>
      </c>
      <c r="BM111" t="s">
        <v>1794</v>
      </c>
      <c r="BN111" s="1"/>
    </row>
    <row r="112" spans="1:66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  <c r="BL112">
        <v>753</v>
      </c>
      <c r="BM112" t="s">
        <v>1795</v>
      </c>
      <c r="BN112" s="1"/>
    </row>
    <row r="113" spans="1:66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  <c r="BL113">
        <v>396</v>
      </c>
      <c r="BM113" t="s">
        <v>1796</v>
      </c>
      <c r="BN113" s="1"/>
    </row>
    <row r="114" spans="1:66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  <c r="BL114">
        <v>68</v>
      </c>
      <c r="BM114" t="s">
        <v>1320</v>
      </c>
      <c r="BN114" s="1"/>
    </row>
    <row r="115" spans="1:66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  <c r="BL115">
        <v>193</v>
      </c>
      <c r="BM115" t="s">
        <v>1797</v>
      </c>
      <c r="BN115" s="1"/>
    </row>
    <row r="116" spans="1:66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  <c r="BL116">
        <v>253</v>
      </c>
      <c r="BM116" t="s">
        <v>1798</v>
      </c>
      <c r="BN116" s="1"/>
    </row>
    <row r="117" spans="1:66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  <c r="BL117">
        <v>171</v>
      </c>
      <c r="BM117" t="s">
        <v>1428</v>
      </c>
      <c r="BN117" s="1"/>
    </row>
    <row r="118" spans="1:66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  <c r="BL118">
        <v>371</v>
      </c>
      <c r="BM118" t="s">
        <v>1799</v>
      </c>
      <c r="BN118" s="1"/>
    </row>
    <row r="119" spans="1:66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  <c r="BL119">
        <v>156</v>
      </c>
      <c r="BM119" t="s">
        <v>1417</v>
      </c>
      <c r="BN119" s="1"/>
    </row>
    <row r="120" spans="1:66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  <c r="BL120">
        <v>118</v>
      </c>
      <c r="BM120" t="s">
        <v>1800</v>
      </c>
      <c r="BN120" s="1"/>
    </row>
    <row r="121" spans="1:66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  <c r="BL121">
        <v>128</v>
      </c>
      <c r="BM121" t="s">
        <v>1746</v>
      </c>
      <c r="BN121" s="1"/>
    </row>
    <row r="122" spans="1:66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  <c r="BL122">
        <v>87</v>
      </c>
      <c r="BM122" t="s">
        <v>1801</v>
      </c>
      <c r="BN122" s="1"/>
    </row>
    <row r="123" spans="1:66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  <c r="BL123">
        <v>77</v>
      </c>
      <c r="BM123" t="s">
        <v>1802</v>
      </c>
      <c r="BN123" s="1"/>
    </row>
    <row r="124" spans="1:66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  <c r="BL124">
        <v>161</v>
      </c>
      <c r="BM124" t="s">
        <v>1803</v>
      </c>
    </row>
    <row r="125" spans="1:66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  <c r="BL125">
        <v>55</v>
      </c>
      <c r="BM125" t="s">
        <v>1765</v>
      </c>
    </row>
    <row r="126" spans="1:66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  <c r="BL126">
        <v>138</v>
      </c>
      <c r="BM126" t="s">
        <v>1804</v>
      </c>
    </row>
    <row r="127" spans="1:66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  <c r="BL127">
        <v>38</v>
      </c>
      <c r="BM127" t="s">
        <v>1805</v>
      </c>
    </row>
    <row r="128" spans="1:66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  <c r="BL128">
        <v>248</v>
      </c>
      <c r="BM128" t="s">
        <v>1806</v>
      </c>
    </row>
    <row r="129" spans="1:65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  <c r="BL129">
        <v>66</v>
      </c>
      <c r="BM129" t="s">
        <v>1238</v>
      </c>
    </row>
    <row r="130" spans="1:65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  <c r="BL130">
        <v>282</v>
      </c>
      <c r="BM130" t="s">
        <v>1807</v>
      </c>
    </row>
    <row r="131" spans="1:65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  <c r="BL131">
        <v>194</v>
      </c>
      <c r="BM131" t="s">
        <v>1808</v>
      </c>
    </row>
    <row r="132" spans="1:65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  <c r="BL132">
        <v>37</v>
      </c>
      <c r="BM132" t="s">
        <v>1809</v>
      </c>
    </row>
    <row r="133" spans="1:65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  <c r="BL133">
        <v>53</v>
      </c>
      <c r="BM133" t="s">
        <v>1322</v>
      </c>
    </row>
    <row r="134" spans="1:65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  <c r="BL134">
        <v>136</v>
      </c>
      <c r="BM134" t="s">
        <v>1429</v>
      </c>
    </row>
    <row r="135" spans="1:65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  <c r="BL135">
        <v>64</v>
      </c>
      <c r="BM135" t="s">
        <v>464</v>
      </c>
    </row>
    <row r="136" spans="1:65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 t="s">
        <v>441</v>
      </c>
    </row>
    <row r="137" spans="1:65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  <c r="BL137">
        <v>10</v>
      </c>
      <c r="BM137" t="s">
        <v>452</v>
      </c>
    </row>
    <row r="138" spans="1:65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  <c r="BL138">
        <v>200</v>
      </c>
      <c r="BM138" t="s">
        <v>1810</v>
      </c>
    </row>
    <row r="139" spans="1:65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  <c r="BL139">
        <v>57</v>
      </c>
      <c r="BM139" t="s">
        <v>1323</v>
      </c>
    </row>
    <row r="140" spans="1:65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  <c r="BL140">
        <v>585</v>
      </c>
      <c r="BM140" t="s">
        <v>1811</v>
      </c>
    </row>
    <row r="141" spans="1:65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  <c r="BL141">
        <v>74</v>
      </c>
      <c r="BM141" t="s">
        <v>1739</v>
      </c>
    </row>
    <row r="142" spans="1:65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  <c r="BL142">
        <v>29</v>
      </c>
      <c r="BM142" t="s">
        <v>1421</v>
      </c>
    </row>
    <row r="143" spans="1:65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  <c r="BL143">
        <v>15</v>
      </c>
      <c r="BM143" t="s">
        <v>1437</v>
      </c>
    </row>
    <row r="144" spans="1:65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  <c r="BL144">
        <v>122</v>
      </c>
      <c r="BM144" t="s">
        <v>1812</v>
      </c>
    </row>
    <row r="145" spans="1:65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  <c r="BL145">
        <v>45</v>
      </c>
      <c r="BM145" t="s">
        <v>1240</v>
      </c>
    </row>
    <row r="146" spans="1:65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  <c r="BL146">
        <v>36</v>
      </c>
      <c r="BM146" t="s">
        <v>1813</v>
      </c>
    </row>
    <row r="147" spans="1:65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  <c r="BL147">
        <v>70</v>
      </c>
      <c r="BM147" t="s">
        <v>1784</v>
      </c>
    </row>
    <row r="148" spans="1:65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  <c r="BL148">
        <v>788</v>
      </c>
      <c r="BM148" t="s">
        <v>1814</v>
      </c>
    </row>
    <row r="149" spans="1:65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  <c r="BL149">
        <v>140</v>
      </c>
      <c r="BM149" t="s">
        <v>1815</v>
      </c>
    </row>
    <row r="150" spans="1:65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  <c r="BL150">
        <v>21</v>
      </c>
      <c r="BM150" t="s">
        <v>1816</v>
      </c>
    </row>
    <row r="151" spans="1:65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  <c r="BL151">
        <v>43</v>
      </c>
      <c r="BM151" t="s">
        <v>1436</v>
      </c>
    </row>
    <row r="152" spans="1:65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  <c r="BL152">
        <v>28</v>
      </c>
      <c r="BM152" t="s">
        <v>465</v>
      </c>
    </row>
    <row r="153" spans="1:65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  <c r="BL153">
        <v>14</v>
      </c>
      <c r="BM153" t="s">
        <v>1437</v>
      </c>
    </row>
    <row r="154" spans="1:65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  <c r="BL154">
        <v>8</v>
      </c>
      <c r="BM154" t="s">
        <v>1817</v>
      </c>
    </row>
    <row r="155" spans="1:65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  <c r="BL155">
        <v>23</v>
      </c>
      <c r="BM155" t="s">
        <v>447</v>
      </c>
    </row>
    <row r="156" spans="1:65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  <c r="BL156">
        <v>67800</v>
      </c>
      <c r="BM156" t="s">
        <v>1243</v>
      </c>
    </row>
    <row r="157" spans="1:65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  <c r="BL157">
        <v>20610</v>
      </c>
      <c r="BM157" t="s">
        <v>1818</v>
      </c>
    </row>
    <row r="158" spans="1:65" x14ac:dyDescent="0.25">
      <c r="A158" s="26"/>
      <c r="B158" s="26" t="s">
        <v>246</v>
      </c>
      <c r="C158" s="26">
        <v>36</v>
      </c>
      <c r="D158" s="26">
        <v>128</v>
      </c>
      <c r="E158" s="26">
        <v>1</v>
      </c>
      <c r="F158" s="26">
        <v>1</v>
      </c>
      <c r="G158" s="26">
        <v>2</v>
      </c>
      <c r="H158" s="26">
        <v>2</v>
      </c>
      <c r="I158" s="26">
        <v>3</v>
      </c>
      <c r="J158" s="26">
        <v>4</v>
      </c>
      <c r="K158" s="26">
        <v>4</v>
      </c>
      <c r="L158" s="26">
        <v>4</v>
      </c>
      <c r="M158" s="26">
        <v>4</v>
      </c>
      <c r="N158" s="26">
        <v>11</v>
      </c>
      <c r="O158" s="26">
        <v>12</v>
      </c>
      <c r="P158" s="26">
        <v>15</v>
      </c>
      <c r="Q158" s="26">
        <v>15</v>
      </c>
      <c r="R158" s="26">
        <v>16</v>
      </c>
      <c r="S158" s="26">
        <v>19</v>
      </c>
      <c r="T158" s="26">
        <v>23</v>
      </c>
      <c r="U158" s="26">
        <v>24</v>
      </c>
      <c r="V158" s="26">
        <v>24</v>
      </c>
      <c r="W158" s="26">
        <v>25</v>
      </c>
      <c r="X158" s="26">
        <v>27</v>
      </c>
      <c r="Y158" s="26">
        <v>28</v>
      </c>
      <c r="Z158" s="26">
        <v>28</v>
      </c>
      <c r="AA158" s="26">
        <v>28</v>
      </c>
      <c r="AB158" s="26">
        <v>28</v>
      </c>
      <c r="AC158" s="26">
        <v>28</v>
      </c>
      <c r="AD158" s="26">
        <v>29</v>
      </c>
      <c r="AE158" s="26">
        <v>30</v>
      </c>
      <c r="AF158" s="26">
        <v>31</v>
      </c>
      <c r="AG158" s="26">
        <v>31</v>
      </c>
      <c r="AH158" s="26">
        <v>104</v>
      </c>
      <c r="AI158" s="26">
        <v>204</v>
      </c>
      <c r="AJ158" s="26">
        <v>433</v>
      </c>
      <c r="AK158" s="26">
        <v>602</v>
      </c>
      <c r="AL158" s="26">
        <v>833</v>
      </c>
      <c r="AM158" s="26">
        <v>977</v>
      </c>
      <c r="AN158" s="26">
        <v>1261</v>
      </c>
      <c r="AO158" s="26">
        <v>1766</v>
      </c>
      <c r="AP158" s="26">
        <v>2337</v>
      </c>
      <c r="AQ158" s="26">
        <v>3150</v>
      </c>
      <c r="AR158" s="26">
        <v>3736</v>
      </c>
      <c r="AS158" s="26">
        <v>4335</v>
      </c>
      <c r="AT158" s="26">
        <v>5186</v>
      </c>
      <c r="AU158" s="26">
        <v>5621</v>
      </c>
      <c r="AV158" s="26">
        <v>6088</v>
      </c>
      <c r="AW158" s="26">
        <v>6593</v>
      </c>
      <c r="AX158" s="26">
        <v>7041</v>
      </c>
      <c r="AY158" s="26">
        <v>7314</v>
      </c>
      <c r="AZ158" s="26">
        <v>7478</v>
      </c>
      <c r="BA158" s="26">
        <v>7513</v>
      </c>
      <c r="BB158" s="26">
        <v>7755</v>
      </c>
      <c r="BC158" s="26">
        <v>7869</v>
      </c>
      <c r="BD158" s="26">
        <v>7979</v>
      </c>
      <c r="BE158" s="26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  <c r="BL158">
        <v>8799</v>
      </c>
      <c r="BM158" t="s">
        <v>1819</v>
      </c>
    </row>
    <row r="159" spans="1:65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  <c r="BL159">
        <v>14282</v>
      </c>
      <c r="BM159" t="s">
        <v>1820</v>
      </c>
    </row>
    <row r="160" spans="1:65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  <c r="BL160">
        <v>1400</v>
      </c>
      <c r="BM160" t="s">
        <v>1821</v>
      </c>
    </row>
    <row r="161" spans="1:65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  <c r="BL161">
        <v>1273</v>
      </c>
      <c r="BM161" t="s">
        <v>455</v>
      </c>
    </row>
    <row r="162" spans="1:65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  <c r="BL162">
        <v>1236</v>
      </c>
      <c r="BM162" t="s">
        <v>1822</v>
      </c>
    </row>
    <row r="163" spans="1:65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  <c r="BL163">
        <v>1018</v>
      </c>
      <c r="BM163" t="s">
        <v>456</v>
      </c>
    </row>
    <row r="164" spans="1:65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  <c r="BL164">
        <v>990</v>
      </c>
      <c r="BM164" t="s">
        <v>457</v>
      </c>
    </row>
    <row r="165" spans="1:65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  <c r="BL165">
        <v>935</v>
      </c>
      <c r="BM165" t="s">
        <v>1823</v>
      </c>
    </row>
    <row r="166" spans="1:65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  <c r="BL166">
        <v>764</v>
      </c>
      <c r="BM166" t="s">
        <v>1824</v>
      </c>
    </row>
    <row r="167" spans="1:65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  <c r="BL167">
        <v>712</v>
      </c>
      <c r="BM167" t="s">
        <v>1244</v>
      </c>
    </row>
    <row r="168" spans="1:65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 t="s">
        <v>1825</v>
      </c>
    </row>
    <row r="169" spans="1:65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  <c r="BL169">
        <v>576</v>
      </c>
      <c r="BM169" t="s">
        <v>1826</v>
      </c>
    </row>
    <row r="170" spans="1:65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  <c r="BL170">
        <v>542</v>
      </c>
      <c r="BM170" t="s">
        <v>1827</v>
      </c>
    </row>
    <row r="171" spans="1:65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  <c r="BL171">
        <v>484</v>
      </c>
      <c r="BM171" t="s">
        <v>1324</v>
      </c>
    </row>
    <row r="172" spans="1:65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  <c r="BL172">
        <v>1326</v>
      </c>
      <c r="BM172" t="s">
        <v>1828</v>
      </c>
    </row>
    <row r="173" spans="1:65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  <c r="BL173">
        <v>504</v>
      </c>
      <c r="BM173" t="s">
        <v>1767</v>
      </c>
    </row>
    <row r="174" spans="1:65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  <c r="BL174">
        <v>380</v>
      </c>
      <c r="BM174" t="s">
        <v>1829</v>
      </c>
    </row>
    <row r="175" spans="1:65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  <c r="BL175">
        <v>318</v>
      </c>
      <c r="BM175" t="s">
        <v>1830</v>
      </c>
    </row>
    <row r="176" spans="1:65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  <c r="BL176">
        <v>303</v>
      </c>
      <c r="BM176" t="s">
        <v>1419</v>
      </c>
    </row>
    <row r="177" spans="1:65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  <c r="BL177">
        <v>254</v>
      </c>
      <c r="BM177" t="s">
        <v>1332</v>
      </c>
    </row>
    <row r="178" spans="1:65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  <c r="BL178">
        <v>248</v>
      </c>
      <c r="BM178" t="s">
        <v>1435</v>
      </c>
    </row>
    <row r="179" spans="1:65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  <c r="BL179">
        <v>176</v>
      </c>
      <c r="BM179" t="s">
        <v>1245</v>
      </c>
    </row>
    <row r="180" spans="1:65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  <c r="BL180">
        <v>168</v>
      </c>
      <c r="BM180" t="s">
        <v>458</v>
      </c>
    </row>
    <row r="181" spans="1:65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  <c r="BL181">
        <v>146</v>
      </c>
      <c r="BM181" t="s">
        <v>459</v>
      </c>
    </row>
    <row r="182" spans="1:65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  <c r="BL182">
        <v>137</v>
      </c>
      <c r="BM182" t="s">
        <v>1326</v>
      </c>
    </row>
    <row r="183" spans="1:65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 t="s">
        <v>461</v>
      </c>
    </row>
    <row r="184" spans="1:65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  <c r="BL184">
        <v>134</v>
      </c>
      <c r="BM184" t="s">
        <v>460</v>
      </c>
    </row>
    <row r="185" spans="1:65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  <c r="BL185">
        <v>273</v>
      </c>
      <c r="BM185" t="s">
        <v>1831</v>
      </c>
    </row>
    <row r="186" spans="1:65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  <c r="BL186">
        <v>126</v>
      </c>
      <c r="BM186" t="s">
        <v>1330</v>
      </c>
    </row>
    <row r="187" spans="1:65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  <c r="BL187">
        <v>93</v>
      </c>
      <c r="BM187" t="s">
        <v>462</v>
      </c>
    </row>
    <row r="188" spans="1:65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  <c r="BL188">
        <v>995</v>
      </c>
      <c r="BM188" t="s">
        <v>1832</v>
      </c>
    </row>
    <row r="189" spans="1:65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  <c r="BL189">
        <v>76</v>
      </c>
      <c r="BM189" t="s">
        <v>463</v>
      </c>
    </row>
    <row r="190" spans="1:65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  <c r="BL190">
        <v>75</v>
      </c>
      <c r="BM190" t="s">
        <v>464</v>
      </c>
    </row>
    <row r="191" spans="1:65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 t="s">
        <v>464</v>
      </c>
    </row>
    <row r="192" spans="1:65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  <c r="BL192">
        <v>153</v>
      </c>
      <c r="BM192" t="s">
        <v>1804</v>
      </c>
    </row>
    <row r="193" spans="1:65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  <c r="BL193">
        <v>94</v>
      </c>
      <c r="BM193" t="s">
        <v>1769</v>
      </c>
    </row>
    <row r="194" spans="1:65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  <c r="BL194">
        <v>306</v>
      </c>
      <c r="BM194" t="s">
        <v>1325</v>
      </c>
    </row>
    <row r="195" spans="1:65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 t="s">
        <v>445</v>
      </c>
    </row>
    <row r="196" spans="1:65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  <c r="BL196">
        <v>18</v>
      </c>
      <c r="BM196" t="s">
        <v>1833</v>
      </c>
    </row>
    <row r="197" spans="1:65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  <c r="BL197">
        <v>80</v>
      </c>
      <c r="BM197" t="s">
        <v>1024</v>
      </c>
    </row>
    <row r="198" spans="1:65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  <c r="BL198">
        <v>19</v>
      </c>
      <c r="BM198" t="s">
        <v>447</v>
      </c>
    </row>
    <row r="199" spans="1:65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  <c r="BL199">
        <v>92</v>
      </c>
      <c r="BM199" t="s">
        <v>1770</v>
      </c>
    </row>
    <row r="200" spans="1:65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  <c r="BL200">
        <v>4</v>
      </c>
      <c r="BM200" t="s">
        <v>451</v>
      </c>
    </row>
    <row r="201" spans="1:65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  <c r="BL201">
        <v>24</v>
      </c>
      <c r="BM201" t="s">
        <v>466</v>
      </c>
    </row>
    <row r="202" spans="1:65" x14ac:dyDescent="0.25">
      <c r="A202" s="26" t="s">
        <v>1336</v>
      </c>
      <c r="B202" s="26" t="s">
        <v>1023</v>
      </c>
      <c r="C202" s="26">
        <v>49.372300000000003</v>
      </c>
      <c r="D202" s="26">
        <v>-2.3643999999999998</v>
      </c>
      <c r="E202" s="27">
        <v>0</v>
      </c>
      <c r="F202" s="27">
        <v>0</v>
      </c>
      <c r="G202" s="27">
        <v>0</v>
      </c>
      <c r="H202" s="27">
        <v>0</v>
      </c>
      <c r="I202" s="27">
        <v>0</v>
      </c>
      <c r="J202" s="27">
        <v>0</v>
      </c>
      <c r="K202" s="27">
        <v>0</v>
      </c>
      <c r="L202" s="27">
        <v>0</v>
      </c>
      <c r="M202" s="27">
        <v>0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0</v>
      </c>
      <c r="AD202" s="27">
        <v>0</v>
      </c>
      <c r="AE202" s="27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0</v>
      </c>
      <c r="AW202" s="27">
        <v>0</v>
      </c>
      <c r="AX202" s="27">
        <v>0</v>
      </c>
      <c r="AY202" s="27">
        <v>0</v>
      </c>
      <c r="AZ202" s="27">
        <v>0</v>
      </c>
      <c r="BA202" s="27">
        <v>1</v>
      </c>
      <c r="BB202" s="27">
        <v>2</v>
      </c>
      <c r="BC202" s="27">
        <v>2</v>
      </c>
      <c r="BD202" s="27">
        <v>2</v>
      </c>
      <c r="BE202" s="27">
        <v>2</v>
      </c>
      <c r="BF202" s="27">
        <v>3</v>
      </c>
      <c r="BG202" s="27">
        <v>6</v>
      </c>
      <c r="BH202" s="27">
        <v>6</v>
      </c>
      <c r="BI202" s="27">
        <v>6</v>
      </c>
      <c r="BJ202" s="27">
        <v>11</v>
      </c>
      <c r="BK202">
        <v>14</v>
      </c>
      <c r="BL202">
        <v>32</v>
      </c>
      <c r="BM202" t="s">
        <v>1327</v>
      </c>
    </row>
    <row r="203" spans="1:65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  <c r="BL203">
        <v>17</v>
      </c>
      <c r="BM203" t="s">
        <v>1334</v>
      </c>
    </row>
    <row r="204" spans="1:65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 t="s">
        <v>441</v>
      </c>
    </row>
    <row r="205" spans="1:65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  <c r="BL205">
        <v>23</v>
      </c>
      <c r="BM205" t="s">
        <v>1759</v>
      </c>
    </row>
    <row r="206" spans="1:65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  <c r="BL206">
        <v>14</v>
      </c>
      <c r="BM206" t="s">
        <v>454</v>
      </c>
    </row>
    <row r="207" spans="1:65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  <c r="BL207">
        <v>3</v>
      </c>
      <c r="BM207" t="s">
        <v>442</v>
      </c>
    </row>
    <row r="208" spans="1:65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  <c r="BL208">
        <v>16</v>
      </c>
      <c r="BM208" t="s">
        <v>1337</v>
      </c>
    </row>
    <row r="209" spans="1:65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  <c r="BL209">
        <v>670</v>
      </c>
      <c r="BM209" t="s">
        <v>1439</v>
      </c>
    </row>
    <row r="210" spans="1:65" x14ac:dyDescent="0.25">
      <c r="A210" s="26" t="s">
        <v>1338</v>
      </c>
      <c r="B210" s="26" t="s">
        <v>1023</v>
      </c>
      <c r="C210" s="26">
        <v>36.140799999999999</v>
      </c>
      <c r="D210" s="26">
        <v>-5.3536000000000001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1</v>
      </c>
      <c r="AV210" s="26">
        <v>1</v>
      </c>
      <c r="AW210" s="26">
        <v>1</v>
      </c>
      <c r="AX210" s="26">
        <v>1</v>
      </c>
      <c r="AY210" s="26">
        <v>1</v>
      </c>
      <c r="AZ210" s="26">
        <v>1</v>
      </c>
      <c r="BA210" s="26">
        <v>1</v>
      </c>
      <c r="BB210" s="26">
        <v>1</v>
      </c>
      <c r="BC210" s="26">
        <v>1</v>
      </c>
      <c r="BD210" s="26">
        <v>1</v>
      </c>
      <c r="BE210" s="26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  <c r="BL210">
        <v>10</v>
      </c>
      <c r="BM210" t="s">
        <v>1242</v>
      </c>
    </row>
    <row r="211" spans="1:65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 t="s">
        <v>444</v>
      </c>
    </row>
    <row r="212" spans="1:65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 t="s">
        <v>444</v>
      </c>
    </row>
    <row r="213" spans="1:65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 t="s">
        <v>444</v>
      </c>
    </row>
    <row r="214" spans="1:65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 t="s">
        <v>444</v>
      </c>
    </row>
    <row r="215" spans="1:65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 t="s">
        <v>444</v>
      </c>
    </row>
    <row r="216" spans="1:65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 t="s">
        <v>444</v>
      </c>
    </row>
    <row r="217" spans="1:65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 t="s">
        <v>444</v>
      </c>
    </row>
    <row r="218" spans="1:65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 t="s">
        <v>444</v>
      </c>
    </row>
    <row r="219" spans="1:65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 t="s">
        <v>444</v>
      </c>
    </row>
    <row r="220" spans="1:65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 t="s">
        <v>444</v>
      </c>
    </row>
    <row r="221" spans="1:65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 t="s">
        <v>444</v>
      </c>
    </row>
    <row r="222" spans="1:65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 t="s">
        <v>444</v>
      </c>
    </row>
    <row r="223" spans="1:65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 t="s">
        <v>444</v>
      </c>
    </row>
    <row r="224" spans="1:65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 t="s">
        <v>444</v>
      </c>
    </row>
    <row r="225" spans="1:65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 t="s">
        <v>444</v>
      </c>
    </row>
    <row r="226" spans="1:65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 t="s">
        <v>444</v>
      </c>
    </row>
    <row r="227" spans="1:65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 t="s">
        <v>444</v>
      </c>
    </row>
    <row r="228" spans="1:65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 t="s">
        <v>444</v>
      </c>
    </row>
    <row r="229" spans="1:65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 t="s">
        <v>444</v>
      </c>
    </row>
    <row r="230" spans="1:65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 t="s">
        <v>444</v>
      </c>
    </row>
    <row r="231" spans="1:65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 t="s">
        <v>444</v>
      </c>
    </row>
    <row r="232" spans="1:65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 t="s">
        <v>444</v>
      </c>
    </row>
    <row r="233" spans="1:65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 t="s">
        <v>444</v>
      </c>
    </row>
    <row r="234" spans="1:65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 t="s">
        <v>444</v>
      </c>
    </row>
    <row r="235" spans="1:65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 t="s">
        <v>444</v>
      </c>
    </row>
    <row r="236" spans="1:65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 t="s">
        <v>444</v>
      </c>
    </row>
    <row r="237" spans="1:65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 t="s">
        <v>444</v>
      </c>
    </row>
    <row r="238" spans="1:65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 t="s">
        <v>444</v>
      </c>
    </row>
    <row r="239" spans="1:65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 t="s">
        <v>444</v>
      </c>
    </row>
    <row r="240" spans="1:65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 t="s">
        <v>444</v>
      </c>
    </row>
    <row r="241" spans="1:67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 t="s">
        <v>444</v>
      </c>
    </row>
    <row r="242" spans="1:67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 t="s">
        <v>444</v>
      </c>
    </row>
    <row r="243" spans="1:67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 t="s">
        <v>444</v>
      </c>
    </row>
    <row r="244" spans="1:67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 t="s">
        <v>444</v>
      </c>
    </row>
    <row r="245" spans="1:67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 t="s">
        <v>444</v>
      </c>
    </row>
    <row r="246" spans="1:67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 t="s">
        <v>444</v>
      </c>
    </row>
    <row r="247" spans="1:67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 t="s">
        <v>444</v>
      </c>
      <c r="BO247" s="19"/>
    </row>
    <row r="248" spans="1:67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 t="s">
        <v>444</v>
      </c>
    </row>
    <row r="249" spans="1:67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 t="s">
        <v>444</v>
      </c>
    </row>
    <row r="250" spans="1:67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 t="s">
        <v>444</v>
      </c>
    </row>
    <row r="251" spans="1:67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 t="s">
        <v>444</v>
      </c>
    </row>
    <row r="252" spans="1:67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 t="s">
        <v>444</v>
      </c>
    </row>
    <row r="253" spans="1:67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 t="s">
        <v>444</v>
      </c>
    </row>
    <row r="254" spans="1:67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 t="s">
        <v>444</v>
      </c>
    </row>
    <row r="255" spans="1:67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 t="s">
        <v>444</v>
      </c>
    </row>
    <row r="256" spans="1:67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 t="s">
        <v>444</v>
      </c>
    </row>
    <row r="257" spans="1:65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 t="s">
        <v>444</v>
      </c>
    </row>
    <row r="258" spans="1:65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 t="s">
        <v>444</v>
      </c>
    </row>
    <row r="259" spans="1:65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 t="s">
        <v>444</v>
      </c>
    </row>
    <row r="260" spans="1:65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 t="s">
        <v>444</v>
      </c>
    </row>
    <row r="261" spans="1:65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 t="s">
        <v>444</v>
      </c>
    </row>
    <row r="262" spans="1:65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 t="s">
        <v>444</v>
      </c>
    </row>
    <row r="263" spans="1:65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 t="s">
        <v>444</v>
      </c>
    </row>
    <row r="264" spans="1:65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 t="s">
        <v>444</v>
      </c>
    </row>
    <row r="265" spans="1:65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 t="s">
        <v>444</v>
      </c>
    </row>
    <row r="266" spans="1:65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 t="s">
        <v>444</v>
      </c>
    </row>
    <row r="267" spans="1:65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 t="s">
        <v>444</v>
      </c>
    </row>
    <row r="268" spans="1:65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 t="s">
        <v>444</v>
      </c>
    </row>
    <row r="269" spans="1:65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 t="s">
        <v>444</v>
      </c>
    </row>
    <row r="270" spans="1:65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 t="s">
        <v>444</v>
      </c>
    </row>
    <row r="271" spans="1:65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 t="s">
        <v>444</v>
      </c>
    </row>
    <row r="272" spans="1:65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 t="s">
        <v>444</v>
      </c>
    </row>
    <row r="273" spans="1:65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 t="s">
        <v>444</v>
      </c>
    </row>
    <row r="274" spans="1:65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 t="s">
        <v>444</v>
      </c>
    </row>
    <row r="275" spans="1:65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 t="s">
        <v>444</v>
      </c>
    </row>
    <row r="276" spans="1:65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 t="s">
        <v>444</v>
      </c>
    </row>
    <row r="277" spans="1:65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 t="s">
        <v>444</v>
      </c>
    </row>
    <row r="278" spans="1:65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 t="s">
        <v>444</v>
      </c>
    </row>
    <row r="279" spans="1:65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 t="s">
        <v>444</v>
      </c>
    </row>
    <row r="280" spans="1:65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 t="s">
        <v>444</v>
      </c>
    </row>
    <row r="281" spans="1:65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 t="s">
        <v>444</v>
      </c>
    </row>
    <row r="283" spans="1:65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 t="s">
        <v>444</v>
      </c>
    </row>
    <row r="284" spans="1:65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 t="s">
        <v>444</v>
      </c>
    </row>
    <row r="285" spans="1:65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 t="s">
        <v>444</v>
      </c>
    </row>
    <row r="286" spans="1:65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 t="s">
        <v>444</v>
      </c>
    </row>
    <row r="287" spans="1:65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 t="s">
        <v>444</v>
      </c>
    </row>
    <row r="288" spans="1:65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 t="s">
        <v>444</v>
      </c>
    </row>
    <row r="289" spans="1:65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 t="s">
        <v>444</v>
      </c>
    </row>
    <row r="290" spans="1:65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 t="s">
        <v>444</v>
      </c>
    </row>
    <row r="291" spans="1:65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 t="s">
        <v>444</v>
      </c>
    </row>
    <row r="292" spans="1:65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 t="s">
        <v>444</v>
      </c>
    </row>
    <row r="293" spans="1:65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 t="s">
        <v>444</v>
      </c>
    </row>
    <row r="294" spans="1:65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 t="s">
        <v>444</v>
      </c>
    </row>
    <row r="295" spans="1:65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 t="s">
        <v>444</v>
      </c>
    </row>
    <row r="297" spans="1:65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 t="s">
        <v>444</v>
      </c>
    </row>
    <row r="298" spans="1:65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 t="s">
        <v>444</v>
      </c>
    </row>
    <row r="299" spans="1:65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 t="s">
        <v>444</v>
      </c>
    </row>
    <row r="300" spans="1:65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 t="s">
        <v>444</v>
      </c>
    </row>
    <row r="301" spans="1:65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 t="s">
        <v>444</v>
      </c>
    </row>
    <row r="302" spans="1:65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 t="s">
        <v>444</v>
      </c>
    </row>
    <row r="303" spans="1:65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 t="s">
        <v>444</v>
      </c>
    </row>
    <row r="304" spans="1:65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 t="s">
        <v>444</v>
      </c>
    </row>
    <row r="305" spans="1:65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 t="s">
        <v>444</v>
      </c>
    </row>
    <row r="306" spans="1:65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 t="s">
        <v>444</v>
      </c>
    </row>
    <row r="307" spans="1:65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 t="s">
        <v>444</v>
      </c>
    </row>
    <row r="308" spans="1:65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 t="s">
        <v>444</v>
      </c>
    </row>
    <row r="309" spans="1:65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 t="s">
        <v>444</v>
      </c>
    </row>
    <row r="310" spans="1:65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 t="s">
        <v>444</v>
      </c>
    </row>
    <row r="311" spans="1:65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 t="s">
        <v>444</v>
      </c>
    </row>
    <row r="312" spans="1:65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 t="s">
        <v>444</v>
      </c>
    </row>
    <row r="313" spans="1:65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 t="s">
        <v>444</v>
      </c>
    </row>
    <row r="314" spans="1:65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 t="s">
        <v>444</v>
      </c>
    </row>
    <row r="315" spans="1:65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 t="s">
        <v>444</v>
      </c>
    </row>
    <row r="316" spans="1:65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 t="s">
        <v>444</v>
      </c>
    </row>
    <row r="317" spans="1:65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 t="s">
        <v>444</v>
      </c>
    </row>
    <row r="318" spans="1:65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 t="s">
        <v>444</v>
      </c>
    </row>
    <row r="319" spans="1:65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 t="s">
        <v>444</v>
      </c>
    </row>
    <row r="320" spans="1:65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 t="s">
        <v>444</v>
      </c>
    </row>
    <row r="321" spans="1:65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 t="s">
        <v>444</v>
      </c>
    </row>
    <row r="322" spans="1:65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 t="s">
        <v>444</v>
      </c>
    </row>
    <row r="323" spans="1:65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 t="s">
        <v>444</v>
      </c>
    </row>
    <row r="324" spans="1:65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 t="s">
        <v>444</v>
      </c>
    </row>
    <row r="325" spans="1:65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 t="s">
        <v>444</v>
      </c>
    </row>
    <row r="326" spans="1:65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 t="s">
        <v>444</v>
      </c>
    </row>
    <row r="327" spans="1:65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 t="s">
        <v>444</v>
      </c>
    </row>
    <row r="328" spans="1:65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 t="s">
        <v>444</v>
      </c>
    </row>
    <row r="329" spans="1:65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 t="s">
        <v>444</v>
      </c>
    </row>
    <row r="330" spans="1:65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 t="s">
        <v>444</v>
      </c>
    </row>
    <row r="331" spans="1:65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 t="s">
        <v>444</v>
      </c>
    </row>
    <row r="332" spans="1:65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 t="s">
        <v>444</v>
      </c>
    </row>
    <row r="333" spans="1:65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 t="s">
        <v>444</v>
      </c>
    </row>
    <row r="334" spans="1:65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 t="s">
        <v>444</v>
      </c>
    </row>
    <row r="335" spans="1:65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 t="s">
        <v>444</v>
      </c>
    </row>
    <row r="336" spans="1:65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 t="s">
        <v>444</v>
      </c>
    </row>
    <row r="337" spans="1:65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 t="s">
        <v>444</v>
      </c>
    </row>
    <row r="338" spans="1:65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 t="s">
        <v>444</v>
      </c>
    </row>
    <row r="339" spans="1:65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 t="s">
        <v>444</v>
      </c>
    </row>
    <row r="340" spans="1:65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 t="s">
        <v>444</v>
      </c>
    </row>
    <row r="341" spans="1:65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 t="s">
        <v>444</v>
      </c>
    </row>
    <row r="342" spans="1:65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 t="s">
        <v>444</v>
      </c>
    </row>
    <row r="343" spans="1:65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 t="s">
        <v>444</v>
      </c>
    </row>
    <row r="344" spans="1:65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 t="s">
        <v>444</v>
      </c>
    </row>
    <row r="345" spans="1:65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 t="s">
        <v>444</v>
      </c>
    </row>
    <row r="346" spans="1:65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 t="s">
        <v>444</v>
      </c>
    </row>
    <row r="347" spans="1:65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 t="s">
        <v>444</v>
      </c>
    </row>
    <row r="348" spans="1:65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 t="s">
        <v>444</v>
      </c>
    </row>
    <row r="349" spans="1:65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 t="s">
        <v>444</v>
      </c>
    </row>
    <row r="350" spans="1:65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 t="s">
        <v>444</v>
      </c>
    </row>
    <row r="351" spans="1:65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 t="s">
        <v>444</v>
      </c>
    </row>
    <row r="352" spans="1:65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 t="s">
        <v>444</v>
      </c>
    </row>
    <row r="353" spans="1:65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 t="s">
        <v>444</v>
      </c>
    </row>
    <row r="354" spans="1:65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 t="s">
        <v>444</v>
      </c>
    </row>
    <row r="355" spans="1:65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 t="s">
        <v>444</v>
      </c>
    </row>
    <row r="356" spans="1:65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 t="s">
        <v>444</v>
      </c>
    </row>
    <row r="357" spans="1:65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 t="s">
        <v>444</v>
      </c>
    </row>
    <row r="358" spans="1:65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 t="s">
        <v>444</v>
      </c>
    </row>
    <row r="359" spans="1:65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 t="s">
        <v>444</v>
      </c>
    </row>
    <row r="360" spans="1:65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 t="s">
        <v>444</v>
      </c>
    </row>
    <row r="361" spans="1:65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 t="s">
        <v>444</v>
      </c>
    </row>
    <row r="362" spans="1:65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 t="s">
        <v>444</v>
      </c>
    </row>
    <row r="363" spans="1:65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 t="s">
        <v>444</v>
      </c>
    </row>
    <row r="364" spans="1:65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 t="s">
        <v>444</v>
      </c>
    </row>
    <row r="365" spans="1:65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 t="s">
        <v>444</v>
      </c>
    </row>
    <row r="366" spans="1:65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 t="s">
        <v>444</v>
      </c>
    </row>
    <row r="367" spans="1:65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 t="s">
        <v>444</v>
      </c>
    </row>
    <row r="368" spans="1:65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 t="s">
        <v>444</v>
      </c>
    </row>
    <row r="369" spans="1:65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 t="s">
        <v>444</v>
      </c>
    </row>
    <row r="370" spans="1:65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 t="s">
        <v>444</v>
      </c>
    </row>
    <row r="371" spans="1:65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 t="s">
        <v>444</v>
      </c>
    </row>
    <row r="372" spans="1:65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 t="s">
        <v>444</v>
      </c>
    </row>
    <row r="373" spans="1:65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 t="s">
        <v>444</v>
      </c>
    </row>
    <row r="374" spans="1:65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 t="s">
        <v>444</v>
      </c>
    </row>
    <row r="375" spans="1:65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 t="s">
        <v>444</v>
      </c>
    </row>
    <row r="376" spans="1:65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 t="s">
        <v>444</v>
      </c>
    </row>
    <row r="377" spans="1:65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 t="s">
        <v>444</v>
      </c>
    </row>
    <row r="378" spans="1:65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 t="s">
        <v>444</v>
      </c>
    </row>
    <row r="379" spans="1:65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 t="s">
        <v>444</v>
      </c>
    </row>
    <row r="380" spans="1:65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 t="s">
        <v>444</v>
      </c>
    </row>
    <row r="381" spans="1:65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 t="s">
        <v>444</v>
      </c>
    </row>
    <row r="382" spans="1:65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 t="s">
        <v>444</v>
      </c>
    </row>
    <row r="383" spans="1:65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 t="s">
        <v>444</v>
      </c>
    </row>
    <row r="384" spans="1:65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 t="s">
        <v>444</v>
      </c>
    </row>
    <row r="385" spans="1:65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 t="s">
        <v>444</v>
      </c>
    </row>
    <row r="386" spans="1:65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 t="s">
        <v>444</v>
      </c>
    </row>
    <row r="387" spans="1:65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 t="s">
        <v>444</v>
      </c>
    </row>
    <row r="388" spans="1:65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 t="s">
        <v>444</v>
      </c>
    </row>
    <row r="389" spans="1:65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 t="s">
        <v>444</v>
      </c>
    </row>
    <row r="390" spans="1:65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 t="s">
        <v>444</v>
      </c>
    </row>
    <row r="391" spans="1:65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 t="s">
        <v>444</v>
      </c>
    </row>
    <row r="392" spans="1:65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 t="s">
        <v>444</v>
      </c>
    </row>
    <row r="393" spans="1:65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 t="s">
        <v>444</v>
      </c>
    </row>
    <row r="394" spans="1:65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 t="s">
        <v>444</v>
      </c>
    </row>
    <row r="395" spans="1:65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 t="s">
        <v>444</v>
      </c>
    </row>
    <row r="396" spans="1:65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 t="s">
        <v>444</v>
      </c>
    </row>
    <row r="397" spans="1:65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 t="s">
        <v>444</v>
      </c>
    </row>
    <row r="398" spans="1:65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 t="s">
        <v>444</v>
      </c>
    </row>
    <row r="399" spans="1:65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 t="s">
        <v>444</v>
      </c>
    </row>
    <row r="400" spans="1:65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 t="s">
        <v>444</v>
      </c>
    </row>
    <row r="401" spans="1:65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 t="s">
        <v>444</v>
      </c>
    </row>
    <row r="402" spans="1:65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  <c r="BL402">
        <v>21</v>
      </c>
      <c r="BM402" t="s">
        <v>1834</v>
      </c>
    </row>
    <row r="403" spans="1:65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  <c r="BL403">
        <v>7</v>
      </c>
      <c r="BM403" t="s">
        <v>446</v>
      </c>
    </row>
    <row r="404" spans="1:65" x14ac:dyDescent="0.25">
      <c r="A404" s="26" t="s">
        <v>467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  <c r="BL404">
        <v>9</v>
      </c>
      <c r="BM404" t="s">
        <v>1239</v>
      </c>
    </row>
    <row r="405" spans="1:65" x14ac:dyDescent="0.25">
      <c r="A405" s="26" t="s">
        <v>1023</v>
      </c>
      <c r="B405" s="26" t="s">
        <v>1023</v>
      </c>
      <c r="C405" s="26">
        <v>55.378100000000003</v>
      </c>
      <c r="D405" s="26">
        <v>-3.4359999999999999</v>
      </c>
      <c r="E405" s="27">
        <v>0</v>
      </c>
      <c r="F405" s="27">
        <v>0</v>
      </c>
      <c r="G405" s="27">
        <v>0</v>
      </c>
      <c r="H405" s="27">
        <v>0</v>
      </c>
      <c r="I405" s="27">
        <v>0</v>
      </c>
      <c r="J405" s="27">
        <v>0</v>
      </c>
      <c r="K405" s="27">
        <v>0</v>
      </c>
      <c r="L405" s="27">
        <v>0</v>
      </c>
      <c r="M405" s="27">
        <v>0</v>
      </c>
      <c r="N405" s="27">
        <v>2</v>
      </c>
      <c r="O405" s="27">
        <v>2</v>
      </c>
      <c r="P405" s="27">
        <v>2</v>
      </c>
      <c r="Q405" s="27">
        <v>2</v>
      </c>
      <c r="R405" s="27">
        <v>2</v>
      </c>
      <c r="S405" s="27">
        <v>2</v>
      </c>
      <c r="T405" s="27">
        <v>2</v>
      </c>
      <c r="U405" s="27">
        <v>3</v>
      </c>
      <c r="V405" s="27">
        <v>3</v>
      </c>
      <c r="W405" s="27">
        <v>3</v>
      </c>
      <c r="X405" s="27">
        <v>8</v>
      </c>
      <c r="Y405" s="27">
        <v>8</v>
      </c>
      <c r="Z405" s="27">
        <v>9</v>
      </c>
      <c r="AA405" s="27">
        <v>9</v>
      </c>
      <c r="AB405" s="27">
        <v>9</v>
      </c>
      <c r="AC405" s="27">
        <v>9</v>
      </c>
      <c r="AD405" s="27">
        <v>9</v>
      </c>
      <c r="AE405" s="27">
        <v>9</v>
      </c>
      <c r="AF405" s="27">
        <v>9</v>
      </c>
      <c r="AG405" s="27">
        <v>9</v>
      </c>
      <c r="AH405" s="27">
        <v>9</v>
      </c>
      <c r="AI405" s="27">
        <v>9</v>
      </c>
      <c r="AJ405" s="27">
        <v>9</v>
      </c>
      <c r="AK405" s="27">
        <v>9</v>
      </c>
      <c r="AL405" s="27">
        <v>13</v>
      </c>
      <c r="AM405" s="27">
        <v>13</v>
      </c>
      <c r="AN405" s="27">
        <v>13</v>
      </c>
      <c r="AO405" s="27">
        <v>15</v>
      </c>
      <c r="AP405" s="27">
        <v>20</v>
      </c>
      <c r="AQ405" s="27">
        <v>23</v>
      </c>
      <c r="AR405" s="27">
        <v>36</v>
      </c>
      <c r="AS405" s="27">
        <v>40</v>
      </c>
      <c r="AT405" s="27">
        <v>51</v>
      </c>
      <c r="AU405" s="27">
        <v>85</v>
      </c>
      <c r="AV405" s="27">
        <v>115</v>
      </c>
      <c r="AW405" s="27">
        <v>163</v>
      </c>
      <c r="AX405" s="27">
        <v>206</v>
      </c>
      <c r="AY405" s="27">
        <v>273</v>
      </c>
      <c r="AZ405" s="27">
        <v>321</v>
      </c>
      <c r="BA405" s="27">
        <v>382</v>
      </c>
      <c r="BB405" s="27">
        <v>456</v>
      </c>
      <c r="BC405" s="27">
        <v>456</v>
      </c>
      <c r="BD405" s="27">
        <v>798</v>
      </c>
      <c r="BE405" s="27">
        <v>1140</v>
      </c>
      <c r="BF405" s="27">
        <v>1140</v>
      </c>
      <c r="BG405" s="27">
        <v>1543</v>
      </c>
      <c r="BH405" s="27">
        <v>1950</v>
      </c>
      <c r="BI405" s="27">
        <v>2626</v>
      </c>
      <c r="BJ405" s="27">
        <v>2689</v>
      </c>
      <c r="BK405">
        <v>3983</v>
      </c>
      <c r="BL405">
        <v>5018</v>
      </c>
      <c r="BM405" t="s">
        <v>1835</v>
      </c>
    </row>
    <row r="406" spans="1:65" x14ac:dyDescent="0.25">
      <c r="A406" s="26"/>
      <c r="B406" s="26" t="s">
        <v>468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  <c r="BL406">
        <v>53</v>
      </c>
      <c r="BM406" t="s">
        <v>1426</v>
      </c>
    </row>
    <row r="407" spans="1:65" x14ac:dyDescent="0.25">
      <c r="A407" s="26" t="s">
        <v>469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  <c r="BL407">
        <v>15</v>
      </c>
      <c r="BM407" t="s">
        <v>1242</v>
      </c>
    </row>
    <row r="408" spans="1:65" x14ac:dyDescent="0.25">
      <c r="A408" s="26" t="s">
        <v>471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  <c r="BL408">
        <v>18</v>
      </c>
      <c r="BM408" t="s">
        <v>1239</v>
      </c>
    </row>
    <row r="409" spans="1:65" x14ac:dyDescent="0.25">
      <c r="A409" s="26" t="s">
        <v>472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  <c r="BL409">
        <v>26</v>
      </c>
      <c r="BM409" t="s">
        <v>1421</v>
      </c>
    </row>
    <row r="410" spans="1:65" x14ac:dyDescent="0.25">
      <c r="A410" s="26"/>
      <c r="B410" s="26" t="s">
        <v>473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  <c r="BL410">
        <v>9</v>
      </c>
      <c r="BM410" t="s">
        <v>450</v>
      </c>
    </row>
    <row r="411" spans="1:65" x14ac:dyDescent="0.25">
      <c r="A411" s="26"/>
      <c r="B411" s="26" t="s">
        <v>474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  <c r="BL411">
        <v>2</v>
      </c>
      <c r="BM411" t="s">
        <v>443</v>
      </c>
    </row>
    <row r="412" spans="1:65" x14ac:dyDescent="0.25">
      <c r="A412" s="26"/>
      <c r="B412" s="26" t="s">
        <v>475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>
        <v>2</v>
      </c>
      <c r="BM412" t="s">
        <v>443</v>
      </c>
    </row>
    <row r="413" spans="1:65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  <c r="BL413">
        <v>10</v>
      </c>
      <c r="BM413" t="s">
        <v>801</v>
      </c>
    </row>
    <row r="414" spans="1:65" x14ac:dyDescent="0.25">
      <c r="A414" s="26"/>
      <c r="B414" s="26" t="s">
        <v>477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  <c r="BL414">
        <v>7</v>
      </c>
      <c r="BM414" t="s">
        <v>1242</v>
      </c>
    </row>
    <row r="415" spans="1:65" x14ac:dyDescent="0.25">
      <c r="A415" s="26"/>
      <c r="B415" s="26" t="s">
        <v>478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>
        <v>1</v>
      </c>
      <c r="BM415" t="s">
        <v>441</v>
      </c>
    </row>
    <row r="416" spans="1:65" x14ac:dyDescent="0.25">
      <c r="A416" s="26" t="s">
        <v>479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  <c r="BL416">
        <v>131</v>
      </c>
      <c r="BM416" t="s">
        <v>1434</v>
      </c>
    </row>
    <row r="417" spans="1:65" x14ac:dyDescent="0.25">
      <c r="A417" s="26"/>
      <c r="B417" s="26" t="s">
        <v>644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  <c r="BL417">
        <v>110</v>
      </c>
      <c r="BM417" t="s">
        <v>1836</v>
      </c>
    </row>
    <row r="418" spans="1:65" x14ac:dyDescent="0.25">
      <c r="A418" s="26"/>
      <c r="B418" s="26" t="s">
        <v>645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  <c r="BL418">
        <v>19</v>
      </c>
      <c r="BM418" t="s">
        <v>447</v>
      </c>
    </row>
    <row r="419" spans="1:65" x14ac:dyDescent="0.25">
      <c r="A419" s="26" t="s">
        <v>646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  <c r="BL419">
        <v>21</v>
      </c>
      <c r="BM419" t="s">
        <v>800</v>
      </c>
    </row>
    <row r="420" spans="1:65" x14ac:dyDescent="0.25">
      <c r="A420" s="26"/>
      <c r="B420" s="26" t="s">
        <v>647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  <c r="BL420">
        <v>3</v>
      </c>
      <c r="BM420" t="s">
        <v>442</v>
      </c>
    </row>
    <row r="421" spans="1:65" x14ac:dyDescent="0.25">
      <c r="A421" s="26"/>
      <c r="B421" s="26" t="s">
        <v>648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  <c r="BL421">
        <v>7</v>
      </c>
      <c r="BM421" t="s">
        <v>446</v>
      </c>
    </row>
    <row r="422" spans="1:65" x14ac:dyDescent="0.25">
      <c r="A422" s="26"/>
      <c r="B422" s="26" t="s">
        <v>649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  <c r="BL422">
        <v>49</v>
      </c>
      <c r="BM422" t="s">
        <v>1837</v>
      </c>
    </row>
    <row r="423" spans="1:65" x14ac:dyDescent="0.25">
      <c r="B423" t="s">
        <v>650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  <c r="BL423">
        <v>70</v>
      </c>
      <c r="BM423" t="s">
        <v>1241</v>
      </c>
    </row>
    <row r="424" spans="1:65" x14ac:dyDescent="0.25">
      <c r="B424" t="s">
        <v>652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>
        <v>1</v>
      </c>
      <c r="BM424" t="s">
        <v>451</v>
      </c>
    </row>
    <row r="425" spans="1:65" x14ac:dyDescent="0.25">
      <c r="B425" t="s">
        <v>653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  <c r="BL425">
        <v>4</v>
      </c>
      <c r="BM425" t="s">
        <v>449</v>
      </c>
    </row>
    <row r="426" spans="1:65" x14ac:dyDescent="0.25">
      <c r="B426" t="s">
        <v>654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  <c r="BL426">
        <v>17</v>
      </c>
      <c r="BM426" t="s">
        <v>1239</v>
      </c>
    </row>
    <row r="427" spans="1:65" x14ac:dyDescent="0.25">
      <c r="B427" t="s">
        <v>655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  <c r="BL427">
        <v>2</v>
      </c>
      <c r="BM427" t="s">
        <v>443</v>
      </c>
    </row>
    <row r="428" spans="1:65" x14ac:dyDescent="0.25">
      <c r="B428" t="s">
        <v>656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  <c r="BL428">
        <v>17</v>
      </c>
      <c r="BM428" t="s">
        <v>1239</v>
      </c>
    </row>
    <row r="429" spans="1:65" x14ac:dyDescent="0.25">
      <c r="B429" t="s">
        <v>657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  <c r="BL429">
        <v>2</v>
      </c>
      <c r="BM429" t="s">
        <v>443</v>
      </c>
    </row>
    <row r="430" spans="1:65" x14ac:dyDescent="0.25">
      <c r="B430" t="s">
        <v>658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>
        <v>1</v>
      </c>
      <c r="BM430" t="s">
        <v>441</v>
      </c>
    </row>
    <row r="431" spans="1:65" x14ac:dyDescent="0.25">
      <c r="B431" t="s">
        <v>659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  <c r="BL431">
        <v>4</v>
      </c>
      <c r="BM431" t="s">
        <v>449</v>
      </c>
    </row>
    <row r="432" spans="1:65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  <c r="BL432">
        <v>18</v>
      </c>
      <c r="BM432" t="s">
        <v>445</v>
      </c>
    </row>
    <row r="433" spans="1:65" x14ac:dyDescent="0.25">
      <c r="A433" t="s">
        <v>791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  <c r="BL433">
        <v>15</v>
      </c>
      <c r="BM433" t="s">
        <v>1427</v>
      </c>
    </row>
    <row r="434" spans="1:65" x14ac:dyDescent="0.25">
      <c r="B434" t="s">
        <v>792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  <c r="BL434">
        <v>2</v>
      </c>
      <c r="BM434" t="s">
        <v>443</v>
      </c>
    </row>
    <row r="435" spans="1:65" x14ac:dyDescent="0.25">
      <c r="A435" t="s">
        <v>793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  <c r="BL435">
        <v>6</v>
      </c>
      <c r="BM435" t="s">
        <v>453</v>
      </c>
    </row>
    <row r="436" spans="1:65" x14ac:dyDescent="0.25">
      <c r="A436" t="s">
        <v>794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  <c r="BL436">
        <v>2</v>
      </c>
      <c r="BM436" t="s">
        <v>443</v>
      </c>
    </row>
    <row r="437" spans="1:65" x14ac:dyDescent="0.25">
      <c r="B437" t="s">
        <v>795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  <c r="BL437">
        <v>3</v>
      </c>
      <c r="BM437" t="s">
        <v>442</v>
      </c>
    </row>
    <row r="438" spans="1:65" x14ac:dyDescent="0.25">
      <c r="B438" t="s">
        <v>796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  <c r="BL438">
        <v>3</v>
      </c>
      <c r="BM438" t="s">
        <v>442</v>
      </c>
    </row>
    <row r="439" spans="1:65" x14ac:dyDescent="0.25">
      <c r="B439" t="s">
        <v>797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  <c r="BL439">
        <v>6</v>
      </c>
      <c r="BM439" t="s">
        <v>453</v>
      </c>
    </row>
    <row r="440" spans="1:65" x14ac:dyDescent="0.25">
      <c r="A440" t="s">
        <v>798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  <c r="BL440">
        <v>7</v>
      </c>
      <c r="BM440" t="s">
        <v>450</v>
      </c>
    </row>
    <row r="441" spans="1:65" x14ac:dyDescent="0.25">
      <c r="B441" t="s">
        <v>799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  <c r="BL441">
        <v>43</v>
      </c>
      <c r="BM441" t="s">
        <v>1321</v>
      </c>
    </row>
    <row r="442" spans="1:65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  <c r="BL442">
        <v>3631</v>
      </c>
      <c r="BM442" t="s">
        <v>1838</v>
      </c>
    </row>
    <row r="443" spans="1:65" x14ac:dyDescent="0.25">
      <c r="A443" t="s">
        <v>1246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  <c r="BL443">
        <v>21</v>
      </c>
      <c r="BM443" t="s">
        <v>465</v>
      </c>
    </row>
    <row r="444" spans="1:65" x14ac:dyDescent="0.25">
      <c r="A444" t="s">
        <v>470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  <c r="BL444">
        <v>53</v>
      </c>
      <c r="BM444" t="s">
        <v>1839</v>
      </c>
    </row>
    <row r="445" spans="1:65" x14ac:dyDescent="0.25">
      <c r="B445" t="s">
        <v>1247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  <c r="BL445">
        <v>2</v>
      </c>
      <c r="BM445" t="s">
        <v>443</v>
      </c>
    </row>
    <row r="446" spans="1:65" x14ac:dyDescent="0.25">
      <c r="B446" t="s">
        <v>1249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  <c r="BL446">
        <v>3</v>
      </c>
      <c r="BM446" t="s">
        <v>442</v>
      </c>
    </row>
    <row r="447" spans="1:65" x14ac:dyDescent="0.25">
      <c r="A447" t="s">
        <v>651</v>
      </c>
      <c r="B447" t="s">
        <v>87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  <c r="BL447">
        <v>3</v>
      </c>
      <c r="BM447" t="s">
        <v>442</v>
      </c>
    </row>
    <row r="448" spans="1:65" x14ac:dyDescent="0.25">
      <c r="B448" t="s">
        <v>1250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  <c r="BL448">
        <v>1</v>
      </c>
      <c r="BM448" t="s">
        <v>441</v>
      </c>
    </row>
    <row r="449" spans="1:65" x14ac:dyDescent="0.25">
      <c r="B449" t="s">
        <v>1251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  <c r="BL449">
        <v>6</v>
      </c>
      <c r="BM449" t="s">
        <v>1817</v>
      </c>
    </row>
    <row r="450" spans="1:65" x14ac:dyDescent="0.25">
      <c r="A450" t="s">
        <v>660</v>
      </c>
      <c r="B450" t="s">
        <v>37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  <c r="BL450">
        <v>3</v>
      </c>
      <c r="BM450" t="s">
        <v>442</v>
      </c>
    </row>
    <row r="451" spans="1:65" x14ac:dyDescent="0.25">
      <c r="A451" t="s">
        <v>1339</v>
      </c>
      <c r="B451" t="s">
        <v>1023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  <c r="BL451">
        <v>3</v>
      </c>
      <c r="BM451" t="s">
        <v>442</v>
      </c>
    </row>
    <row r="452" spans="1:65" x14ac:dyDescent="0.25">
      <c r="A452" t="s">
        <v>236</v>
      </c>
      <c r="B452" t="s">
        <v>42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  <c r="BL452">
        <v>45</v>
      </c>
      <c r="BM452" t="s">
        <v>1240</v>
      </c>
    </row>
    <row r="453" spans="1:65" x14ac:dyDescent="0.25">
      <c r="B453" t="s">
        <v>1252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  <c r="BL453">
        <v>6</v>
      </c>
      <c r="BM453" t="s">
        <v>454</v>
      </c>
    </row>
    <row r="454" spans="1:65" x14ac:dyDescent="0.25">
      <c r="B454" t="s">
        <v>1253</v>
      </c>
      <c r="C454">
        <v>42.5</v>
      </c>
      <c r="D454">
        <v>19.3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0</v>
      </c>
      <c r="BC454" s="27">
        <v>0</v>
      </c>
      <c r="BD454" s="27">
        <v>0</v>
      </c>
      <c r="BE454" s="27">
        <v>0</v>
      </c>
      <c r="BF454" s="27">
        <v>0</v>
      </c>
      <c r="BG454" s="27">
        <v>0</v>
      </c>
      <c r="BH454" s="27">
        <v>2</v>
      </c>
      <c r="BI454" s="27">
        <v>1</v>
      </c>
      <c r="BJ454">
        <v>3</v>
      </c>
      <c r="BK454">
        <v>14</v>
      </c>
      <c r="BL454">
        <v>14</v>
      </c>
      <c r="BM454" t="s">
        <v>1437</v>
      </c>
    </row>
    <row r="455" spans="1:65" x14ac:dyDescent="0.25">
      <c r="B455" t="s">
        <v>1254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  <c r="BL455">
        <v>14</v>
      </c>
      <c r="BM455" t="s">
        <v>454</v>
      </c>
    </row>
    <row r="456" spans="1:65" x14ac:dyDescent="0.25">
      <c r="B456" t="s">
        <v>1255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  <c r="BL456">
        <v>14</v>
      </c>
      <c r="BM456" t="s">
        <v>445</v>
      </c>
    </row>
    <row r="457" spans="1:65" x14ac:dyDescent="0.25">
      <c r="A457" t="s">
        <v>476</v>
      </c>
      <c r="B457" t="s">
        <v>87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  <c r="BL457">
        <v>5</v>
      </c>
      <c r="BM457" t="s">
        <v>1438</v>
      </c>
    </row>
    <row r="458" spans="1:65" x14ac:dyDescent="0.25">
      <c r="B458" t="s">
        <v>1256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  <c r="BL458">
        <v>2</v>
      </c>
      <c r="BM458" t="s">
        <v>442</v>
      </c>
    </row>
    <row r="459" spans="1:65" x14ac:dyDescent="0.25">
      <c r="B459" t="s">
        <v>1257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  <c r="BL459">
        <v>1</v>
      </c>
      <c r="BM459" t="s">
        <v>441</v>
      </c>
    </row>
    <row r="460" spans="1:65" x14ac:dyDescent="0.25">
      <c r="B460" t="s">
        <v>1258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  <c r="BL460">
        <v>1</v>
      </c>
      <c r="BM460" t="s">
        <v>441</v>
      </c>
    </row>
    <row r="461" spans="1:65" x14ac:dyDescent="0.25">
      <c r="A461" t="s">
        <v>1340</v>
      </c>
      <c r="B461" t="s">
        <v>1023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  <c r="BL461">
        <v>1</v>
      </c>
      <c r="BM461" t="s">
        <v>441</v>
      </c>
    </row>
    <row r="462" spans="1:65" x14ac:dyDescent="0.25">
      <c r="B462" t="s">
        <v>1341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  <c r="BL462">
        <v>4</v>
      </c>
      <c r="BM462" t="s">
        <v>451</v>
      </c>
    </row>
    <row r="463" spans="1:65" x14ac:dyDescent="0.25">
      <c r="A463" t="s">
        <v>1248</v>
      </c>
      <c r="B463" t="s">
        <v>85</v>
      </c>
      <c r="C463">
        <v>71.706900000000005</v>
      </c>
      <c r="D463">
        <v>-42.604300000000002</v>
      </c>
      <c r="E463" s="27">
        <v>0</v>
      </c>
      <c r="F463" s="27">
        <v>0</v>
      </c>
      <c r="G463" s="27">
        <v>0</v>
      </c>
      <c r="H463" s="27">
        <v>0</v>
      </c>
      <c r="I463" s="27">
        <v>0</v>
      </c>
      <c r="J463" s="27">
        <v>0</v>
      </c>
      <c r="K463" s="27">
        <v>0</v>
      </c>
      <c r="L463" s="27">
        <v>0</v>
      </c>
      <c r="M463" s="27">
        <v>0</v>
      </c>
      <c r="N463" s="27">
        <v>0</v>
      </c>
      <c r="O463" s="27">
        <v>0</v>
      </c>
      <c r="P463" s="27">
        <v>0</v>
      </c>
      <c r="Q463" s="27">
        <v>0</v>
      </c>
      <c r="R463" s="27">
        <v>0</v>
      </c>
      <c r="S463" s="27">
        <v>0</v>
      </c>
      <c r="T463" s="27">
        <v>0</v>
      </c>
      <c r="U463" s="27">
        <v>0</v>
      </c>
      <c r="V463" s="27">
        <v>0</v>
      </c>
      <c r="W463" s="27">
        <v>0</v>
      </c>
      <c r="X463" s="27">
        <v>0</v>
      </c>
      <c r="Y463" s="27">
        <v>0</v>
      </c>
      <c r="Z463" s="27">
        <v>0</v>
      </c>
      <c r="AA463" s="27">
        <v>0</v>
      </c>
      <c r="AB463" s="27">
        <v>0</v>
      </c>
      <c r="AC463" s="27">
        <v>0</v>
      </c>
      <c r="AD463" s="27">
        <v>0</v>
      </c>
      <c r="AE463" s="27">
        <v>0</v>
      </c>
      <c r="AF463" s="27">
        <v>0</v>
      </c>
      <c r="AG463" s="27">
        <v>0</v>
      </c>
      <c r="AH463" s="27">
        <v>0</v>
      </c>
      <c r="AI463" s="27">
        <v>0</v>
      </c>
      <c r="AJ463" s="27">
        <v>0</v>
      </c>
      <c r="AK463" s="27">
        <v>0</v>
      </c>
      <c r="AL463" s="27">
        <v>0</v>
      </c>
      <c r="AM463" s="27">
        <v>0</v>
      </c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27">
        <v>0</v>
      </c>
      <c r="AU463" s="27">
        <v>0</v>
      </c>
      <c r="AV463" s="27">
        <v>0</v>
      </c>
      <c r="AW463" s="27">
        <v>0</v>
      </c>
      <c r="AX463" s="27">
        <v>0</v>
      </c>
      <c r="AY463" s="27">
        <v>0</v>
      </c>
      <c r="AZ463" s="27">
        <v>0</v>
      </c>
      <c r="BA463" s="27">
        <v>0</v>
      </c>
      <c r="BB463" s="27">
        <v>0</v>
      </c>
      <c r="BC463" s="27">
        <v>0</v>
      </c>
      <c r="BD463" s="27">
        <v>0</v>
      </c>
      <c r="BE463" s="27">
        <v>0</v>
      </c>
      <c r="BF463" s="27">
        <v>0</v>
      </c>
      <c r="BG463" s="27">
        <v>1</v>
      </c>
      <c r="BH463" s="27">
        <v>1</v>
      </c>
      <c r="BI463" s="27">
        <v>1</v>
      </c>
      <c r="BJ463" s="27">
        <v>2</v>
      </c>
      <c r="BK463">
        <v>2</v>
      </c>
      <c r="BL463">
        <v>2</v>
      </c>
      <c r="BM463" t="s">
        <v>451</v>
      </c>
    </row>
    <row r="464" spans="1:65" x14ac:dyDescent="0.25">
      <c r="A464" t="s">
        <v>1342</v>
      </c>
      <c r="B464" t="s">
        <v>42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  <c r="BL464">
        <v>4</v>
      </c>
      <c r="BM464" t="s">
        <v>451</v>
      </c>
    </row>
    <row r="465" spans="1:65" x14ac:dyDescent="0.25">
      <c r="A465" t="s">
        <v>1343</v>
      </c>
      <c r="B465" t="s">
        <v>1023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  <c r="BL465">
        <v>2</v>
      </c>
      <c r="BM465" t="s">
        <v>443</v>
      </c>
    </row>
    <row r="466" spans="1:65" x14ac:dyDescent="0.25">
      <c r="B466" t="s">
        <v>1344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  <c r="BL466">
        <v>1</v>
      </c>
      <c r="BM466" t="s">
        <v>441</v>
      </c>
    </row>
    <row r="467" spans="1:65" x14ac:dyDescent="0.25">
      <c r="B467" t="s">
        <v>1345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  <c r="BL467">
        <v>3</v>
      </c>
      <c r="BM467" t="s">
        <v>442</v>
      </c>
    </row>
    <row r="468" spans="1:65" x14ac:dyDescent="0.25">
      <c r="B468" t="s">
        <v>1346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  <c r="BL468">
        <v>1</v>
      </c>
      <c r="BM468" t="s">
        <v>443</v>
      </c>
    </row>
    <row r="469" spans="1:65" x14ac:dyDescent="0.25">
      <c r="B469" t="s">
        <v>1347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  <c r="BL469">
        <v>2</v>
      </c>
      <c r="BM469" t="s">
        <v>443</v>
      </c>
    </row>
    <row r="470" spans="1:65" x14ac:dyDescent="0.25">
      <c r="B470" t="s">
        <v>1348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  <c r="BL470">
        <v>3</v>
      </c>
      <c r="BM470" t="s">
        <v>442</v>
      </c>
    </row>
    <row r="471" spans="1:65" x14ac:dyDescent="0.25">
      <c r="B471" t="s">
        <v>1349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  <c r="BL471">
        <v>2</v>
      </c>
      <c r="BM471" t="s">
        <v>443</v>
      </c>
    </row>
    <row r="472" spans="1:65" x14ac:dyDescent="0.25">
      <c r="B472" t="s">
        <v>1350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  <c r="BL472">
        <v>2</v>
      </c>
      <c r="BM472" t="s">
        <v>443</v>
      </c>
    </row>
    <row r="473" spans="1:65" x14ac:dyDescent="0.25">
      <c r="B473" t="s">
        <v>1351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  <c r="BL473">
        <v>3</v>
      </c>
      <c r="BM473" t="s">
        <v>442</v>
      </c>
    </row>
    <row r="474" spans="1:65" x14ac:dyDescent="0.25">
      <c r="A474" t="s">
        <v>1352</v>
      </c>
      <c r="B474" t="s">
        <v>87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  <c r="BL474">
        <v>1</v>
      </c>
      <c r="BM474" t="s">
        <v>441</v>
      </c>
    </row>
    <row r="475" spans="1:65" x14ac:dyDescent="0.25">
      <c r="B475" t="s">
        <v>1353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  <c r="BL475">
        <v>1</v>
      </c>
      <c r="BM475" t="s">
        <v>443</v>
      </c>
    </row>
    <row r="476" spans="1:65" x14ac:dyDescent="0.25">
      <c r="B476" t="s">
        <v>1354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  <c r="BL476">
        <v>1</v>
      </c>
      <c r="BM476" t="s">
        <v>441</v>
      </c>
    </row>
    <row r="477" spans="1:65" x14ac:dyDescent="0.25">
      <c r="A477" t="s">
        <v>1355</v>
      </c>
      <c r="B477" t="s">
        <v>1023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  <c r="BL477">
        <v>1</v>
      </c>
      <c r="BM477" t="s">
        <v>449</v>
      </c>
    </row>
    <row r="478" spans="1:65" x14ac:dyDescent="0.25">
      <c r="B478" t="s">
        <v>1356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  <c r="BL478">
        <v>3</v>
      </c>
      <c r="BM478" t="s">
        <v>442</v>
      </c>
    </row>
    <row r="479" spans="1:65" x14ac:dyDescent="0.25">
      <c r="A479" t="s">
        <v>1442</v>
      </c>
      <c r="B479" t="s">
        <v>46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1</v>
      </c>
      <c r="BM479" t="s">
        <v>441</v>
      </c>
    </row>
    <row r="480" spans="1:65" x14ac:dyDescent="0.25">
      <c r="B480" t="s">
        <v>1443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1</v>
      </c>
      <c r="BM480" t="s">
        <v>441</v>
      </c>
    </row>
    <row r="481" spans="2:65" x14ac:dyDescent="0.25">
      <c r="B481" t="s">
        <v>1444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</v>
      </c>
      <c r="BM481" t="s">
        <v>441</v>
      </c>
    </row>
    <row r="482" spans="2:65" x14ac:dyDescent="0.25">
      <c r="B482" t="s">
        <v>1445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1</v>
      </c>
      <c r="BM482" t="s">
        <v>441</v>
      </c>
    </row>
    <row r="483" spans="2:65" x14ac:dyDescent="0.25">
      <c r="B483" t="s">
        <v>1446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1</v>
      </c>
      <c r="BM483" t="s">
        <v>441</v>
      </c>
    </row>
    <row r="484" spans="2:65" x14ac:dyDescent="0.25">
      <c r="B484" t="s">
        <v>1840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 t="s">
        <v>441</v>
      </c>
    </row>
    <row r="485" spans="2:65" x14ac:dyDescent="0.25">
      <c r="B485" t="s">
        <v>1841</v>
      </c>
      <c r="C485">
        <v>12.1165</v>
      </c>
      <c r="D485">
        <v>-61.679000000000002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 t="s">
        <v>441</v>
      </c>
    </row>
    <row r="486" spans="2:65" x14ac:dyDescent="0.25">
      <c r="B486" t="s">
        <v>1842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 t="s">
        <v>441</v>
      </c>
    </row>
    <row r="487" spans="2:65" x14ac:dyDescent="0.25">
      <c r="B487" t="s">
        <v>1843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 t="s">
        <v>441</v>
      </c>
    </row>
    <row r="488" spans="2:65" x14ac:dyDescent="0.25">
      <c r="B488" t="s">
        <v>1844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1</v>
      </c>
    </row>
  </sheetData>
  <autoFilter ref="A1:DP488"/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topLeftCell="A4" workbookViewId="0">
      <selection activeCell="K5" sqref="K5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39" t="s">
        <v>789</v>
      </c>
      <c r="B1" s="39" t="s">
        <v>768</v>
      </c>
      <c r="E1" t="s">
        <v>790</v>
      </c>
      <c r="F1" t="s">
        <v>1260</v>
      </c>
      <c r="G1" t="s">
        <v>1259</v>
      </c>
      <c r="H1" t="s">
        <v>1261</v>
      </c>
    </row>
    <row r="2" spans="1:8" ht="33.75" thickBot="1" x14ac:dyDescent="0.3">
      <c r="A2" s="40">
        <v>0</v>
      </c>
      <c r="B2" s="40" t="s">
        <v>769</v>
      </c>
      <c r="E2" s="26" t="s">
        <v>978</v>
      </c>
      <c r="F2" t="s">
        <v>48</v>
      </c>
      <c r="G2" s="27">
        <v>43851</v>
      </c>
      <c r="H2">
        <v>1</v>
      </c>
    </row>
    <row r="3" spans="1:8" ht="17.25" thickBot="1" x14ac:dyDescent="0.3">
      <c r="A3" s="40">
        <v>1</v>
      </c>
      <c r="B3" s="40" t="s">
        <v>770</v>
      </c>
      <c r="E3" t="s">
        <v>202</v>
      </c>
      <c r="G3" s="27">
        <v>43851</v>
      </c>
      <c r="H3">
        <v>-1</v>
      </c>
    </row>
    <row r="4" spans="1:8" ht="17.25" thickBot="1" x14ac:dyDescent="0.3">
      <c r="A4" s="40">
        <v>2</v>
      </c>
      <c r="B4" s="40" t="s">
        <v>771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0">
        <v>3</v>
      </c>
      <c r="B5" s="40" t="s">
        <v>772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0">
        <v>4</v>
      </c>
      <c r="B6" s="40" t="s">
        <v>773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0">
        <v>5</v>
      </c>
      <c r="B7" s="40" t="s">
        <v>774</v>
      </c>
      <c r="E7" s="26" t="s">
        <v>1266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0">
        <v>6</v>
      </c>
      <c r="B8" s="40" t="s">
        <v>775</v>
      </c>
      <c r="E8" s="26" t="s">
        <v>1236</v>
      </c>
      <c r="F8" t="s">
        <v>1023</v>
      </c>
      <c r="G8" s="27">
        <v>43860</v>
      </c>
      <c r="H8" s="26">
        <v>1</v>
      </c>
    </row>
    <row r="9" spans="1:8" ht="17.25" thickBot="1" x14ac:dyDescent="0.3">
      <c r="A9" s="40">
        <v>7</v>
      </c>
      <c r="B9" s="40" t="s">
        <v>776</v>
      </c>
      <c r="E9" s="26" t="s">
        <v>40</v>
      </c>
      <c r="F9" s="26" t="s">
        <v>40</v>
      </c>
      <c r="G9" s="27">
        <v>43852</v>
      </c>
      <c r="H9" s="26">
        <v>1</v>
      </c>
    </row>
    <row r="10" spans="1:8" ht="17.25" thickBot="1" x14ac:dyDescent="0.3">
      <c r="A10" s="40">
        <v>8</v>
      </c>
      <c r="B10" s="40" t="s">
        <v>777</v>
      </c>
      <c r="E10" t="s">
        <v>975</v>
      </c>
      <c r="G10" s="27">
        <v>43831</v>
      </c>
      <c r="H10" s="26">
        <v>1</v>
      </c>
    </row>
    <row r="11" spans="1:8" ht="17.25" thickBot="1" x14ac:dyDescent="0.3">
      <c r="A11" s="40">
        <v>9</v>
      </c>
      <c r="B11" s="40" t="s">
        <v>778</v>
      </c>
    </row>
    <row r="12" spans="1:8" ht="17.25" thickBot="1" x14ac:dyDescent="0.3">
      <c r="A12" s="40">
        <v>10</v>
      </c>
      <c r="B12" s="40" t="s">
        <v>779</v>
      </c>
    </row>
    <row r="13" spans="1:8" ht="17.25" thickBot="1" x14ac:dyDescent="0.3">
      <c r="A13" s="40">
        <v>11</v>
      </c>
      <c r="B13" s="40" t="s">
        <v>780</v>
      </c>
    </row>
    <row r="14" spans="1:8" ht="17.25" thickBot="1" x14ac:dyDescent="0.3">
      <c r="A14" s="40">
        <v>13</v>
      </c>
      <c r="B14" s="40" t="s">
        <v>781</v>
      </c>
    </row>
    <row r="15" spans="1:8" ht="33.75" thickBot="1" x14ac:dyDescent="0.3">
      <c r="A15" s="40">
        <v>14</v>
      </c>
      <c r="B15" s="40" t="s">
        <v>782</v>
      </c>
    </row>
    <row r="16" spans="1:8" ht="33.75" thickBot="1" x14ac:dyDescent="0.3">
      <c r="A16" s="40">
        <v>15</v>
      </c>
      <c r="B16" s="40" t="s">
        <v>783</v>
      </c>
    </row>
    <row r="17" spans="1:2" ht="33.75" thickBot="1" x14ac:dyDescent="0.3">
      <c r="A17" s="40">
        <v>16</v>
      </c>
      <c r="B17" s="40" t="s">
        <v>784</v>
      </c>
    </row>
    <row r="18" spans="1:2" ht="17.25" thickBot="1" x14ac:dyDescent="0.3">
      <c r="A18" s="40">
        <v>17</v>
      </c>
      <c r="B18" s="40" t="s">
        <v>785</v>
      </c>
    </row>
    <row r="19" spans="1:2" ht="17.25" thickBot="1" x14ac:dyDescent="0.3">
      <c r="A19" s="40">
        <v>18</v>
      </c>
      <c r="B19" s="40" t="s">
        <v>786</v>
      </c>
    </row>
    <row r="20" spans="1:2" ht="17.25" thickBot="1" x14ac:dyDescent="0.3">
      <c r="A20" s="40">
        <v>19</v>
      </c>
      <c r="B20" s="40" t="s">
        <v>787</v>
      </c>
    </row>
    <row r="21" spans="1:2" ht="16.5" x14ac:dyDescent="0.25">
      <c r="A21" s="40">
        <v>20</v>
      </c>
      <c r="B21" s="40" t="s">
        <v>788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17</vt:i4>
      </vt:variant>
      <vt:variant>
        <vt:lpstr>Named Ranges</vt:lpstr>
      </vt:variant>
      <vt:variant>
        <vt:i4>104</vt:i4>
      </vt:variant>
    </vt:vector>
  </HeadingPairs>
  <TitlesOfParts>
    <vt:vector size="127" baseType="lpstr">
      <vt:lpstr>myData</vt:lpstr>
      <vt:lpstr>Chart Index</vt:lpstr>
      <vt:lpstr>BedOccupancy</vt:lpstr>
      <vt:lpstr>Names</vt:lpstr>
      <vt:lpstr>time_series_19-covid-Confirmed</vt:lpstr>
      <vt:lpstr>solvMsgs</vt:lpstr>
      <vt:lpstr>chtAllcases</vt:lpstr>
      <vt:lpstr>chtAsymptoteNSW</vt:lpstr>
      <vt:lpstr>chtFutureAllSK2</vt:lpstr>
      <vt:lpstr>chtFutureNSW</vt:lpstr>
      <vt:lpstr>chtFutureUK</vt:lpstr>
      <vt:lpstr>chtFutureSKorea</vt:lpstr>
      <vt:lpstr>chtFutureNSWUS</vt:lpstr>
      <vt:lpstr>chtFutureAll</vt:lpstr>
      <vt:lpstr>chtFutureNSWEarly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myData!betaPodeltaSingapore</vt:lpstr>
      <vt:lpstr>myData!betaPodeltaSKorea</vt:lpstr>
      <vt:lpstr>myData!betaPodeltaTest</vt:lpstr>
      <vt:lpstr>myData!betaPodeltaUK</vt:lpstr>
      <vt:lpstr>myData!betaPodeltaUS</vt:lpstr>
      <vt:lpstr>myData!betaSingapore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myData!deltaconstraint</vt:lpstr>
      <vt:lpstr>myData!deltaItaly</vt:lpstr>
      <vt:lpstr>myData!deltaNSW</vt:lpstr>
      <vt:lpstr>myData!deltaSingapore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myData!LogestBNSW</vt:lpstr>
      <vt:lpstr>myData!LogEstMNSW</vt:lpstr>
      <vt:lpstr>myData!LogFormula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myData!msqSingapore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myData!PoSingapore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myData!RunTimeAu</vt:lpstr>
      <vt:lpstr>myData!SingaporePop</vt:lpstr>
      <vt:lpstr>myData!SingaporeSeries</vt:lpstr>
      <vt:lpstr>myData!SingaporeStart</vt:lpstr>
      <vt:lpstr>myData!SKoreaPop</vt:lpstr>
      <vt:lpstr>myData!SKoreaSeries</vt:lpstr>
      <vt:lpstr>myData!SKoreaStart</vt:lpstr>
      <vt:lpstr>SolverMsg</vt:lpstr>
      <vt:lpstr>myData!StartDt2Au</vt:lpstr>
      <vt:lpstr>myData!StartDt2China</vt:lpstr>
      <vt:lpstr>myData!StartDt2Italy</vt:lpstr>
      <vt:lpstr>myData!StartDt2Korea</vt:lpstr>
      <vt:lpstr>myData!StartDt2NSW</vt:lpstr>
      <vt:lpstr>myData!StartDt2Singapore</vt:lpstr>
      <vt:lpstr>myData!StartDt2Tests</vt:lpstr>
      <vt:lpstr>myData!StartDt2UK</vt:lpstr>
      <vt:lpstr>myData!StartDt2US</vt:lpstr>
      <vt:lpstr>myData!TitleAll</vt:lpstr>
      <vt:lpstr>myData!TitleAllSK</vt:lpstr>
      <vt:lpstr>myData!TitleCases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2020-03-23T11:07:24Z</dcterms:modified>
</cp:coreProperties>
</file>