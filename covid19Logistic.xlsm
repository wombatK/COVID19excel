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3.xml" ContentType="application/vnd.ms-excel.controlproperti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 activeTab="6"/>
  </bookViews>
  <sheets>
    <sheet name="myData" sheetId="4" r:id="rId1"/>
    <sheet name="chtAsymptoteNSW" sheetId="32" r:id="rId2"/>
    <sheet name="chtFutureAllSK2" sheetId="33" r:id="rId3"/>
    <sheet name="chtFutureUK" sheetId="30" r:id="rId4"/>
    <sheet name="chtFutureSKorea" sheetId="26" r:id="rId5"/>
    <sheet name="chtFutureNSWUS" sheetId="25" r:id="rId6"/>
    <sheet name="chtFutureAll" sheetId="15" r:id="rId7"/>
    <sheet name="Chart Index" sheetId="14" r:id="rId8"/>
    <sheet name="chtFutureNSWEarly" sheetId="8" r:id="rId9"/>
    <sheet name="chtFutureNSW" sheetId="5" r:id="rId10"/>
    <sheet name="chtFutureItalyEarly" sheetId="7" r:id="rId11"/>
    <sheet name="chtFutureItaly" sheetId="6" r:id="rId12"/>
    <sheet name="chtFutureUSEarly" sheetId="10" r:id="rId13"/>
    <sheet name="chtFutureUS" sheetId="11" r:id="rId14"/>
    <sheet name="chtFutureChina" sheetId="19" r:id="rId15"/>
    <sheet name="chtTests" sheetId="22" r:id="rId16"/>
    <sheet name="chtFutureAU" sheetId="24" r:id="rId17"/>
    <sheet name="chtFutureAllAU" sheetId="23" r:id="rId18"/>
    <sheet name="BedOccupancy" sheetId="16" state="hidden" r:id="rId19"/>
    <sheet name="Names" sheetId="20" state="hidden" r:id="rId20"/>
    <sheet name="time_series_19-covid-Confirmed" sheetId="1" r:id="rId21"/>
    <sheet name="solvMsgs" sheetId="21" r:id="rId22"/>
  </sheets>
  <functionGroups builtInGroupCount="18"/>
  <externalReferences>
    <externalReference r:id="rId23"/>
  </externalReferences>
  <definedNames>
    <definedName name="_xlnm._FilterDatabase" localSheetId="19" hidden="1">Names!$A$1:$P$56</definedName>
    <definedName name="_xlnm._FilterDatabase" localSheetId="20" hidden="1">'time_series_19-covid-Confirmed'!$A$1:$DP$476</definedName>
    <definedName name="aaaTest">MATCH(1,tblData[SKorea Cases Per Capita],0)</definedName>
    <definedName name="Asymptote" localSheetId="0">myData!$D$2</definedName>
    <definedName name="AuCases" localSheetId="0">OFFSET(tblData[[#Headers],[Au Cases Per Capita]],MATCH(0,tblData[Au Cases Per Capita],0),0,COUNTA(tblData[New South Wales])-MATCH(0,tblData[NSW Cases per Capita],0)+1,1)</definedName>
    <definedName name="AuDates" localSheetId="0">myData!NSWDates</definedName>
    <definedName name="AuLogi" localSheetId="0">OFFSET(tblData[[#Headers],[Au LogiP(t) Per Capita]],MATCH(0,tblData[NSW],0),0,COUNTA(tblData[Date])-MATCH(0,tblData[NSW],0)+1,1)</definedName>
    <definedName name="AuLogiDates" localSheetId="0">OFFSET(tblData[[#Headers],[Date]],MATCH(0,tblData[NSW],0),0,COUNTA(tblData[Date])-MATCH(0,tblData[NSW],0)+1,1)</definedName>
    <definedName name="AuMaxCasespc" localSheetId="0">myData!$CI$11</definedName>
    <definedName name="AuPop" localSheetId="0">myData!$AA$8</definedName>
    <definedName name="AuSeries" localSheetId="0">myData!$CF$11</definedName>
    <definedName name="beta" localSheetId="0">myData!$A$2</definedName>
    <definedName name="betaAu" localSheetId="0">myData!$BP$11</definedName>
    <definedName name="betaChina" localSheetId="0">myData!$BP$15</definedName>
    <definedName name="betaItaly" localSheetId="0">myData!$BP$13</definedName>
    <definedName name="betaNSW" localSheetId="0">myData!$BP$12</definedName>
    <definedName name="betaPodelta" localSheetId="0">myData!$F$2</definedName>
    <definedName name="betaPodeltaAu" localSheetId="0">myData!$BU$11</definedName>
    <definedName name="betaPodeltaChina" localSheetId="0">myData!$BU$15</definedName>
    <definedName name="betaPodeltaItaly" localSheetId="0">myData!$BU$13</definedName>
    <definedName name="betaPodeltaNSW" localSheetId="0">myData!$BU$12</definedName>
    <definedName name="betaPodeltaSKorea" localSheetId="0">myData!$BU$16</definedName>
    <definedName name="betaPodeltaTest" localSheetId="0">myData!$AH$2</definedName>
    <definedName name="betaPodeltaUK" localSheetId="0">myData!$BU$17</definedName>
    <definedName name="betaPodeltaUS" localSheetId="0">myData!$BU$14</definedName>
    <definedName name="betaSKorea" localSheetId="0">myData!$BP$16</definedName>
    <definedName name="betaTest" localSheetId="0">myData!$AC$2</definedName>
    <definedName name="betaTests" localSheetId="0">myData!$BP$18</definedName>
    <definedName name="betaUK" localSheetId="0">myData!$BP$17</definedName>
    <definedName name="betaUS" localSheetId="0">myData!$BP$14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myData!$CF$15</definedName>
    <definedName name="Countries" comment="List of Countries for running solver">solvMsgs!$E$1:$G$9</definedName>
    <definedName name="delta" localSheetId="0">myData!$B$2</definedName>
    <definedName name="deltaAu" localSheetId="0">myData!$BQ$11</definedName>
    <definedName name="deltaChina" localSheetId="0">myData!$BQ$15</definedName>
    <definedName name="deltaconstraint" localSheetId="0">myData!$B$3</definedName>
    <definedName name="deltaItaly" localSheetId="0">myData!$BQ$13</definedName>
    <definedName name="deltaNSW" localSheetId="0">myData!$BQ$12</definedName>
    <definedName name="deltaSKorea" localSheetId="0">myData!$BQ$16</definedName>
    <definedName name="deltaTest" localSheetId="0">myData!$AD$2</definedName>
    <definedName name="deltaTests" localSheetId="0">myData!$BQ$18</definedName>
    <definedName name="deltaUK" localSheetId="0">myData!$BQ$17</definedName>
    <definedName name="deltaUS" localSheetId="0">myData!$BQ$14</definedName>
    <definedName name="HisTableBL" localSheetId="0">OFFSET(myData!HisTableTL,0,COUNTA(myData!$DE:$DE)+1,1,1)</definedName>
    <definedName name="HisTableTL" localSheetId="0">myData!$DE$10</definedName>
    <definedName name="ItalyCases" localSheetId="0">OFFSET(tblData[[#Headers],[Italy Cases per Capita]],MATCH(0,tblData[Italy Cases per Capita],0),0,COUNTA(tblData[Italy Cases per Capita]),1)</definedName>
    <definedName name="ItalyDates" localSheetId="0">OFFSET(tblData[[#Headers],[Date]],MATCH(0,tblData[Italy],0),0,COUNTA(tblData[Italy]),1)</definedName>
    <definedName name="ItalyLogi" localSheetId="0">OFFSET(tblData[[#Headers],[Italy LogiP(t) Per Capita]],MATCH(0,tblData[Italy],0),0,COUNTA(tblData[Date])-MATCH(0,tblData[Italy],0)+1,1)</definedName>
    <definedName name="ItalyLogiDates" localSheetId="0">OFFSET(tblData[[#Headers],[Date]],MATCH(0,tblData[Italy],0),0,COUNTA(tblData[Date])-MATCH(0,tblData[Italy],0)+1,1)</definedName>
    <definedName name="ItalyPop" localSheetId="0">myData!$N$8</definedName>
    <definedName name="ItalySeries" localSheetId="0">myData!$CF$13</definedName>
    <definedName name="ItalyStart" localSheetId="0">myData!$BM$13</definedName>
    <definedName name="LogFormula" localSheetId="0">myData!$DX$6</definedName>
    <definedName name="MaxAusCases" localSheetId="0">myData!$BZ$11</definedName>
    <definedName name="MaxNSWCases" localSheetId="0">myData!$BZ$12</definedName>
    <definedName name="msqAu" localSheetId="0">myData!$BT$11</definedName>
    <definedName name="msqChina" localSheetId="0">myData!$BT$15</definedName>
    <definedName name="msqItaly" localSheetId="0">myData!$BT$13</definedName>
    <definedName name="msqNSW" localSheetId="0">myData!$BT$12</definedName>
    <definedName name="msqSKorea" localSheetId="0">myData!$BT$16</definedName>
    <definedName name="msqTest" localSheetId="0">myData!$AG$2</definedName>
    <definedName name="msqTests" localSheetId="0">myData!$BT$18</definedName>
    <definedName name="msqUK" localSheetId="0">myData!$BT$17</definedName>
    <definedName name="msqUS" localSheetId="0">myData!$BT$14</definedName>
    <definedName name="mySolverPar" localSheetId="0">myData!$A$2:$E$2</definedName>
    <definedName name="NSWCases" localSheetId="0">OFFSET(tblData[[#Headers],[NSW Cases per Capita]],MATCH(0,tblData[NSW Cases per Capita],0),0,COUNTA(tblData[New South Wales])-MATCH(0,tblData[NSW Cases per Capita],0)+1,1)</definedName>
    <definedName name="NSWDates" localSheetId="0">OFFSET(tblData[[#Headers],[Date]],MATCH(0,tblData[NSW],0),0,COUNTA(tblData[New South Wales])-MATCH(0,tblData[NSW],0)+1,1)</definedName>
    <definedName name="NSWLogi" localSheetId="0">OFFSET(tblData[[#Headers],[Nsw LogiP(t) Per Capita]],MATCH(0,tblData[NSW],0),0,COUNTA(tblData[Date])-MATCH(0,tblData[NSW],0)+1,1)</definedName>
    <definedName name="NSWLogiDates" localSheetId="0">OFFSET(tblData[[#Headers],[Date]],MATCH(0,tblData[NSW],0),0,COUNTA(tblData[Date])-MATCH(0,tblData[NSW],0)+1,1)</definedName>
    <definedName name="NSWMaxCasespc" localSheetId="0">myData!$CI$12</definedName>
    <definedName name="NSWpop" comment="NSW population" localSheetId="0">myData!$L$8</definedName>
    <definedName name="NSWSeries" localSheetId="0">myData!$CF$12</definedName>
    <definedName name="PerPerson" localSheetId="0">myData!$L$2</definedName>
    <definedName name="PerPersonLabel">myData!$L$3</definedName>
    <definedName name="Po" localSheetId="0">myData!$C$2</definedName>
    <definedName name="PoAu" localSheetId="0">myData!$BR$11</definedName>
    <definedName name="PoChina" localSheetId="0">myData!$BR$15</definedName>
    <definedName name="PoItaly" localSheetId="0">myData!$BR$13</definedName>
    <definedName name="PoNSW" localSheetId="0">myData!$BR$12</definedName>
    <definedName name="PopScaling" comment="Value of 1 applies population scaling so result is per 10m people" localSheetId="0">myData!$J$2</definedName>
    <definedName name="PoSKorea" localSheetId="0">myData!$BR$16</definedName>
    <definedName name="PoTest" localSheetId="0">myData!$AE$2</definedName>
    <definedName name="PoTests" localSheetId="0">myData!$BR$18</definedName>
    <definedName name="PoUK" localSheetId="0">myData!$BR$17</definedName>
    <definedName name="PoUS" localSheetId="0">myData!$BR$14</definedName>
    <definedName name="RunRange" localSheetId="0">OFFSET(myData!RunTableTL,0,0,COUNTA(myData!$BK:$BK),COLUMN(myData!RunTableTR)-COLUMN(myData!RunTableTL)+1)</definedName>
    <definedName name="RunTableTL" localSheetId="0">myData!$BK$10</definedName>
    <definedName name="RunTableTR" localSheetId="0">myData!$CM$10</definedName>
    <definedName name="RunTimeAu" localSheetId="0">myData!$BL$11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Capita]],1,0,COUNTA(tblData[Date]),1)</definedName>
    <definedName name="SKoreaLogiDates" localSheetId="0">OFFSET(tblData[[#Headers],[Date]],1,0,COUNTA(tblData[Date]),1)</definedName>
    <definedName name="SKoreaPop" localSheetId="0">myData!$R$8</definedName>
    <definedName name="SKoreaSeries" localSheetId="0">myData!$CF$16</definedName>
    <definedName name="SKoreaStart" localSheetId="0">myData!$BM$16</definedName>
    <definedName name="solver_adj" localSheetId="0" hidden="1">myData!$BP$11:$BR$11</definedName>
    <definedName name="solver_cvg" localSheetId="0" hidden="1">0.000001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myData!$AD$2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myData!$BT$11</definedName>
    <definedName name="solver_pre" localSheetId="0" hidden="1">0.000000001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myData!$B$3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StartDt2Au" localSheetId="0">myData!$BN$11</definedName>
    <definedName name="StartDt2China" localSheetId="0">myData!$BN$15</definedName>
    <definedName name="StartDt2Italy" localSheetId="0">myData!$BN$13</definedName>
    <definedName name="StartDt2Korea" localSheetId="0">myData!$BN$16</definedName>
    <definedName name="StartDt2NSW" localSheetId="0">myData!$BN$12</definedName>
    <definedName name="StartDt2Tests" localSheetId="0">myData!$BN$18</definedName>
    <definedName name="StartDt2UK" localSheetId="0">myData!$BN$17</definedName>
    <definedName name="StartDt2US" localSheetId="0">myData!$BN$14</definedName>
    <definedName name="TitleAll" localSheetId="0">myData!$CN$8</definedName>
    <definedName name="TitleAllSK" localSheetId="0">myData!$CN$9</definedName>
    <definedName name="UKCases" localSheetId="0">OFFSET(tblData[[#Headers],[UK Cases Per Capita]],MATCH(0,tblData[UK Cases Per Capita],0),0,COUNTA(tblData[UK Cases Per Capita]),1)</definedName>
    <definedName name="UKDates" localSheetId="0">OFFSET(tblData[[#Headers],[Date]],MATCH(0,tblData[UK],0),0,COUNTA(tblData[UK]),1)</definedName>
    <definedName name="UKLogi" localSheetId="0">OFFSET(tblData[[#Headers],[UK LogiP(t) Per Capita]],MATCH(0,tblData[UK],0),0,COUNTA(tblData[Date])-MATCH(0,tblData[UK],0)+1,1)</definedName>
    <definedName name="UKLogiDates" localSheetId="0">OFFSET(tblData[[#Headers],[Date]],MATCH(0,tblData[UK],0),0,COUNTA(tblData[Date])-MATCH(0,tblData[UK],0)+1,1)</definedName>
    <definedName name="UKPop" localSheetId="0">myData!$T$8</definedName>
    <definedName name="UKSeries" localSheetId="0">myData!$CF$17</definedName>
    <definedName name="UKStart" localSheetId="0">myData!$BM$17</definedName>
    <definedName name="USCases" localSheetId="0">OFFSET(tblData[[#Headers],[US Cases Per Capita]],MATCH(0,tblData[US Cases Per Capita],0),0,COUNT(tblData[US]),1)</definedName>
    <definedName name="USDates" localSheetId="0">OFFSET(tblData[[#Headers],[Date]],MATCH(0,tblData[US],0),0,COUNT(tblData[US]),1)</definedName>
    <definedName name="USDays" localSheetId="0">OFFSET(tblData[[#Headers],[Days'# US]],MATCH(0,tblData[US],0),0,COUNTA(tblData[US]),1)</definedName>
    <definedName name="USLogi" localSheetId="0">OFFSET(tblData[[#Headers],[US LogiP(t) Per Capita]],MATCH(0,tblData[US],0),0,COUNT(tblData[US LogiP(t) Per Capita]),1)</definedName>
    <definedName name="USLogiDates" localSheetId="0">OFFSET(tblData[[#Headers],[Date]],MATCH(0,tblData[US],0),0,COUNTA(tblData[Date])-MATCH(0,tblData[US],0)+1,1)</definedName>
    <definedName name="USpop" localSheetId="0">myData!$P$8</definedName>
    <definedName name="USSeries" localSheetId="0">myData!$CF$14</definedName>
  </definedNames>
  <calcPr calcId="152511" calcOnSave="0"/>
  <fileRecoveryPr repairLoad="1"/>
</workbook>
</file>

<file path=xl/calcChain.xml><?xml version="1.0" encoding="utf-8"?>
<calcChain xmlns="http://schemas.openxmlformats.org/spreadsheetml/2006/main">
  <c r="C2" i="4" l="1"/>
  <c r="B2" i="4"/>
  <c r="A2" i="4"/>
  <c r="AC14" i="4"/>
  <c r="AC11" i="4"/>
  <c r="AC12" i="4"/>
  <c r="AC13" i="4"/>
  <c r="AI71" i="4"/>
  <c r="L71" i="4" s="1"/>
  <c r="D2" i="4" l="1"/>
  <c r="AN11" i="4"/>
  <c r="AN12" i="4"/>
  <c r="AN13" i="4"/>
  <c r="AN14" i="4"/>
  <c r="AN15" i="4"/>
  <c r="AN16" i="4"/>
  <c r="AN17" i="4"/>
  <c r="AN18" i="4"/>
  <c r="W11" i="4"/>
  <c r="AB11" i="4"/>
  <c r="AL11" i="4" s="1"/>
  <c r="AB12" i="4"/>
  <c r="AL12" i="4" s="1"/>
  <c r="AB13" i="4"/>
  <c r="AL13" i="4" s="1"/>
  <c r="AB14" i="4"/>
  <c r="AL14" i="4" s="1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K14" i="4"/>
  <c r="AJ11" i="4"/>
  <c r="AJ12" i="4"/>
  <c r="AJ13" i="4"/>
  <c r="AJ14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V8" i="4" l="1"/>
  <c r="AV9" i="4" s="1"/>
  <c r="AS8" i="4"/>
  <c r="AS9" i="4" s="1"/>
  <c r="AY8" i="4"/>
  <c r="AW11" i="4"/>
  <c r="AW12" i="4"/>
  <c r="AW13" i="4"/>
  <c r="AW14" i="4"/>
  <c r="AW15" i="4"/>
  <c r="AW16" i="4"/>
  <c r="AW17" i="4"/>
  <c r="AW18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BZ17" i="4"/>
  <c r="BZ16" i="4"/>
  <c r="BV17" i="4"/>
  <c r="BV16" i="4"/>
  <c r="BU17" i="4"/>
  <c r="BU16" i="4"/>
  <c r="BS17" i="4"/>
  <c r="BS16" i="4"/>
  <c r="AA11" i="4"/>
  <c r="AV11" i="4" s="1"/>
  <c r="AA12" i="4"/>
  <c r="AV12" i="4" s="1"/>
  <c r="AA13" i="4"/>
  <c r="AV13" i="4" s="1"/>
  <c r="AA14" i="4"/>
  <c r="AV14" i="4" s="1"/>
  <c r="AA15" i="4"/>
  <c r="AV15" i="4" s="1"/>
  <c r="AA16" i="4"/>
  <c r="AV16" i="4" s="1"/>
  <c r="AA17" i="4"/>
  <c r="AV17" i="4" s="1"/>
  <c r="AA18" i="4"/>
  <c r="AV18" i="4" s="1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V55" i="4" s="1"/>
  <c r="AW55" i="4" s="1"/>
  <c r="AA56" i="4"/>
  <c r="AA57" i="4"/>
  <c r="AA58" i="4"/>
  <c r="AA59" i="4"/>
  <c r="AA60" i="4"/>
  <c r="AA61" i="4"/>
  <c r="W12" i="4"/>
  <c r="W13" i="4"/>
  <c r="W14" i="4"/>
  <c r="W15" i="4"/>
  <c r="W16" i="4"/>
  <c r="W17" i="4"/>
  <c r="W18" i="4"/>
  <c r="W19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2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28" i="4" s="1"/>
  <c r="R9" i="4"/>
  <c r="R18" i="4" s="1"/>
  <c r="BY17" i="4"/>
  <c r="CA17" i="4"/>
  <c r="BY16" i="4"/>
  <c r="CA16" i="4"/>
  <c r="AV23" i="4" l="1"/>
  <c r="AW23" i="4" s="1"/>
  <c r="AV47" i="4"/>
  <c r="AW47" i="4" s="1"/>
  <c r="AV39" i="4"/>
  <c r="AW39" i="4" s="1"/>
  <c r="AV31" i="4"/>
  <c r="AW31" i="4" s="1"/>
  <c r="AO15" i="4"/>
  <c r="AM15" i="4"/>
  <c r="AM14" i="4"/>
  <c r="AO14" i="4"/>
  <c r="AO13" i="4"/>
  <c r="AM13" i="4"/>
  <c r="AO12" i="4"/>
  <c r="AM12" i="4"/>
  <c r="AO16" i="4"/>
  <c r="AM16" i="4"/>
  <c r="AO18" i="4"/>
  <c r="AM18" i="4"/>
  <c r="AO17" i="4"/>
  <c r="AM17" i="4"/>
  <c r="AS43" i="4"/>
  <c r="AS51" i="4"/>
  <c r="AS59" i="4"/>
  <c r="AS44" i="4"/>
  <c r="AS52" i="4"/>
  <c r="AS60" i="4"/>
  <c r="AS50" i="4"/>
  <c r="AS45" i="4"/>
  <c r="AS53" i="4"/>
  <c r="AS61" i="4"/>
  <c r="AS58" i="4"/>
  <c r="AS46" i="4"/>
  <c r="AS54" i="4"/>
  <c r="AS39" i="4"/>
  <c r="AS47" i="4"/>
  <c r="AS55" i="4"/>
  <c r="AS42" i="4"/>
  <c r="AS40" i="4"/>
  <c r="AS48" i="4"/>
  <c r="AS56" i="4"/>
  <c r="AS41" i="4"/>
  <c r="AS49" i="4"/>
  <c r="AS57" i="4"/>
  <c r="T70" i="4"/>
  <c r="R68" i="4"/>
  <c r="R69" i="4"/>
  <c r="T69" i="4"/>
  <c r="T68" i="4"/>
  <c r="CF16" i="4"/>
  <c r="CF17" i="4"/>
  <c r="AV54" i="4"/>
  <c r="AW54" i="4" s="1"/>
  <c r="AV46" i="4"/>
  <c r="AW46" i="4" s="1"/>
  <c r="AV38" i="4"/>
  <c r="AW38" i="4" s="1"/>
  <c r="AV30" i="4"/>
  <c r="AW30" i="4" s="1"/>
  <c r="AV22" i="4"/>
  <c r="AW22" i="4" s="1"/>
  <c r="AV61" i="4"/>
  <c r="AW61" i="4" s="1"/>
  <c r="AV53" i="4"/>
  <c r="AW53" i="4" s="1"/>
  <c r="AV45" i="4"/>
  <c r="AW45" i="4" s="1"/>
  <c r="AV37" i="4"/>
  <c r="AW37" i="4" s="1"/>
  <c r="AV29" i="4"/>
  <c r="AW29" i="4" s="1"/>
  <c r="AV21" i="4"/>
  <c r="AW21" i="4" s="1"/>
  <c r="AV60" i="4"/>
  <c r="AW60" i="4" s="1"/>
  <c r="AV52" i="4"/>
  <c r="AW52" i="4" s="1"/>
  <c r="AV44" i="4"/>
  <c r="AW44" i="4" s="1"/>
  <c r="AV36" i="4"/>
  <c r="AW36" i="4" s="1"/>
  <c r="AV28" i="4"/>
  <c r="AW28" i="4" s="1"/>
  <c r="AV20" i="4"/>
  <c r="AW20" i="4" s="1"/>
  <c r="AV59" i="4"/>
  <c r="AW59" i="4" s="1"/>
  <c r="AV51" i="4"/>
  <c r="AW51" i="4" s="1"/>
  <c r="AV43" i="4"/>
  <c r="AW43" i="4" s="1"/>
  <c r="AV35" i="4"/>
  <c r="AW35" i="4" s="1"/>
  <c r="AV27" i="4"/>
  <c r="AW27" i="4" s="1"/>
  <c r="AV19" i="4"/>
  <c r="AW19" i="4" s="1"/>
  <c r="AV58" i="4"/>
  <c r="AW58" i="4" s="1"/>
  <c r="AV50" i="4"/>
  <c r="AW50" i="4" s="1"/>
  <c r="AV42" i="4"/>
  <c r="AW42" i="4" s="1"/>
  <c r="AV34" i="4"/>
  <c r="AW34" i="4" s="1"/>
  <c r="AV26" i="4"/>
  <c r="AW26" i="4" s="1"/>
  <c r="AV57" i="4"/>
  <c r="AW57" i="4" s="1"/>
  <c r="AV49" i="4"/>
  <c r="AW49" i="4" s="1"/>
  <c r="AV41" i="4"/>
  <c r="AW41" i="4" s="1"/>
  <c r="AV33" i="4"/>
  <c r="AW33" i="4" s="1"/>
  <c r="AV25" i="4"/>
  <c r="AW25" i="4" s="1"/>
  <c r="AV56" i="4"/>
  <c r="AW56" i="4" s="1"/>
  <c r="AV48" i="4"/>
  <c r="AW48" i="4" s="1"/>
  <c r="AV40" i="4"/>
  <c r="AW40" i="4" s="1"/>
  <c r="AV32" i="4"/>
  <c r="AW32" i="4" s="1"/>
  <c r="AV24" i="4"/>
  <c r="AW24" i="4" s="1"/>
  <c r="AX16" i="4"/>
  <c r="AX11" i="4"/>
  <c r="AX18" i="4"/>
  <c r="AX17" i="4"/>
  <c r="AX55" i="4"/>
  <c r="AX47" i="4"/>
  <c r="AX23" i="4"/>
  <c r="AX15" i="4"/>
  <c r="AX14" i="4"/>
  <c r="AX13" i="4"/>
  <c r="AX12" i="4"/>
  <c r="CD16" i="4"/>
  <c r="CD17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AX39" i="4" l="1"/>
  <c r="AX31" i="4"/>
  <c r="AT42" i="4"/>
  <c r="AU42" i="4"/>
  <c r="AU55" i="4"/>
  <c r="AT55" i="4"/>
  <c r="AU45" i="4"/>
  <c r="AT45" i="4"/>
  <c r="AT57" i="4"/>
  <c r="AU57" i="4"/>
  <c r="AU47" i="4"/>
  <c r="AT47" i="4"/>
  <c r="AT49" i="4"/>
  <c r="AU49" i="4"/>
  <c r="AU39" i="4"/>
  <c r="AT39" i="4"/>
  <c r="AT50" i="4"/>
  <c r="AU50" i="4"/>
  <c r="AU60" i="4"/>
  <c r="AT60" i="4"/>
  <c r="AT41" i="4"/>
  <c r="AU41" i="4"/>
  <c r="AU54" i="4"/>
  <c r="AT54" i="4"/>
  <c r="AU52" i="4"/>
  <c r="AT52" i="4"/>
  <c r="AT56" i="4"/>
  <c r="AU56" i="4"/>
  <c r="AU46" i="4"/>
  <c r="AT46" i="4"/>
  <c r="AU44" i="4"/>
  <c r="AT44" i="4"/>
  <c r="AT48" i="4"/>
  <c r="AU48" i="4"/>
  <c r="AU59" i="4"/>
  <c r="AT59" i="4"/>
  <c r="AT40" i="4"/>
  <c r="AU40" i="4"/>
  <c r="AT58" i="4"/>
  <c r="AU58" i="4"/>
  <c r="AU61" i="4"/>
  <c r="AT61" i="4"/>
  <c r="AU51" i="4"/>
  <c r="AT51" i="4"/>
  <c r="AU53" i="4"/>
  <c r="AT53" i="4"/>
  <c r="AU43" i="4"/>
  <c r="AT43" i="4"/>
  <c r="AX30" i="4"/>
  <c r="AX59" i="4"/>
  <c r="AX29" i="4"/>
  <c r="AX46" i="4"/>
  <c r="AX37" i="4"/>
  <c r="AX54" i="4"/>
  <c r="AX20" i="4"/>
  <c r="AX50" i="4"/>
  <c r="AX51" i="4"/>
  <c r="AX25" i="4"/>
  <c r="AX19" i="4"/>
  <c r="AX56" i="4"/>
  <c r="AX42" i="4"/>
  <c r="AX43" i="4"/>
  <c r="AX60" i="4"/>
  <c r="AX26" i="4"/>
  <c r="AX34" i="4"/>
  <c r="AX40" i="4"/>
  <c r="AX27" i="4"/>
  <c r="AX49" i="4"/>
  <c r="AX44" i="4"/>
  <c r="AX35" i="4"/>
  <c r="AX61" i="4"/>
  <c r="AX52" i="4"/>
  <c r="AX38" i="4"/>
  <c r="AX22" i="4"/>
  <c r="AX21" i="4"/>
  <c r="AX24" i="4"/>
  <c r="AX48" i="4"/>
  <c r="AX28" i="4"/>
  <c r="AX32" i="4"/>
  <c r="AX53" i="4"/>
  <c r="AX33" i="4"/>
  <c r="AX45" i="4"/>
  <c r="AX41" i="4"/>
  <c r="AX58" i="4"/>
  <c r="AX36" i="4"/>
  <c r="AX57" i="4"/>
  <c r="CI17" i="4"/>
  <c r="CI16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43" i="4"/>
  <c r="BG44" i="4"/>
  <c r="BG45" i="4"/>
  <c r="BG46" i="4"/>
  <c r="BG47" i="4"/>
  <c r="BG48" i="4"/>
  <c r="BG49" i="4"/>
  <c r="BG50" i="4"/>
  <c r="BG51" i="4"/>
  <c r="BG52" i="4"/>
  <c r="BG53" i="4"/>
  <c r="BG54" i="4"/>
  <c r="BG97" i="4"/>
  <c r="BG98" i="4"/>
  <c r="BG99" i="4"/>
  <c r="BG100" i="4"/>
  <c r="BG101" i="4"/>
  <c r="BG102" i="4"/>
  <c r="BG103" i="4"/>
  <c r="BG104" i="4"/>
  <c r="BG105" i="4"/>
  <c r="BG106" i="4"/>
  <c r="BG107" i="4"/>
  <c r="BG108" i="4"/>
  <c r="BG109" i="4"/>
  <c r="BG110" i="4"/>
  <c r="BG111" i="4"/>
  <c r="BG112" i="4"/>
  <c r="BG113" i="4"/>
  <c r="BG114" i="4"/>
  <c r="BG115" i="4"/>
  <c r="BG116" i="4"/>
  <c r="BG117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BZ18" i="4"/>
  <c r="BV18" i="4"/>
  <c r="BU18" i="4"/>
  <c r="AY9" i="4"/>
  <c r="BS18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P8" i="4"/>
  <c r="AP9" i="4" s="1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29" i="4"/>
  <c r="BY18" i="4"/>
  <c r="CA18" i="4"/>
  <c r="CF18" i="4" l="1"/>
  <c r="CD18" i="4"/>
  <c r="AM8" i="4" l="1"/>
  <c r="AD9" i="4"/>
  <c r="AD8" i="4"/>
  <c r="BV11" i="4"/>
  <c r="BU11" i="4"/>
  <c r="AA9" i="4"/>
  <c r="BS11" i="4"/>
  <c r="DM31" i="4"/>
  <c r="DO31" i="4"/>
  <c r="DP31" i="4"/>
  <c r="DS31" i="4"/>
  <c r="BY11" i="4"/>
  <c r="CA11" i="4"/>
  <c r="AD14" i="4" l="1"/>
  <c r="AD11" i="4"/>
  <c r="AD13" i="4"/>
  <c r="AD12" i="4"/>
  <c r="CD11" i="4"/>
  <c r="CF11" i="4"/>
  <c r="DA12" i="4"/>
  <c r="DA11" i="4"/>
  <c r="CZ11" i="4"/>
  <c r="CZ12" i="4" s="1"/>
  <c r="V9" i="4"/>
  <c r="P9" i="4"/>
  <c r="N9" i="4"/>
  <c r="L9" i="4"/>
  <c r="L3" i="4"/>
  <c r="K8" i="4" l="1"/>
  <c r="L63" i="4"/>
  <c r="L14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11" i="4"/>
  <c r="AG8" i="4" l="1"/>
  <c r="AG9" i="4" l="1"/>
  <c r="AJ8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M9" i="4"/>
  <c r="AJ9" i="4"/>
  <c r="P36" i="4" l="1"/>
  <c r="V38" i="4"/>
  <c r="P43" i="4"/>
  <c r="V39" i="4"/>
  <c r="P35" i="4"/>
  <c r="V63" i="4"/>
  <c r="V31" i="4"/>
  <c r="P60" i="4"/>
  <c r="V62" i="4"/>
  <c r="V30" i="4"/>
  <c r="P59" i="4"/>
  <c r="V55" i="4"/>
  <c r="V23" i="4"/>
  <c r="P52" i="4"/>
  <c r="V54" i="4"/>
  <c r="V22" i="4"/>
  <c r="P51" i="4"/>
  <c r="V47" i="4"/>
  <c r="V15" i="4"/>
  <c r="P44" i="4"/>
  <c r="V46" i="4"/>
  <c r="V14" i="4"/>
  <c r="P63" i="4"/>
  <c r="P55" i="4"/>
  <c r="P47" i="4"/>
  <c r="P39" i="4"/>
  <c r="P31" i="4"/>
  <c r="V58" i="4"/>
  <c r="V50" i="4"/>
  <c r="V42" i="4"/>
  <c r="V34" i="4"/>
  <c r="V26" i="4"/>
  <c r="V18" i="4"/>
  <c r="N57" i="4"/>
  <c r="P62" i="4"/>
  <c r="P54" i="4"/>
  <c r="P46" i="4"/>
  <c r="P38" i="4"/>
  <c r="P30" i="4"/>
  <c r="V57" i="4"/>
  <c r="V49" i="4"/>
  <c r="V41" i="4"/>
  <c r="V33" i="4"/>
  <c r="V25" i="4"/>
  <c r="V17" i="4"/>
  <c r="P61" i="4"/>
  <c r="P53" i="4"/>
  <c r="P45" i="4"/>
  <c r="P37" i="4"/>
  <c r="P29" i="4"/>
  <c r="V64" i="4"/>
  <c r="V56" i="4"/>
  <c r="V48" i="4"/>
  <c r="V40" i="4"/>
  <c r="V32" i="4"/>
  <c r="V24" i="4"/>
  <c r="V16" i="4"/>
  <c r="P58" i="4"/>
  <c r="P50" i="4"/>
  <c r="P42" i="4"/>
  <c r="P34" i="4"/>
  <c r="V61" i="4"/>
  <c r="V53" i="4"/>
  <c r="V45" i="4"/>
  <c r="V37" i="4"/>
  <c r="V29" i="4"/>
  <c r="V21" i="4"/>
  <c r="V13" i="4"/>
  <c r="P57" i="4"/>
  <c r="P49" i="4"/>
  <c r="P41" i="4"/>
  <c r="P33" i="4"/>
  <c r="V60" i="4"/>
  <c r="V52" i="4"/>
  <c r="V44" i="4"/>
  <c r="V36" i="4"/>
  <c r="V28" i="4"/>
  <c r="V20" i="4"/>
  <c r="V12" i="4"/>
  <c r="P64" i="4"/>
  <c r="P56" i="4"/>
  <c r="P48" i="4"/>
  <c r="P40" i="4"/>
  <c r="P3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I13" i="4" l="1"/>
  <c r="CI15" i="4"/>
  <c r="CI14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F56" i="4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AI2" i="4"/>
  <c r="AH2" i="4"/>
  <c r="AF2" i="4"/>
  <c r="BZ15" i="4"/>
  <c r="BZ14" i="4"/>
  <c r="BZ13" i="4"/>
  <c r="AL2" i="4"/>
  <c r="BG59" i="4" l="1"/>
  <c r="BH59" i="4" s="1"/>
  <c r="BG67" i="4"/>
  <c r="BH67" i="4" s="1"/>
  <c r="BG75" i="4"/>
  <c r="BG83" i="4"/>
  <c r="BG91" i="4"/>
  <c r="BG79" i="4"/>
  <c r="BG60" i="4"/>
  <c r="BH60" i="4" s="1"/>
  <c r="BG68" i="4"/>
  <c r="BH68" i="4" s="1"/>
  <c r="BG76" i="4"/>
  <c r="BG84" i="4"/>
  <c r="BG92" i="4"/>
  <c r="BG55" i="4"/>
  <c r="BH55" i="4" s="1"/>
  <c r="BG71" i="4"/>
  <c r="BG61" i="4"/>
  <c r="BH61" i="4" s="1"/>
  <c r="BG69" i="4"/>
  <c r="BH69" i="4" s="1"/>
  <c r="BG77" i="4"/>
  <c r="BG85" i="4"/>
  <c r="BG93" i="4"/>
  <c r="BG87" i="4"/>
  <c r="BG62" i="4"/>
  <c r="BH62" i="4" s="1"/>
  <c r="BG70" i="4"/>
  <c r="BH70" i="4" s="1"/>
  <c r="BG78" i="4"/>
  <c r="BG86" i="4"/>
  <c r="BG94" i="4"/>
  <c r="BG63" i="4"/>
  <c r="BH63" i="4" s="1"/>
  <c r="BG95" i="4"/>
  <c r="BG56" i="4"/>
  <c r="BH56" i="4" s="1"/>
  <c r="BG64" i="4"/>
  <c r="BH64" i="4" s="1"/>
  <c r="BG72" i="4"/>
  <c r="BG80" i="4"/>
  <c r="BG88" i="4"/>
  <c r="BG96" i="4"/>
  <c r="BG57" i="4"/>
  <c r="BH57" i="4" s="1"/>
  <c r="BG65" i="4"/>
  <c r="BH65" i="4" s="1"/>
  <c r="BG73" i="4"/>
  <c r="BG81" i="4"/>
  <c r="BG89" i="4"/>
  <c r="BG58" i="4"/>
  <c r="BH58" i="4" s="1"/>
  <c r="BG66" i="4"/>
  <c r="BH66" i="4" s="1"/>
  <c r="BG74" i="4"/>
  <c r="BG82" i="4"/>
  <c r="BG90" i="4"/>
  <c r="BS12" i="4"/>
  <c r="BY12" i="4"/>
  <c r="CA12" i="4"/>
  <c r="BT18" i="4" l="1"/>
  <c r="CF12" i="4"/>
  <c r="CD12" i="4"/>
  <c r="AI107" i="4"/>
  <c r="L107" i="4" s="1"/>
  <c r="AI108" i="4"/>
  <c r="L108" i="4" s="1"/>
  <c r="AI109" i="4"/>
  <c r="L109" i="4" s="1"/>
  <c r="AI110" i="4"/>
  <c r="L110" i="4" s="1"/>
  <c r="AI111" i="4"/>
  <c r="L111" i="4" s="1"/>
  <c r="AI112" i="4"/>
  <c r="L112" i="4" s="1"/>
  <c r="AI113" i="4"/>
  <c r="L113" i="4" s="1"/>
  <c r="AI114" i="4"/>
  <c r="L114" i="4" s="1"/>
  <c r="AI115" i="4"/>
  <c r="L115" i="4" s="1"/>
  <c r="AI116" i="4"/>
  <c r="L116" i="4" s="1"/>
  <c r="AI117" i="4"/>
  <c r="L117" i="4" s="1"/>
  <c r="AC105" i="4"/>
  <c r="AD105" i="4" s="1"/>
  <c r="AC106" i="4"/>
  <c r="AD106" i="4" s="1"/>
  <c r="AC107" i="4"/>
  <c r="AD107" i="4" s="1"/>
  <c r="AC108" i="4"/>
  <c r="AD108" i="4" s="1"/>
  <c r="AC109" i="4"/>
  <c r="AD109" i="4" s="1"/>
  <c r="AC110" i="4"/>
  <c r="AD110" i="4" s="1"/>
  <c r="AC111" i="4"/>
  <c r="AD111" i="4" s="1"/>
  <c r="AC112" i="4"/>
  <c r="AD112" i="4" s="1"/>
  <c r="AC113" i="4"/>
  <c r="AD113" i="4" s="1"/>
  <c r="AC114" i="4"/>
  <c r="AD114" i="4" s="1"/>
  <c r="AC115" i="4"/>
  <c r="AD115" i="4" s="1"/>
  <c r="AC116" i="4"/>
  <c r="AD116" i="4" s="1"/>
  <c r="AC117" i="4"/>
  <c r="AD117" i="4" s="1"/>
  <c r="Y11" i="4"/>
  <c r="X27" i="4"/>
  <c r="AR27" i="4" s="1"/>
  <c r="X28" i="4"/>
  <c r="AR28" i="4" s="1"/>
  <c r="AZ108" i="4"/>
  <c r="AZ109" i="4"/>
  <c r="AZ110" i="4"/>
  <c r="AZ111" i="4"/>
  <c r="AZ112" i="4"/>
  <c r="AZ113" i="4"/>
  <c r="AZ114" i="4"/>
  <c r="AZ115" i="4"/>
  <c r="AZ116" i="4"/>
  <c r="AZ117" i="4"/>
  <c r="BD108" i="4"/>
  <c r="BD109" i="4"/>
  <c r="BD110" i="4"/>
  <c r="BD111" i="4"/>
  <c r="BD112" i="4"/>
  <c r="BD113" i="4"/>
  <c r="BD114" i="4"/>
  <c r="BD115" i="4"/>
  <c r="BD116" i="4"/>
  <c r="BD117" i="4"/>
  <c r="BE108" i="4"/>
  <c r="BE109" i="4"/>
  <c r="BE110" i="4"/>
  <c r="BE111" i="4"/>
  <c r="BE112" i="4"/>
  <c r="BE113" i="4"/>
  <c r="BE114" i="4"/>
  <c r="BE115" i="4"/>
  <c r="BE116" i="4"/>
  <c r="BE117" i="4"/>
  <c r="AC64" i="4"/>
  <c r="AD64" i="4" l="1"/>
  <c r="AP27" i="4"/>
  <c r="AP28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BV15" i="4"/>
  <c r="BU15" i="4"/>
  <c r="BS15" i="4"/>
  <c r="Y12" i="4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Y105" i="4" s="1"/>
  <c r="Y106" i="4" s="1"/>
  <c r="Y107" i="4" s="1"/>
  <c r="Y108" i="4" s="1"/>
  <c r="K23" i="16"/>
  <c r="H13" i="16"/>
  <c r="H12" i="16"/>
  <c r="H11" i="16"/>
  <c r="H10" i="16"/>
  <c r="H9" i="16"/>
  <c r="H8" i="16"/>
  <c r="H7" i="16"/>
  <c r="H6" i="16"/>
  <c r="H5" i="16"/>
  <c r="G5" i="16"/>
  <c r="BY15" i="4"/>
  <c r="CA15" i="4"/>
  <c r="CD15" i="4" l="1"/>
  <c r="CF15" i="4"/>
  <c r="Y109" i="4"/>
  <c r="AY108" i="4"/>
  <c r="BA108" i="4" s="1"/>
  <c r="AY27" i="4"/>
  <c r="BA27" i="4" s="1"/>
  <c r="AY107" i="4"/>
  <c r="BA107" i="4" s="1"/>
  <c r="I11" i="16"/>
  <c r="AY11" i="4"/>
  <c r="BA11" i="4" s="1"/>
  <c r="AY81" i="4"/>
  <c r="BA81" i="4" s="1"/>
  <c r="AY73" i="4"/>
  <c r="BA73" i="4" s="1"/>
  <c r="AY65" i="4"/>
  <c r="BA65" i="4" s="1"/>
  <c r="AY57" i="4"/>
  <c r="BA57" i="4" s="1"/>
  <c r="AY49" i="4"/>
  <c r="BA49" i="4" s="1"/>
  <c r="AY41" i="4"/>
  <c r="BA41" i="4" s="1"/>
  <c r="AY33" i="4"/>
  <c r="BA33" i="4" s="1"/>
  <c r="AY25" i="4"/>
  <c r="BA25" i="4" s="1"/>
  <c r="AY17" i="4"/>
  <c r="BA17" i="4" s="1"/>
  <c r="AY59" i="4"/>
  <c r="BA59" i="4" s="1"/>
  <c r="AY90" i="4"/>
  <c r="BA90" i="4" s="1"/>
  <c r="AY50" i="4"/>
  <c r="BA50" i="4" s="1"/>
  <c r="AY89" i="4"/>
  <c r="BA89" i="4" s="1"/>
  <c r="AY104" i="4"/>
  <c r="BA104" i="4" s="1"/>
  <c r="AY96" i="4"/>
  <c r="BA96" i="4" s="1"/>
  <c r="AY88" i="4"/>
  <c r="BA88" i="4" s="1"/>
  <c r="AY80" i="4"/>
  <c r="BA80" i="4" s="1"/>
  <c r="AY72" i="4"/>
  <c r="BA72" i="4" s="1"/>
  <c r="AY64" i="4"/>
  <c r="BA64" i="4" s="1"/>
  <c r="AY56" i="4"/>
  <c r="BA56" i="4" s="1"/>
  <c r="AY48" i="4"/>
  <c r="BA48" i="4" s="1"/>
  <c r="AY40" i="4"/>
  <c r="BA40" i="4" s="1"/>
  <c r="AY32" i="4"/>
  <c r="BA32" i="4" s="1"/>
  <c r="AY24" i="4"/>
  <c r="BA24" i="4" s="1"/>
  <c r="AY16" i="4"/>
  <c r="BA16" i="4" s="1"/>
  <c r="AY75" i="4"/>
  <c r="BA75" i="4" s="1"/>
  <c r="AY74" i="4"/>
  <c r="BA74" i="4" s="1"/>
  <c r="AY18" i="4"/>
  <c r="BA18" i="4" s="1"/>
  <c r="AY103" i="4"/>
  <c r="BA103" i="4" s="1"/>
  <c r="AY95" i="4"/>
  <c r="BA95" i="4" s="1"/>
  <c r="AY87" i="4"/>
  <c r="BA87" i="4" s="1"/>
  <c r="AY79" i="4"/>
  <c r="BA79" i="4" s="1"/>
  <c r="AY71" i="4"/>
  <c r="BA71" i="4" s="1"/>
  <c r="AY63" i="4"/>
  <c r="BA63" i="4" s="1"/>
  <c r="AY55" i="4"/>
  <c r="BA55" i="4" s="1"/>
  <c r="AY47" i="4"/>
  <c r="BA47" i="4" s="1"/>
  <c r="AY39" i="4"/>
  <c r="BA39" i="4" s="1"/>
  <c r="AY31" i="4"/>
  <c r="BA31" i="4" s="1"/>
  <c r="AY23" i="4"/>
  <c r="BA23" i="4" s="1"/>
  <c r="AY15" i="4"/>
  <c r="BA15" i="4" s="1"/>
  <c r="AY91" i="4"/>
  <c r="BA91" i="4" s="1"/>
  <c r="AY98" i="4"/>
  <c r="BA98" i="4" s="1"/>
  <c r="AY58" i="4"/>
  <c r="BA58" i="4" s="1"/>
  <c r="AY34" i="4"/>
  <c r="BA34" i="4" s="1"/>
  <c r="AY105" i="4"/>
  <c r="BA105" i="4" s="1"/>
  <c r="AY102" i="4"/>
  <c r="BA102" i="4" s="1"/>
  <c r="AY94" i="4"/>
  <c r="BA94" i="4" s="1"/>
  <c r="AY86" i="4"/>
  <c r="BA86" i="4" s="1"/>
  <c r="AY78" i="4"/>
  <c r="BA78" i="4" s="1"/>
  <c r="AY70" i="4"/>
  <c r="AY62" i="4"/>
  <c r="BA62" i="4" s="1"/>
  <c r="AY54" i="4"/>
  <c r="BA54" i="4" s="1"/>
  <c r="AY46" i="4"/>
  <c r="BA46" i="4" s="1"/>
  <c r="AY38" i="4"/>
  <c r="BA38" i="4" s="1"/>
  <c r="AY30" i="4"/>
  <c r="BA30" i="4" s="1"/>
  <c r="AY22" i="4"/>
  <c r="BA22" i="4" s="1"/>
  <c r="AY14" i="4"/>
  <c r="BA14" i="4" s="1"/>
  <c r="AY67" i="4"/>
  <c r="AY82" i="4"/>
  <c r="BA82" i="4" s="1"/>
  <c r="AY42" i="4"/>
  <c r="BA42" i="4" s="1"/>
  <c r="AY97" i="4"/>
  <c r="BA97" i="4" s="1"/>
  <c r="AY101" i="4"/>
  <c r="BA101" i="4" s="1"/>
  <c r="AY93" i="4"/>
  <c r="BA93" i="4" s="1"/>
  <c r="AY85" i="4"/>
  <c r="BA85" i="4" s="1"/>
  <c r="AY77" i="4"/>
  <c r="BA77" i="4" s="1"/>
  <c r="AY69" i="4"/>
  <c r="AY61" i="4"/>
  <c r="BA61" i="4" s="1"/>
  <c r="AY53" i="4"/>
  <c r="BA53" i="4" s="1"/>
  <c r="AY45" i="4"/>
  <c r="BA45" i="4" s="1"/>
  <c r="AY37" i="4"/>
  <c r="BA37" i="4" s="1"/>
  <c r="AY29" i="4"/>
  <c r="BA29" i="4" s="1"/>
  <c r="AY21" i="4"/>
  <c r="BA21" i="4" s="1"/>
  <c r="AY13" i="4"/>
  <c r="BA13" i="4" s="1"/>
  <c r="AY83" i="4"/>
  <c r="BA83" i="4" s="1"/>
  <c r="AY106" i="4"/>
  <c r="BA106" i="4" s="1"/>
  <c r="AY66" i="4"/>
  <c r="BA66" i="4" s="1"/>
  <c r="AY26" i="4"/>
  <c r="BA26" i="4" s="1"/>
  <c r="AY100" i="4"/>
  <c r="BA100" i="4" s="1"/>
  <c r="AY92" i="4"/>
  <c r="BA92" i="4" s="1"/>
  <c r="AY84" i="4"/>
  <c r="BA84" i="4" s="1"/>
  <c r="AY76" i="4"/>
  <c r="BA76" i="4" s="1"/>
  <c r="AY68" i="4"/>
  <c r="AY60" i="4"/>
  <c r="BA60" i="4" s="1"/>
  <c r="AY52" i="4"/>
  <c r="BA52" i="4" s="1"/>
  <c r="AY44" i="4"/>
  <c r="BA44" i="4" s="1"/>
  <c r="AY36" i="4"/>
  <c r="BA36" i="4" s="1"/>
  <c r="AY28" i="4"/>
  <c r="BA28" i="4" s="1"/>
  <c r="AY20" i="4"/>
  <c r="BA20" i="4" s="1"/>
  <c r="AY12" i="4"/>
  <c r="BA12" i="4" s="1"/>
  <c r="AY99" i="4"/>
  <c r="BA99" i="4" s="1"/>
  <c r="AY51" i="4"/>
  <c r="BA51" i="4" s="1"/>
  <c r="AY43" i="4"/>
  <c r="BA43" i="4" s="1"/>
  <c r="AY35" i="4"/>
  <c r="BA35" i="4" s="1"/>
  <c r="AY19" i="4"/>
  <c r="BA19" i="4" s="1"/>
  <c r="BA70" i="4" l="1"/>
  <c r="AZ70" i="4"/>
  <c r="BA69" i="4"/>
  <c r="AZ69" i="4"/>
  <c r="BA68" i="4"/>
  <c r="AZ68" i="4"/>
  <c r="BA67" i="4"/>
  <c r="AZ67" i="4"/>
  <c r="AZ66" i="4"/>
  <c r="AZ65" i="4"/>
  <c r="AZ28" i="4"/>
  <c r="AZ19" i="4"/>
  <c r="AZ36" i="4"/>
  <c r="AZ37" i="4"/>
  <c r="AZ38" i="4"/>
  <c r="AZ31" i="4"/>
  <c r="AZ40" i="4"/>
  <c r="AZ41" i="4"/>
  <c r="AZ23" i="4"/>
  <c r="AZ44" i="4"/>
  <c r="AZ46" i="4"/>
  <c r="AZ52" i="4"/>
  <c r="AZ53" i="4"/>
  <c r="AZ42" i="4"/>
  <c r="AZ54" i="4"/>
  <c r="AZ34" i="4"/>
  <c r="AZ47" i="4"/>
  <c r="AZ18" i="4"/>
  <c r="AZ56" i="4"/>
  <c r="AZ50" i="4"/>
  <c r="AZ57" i="4"/>
  <c r="AZ27" i="4"/>
  <c r="AZ29" i="4"/>
  <c r="AZ26" i="4"/>
  <c r="AZ43" i="4"/>
  <c r="AZ51" i="4"/>
  <c r="AZ60" i="4"/>
  <c r="AZ61" i="4"/>
  <c r="AZ62" i="4"/>
  <c r="AZ58" i="4"/>
  <c r="AZ55" i="4"/>
  <c r="AZ64" i="4"/>
  <c r="AZ32" i="4"/>
  <c r="AZ39" i="4"/>
  <c r="AZ63" i="4"/>
  <c r="AZ59" i="4"/>
  <c r="AZ35" i="4"/>
  <c r="AZ49" i="4"/>
  <c r="AZ12" i="4"/>
  <c r="AZ13" i="4"/>
  <c r="AZ14" i="4"/>
  <c r="AZ16" i="4"/>
  <c r="AZ17" i="4"/>
  <c r="AZ30" i="4"/>
  <c r="AZ33" i="4"/>
  <c r="AZ45" i="4"/>
  <c r="AZ48" i="4"/>
  <c r="AZ20" i="4"/>
  <c r="AZ21" i="4"/>
  <c r="AZ22" i="4"/>
  <c r="AZ15" i="4"/>
  <c r="AZ24" i="4"/>
  <c r="AZ25" i="4"/>
  <c r="AZ11" i="4"/>
  <c r="Y110" i="4"/>
  <c r="AY109" i="4"/>
  <c r="BA109" i="4" s="1"/>
  <c r="BT15" i="4" l="1"/>
  <c r="AY110" i="4"/>
  <c r="BA110" i="4" s="1"/>
  <c r="Y111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5" i="4"/>
  <c r="AC66" i="4"/>
  <c r="AC67" i="4"/>
  <c r="AC68" i="4"/>
  <c r="AC69" i="4"/>
  <c r="AC70" i="4"/>
  <c r="AC71" i="4"/>
  <c r="AD71" i="4" s="1"/>
  <c r="AC72" i="4"/>
  <c r="AD72" i="4" s="1"/>
  <c r="AC73" i="4"/>
  <c r="AD73" i="4" s="1"/>
  <c r="AC74" i="4"/>
  <c r="AD74" i="4" s="1"/>
  <c r="AC75" i="4"/>
  <c r="AD75" i="4" s="1"/>
  <c r="AC76" i="4"/>
  <c r="AD76" i="4" s="1"/>
  <c r="AC77" i="4"/>
  <c r="AD77" i="4" s="1"/>
  <c r="AC78" i="4"/>
  <c r="AD78" i="4" s="1"/>
  <c r="AC79" i="4"/>
  <c r="AD79" i="4" s="1"/>
  <c r="AC80" i="4"/>
  <c r="AD80" i="4" s="1"/>
  <c r="AC81" i="4"/>
  <c r="AD81" i="4" s="1"/>
  <c r="AC82" i="4"/>
  <c r="AD82" i="4" s="1"/>
  <c r="AC83" i="4"/>
  <c r="AD83" i="4" s="1"/>
  <c r="AC84" i="4"/>
  <c r="AD84" i="4" s="1"/>
  <c r="AC85" i="4"/>
  <c r="AD85" i="4" s="1"/>
  <c r="AC86" i="4"/>
  <c r="AD86" i="4" s="1"/>
  <c r="AC87" i="4"/>
  <c r="AD87" i="4" s="1"/>
  <c r="AC88" i="4"/>
  <c r="AD88" i="4" s="1"/>
  <c r="AC89" i="4"/>
  <c r="AD89" i="4" s="1"/>
  <c r="AC90" i="4"/>
  <c r="AD90" i="4" s="1"/>
  <c r="AC91" i="4"/>
  <c r="AD91" i="4" s="1"/>
  <c r="AC92" i="4"/>
  <c r="AD92" i="4" s="1"/>
  <c r="AC93" i="4"/>
  <c r="AD93" i="4" s="1"/>
  <c r="AC94" i="4"/>
  <c r="AD94" i="4" s="1"/>
  <c r="AC95" i="4"/>
  <c r="AD95" i="4" s="1"/>
  <c r="AC96" i="4"/>
  <c r="AD96" i="4" s="1"/>
  <c r="AC97" i="4"/>
  <c r="AD97" i="4" s="1"/>
  <c r="AC98" i="4"/>
  <c r="AD98" i="4" s="1"/>
  <c r="AC99" i="4"/>
  <c r="AD99" i="4" s="1"/>
  <c r="AC100" i="4"/>
  <c r="AD100" i="4" s="1"/>
  <c r="AC101" i="4"/>
  <c r="AD101" i="4" s="1"/>
  <c r="AC102" i="4"/>
  <c r="AD102" i="4" s="1"/>
  <c r="AC103" i="4"/>
  <c r="AD103" i="4" s="1"/>
  <c r="AC104" i="4"/>
  <c r="AD104" i="4" s="1"/>
  <c r="AC15" i="4"/>
  <c r="AD69" i="4" l="1"/>
  <c r="AD44" i="4"/>
  <c r="AD20" i="4"/>
  <c r="AD68" i="4"/>
  <c r="AD43" i="4"/>
  <c r="AD35" i="4"/>
  <c r="AD27" i="4"/>
  <c r="AD19" i="4"/>
  <c r="AD67" i="4"/>
  <c r="AD58" i="4"/>
  <c r="AD50" i="4"/>
  <c r="AD42" i="4"/>
  <c r="AD34" i="4"/>
  <c r="AD26" i="4"/>
  <c r="AD18" i="4"/>
  <c r="AD52" i="4"/>
  <c r="AD41" i="4"/>
  <c r="AD59" i="4"/>
  <c r="AD49" i="4"/>
  <c r="AD17" i="4"/>
  <c r="AD65" i="4"/>
  <c r="AD56" i="4"/>
  <c r="AD48" i="4"/>
  <c r="AD40" i="4"/>
  <c r="AD32" i="4"/>
  <c r="AD24" i="4"/>
  <c r="AD16" i="4"/>
  <c r="AD28" i="4"/>
  <c r="AD66" i="4"/>
  <c r="AD33" i="4"/>
  <c r="AD15" i="4"/>
  <c r="AD63" i="4"/>
  <c r="AD55" i="4"/>
  <c r="AD47" i="4"/>
  <c r="AD39" i="4"/>
  <c r="AD31" i="4"/>
  <c r="AD23" i="4"/>
  <c r="AD62" i="4"/>
  <c r="AD54" i="4"/>
  <c r="AD46" i="4"/>
  <c r="AD38" i="4"/>
  <c r="AD30" i="4"/>
  <c r="AD22" i="4"/>
  <c r="AD60" i="4"/>
  <c r="AD36" i="4"/>
  <c r="AD51" i="4"/>
  <c r="AD57" i="4"/>
  <c r="AD25" i="4"/>
  <c r="AD70" i="4"/>
  <c r="AD61" i="4"/>
  <c r="AD53" i="4"/>
  <c r="AD45" i="4"/>
  <c r="AD37" i="4"/>
  <c r="AD29" i="4"/>
  <c r="AD21" i="4"/>
  <c r="BZ11" i="4"/>
  <c r="AY111" i="4"/>
  <c r="BA111" i="4" s="1"/>
  <c r="Y112" i="4"/>
  <c r="DB12" i="4"/>
  <c r="BV14" i="4"/>
  <c r="BD62" i="4"/>
  <c r="BS14" i="4"/>
  <c r="BU14" i="4"/>
  <c r="AI62" i="4"/>
  <c r="AI60" i="4"/>
  <c r="AI61" i="4"/>
  <c r="BY14" i="4"/>
  <c r="CA14" i="4"/>
  <c r="AP29" i="4" l="1"/>
  <c r="AQ29" i="4" s="1"/>
  <c r="CD14" i="4"/>
  <c r="CF14" i="4"/>
  <c r="L60" i="4"/>
  <c r="L61" i="4"/>
  <c r="L62" i="4"/>
  <c r="AP53" i="4"/>
  <c r="AP44" i="4"/>
  <c r="AP35" i="4"/>
  <c r="AP50" i="4"/>
  <c r="AP30" i="4"/>
  <c r="AP33" i="4"/>
  <c r="AP40" i="4"/>
  <c r="AP31" i="4"/>
  <c r="AP38" i="4"/>
  <c r="AP52" i="4"/>
  <c r="AP59" i="4"/>
  <c r="AP42" i="4"/>
  <c r="AP57" i="4"/>
  <c r="AP32" i="4"/>
  <c r="AP45" i="4"/>
  <c r="AP51" i="4"/>
  <c r="AP55" i="4"/>
  <c r="AP54" i="4"/>
  <c r="AP47" i="4"/>
  <c r="AP36" i="4"/>
  <c r="AP34" i="4"/>
  <c r="AP49" i="4"/>
  <c r="AP56" i="4"/>
  <c r="AP37" i="4"/>
  <c r="AP46" i="4"/>
  <c r="AP61" i="4"/>
  <c r="AP43" i="4"/>
  <c r="AP58" i="4"/>
  <c r="AP60" i="4"/>
  <c r="AP41" i="4"/>
  <c r="AP48" i="4"/>
  <c r="AP39" i="4"/>
  <c r="AY112" i="4"/>
  <c r="BA112" i="4" s="1"/>
  <c r="Y113" i="4"/>
  <c r="D3" i="4"/>
  <c r="AR43" i="4" l="1"/>
  <c r="AQ43" i="4"/>
  <c r="AR47" i="4"/>
  <c r="AQ47" i="4"/>
  <c r="AR59" i="4"/>
  <c r="AQ59" i="4"/>
  <c r="AR35" i="4"/>
  <c r="AQ35" i="4"/>
  <c r="AR48" i="4"/>
  <c r="AQ48" i="4"/>
  <c r="AR41" i="4"/>
  <c r="AQ41" i="4"/>
  <c r="AR32" i="4"/>
  <c r="AQ32" i="4"/>
  <c r="AR34" i="4"/>
  <c r="AQ34" i="4"/>
  <c r="AR30" i="4"/>
  <c r="AQ30" i="4"/>
  <c r="AR42" i="4"/>
  <c r="AQ42" i="4"/>
  <c r="AR61" i="4"/>
  <c r="AQ61" i="4"/>
  <c r="AR54" i="4"/>
  <c r="AQ54" i="4"/>
  <c r="AR52" i="4"/>
  <c r="AQ52" i="4"/>
  <c r="AR44" i="4"/>
  <c r="AQ44" i="4"/>
  <c r="AR45" i="4"/>
  <c r="AQ45" i="4"/>
  <c r="AR36" i="4"/>
  <c r="AQ36" i="4"/>
  <c r="AR46" i="4"/>
  <c r="AQ46" i="4"/>
  <c r="AR55" i="4"/>
  <c r="AQ55" i="4"/>
  <c r="AR38" i="4"/>
  <c r="AQ38" i="4"/>
  <c r="AR53" i="4"/>
  <c r="AQ53" i="4"/>
  <c r="AR29" i="4"/>
  <c r="AR56" i="4"/>
  <c r="AQ56" i="4"/>
  <c r="AR49" i="4"/>
  <c r="AQ49" i="4"/>
  <c r="AR33" i="4"/>
  <c r="AQ33" i="4"/>
  <c r="AR60" i="4"/>
  <c r="AQ60" i="4"/>
  <c r="AR57" i="4"/>
  <c r="AQ57" i="4"/>
  <c r="AR58" i="4"/>
  <c r="AQ58" i="4"/>
  <c r="AR50" i="4"/>
  <c r="AQ50" i="4"/>
  <c r="AR39" i="4"/>
  <c r="AQ39" i="4"/>
  <c r="AR37" i="4"/>
  <c r="AQ37" i="4"/>
  <c r="AR51" i="4"/>
  <c r="AQ51" i="4"/>
  <c r="AR31" i="4"/>
  <c r="AQ31" i="4"/>
  <c r="AR40" i="4"/>
  <c r="AQ40" i="4"/>
  <c r="AY113" i="4"/>
  <c r="BA113" i="4" s="1"/>
  <c r="Y114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39" i="4"/>
  <c r="BE40" i="4"/>
  <c r="BE41" i="4"/>
  <c r="BE42" i="4"/>
  <c r="BE43" i="4"/>
  <c r="BE44" i="4"/>
  <c r="BE45" i="4"/>
  <c r="BE46" i="4"/>
  <c r="BE47" i="4"/>
  <c r="BE48" i="4"/>
  <c r="BE49" i="4"/>
  <c r="BE50" i="4"/>
  <c r="BE51" i="4"/>
  <c r="BE52" i="4"/>
  <c r="BE53" i="4"/>
  <c r="BE54" i="4"/>
  <c r="BE55" i="4"/>
  <c r="BE56" i="4"/>
  <c r="BE57" i="4"/>
  <c r="BE58" i="4"/>
  <c r="BE59" i="4"/>
  <c r="BE60" i="4"/>
  <c r="BE61" i="4"/>
  <c r="BE62" i="4"/>
  <c r="BE63" i="4"/>
  <c r="BE64" i="4"/>
  <c r="BE65" i="4"/>
  <c r="BE66" i="4"/>
  <c r="BE67" i="4"/>
  <c r="BE68" i="4"/>
  <c r="BE69" i="4"/>
  <c r="BE70" i="4"/>
  <c r="BE71" i="4"/>
  <c r="BE72" i="4"/>
  <c r="BE73" i="4"/>
  <c r="BE74" i="4"/>
  <c r="BE75" i="4"/>
  <c r="BE76" i="4"/>
  <c r="BE77" i="4"/>
  <c r="BE78" i="4"/>
  <c r="BE79" i="4"/>
  <c r="BE80" i="4"/>
  <c r="BE81" i="4"/>
  <c r="BE82" i="4"/>
  <c r="BE83" i="4"/>
  <c r="BE84" i="4"/>
  <c r="BE85" i="4"/>
  <c r="BE86" i="4"/>
  <c r="BE87" i="4"/>
  <c r="BE88" i="4"/>
  <c r="BE89" i="4"/>
  <c r="BE90" i="4"/>
  <c r="BE91" i="4"/>
  <c r="BE92" i="4"/>
  <c r="BE93" i="4"/>
  <c r="BE94" i="4"/>
  <c r="BE95" i="4"/>
  <c r="BE96" i="4"/>
  <c r="BE97" i="4"/>
  <c r="BE98" i="4"/>
  <c r="BE99" i="4"/>
  <c r="BE100" i="4"/>
  <c r="BE101" i="4"/>
  <c r="BE102" i="4"/>
  <c r="BE103" i="4"/>
  <c r="BE104" i="4"/>
  <c r="BE105" i="4"/>
  <c r="BE106" i="4"/>
  <c r="BE107" i="4"/>
  <c r="BD11" i="4"/>
  <c r="BD12" i="4"/>
  <c r="BD13" i="4"/>
  <c r="BD14" i="4"/>
  <c r="BD15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BD29" i="4"/>
  <c r="BD30" i="4"/>
  <c r="BD31" i="4"/>
  <c r="BD32" i="4"/>
  <c r="BD33" i="4"/>
  <c r="BD34" i="4"/>
  <c r="BD35" i="4"/>
  <c r="BD36" i="4"/>
  <c r="BD37" i="4"/>
  <c r="BD38" i="4"/>
  <c r="BD39" i="4"/>
  <c r="BD40" i="4"/>
  <c r="BD41" i="4"/>
  <c r="BD42" i="4"/>
  <c r="BD43" i="4"/>
  <c r="BD44" i="4"/>
  <c r="BD45" i="4"/>
  <c r="BD46" i="4"/>
  <c r="BD47" i="4"/>
  <c r="BD48" i="4"/>
  <c r="BD49" i="4"/>
  <c r="BD50" i="4"/>
  <c r="BD51" i="4"/>
  <c r="BD52" i="4"/>
  <c r="BD53" i="4"/>
  <c r="BD54" i="4"/>
  <c r="BD55" i="4"/>
  <c r="BD56" i="4"/>
  <c r="BD57" i="4"/>
  <c r="BD58" i="4"/>
  <c r="BD59" i="4"/>
  <c r="BD60" i="4"/>
  <c r="BD61" i="4"/>
  <c r="BD63" i="4"/>
  <c r="BD64" i="4"/>
  <c r="BD65" i="4"/>
  <c r="BD66" i="4"/>
  <c r="BD67" i="4"/>
  <c r="BD68" i="4"/>
  <c r="BD69" i="4"/>
  <c r="BD70" i="4"/>
  <c r="BD71" i="4"/>
  <c r="BD72" i="4"/>
  <c r="BD73" i="4"/>
  <c r="BD74" i="4"/>
  <c r="BD75" i="4"/>
  <c r="BD76" i="4"/>
  <c r="BD77" i="4"/>
  <c r="BD78" i="4"/>
  <c r="BD79" i="4"/>
  <c r="BD80" i="4"/>
  <c r="BD81" i="4"/>
  <c r="BD82" i="4"/>
  <c r="BD83" i="4"/>
  <c r="BD84" i="4"/>
  <c r="BD85" i="4"/>
  <c r="BD86" i="4"/>
  <c r="BD87" i="4"/>
  <c r="BD88" i="4"/>
  <c r="BD89" i="4"/>
  <c r="BD90" i="4"/>
  <c r="BD91" i="4"/>
  <c r="BD92" i="4"/>
  <c r="BD93" i="4"/>
  <c r="BD94" i="4"/>
  <c r="BD95" i="4"/>
  <c r="BD96" i="4"/>
  <c r="BD97" i="4"/>
  <c r="BD98" i="4"/>
  <c r="BD99" i="4"/>
  <c r="BD100" i="4"/>
  <c r="BD101" i="4"/>
  <c r="BD102" i="4"/>
  <c r="BD103" i="4"/>
  <c r="BD104" i="4"/>
  <c r="BD105" i="4"/>
  <c r="BD106" i="4"/>
  <c r="BD107" i="4"/>
  <c r="BV13" i="4"/>
  <c r="BV12" i="4"/>
  <c r="BU13" i="4"/>
  <c r="BU12" i="4"/>
  <c r="AJ15" i="4" s="1"/>
  <c r="AL15" i="4" s="1"/>
  <c r="BS13" i="4"/>
  <c r="BY13" i="4"/>
  <c r="CA13" i="4"/>
  <c r="AJ19" i="4" l="1"/>
  <c r="AL19" i="4" s="1"/>
  <c r="AJ27" i="4"/>
  <c r="AL27" i="4" s="1"/>
  <c r="AJ35" i="4"/>
  <c r="AL35" i="4" s="1"/>
  <c r="AJ43" i="4"/>
  <c r="AL43" i="4" s="1"/>
  <c r="AJ44" i="4"/>
  <c r="AL44" i="4" s="1"/>
  <c r="AJ41" i="4"/>
  <c r="AL41" i="4" s="1"/>
  <c r="AJ16" i="4"/>
  <c r="AL16" i="4" s="1"/>
  <c r="AJ30" i="4"/>
  <c r="AL30" i="4" s="1"/>
  <c r="AJ36" i="4"/>
  <c r="AL36" i="4" s="1"/>
  <c r="AJ33" i="4"/>
  <c r="AL33" i="4" s="1"/>
  <c r="AJ47" i="4"/>
  <c r="AL47" i="4" s="1"/>
  <c r="AJ22" i="4"/>
  <c r="AL22" i="4" s="1"/>
  <c r="AJ28" i="4"/>
  <c r="AL28" i="4" s="1"/>
  <c r="AJ25" i="4"/>
  <c r="AL25" i="4" s="1"/>
  <c r="AJ39" i="4"/>
  <c r="AL39" i="4" s="1"/>
  <c r="AJ45" i="4"/>
  <c r="AL45" i="4" s="1"/>
  <c r="AJ20" i="4"/>
  <c r="AL20" i="4" s="1"/>
  <c r="AJ17" i="4"/>
  <c r="AL17" i="4" s="1"/>
  <c r="AJ31" i="4"/>
  <c r="AL31" i="4" s="1"/>
  <c r="AJ37" i="4"/>
  <c r="AL37" i="4" s="1"/>
  <c r="AJ42" i="4"/>
  <c r="AL42" i="4" s="1"/>
  <c r="AJ48" i="4"/>
  <c r="AL48" i="4" s="1"/>
  <c r="AJ23" i="4"/>
  <c r="AL23" i="4" s="1"/>
  <c r="AJ29" i="4"/>
  <c r="AL29" i="4" s="1"/>
  <c r="AJ34" i="4"/>
  <c r="AL34" i="4" s="1"/>
  <c r="AJ40" i="4"/>
  <c r="AL40" i="4" s="1"/>
  <c r="AJ21" i="4"/>
  <c r="AL21" i="4" s="1"/>
  <c r="AJ26" i="4"/>
  <c r="AL26" i="4" s="1"/>
  <c r="AJ32" i="4"/>
  <c r="AL32" i="4" s="1"/>
  <c r="AJ46" i="4"/>
  <c r="AL46" i="4" s="1"/>
  <c r="AJ18" i="4"/>
  <c r="AL18" i="4" s="1"/>
  <c r="AJ24" i="4"/>
  <c r="AL24" i="4" s="1"/>
  <c r="AJ38" i="4"/>
  <c r="AL38" i="4" s="1"/>
  <c r="AM26" i="4"/>
  <c r="AO26" i="4" s="1"/>
  <c r="AM34" i="4"/>
  <c r="AO34" i="4" s="1"/>
  <c r="AM19" i="4"/>
  <c r="AO19" i="4" s="1"/>
  <c r="AM27" i="4"/>
  <c r="AO27" i="4" s="1"/>
  <c r="AM35" i="4"/>
  <c r="AO35" i="4" s="1"/>
  <c r="AM20" i="4"/>
  <c r="AO20" i="4" s="1"/>
  <c r="AM28" i="4"/>
  <c r="AO28" i="4" s="1"/>
  <c r="AM36" i="4"/>
  <c r="AO36" i="4" s="1"/>
  <c r="AM21" i="4"/>
  <c r="AO21" i="4" s="1"/>
  <c r="AM29" i="4"/>
  <c r="AO29" i="4" s="1"/>
  <c r="AM37" i="4"/>
  <c r="AO37" i="4" s="1"/>
  <c r="AM22" i="4"/>
  <c r="AO22" i="4" s="1"/>
  <c r="AM30" i="4"/>
  <c r="AO30" i="4" s="1"/>
  <c r="AM38" i="4"/>
  <c r="AO38" i="4" s="1"/>
  <c r="AM23" i="4"/>
  <c r="AO23" i="4" s="1"/>
  <c r="AM31" i="4"/>
  <c r="AO31" i="4" s="1"/>
  <c r="AM39" i="4"/>
  <c r="AO39" i="4" s="1"/>
  <c r="AM24" i="4"/>
  <c r="AO24" i="4" s="1"/>
  <c r="AM32" i="4"/>
  <c r="AO32" i="4" s="1"/>
  <c r="AM25" i="4"/>
  <c r="AO25" i="4" s="1"/>
  <c r="AM33" i="4"/>
  <c r="AO33" i="4" s="1"/>
  <c r="AM11" i="4"/>
  <c r="AO11" i="4" s="1"/>
  <c r="AM47" i="4"/>
  <c r="AO47" i="4" s="1"/>
  <c r="AM55" i="4"/>
  <c r="AO55" i="4" s="1"/>
  <c r="AM40" i="4"/>
  <c r="AO40" i="4" s="1"/>
  <c r="AM48" i="4"/>
  <c r="AO48" i="4" s="1"/>
  <c r="AM56" i="4"/>
  <c r="AO56" i="4" s="1"/>
  <c r="AM41" i="4"/>
  <c r="AO41" i="4" s="1"/>
  <c r="AM49" i="4"/>
  <c r="AO49" i="4" s="1"/>
  <c r="AM57" i="4"/>
  <c r="AO57" i="4" s="1"/>
  <c r="AM42" i="4"/>
  <c r="AO42" i="4" s="1"/>
  <c r="AM50" i="4"/>
  <c r="AO50" i="4" s="1"/>
  <c r="AM58" i="4"/>
  <c r="AO58" i="4" s="1"/>
  <c r="AM43" i="4"/>
  <c r="AO43" i="4" s="1"/>
  <c r="AM51" i="4"/>
  <c r="AO51" i="4" s="1"/>
  <c r="AM59" i="4"/>
  <c r="AO59" i="4" s="1"/>
  <c r="AM44" i="4"/>
  <c r="AO44" i="4" s="1"/>
  <c r="AM52" i="4"/>
  <c r="AO52" i="4" s="1"/>
  <c r="AM60" i="4"/>
  <c r="AO60" i="4" s="1"/>
  <c r="AM45" i="4"/>
  <c r="AO45" i="4" s="1"/>
  <c r="AM53" i="4"/>
  <c r="AO53" i="4" s="1"/>
  <c r="AM61" i="4"/>
  <c r="AO61" i="4" s="1"/>
  <c r="AM46" i="4"/>
  <c r="AO46" i="4" s="1"/>
  <c r="AM54" i="4"/>
  <c r="AO54" i="4" s="1"/>
  <c r="AJ51" i="4"/>
  <c r="AJ52" i="4"/>
  <c r="AJ60" i="4"/>
  <c r="AJ53" i="4"/>
  <c r="AJ61" i="4"/>
  <c r="AJ54" i="4"/>
  <c r="AJ55" i="4"/>
  <c r="AJ56" i="4"/>
  <c r="AJ49" i="4"/>
  <c r="AJ57" i="4"/>
  <c r="AJ50" i="4"/>
  <c r="AJ58" i="4"/>
  <c r="AJ59" i="4"/>
  <c r="CD13" i="4"/>
  <c r="CF13" i="4"/>
  <c r="AY114" i="4"/>
  <c r="BA114" i="4" s="1"/>
  <c r="Y115" i="4"/>
  <c r="EJ11" i="4"/>
  <c r="AI64" i="4"/>
  <c r="AI65" i="4"/>
  <c r="AI66" i="4"/>
  <c r="AI67" i="4"/>
  <c r="AI68" i="4"/>
  <c r="AI69" i="4"/>
  <c r="AI70" i="4"/>
  <c r="L70" i="4" s="1"/>
  <c r="AI72" i="4"/>
  <c r="L72" i="4" s="1"/>
  <c r="AI73" i="4"/>
  <c r="L73" i="4" s="1"/>
  <c r="AI74" i="4"/>
  <c r="L74" i="4" s="1"/>
  <c r="AI75" i="4"/>
  <c r="L75" i="4" s="1"/>
  <c r="AI76" i="4"/>
  <c r="L76" i="4" s="1"/>
  <c r="AI77" i="4"/>
  <c r="L77" i="4" s="1"/>
  <c r="AI78" i="4"/>
  <c r="L78" i="4" s="1"/>
  <c r="AI79" i="4"/>
  <c r="L79" i="4" s="1"/>
  <c r="AI80" i="4"/>
  <c r="L80" i="4" s="1"/>
  <c r="AI81" i="4"/>
  <c r="L81" i="4" s="1"/>
  <c r="AI82" i="4"/>
  <c r="L82" i="4" s="1"/>
  <c r="AI83" i="4"/>
  <c r="L83" i="4" s="1"/>
  <c r="AI84" i="4"/>
  <c r="L84" i="4" s="1"/>
  <c r="AI85" i="4"/>
  <c r="L85" i="4" s="1"/>
  <c r="AI86" i="4"/>
  <c r="L86" i="4" s="1"/>
  <c r="AI87" i="4"/>
  <c r="L87" i="4" s="1"/>
  <c r="AI88" i="4"/>
  <c r="L88" i="4" s="1"/>
  <c r="AI89" i="4"/>
  <c r="L89" i="4" s="1"/>
  <c r="AI90" i="4"/>
  <c r="L90" i="4" s="1"/>
  <c r="AI91" i="4"/>
  <c r="L91" i="4" s="1"/>
  <c r="AI92" i="4"/>
  <c r="L92" i="4" s="1"/>
  <c r="AI93" i="4"/>
  <c r="L93" i="4" s="1"/>
  <c r="AI94" i="4"/>
  <c r="L94" i="4" s="1"/>
  <c r="AI95" i="4"/>
  <c r="L95" i="4" s="1"/>
  <c r="AI96" i="4"/>
  <c r="L96" i="4" s="1"/>
  <c r="AI97" i="4"/>
  <c r="L97" i="4" s="1"/>
  <c r="AI98" i="4"/>
  <c r="L98" i="4" s="1"/>
  <c r="AI99" i="4"/>
  <c r="L99" i="4" s="1"/>
  <c r="AI100" i="4"/>
  <c r="L100" i="4" s="1"/>
  <c r="AI101" i="4"/>
  <c r="L101" i="4" s="1"/>
  <c r="AI102" i="4"/>
  <c r="L102" i="4" s="1"/>
  <c r="AI103" i="4"/>
  <c r="L103" i="4" s="1"/>
  <c r="AI104" i="4"/>
  <c r="L104" i="4" s="1"/>
  <c r="AI105" i="4"/>
  <c r="L105" i="4" s="1"/>
  <c r="AI106" i="4"/>
  <c r="L106" i="4" s="1"/>
  <c r="AI12" i="4"/>
  <c r="AG12" i="4" s="1"/>
  <c r="AI13" i="4"/>
  <c r="AG13" i="4" s="1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11" i="4"/>
  <c r="AG11" i="4" s="1"/>
  <c r="B62" i="4"/>
  <c r="AE60" i="4"/>
  <c r="AG60" i="4" s="1"/>
  <c r="AE61" i="4"/>
  <c r="AG61" i="4" s="1"/>
  <c r="AK43" i="4" l="1"/>
  <c r="AK35" i="4"/>
  <c r="AK27" i="4"/>
  <c r="AK19" i="4"/>
  <c r="AK37" i="4"/>
  <c r="AK42" i="4"/>
  <c r="AK34" i="4"/>
  <c r="AK26" i="4"/>
  <c r="AK18" i="4"/>
  <c r="AK41" i="4"/>
  <c r="AK33" i="4"/>
  <c r="AK25" i="4"/>
  <c r="AK17" i="4"/>
  <c r="AK45" i="4"/>
  <c r="AK21" i="4"/>
  <c r="AK48" i="4"/>
  <c r="AK40" i="4"/>
  <c r="AK32" i="4"/>
  <c r="AK24" i="4"/>
  <c r="AK16" i="4"/>
  <c r="AK39" i="4"/>
  <c r="AK31" i="4"/>
  <c r="AK23" i="4"/>
  <c r="AK15" i="4"/>
  <c r="AK47" i="4"/>
  <c r="AK46" i="4"/>
  <c r="AK38" i="4"/>
  <c r="AK30" i="4"/>
  <c r="AK22" i="4"/>
  <c r="Z62" i="4"/>
  <c r="AH62" i="4"/>
  <c r="AJ62" i="4" s="1"/>
  <c r="AB62" i="4"/>
  <c r="AE62" i="4" s="1"/>
  <c r="AG62" i="4" s="1"/>
  <c r="AS62" i="4"/>
  <c r="AU62" i="4" s="1"/>
  <c r="AK29" i="4"/>
  <c r="AK44" i="4"/>
  <c r="AK36" i="4"/>
  <c r="AK28" i="4"/>
  <c r="AK20" i="4"/>
  <c r="AK13" i="4"/>
  <c r="AK12" i="4"/>
  <c r="AK11" i="4"/>
  <c r="AK51" i="4"/>
  <c r="AL51" i="4"/>
  <c r="AK59" i="4"/>
  <c r="AL59" i="4"/>
  <c r="AK58" i="4"/>
  <c r="AL58" i="4"/>
  <c r="AK56" i="4"/>
  <c r="AL56" i="4"/>
  <c r="AK60" i="4"/>
  <c r="AL60" i="4"/>
  <c r="AK50" i="4"/>
  <c r="AL50" i="4"/>
  <c r="AK57" i="4"/>
  <c r="AL57" i="4"/>
  <c r="AK61" i="4"/>
  <c r="AL61" i="4"/>
  <c r="AK52" i="4"/>
  <c r="AL52" i="4"/>
  <c r="AK49" i="4"/>
  <c r="AL49" i="4"/>
  <c r="AK55" i="4"/>
  <c r="AL55" i="4"/>
  <c r="AK54" i="4"/>
  <c r="AL54" i="4"/>
  <c r="AK53" i="4"/>
  <c r="AL53" i="4"/>
  <c r="AN31" i="4"/>
  <c r="AN36" i="4"/>
  <c r="AN23" i="4"/>
  <c r="AN28" i="4"/>
  <c r="AN38" i="4"/>
  <c r="AN20" i="4"/>
  <c r="AN33" i="4"/>
  <c r="AN30" i="4"/>
  <c r="AN35" i="4"/>
  <c r="AN25" i="4"/>
  <c r="AN22" i="4"/>
  <c r="AN27" i="4"/>
  <c r="AN32" i="4"/>
  <c r="AN37" i="4"/>
  <c r="AN19" i="4"/>
  <c r="AN24" i="4"/>
  <c r="AN29" i="4"/>
  <c r="AN34" i="4"/>
  <c r="AN39" i="4"/>
  <c r="AN21" i="4"/>
  <c r="AN26" i="4"/>
  <c r="AN43" i="4"/>
  <c r="AN58" i="4"/>
  <c r="AN54" i="4"/>
  <c r="AN50" i="4"/>
  <c r="AN46" i="4"/>
  <c r="AN61" i="4"/>
  <c r="AN42" i="4"/>
  <c r="AN57" i="4"/>
  <c r="AN53" i="4"/>
  <c r="AN49" i="4"/>
  <c r="AN45" i="4"/>
  <c r="AN60" i="4"/>
  <c r="AN41" i="4"/>
  <c r="AN56" i="4"/>
  <c r="AN52" i="4"/>
  <c r="AN48" i="4"/>
  <c r="AN44" i="4"/>
  <c r="AN59" i="4"/>
  <c r="AN40" i="4"/>
  <c r="AN55" i="4"/>
  <c r="AN51" i="4"/>
  <c r="AN47" i="4"/>
  <c r="W62" i="4"/>
  <c r="AM62" i="4" s="1"/>
  <c r="AO62" i="4" s="1"/>
  <c r="AA62" i="4"/>
  <c r="X62" i="4"/>
  <c r="AF61" i="4"/>
  <c r="AF60" i="4"/>
  <c r="L11" i="4"/>
  <c r="L34" i="4"/>
  <c r="L26" i="4"/>
  <c r="L18" i="4"/>
  <c r="L33" i="4"/>
  <c r="L25" i="4"/>
  <c r="L17" i="4"/>
  <c r="L35" i="4"/>
  <c r="L40" i="4"/>
  <c r="L24" i="4"/>
  <c r="L39" i="4"/>
  <c r="L15" i="4"/>
  <c r="L38" i="4"/>
  <c r="L30" i="4"/>
  <c r="L22" i="4"/>
  <c r="L27" i="4"/>
  <c r="L32" i="4"/>
  <c r="L16" i="4"/>
  <c r="L31" i="4"/>
  <c r="L23" i="4"/>
  <c r="L37" i="4"/>
  <c r="L29" i="4"/>
  <c r="L21" i="4"/>
  <c r="L12" i="4"/>
  <c r="L67" i="4"/>
  <c r="L19" i="4"/>
  <c r="L36" i="4"/>
  <c r="L28" i="4"/>
  <c r="L20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L13" i="4"/>
  <c r="BZ12" i="4"/>
  <c r="Y116" i="4"/>
  <c r="AY115" i="4"/>
  <c r="BA115" i="4" s="1"/>
  <c r="B63" i="4"/>
  <c r="G2" i="4"/>
  <c r="F2" i="4"/>
  <c r="AE23" i="4"/>
  <c r="AG23" i="4" s="1"/>
  <c r="AE24" i="4"/>
  <c r="AG24" i="4" s="1"/>
  <c r="AE25" i="4"/>
  <c r="AG25" i="4" s="1"/>
  <c r="AE26" i="4"/>
  <c r="AG26" i="4" s="1"/>
  <c r="AE27" i="4"/>
  <c r="AG27" i="4" s="1"/>
  <c r="AE28" i="4"/>
  <c r="AG28" i="4" s="1"/>
  <c r="AE29" i="4"/>
  <c r="AG29" i="4" s="1"/>
  <c r="AE30" i="4"/>
  <c r="AG30" i="4" s="1"/>
  <c r="AE31" i="4"/>
  <c r="AG31" i="4" s="1"/>
  <c r="AE32" i="4"/>
  <c r="AG32" i="4" s="1"/>
  <c r="AE33" i="4"/>
  <c r="AG33" i="4" s="1"/>
  <c r="AE34" i="4"/>
  <c r="AG34" i="4" s="1"/>
  <c r="AE35" i="4"/>
  <c r="AG35" i="4" s="1"/>
  <c r="AE36" i="4"/>
  <c r="AG36" i="4" s="1"/>
  <c r="AE37" i="4"/>
  <c r="AG37" i="4" s="1"/>
  <c r="AE38" i="4"/>
  <c r="AG38" i="4" s="1"/>
  <c r="AE39" i="4"/>
  <c r="AG39" i="4" s="1"/>
  <c r="AE40" i="4"/>
  <c r="AG40" i="4" s="1"/>
  <c r="AE41" i="4"/>
  <c r="AG41" i="4" s="1"/>
  <c r="AE42" i="4"/>
  <c r="AG42" i="4" s="1"/>
  <c r="AE43" i="4"/>
  <c r="AG43" i="4" s="1"/>
  <c r="AE44" i="4"/>
  <c r="AG44" i="4" s="1"/>
  <c r="AE45" i="4"/>
  <c r="AG45" i="4" s="1"/>
  <c r="AE46" i="4"/>
  <c r="AG46" i="4" s="1"/>
  <c r="AE47" i="4"/>
  <c r="AG47" i="4" s="1"/>
  <c r="AE48" i="4"/>
  <c r="AG48" i="4" s="1"/>
  <c r="AE49" i="4"/>
  <c r="AG49" i="4" s="1"/>
  <c r="AE50" i="4"/>
  <c r="AG50" i="4" s="1"/>
  <c r="AE51" i="4"/>
  <c r="AG51" i="4" s="1"/>
  <c r="AE52" i="4"/>
  <c r="AG52" i="4" s="1"/>
  <c r="AE53" i="4"/>
  <c r="AG53" i="4" s="1"/>
  <c r="AE54" i="4"/>
  <c r="AG54" i="4" s="1"/>
  <c r="AE55" i="4"/>
  <c r="AG55" i="4" s="1"/>
  <c r="AE56" i="4"/>
  <c r="AG56" i="4" s="1"/>
  <c r="AE57" i="4"/>
  <c r="AG57" i="4" s="1"/>
  <c r="AE58" i="4"/>
  <c r="AG58" i="4" s="1"/>
  <c r="AE59" i="4"/>
  <c r="AG59" i="4" s="1"/>
  <c r="AE15" i="4"/>
  <c r="AG15" i="4" s="1"/>
  <c r="AE16" i="4"/>
  <c r="AG16" i="4" s="1"/>
  <c r="AE17" i="4"/>
  <c r="AG17" i="4" s="1"/>
  <c r="AE18" i="4"/>
  <c r="AG18" i="4" s="1"/>
  <c r="AE19" i="4"/>
  <c r="AG19" i="4" s="1"/>
  <c r="AE20" i="4"/>
  <c r="AG20" i="4" s="1"/>
  <c r="AE21" i="4"/>
  <c r="AG21" i="4" s="1"/>
  <c r="AE22" i="4"/>
  <c r="AG22" i="4" s="1"/>
  <c r="AE14" i="4"/>
  <c r="AG14" i="4" s="1"/>
  <c r="AT62" i="4" l="1"/>
  <c r="AK62" i="4"/>
  <c r="AL62" i="4"/>
  <c r="AB63" i="4"/>
  <c r="Z63" i="4"/>
  <c r="AH63" i="4"/>
  <c r="AJ63" i="4" s="1"/>
  <c r="AS63" i="4"/>
  <c r="AU63" i="4" s="1"/>
  <c r="AN62" i="4"/>
  <c r="AV62" i="4"/>
  <c r="AW62" i="4" s="1"/>
  <c r="AA63" i="4"/>
  <c r="X63" i="4"/>
  <c r="W63" i="4"/>
  <c r="AM63" i="4" s="1"/>
  <c r="CI11" i="4"/>
  <c r="CI12" i="4"/>
  <c r="AF53" i="4"/>
  <c r="AF15" i="4"/>
  <c r="AF52" i="4"/>
  <c r="AF44" i="4"/>
  <c r="AF36" i="4"/>
  <c r="AF28" i="4"/>
  <c r="AF16" i="4"/>
  <c r="AF22" i="4"/>
  <c r="AF59" i="4"/>
  <c r="AF51" i="4"/>
  <c r="AF43" i="4"/>
  <c r="AF35" i="4"/>
  <c r="AF27" i="4"/>
  <c r="AF14" i="4"/>
  <c r="AF50" i="4"/>
  <c r="AF34" i="4"/>
  <c r="AF26" i="4"/>
  <c r="AF42" i="4"/>
  <c r="AF20" i="4"/>
  <c r="AF57" i="4"/>
  <c r="AF49" i="4"/>
  <c r="AF41" i="4"/>
  <c r="AF33" i="4"/>
  <c r="AF25" i="4"/>
  <c r="AF37" i="4"/>
  <c r="AF21" i="4"/>
  <c r="AF56" i="4"/>
  <c r="AF48" i="4"/>
  <c r="AF40" i="4"/>
  <c r="AF32" i="4"/>
  <c r="AF24" i="4"/>
  <c r="AF62" i="4"/>
  <c r="AF45" i="4"/>
  <c r="AF19" i="4"/>
  <c r="AF55" i="4"/>
  <c r="AF47" i="4"/>
  <c r="AF31" i="4"/>
  <c r="AF23" i="4"/>
  <c r="AF29" i="4"/>
  <c r="AF58" i="4"/>
  <c r="AF18" i="4"/>
  <c r="AF39" i="4"/>
  <c r="AF17" i="4"/>
  <c r="AF54" i="4"/>
  <c r="AF46" i="4"/>
  <c r="AF38" i="4"/>
  <c r="AF30" i="4"/>
  <c r="AF12" i="4"/>
  <c r="AE12" i="4"/>
  <c r="AF11" i="4"/>
  <c r="AE11" i="4"/>
  <c r="AE13" i="4"/>
  <c r="AF13" i="4"/>
  <c r="AP62" i="4"/>
  <c r="Y117" i="4"/>
  <c r="AY117" i="4" s="1"/>
  <c r="BA117" i="4" s="1"/>
  <c r="AY116" i="4"/>
  <c r="BA116" i="4" s="1"/>
  <c r="AE63" i="4"/>
  <c r="AG63" i="4" s="1"/>
  <c r="B64" i="4"/>
  <c r="AT63" i="4" l="1"/>
  <c r="AL63" i="4"/>
  <c r="AK63" i="4"/>
  <c r="AB64" i="4"/>
  <c r="AE64" i="4" s="1"/>
  <c r="AG64" i="4" s="1"/>
  <c r="Z64" i="4"/>
  <c r="AH64" i="4"/>
  <c r="AJ64" i="4" s="1"/>
  <c r="AS64" i="4"/>
  <c r="AU64" i="4" s="1"/>
  <c r="AO63" i="4"/>
  <c r="AN63" i="4"/>
  <c r="CJ16" i="4"/>
  <c r="CL16" i="4"/>
  <c r="AX62" i="4"/>
  <c r="AV63" i="4"/>
  <c r="AW63" i="4" s="1"/>
  <c r="AA64" i="4"/>
  <c r="X64" i="4"/>
  <c r="W64" i="4"/>
  <c r="AM64" i="4" s="1"/>
  <c r="CJ13" i="4"/>
  <c r="CL13" i="4"/>
  <c r="CL15" i="4"/>
  <c r="CJ15" i="4"/>
  <c r="AR62" i="4"/>
  <c r="AQ62" i="4"/>
  <c r="AF63" i="4"/>
  <c r="AP63" i="4"/>
  <c r="B65" i="4"/>
  <c r="AG2" i="4"/>
  <c r="AT64" i="4" l="1"/>
  <c r="AK64" i="4"/>
  <c r="AL64" i="4"/>
  <c r="AH65" i="4"/>
  <c r="AJ65" i="4" s="1"/>
  <c r="AK65" i="4" s="1"/>
  <c r="AB65" i="4"/>
  <c r="AE65" i="4" s="1"/>
  <c r="AG65" i="4" s="1"/>
  <c r="Z65" i="4"/>
  <c r="AS65" i="4"/>
  <c r="AT65" i="4" s="1"/>
  <c r="AO64" i="4"/>
  <c r="AN64" i="4"/>
  <c r="AX63" i="4"/>
  <c r="AV64" i="4"/>
  <c r="AW64" i="4" s="1"/>
  <c r="AA65" i="4"/>
  <c r="X65" i="4"/>
  <c r="W65" i="4"/>
  <c r="AM65" i="4" s="1"/>
  <c r="AR63" i="4"/>
  <c r="AQ63" i="4"/>
  <c r="AF64" i="4"/>
  <c r="AP64" i="4"/>
  <c r="B66" i="4"/>
  <c r="AU65" i="4" l="1"/>
  <c r="AL65" i="4"/>
  <c r="AH66" i="4"/>
  <c r="AB66" i="4"/>
  <c r="AE66" i="4" s="1"/>
  <c r="AG66" i="4" s="1"/>
  <c r="Z66" i="4"/>
  <c r="AS66" i="4"/>
  <c r="AU66" i="4" s="1"/>
  <c r="AJ66" i="4"/>
  <c r="AK66" i="4" s="1"/>
  <c r="AO65" i="4"/>
  <c r="AN65" i="4"/>
  <c r="AX64" i="4"/>
  <c r="AV65" i="4"/>
  <c r="AW65" i="4" s="1"/>
  <c r="AA66" i="4"/>
  <c r="X66" i="4"/>
  <c r="W66" i="4"/>
  <c r="AM66" i="4" s="1"/>
  <c r="AR64" i="4"/>
  <c r="AQ64" i="4"/>
  <c r="AF65" i="4"/>
  <c r="AP65" i="4"/>
  <c r="B67" i="4"/>
  <c r="AT66" i="4" l="1"/>
  <c r="AL66" i="4"/>
  <c r="AH67" i="4"/>
  <c r="AJ67" i="4" s="1"/>
  <c r="AK67" i="4" s="1"/>
  <c r="AB67" i="4"/>
  <c r="AE67" i="4" s="1"/>
  <c r="AG67" i="4" s="1"/>
  <c r="Z67" i="4"/>
  <c r="AS67" i="4"/>
  <c r="AU67" i="4" s="1"/>
  <c r="AO66" i="4"/>
  <c r="AN66" i="4"/>
  <c r="AX65" i="4"/>
  <c r="AV66" i="4"/>
  <c r="AW66" i="4" s="1"/>
  <c r="AA67" i="4"/>
  <c r="W67" i="4"/>
  <c r="AM67" i="4" s="1"/>
  <c r="AR65" i="4"/>
  <c r="AQ65" i="4"/>
  <c r="X67" i="4"/>
  <c r="AF66" i="4"/>
  <c r="AP66" i="4"/>
  <c r="B68" i="4"/>
  <c r="AT67" i="4" l="1"/>
  <c r="AL67" i="4"/>
  <c r="AH68" i="4"/>
  <c r="AB68" i="4"/>
  <c r="AE68" i="4" s="1"/>
  <c r="AG68" i="4" s="1"/>
  <c r="Z68" i="4"/>
  <c r="AS68" i="4"/>
  <c r="AU68" i="4" s="1"/>
  <c r="AJ68" i="4"/>
  <c r="AK68" i="4" s="1"/>
  <c r="AO67" i="4"/>
  <c r="AN67" i="4"/>
  <c r="AX66" i="4"/>
  <c r="AV67" i="4"/>
  <c r="AW67" i="4" s="1"/>
  <c r="W68" i="4"/>
  <c r="AM68" i="4" s="1"/>
  <c r="AA68" i="4"/>
  <c r="X68" i="4"/>
  <c r="CL14" i="4"/>
  <c r="AR66" i="4"/>
  <c r="AQ66" i="4"/>
  <c r="AF67" i="4"/>
  <c r="AP67" i="4"/>
  <c r="B69" i="4"/>
  <c r="CL17" i="4" s="1"/>
  <c r="AT68" i="4" l="1"/>
  <c r="AL68" i="4"/>
  <c r="Z69" i="4"/>
  <c r="AH69" i="4"/>
  <c r="AB69" i="4"/>
  <c r="AE69" i="4" s="1"/>
  <c r="AG69" i="4" s="1"/>
  <c r="AS69" i="4"/>
  <c r="AU69" i="4" s="1"/>
  <c r="AJ69" i="4"/>
  <c r="AK69" i="4" s="1"/>
  <c r="AO68" i="4"/>
  <c r="AN68" i="4"/>
  <c r="CJ17" i="4"/>
  <c r="AX67" i="4"/>
  <c r="AV68" i="4"/>
  <c r="W69" i="4"/>
  <c r="AM69" i="4" s="1"/>
  <c r="AA69" i="4"/>
  <c r="AF68" i="4"/>
  <c r="AR67" i="4"/>
  <c r="AQ67" i="4"/>
  <c r="X69" i="4"/>
  <c r="AP68" i="4"/>
  <c r="B70" i="4"/>
  <c r="AT69" i="4" l="1"/>
  <c r="AL69" i="4"/>
  <c r="CJ14" i="4"/>
  <c r="Z70" i="4"/>
  <c r="AT70" i="4"/>
  <c r="AN70" i="4"/>
  <c r="AH70" i="4"/>
  <c r="AJ70" i="4" s="1"/>
  <c r="AB70" i="4"/>
  <c r="AE70" i="4" s="1"/>
  <c r="AS70" i="4"/>
  <c r="AU70" i="4" s="1"/>
  <c r="AO69" i="4"/>
  <c r="AN69" i="4"/>
  <c r="AF69" i="4"/>
  <c r="AX68" i="4"/>
  <c r="AW68" i="4"/>
  <c r="AV69" i="4"/>
  <c r="AA70" i="4"/>
  <c r="X70" i="4"/>
  <c r="W70" i="4"/>
  <c r="AM70" i="4" s="1"/>
  <c r="AO70" i="4" s="1"/>
  <c r="AR68" i="4"/>
  <c r="AQ68" i="4"/>
  <c r="AP69" i="4"/>
  <c r="B71" i="4"/>
  <c r="AG71" i="4" s="1"/>
  <c r="AF70" i="4" l="1"/>
  <c r="AG70" i="4"/>
  <c r="AL70" i="4"/>
  <c r="AK70" i="4"/>
  <c r="Z71" i="4"/>
  <c r="AT71" i="4"/>
  <c r="AN71" i="4"/>
  <c r="AB71" i="4"/>
  <c r="AE71" i="4" s="1"/>
  <c r="AF71" i="4" s="1"/>
  <c r="AH71" i="4"/>
  <c r="AJ71" i="4" s="1"/>
  <c r="AS71" i="4"/>
  <c r="AU71" i="4" s="1"/>
  <c r="AK71" i="4"/>
  <c r="AR69" i="4"/>
  <c r="AQ69" i="4"/>
  <c r="AX69" i="4"/>
  <c r="AW69" i="4"/>
  <c r="AV70" i="4"/>
  <c r="AA71" i="4"/>
  <c r="X71" i="4"/>
  <c r="W71" i="4"/>
  <c r="AM71" i="4" s="1"/>
  <c r="AO71" i="4" s="1"/>
  <c r="AP70" i="4"/>
  <c r="B72" i="4"/>
  <c r="AG72" i="4" s="1"/>
  <c r="AL71" i="4" l="1"/>
  <c r="AB72" i="4"/>
  <c r="AT72" i="4"/>
  <c r="AH72" i="4"/>
  <c r="AJ72" i="4" s="1"/>
  <c r="AL72" i="4" s="1"/>
  <c r="Z72" i="4"/>
  <c r="AN72" i="4"/>
  <c r="AS72" i="4"/>
  <c r="AU72" i="4" s="1"/>
  <c r="AK72" i="4"/>
  <c r="AX70" i="4"/>
  <c r="AW70" i="4"/>
  <c r="BT17" i="4" s="1"/>
  <c r="AR70" i="4"/>
  <c r="AQ70" i="4"/>
  <c r="AV71" i="4"/>
  <c r="AX71" i="4" s="1"/>
  <c r="W72" i="4"/>
  <c r="AM72" i="4" s="1"/>
  <c r="AO72" i="4" s="1"/>
  <c r="AA72" i="4"/>
  <c r="X72" i="4"/>
  <c r="AP71" i="4"/>
  <c r="AR71" i="4" s="1"/>
  <c r="AE72" i="4"/>
  <c r="AF72" i="4" s="1"/>
  <c r="B73" i="4"/>
  <c r="AG73" i="4" s="1"/>
  <c r="AH73" i="4" l="1"/>
  <c r="AT73" i="4"/>
  <c r="AB73" i="4"/>
  <c r="Z73" i="4"/>
  <c r="AN73" i="4"/>
  <c r="AS73" i="4"/>
  <c r="AU73" i="4" s="1"/>
  <c r="AJ73" i="4"/>
  <c r="AL73" i="4" s="1"/>
  <c r="AK73" i="4"/>
  <c r="AV72" i="4"/>
  <c r="AX72" i="4" s="1"/>
  <c r="AA73" i="4"/>
  <c r="X73" i="4"/>
  <c r="W73" i="4"/>
  <c r="AM73" i="4" s="1"/>
  <c r="AO73" i="4" s="1"/>
  <c r="AP72" i="4"/>
  <c r="AR72" i="4" s="1"/>
  <c r="B74" i="4"/>
  <c r="AG74" i="4" s="1"/>
  <c r="AE73" i="4"/>
  <c r="AF73" i="4" s="1"/>
  <c r="AH74" i="4" l="1"/>
  <c r="AB74" i="4"/>
  <c r="Z74" i="4"/>
  <c r="AT74" i="4"/>
  <c r="AN74" i="4"/>
  <c r="AS74" i="4"/>
  <c r="AU74" i="4" s="1"/>
  <c r="AJ74" i="4"/>
  <c r="AL74" i="4" s="1"/>
  <c r="AK74" i="4"/>
  <c r="AV73" i="4"/>
  <c r="AX73" i="4" s="1"/>
  <c r="W74" i="4"/>
  <c r="AM74" i="4" s="1"/>
  <c r="AO74" i="4" s="1"/>
  <c r="AA74" i="4"/>
  <c r="X74" i="4"/>
  <c r="AP73" i="4"/>
  <c r="AR73" i="4" s="1"/>
  <c r="B75" i="4"/>
  <c r="AG75" i="4" s="1"/>
  <c r="AE74" i="4"/>
  <c r="AF74" i="4" s="1"/>
  <c r="AH75" i="4" l="1"/>
  <c r="AB75" i="4"/>
  <c r="Z75" i="4"/>
  <c r="AT75" i="4"/>
  <c r="AN75" i="4"/>
  <c r="AS75" i="4"/>
  <c r="AU75" i="4" s="1"/>
  <c r="AJ75" i="4"/>
  <c r="AL75" i="4" s="1"/>
  <c r="AK75" i="4"/>
  <c r="AV74" i="4"/>
  <c r="AX74" i="4" s="1"/>
  <c r="AA75" i="4"/>
  <c r="X75" i="4"/>
  <c r="W75" i="4"/>
  <c r="AM75" i="4" s="1"/>
  <c r="AO75" i="4" s="1"/>
  <c r="AP74" i="4"/>
  <c r="AR74" i="4" s="1"/>
  <c r="AE75" i="4"/>
  <c r="AF75" i="4" s="1"/>
  <c r="B76" i="4"/>
  <c r="AG76" i="4" s="1"/>
  <c r="AN76" i="4" l="1"/>
  <c r="AH76" i="4"/>
  <c r="AB76" i="4"/>
  <c r="Z76" i="4"/>
  <c r="AT76" i="4"/>
  <c r="AS76" i="4"/>
  <c r="AU76" i="4" s="1"/>
  <c r="AJ76" i="4"/>
  <c r="AL76" i="4" s="1"/>
  <c r="AK76" i="4"/>
  <c r="AV75" i="4"/>
  <c r="AX75" i="4" s="1"/>
  <c r="W76" i="4"/>
  <c r="AM76" i="4" s="1"/>
  <c r="AO76" i="4" s="1"/>
  <c r="AA76" i="4"/>
  <c r="X76" i="4"/>
  <c r="AP75" i="4"/>
  <c r="AR75" i="4" s="1"/>
  <c r="B77" i="4"/>
  <c r="AG77" i="4" s="1"/>
  <c r="AE76" i="4"/>
  <c r="AF76" i="4" s="1"/>
  <c r="AN77" i="4" l="1"/>
  <c r="AH77" i="4"/>
  <c r="AB77" i="4"/>
  <c r="AE77" i="4" s="1"/>
  <c r="AF77" i="4" s="1"/>
  <c r="Z77" i="4"/>
  <c r="AT77" i="4"/>
  <c r="AS77" i="4"/>
  <c r="AU77" i="4" s="1"/>
  <c r="AJ77" i="4"/>
  <c r="AL77" i="4" s="1"/>
  <c r="AK77" i="4"/>
  <c r="AV76" i="4"/>
  <c r="AX76" i="4" s="1"/>
  <c r="AA77" i="4"/>
  <c r="X77" i="4"/>
  <c r="W77" i="4"/>
  <c r="AM77" i="4" s="1"/>
  <c r="AO77" i="4" s="1"/>
  <c r="AP76" i="4"/>
  <c r="AR76" i="4" s="1"/>
  <c r="B78" i="4"/>
  <c r="AG78" i="4" s="1"/>
  <c r="Z78" i="4" l="1"/>
  <c r="AT78" i="4"/>
  <c r="AN78" i="4"/>
  <c r="AH78" i="4"/>
  <c r="AB78" i="4"/>
  <c r="AE78" i="4" s="1"/>
  <c r="AF78" i="4" s="1"/>
  <c r="AS78" i="4"/>
  <c r="AU78" i="4" s="1"/>
  <c r="AJ78" i="4"/>
  <c r="AL78" i="4" s="1"/>
  <c r="AK78" i="4"/>
  <c r="AV77" i="4"/>
  <c r="AX77" i="4" s="1"/>
  <c r="W78" i="4"/>
  <c r="AM78" i="4" s="1"/>
  <c r="AO78" i="4" s="1"/>
  <c r="AA78" i="4"/>
  <c r="X78" i="4"/>
  <c r="AP77" i="4"/>
  <c r="AR77" i="4" s="1"/>
  <c r="B79" i="4"/>
  <c r="AG79" i="4" s="1"/>
  <c r="AB79" i="4" l="1"/>
  <c r="Z79" i="4"/>
  <c r="AT79" i="4"/>
  <c r="AN79" i="4"/>
  <c r="AH79" i="4"/>
  <c r="AS79" i="4"/>
  <c r="AU79" i="4" s="1"/>
  <c r="AJ79" i="4"/>
  <c r="AL79" i="4" s="1"/>
  <c r="AK79" i="4"/>
  <c r="AV78" i="4"/>
  <c r="AX78" i="4" s="1"/>
  <c r="AA79" i="4"/>
  <c r="X79" i="4"/>
  <c r="W79" i="4"/>
  <c r="AM79" i="4" s="1"/>
  <c r="AO79" i="4" s="1"/>
  <c r="AP78" i="4"/>
  <c r="AR78" i="4" s="1"/>
  <c r="AE79" i="4"/>
  <c r="AF79" i="4" s="1"/>
  <c r="B80" i="4"/>
  <c r="AG80" i="4" s="1"/>
  <c r="AB80" i="4" l="1"/>
  <c r="Z80" i="4"/>
  <c r="AT80" i="4"/>
  <c r="AH80" i="4"/>
  <c r="AN80" i="4"/>
  <c r="AS80" i="4"/>
  <c r="AU80" i="4" s="1"/>
  <c r="AJ80" i="4"/>
  <c r="AL80" i="4" s="1"/>
  <c r="AK80" i="4"/>
  <c r="AV79" i="4"/>
  <c r="AX79" i="4" s="1"/>
  <c r="W80" i="4"/>
  <c r="AM80" i="4" s="1"/>
  <c r="AO80" i="4" s="1"/>
  <c r="AA80" i="4"/>
  <c r="X80" i="4"/>
  <c r="AP79" i="4"/>
  <c r="AR79" i="4" s="1"/>
  <c r="B81" i="4"/>
  <c r="AG81" i="4" s="1"/>
  <c r="AE80" i="4"/>
  <c r="AF80" i="4" s="1"/>
  <c r="AH81" i="4" l="1"/>
  <c r="AT81" i="4"/>
  <c r="AB81" i="4"/>
  <c r="Z81" i="4"/>
  <c r="AN81" i="4"/>
  <c r="AS81" i="4"/>
  <c r="AU81" i="4" s="1"/>
  <c r="AJ81" i="4"/>
  <c r="AL81" i="4" s="1"/>
  <c r="AK81" i="4"/>
  <c r="AV80" i="4"/>
  <c r="AX80" i="4" s="1"/>
  <c r="AA81" i="4"/>
  <c r="X81" i="4"/>
  <c r="W81" i="4"/>
  <c r="AM81" i="4" s="1"/>
  <c r="AO81" i="4" s="1"/>
  <c r="AP80" i="4"/>
  <c r="AR80" i="4" s="1"/>
  <c r="B82" i="4"/>
  <c r="AG82" i="4" s="1"/>
  <c r="AE81" i="4"/>
  <c r="AF81" i="4" s="1"/>
  <c r="AH82" i="4" l="1"/>
  <c r="AB82" i="4"/>
  <c r="Z82" i="4"/>
  <c r="AT82" i="4"/>
  <c r="AN82" i="4"/>
  <c r="AS82" i="4"/>
  <c r="AU82" i="4" s="1"/>
  <c r="AJ82" i="4"/>
  <c r="AL82" i="4" s="1"/>
  <c r="AK82" i="4"/>
  <c r="AV81" i="4"/>
  <c r="AX81" i="4" s="1"/>
  <c r="W82" i="4"/>
  <c r="AM82" i="4" s="1"/>
  <c r="AO82" i="4" s="1"/>
  <c r="AA82" i="4"/>
  <c r="X82" i="4"/>
  <c r="AP82" i="4" s="1"/>
  <c r="AP81" i="4"/>
  <c r="AR81" i="4" s="1"/>
  <c r="B83" i="4"/>
  <c r="AG83" i="4" s="1"/>
  <c r="AE82" i="4"/>
  <c r="AF82" i="4" s="1"/>
  <c r="AH83" i="4" l="1"/>
  <c r="AB83" i="4"/>
  <c r="AN83" i="4"/>
  <c r="Z83" i="4"/>
  <c r="AT83" i="4"/>
  <c r="AS83" i="4"/>
  <c r="AU83" i="4" s="1"/>
  <c r="AJ83" i="4"/>
  <c r="AL83" i="4" s="1"/>
  <c r="AK83" i="4"/>
  <c r="AV82" i="4"/>
  <c r="AX82" i="4" s="1"/>
  <c r="AA83" i="4"/>
  <c r="X83" i="4"/>
  <c r="W83" i="4"/>
  <c r="AM83" i="4" s="1"/>
  <c r="AO83" i="4" s="1"/>
  <c r="AR82" i="4"/>
  <c r="B84" i="4"/>
  <c r="AG84" i="4" s="1"/>
  <c r="AE83" i="4"/>
  <c r="AF83" i="4" s="1"/>
  <c r="AN84" i="4" l="1"/>
  <c r="AH84" i="4"/>
  <c r="AB84" i="4"/>
  <c r="Z84" i="4"/>
  <c r="AT84" i="4"/>
  <c r="AS84" i="4"/>
  <c r="AU84" i="4" s="1"/>
  <c r="AJ84" i="4"/>
  <c r="AL84" i="4" s="1"/>
  <c r="AK84" i="4"/>
  <c r="AV83" i="4"/>
  <c r="AX83" i="4" s="1"/>
  <c r="W84" i="4"/>
  <c r="AM84" i="4" s="1"/>
  <c r="AO84" i="4" s="1"/>
  <c r="AA84" i="4"/>
  <c r="X84" i="4"/>
  <c r="AP83" i="4"/>
  <c r="AR83" i="4" s="1"/>
  <c r="B85" i="4"/>
  <c r="AG85" i="4" s="1"/>
  <c r="AE84" i="4"/>
  <c r="AF84" i="4" s="1"/>
  <c r="AN85" i="4" l="1"/>
  <c r="AT85" i="4"/>
  <c r="AH85" i="4"/>
  <c r="AB85" i="4"/>
  <c r="Z85" i="4"/>
  <c r="AS85" i="4"/>
  <c r="AU85" i="4" s="1"/>
  <c r="AJ85" i="4"/>
  <c r="AL85" i="4" s="1"/>
  <c r="AK85" i="4"/>
  <c r="AV84" i="4"/>
  <c r="AX84" i="4" s="1"/>
  <c r="AA85" i="4"/>
  <c r="X85" i="4"/>
  <c r="W85" i="4"/>
  <c r="AM85" i="4" s="1"/>
  <c r="AO85" i="4" s="1"/>
  <c r="AP84" i="4"/>
  <c r="AR84" i="4" s="1"/>
  <c r="B86" i="4"/>
  <c r="AG86" i="4" s="1"/>
  <c r="AE85" i="4"/>
  <c r="AF85" i="4" s="1"/>
  <c r="Z86" i="4" l="1"/>
  <c r="AT86" i="4"/>
  <c r="AN86" i="4"/>
  <c r="AH86" i="4"/>
  <c r="AB86" i="4"/>
  <c r="AE86" i="4" s="1"/>
  <c r="AF86" i="4" s="1"/>
  <c r="AS86" i="4"/>
  <c r="AU86" i="4" s="1"/>
  <c r="AJ86" i="4"/>
  <c r="AL86" i="4" s="1"/>
  <c r="AK86" i="4"/>
  <c r="AV85" i="4"/>
  <c r="AX85" i="4" s="1"/>
  <c r="W86" i="4"/>
  <c r="AM86" i="4" s="1"/>
  <c r="AO86" i="4" s="1"/>
  <c r="AA86" i="4"/>
  <c r="X86" i="4"/>
  <c r="AP85" i="4"/>
  <c r="AR85" i="4" s="1"/>
  <c r="B87" i="4"/>
  <c r="AG87" i="4" s="1"/>
  <c r="Z87" i="4" l="1"/>
  <c r="AT87" i="4"/>
  <c r="AN87" i="4"/>
  <c r="AB87" i="4"/>
  <c r="AE87" i="4" s="1"/>
  <c r="AF87" i="4" s="1"/>
  <c r="AH87" i="4"/>
  <c r="AJ87" i="4" s="1"/>
  <c r="AL87" i="4" s="1"/>
  <c r="AS87" i="4"/>
  <c r="AU87" i="4" s="1"/>
  <c r="AK87" i="4"/>
  <c r="AV86" i="4"/>
  <c r="AX86" i="4" s="1"/>
  <c r="AA87" i="4"/>
  <c r="X87" i="4"/>
  <c r="W87" i="4"/>
  <c r="AM87" i="4" s="1"/>
  <c r="AO87" i="4" s="1"/>
  <c r="AP86" i="4"/>
  <c r="AR86" i="4" s="1"/>
  <c r="B88" i="4"/>
  <c r="AG88" i="4" s="1"/>
  <c r="AB88" i="4" l="1"/>
  <c r="AT88" i="4"/>
  <c r="Z88" i="4"/>
  <c r="AN88" i="4"/>
  <c r="AH88" i="4"/>
  <c r="AJ88" i="4" s="1"/>
  <c r="AL88" i="4" s="1"/>
  <c r="AS88" i="4"/>
  <c r="AU88" i="4" s="1"/>
  <c r="AK88" i="4"/>
  <c r="AV87" i="4"/>
  <c r="AX87" i="4" s="1"/>
  <c r="W88" i="4"/>
  <c r="AM88" i="4" s="1"/>
  <c r="AO88" i="4" s="1"/>
  <c r="AA88" i="4"/>
  <c r="X88" i="4"/>
  <c r="AP87" i="4"/>
  <c r="AR87" i="4" s="1"/>
  <c r="B89" i="4"/>
  <c r="AG89" i="4" s="1"/>
  <c r="AE88" i="4"/>
  <c r="AF88" i="4" s="1"/>
  <c r="AH89" i="4" l="1"/>
  <c r="AB89" i="4"/>
  <c r="AT89" i="4"/>
  <c r="Z89" i="4"/>
  <c r="AN89" i="4"/>
  <c r="AS89" i="4"/>
  <c r="AU89" i="4" s="1"/>
  <c r="AJ89" i="4"/>
  <c r="AL89" i="4" s="1"/>
  <c r="AK89" i="4"/>
  <c r="AV88" i="4"/>
  <c r="AX88" i="4" s="1"/>
  <c r="AA89" i="4"/>
  <c r="X89" i="4"/>
  <c r="W89" i="4"/>
  <c r="AM89" i="4" s="1"/>
  <c r="AO89" i="4" s="1"/>
  <c r="AP88" i="4"/>
  <c r="AR88" i="4" s="1"/>
  <c r="B90" i="4"/>
  <c r="AG90" i="4" s="1"/>
  <c r="AE89" i="4"/>
  <c r="AF89" i="4" s="1"/>
  <c r="AH90" i="4" l="1"/>
  <c r="AB90" i="4"/>
  <c r="Z90" i="4"/>
  <c r="AT90" i="4"/>
  <c r="AN90" i="4"/>
  <c r="AS90" i="4"/>
  <c r="AU90" i="4" s="1"/>
  <c r="AJ90" i="4"/>
  <c r="AL90" i="4" s="1"/>
  <c r="AK90" i="4"/>
  <c r="AV89" i="4"/>
  <c r="AX89" i="4" s="1"/>
  <c r="W90" i="4"/>
  <c r="AM90" i="4" s="1"/>
  <c r="AO90" i="4" s="1"/>
  <c r="AA90" i="4"/>
  <c r="X90" i="4"/>
  <c r="AP89" i="4"/>
  <c r="AR89" i="4" s="1"/>
  <c r="B91" i="4"/>
  <c r="AG91" i="4" s="1"/>
  <c r="AE90" i="4"/>
  <c r="AF90" i="4" s="1"/>
  <c r="AH91" i="4" l="1"/>
  <c r="AB91" i="4"/>
  <c r="AN91" i="4"/>
  <c r="Z91" i="4"/>
  <c r="AT91" i="4"/>
  <c r="AS91" i="4"/>
  <c r="AU91" i="4" s="1"/>
  <c r="AJ91" i="4"/>
  <c r="AL91" i="4" s="1"/>
  <c r="AK91" i="4"/>
  <c r="AV90" i="4"/>
  <c r="AX90" i="4" s="1"/>
  <c r="AA91" i="4"/>
  <c r="X91" i="4"/>
  <c r="W91" i="4"/>
  <c r="AM91" i="4" s="1"/>
  <c r="AO91" i="4" s="1"/>
  <c r="AP90" i="4"/>
  <c r="AR90" i="4" s="1"/>
  <c r="B92" i="4"/>
  <c r="AG92" i="4" s="1"/>
  <c r="AE91" i="4"/>
  <c r="AF91" i="4" s="1"/>
  <c r="AN92" i="4" l="1"/>
  <c r="AH92" i="4"/>
  <c r="AB92" i="4"/>
  <c r="Z92" i="4"/>
  <c r="AT92" i="4"/>
  <c r="AS92" i="4"/>
  <c r="AU92" i="4" s="1"/>
  <c r="AJ92" i="4"/>
  <c r="AL92" i="4" s="1"/>
  <c r="AK92" i="4"/>
  <c r="AV91" i="4"/>
  <c r="AX91" i="4" s="1"/>
  <c r="W92" i="4"/>
  <c r="AM92" i="4" s="1"/>
  <c r="AO92" i="4" s="1"/>
  <c r="AA92" i="4"/>
  <c r="X92" i="4"/>
  <c r="AP91" i="4"/>
  <c r="AR91" i="4" s="1"/>
  <c r="B93" i="4"/>
  <c r="AG93" i="4" s="1"/>
  <c r="AE92" i="4"/>
  <c r="AF92" i="4" s="1"/>
  <c r="AN93" i="4" l="1"/>
  <c r="Z93" i="4"/>
  <c r="AH93" i="4"/>
  <c r="AB93" i="4"/>
  <c r="AE93" i="4" s="1"/>
  <c r="AF93" i="4" s="1"/>
  <c r="AT93" i="4"/>
  <c r="AS93" i="4"/>
  <c r="AU93" i="4" s="1"/>
  <c r="AJ93" i="4"/>
  <c r="AL93" i="4" s="1"/>
  <c r="AK93" i="4"/>
  <c r="AV92" i="4"/>
  <c r="AX92" i="4" s="1"/>
  <c r="AA93" i="4"/>
  <c r="X93" i="4"/>
  <c r="W93" i="4"/>
  <c r="AM93" i="4" s="1"/>
  <c r="AO93" i="4" s="1"/>
  <c r="AP92" i="4"/>
  <c r="AR92" i="4" s="1"/>
  <c r="B94" i="4"/>
  <c r="AG94" i="4" s="1"/>
  <c r="Z94" i="4" l="1"/>
  <c r="AT94" i="4"/>
  <c r="AN94" i="4"/>
  <c r="AH94" i="4"/>
  <c r="AJ94" i="4" s="1"/>
  <c r="AB94" i="4"/>
  <c r="AE94" i="4" s="1"/>
  <c r="AF94" i="4" s="1"/>
  <c r="AS94" i="4"/>
  <c r="AU94" i="4" s="1"/>
  <c r="AK94" i="4"/>
  <c r="AV93" i="4"/>
  <c r="AX93" i="4" s="1"/>
  <c r="W94" i="4"/>
  <c r="AM94" i="4" s="1"/>
  <c r="AO94" i="4" s="1"/>
  <c r="AA94" i="4"/>
  <c r="X94" i="4"/>
  <c r="AP93" i="4"/>
  <c r="AR93" i="4" s="1"/>
  <c r="B95" i="4"/>
  <c r="AG95" i="4" s="1"/>
  <c r="AL94" i="4" l="1"/>
  <c r="Z95" i="4"/>
  <c r="AT95" i="4"/>
  <c r="AN95" i="4"/>
  <c r="AB95" i="4"/>
  <c r="AH95" i="4"/>
  <c r="AJ95" i="4" s="1"/>
  <c r="AL95" i="4" s="1"/>
  <c r="AS95" i="4"/>
  <c r="AU95" i="4" s="1"/>
  <c r="AK95" i="4"/>
  <c r="AV94" i="4"/>
  <c r="AX94" i="4" s="1"/>
  <c r="AA95" i="4"/>
  <c r="X95" i="4"/>
  <c r="W95" i="4"/>
  <c r="AM95" i="4" s="1"/>
  <c r="AO95" i="4" s="1"/>
  <c r="AP94" i="4"/>
  <c r="AR94" i="4" s="1"/>
  <c r="B96" i="4"/>
  <c r="AG96" i="4" s="1"/>
  <c r="AE95" i="4"/>
  <c r="AF95" i="4" s="1"/>
  <c r="AB96" i="4" l="1"/>
  <c r="AT96" i="4"/>
  <c r="Z96" i="4"/>
  <c r="AN96" i="4"/>
  <c r="AH96" i="4"/>
  <c r="AJ96" i="4" s="1"/>
  <c r="AL96" i="4" s="1"/>
  <c r="AS96" i="4"/>
  <c r="AU96" i="4" s="1"/>
  <c r="AK96" i="4"/>
  <c r="AV95" i="4"/>
  <c r="AX95" i="4" s="1"/>
  <c r="W96" i="4"/>
  <c r="AM96" i="4" s="1"/>
  <c r="AO96" i="4" s="1"/>
  <c r="AA96" i="4"/>
  <c r="X96" i="4"/>
  <c r="AP95" i="4"/>
  <c r="AR95" i="4" s="1"/>
  <c r="B97" i="4"/>
  <c r="AG97" i="4" s="1"/>
  <c r="AE96" i="4"/>
  <c r="AF96" i="4" s="1"/>
  <c r="AH97" i="4" l="1"/>
  <c r="AT97" i="4"/>
  <c r="AB97" i="4"/>
  <c r="Z97" i="4"/>
  <c r="AN97" i="4"/>
  <c r="AS97" i="4"/>
  <c r="AU97" i="4" s="1"/>
  <c r="AJ97" i="4"/>
  <c r="AL97" i="4" s="1"/>
  <c r="AK97" i="4"/>
  <c r="AV96" i="4"/>
  <c r="AX96" i="4" s="1"/>
  <c r="AA97" i="4"/>
  <c r="X97" i="4"/>
  <c r="W97" i="4"/>
  <c r="AM97" i="4" s="1"/>
  <c r="AO97" i="4" s="1"/>
  <c r="AP96" i="4"/>
  <c r="AR96" i="4" s="1"/>
  <c r="B98" i="4"/>
  <c r="AG98" i="4" s="1"/>
  <c r="AE97" i="4"/>
  <c r="AF97" i="4" s="1"/>
  <c r="AH98" i="4" l="1"/>
  <c r="AB98" i="4"/>
  <c r="Z98" i="4"/>
  <c r="AT98" i="4"/>
  <c r="AN98" i="4"/>
  <c r="AS98" i="4"/>
  <c r="AU98" i="4" s="1"/>
  <c r="AJ98" i="4"/>
  <c r="AL98" i="4" s="1"/>
  <c r="AK98" i="4"/>
  <c r="AV97" i="4"/>
  <c r="AX97" i="4" s="1"/>
  <c r="W98" i="4"/>
  <c r="AM98" i="4" s="1"/>
  <c r="AO98" i="4" s="1"/>
  <c r="AA98" i="4"/>
  <c r="X98" i="4"/>
  <c r="AP97" i="4"/>
  <c r="AR97" i="4" s="1"/>
  <c r="B99" i="4"/>
  <c r="AG99" i="4" s="1"/>
  <c r="AE98" i="4"/>
  <c r="AF98" i="4" s="1"/>
  <c r="AH99" i="4" l="1"/>
  <c r="AN99" i="4"/>
  <c r="AB99" i="4"/>
  <c r="Z99" i="4"/>
  <c r="AT99" i="4"/>
  <c r="AS99" i="4"/>
  <c r="AU99" i="4" s="1"/>
  <c r="AJ99" i="4"/>
  <c r="AL99" i="4" s="1"/>
  <c r="AK99" i="4"/>
  <c r="AV98" i="4"/>
  <c r="AX98" i="4" s="1"/>
  <c r="AA99" i="4"/>
  <c r="X99" i="4"/>
  <c r="W99" i="4"/>
  <c r="AM99" i="4" s="1"/>
  <c r="AO99" i="4" s="1"/>
  <c r="AP98" i="4"/>
  <c r="AR98" i="4" s="1"/>
  <c r="B100" i="4"/>
  <c r="AG100" i="4" s="1"/>
  <c r="AE99" i="4"/>
  <c r="AF99" i="4" s="1"/>
  <c r="AN100" i="4" l="1"/>
  <c r="AH100" i="4"/>
  <c r="AB100" i="4"/>
  <c r="Z100" i="4"/>
  <c r="AT100" i="4"/>
  <c r="AS100" i="4"/>
  <c r="AU100" i="4" s="1"/>
  <c r="AJ100" i="4"/>
  <c r="AL100" i="4" s="1"/>
  <c r="AK100" i="4"/>
  <c r="AV99" i="4"/>
  <c r="AX99" i="4" s="1"/>
  <c r="W100" i="4"/>
  <c r="AM100" i="4" s="1"/>
  <c r="AO100" i="4" s="1"/>
  <c r="AA100" i="4"/>
  <c r="X100" i="4"/>
  <c r="AP99" i="4"/>
  <c r="AR99" i="4" s="1"/>
  <c r="B101" i="4"/>
  <c r="AG101" i="4" s="1"/>
  <c r="AE100" i="4"/>
  <c r="AF100" i="4" s="1"/>
  <c r="AN101" i="4" l="1"/>
  <c r="AH101" i="4"/>
  <c r="Z101" i="4"/>
  <c r="AT101" i="4"/>
  <c r="AB101" i="4"/>
  <c r="AE101" i="4" s="1"/>
  <c r="AF101" i="4" s="1"/>
  <c r="AS101" i="4"/>
  <c r="AU101" i="4" s="1"/>
  <c r="AJ101" i="4"/>
  <c r="AL101" i="4" s="1"/>
  <c r="AK101" i="4"/>
  <c r="AV100" i="4"/>
  <c r="AX100" i="4" s="1"/>
  <c r="AA101" i="4"/>
  <c r="X101" i="4"/>
  <c r="W101" i="4"/>
  <c r="AM101" i="4" s="1"/>
  <c r="AO101" i="4" s="1"/>
  <c r="AP100" i="4"/>
  <c r="AR100" i="4" s="1"/>
  <c r="B102" i="4"/>
  <c r="AG102" i="4" s="1"/>
  <c r="Z102" i="4" l="1"/>
  <c r="AT102" i="4"/>
  <c r="AN102" i="4"/>
  <c r="AH102" i="4"/>
  <c r="AJ102" i="4" s="1"/>
  <c r="AB102" i="4"/>
  <c r="AE102" i="4" s="1"/>
  <c r="AF102" i="4" s="1"/>
  <c r="AS102" i="4"/>
  <c r="AU102" i="4" s="1"/>
  <c r="AK102" i="4"/>
  <c r="AV101" i="4"/>
  <c r="AX101" i="4" s="1"/>
  <c r="W102" i="4"/>
  <c r="AM102" i="4" s="1"/>
  <c r="AO102" i="4" s="1"/>
  <c r="AA102" i="4"/>
  <c r="X102" i="4"/>
  <c r="AP101" i="4"/>
  <c r="AR101" i="4" s="1"/>
  <c r="B103" i="4"/>
  <c r="AG103" i="4" s="1"/>
  <c r="AL102" i="4" l="1"/>
  <c r="Z103" i="4"/>
  <c r="AT103" i="4"/>
  <c r="AN103" i="4"/>
  <c r="AB103" i="4"/>
  <c r="AH103" i="4"/>
  <c r="AJ103" i="4" s="1"/>
  <c r="AL103" i="4" s="1"/>
  <c r="AS103" i="4"/>
  <c r="AU103" i="4" s="1"/>
  <c r="AK103" i="4"/>
  <c r="AV102" i="4"/>
  <c r="AX102" i="4" s="1"/>
  <c r="AA103" i="4"/>
  <c r="X103" i="4"/>
  <c r="W103" i="4"/>
  <c r="AM103" i="4" s="1"/>
  <c r="AO103" i="4" s="1"/>
  <c r="AP102" i="4"/>
  <c r="AR102" i="4" s="1"/>
  <c r="B104" i="4"/>
  <c r="AG104" i="4" s="1"/>
  <c r="AE103" i="4"/>
  <c r="AF103" i="4" s="1"/>
  <c r="AB104" i="4" l="1"/>
  <c r="AT104" i="4"/>
  <c r="AH104" i="4"/>
  <c r="Z104" i="4"/>
  <c r="AN104" i="4"/>
  <c r="AS104" i="4"/>
  <c r="AU104" i="4" s="1"/>
  <c r="AJ104" i="4"/>
  <c r="AL104" i="4" s="1"/>
  <c r="AK104" i="4"/>
  <c r="AV103" i="4"/>
  <c r="AX103" i="4" s="1"/>
  <c r="W104" i="4"/>
  <c r="AM104" i="4" s="1"/>
  <c r="AO104" i="4" s="1"/>
  <c r="AA104" i="4"/>
  <c r="X104" i="4"/>
  <c r="AP103" i="4"/>
  <c r="AR103" i="4" s="1"/>
  <c r="B105" i="4"/>
  <c r="AG105" i="4" s="1"/>
  <c r="AE104" i="4"/>
  <c r="AF104" i="4" s="1"/>
  <c r="AH105" i="4" l="1"/>
  <c r="AB105" i="4"/>
  <c r="AT105" i="4"/>
  <c r="Z105" i="4"/>
  <c r="AN105" i="4"/>
  <c r="AS105" i="4"/>
  <c r="AU105" i="4" s="1"/>
  <c r="AJ105" i="4"/>
  <c r="AL105" i="4" s="1"/>
  <c r="AK105" i="4"/>
  <c r="AV104" i="4"/>
  <c r="AX104" i="4" s="1"/>
  <c r="AA105" i="4"/>
  <c r="X105" i="4"/>
  <c r="W105" i="4"/>
  <c r="AM105" i="4" s="1"/>
  <c r="AO105" i="4" s="1"/>
  <c r="AP104" i="4"/>
  <c r="AR104" i="4" s="1"/>
  <c r="B106" i="4"/>
  <c r="AG106" i="4" s="1"/>
  <c r="AE105" i="4"/>
  <c r="AF105" i="4" s="1"/>
  <c r="AH106" i="4" l="1"/>
  <c r="AB106" i="4"/>
  <c r="Z106" i="4"/>
  <c r="AT106" i="4"/>
  <c r="AN106" i="4"/>
  <c r="AS106" i="4"/>
  <c r="AU106" i="4" s="1"/>
  <c r="AJ106" i="4"/>
  <c r="AL106" i="4" s="1"/>
  <c r="AK106" i="4"/>
  <c r="AV105" i="4"/>
  <c r="AX105" i="4" s="1"/>
  <c r="W106" i="4"/>
  <c r="AM106" i="4" s="1"/>
  <c r="AO106" i="4" s="1"/>
  <c r="AA106" i="4"/>
  <c r="X106" i="4"/>
  <c r="AP105" i="4"/>
  <c r="AR105" i="4" s="1"/>
  <c r="B107" i="4"/>
  <c r="AG107" i="4" s="1"/>
  <c r="AE106" i="4"/>
  <c r="AF106" i="4" s="1"/>
  <c r="AN107" i="4" l="1"/>
  <c r="AH107" i="4"/>
  <c r="AJ107" i="4" s="1"/>
  <c r="AB107" i="4"/>
  <c r="Z107" i="4"/>
  <c r="AT107" i="4"/>
  <c r="AS107" i="4"/>
  <c r="AU107" i="4" s="1"/>
  <c r="AK107" i="4"/>
  <c r="AV106" i="4"/>
  <c r="AX106" i="4" s="1"/>
  <c r="AA107" i="4"/>
  <c r="X107" i="4"/>
  <c r="W107" i="4"/>
  <c r="AM107" i="4" s="1"/>
  <c r="AO107" i="4" s="1"/>
  <c r="AP106" i="4"/>
  <c r="AR106" i="4" s="1"/>
  <c r="B108" i="4"/>
  <c r="AG108" i="4" s="1"/>
  <c r="AE107" i="4"/>
  <c r="AF107" i="4" s="1"/>
  <c r="AL107" i="4" l="1"/>
  <c r="AN108" i="4"/>
  <c r="AH108" i="4"/>
  <c r="AJ108" i="4" s="1"/>
  <c r="AB108" i="4"/>
  <c r="Z108" i="4"/>
  <c r="AT108" i="4"/>
  <c r="AS108" i="4"/>
  <c r="AU108" i="4" s="1"/>
  <c r="AK108" i="4"/>
  <c r="AV107" i="4"/>
  <c r="AX107" i="4" s="1"/>
  <c r="W108" i="4"/>
  <c r="AM108" i="4" s="1"/>
  <c r="AO108" i="4" s="1"/>
  <c r="AA108" i="4"/>
  <c r="X108" i="4"/>
  <c r="AP107" i="4"/>
  <c r="AR107" i="4" s="1"/>
  <c r="B109" i="4"/>
  <c r="AG109" i="4" s="1"/>
  <c r="AE108" i="4"/>
  <c r="AF108" i="4" s="1"/>
  <c r="AN109" i="4" l="1"/>
  <c r="Z109" i="4"/>
  <c r="AT109" i="4"/>
  <c r="AH109" i="4"/>
  <c r="AJ109" i="4" s="1"/>
  <c r="AB109" i="4"/>
  <c r="AE109" i="4" s="1"/>
  <c r="AF109" i="4" s="1"/>
  <c r="AS109" i="4"/>
  <c r="AU109" i="4" s="1"/>
  <c r="AK109" i="4"/>
  <c r="AL108" i="4"/>
  <c r="AV108" i="4"/>
  <c r="AX108" i="4" s="1"/>
  <c r="AA109" i="4"/>
  <c r="X109" i="4"/>
  <c r="W109" i="4"/>
  <c r="AM109" i="4" s="1"/>
  <c r="AO109" i="4" s="1"/>
  <c r="AP108" i="4"/>
  <c r="AR108" i="4" s="1"/>
  <c r="B110" i="4"/>
  <c r="AG110" i="4" s="1"/>
  <c r="BT14" i="4"/>
  <c r="AL109" i="4" l="1"/>
  <c r="Z110" i="4"/>
  <c r="AT110" i="4"/>
  <c r="AN110" i="4"/>
  <c r="AH110" i="4"/>
  <c r="AJ110" i="4" s="1"/>
  <c r="AL110" i="4" s="1"/>
  <c r="AB110" i="4"/>
  <c r="AE110" i="4" s="1"/>
  <c r="AF110" i="4" s="1"/>
  <c r="AS110" i="4"/>
  <c r="AU110" i="4" s="1"/>
  <c r="AK110" i="4"/>
  <c r="AV109" i="4"/>
  <c r="AX109" i="4" s="1"/>
  <c r="W110" i="4"/>
  <c r="AM110" i="4" s="1"/>
  <c r="AO110" i="4" s="1"/>
  <c r="AA110" i="4"/>
  <c r="X110" i="4"/>
  <c r="AP109" i="4"/>
  <c r="AR109" i="4" s="1"/>
  <c r="B111" i="4"/>
  <c r="AG111" i="4" s="1"/>
  <c r="AT111" i="4" l="1"/>
  <c r="Z111" i="4"/>
  <c r="AB111" i="4"/>
  <c r="AN111" i="4"/>
  <c r="AH111" i="4"/>
  <c r="AJ111" i="4" s="1"/>
  <c r="AL111" i="4" s="1"/>
  <c r="AS111" i="4"/>
  <c r="AU111" i="4" s="1"/>
  <c r="AK111" i="4"/>
  <c r="AV110" i="4"/>
  <c r="AX110" i="4" s="1"/>
  <c r="AA111" i="4"/>
  <c r="X111" i="4"/>
  <c r="W111" i="4"/>
  <c r="AM111" i="4" s="1"/>
  <c r="AO111" i="4" s="1"/>
  <c r="AP110" i="4"/>
  <c r="AR110" i="4" s="1"/>
  <c r="B112" i="4"/>
  <c r="AG112" i="4" s="1"/>
  <c r="AE111" i="4"/>
  <c r="AF111" i="4" s="1"/>
  <c r="AB112" i="4" l="1"/>
  <c r="AT112" i="4"/>
  <c r="AH112" i="4"/>
  <c r="AJ112" i="4" s="1"/>
  <c r="AL112" i="4" s="1"/>
  <c r="Z112" i="4"/>
  <c r="AN112" i="4"/>
  <c r="AS112" i="4"/>
  <c r="AU112" i="4" s="1"/>
  <c r="AK112" i="4"/>
  <c r="AV111" i="4"/>
  <c r="AX111" i="4" s="1"/>
  <c r="W112" i="4"/>
  <c r="AM112" i="4" s="1"/>
  <c r="AO112" i="4" s="1"/>
  <c r="AA112" i="4"/>
  <c r="X112" i="4"/>
  <c r="AP111" i="4"/>
  <c r="AR111" i="4" s="1"/>
  <c r="B113" i="4"/>
  <c r="AG113" i="4" s="1"/>
  <c r="AE112" i="4"/>
  <c r="AF112" i="4" s="1"/>
  <c r="AH113" i="4" l="1"/>
  <c r="AB113" i="4"/>
  <c r="Z113" i="4"/>
  <c r="AT113" i="4"/>
  <c r="AN113" i="4"/>
  <c r="AS113" i="4"/>
  <c r="AU113" i="4" s="1"/>
  <c r="AK113" i="4"/>
  <c r="AJ113" i="4"/>
  <c r="AV112" i="4"/>
  <c r="AX112" i="4" s="1"/>
  <c r="AA113" i="4"/>
  <c r="X113" i="4"/>
  <c r="W113" i="4"/>
  <c r="AM113" i="4" s="1"/>
  <c r="AO113" i="4" s="1"/>
  <c r="AP112" i="4"/>
  <c r="AR112" i="4" s="1"/>
  <c r="B114" i="4"/>
  <c r="AG114" i="4" s="1"/>
  <c r="AE113" i="4"/>
  <c r="AF113" i="4" s="1"/>
  <c r="AL113" i="4" l="1"/>
  <c r="AH114" i="4"/>
  <c r="AB114" i="4"/>
  <c r="AE114" i="4" s="1"/>
  <c r="AF114" i="4" s="1"/>
  <c r="Z114" i="4"/>
  <c r="AT114" i="4"/>
  <c r="AN114" i="4"/>
  <c r="AS114" i="4"/>
  <c r="AU114" i="4" s="1"/>
  <c r="AK114" i="4"/>
  <c r="AJ114" i="4"/>
  <c r="AV113" i="4"/>
  <c r="AX113" i="4" s="1"/>
  <c r="W114" i="4"/>
  <c r="AM114" i="4" s="1"/>
  <c r="AO114" i="4" s="1"/>
  <c r="AA114" i="4"/>
  <c r="X114" i="4"/>
  <c r="AP113" i="4"/>
  <c r="AR113" i="4" s="1"/>
  <c r="B115" i="4"/>
  <c r="AG115" i="4" s="1"/>
  <c r="AL114" i="4" l="1"/>
  <c r="AN115" i="4"/>
  <c r="AH115" i="4"/>
  <c r="AJ115" i="4" s="1"/>
  <c r="AB115" i="4"/>
  <c r="Z115" i="4"/>
  <c r="AT115" i="4"/>
  <c r="AS115" i="4"/>
  <c r="AU115" i="4" s="1"/>
  <c r="AK115" i="4"/>
  <c r="AV114" i="4"/>
  <c r="AX114" i="4" s="1"/>
  <c r="AA115" i="4"/>
  <c r="X115" i="4"/>
  <c r="W115" i="4"/>
  <c r="AM115" i="4" s="1"/>
  <c r="AO115" i="4" s="1"/>
  <c r="AP114" i="4"/>
  <c r="AR114" i="4" s="1"/>
  <c r="B116" i="4"/>
  <c r="AG116" i="4" s="1"/>
  <c r="AE115" i="4"/>
  <c r="AF115" i="4" s="1"/>
  <c r="AL115" i="4" l="1"/>
  <c r="AN116" i="4"/>
  <c r="AH116" i="4"/>
  <c r="AJ116" i="4" s="1"/>
  <c r="AB116" i="4"/>
  <c r="AE116" i="4" s="1"/>
  <c r="AF116" i="4" s="1"/>
  <c r="Z116" i="4"/>
  <c r="AT116" i="4"/>
  <c r="AS116" i="4"/>
  <c r="AU116" i="4" s="1"/>
  <c r="AK116" i="4"/>
  <c r="AV115" i="4"/>
  <c r="AX115" i="4" s="1"/>
  <c r="W116" i="4"/>
  <c r="AM116" i="4" s="1"/>
  <c r="AO116" i="4" s="1"/>
  <c r="AA116" i="4"/>
  <c r="X116" i="4"/>
  <c r="BX18" i="4" a="1"/>
  <c r="BX18" i="4" s="1"/>
  <c r="BX11" i="4" a="1"/>
  <c r="BX11" i="4" s="1"/>
  <c r="AP115" i="4"/>
  <c r="AR115" i="4" s="1"/>
  <c r="B117" i="4"/>
  <c r="BX14" i="4" a="1"/>
  <c r="BX14" i="4" s="1"/>
  <c r="CC12" i="4" a="1"/>
  <c r="CC12" i="4" s="1"/>
  <c r="CC18" i="4" l="1" a="1"/>
  <c r="CC18" i="4" s="1"/>
  <c r="AG117" i="4"/>
  <c r="BT11" i="4" s="1"/>
  <c r="E2" i="4" s="1"/>
  <c r="AL116" i="4"/>
  <c r="BX16" i="4" a="1"/>
  <c r="BX16" i="4" s="1"/>
  <c r="CC11" i="4" a="1"/>
  <c r="CC11" i="4" s="1"/>
  <c r="CC16" i="4" a="1"/>
  <c r="CC16" i="4" s="1"/>
  <c r="BX17" i="4" a="1"/>
  <c r="BX17" i="4" s="1"/>
  <c r="CB18" i="4" a="1"/>
  <c r="CB18" i="4" s="1"/>
  <c r="CH18" i="4" s="1"/>
  <c r="BX12" i="4" a="1"/>
  <c r="BX12" i="4" s="1"/>
  <c r="CK13" i="4" s="1"/>
  <c r="Z117" i="4"/>
  <c r="AN117" i="4"/>
  <c r="AH117" i="4"/>
  <c r="AJ117" i="4" s="1"/>
  <c r="AB117" i="4"/>
  <c r="AT117" i="4"/>
  <c r="BT16" i="4" s="1" a="1"/>
  <c r="AS117" i="4"/>
  <c r="AU117" i="4" s="1"/>
  <c r="AK117" i="4"/>
  <c r="BT12" i="4" s="1"/>
  <c r="CB16" i="4" a="1"/>
  <c r="CB16" i="4" s="1"/>
  <c r="CH16" i="4" s="1"/>
  <c r="CB17" i="4" a="1"/>
  <c r="CB17" i="4" s="1"/>
  <c r="CH17" i="4" s="1"/>
  <c r="AV116" i="4"/>
  <c r="AX116" i="4" s="1"/>
  <c r="W117" i="4"/>
  <c r="AM117" i="4" s="1"/>
  <c r="AO117" i="4" s="1"/>
  <c r="AA117" i="4"/>
  <c r="CC17" i="4" a="1"/>
  <c r="CC17" i="4" s="1"/>
  <c r="DR31" i="4" a="1"/>
  <c r="DR31" i="4" s="1"/>
  <c r="X117" i="4"/>
  <c r="CB11" i="4" a="1"/>
  <c r="CB11" i="4" s="1"/>
  <c r="CH11" i="4" s="1"/>
  <c r="CB14" i="4" a="1"/>
  <c r="CB14" i="4" s="1"/>
  <c r="CH14" i="4" s="1"/>
  <c r="CC15" i="4" a="1"/>
  <c r="CC15" i="4" s="1"/>
  <c r="BX15" i="4" a="1"/>
  <c r="BX15" i="4" s="1"/>
  <c r="CB12" i="4" a="1"/>
  <c r="CB12" i="4" s="1"/>
  <c r="CH12" i="4" s="1"/>
  <c r="AJ2" i="4" a="1"/>
  <c r="AJ2" i="4" s="1"/>
  <c r="AK2" i="4" s="1"/>
  <c r="AP116" i="4"/>
  <c r="AR116" i="4" s="1"/>
  <c r="AE117" i="4"/>
  <c r="AF117" i="4" s="1"/>
  <c r="CB13" i="4" a="1"/>
  <c r="CB13" i="4" s="1"/>
  <c r="CH13" i="4" s="1"/>
  <c r="CC13" i="4" a="1"/>
  <c r="CC13" i="4" s="1"/>
  <c r="CC14" i="4" a="1"/>
  <c r="CC14" i="4" s="1"/>
  <c r="BX13" i="4" a="1"/>
  <c r="BX13" i="4" s="1"/>
  <c r="CB15" i="4" a="1"/>
  <c r="CB15" i="4" s="1"/>
  <c r="CH15" i="4" s="1"/>
  <c r="AL117" i="4" l="1"/>
  <c r="CK15" i="4"/>
  <c r="CK14" i="4"/>
  <c r="CK17" i="4"/>
  <c r="CK16" i="4"/>
  <c r="BT13" i="4"/>
  <c r="DN31" i="4"/>
  <c r="BW12" i="4"/>
  <c r="CN12" i="4"/>
  <c r="CN9" i="4"/>
  <c r="CM16" i="4"/>
  <c r="CM17" i="4"/>
  <c r="AV117" i="4"/>
  <c r="AX117" i="4" s="1"/>
  <c r="CM15" i="4"/>
  <c r="CM14" i="4"/>
  <c r="CM13" i="4"/>
  <c r="CN11" i="4" s="1"/>
  <c r="CN8" i="4"/>
  <c r="AP117" i="4"/>
  <c r="AR117" i="4" s="1"/>
  <c r="AG119" i="4"/>
  <c r="BT16" i="4" l="1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<sst xmlns="http://schemas.openxmlformats.org/spreadsheetml/2006/main" count="2858" uniqueCount="1508">
  <si>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</si>
  <si>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</si>
  <si>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</si>
  <si>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</si>
  <si>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</si>
  <si>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</si>
  <si>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</si>
  <si>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</si>
  <si>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</si>
  <si>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</si>
  <si>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</si>
  <si>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</si>
  <si>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</si>
  <si>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</si>
  <si>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</si>
  <si>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</si>
  <si>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</si>
  <si>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</si>
  <si>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</si>
  <si>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</si>
  <si>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</si>
  <si>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</si>
  <si>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</si>
  <si>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</si>
  <si>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</si>
  <si>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</si>
  <si>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</si>
  <si>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</si>
  <si>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</si>
  <si>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</si>
  <si>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</si>
  <si>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</si>
  <si>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</si>
  <si>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</si>
  <si>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</si>
  <si>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</si>
  <si>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</si>
  <si>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</si>
  <si>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</si>
  <si>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</si>
  <si>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</si>
  <si>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</si>
  <si>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</si>
  <si>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</si>
  <si>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</si>
  <si>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</si>
  <si>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</si>
  <si>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</si>
  <si>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</si>
  <si>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</si>
  <si>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</si>
  <si>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</si>
  <si>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</si>
  <si>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</si>
  <si>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</si>
  <si>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</si>
  <si>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</si>
  <si>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</si>
  <si>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</si>
  <si>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</si>
  <si>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</si>
  <si>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</si>
  <si>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</si>
  <si>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</si>
  <si>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</si>
  <si>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</si>
  <si>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</si>
  <si>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</si>
  <si>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</si>
  <si>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</si>
  <si>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</si>
  <si>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</si>
  <si>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</si>
  <si>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</si>
  <si>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</si>
  <si>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</si>
  <si>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</si>
  <si>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</si>
  <si>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</si>
  <si>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</si>
  <si>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</si>
  <si>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</si>
  <si>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</si>
  <si>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</si>
  <si>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</si>
  <si>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</si>
  <si>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</si>
  <si>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</si>
  <si>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</si>
  <si>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</si>
  <si>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</si>
  <si>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</si>
  <si>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</si>
  <si>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</si>
  <si>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</si>
  <si>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</si>
  <si>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</si>
  <si>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</si>
  <si>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</si>
  <si>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</si>
  <si>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</si>
  <si>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</si>
  <si>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</si>
  <si>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</si>
  <si>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</si>
  <si>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</si>
  <si>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</si>
  <si>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</si>
  <si>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</si>
  <si>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</si>
  <si>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</si>
  <si>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</si>
  <si>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</si>
  <si>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</si>
  <si>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</si>
  <si>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</si>
  <si>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</si>
  <si>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</si>
  <si>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</si>
  <si>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</si>
  <si>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</si>
  <si>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</si>
  <si>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</si>
  <si>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</si>
  <si>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</si>
  <si>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</si>
  <si>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</si>
  <si>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</si>
  <si>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</si>
  <si>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</si>
  <si>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</si>
  <si>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</si>
  <si>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</si>
  <si>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</si>
  <si>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</si>
  <si>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</si>
  <si>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</si>
  <si>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</si>
  <si>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</si>
  <si>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</si>
  <si>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</si>
  <si>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</si>
  <si>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</si>
  <si>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</si>
  <si>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</si>
  <si>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</si>
  <si>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</si>
  <si>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</si>
  <si>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</si>
  <si>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</si>
  <si>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</si>
  <si>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</si>
  <si>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</si>
  <si>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</si>
  <si>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</si>
  <si>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</si>
  <si>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</si>
  <si>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</si>
  <si>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</si>
  <si>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</si>
  <si>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</si>
  <si>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</si>
  <si>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</si>
  <si>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</si>
  <si>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</si>
  <si>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</si>
  <si>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</si>
  <si>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</si>
  <si>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</si>
  <si>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</si>
  <si>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</si>
  <si>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</si>
  <si>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</si>
  <si>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</si>
  <si>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</si>
  <si>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</si>
  <si>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</si>
  <si>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</si>
  <si>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</si>
  <si>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</si>
  <si>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</si>
  <si>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</si>
  <si>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</si>
  <si>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</si>
  <si>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</si>
  <si>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</si>
  <si>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</si>
  <si>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</si>
  <si>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</si>
  <si>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</si>
  <si>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</si>
  <si>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</si>
  <si>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</si>
  <si>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</si>
  <si>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</si>
  <si>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</si>
  <si>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</si>
  <si>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</si>
  <si>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</si>
  <si>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</si>
  <si>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</si>
  <si>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</si>
  <si>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</si>
  <si>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</si>
  <si>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</si>
  <si>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</si>
  <si>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</si>
  <si>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</si>
  <si>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</si>
  <si>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</si>
  <si>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</si>
  <si>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</si>
  <si>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</si>
  <si>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</si>
  <si>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</si>
  <si>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</si>
  <si>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</si>
  <si>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</si>
  <si>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</si>
  <si>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</si>
  <si>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</si>
  <si>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</si>
  <si>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</si>
  <si>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</si>
  <si>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</si>
  <si>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</si>
  <si>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</si>
  <si>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</si>
  <si>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</si>
  <si>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</si>
  <si>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</si>
  <si>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</si>
  <si>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</si>
  <si>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</si>
  <si>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</si>
  <si>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</si>
  <si>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</si>
  <si>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</si>
  <si>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</si>
  <si>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</si>
  <si>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</si>
  <si>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</si>
  <si>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</si>
  <si>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</si>
  <si>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</si>
  <si>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</si>
  <si>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</si>
  <si>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</si>
  <si>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</si>
  <si>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</si>
  <si>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</si>
  <si>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</si>
  <si>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</si>
  <si>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</si>
  <si>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</si>
  <si>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</si>
  <si>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</si>
  <si>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</si>
  <si>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</si>
  <si>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</si>
  <si>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</si>
  <si>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</si>
  <si>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</si>
  <si>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</si>
  <si>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</si>
  <si>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</si>
  <si>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</si>
  <si>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</si>
  <si>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</si>
  <si>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</si>
  <si>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</si>
  <si>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</si>
  <si>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</si>
  <si>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</si>
  <si>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</si>
  <si>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</si>
  <si>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</si>
  <si>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</si>
  <si>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</si>
  <si>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</si>
  <si>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</si>
  <si>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</si>
  <si>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</si>
  <si>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</si>
  <si>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</si>
  <si>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</si>
  <si>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</si>
  <si>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</si>
  <si>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</si>
  <si>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</si>
  <si>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</si>
  <si>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</si>
  <si>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</si>
  <si>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</si>
  <si>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</si>
  <si>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</si>
  <si>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</si>
  <si>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</si>
  <si>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</si>
  <si>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</si>
  <si>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</si>
  <si>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</si>
  <si>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</si>
  <si>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</si>
  <si>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</si>
  <si>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</si>
  <si>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</si>
  <si>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</si>
  <si>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</si>
  <si>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</si>
  <si>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</si>
  <si>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</si>
  <si>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</si>
  <si>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</si>
  <si>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</si>
  <si>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</si>
  <si>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</si>
  <si>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</si>
  <si>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</si>
  <si>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</si>
  <si>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</si>
  <si>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</si>
  <si>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</si>
  <si>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</si>
  <si>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</si>
  <si>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</si>
  <si>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</si>
  <si>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</si>
  <si>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</si>
  <si>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</si>
  <si>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</si>
  <si>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</si>
  <si>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</si>
  <si>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</si>
  <si>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</si>
  <si>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</si>
  <si>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</si>
  <si>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</si>
  <si>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</si>
  <si>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</si>
  <si>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</si>
  <si>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</si>
  <si>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</si>
  <si>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</si>
  <si>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</si>
  <si>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</si>
  <si>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</si>
  <si>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</si>
  <si>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</si>
  <si>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</si>
  <si>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</si>
  <si>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</si>
  <si>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</si>
  <si>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</si>
  <si>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</si>
  <si>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</si>
  <si>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</si>
  <si>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</si>
  <si>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</si>
  <si>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</si>
  <si>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</si>
  <si>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</si>
  <si>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</si>
  <si>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</si>
  <si>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</si>
  <si>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</si>
  <si>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</si>
  <si>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</si>
  <si>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</si>
  <si>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</si>
  <si>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</si>
  <si>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</si>
  <si>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</si>
  <si>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</si>
  <si>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</si>
  <si>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</si>
  <si>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</si>
  <si>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</si>
  <si>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</si>
  <si>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</si>
  <si>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</si>
  <si>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</si>
  <si>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</si>
  <si>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</si>
  <si>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</si>
  <si>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</si>
  <si>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</si>
  <si>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</si>
  <si>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</si>
  <si>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</si>
  <si>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</si>
  <si>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</si>
  <si>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</si>
  <si>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</si>
  <si>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</si>
  <si>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</si>
  <si>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</si>
  <si>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</si>
  <si>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</si>
  <si>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</si>
  <si>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</si>
  <si>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</si>
  <si>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</si>
  <si>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</si>
  <si>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</si>
  <si>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</si>
  <si>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</si>
  <si>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</si>
  <si>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</si>
  <si>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</si>
  <si>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</si>
  <si>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</si>
  <si>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</si>
  <si>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</si>
  <si>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</si>
  <si>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</si>
  <si>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</si>
  <si>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</si>
  <si>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</si>
  <si>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</si>
  <si>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</si>
  <si>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</si>
  <si>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</si>
  <si>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</si>
  <si>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</si>
  <si>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</si>
  <si>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</si>
  <si>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</si>
  <si>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</si>
  <si>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</si>
  <si>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</si>
  <si>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</si>
  <si>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</si>
  <si>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</si>
  <si>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</si>
  <si>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</si>
  <si>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</si>
  <si>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</si>
  <si>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</si>
  <si>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</si>
  <si>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</si>
  <si>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</si>
  <si>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3_x000D_</t>
  </si>
  <si>
    <t>2_x000D_</t>
  </si>
  <si>
    <t>9_x000D_</t>
  </si>
  <si>
    <t>0_x000D_</t>
  </si>
  <si>
    <t>18_x000D_</t>
  </si>
  <si>
    <t>7_x000D_</t>
  </si>
  <si>
    <t>24_x000D_</t>
  </si>
  <si>
    <t>49_x000D_</t>
  </si>
  <si>
    <t>12_x000D_</t>
  </si>
  <si>
    <t>5_x000D_</t>
  </si>
  <si>
    <t>11_x000D_</t>
  </si>
  <si>
    <t>4_x000D_</t>
  </si>
  <si>
    <t>10_x000D_</t>
  </si>
  <si>
    <t>6_x000D_</t>
  </si>
  <si>
    <t>14_x000D_</t>
  </si>
  <si>
    <t>1273_x000D_</t>
  </si>
  <si>
    <t>1018_x000D_</t>
  </si>
  <si>
    <t>990_x000D_</t>
  </si>
  <si>
    <t>935_x000D_</t>
  </si>
  <si>
    <t>631_x000D_</t>
  </si>
  <si>
    <t>576_x000D_</t>
  </si>
  <si>
    <t>318_x000D_</t>
  </si>
  <si>
    <t>168_x000D_</t>
  </si>
  <si>
    <t>146_x000D_</t>
  </si>
  <si>
    <t>136_x000D_</t>
  </si>
  <si>
    <t>133_x000D_</t>
  </si>
  <si>
    <t>93_x000D_</t>
  </si>
  <si>
    <t>76_x000D_</t>
  </si>
  <si>
    <t>75_x000D_</t>
  </si>
  <si>
    <t>28_x000D_</t>
  </si>
  <si>
    <t>26_x000D_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</si>
  <si>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</si>
  <si>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</si>
  <si>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</si>
  <si>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</si>
  <si>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</si>
  <si>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</si>
  <si>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</si>
  <si>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</si>
  <si>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</si>
  <si>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</si>
  <si>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</si>
  <si>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</si>
  <si>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</si>
  <si>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</si>
  <si>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</si>
  <si>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</si>
  <si>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</si>
  <si>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</si>
  <si>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</si>
  <si>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</si>
  <si>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</si>
  <si>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</si>
  <si>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</si>
  <si>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</si>
  <si>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</si>
  <si>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</si>
  <si>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</si>
  <si>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</si>
  <si>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</si>
  <si>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</si>
  <si>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</si>
  <si>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</si>
  <si>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</si>
  <si>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</si>
  <si>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</si>
  <si>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</si>
  <si>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</si>
  <si>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</si>
  <si>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</si>
  <si>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</si>
  <si>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</si>
  <si>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</si>
  <si>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</si>
  <si>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</si>
  <si>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</si>
  <si>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</si>
  <si>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</si>
  <si>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</si>
  <si>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</si>
  <si>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</si>
  <si>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</si>
  <si>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</si>
  <si>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</si>
  <si>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</si>
  <si>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</si>
  <si>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</si>
  <si>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</si>
  <si>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</si>
  <si>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</si>
  <si>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</si>
  <si>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</si>
  <si>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</si>
  <si>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</si>
  <si>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</si>
  <si>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</si>
  <si>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</si>
  <si>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</si>
  <si>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</si>
  <si>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</si>
  <si>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</si>
  <si>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</si>
  <si>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</si>
  <si>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</si>
  <si>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</si>
  <si>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</si>
  <si>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</si>
  <si>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</si>
  <si>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</si>
  <si>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</si>
  <si>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</si>
  <si>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</si>
  <si>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</si>
  <si>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</si>
  <si>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</si>
  <si>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</si>
  <si>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</si>
  <si>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</si>
  <si>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</si>
  <si>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</si>
  <si>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</si>
  <si>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</si>
  <si>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</si>
  <si>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</si>
  <si>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</si>
  <si>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</si>
  <si>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</si>
  <si>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</si>
  <si>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</si>
  <si>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</si>
  <si>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</si>
  <si>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</si>
  <si>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</si>
  <si>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</si>
  <si>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</si>
  <si>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</si>
  <si>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</si>
  <si>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</si>
  <si>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</si>
  <si>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</si>
  <si>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</si>
  <si>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</si>
  <si>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</si>
  <si>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</si>
  <si>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</si>
  <si>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</si>
  <si>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</si>
  <si>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</si>
  <si>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</si>
  <si>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</si>
  <si>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</si>
  <si>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</si>
  <si>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</si>
  <si>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</si>
  <si>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</si>
  <si>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</si>
  <si>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</si>
  <si>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</si>
  <si>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</si>
  <si>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</si>
  <si>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</si>
  <si>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</si>
  <si>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</si>
  <si>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</si>
  <si>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</si>
  <si>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</si>
  <si>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</si>
  <si>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</si>
  <si>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</si>
  <si>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</si>
  <si>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</si>
  <si>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</si>
  <si>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</si>
  <si>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</si>
  <si>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</si>
  <si>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</si>
  <si>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</si>
  <si>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</si>
  <si>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</si>
  <si>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</si>
  <si>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</si>
  <si>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</si>
  <si>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</si>
  <si>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</si>
  <si>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</si>
  <si>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</si>
  <si>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</si>
  <si>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</si>
  <si>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</si>
  <si>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</si>
  <si>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</si>
  <si>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</si>
  <si>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</si>
  <si>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</si>
  <si>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</si>
  <si>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</si>
  <si>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</si>
  <si>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</si>
  <si>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</si>
  <si>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</si>
  <si>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</si>
  <si>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</si>
  <si>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</si>
  <si>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</si>
  <si>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</si>
  <si>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</si>
  <si>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</si>
  <si>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</si>
  <si>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51_x000D_</t>
  </si>
  <si>
    <t>20_x000D_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</si>
  <si>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</si>
  <si>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</si>
  <si>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</si>
  <si>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</si>
  <si>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</si>
  <si>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</si>
  <si>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</si>
  <si>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</si>
  <si>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</si>
  <si>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</si>
  <si>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</si>
  <si>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</si>
  <si>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</si>
  <si>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</si>
  <si>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</si>
  <si>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</si>
  <si>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Virgin Islands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</si>
  <si>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</si>
  <si>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</si>
  <si>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</si>
  <si>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</si>
  <si>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</si>
  <si>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</si>
  <si>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</si>
  <si>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</si>
  <si>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</si>
  <si>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</si>
  <si>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</si>
  <si>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</si>
  <si>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</si>
  <si>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</si>
  <si>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</si>
  <si>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</si>
  <si>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</si>
  <si>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</si>
  <si>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</si>
  <si>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</si>
  <si>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</si>
  <si>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</si>
  <si>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</si>
  <si>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</si>
  <si>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</si>
  <si>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</si>
  <si>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</si>
  <si>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</si>
  <si>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</si>
  <si>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</si>
  <si>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</si>
  <si>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</si>
  <si>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</si>
  <si>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</si>
  <si>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</si>
  <si>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</si>
  <si>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</si>
  <si>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</si>
  <si>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</si>
  <si>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</si>
  <si>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</si>
  <si>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</si>
  <si>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</si>
  <si>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</si>
  <si>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</si>
  <si>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</si>
  <si>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</si>
  <si>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</si>
  <si>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</si>
  <si>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</si>
  <si>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</si>
  <si>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</si>
  <si>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</si>
  <si>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</si>
  <si>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</si>
  <si>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</si>
  <si>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</si>
  <si>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</si>
  <si>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</si>
  <si>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</si>
  <si>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</si>
  <si>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</si>
  <si>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</si>
  <si>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</si>
  <si>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</si>
  <si>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</si>
  <si>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</si>
  <si>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</si>
  <si>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</si>
  <si>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</si>
  <si>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</si>
  <si>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</si>
  <si>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</si>
  <si>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</si>
  <si>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</si>
  <si>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</si>
  <si>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</si>
  <si>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</si>
  <si>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</si>
  <si>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</si>
  <si>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</si>
  <si>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</si>
  <si>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</si>
  <si>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</si>
  <si>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</si>
  <si>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</si>
  <si>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</si>
  <si>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</si>
  <si>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</si>
  <si>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</si>
  <si>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</si>
  <si>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</si>
  <si>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</si>
  <si>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</si>
  <si>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</si>
  <si>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</si>
  <si>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</si>
  <si>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</si>
  <si>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</si>
  <si>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</si>
  <si>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</si>
  <si>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</si>
  <si>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</si>
  <si>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</si>
  <si>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</si>
  <si>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</si>
  <si>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</si>
  <si>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</si>
  <si>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</si>
  <si>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</si>
  <si>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</si>
  <si>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</si>
  <si>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</si>
  <si>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</si>
  <si>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</si>
  <si>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</si>
  <si>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</si>
  <si>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</si>
  <si>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</si>
  <si>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</si>
  <si>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</si>
  <si>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</si>
  <si>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</si>
  <si>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</si>
  <si>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</si>
  <si>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</si>
  <si>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</si>
  <si>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</si>
  <si>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</si>
  <si>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</si>
  <si>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</si>
  <si>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</si>
  <si>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</si>
  <si>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</si>
  <si>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</si>
  <si>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</si>
  <si>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</si>
  <si>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</si>
  <si>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</si>
  <si>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23_x000D_</t>
  </si>
  <si>
    <t>13_x000D_</t>
  </si>
  <si>
    <t>39_x000D_</t>
  </si>
  <si>
    <t>42_x000D_</t>
  </si>
  <si>
    <t>50_x000D_</t>
  </si>
  <si>
    <t>33_x000D_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</si>
  <si>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</si>
  <si>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</si>
  <si>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</si>
  <si>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</si>
  <si>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</si>
  <si>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</si>
  <si>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</si>
  <si>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</si>
  <si>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</si>
  <si>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</si>
  <si>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</si>
  <si>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</si>
  <si>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</si>
  <si>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</si>
  <si>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</si>
  <si>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</si>
  <si>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</si>
  <si>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</si>
  <si>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</si>
  <si>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</si>
  <si>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</si>
  <si>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</si>
  <si>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</si>
  <si>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</si>
  <si>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</si>
  <si>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</si>
  <si>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</si>
  <si>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</si>
  <si>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</si>
  <si>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</si>
  <si>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</si>
  <si>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</si>
  <si>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</si>
  <si>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</si>
  <si>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</si>
  <si>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</si>
  <si>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</si>
  <si>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</si>
  <si>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</si>
  <si>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</si>
  <si>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164_x000D_</t>
  </si>
  <si>
    <t>37_x000D_</t>
  </si>
  <si>
    <t>253_x000D_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</si>
  <si>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</si>
  <si>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</si>
  <si>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</si>
  <si>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</si>
  <si>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</si>
  <si>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</si>
  <si>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</si>
  <si>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</si>
  <si>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</si>
  <si>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</si>
  <si>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</si>
  <si>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</si>
  <si>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</si>
  <si>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</si>
  <si>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</si>
  <si>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</si>
  <si>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</si>
  <si>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</si>
  <si>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</si>
  <si>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</si>
  <si>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</si>
  <si>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</si>
  <si>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</si>
  <si>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</si>
  <si>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</si>
  <si>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</si>
  <si>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</si>
  <si>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</si>
  <si>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</si>
  <si>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</si>
  <si>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</si>
  <si>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</si>
  <si>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</si>
  <si>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</si>
  <si>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</si>
  <si>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</si>
  <si>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</si>
  <si>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</si>
  <si>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</si>
  <si>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</si>
  <si>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</si>
  <si>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</si>
  <si>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</si>
  <si>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</si>
  <si>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</si>
  <si>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</si>
  <si>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</si>
  <si>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</si>
  <si>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</si>
  <si>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</si>
  <si>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</si>
  <si>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</si>
  <si>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</si>
  <si>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</si>
  <si>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</si>
  <si>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</si>
  <si>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</si>
  <si>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</si>
  <si>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</si>
  <si>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</si>
  <si>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</si>
  <si>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</si>
  <si>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</si>
  <si>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</si>
  <si>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</si>
  <si>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</si>
  <si>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</si>
  <si>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</si>
  <si>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</si>
  <si>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</si>
  <si>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</si>
  <si>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</si>
  <si>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</si>
  <si>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</si>
  <si>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</si>
  <si>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</si>
  <si>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</si>
  <si>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</si>
  <si>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</si>
  <si>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</si>
  <si>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</si>
  <si>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</si>
  <si>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</si>
  <si>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</si>
  <si>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</si>
  <si>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</si>
  <si>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</si>
  <si>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</si>
  <si>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</si>
  <si>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</si>
  <si>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</si>
  <si>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</si>
  <si>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</si>
  <si>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</si>
  <si>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</si>
  <si>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</si>
  <si>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</si>
  <si>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</si>
  <si>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</si>
  <si>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</si>
  <si>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</si>
  <si>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</si>
  <si>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</si>
  <si>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</si>
  <si>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</si>
  <si>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</si>
  <si>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</si>
  <si>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</si>
  <si>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</si>
  <si>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</si>
  <si>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</si>
  <si>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</si>
  <si>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</si>
  <si>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</si>
  <si>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</si>
  <si>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</si>
  <si>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</si>
  <si>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</si>
  <si>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</si>
  <si>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</si>
  <si>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</si>
  <si>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</si>
  <si>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</si>
  <si>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</si>
  <si>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</si>
  <si>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</si>
  <si>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</si>
  <si>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</si>
  <si>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</si>
  <si>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</si>
  <si>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</si>
  <si>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</si>
  <si>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</si>
  <si>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</si>
  <si>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</si>
  <si>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Au</t>
  </si>
  <si>
    <t>Au Cases Per Capita</t>
  </si>
  <si>
    <t>Au LogiP(t)</t>
  </si>
  <si>
    <t>AU Sq Err</t>
  </si>
  <si>
    <t>Au LogiP(t) Per Capita</t>
  </si>
  <si>
    <t>Test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</si>
  <si>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</si>
  <si>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</si>
  <si>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</si>
  <si>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</si>
  <si>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</si>
  <si>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</si>
  <si>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</si>
  <si>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</si>
  <si>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</si>
  <si>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</si>
  <si>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</si>
  <si>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</si>
  <si>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</si>
  <si>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</si>
  <si>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</si>
  <si>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</si>
  <si>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</si>
  <si>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</si>
  <si>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</si>
  <si>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</si>
  <si>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</si>
  <si>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</si>
  <si>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</si>
  <si>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</si>
  <si>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</si>
  <si>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</si>
  <si>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</si>
  <si>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</si>
  <si>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</si>
  <si>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</si>
  <si>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</si>
  <si>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</si>
  <si>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</si>
  <si>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</si>
  <si>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</si>
  <si>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</si>
  <si>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</si>
  <si>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</si>
  <si>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</si>
  <si>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</si>
  <si>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</si>
  <si>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121_x000D_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</si>
  <si>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</si>
  <si>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</si>
  <si>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</si>
  <si>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</si>
  <si>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</si>
  <si>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</si>
  <si>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</si>
  <si>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</si>
  <si>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</si>
  <si>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</si>
  <si>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</si>
  <si>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</si>
  <si>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</si>
  <si>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</si>
  <si>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</si>
  <si>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</si>
  <si>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</si>
  <si>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</si>
  <si>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</si>
  <si>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</si>
  <si>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</si>
  <si>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</si>
  <si>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</si>
  <si>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</si>
  <si>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</si>
  <si>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</si>
  <si>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</si>
  <si>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</si>
  <si>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</si>
  <si>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</si>
  <si>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</si>
  <si>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</si>
  <si>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</si>
  <si>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</si>
  <si>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</si>
  <si>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</si>
  <si>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</si>
  <si>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</si>
  <si>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</si>
  <si>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</si>
  <si>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</si>
  <si>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</si>
  <si>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</si>
  <si>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</si>
  <si>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</si>
  <si>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</si>
  <si>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</si>
  <si>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</si>
  <si>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</si>
  <si>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</si>
  <si>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</si>
  <si>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</si>
  <si>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</si>
  <si>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</si>
  <si>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</si>
  <si>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</si>
  <si>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</si>
  <si>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</si>
  <si>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</si>
  <si>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</si>
  <si>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</si>
  <si>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</si>
  <si>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</si>
  <si>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</si>
  <si>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</si>
  <si>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</si>
  <si>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</si>
  <si>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</si>
  <si>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</si>
  <si>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</si>
  <si>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</si>
  <si>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</si>
  <si>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</si>
  <si>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</si>
  <si>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</si>
  <si>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</si>
  <si>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</si>
  <si>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</si>
  <si>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</si>
  <si>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</si>
  <si>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</si>
  <si>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</si>
  <si>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</si>
  <si>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</si>
  <si>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</si>
  <si>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</si>
  <si>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</si>
  <si>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</si>
  <si>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</si>
  <si>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</si>
  <si>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</si>
  <si>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</si>
  <si>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</si>
  <si>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</si>
  <si>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</si>
  <si>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</si>
  <si>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</si>
  <si>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</si>
  <si>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</si>
  <si>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</si>
  <si>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</si>
  <si>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</si>
  <si>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</si>
  <si>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</si>
  <si>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</si>
  <si>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</si>
  <si>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</si>
  <si>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</si>
  <si>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</si>
  <si>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</si>
  <si>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</si>
  <si>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</si>
  <si>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</si>
  <si>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</si>
  <si>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</si>
  <si>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</si>
  <si>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</si>
  <si>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</si>
  <si>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</si>
  <si>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</si>
  <si>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</si>
  <si>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</si>
  <si>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</si>
  <si>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</si>
  <si>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</si>
  <si>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</si>
  <si>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</si>
  <si>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</si>
  <si>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</si>
  <si>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</si>
  <si>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</si>
  <si>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</si>
  <si>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</si>
  <si>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</si>
  <si>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</si>
  <si>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</si>
  <si>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</si>
  <si>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</si>
  <si>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</si>
  <si>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</si>
  <si>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</si>
  <si>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</si>
  <si>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</si>
  <si>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</si>
  <si>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</si>
  <si>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</si>
  <si>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</si>
  <si>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</si>
  <si>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</si>
  <si>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</si>
  <si>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</si>
  <si>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</si>
  <si>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</si>
  <si>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</si>
  <si>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</si>
  <si>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</si>
  <si>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</si>
  <si>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</si>
  <si>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</si>
  <si>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</si>
  <si>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</si>
  <si>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</si>
  <si>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</si>
  <si>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</si>
  <si>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</si>
  <si>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</si>
  <si>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</si>
  <si>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</si>
  <si>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</si>
  <si>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</si>
  <si>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</si>
  <si>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</si>
  <si>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</si>
  <si>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</si>
  <si>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</si>
  <si>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</si>
  <si>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</si>
  <si>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</si>
  <si>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</si>
  <si>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</si>
  <si>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</si>
  <si>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</si>
  <si>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</si>
  <si>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</si>
  <si>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</si>
  <si>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</si>
  <si>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</si>
  <si>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</si>
  <si>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</si>
  <si>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</si>
  <si>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</si>
  <si>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</si>
  <si>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</si>
  <si>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</si>
  <si>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</si>
  <si>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</si>
  <si>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</si>
  <si>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</si>
  <si>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</si>
  <si>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</si>
  <si>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</si>
  <si>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</si>
  <si>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</si>
  <si>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</si>
  <si>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</si>
  <si>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</si>
  <si>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</si>
  <si>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</si>
  <si>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</si>
  <si>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</si>
  <si>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</si>
  <si>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</si>
  <si>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</si>
  <si>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202_x000D_</t>
  </si>
  <si>
    <t>256_x000D_</t>
  </si>
  <si>
    <t>299_x000D_</t>
  </si>
  <si>
    <t>38_x000D_</t>
  </si>
  <si>
    <t>Ireland</t>
  </si>
  <si>
    <t>111_x000D_</t>
  </si>
  <si>
    <t>71_x000D_</t>
  </si>
  <si>
    <t>29_x000D_</t>
  </si>
  <si>
    <t>83_x000D_</t>
  </si>
  <si>
    <t>19_x000D_</t>
  </si>
  <si>
    <t>47_x000D_</t>
  </si>
  <si>
    <t>184_x000D_</t>
  </si>
  <si>
    <t>173_x000D_</t>
  </si>
  <si>
    <t>85_x000D_</t>
  </si>
  <si>
    <t>70_x000D_</t>
  </si>
  <si>
    <t>77_x000D_</t>
  </si>
  <si>
    <t>86_x000D_</t>
  </si>
  <si>
    <t>15_x000D_</t>
  </si>
  <si>
    <t>67800_x000D_</t>
  </si>
  <si>
    <t>712_x000D_</t>
  </si>
  <si>
    <t>176_x000D_</t>
  </si>
  <si>
    <t>Nova Scotia</t>
  </si>
  <si>
    <t>Benin</t>
  </si>
  <si>
    <t>Greenland</t>
  </si>
  <si>
    <t>Liberia</t>
  </si>
  <si>
    <t>Somalia</t>
  </si>
  <si>
    <t>Tanzania</t>
  </si>
  <si>
    <t>Barbados</t>
  </si>
  <si>
    <t>Montenegro</t>
  </si>
  <si>
    <t>Kyrgyzstan</t>
  </si>
  <si>
    <t>Mauritius</t>
  </si>
  <si>
    <t>Zambia</t>
  </si>
  <si>
    <t>Djibouti</t>
  </si>
  <si>
    <t>Gambia The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</si>
  <si>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</si>
  <si>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</si>
  <si>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</si>
  <si>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</si>
  <si>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</si>
  <si>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</si>
  <si>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</si>
  <si>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</si>
  <si>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</si>
  <si>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</si>
  <si>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</si>
  <si>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</si>
  <si>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</si>
  <si>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</si>
  <si>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</si>
  <si>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</si>
  <si>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</si>
  <si>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</si>
  <si>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</si>
  <si>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</si>
  <si>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</si>
  <si>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</si>
  <si>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</si>
  <si>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</si>
  <si>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</si>
  <si>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</si>
  <si>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</si>
  <si>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</si>
  <si>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</si>
  <si>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</si>
  <si>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</si>
  <si>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</si>
  <si>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</si>
  <si>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</si>
  <si>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</si>
  <si>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</si>
  <si>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</si>
  <si>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</si>
  <si>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</si>
  <si>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</si>
  <si>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</si>
  <si>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</si>
  <si>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</si>
  <si>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</si>
  <si>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</si>
  <si>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</si>
  <si>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</si>
  <si>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</si>
  <si>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</si>
  <si>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</si>
  <si>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</si>
  <si>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</si>
  <si>
    <t xml:space="preserve">Date Start Log Fit </t>
  </si>
  <si>
    <t>RunTime</t>
  </si>
  <si>
    <t>Logistic Start2</t>
  </si>
  <si>
    <t>Start Logistic</t>
  </si>
  <si>
    <t>55.4 k</t>
  </si>
  <si>
    <t>9.17 k</t>
  </si>
  <si>
    <t>b=0.26, d=4.70E-06, P0=.442 Limit=9.17 k</t>
  </si>
  <si>
    <t>Italy Limit 9.17 k</t>
  </si>
  <si>
    <t>322_x000D_</t>
  </si>
  <si>
    <t>963_x000D_</t>
  </si>
  <si>
    <t>385_x000D_</t>
  </si>
  <si>
    <t>1030_x000D_</t>
  </si>
  <si>
    <t>271_x000D_</t>
  </si>
  <si>
    <t>353_x000D_</t>
  </si>
  <si>
    <t>73_x000D_</t>
  </si>
  <si>
    <t>19848_x000D_</t>
  </si>
  <si>
    <t>450_x000D_</t>
  </si>
  <si>
    <t>140_x000D_</t>
  </si>
  <si>
    <t>230_x000D_</t>
  </si>
  <si>
    <t>244_x000D_</t>
  </si>
  <si>
    <t>47021_x000D_</t>
  </si>
  <si>
    <t>1639_x000D_</t>
  </si>
  <si>
    <t>20410_x000D_</t>
  </si>
  <si>
    <t>2257_x000D_</t>
  </si>
  <si>
    <t>285_x000D_</t>
  </si>
  <si>
    <t>163_x000D_</t>
  </si>
  <si>
    <t>208_x000D_</t>
  </si>
  <si>
    <t>48_x000D_</t>
  </si>
  <si>
    <t>159_x000D_</t>
  </si>
  <si>
    <t>90_x000D_</t>
  </si>
  <si>
    <t>128_x000D_</t>
  </si>
  <si>
    <t>5294_x000D_</t>
  </si>
  <si>
    <t>2388_x000D_</t>
  </si>
  <si>
    <t>705_x000D_</t>
  </si>
  <si>
    <t>501_x000D_</t>
  </si>
  <si>
    <t>793_x000D_</t>
  </si>
  <si>
    <t>43_x000D_</t>
  </si>
  <si>
    <t>495_x000D_</t>
  </si>
  <si>
    <t>67_x000D_</t>
  </si>
  <si>
    <t>1914_x000D_</t>
  </si>
  <si>
    <t>308_x000D_</t>
  </si>
  <si>
    <t>283_x000D_</t>
  </si>
  <si>
    <t>144_x000D_</t>
  </si>
  <si>
    <t>69_x000D_</t>
  </si>
  <si>
    <t>409_x000D_</t>
  </si>
  <si>
    <t>64_x000D_</t>
  </si>
  <si>
    <t>683_x000D_</t>
  </si>
  <si>
    <t>484_x000D_</t>
  </si>
  <si>
    <t>470_x000D_</t>
  </si>
  <si>
    <t>367_x000D_</t>
  </si>
  <si>
    <t>44_x000D_</t>
  </si>
  <si>
    <t>72_x000D_</t>
  </si>
  <si>
    <t>369_x000D_</t>
  </si>
  <si>
    <t>1020_x000D_</t>
  </si>
  <si>
    <t>344_x000D_</t>
  </si>
  <si>
    <t>434_x000D_</t>
  </si>
  <si>
    <t>425_x000D_</t>
  </si>
  <si>
    <t>54_x000D_</t>
  </si>
  <si>
    <t>89_x000D_</t>
  </si>
  <si>
    <t>341_x000D_</t>
  </si>
  <si>
    <t>234_x000D_</t>
  </si>
  <si>
    <t>135_x000D_</t>
  </si>
  <si>
    <t>137_x000D_</t>
  </si>
  <si>
    <t>32_x000D_</t>
  </si>
  <si>
    <t>127_x000D_</t>
  </si>
  <si>
    <t>139_x000D_</t>
  </si>
  <si>
    <t>78_x000D_</t>
  </si>
  <si>
    <t>1524_x000D_</t>
  </si>
  <si>
    <t>8310_x000D_</t>
  </si>
  <si>
    <t>1177_x000D_</t>
  </si>
  <si>
    <t>413_x000D_</t>
  </si>
  <si>
    <t>420_x000D_</t>
  </si>
  <si>
    <t>363_x000D_</t>
  </si>
  <si>
    <t>563_x000D_</t>
  </si>
  <si>
    <t>890_x000D_</t>
  </si>
  <si>
    <t>114_x000D_</t>
  </si>
  <si>
    <t>394_x000D_</t>
  </si>
  <si>
    <t>585_x000D_</t>
  </si>
  <si>
    <t>303_x000D_</t>
  </si>
  <si>
    <t>45_x000D_</t>
  </si>
  <si>
    <t>149_x000D_</t>
  </si>
  <si>
    <t>172_x000D_</t>
  </si>
  <si>
    <t>126_x000D_</t>
  </si>
  <si>
    <t>233_x000D_</t>
  </si>
  <si>
    <t>122_x000D_</t>
  </si>
  <si>
    <t>115_x000D_</t>
  </si>
  <si>
    <t>207_x000D_</t>
  </si>
  <si>
    <t>194_x000D_</t>
  </si>
  <si>
    <t>40_x000D_</t>
  </si>
  <si>
    <t>538_x000D_</t>
  </si>
  <si>
    <t>53_x000D_</t>
  </si>
  <si>
    <t>96_x000D_</t>
  </si>
  <si>
    <t>56_x000D_</t>
  </si>
  <si>
    <t>552_x000D_</t>
  </si>
  <si>
    <t>80_x000D_</t>
  </si>
  <si>
    <t>19644_x000D_</t>
  </si>
  <si>
    <t>8652_x000D_</t>
  </si>
  <si>
    <t>12612_x000D_</t>
  </si>
  <si>
    <t>1395_x000D_</t>
  </si>
  <si>
    <t>1234_x000D_</t>
  </si>
  <si>
    <t>762_x000D_</t>
  </si>
  <si>
    <t>541_x000D_</t>
  </si>
  <si>
    <t>1255_x000D_</t>
  </si>
  <si>
    <t>491_x000D_</t>
  </si>
  <si>
    <t>371_x000D_</t>
  </si>
  <si>
    <t>254_x000D_</t>
  </si>
  <si>
    <t>247_x000D_</t>
  </si>
  <si>
    <t>134_x000D_</t>
  </si>
  <si>
    <t>833_x000D_</t>
  </si>
  <si>
    <t>91_x000D_</t>
  </si>
  <si>
    <t>17_x000D_</t>
  </si>
  <si>
    <t>66_x000D_</t>
  </si>
  <si>
    <t>Channel Islands</t>
  </si>
  <si>
    <t>16_x000D_</t>
  </si>
  <si>
    <t>359_x000D_</t>
  </si>
  <si>
    <t>Gibraltar</t>
  </si>
  <si>
    <t>3983_x000D_</t>
  </si>
  <si>
    <t>2994_x000D_</t>
  </si>
  <si>
    <t>Cayman Islands</t>
  </si>
  <si>
    <t>Montserrat</t>
  </si>
  <si>
    <t>Bahamas The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</si>
  <si>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</si>
  <si>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</si>
  <si>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</si>
  <si>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</si>
  <si>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</si>
  <si>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</si>
  <si>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</si>
  <si>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</si>
  <si>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</si>
  <si>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</si>
  <si>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</si>
  <si>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</si>
  <si>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</si>
  <si>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</si>
  <si>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</si>
  <si>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At Sat 21-Mar Australia 421 cases per 10M was 17 days behind Italy, 1 days behind USA &amp; 36 days behind China, 22 days behind South Korea, 1 days behind UK</t>
  </si>
  <si>
    <t>At Sat 21-Mar NSW 540 cases per 10M was 16 days behind Italy, 1 days behind USA &amp; 25 days behind China, 21 days behind South Korea, 1 days behind UK</t>
  </si>
  <si>
    <t xml:space="preserve">b=0.222, d=2.74E-06, P0=1537.6493 Limit=562  </t>
  </si>
  <si>
    <t>81.0 k</t>
  </si>
  <si>
    <t>8.32 k</t>
  </si>
  <si>
    <t>1.62 k</t>
  </si>
  <si>
    <t>b=0.326, d=3.91E-05, P0=174.6165 Limit=1.62 k</t>
  </si>
  <si>
    <t>Skorea Limit 1.62 k fr 19th Feb</t>
  </si>
  <si>
    <t>231 M</t>
  </si>
  <si>
    <t>34.7 M</t>
  </si>
  <si>
    <t>b=0.231, d=1.00E-09, P0=.0381 Limit=34.7 M</t>
  </si>
  <si>
    <t>UK Limit 34.7 M</t>
  </si>
  <si>
    <t>2.72 k</t>
  </si>
  <si>
    <t>3.37 k</t>
  </si>
  <si>
    <t>b=0.209, d=7.68E-05, P0=.0043 Limit=3.37 k</t>
  </si>
  <si>
    <t>NSW Limit 3.37 k</t>
  </si>
  <si>
    <t>COVID19 NSW P(t) = b / {d+[( b/Po - d ) ]* exp(-b*t)}
b=0.209, d=7.68E-05, P0=.0043 Limit=3.37 k
 21-Mar, Cases per 10 M population</t>
  </si>
  <si>
    <t xml:space="preserve">COVID19 UK P(t) = b / {d+[( b/Po - d ) ]* exp(-b*t)}
b=0.231, d=1.00E-09, P0=.0381 Limit=34.7 M
 20-Mar, Cases per 10 M population
</t>
  </si>
  <si>
    <t>206 M</t>
  </si>
  <si>
    <t>81.4 M</t>
  </si>
  <si>
    <t>b=0.206, d=1.00E-09, P0=.0102 Limit=81.4 M</t>
  </si>
  <si>
    <t>Australia Limit 81.4 M</t>
  </si>
  <si>
    <t>COVID19 Australia P(t) = b / {d+[( b/Po - d ) ]* exp(-b*t)}
b=0.206, d=1.00E-09, P0=.0102 Limit=81.4 M
 21-Mar, Cases per 10 M population</t>
  </si>
  <si>
    <t>COVID19 Italy P(t) = b / {d+[( b/Po - d ) ]* exp(-b*t)}
b=0.26, d=4.70E-06, P0=.442 Limit=9.17 k
 20-Mar, Cases per 10 M population</t>
  </si>
  <si>
    <t>348 M</t>
  </si>
  <si>
    <t>10.6 M</t>
  </si>
  <si>
    <t>b=0.348, d=1.00E-09, P0=.0171 Limit=10.6 M</t>
  </si>
  <si>
    <t>USA Limit 10.6 M</t>
  </si>
  <si>
    <t>COVID19 USA P(t) = b / {d+[( b/Po - d ) ]* exp(-b*t)}
b=0.348, d=1.00E-09, P0=.0171 Limit=10.6 M
 20-Mar, Cases per 10 M population
 - Prediction without last day</t>
  </si>
  <si>
    <t xml:space="preserve">COVID19 China P(t) = b / {d+[( b/Po - d ) ]* exp(-b*t)}
b=0.222, d=2.74E-06, P0=1537.6493 Limit=562  
 20-Mar, Cases per 10 M population
</t>
  </si>
  <si>
    <t xml:space="preserve">COVID19 Skorea P(t) = b / {d+[( b/Po - d ) ]* exp(-b*t)}
b=0.326, d=3.91E-05, P0=174.6165 Limit=1.62 k
 20-Mar, Cases per 10 M population
log fit from 19th Feb </t>
  </si>
  <si>
    <t xml:space="preserve">COVID19 Tests P(t) = b / {d+[( b/Po - d ) ]* exp(-b*t)}
b=0.202, d=1.00E-10, P0=.0058 Limit=2.50 G
 20-Mar, Cases per 10 M population
</t>
  </si>
  <si>
    <t xml:space="preserve">COVID19 Tests P(t) = b / {d+[( b/Po - d ) ]* exp(-b*t)}
b=0.202, d=1.00E-10, P0=.0058 Limit=2.50 G
 21-Mar, Cases per 10 M population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</si>
</sst>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"/>
    <numFmt numFmtId="166" formatCode="0.000E+00"/>
    <numFmt numFmtId="167" formatCode="0.0"/>
    <numFmt numFmtId="168" formatCode="0.0000000000E+00"/>
    <numFmt numFmtId="169" formatCode="0.00000"/>
    <numFmt numFmtId="170" formatCode="0.000000"/>
    <numFmt numFmtId="171" formatCode="0.00000E+00"/>
    <numFmt numFmtId="172" formatCode="ddd\ dd/mm/yyyy"/>
    <numFmt numFmtId="173" formatCode="dd/mm/yyyy\ hh:mm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8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1" fontId="0" fillId="0" borderId="0" xfId="0" applyNumberFormat="1"/>
    <xf numFmtId="172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  <xf numFmtId="173" fontId="0" fillId="0" borderId="0" xfId="0" applyNumberFormat="1"/>
    <xf numFmtId="22" fontId="0" fillId="0" borderId="0" xfId="0" applyNumberFormat="1"/>
    <xf numFmtId="22" fontId="0" fillId="41" borderId="0" xfId="0" applyNumberFormat="1" applyFill="1"/>
    <xf numFmtId="166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00"/>
    </dxf>
    <dxf>
      <numFmt numFmtId="165" formatCode="0.000"/>
    </dxf>
    <dxf>
      <numFmt numFmtId="1" formatCode="0"/>
    </dxf>
    <dxf>
      <numFmt numFmtId="0" formatCode="General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hartsheet" Target="chartsheets/sheet11.xml"/><Relationship Id="rId18" Type="http://schemas.openxmlformats.org/officeDocument/2006/relationships/chartsheet" Target="chartsheets/sheet16.xml"/><Relationship Id="rId26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5.xml"/><Relationship Id="rId7" Type="http://schemas.openxmlformats.org/officeDocument/2006/relationships/chartsheet" Target="chartsheets/sheet6.xml"/><Relationship Id="rId12" Type="http://schemas.openxmlformats.org/officeDocument/2006/relationships/chartsheet" Target="chartsheets/sheet10.xml"/><Relationship Id="rId17" Type="http://schemas.openxmlformats.org/officeDocument/2006/relationships/chartsheet" Target="chartsheets/sheet15.xml"/><Relationship Id="rId25" Type="http://schemas.openxmlformats.org/officeDocument/2006/relationships/styles" Target="style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worksheet" Target="worksheets/sheet4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9.xml"/><Relationship Id="rId24" Type="http://schemas.openxmlformats.org/officeDocument/2006/relationships/theme" Target="theme/theme1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13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chartsheet" Target="chartsheets/sheet8.xml"/><Relationship Id="rId19" Type="http://schemas.openxmlformats.org/officeDocument/2006/relationships/worksheet" Target="worksheets/sheet3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hartsheet" Target="chartsheets/sheet12.xml"/><Relationship Id="rId22" Type="http://schemas.openxmlformats.org/officeDocument/2006/relationships/worksheet" Target="worksheets/sheet6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073792"/>
        <c:axId val="669077712"/>
      </c:scatterChart>
      <c:valAx>
        <c:axId val="66907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077712"/>
        <c:crosses val="autoZero"/>
        <c:crossBetween val="midCat"/>
      </c:valAx>
      <c:valAx>
        <c:axId val="6690777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07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 Equation Asymptote v's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6130895670227E-2"/>
          <c:y val="7.7413138390551917E-2"/>
          <c:w val="0.90261765137958339"/>
          <c:h val="0.7113688647471057"/>
        </c:manualLayout>
      </c:layout>
      <c:scatterChart>
        <c:scatterStyle val="lineMarker"/>
        <c:varyColors val="0"/>
        <c:ser>
          <c:idx val="0"/>
          <c:order val="0"/>
          <c:tx>
            <c:v>NSW Asymptote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myData!$DR$15:$DR$23</c:f>
              <c:numCache>
                <c:formatCode>m/d/yyyy</c:formatCode>
                <c:ptCount val="9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43908</c:v>
                </c:pt>
                <c:pt idx="7">
                  <c:v>43910</c:v>
                </c:pt>
                <c:pt idx="8">
                  <c:v>43911</c:v>
                </c:pt>
              </c:numCache>
            </c:numRef>
          </c:xVal>
          <c:yVal>
            <c:numRef>
              <c:f>myData!$DM$15:$DM$23</c:f>
              <c:numCache>
                <c:formatCode>General</c:formatCode>
                <c:ptCount val="9"/>
                <c:pt idx="0">
                  <c:v>698.45143014252619</c:v>
                </c:pt>
                <c:pt idx="1">
                  <c:v>542.39562937001722</c:v>
                </c:pt>
                <c:pt idx="2">
                  <c:v>149466.80778825187</c:v>
                </c:pt>
                <c:pt idx="3">
                  <c:v>1903695418.3668838</c:v>
                </c:pt>
                <c:pt idx="4">
                  <c:v>1906532495.6548798</c:v>
                </c:pt>
                <c:pt idx="5">
                  <c:v>2020947810.4226243</c:v>
                </c:pt>
                <c:pt idx="6">
                  <c:v>2020947810.4226243</c:v>
                </c:pt>
                <c:pt idx="7">
                  <c:v>19837162.818940759</c:v>
                </c:pt>
                <c:pt idx="8">
                  <c:v>2724.7105763852951</c:v>
                </c:pt>
              </c:numCache>
            </c:numRef>
          </c:yVal>
          <c:smooth val="0"/>
        </c:ser>
        <c:ser>
          <c:idx val="1"/>
          <c:order val="1"/>
          <c:tx>
            <c:v>Italy Asymptote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myData!$DR$24:$DR$31</c:f>
              <c:numCache>
                <c:formatCode>m/d/yyyy</c:formatCode>
                <c:ptCount val="8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43907</c:v>
                </c:pt>
                <c:pt idx="5">
                  <c:v>43909</c:v>
                </c:pt>
                <c:pt idx="6">
                  <c:v>43910</c:v>
                </c:pt>
                <c:pt idx="7">
                  <c:v>43910</c:v>
                </c:pt>
              </c:numCache>
            </c:numRef>
          </c:xVal>
          <c:yVal>
            <c:numRef>
              <c:f>myData!$DM$24:$DM$31</c:f>
              <c:numCache>
                <c:formatCode>General</c:formatCode>
                <c:ptCount val="8"/>
                <c:pt idx="0">
                  <c:v>32853.312146806733</c:v>
                </c:pt>
                <c:pt idx="1">
                  <c:v>36357.597379060448</c:v>
                </c:pt>
                <c:pt idx="2">
                  <c:v>42656.90071971056</c:v>
                </c:pt>
                <c:pt idx="3">
                  <c:v>44773.432595385282</c:v>
                </c:pt>
                <c:pt idx="4">
                  <c:v>44773.432595385282</c:v>
                </c:pt>
                <c:pt idx="5">
                  <c:v>47251.221157049207</c:v>
                </c:pt>
                <c:pt idx="6">
                  <c:v>55402.511466544704</c:v>
                </c:pt>
                <c:pt idx="7">
                  <c:v>55402.511466544704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078496"/>
        <c:axId val="669084376"/>
      </c:scatterChart>
      <c:valAx>
        <c:axId val="66907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084376"/>
        <c:crosses val="autoZero"/>
        <c:crossBetween val="midCat"/>
      </c:valAx>
      <c:valAx>
        <c:axId val="6690843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07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65946713561977"/>
          <c:y val="0.68402545755862898"/>
          <c:w val="0.12269632761202429"/>
          <c:h val="7.0442483344547085E-2"/>
        </c:manualLayout>
      </c:layout>
      <c:overlay val="0"/>
      <c:spPr>
        <a:solidFill>
          <a:schemeClr val="bg1">
            <a:lumMod val="95000"/>
            <a:alpha val="71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  <c:pt idx="0">
              <c:v>COVID 19 Least Sq Err Logistic Eqns at Sat 21-Mar-2020, Cases per 10 M population</c:v>
            </c:pt>
          </c:strCache>
        </c:strRef>
      </c:tx>
      <c:layout>
        <c:manualLayout>
          <c:xMode val="edge"/>
          <c:yMode val="edge"/>
          <c:x val="0.26633965954750155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33.97208078123537</c:v>
                </c:pt>
                <c:pt idx="29" formatCode="0.0">
                  <c:v>46.672398108713708</c:v>
                </c:pt>
                <c:pt idx="30" formatCode="0.0">
                  <c:v>63.929121944181304</c:v>
                </c:pt>
                <c:pt idx="31" formatCode="0.0">
                  <c:v>87.212365730357178</c:v>
                </c:pt>
                <c:pt idx="32" formatCode="0.0">
                  <c:v>118.33002173837721</c:v>
                </c:pt>
                <c:pt idx="33" formatCode="0.0">
                  <c:v>159.3948841343192</c:v>
                </c:pt>
                <c:pt idx="34" formatCode="0.0">
                  <c:v>212.69037227468675</c:v>
                </c:pt>
                <c:pt idx="35" formatCode="0.0">
                  <c:v>280.38167601959327</c:v>
                </c:pt>
                <c:pt idx="36" formatCode="0.0">
                  <c:v>364.03804388434719</c:v>
                </c:pt>
                <c:pt idx="37" formatCode="0.0">
                  <c:v>463.99994047207946</c:v>
                </c:pt>
                <c:pt idx="38" formatCode="0.0">
                  <c:v>578.74768820094698</c:v>
                </c:pt>
                <c:pt idx="39" formatCode="0.0">
                  <c:v>704.55586369342927</c:v>
                </c:pt>
                <c:pt idx="40" formatCode="0.0">
                  <c:v>835.73163340861117</c:v>
                </c:pt>
                <c:pt idx="41" formatCode="0.0">
                  <c:v>965.53066224241161</c:v>
                </c:pt>
                <c:pt idx="42" formatCode="0.0">
                  <c:v>1087.4843074954108</c:v>
                </c:pt>
                <c:pt idx="43" formatCode="0.0">
                  <c:v>1196.6159491596554</c:v>
                </c:pt>
                <c:pt idx="44" formatCode="0.0">
                  <c:v>1290.0955274486973</c:v>
                </c:pt>
                <c:pt idx="45" formatCode="0.0">
                  <c:v>1367.2153588108299</c:v>
                </c:pt>
                <c:pt idx="46" formatCode="0.0">
                  <c:v>1428.8905272208078</c:v>
                </c:pt>
                <c:pt idx="47" formatCode="0.0">
                  <c:v>1476.9989120513794</c:v>
                </c:pt>
                <c:pt idx="48" formatCode="0.0">
                  <c:v>1513.7997262165291</c:v>
                </c:pt>
                <c:pt idx="49" formatCode="0.0">
                  <c:v>1541.532747953094</c:v>
                </c:pt>
                <c:pt idx="50" formatCode="0.0">
                  <c:v>1562.1975817268885</c:v>
                </c:pt>
                <c:pt idx="51" formatCode="0.0">
                  <c:v>1577.4664368378792</c:v>
                </c:pt>
                <c:pt idx="52" formatCode="0.0">
                  <c:v>1588.6781926989806</c:v>
                </c:pt>
                <c:pt idx="53" formatCode="0.0">
                  <c:v>1596.8732337121558</c:v>
                </c:pt>
                <c:pt idx="54" formatCode="0.0">
                  <c:v>1602.843221289211</c:v>
                </c:pt>
                <c:pt idx="55" formatCode="0.0">
                  <c:v>1607.1816767544872</c:v>
                </c:pt>
                <c:pt idx="56" formatCode="0.0">
                  <c:v>1610.3288878092474</c:v>
                </c:pt>
                <c:pt idx="57" formatCode="0.0">
                  <c:v>1612.6090049613429</c:v>
                </c:pt>
                <c:pt idx="58" formatCode="0.0">
                  <c:v>1614.2593816556334</c:v>
                </c:pt>
                <c:pt idx="59" formatCode="0.0">
                  <c:v>1615.453137610544</c:v>
                </c:pt>
                <c:pt idx="60" formatCode="0.0">
                  <c:v>1616.3161871787565</c:v>
                </c:pt>
                <c:pt idx="61" formatCode="0.0">
                  <c:v>1616.9399255265625</c:v>
                </c:pt>
                <c:pt idx="62" formatCode="0.0">
                  <c:v>1617.3905950832939</c:v>
                </c:pt>
                <c:pt idx="63" formatCode="0.0">
                  <c:v>1617.7161571865997</c:v>
                </c:pt>
                <c:pt idx="64" formatCode="0.0">
                  <c:v>1617.9513107507994</c:v>
                </c:pt>
                <c:pt idx="65" formatCode="0.0">
                  <c:v>1618.1211458547045</c:v>
                </c:pt>
                <c:pt idx="66" formatCode="0.0">
                  <c:v>1618.2437974353638</c:v>
                </c:pt>
                <c:pt idx="67" formatCode="0.0">
                  <c:v>1618.3323695518145</c:v>
                </c:pt>
                <c:pt idx="68" formatCode="0.0">
                  <c:v>1618.3963290637828</c:v>
                </c:pt>
                <c:pt idx="69" formatCode="0.0">
                  <c:v>1618.4425141633185</c:v>
                </c:pt>
                <c:pt idx="70" formatCode="0.0">
                  <c:v>1618.5502261155125</c:v>
                </c:pt>
                <c:pt idx="71" formatCode="0.0">
                  <c:v>1618.5612482588517</c:v>
                </c:pt>
                <c:pt idx="72" formatCode="0.0">
                  <c:v>1618.5623760783844</c:v>
                </c:pt>
                <c:pt idx="73" formatCode="0.0">
                  <c:v>1618.5624914795626</c:v>
                </c:pt>
                <c:pt idx="74" formatCode="0.0">
                  <c:v>1618.5625032876778</c:v>
                </c:pt>
                <c:pt idx="75" formatCode="0.0">
                  <c:v>1618.5625044959111</c:v>
                </c:pt>
                <c:pt idx="76" formatCode="0.0">
                  <c:v>1618.5625046195405</c:v>
                </c:pt>
                <c:pt idx="77" formatCode="0.0">
                  <c:v>1618.5625046321907</c:v>
                </c:pt>
                <c:pt idx="78" formatCode="0.0">
                  <c:v>1618.5625046334847</c:v>
                </c:pt>
                <c:pt idx="79" formatCode="0.0">
                  <c:v>1618.5625046336172</c:v>
                </c:pt>
                <c:pt idx="80" formatCode="0.0">
                  <c:v>1618.5625046336306</c:v>
                </c:pt>
                <c:pt idx="81" formatCode="0.0">
                  <c:v>1618.562504633632</c:v>
                </c:pt>
                <c:pt idx="82" formatCode="0.0">
                  <c:v>1618.5625046336322</c:v>
                </c:pt>
                <c:pt idx="83" formatCode="0.0">
                  <c:v>1618.5625046336322</c:v>
                </c:pt>
                <c:pt idx="84" formatCode="0.0">
                  <c:v>1618.5625046336322</c:v>
                </c:pt>
                <c:pt idx="85" formatCode="0.0">
                  <c:v>1618.5625046336322</c:v>
                </c:pt>
                <c:pt idx="86" formatCode="0.0">
                  <c:v>1618.5625046336322</c:v>
                </c:pt>
                <c:pt idx="87" formatCode="0.0">
                  <c:v>1618.5625046336322</c:v>
                </c:pt>
                <c:pt idx="88" formatCode="0.0">
                  <c:v>1618.5625046336322</c:v>
                </c:pt>
                <c:pt idx="89" formatCode="0.0">
                  <c:v>1618.5625046336322</c:v>
                </c:pt>
                <c:pt idx="90" formatCode="0.0">
                  <c:v>1618.5625046336322</c:v>
                </c:pt>
                <c:pt idx="91" formatCode="0.0">
                  <c:v>1618.5625046336322</c:v>
                </c:pt>
                <c:pt idx="92" formatCode="0.0">
                  <c:v>1618.5625046336322</c:v>
                </c:pt>
                <c:pt idx="93" formatCode="0.0">
                  <c:v>1618.5625046336322</c:v>
                </c:pt>
                <c:pt idx="94" formatCode="0.0">
                  <c:v>1618.5625046336322</c:v>
                </c:pt>
                <c:pt idx="95" formatCode="0.0">
                  <c:v>1618.5625046336322</c:v>
                </c:pt>
                <c:pt idx="96" formatCode="0.0">
                  <c:v>1618.5625046336322</c:v>
                </c:pt>
                <c:pt idx="97" formatCode="0.0">
                  <c:v>1618.5625046336322</c:v>
                </c:pt>
                <c:pt idx="98" formatCode="0.0">
                  <c:v>1618.5625046336322</c:v>
                </c:pt>
                <c:pt idx="99" formatCode="0.0">
                  <c:v>1618.5625046336322</c:v>
                </c:pt>
                <c:pt idx="100" formatCode="0.0">
                  <c:v>1618.5625046336322</c:v>
                </c:pt>
                <c:pt idx="101" formatCode="0.0">
                  <c:v>1618.5625046336322</c:v>
                </c:pt>
                <c:pt idx="102" formatCode="0.0">
                  <c:v>1618.5625046336322</c:v>
                </c:pt>
                <c:pt idx="103" formatCode="0.0">
                  <c:v>1618.5625046336322</c:v>
                </c:pt>
                <c:pt idx="104" formatCode="0.0">
                  <c:v>1618.5625046336322</c:v>
                </c:pt>
                <c:pt idx="105" formatCode="0.0">
                  <c:v>1618.5625046336322</c:v>
                </c:pt>
                <c:pt idx="106" formatCode="0.0">
                  <c:v>1618.5625046336322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421.06923198233716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34.7 M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5.7300888856155995E-3</c:v>
                </c:pt>
                <c:pt idx="1">
                  <c:v>7.2161840159393588E-3</c:v>
                </c:pt>
                <c:pt idx="2">
                  <c:v>9.0876970306763491E-3</c:v>
                </c:pt>
                <c:pt idx="3">
                  <c:v>1.1444585827882081E-2</c:v>
                </c:pt>
                <c:pt idx="4">
                  <c:v>1.4412732326718481E-2</c:v>
                </c:pt>
                <c:pt idx="5">
                  <c:v>1.815066584681032E-2</c:v>
                </c:pt>
                <c:pt idx="6">
                  <c:v>2.2858030192001329E-2</c:v>
                </c:pt>
                <c:pt idx="7">
                  <c:v>2.8786246667192344E-2</c:v>
                </c:pt>
                <c:pt idx="8">
                  <c:v>3.6251942542175036E-2</c:v>
                </c:pt>
                <c:pt idx="9">
                  <c:v>4.5653862179456724E-2</c:v>
                </c:pt>
                <c:pt idx="10">
                  <c:v>5.7494164052852542E-2</c:v>
                </c:pt>
                <c:pt idx="11" formatCode="0.0">
                  <c:v>7.2405241134917572E-2</c:v>
                </c:pt>
                <c:pt idx="12" formatCode="0.0">
                  <c:v>9.1183497135503083E-2</c:v>
                </c:pt>
                <c:pt idx="13" formatCode="0.0">
                  <c:v>0.11483188258707373</c:v>
                </c:pt>
                <c:pt idx="14" formatCode="0.0">
                  <c:v>0.14461346263749605</c:v>
                </c:pt>
                <c:pt idx="15" formatCode="0.0">
                  <c:v>0.18211887761654216</c:v>
                </c:pt>
                <c:pt idx="16" formatCode="0.0">
                  <c:v>0.22935129945788255</c:v>
                </c:pt>
                <c:pt idx="17" formatCode="0.0">
                  <c:v>0.28883342151498009</c:v>
                </c:pt>
                <c:pt idx="18" formatCode="0.0">
                  <c:v>0.36374219611644087</c:v>
                </c:pt>
                <c:pt idx="19" formatCode="0.0">
                  <c:v>0.45807851621731016</c:v>
                </c:pt>
                <c:pt idx="20" formatCode="0.0">
                  <c:v>0.57688090387171198</c:v>
                </c:pt>
                <c:pt idx="21" formatCode="0.0">
                  <c:v>0.72649461866169185</c:v>
                </c:pt>
                <c:pt idx="22" formatCode="0.0">
                  <c:v>0.91491055920218656</c:v>
                </c:pt>
                <c:pt idx="23" formatCode="0.0">
                  <c:v>1.1521920584946919</c:v>
                </c:pt>
                <c:pt idx="24" formatCode="0.0">
                  <c:v>1.4510123683150251</c:v>
                </c:pt>
                <c:pt idx="25" formatCode="0.0">
                  <c:v>1.8273315397196759</c:v>
                </c:pt>
                <c:pt idx="26" formatCode="0.0">
                  <c:v>2.3012488518909371</c:v>
                </c:pt>
                <c:pt idx="27" formatCode="0.0">
                  <c:v>2.8980763175508595</c:v>
                </c:pt>
                <c:pt idx="28" formatCode="0.0">
                  <c:v>3.6496906008191234</c:v>
                </c:pt>
                <c:pt idx="29" formatCode="0.0">
                  <c:v>4.5962355532970278</c:v>
                </c:pt>
                <c:pt idx="30" formatCode="0.0">
                  <c:v>5.7882663004994894</c:v>
                </c:pt>
                <c:pt idx="31" formatCode="0.0">
                  <c:v>7.2894493936521831</c:v>
                </c:pt>
                <c:pt idx="32" formatCode="0.0">
                  <c:v>9.1799632408021896</c:v>
                </c:pt>
                <c:pt idx="33" formatCode="0.0">
                  <c:v>11.560780432246883</c:v>
                </c:pt>
                <c:pt idx="34" formatCode="0.0">
                  <c:v>14.559060675846517</c:v>
                </c:pt>
                <c:pt idx="35" formatCode="0.0">
                  <c:v>18.334942373156917</c:v>
                </c:pt>
                <c:pt idx="36" formatCode="0.0">
                  <c:v>23.090095564996883</c:v>
                </c:pt>
                <c:pt idx="37" formatCode="0.0">
                  <c:v>29.07849304379944</c:v>
                </c:pt>
                <c:pt idx="38" formatCode="0.0">
                  <c:v>36.619974892737822</c:v>
                </c:pt>
                <c:pt idx="39" formatCode="0.0">
                  <c:v>46.117330893092891</c:v>
                </c:pt>
                <c:pt idx="40" formatCode="0.0">
                  <c:v>58.077813105980304</c:v>
                </c:pt>
                <c:pt idx="41" formatCode="0.0">
                  <c:v>73.14022751077492</c:v>
                </c:pt>
                <c:pt idx="42" formatCode="0.0">
                  <c:v>92.109051497207403</c:v>
                </c:pt>
                <c:pt idx="43" formatCode="0.0">
                  <c:v>115.99739915901128</c:v>
                </c:pt>
                <c:pt idx="44" formatCode="0.0">
                  <c:v>146.08112873910108</c:v>
                </c:pt>
                <c:pt idx="45" formatCode="0.0">
                  <c:v>183.96698142584711</c:v>
                </c:pt>
                <c:pt idx="46" formatCode="0.0">
                  <c:v>231.67838971290757</c:v>
                </c:pt>
                <c:pt idx="47" formatCode="0.0">
                  <c:v>291.76353662866723</c:v>
                </c:pt>
                <c:pt idx="48" formatCode="0.0">
                  <c:v>367.43143454757598</c:v>
                </c:pt>
                <c:pt idx="49" formatCode="0.0">
                  <c:v>462.72328721400379</c:v>
                </c:pt>
                <c:pt idx="50" formatCode="0.0">
                  <c:v>582.72828053431806</c:v>
                </c:pt>
                <c:pt idx="51" formatCode="0.0">
                  <c:v>733.85531658498007</c:v>
                </c:pt>
                <c:pt idx="52" formatCode="0.0">
                  <c:v>924.17518678848853</c:v>
                </c:pt>
                <c:pt idx="53" formatCode="0.0">
                  <c:v>1163.8514321751827</c:v>
                </c:pt>
                <c:pt idx="54" formatCode="0.0">
                  <c:v>1465.6828592627348</c:v>
                </c:pt>
                <c:pt idx="55" formatCode="0.0">
                  <c:v>1845.7866179747839</c:v>
                </c:pt>
                <c:pt idx="56" formatCode="0.0">
                  <c:v>2324.458214779359</c:v>
                </c:pt>
                <c:pt idx="57" formatCode="0.0">
                  <c:v>2927.2542198590068</c:v>
                </c:pt>
                <c:pt idx="58" formatCode="0.0">
                  <c:v>3686.3552189693628</c:v>
                </c:pt>
                <c:pt idx="59" formatCode="0.0">
                  <c:v>4642.2813664015412</c:v>
                </c:pt>
                <c:pt idx="60" formatCode="0.0">
                  <c:v>5846.0514708869378</c:v>
                </c:pt>
                <c:pt idx="61" formatCode="0.0">
                  <c:v>7361.8998279936359</c:v>
                </c:pt>
                <c:pt idx="62" formatCode="0.0">
                  <c:v>36952.436807307618</c:v>
                </c:pt>
                <c:pt idx="63" formatCode="0.000E+00">
                  <c:v>184846.07350664068</c:v>
                </c:pt>
                <c:pt idx="64" formatCode="0.000E+00">
                  <c:v>909128.87786259572</c:v>
                </c:pt>
                <c:pt idx="65" formatCode="0.000E+00">
                  <c:v>4131717.8701317338</c:v>
                </c:pt>
                <c:pt idx="66" formatCode="0.000E+00">
                  <c:v>14034151.691856464</c:v>
                </c:pt>
                <c:pt idx="67" formatCode="0.000E+00">
                  <c:v>26837844.083246738</c:v>
                </c:pt>
                <c:pt idx="68" formatCode="0.000E+00">
                  <c:v>32793224.416094676</c:v>
                </c:pt>
                <c:pt idx="69" formatCode="0.000E+00">
                  <c:v>34308676.31234102</c:v>
                </c:pt>
                <c:pt idx="70" formatCode="0.000E+00">
                  <c:v>34627207.395594351</c:v>
                </c:pt>
                <c:pt idx="71" formatCode="0.000E+00">
                  <c:v>34691320.233341761</c:v>
                </c:pt>
                <c:pt idx="72" formatCode="0.000E+00">
                  <c:v>34704110.652210645</c:v>
                </c:pt>
                <c:pt idx="73" formatCode="0.000E+00">
                  <c:v>34706657.7935775</c:v>
                </c:pt>
                <c:pt idx="74" formatCode="0.000E+00">
                  <c:v>34707164.863189273</c:v>
                </c:pt>
                <c:pt idx="75" formatCode="0.000E+00">
                  <c:v>34707265.800448626</c:v>
                </c:pt>
                <c:pt idx="76" formatCode="0.000E+00">
                  <c:v>34707285.892734051</c:v>
                </c:pt>
                <c:pt idx="77" formatCode="0.000E+00">
                  <c:v>34707289.892236404</c:v>
                </c:pt>
                <c:pt idx="78" formatCode="0.000E+00">
                  <c:v>34707290.688363366</c:v>
                </c:pt>
                <c:pt idx="79" formatCode="0.000E+00">
                  <c:v>34707290.846837603</c:v>
                </c:pt>
                <c:pt idx="80" formatCode="0.000E+00">
                  <c:v>34707290.878382921</c:v>
                </c:pt>
                <c:pt idx="81" formatCode="0.000E+00">
                  <c:v>34707290.884662218</c:v>
                </c:pt>
                <c:pt idx="82" formatCode="0.000E+00">
                  <c:v>34707290.885912165</c:v>
                </c:pt>
                <c:pt idx="83" formatCode="0.000E+00">
                  <c:v>34707290.88616097</c:v>
                </c:pt>
                <c:pt idx="84" formatCode="0.000E+00">
                  <c:v>34707290.886210494</c:v>
                </c:pt>
                <c:pt idx="85" formatCode="0.000E+00">
                  <c:v>34707290.886220358</c:v>
                </c:pt>
                <c:pt idx="86" formatCode="0.000E+00">
                  <c:v>34707290.886222318</c:v>
                </c:pt>
                <c:pt idx="87" formatCode="0.000E+00">
                  <c:v>34707290.886222698</c:v>
                </c:pt>
                <c:pt idx="88" formatCode="0.000E+00">
                  <c:v>34707290.88622278</c:v>
                </c:pt>
                <c:pt idx="89" formatCode="0.000E+00">
                  <c:v>34707290.886222795</c:v>
                </c:pt>
                <c:pt idx="90" formatCode="0.000E+00">
                  <c:v>34707290.886222802</c:v>
                </c:pt>
                <c:pt idx="91" formatCode="0.000E+00">
                  <c:v>34707290.886222802</c:v>
                </c:pt>
                <c:pt idx="92" formatCode="0.000E+00">
                  <c:v>34707290.886222802</c:v>
                </c:pt>
                <c:pt idx="93" formatCode="0.000E+00">
                  <c:v>34707290.886222802</c:v>
                </c:pt>
                <c:pt idx="94" formatCode="0.000E+00">
                  <c:v>34707290.886222802</c:v>
                </c:pt>
                <c:pt idx="95" formatCode="0.000E+00">
                  <c:v>34707290.886222802</c:v>
                </c:pt>
                <c:pt idx="96" formatCode="0.000E+00">
                  <c:v>34707290.886222802</c:v>
                </c:pt>
                <c:pt idx="97" formatCode="0.000E+00">
                  <c:v>34707290.886222802</c:v>
                </c:pt>
                <c:pt idx="98" formatCode="0.000E+00">
                  <c:v>34707290.886222802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570680"/>
        <c:axId val="876571464"/>
      </c:scatterChart>
      <c:valAx>
        <c:axId val="876570680"/>
        <c:scaling>
          <c:orientation val="minMax"/>
          <c:max val="43952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571464"/>
        <c:crossesAt val="1.0000000000000002E-2"/>
        <c:crossBetween val="midCat"/>
        <c:majorUnit val="7"/>
        <c:minorUnit val="3.5"/>
      </c:valAx>
      <c:valAx>
        <c:axId val="876571464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57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785683199390607E-2"/>
          <c:y val="0.75670870730110051"/>
          <c:w val="0.9010158272808505"/>
          <c:h val="7.602041294961922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myData!$CH$17</c:f>
          <c:strCache>
            <c:ptCount val="1"/>
            <c:pt idx="0">
              <c:v>COVID19 UK P(t) = b / {d+[( b/Po - d ) ]* exp(-b*t)}
b=0.231, d=1.00E-09, P0=.0381 Limit=34.7 M
 20-Mar, Cases per 10 M population
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34.7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5.7300888856155995E-3</c:v>
                </c:pt>
                <c:pt idx="1">
                  <c:v>7.2161840159393588E-3</c:v>
                </c:pt>
                <c:pt idx="2">
                  <c:v>9.0876970306763491E-3</c:v>
                </c:pt>
                <c:pt idx="3">
                  <c:v>1.1444585827882081E-2</c:v>
                </c:pt>
                <c:pt idx="4">
                  <c:v>1.4412732326718481E-2</c:v>
                </c:pt>
                <c:pt idx="5">
                  <c:v>1.815066584681032E-2</c:v>
                </c:pt>
                <c:pt idx="6">
                  <c:v>2.2858030192001329E-2</c:v>
                </c:pt>
                <c:pt idx="7">
                  <c:v>2.8786246667192344E-2</c:v>
                </c:pt>
                <c:pt idx="8">
                  <c:v>3.6251942542175036E-2</c:v>
                </c:pt>
                <c:pt idx="9">
                  <c:v>4.5653862179456724E-2</c:v>
                </c:pt>
                <c:pt idx="10">
                  <c:v>5.7494164052852542E-2</c:v>
                </c:pt>
                <c:pt idx="11" formatCode="0.0">
                  <c:v>7.2405241134917572E-2</c:v>
                </c:pt>
                <c:pt idx="12" formatCode="0.0">
                  <c:v>9.1183497135503083E-2</c:v>
                </c:pt>
                <c:pt idx="13" formatCode="0.0">
                  <c:v>0.11483188258707373</c:v>
                </c:pt>
                <c:pt idx="14" formatCode="0.0">
                  <c:v>0.14461346263749605</c:v>
                </c:pt>
                <c:pt idx="15" formatCode="0.0">
                  <c:v>0.18211887761654216</c:v>
                </c:pt>
                <c:pt idx="16" formatCode="0.0">
                  <c:v>0.22935129945788255</c:v>
                </c:pt>
                <c:pt idx="17" formatCode="0.0">
                  <c:v>0.28883342151498009</c:v>
                </c:pt>
                <c:pt idx="18" formatCode="0.0">
                  <c:v>0.36374219611644087</c:v>
                </c:pt>
                <c:pt idx="19" formatCode="0.0">
                  <c:v>0.45807851621731016</c:v>
                </c:pt>
                <c:pt idx="20" formatCode="0.0">
                  <c:v>0.57688090387171198</c:v>
                </c:pt>
                <c:pt idx="21" formatCode="0.0">
                  <c:v>0.72649461866169185</c:v>
                </c:pt>
                <c:pt idx="22" formatCode="0.0">
                  <c:v>0.91491055920218656</c:v>
                </c:pt>
                <c:pt idx="23" formatCode="0.0">
                  <c:v>1.1521920584946919</c:v>
                </c:pt>
                <c:pt idx="24" formatCode="0.0">
                  <c:v>1.4510123683150251</c:v>
                </c:pt>
                <c:pt idx="25" formatCode="0.0">
                  <c:v>1.8273315397196759</c:v>
                </c:pt>
                <c:pt idx="26" formatCode="0.0">
                  <c:v>2.3012488518909371</c:v>
                </c:pt>
                <c:pt idx="27" formatCode="0.0">
                  <c:v>2.8980763175508595</c:v>
                </c:pt>
                <c:pt idx="28" formatCode="0.0">
                  <c:v>3.6496906008191234</c:v>
                </c:pt>
                <c:pt idx="29" formatCode="0.0">
                  <c:v>4.5962355532970278</c:v>
                </c:pt>
                <c:pt idx="30" formatCode="0.0">
                  <c:v>5.7882663004994894</c:v>
                </c:pt>
                <c:pt idx="31" formatCode="0.0">
                  <c:v>7.2894493936521831</c:v>
                </c:pt>
                <c:pt idx="32" formatCode="0.0">
                  <c:v>9.1799632408021896</c:v>
                </c:pt>
                <c:pt idx="33" formatCode="0.0">
                  <c:v>11.560780432246883</c:v>
                </c:pt>
                <c:pt idx="34" formatCode="0.0">
                  <c:v>14.559060675846517</c:v>
                </c:pt>
                <c:pt idx="35" formatCode="0.0">
                  <c:v>18.334942373156917</c:v>
                </c:pt>
                <c:pt idx="36" formatCode="0.0">
                  <c:v>23.090095564996883</c:v>
                </c:pt>
                <c:pt idx="37" formatCode="0.0">
                  <c:v>29.07849304379944</c:v>
                </c:pt>
                <c:pt idx="38" formatCode="0.0">
                  <c:v>36.619974892737822</c:v>
                </c:pt>
                <c:pt idx="39" formatCode="0.0">
                  <c:v>46.117330893092891</c:v>
                </c:pt>
                <c:pt idx="40" formatCode="0.0">
                  <c:v>58.077813105980304</c:v>
                </c:pt>
                <c:pt idx="41" formatCode="0.0">
                  <c:v>73.14022751077492</c:v>
                </c:pt>
                <c:pt idx="42" formatCode="0.0">
                  <c:v>92.109051497207403</c:v>
                </c:pt>
                <c:pt idx="43" formatCode="0.0">
                  <c:v>115.99739915901128</c:v>
                </c:pt>
                <c:pt idx="44" formatCode="0.0">
                  <c:v>146.08112873910108</c:v>
                </c:pt>
                <c:pt idx="45" formatCode="0.0">
                  <c:v>183.96698142584711</c:v>
                </c:pt>
                <c:pt idx="46" formatCode="0.0">
                  <c:v>231.67838971290757</c:v>
                </c:pt>
                <c:pt idx="47" formatCode="0.0">
                  <c:v>291.76353662866723</c:v>
                </c:pt>
                <c:pt idx="48" formatCode="0.0">
                  <c:v>367.43143454757598</c:v>
                </c:pt>
                <c:pt idx="49" formatCode="0.0">
                  <c:v>462.72328721400379</c:v>
                </c:pt>
                <c:pt idx="50" formatCode="0.0">
                  <c:v>582.72828053431806</c:v>
                </c:pt>
                <c:pt idx="51" formatCode="0.0">
                  <c:v>733.85531658498007</c:v>
                </c:pt>
                <c:pt idx="52" formatCode="0.0">
                  <c:v>924.17518678848853</c:v>
                </c:pt>
                <c:pt idx="53" formatCode="0.0">
                  <c:v>1163.8514321751827</c:v>
                </c:pt>
                <c:pt idx="54" formatCode="0.0">
                  <c:v>1465.6828592627348</c:v>
                </c:pt>
                <c:pt idx="55" formatCode="0.0">
                  <c:v>1845.7866179747839</c:v>
                </c:pt>
                <c:pt idx="56" formatCode="0.0">
                  <c:v>2324.458214779359</c:v>
                </c:pt>
                <c:pt idx="57" formatCode="0.0">
                  <c:v>2927.2542198590068</c:v>
                </c:pt>
                <c:pt idx="58" formatCode="0.0">
                  <c:v>3686.3552189693628</c:v>
                </c:pt>
                <c:pt idx="59" formatCode="0.0">
                  <c:v>4642.2813664015412</c:v>
                </c:pt>
                <c:pt idx="60" formatCode="0.0">
                  <c:v>5846.0514708869378</c:v>
                </c:pt>
                <c:pt idx="61" formatCode="0.0">
                  <c:v>7361.8998279936359</c:v>
                </c:pt>
                <c:pt idx="62" formatCode="0.0">
                  <c:v>36952.436807307618</c:v>
                </c:pt>
                <c:pt idx="63" formatCode="0.000E+00">
                  <c:v>184846.07350664068</c:v>
                </c:pt>
                <c:pt idx="64" formatCode="0.000E+00">
                  <c:v>909128.87786259572</c:v>
                </c:pt>
                <c:pt idx="65" formatCode="0.000E+00">
                  <c:v>4131717.8701317338</c:v>
                </c:pt>
                <c:pt idx="66" formatCode="0.000E+00">
                  <c:v>14034151.691856464</c:v>
                </c:pt>
                <c:pt idx="67" formatCode="0.000E+00">
                  <c:v>26837844.083246738</c:v>
                </c:pt>
                <c:pt idx="68" formatCode="0.000E+00">
                  <c:v>32793224.416094676</c:v>
                </c:pt>
                <c:pt idx="69" formatCode="0.000E+00">
                  <c:v>34308676.31234102</c:v>
                </c:pt>
                <c:pt idx="70" formatCode="0.000E+00">
                  <c:v>34627207.395594351</c:v>
                </c:pt>
                <c:pt idx="71" formatCode="0.000E+00">
                  <c:v>34691320.233341761</c:v>
                </c:pt>
                <c:pt idx="72" formatCode="0.000E+00">
                  <c:v>34704110.652210645</c:v>
                </c:pt>
                <c:pt idx="73" formatCode="0.000E+00">
                  <c:v>34706657.7935775</c:v>
                </c:pt>
                <c:pt idx="74" formatCode="0.000E+00">
                  <c:v>34707164.863189273</c:v>
                </c:pt>
                <c:pt idx="75" formatCode="0.000E+00">
                  <c:v>34707265.800448626</c:v>
                </c:pt>
                <c:pt idx="76" formatCode="0.000E+00">
                  <c:v>34707285.892734051</c:v>
                </c:pt>
                <c:pt idx="77" formatCode="0.000E+00">
                  <c:v>34707289.892236404</c:v>
                </c:pt>
                <c:pt idx="78" formatCode="0.000E+00">
                  <c:v>34707290.688363366</c:v>
                </c:pt>
                <c:pt idx="79" formatCode="0.000E+00">
                  <c:v>34707290.846837603</c:v>
                </c:pt>
                <c:pt idx="80" formatCode="0.000E+00">
                  <c:v>34707290.878382921</c:v>
                </c:pt>
                <c:pt idx="81" formatCode="0.000E+00">
                  <c:v>34707290.884662218</c:v>
                </c:pt>
                <c:pt idx="82" formatCode="0.000E+00">
                  <c:v>34707290.885912165</c:v>
                </c:pt>
                <c:pt idx="83" formatCode="0.000E+00">
                  <c:v>34707290.88616097</c:v>
                </c:pt>
                <c:pt idx="84" formatCode="0.000E+00">
                  <c:v>34707290.886210494</c:v>
                </c:pt>
                <c:pt idx="85" formatCode="0.000E+00">
                  <c:v>34707290.886220358</c:v>
                </c:pt>
                <c:pt idx="86" formatCode="0.000E+00">
                  <c:v>34707290.886222318</c:v>
                </c:pt>
                <c:pt idx="87" formatCode="0.000E+00">
                  <c:v>34707290.886222698</c:v>
                </c:pt>
                <c:pt idx="88" formatCode="0.000E+00">
                  <c:v>34707290.88622278</c:v>
                </c:pt>
                <c:pt idx="89" formatCode="0.000E+00">
                  <c:v>34707290.886222795</c:v>
                </c:pt>
                <c:pt idx="90" formatCode="0.000E+00">
                  <c:v>34707290.886222802</c:v>
                </c:pt>
                <c:pt idx="91" formatCode="0.000E+00">
                  <c:v>34707290.886222802</c:v>
                </c:pt>
                <c:pt idx="92" formatCode="0.000E+00">
                  <c:v>34707290.886222802</c:v>
                </c:pt>
                <c:pt idx="93" formatCode="0.000E+00">
                  <c:v>34707290.886222802</c:v>
                </c:pt>
                <c:pt idx="94" formatCode="0.000E+00">
                  <c:v>34707290.886222802</c:v>
                </c:pt>
                <c:pt idx="95" formatCode="0.000E+00">
                  <c:v>34707290.886222802</c:v>
                </c:pt>
                <c:pt idx="96" formatCode="0.000E+00">
                  <c:v>34707290.886222802</c:v>
                </c:pt>
                <c:pt idx="97" formatCode="0.000E+00">
                  <c:v>34707290.886222802</c:v>
                </c:pt>
                <c:pt idx="98" formatCode="0.000E+00">
                  <c:v>34707290.886222802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31144"/>
        <c:axId val="668827224"/>
      </c:scatterChart>
      <c:valAx>
        <c:axId val="668831144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7224"/>
        <c:crossesAt val="0.1"/>
        <c:crossBetween val="midCat"/>
        <c:majorUnit val="14"/>
        <c:minorUnit val="7"/>
      </c:valAx>
      <c:valAx>
        <c:axId val="668827224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1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myData!$CH$16</c:f>
          <c:strCache>
            <c:ptCount val="1"/>
            <c:pt idx="0">
              <c:v>COVID19 Skorea P(t) = b / {d+[( b/Po - d ) ]* exp(-b*t)}
b=0.326, d=3.91E-05, P0=174.6165 Limit=1.62 k
 20-Mar, Cases per 10 M population
log fit from 19th Feb 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33.97208078123537</c:v>
                </c:pt>
                <c:pt idx="29" formatCode="0.0">
                  <c:v>46.672398108713708</c:v>
                </c:pt>
                <c:pt idx="30" formatCode="0.0">
                  <c:v>63.929121944181304</c:v>
                </c:pt>
                <c:pt idx="31" formatCode="0.0">
                  <c:v>87.212365730357178</c:v>
                </c:pt>
                <c:pt idx="32" formatCode="0.0">
                  <c:v>118.33002173837721</c:v>
                </c:pt>
                <c:pt idx="33" formatCode="0.0">
                  <c:v>159.3948841343192</c:v>
                </c:pt>
                <c:pt idx="34" formatCode="0.0">
                  <c:v>212.69037227468675</c:v>
                </c:pt>
                <c:pt idx="35" formatCode="0.0">
                  <c:v>280.38167601959327</c:v>
                </c:pt>
                <c:pt idx="36" formatCode="0.0">
                  <c:v>364.03804388434719</c:v>
                </c:pt>
                <c:pt idx="37" formatCode="0.0">
                  <c:v>463.99994047207946</c:v>
                </c:pt>
                <c:pt idx="38" formatCode="0.0">
                  <c:v>578.74768820094698</c:v>
                </c:pt>
                <c:pt idx="39" formatCode="0.0">
                  <c:v>704.55586369342927</c:v>
                </c:pt>
                <c:pt idx="40" formatCode="0.0">
                  <c:v>835.73163340861117</c:v>
                </c:pt>
                <c:pt idx="41" formatCode="0.0">
                  <c:v>965.53066224241161</c:v>
                </c:pt>
                <c:pt idx="42" formatCode="0.0">
                  <c:v>1087.4843074954108</c:v>
                </c:pt>
                <c:pt idx="43" formatCode="0.0">
                  <c:v>1196.6159491596554</c:v>
                </c:pt>
                <c:pt idx="44" formatCode="0.0">
                  <c:v>1290.0955274486973</c:v>
                </c:pt>
                <c:pt idx="45" formatCode="0.0">
                  <c:v>1367.2153588108299</c:v>
                </c:pt>
                <c:pt idx="46" formatCode="0.0">
                  <c:v>1428.8905272208078</c:v>
                </c:pt>
                <c:pt idx="47" formatCode="0.0">
                  <c:v>1476.9989120513794</c:v>
                </c:pt>
                <c:pt idx="48" formatCode="0.0">
                  <c:v>1513.7997262165291</c:v>
                </c:pt>
                <c:pt idx="49" formatCode="0.0">
                  <c:v>1541.532747953094</c:v>
                </c:pt>
                <c:pt idx="50" formatCode="0.0">
                  <c:v>1562.1975817268885</c:v>
                </c:pt>
                <c:pt idx="51" formatCode="0.0">
                  <c:v>1577.4664368378792</c:v>
                </c:pt>
                <c:pt idx="52" formatCode="0.0">
                  <c:v>1588.6781926989806</c:v>
                </c:pt>
                <c:pt idx="53" formatCode="0.0">
                  <c:v>1596.8732337121558</c:v>
                </c:pt>
                <c:pt idx="54" formatCode="0.0">
                  <c:v>1602.843221289211</c:v>
                </c:pt>
                <c:pt idx="55" formatCode="0.0">
                  <c:v>1607.1816767544872</c:v>
                </c:pt>
                <c:pt idx="56" formatCode="0.0">
                  <c:v>1610.3288878092474</c:v>
                </c:pt>
                <c:pt idx="57" formatCode="0.0">
                  <c:v>1612.6090049613429</c:v>
                </c:pt>
                <c:pt idx="58" formatCode="0.0">
                  <c:v>1614.2593816556334</c:v>
                </c:pt>
                <c:pt idx="59" formatCode="0.0">
                  <c:v>1615.453137610544</c:v>
                </c:pt>
                <c:pt idx="60" formatCode="0.0">
                  <c:v>1616.3161871787565</c:v>
                </c:pt>
                <c:pt idx="61" formatCode="0.0">
                  <c:v>1616.9399255265625</c:v>
                </c:pt>
                <c:pt idx="62" formatCode="0.0">
                  <c:v>1617.3905950832939</c:v>
                </c:pt>
                <c:pt idx="63" formatCode="0.0">
                  <c:v>1617.7161571865997</c:v>
                </c:pt>
                <c:pt idx="64" formatCode="0.0">
                  <c:v>1617.9513107507994</c:v>
                </c:pt>
                <c:pt idx="65" formatCode="0.0">
                  <c:v>1618.1211458547045</c:v>
                </c:pt>
                <c:pt idx="66" formatCode="0.0">
                  <c:v>1618.2437974353638</c:v>
                </c:pt>
                <c:pt idx="67" formatCode="0.0">
                  <c:v>1618.3323695518145</c:v>
                </c:pt>
                <c:pt idx="68" formatCode="0.0">
                  <c:v>1618.3963290637828</c:v>
                </c:pt>
                <c:pt idx="69" formatCode="0.0">
                  <c:v>1618.4425141633185</c:v>
                </c:pt>
                <c:pt idx="70" formatCode="0.0">
                  <c:v>1618.5502261155125</c:v>
                </c:pt>
                <c:pt idx="71" formatCode="0.0">
                  <c:v>1618.5612482588517</c:v>
                </c:pt>
                <c:pt idx="72" formatCode="0.0">
                  <c:v>1618.5623760783844</c:v>
                </c:pt>
                <c:pt idx="73" formatCode="0.0">
                  <c:v>1618.5624914795626</c:v>
                </c:pt>
                <c:pt idx="74" formatCode="0.0">
                  <c:v>1618.5625032876778</c:v>
                </c:pt>
                <c:pt idx="75" formatCode="0.0">
                  <c:v>1618.5625044959111</c:v>
                </c:pt>
                <c:pt idx="76" formatCode="0.0">
                  <c:v>1618.5625046195405</c:v>
                </c:pt>
                <c:pt idx="77" formatCode="0.0">
                  <c:v>1618.5625046321907</c:v>
                </c:pt>
                <c:pt idx="78" formatCode="0.0">
                  <c:v>1618.5625046334847</c:v>
                </c:pt>
                <c:pt idx="79" formatCode="0.0">
                  <c:v>1618.5625046336172</c:v>
                </c:pt>
                <c:pt idx="80" formatCode="0.0">
                  <c:v>1618.5625046336306</c:v>
                </c:pt>
                <c:pt idx="81" formatCode="0.0">
                  <c:v>1618.562504633632</c:v>
                </c:pt>
                <c:pt idx="82" formatCode="0.0">
                  <c:v>1618.5625046336322</c:v>
                </c:pt>
                <c:pt idx="83" formatCode="0.0">
                  <c:v>1618.5625046336322</c:v>
                </c:pt>
                <c:pt idx="84" formatCode="0.0">
                  <c:v>1618.5625046336322</c:v>
                </c:pt>
                <c:pt idx="85" formatCode="0.0">
                  <c:v>1618.5625046336322</c:v>
                </c:pt>
                <c:pt idx="86" formatCode="0.0">
                  <c:v>1618.5625046336322</c:v>
                </c:pt>
                <c:pt idx="87" formatCode="0.0">
                  <c:v>1618.5625046336322</c:v>
                </c:pt>
                <c:pt idx="88" formatCode="0.0">
                  <c:v>1618.5625046336322</c:v>
                </c:pt>
                <c:pt idx="89" formatCode="0.0">
                  <c:v>1618.5625046336322</c:v>
                </c:pt>
                <c:pt idx="90" formatCode="0.0">
                  <c:v>1618.5625046336322</c:v>
                </c:pt>
                <c:pt idx="91" formatCode="0.0">
                  <c:v>1618.5625046336322</c:v>
                </c:pt>
                <c:pt idx="92" formatCode="0.0">
                  <c:v>1618.5625046336322</c:v>
                </c:pt>
                <c:pt idx="93" formatCode="0.0">
                  <c:v>1618.5625046336322</c:v>
                </c:pt>
                <c:pt idx="94" formatCode="0.0">
                  <c:v>1618.5625046336322</c:v>
                </c:pt>
                <c:pt idx="95" formatCode="0.0">
                  <c:v>1618.5625046336322</c:v>
                </c:pt>
                <c:pt idx="96" formatCode="0.0">
                  <c:v>1618.5625046336322</c:v>
                </c:pt>
                <c:pt idx="97" formatCode="0.0">
                  <c:v>1618.5625046336322</c:v>
                </c:pt>
                <c:pt idx="98" formatCode="0.0">
                  <c:v>1618.5625046336322</c:v>
                </c:pt>
                <c:pt idx="99" formatCode="0.0">
                  <c:v>1618.5625046336322</c:v>
                </c:pt>
                <c:pt idx="100" formatCode="0.0">
                  <c:v>1618.5625046336322</c:v>
                </c:pt>
                <c:pt idx="101" formatCode="0.0">
                  <c:v>1618.5625046336322</c:v>
                </c:pt>
                <c:pt idx="102" formatCode="0.0">
                  <c:v>1618.5625046336322</c:v>
                </c:pt>
                <c:pt idx="103" formatCode="0.0">
                  <c:v>1618.5625046336322</c:v>
                </c:pt>
                <c:pt idx="104" formatCode="0.0">
                  <c:v>1618.5625046336322</c:v>
                </c:pt>
                <c:pt idx="105" formatCode="0.0">
                  <c:v>1618.5625046336322</c:v>
                </c:pt>
                <c:pt idx="106" formatCode="0.0">
                  <c:v>1618.5625046336322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27616"/>
        <c:axId val="668830360"/>
      </c:scatterChart>
      <c:valAx>
        <c:axId val="668827616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0360"/>
        <c:crossesAt val="0.1"/>
        <c:crossBetween val="midCat"/>
        <c:majorUnit val="14"/>
        <c:minorUnit val="7"/>
      </c:valAx>
      <c:valAx>
        <c:axId val="66883036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myData!$DZ$13</c:f>
          <c:strCache>
            <c:ptCount val="1"/>
            <c:pt idx="0">
              <c:v>Australia Limit 80.2 k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26440"/>
        <c:axId val="668832320"/>
      </c:scatterChart>
      <c:valAx>
        <c:axId val="668826440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2320"/>
        <c:crossesAt val="1.0000000000000002E-2"/>
        <c:crossBetween val="midCat"/>
        <c:majorUnit val="14"/>
        <c:minorUnit val="7"/>
      </c:valAx>
      <c:valAx>
        <c:axId val="668832320"/>
        <c:scaling>
          <c:logBase val="10"/>
          <c:orientation val="minMax"/>
          <c:max val="1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6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myData!$DZ$12</c:f>
          <c:strCache>
            <c:ptCount val="1"/>
            <c:pt idx="0">
              <c:v>Australia Limit 782 M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13.277829642217627</c:v>
                </c:pt>
                <c:pt idx="2">
                  <c:v>16.483886927833961</c:v>
                </c:pt>
                <c:pt idx="3">
                  <c:v>20.435269467553514</c:v>
                </c:pt>
                <c:pt idx="4">
                  <c:v>25.289967793687335</c:v>
                </c:pt>
                <c:pt idx="5">
                  <c:v>31.231513319186782</c:v>
                </c:pt>
                <c:pt idx="6">
                  <c:v>38.468975247954276</c:v>
                </c:pt>
                <c:pt idx="7">
                  <c:v>47.234479868508544</c:v>
                </c:pt>
                <c:pt idx="8">
                  <c:v>57.777040862636333</c:v>
                </c:pt>
                <c:pt idx="9">
                  <c:v>70.351343273980731</c:v>
                </c:pt>
                <c:pt idx="10">
                  <c:v>85.200230023338264</c:v>
                </c:pt>
                <c:pt idx="11">
                  <c:v>102.53020080641564</c:v>
                </c:pt>
                <c:pt idx="12">
                  <c:v>122.48045184718971</c:v>
                </c:pt>
                <c:pt idx="13">
                  <c:v>145.08794501852279</c:v>
                </c:pt>
                <c:pt idx="14">
                  <c:v>170.25347868794347</c:v>
                </c:pt>
                <c:pt idx="15">
                  <c:v>197.71605475351217</c:v>
                </c:pt>
                <c:pt idx="16">
                  <c:v>227.04385986802606</c:v>
                </c:pt>
                <c:pt idx="17">
                  <c:v>257.64869902945071</c:v>
                </c:pt>
                <c:pt idx="18">
                  <c:v>288.82621181875015</c:v>
                </c:pt>
                <c:pt idx="19">
                  <c:v>319.81754975043282</c:v>
                </c:pt>
                <c:pt idx="20">
                  <c:v>349.88174074963456</c:v>
                </c:pt>
                <c:pt idx="21">
                  <c:v>378.3645053203071</c:v>
                </c:pt>
                <c:pt idx="22">
                  <c:v>404.75045494453434</c:v>
                </c:pt>
                <c:pt idx="23">
                  <c:v>428.69083621819203</c:v>
                </c:pt>
                <c:pt idx="24">
                  <c:v>450.00589022150581</c:v>
                </c:pt>
                <c:pt idx="25">
                  <c:v>468.66671656048743</c:v>
                </c:pt>
                <c:pt idx="26">
                  <c:v>484.76457370445041</c:v>
                </c:pt>
                <c:pt idx="27">
                  <c:v>498.47567855264447</c:v>
                </c:pt>
                <c:pt idx="28">
                  <c:v>510.02775106881523</c:v>
                </c:pt>
                <c:pt idx="29">
                  <c:v>519.67203079618093</c:v>
                </c:pt>
                <c:pt idx="30">
                  <c:v>527.6622097270905</c:v>
                </c:pt>
                <c:pt idx="31">
                  <c:v>534.24012364300825</c:v>
                </c:pt>
                <c:pt idx="32">
                  <c:v>539.62716763085166</c:v>
                </c:pt>
                <c:pt idx="33">
                  <c:v>544.02008949799358</c:v>
                </c:pt>
                <c:pt idx="34">
                  <c:v>547.5898541713924</c:v>
                </c:pt>
                <c:pt idx="35">
                  <c:v>550.48248276750201</c:v>
                </c:pt>
                <c:pt idx="36">
                  <c:v>552.82103115752545</c:v>
                </c:pt>
                <c:pt idx="37">
                  <c:v>554.7081180622265</c:v>
                </c:pt>
                <c:pt idx="38">
                  <c:v>556.22861374817023</c:v>
                </c:pt>
                <c:pt idx="39">
                  <c:v>557.45225149654834</c:v>
                </c:pt>
                <c:pt idx="40">
                  <c:v>558.43603037253479</c:v>
                </c:pt>
                <c:pt idx="41">
                  <c:v>559.22634854182866</c:v>
                </c:pt>
                <c:pt idx="42">
                  <c:v>559.86085077760765</c:v>
                </c:pt>
                <c:pt idx="43">
                  <c:v>560.36999981823215</c:v>
                </c:pt>
                <c:pt idx="44">
                  <c:v>560.77839501454855</c:v>
                </c:pt>
                <c:pt idx="45">
                  <c:v>561.10586769947281</c:v>
                </c:pt>
                <c:pt idx="46">
                  <c:v>561.36838400205613</c:v>
                </c:pt>
                <c:pt idx="47">
                  <c:v>561.57878446099198</c:v>
                </c:pt>
                <c:pt idx="48">
                  <c:v>561.74738707975825</c:v>
                </c:pt>
                <c:pt idx="49">
                  <c:v>561.88247721412995</c:v>
                </c:pt>
                <c:pt idx="50">
                  <c:v>561.99070436525756</c:v>
                </c:pt>
                <c:pt idx="51">
                  <c:v>562.07740282573775</c:v>
                </c:pt>
                <c:pt idx="52">
                  <c:v>562.14685031623685</c:v>
                </c:pt>
                <c:pt idx="53">
                  <c:v>562.20247630033487</c:v>
                </c:pt>
                <c:pt idx="54">
                  <c:v>562.24702957366003</c:v>
                </c:pt>
                <c:pt idx="55">
                  <c:v>562.28271296446189</c:v>
                </c:pt>
                <c:pt idx="56">
                  <c:v>562.31129151991638</c:v>
                </c:pt>
                <c:pt idx="57">
                  <c:v>562.33417934598185</c:v>
                </c:pt>
                <c:pt idx="58">
                  <c:v>562.35250927989307</c:v>
                </c:pt>
                <c:pt idx="59">
                  <c:v>562.36718876807277</c:v>
                </c:pt>
                <c:pt idx="60">
                  <c:v>562.37894466718831</c:v>
                </c:pt>
                <c:pt idx="61">
                  <c:v>562.38835915550999</c:v>
                </c:pt>
                <c:pt idx="62">
                  <c:v>562.39589851297683</c:v>
                </c:pt>
                <c:pt idx="63">
                  <c:v>562.40193618255046</c:v>
                </c:pt>
                <c:pt idx="64">
                  <c:v>562.40677124691047</c:v>
                </c:pt>
                <c:pt idx="65">
                  <c:v>562.41064323047203</c:v>
                </c:pt>
                <c:pt idx="66">
                  <c:v>562.41374395661569</c:v>
                </c:pt>
                <c:pt idx="67">
                  <c:v>562.41622704537917</c:v>
                </c:pt>
                <c:pt idx="68">
                  <c:v>562.41821552076453</c:v>
                </c:pt>
                <c:pt idx="69">
                  <c:v>562.41980790366836</c:v>
                </c:pt>
                <c:pt idx="70">
                  <c:v>562.4210830917425</c:v>
                </c:pt>
                <c:pt idx="71">
                  <c:v>562.42210426759698</c:v>
                </c:pt>
                <c:pt idx="72">
                  <c:v>562.42292202875603</c:v>
                </c:pt>
                <c:pt idx="73">
                  <c:v>562.42357689429673</c:v>
                </c:pt>
                <c:pt idx="74">
                  <c:v>562.42410131227359</c:v>
                </c:pt>
                <c:pt idx="75">
                  <c:v>562.42452126733679</c:v>
                </c:pt>
                <c:pt idx="76">
                  <c:v>562.42485756815756</c:v>
                </c:pt>
                <c:pt idx="77">
                  <c:v>562.42512687842861</c:v>
                </c:pt>
                <c:pt idx="78">
                  <c:v>562.42534254250677</c:v>
                </c:pt>
                <c:pt idx="79">
                  <c:v>562.42551524660166</c:v>
                </c:pt>
                <c:pt idx="80">
                  <c:v>562.42565354826286</c:v>
                </c:pt>
                <c:pt idx="81">
                  <c:v>562.42576430039901</c:v>
                </c:pt>
                <c:pt idx="82">
                  <c:v>562.42585299083419</c:v>
                </c:pt>
                <c:pt idx="83">
                  <c:v>562.42592401422985</c:v>
                </c:pt>
                <c:pt idx="84">
                  <c:v>562.42598088983789</c:v>
                </c:pt>
                <c:pt idx="85">
                  <c:v>562.426026435881</c:v>
                </c:pt>
                <c:pt idx="86">
                  <c:v>562.42606290919616</c:v>
                </c:pt>
                <c:pt idx="87">
                  <c:v>562.4260921170611</c:v>
                </c:pt>
                <c:pt idx="88">
                  <c:v>562.4261155067461</c:v>
                </c:pt>
                <c:pt idx="89">
                  <c:v>562.42613423722707</c:v>
                </c:pt>
                <c:pt idx="90">
                  <c:v>562.4261492366129</c:v>
                </c:pt>
                <c:pt idx="91">
                  <c:v>562.42616124813424</c:v>
                </c:pt>
                <c:pt idx="92">
                  <c:v>562.42617086697101</c:v>
                </c:pt>
                <c:pt idx="93">
                  <c:v>562.42617856974391</c:v>
                </c:pt>
                <c:pt idx="94">
                  <c:v>562.42618473813104</c:v>
                </c:pt>
                <c:pt idx="95">
                  <c:v>562.42618967778083</c:v>
                </c:pt>
                <c:pt idx="96">
                  <c:v>562.42619363345648</c:v>
                </c:pt>
                <c:pt idx="97">
                  <c:v>562.42619680116513</c:v>
                </c:pt>
                <c:pt idx="98">
                  <c:v>562.42619933786875</c:v>
                </c:pt>
                <c:pt idx="99">
                  <c:v>562.42620136926325</c:v>
                </c:pt>
                <c:pt idx="100">
                  <c:v>562.4262029960056</c:v>
                </c:pt>
                <c:pt idx="101">
                  <c:v>562.42620429870226</c:v>
                </c:pt>
                <c:pt idx="102">
                  <c:v>562.42620534190291</c:v>
                </c:pt>
                <c:pt idx="103">
                  <c:v>562.42620617729892</c:v>
                </c:pt>
                <c:pt idx="104">
                  <c:v>562.42620684628457</c:v>
                </c:pt>
                <c:pt idx="105">
                  <c:v>562.42620738200901</c:v>
                </c:pt>
                <c:pt idx="106">
                  <c:v>562.42620781101755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32712"/>
        <c:axId val="668830752"/>
      </c:scatterChart>
      <c:valAx>
        <c:axId val="668832712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0752"/>
        <c:crossesAt val="1.0000000000000002E-2"/>
        <c:crossBetween val="midCat"/>
        <c:majorUnit val="14"/>
        <c:minorUnit val="7"/>
      </c:valAx>
      <c:valAx>
        <c:axId val="668830752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myData!$CF$12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myData!$CZ$11:$CZ$12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21736"/>
        <c:axId val="668820952"/>
      </c:scatterChart>
      <c:valAx>
        <c:axId val="668821736"/>
        <c:scaling>
          <c:orientation val="minMax"/>
          <c:max val="43920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0952"/>
        <c:crosses val="autoZero"/>
        <c:crossBetween val="midCat"/>
        <c:majorUnit val="7"/>
        <c:minorUnit val="1"/>
      </c:valAx>
      <c:valAx>
        <c:axId val="668820952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1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45048715175372056"/>
          <c:h val="3.522124167227354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3"/>
          <c:order val="2"/>
          <c:tx>
            <c:v>Au Confirmed Cases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421.06923198233716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22520"/>
        <c:axId val="668824088"/>
      </c:scatterChar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v>NSW Logistic Prediction</c:v>
          </c:tx>
          <c:spPr>
            <a:ln w="12700" cap="rnd">
              <a:solidFill>
                <a:schemeClr val="tx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23304"/>
        <c:axId val="668822912"/>
      </c:scatterChart>
      <c:valAx>
        <c:axId val="668822520"/>
        <c:scaling>
          <c:orientation val="minMax"/>
          <c:max val="4401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4088"/>
        <c:crossesAt val="0.1"/>
        <c:crossBetween val="midCat"/>
        <c:majorUnit val="14"/>
        <c:minorUnit val="7"/>
      </c:valAx>
      <c:valAx>
        <c:axId val="668824088"/>
        <c:scaling>
          <c:logBase val="10"/>
          <c:orientation val="minMax"/>
          <c:max val="1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Australian Cases per 10M pop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2520"/>
        <c:crosses val="autoZero"/>
        <c:crossBetween val="midCat"/>
      </c:valAx>
      <c:valAx>
        <c:axId val="668822912"/>
        <c:scaling>
          <c:logBase val="10"/>
          <c:orientation val="minMax"/>
          <c:max val="10000000"/>
          <c:min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NSW Cases Per 10M Pop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3304"/>
        <c:crosses val="max"/>
        <c:crossBetween val="midCat"/>
      </c:valAx>
      <c:valAx>
        <c:axId val="668823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68822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581813659836555"/>
          <c:y val="0.69945145225951777"/>
          <c:w val="0.23547747830561738"/>
          <c:h val="0.13749257575523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myData!$CH$13</c:f>
          <c:strCache>
            <c:ptCount val="1"/>
            <c:pt idx="0">
              <c:v>COVID19 Italy P(t) = b / {d+[( b/Po - d ) ]* exp(-b*t)}
b=0.26, d=4.70E-06, P0=.442 Limit=9.17 k
 20-Mar,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26048"/>
        <c:axId val="668826832"/>
      </c:scatterChart>
      <c:valAx>
        <c:axId val="668826048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6832"/>
        <c:crossesAt val="0.1"/>
        <c:crossBetween val="midCat"/>
        <c:majorUnit val="7"/>
        <c:minorUnit val="3.5"/>
      </c:valAx>
      <c:valAx>
        <c:axId val="66882683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6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myData!$CH$13</c:f>
          <c:strCache>
            <c:ptCount val="1"/>
            <c:pt idx="0">
              <c:v>COVID19 Italy P(t) = b / {d+[( b/Po - d ) ]* exp(-b*t)}
b=0.26, d=4.70E-06, P0=.442 Limit=9.17 k
 20-Mar,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24480"/>
        <c:axId val="668828008"/>
      </c:scatterChart>
      <c:valAx>
        <c:axId val="668824480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8008"/>
        <c:crossesAt val="0.1"/>
        <c:crossBetween val="midCat"/>
        <c:majorUnit val="14"/>
        <c:minorUnit val="7"/>
      </c:valAx>
      <c:valAx>
        <c:axId val="668828008"/>
        <c:scaling>
          <c:logBase val="10"/>
          <c:orientation val="minMax"/>
          <c:max val="1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myData!$CH$14</c:f>
          <c:strCache>
            <c:ptCount val="1"/>
            <c:pt idx="0">
              <c:v>COVID19 USA P(t) = b / {d+[( b/Po - d ) ]* exp(-b*t)}
b=0.348, d=1.00E-09, P0=.0171 Limit=10.6 M
 20-Mar, Cases per 10 M population
 - Prediction without last day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28792"/>
        <c:axId val="668829184"/>
      </c:scatterChart>
      <c:valAx>
        <c:axId val="668828792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9184"/>
        <c:crosses val="autoZero"/>
        <c:crossBetween val="midCat"/>
        <c:majorUnit val="7"/>
        <c:minorUnit val="3.5"/>
      </c:valAx>
      <c:valAx>
        <c:axId val="668829184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8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myData!$CH$14</c:f>
          <c:strCache>
            <c:ptCount val="1"/>
            <c:pt idx="0">
              <c:v>COVID19 USA P(t) = b / {d+[( b/Po - d ) ]* exp(-b*t)}
b=0.348, d=1.00E-09, P0=.0171 Limit=10.6 M
 20-Mar, Cases per 10 M population
 - Prediction without last day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myData!$CF$14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40944"/>
        <c:axId val="668844472"/>
      </c:scatterChart>
      <c:valAx>
        <c:axId val="668840944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44472"/>
        <c:crosses val="autoZero"/>
        <c:crossBetween val="midCat"/>
        <c:majorUnit val="7"/>
        <c:minorUnit val="3.5"/>
      </c:valAx>
      <c:valAx>
        <c:axId val="668844472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40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myData!$CH$15</c:f>
          <c:strCache>
            <c:ptCount val="1"/>
            <c:pt idx="0">
              <c:v>COVID19 China P(t) = b / {d+[( b/Po - d ) ]* exp(-b*t)}
b=0.222, d=2.74E-06, P0=1537.6493 Limit=562  
 20-Mar, Cases per 10 M population
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13.277829642217627</c:v>
                </c:pt>
                <c:pt idx="2">
                  <c:v>16.483886927833961</c:v>
                </c:pt>
                <c:pt idx="3">
                  <c:v>20.435269467553514</c:v>
                </c:pt>
                <c:pt idx="4">
                  <c:v>25.289967793687335</c:v>
                </c:pt>
                <c:pt idx="5">
                  <c:v>31.231513319186782</c:v>
                </c:pt>
                <c:pt idx="6">
                  <c:v>38.468975247954276</c:v>
                </c:pt>
                <c:pt idx="7">
                  <c:v>47.234479868508544</c:v>
                </c:pt>
                <c:pt idx="8">
                  <c:v>57.777040862636333</c:v>
                </c:pt>
                <c:pt idx="9">
                  <c:v>70.351343273980731</c:v>
                </c:pt>
                <c:pt idx="10">
                  <c:v>85.200230023338264</c:v>
                </c:pt>
                <c:pt idx="11">
                  <c:v>102.53020080641564</c:v>
                </c:pt>
                <c:pt idx="12">
                  <c:v>122.48045184718971</c:v>
                </c:pt>
                <c:pt idx="13">
                  <c:v>145.08794501852279</c:v>
                </c:pt>
                <c:pt idx="14">
                  <c:v>170.25347868794347</c:v>
                </c:pt>
                <c:pt idx="15">
                  <c:v>197.71605475351217</c:v>
                </c:pt>
                <c:pt idx="16">
                  <c:v>227.04385986802606</c:v>
                </c:pt>
                <c:pt idx="17">
                  <c:v>257.64869902945071</c:v>
                </c:pt>
                <c:pt idx="18">
                  <c:v>288.82621181875015</c:v>
                </c:pt>
                <c:pt idx="19">
                  <c:v>319.81754975043282</c:v>
                </c:pt>
                <c:pt idx="20">
                  <c:v>349.88174074963456</c:v>
                </c:pt>
                <c:pt idx="21">
                  <c:v>378.3645053203071</c:v>
                </c:pt>
                <c:pt idx="22">
                  <c:v>404.75045494453434</c:v>
                </c:pt>
                <c:pt idx="23">
                  <c:v>428.69083621819203</c:v>
                </c:pt>
                <c:pt idx="24">
                  <c:v>450.00589022150581</c:v>
                </c:pt>
                <c:pt idx="25">
                  <c:v>468.66671656048743</c:v>
                </c:pt>
                <c:pt idx="26">
                  <c:v>484.76457370445041</c:v>
                </c:pt>
                <c:pt idx="27">
                  <c:v>498.47567855264447</c:v>
                </c:pt>
                <c:pt idx="28">
                  <c:v>510.02775106881523</c:v>
                </c:pt>
                <c:pt idx="29">
                  <c:v>519.67203079618093</c:v>
                </c:pt>
                <c:pt idx="30">
                  <c:v>527.6622097270905</c:v>
                </c:pt>
                <c:pt idx="31">
                  <c:v>534.24012364300825</c:v>
                </c:pt>
                <c:pt idx="32">
                  <c:v>539.62716763085166</c:v>
                </c:pt>
                <c:pt idx="33">
                  <c:v>544.02008949799358</c:v>
                </c:pt>
                <c:pt idx="34">
                  <c:v>547.5898541713924</c:v>
                </c:pt>
                <c:pt idx="35">
                  <c:v>550.48248276750201</c:v>
                </c:pt>
                <c:pt idx="36">
                  <c:v>552.82103115752545</c:v>
                </c:pt>
                <c:pt idx="37">
                  <c:v>554.7081180622265</c:v>
                </c:pt>
                <c:pt idx="38">
                  <c:v>556.22861374817023</c:v>
                </c:pt>
                <c:pt idx="39">
                  <c:v>557.45225149654834</c:v>
                </c:pt>
                <c:pt idx="40">
                  <c:v>558.43603037253479</c:v>
                </c:pt>
                <c:pt idx="41">
                  <c:v>559.22634854182866</c:v>
                </c:pt>
                <c:pt idx="42">
                  <c:v>559.86085077760765</c:v>
                </c:pt>
                <c:pt idx="43">
                  <c:v>560.36999981823215</c:v>
                </c:pt>
                <c:pt idx="44">
                  <c:v>560.77839501454855</c:v>
                </c:pt>
                <c:pt idx="45">
                  <c:v>561.10586769947281</c:v>
                </c:pt>
                <c:pt idx="46">
                  <c:v>561.36838400205613</c:v>
                </c:pt>
                <c:pt idx="47">
                  <c:v>561.57878446099198</c:v>
                </c:pt>
                <c:pt idx="48">
                  <c:v>561.74738707975825</c:v>
                </c:pt>
                <c:pt idx="49">
                  <c:v>561.88247721412995</c:v>
                </c:pt>
                <c:pt idx="50">
                  <c:v>561.99070436525756</c:v>
                </c:pt>
                <c:pt idx="51">
                  <c:v>562.07740282573775</c:v>
                </c:pt>
                <c:pt idx="52">
                  <c:v>562.14685031623685</c:v>
                </c:pt>
                <c:pt idx="53">
                  <c:v>562.20247630033487</c:v>
                </c:pt>
                <c:pt idx="54">
                  <c:v>562.24702957366003</c:v>
                </c:pt>
                <c:pt idx="55">
                  <c:v>562.28271296446189</c:v>
                </c:pt>
                <c:pt idx="56">
                  <c:v>562.31129151991638</c:v>
                </c:pt>
                <c:pt idx="57">
                  <c:v>562.33417934598185</c:v>
                </c:pt>
                <c:pt idx="58">
                  <c:v>562.35250927989307</c:v>
                </c:pt>
                <c:pt idx="59">
                  <c:v>562.36718876807277</c:v>
                </c:pt>
                <c:pt idx="60">
                  <c:v>562.37894466718831</c:v>
                </c:pt>
                <c:pt idx="61">
                  <c:v>562.38835915550999</c:v>
                </c:pt>
                <c:pt idx="62">
                  <c:v>562.39589851297683</c:v>
                </c:pt>
                <c:pt idx="63">
                  <c:v>562.40193618255046</c:v>
                </c:pt>
                <c:pt idx="64">
                  <c:v>562.40677124691047</c:v>
                </c:pt>
                <c:pt idx="65">
                  <c:v>562.41064323047203</c:v>
                </c:pt>
                <c:pt idx="66">
                  <c:v>562.41374395661569</c:v>
                </c:pt>
                <c:pt idx="67">
                  <c:v>562.41622704537917</c:v>
                </c:pt>
                <c:pt idx="68">
                  <c:v>562.41821552076453</c:v>
                </c:pt>
                <c:pt idx="69">
                  <c:v>562.41980790366836</c:v>
                </c:pt>
                <c:pt idx="70">
                  <c:v>562.4210830917425</c:v>
                </c:pt>
                <c:pt idx="71">
                  <c:v>562.42210426759698</c:v>
                </c:pt>
                <c:pt idx="72">
                  <c:v>562.42292202875603</c:v>
                </c:pt>
                <c:pt idx="73">
                  <c:v>562.42357689429673</c:v>
                </c:pt>
                <c:pt idx="74">
                  <c:v>562.42410131227359</c:v>
                </c:pt>
                <c:pt idx="75">
                  <c:v>562.42452126733679</c:v>
                </c:pt>
                <c:pt idx="76">
                  <c:v>562.42485756815756</c:v>
                </c:pt>
                <c:pt idx="77">
                  <c:v>562.42512687842861</c:v>
                </c:pt>
                <c:pt idx="78">
                  <c:v>562.42534254250677</c:v>
                </c:pt>
                <c:pt idx="79">
                  <c:v>562.42551524660166</c:v>
                </c:pt>
                <c:pt idx="80">
                  <c:v>562.42565354826286</c:v>
                </c:pt>
                <c:pt idx="81">
                  <c:v>562.42576430039901</c:v>
                </c:pt>
                <c:pt idx="82">
                  <c:v>562.42585299083419</c:v>
                </c:pt>
                <c:pt idx="83">
                  <c:v>562.42592401422985</c:v>
                </c:pt>
                <c:pt idx="84">
                  <c:v>562.42598088983789</c:v>
                </c:pt>
                <c:pt idx="85">
                  <c:v>562.426026435881</c:v>
                </c:pt>
                <c:pt idx="86">
                  <c:v>562.42606290919616</c:v>
                </c:pt>
                <c:pt idx="87">
                  <c:v>562.4260921170611</c:v>
                </c:pt>
                <c:pt idx="88">
                  <c:v>562.4261155067461</c:v>
                </c:pt>
                <c:pt idx="89">
                  <c:v>562.42613423722707</c:v>
                </c:pt>
                <c:pt idx="90">
                  <c:v>562.4261492366129</c:v>
                </c:pt>
                <c:pt idx="91">
                  <c:v>562.42616124813424</c:v>
                </c:pt>
                <c:pt idx="92">
                  <c:v>562.42617086697101</c:v>
                </c:pt>
                <c:pt idx="93">
                  <c:v>562.42617856974391</c:v>
                </c:pt>
                <c:pt idx="94">
                  <c:v>562.42618473813104</c:v>
                </c:pt>
                <c:pt idx="95">
                  <c:v>562.42618967778083</c:v>
                </c:pt>
                <c:pt idx="96">
                  <c:v>562.42619363345648</c:v>
                </c:pt>
                <c:pt idx="97">
                  <c:v>562.42619680116513</c:v>
                </c:pt>
                <c:pt idx="98">
                  <c:v>562.42619933786875</c:v>
                </c:pt>
                <c:pt idx="99">
                  <c:v>562.42620136926325</c:v>
                </c:pt>
                <c:pt idx="100">
                  <c:v>562.4262029960056</c:v>
                </c:pt>
                <c:pt idx="101">
                  <c:v>562.42620429870226</c:v>
                </c:pt>
                <c:pt idx="102">
                  <c:v>562.42620534190291</c:v>
                </c:pt>
                <c:pt idx="103">
                  <c:v>562.42620617729892</c:v>
                </c:pt>
                <c:pt idx="104">
                  <c:v>562.42620684628457</c:v>
                </c:pt>
                <c:pt idx="105">
                  <c:v>562.42620738200901</c:v>
                </c:pt>
                <c:pt idx="106">
                  <c:v>562.42620781101755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39376"/>
        <c:axId val="668842512"/>
      </c:scatterChart>
      <c:valAx>
        <c:axId val="668839376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42512"/>
        <c:crosses val="autoZero"/>
        <c:crossBetween val="midCat"/>
        <c:majorUnit val="14"/>
        <c:minorUnit val="7"/>
      </c:valAx>
      <c:valAx>
        <c:axId val="66884251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9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20h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myData!$AH$55:$AH$72</c:f>
              <c:numCache>
                <c:formatCode>General</c:formatCode>
                <c:ptCount val="18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</c:numCache>
            </c:numRef>
          </c:xVal>
          <c:yVal>
            <c:numRef>
              <c:f>myData!$BB$55:$BB$72</c:f>
              <c:numCache>
                <c:formatCode>0</c:formatCode>
                <c:ptCount val="18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  <c:pt idx="15">
                  <c:v>46456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myData!$BC$55:$BC$67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myData!$AL$2</c:f>
              <c:strCache>
                <c:ptCount val="1"/>
                <c:pt idx="0">
                  <c:v>Logistic Forecast, Limit 291 k at 21-Mar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myData!$AH$55:$AH$79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myData!$BG$55:$BG$79</c:f>
              <c:numCache>
                <c:formatCode>0</c:formatCode>
                <c:ptCount val="25"/>
                <c:pt idx="0">
                  <c:v>4943.2602326566102</c:v>
                </c:pt>
                <c:pt idx="1">
                  <c:v>5831.3706112455338</c:v>
                </c:pt>
                <c:pt idx="2">
                  <c:v>6875.2112147925036</c:v>
                </c:pt>
                <c:pt idx="3">
                  <c:v>8100.6049825657465</c:v>
                </c:pt>
                <c:pt idx="4">
                  <c:v>9537.0863898022344</c:v>
                </c:pt>
                <c:pt idx="5">
                  <c:v>11218.215202018408</c:v>
                </c:pt>
                <c:pt idx="6">
                  <c:v>13181.826573284892</c:v>
                </c:pt>
                <c:pt idx="7">
                  <c:v>15470.17201149113</c:v>
                </c:pt>
                <c:pt idx="8">
                  <c:v>18129.891717165989</c:v>
                </c:pt>
                <c:pt idx="9">
                  <c:v>21211.743642330875</c:v>
                </c:pt>
                <c:pt idx="10">
                  <c:v>24770.000005985781</c:v>
                </c:pt>
                <c:pt idx="11">
                  <c:v>28861.410853591464</c:v>
                </c:pt>
                <c:pt idx="12">
                  <c:v>33543.630978759677</c:v>
                </c:pt>
                <c:pt idx="13">
                  <c:v>38873.017142243072</c:v>
                </c:pt>
                <c:pt idx="14">
                  <c:v>44901.734221300751</c:v>
                </c:pt>
                <c:pt idx="15">
                  <c:v>51674.168884514424</c:v>
                </c:pt>
                <c:pt idx="16">
                  <c:v>59222.742484940776</c:v>
                </c:pt>
                <c:pt idx="17">
                  <c:v>67563.340223320425</c:v>
                </c:pt>
                <c:pt idx="18">
                  <c:v>76690.720598271175</c:v>
                </c:pt>
                <c:pt idx="19">
                  <c:v>86574.414084765027</c:v>
                </c:pt>
                <c:pt idx="20">
                  <c:v>97155.726134002703</c:v>
                </c:pt>
                <c:pt idx="21">
                  <c:v>108346.48269569721</c:v>
                </c:pt>
                <c:pt idx="22">
                  <c:v>120030.05711722217</c:v>
                </c:pt>
                <c:pt idx="23">
                  <c:v>132064.97818109719</c:v>
                </c:pt>
                <c:pt idx="24">
                  <c:v>144291.06090658344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38592"/>
        <c:axId val="668836240"/>
      </c:scatterChart>
      <c:valAx>
        <c:axId val="668838592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6240"/>
        <c:crosses val="autoZero"/>
        <c:crossBetween val="midCat"/>
      </c:valAx>
      <c:valAx>
        <c:axId val="668836240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8592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635740820736194"/>
          <c:y val="0.52721661299798817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myData!$CH$11</c:f>
          <c:strCache>
            <c:ptCount val="1"/>
            <c:pt idx="0">
              <c:v>COVID19 Australia P(t) = b / {d+[( b/Po - d ) ]* exp(-b*t)}
b=0.206, d=1.00E-09, P0=.0102 Limit=81.4 M
 21-Mar,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421.06923198233716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myData!$CZ$11:$CZ$12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38984"/>
        <c:axId val="668835064"/>
      </c:scatterChart>
      <c:valAx>
        <c:axId val="668838984"/>
        <c:scaling>
          <c:orientation val="minMax"/>
          <c:max val="43967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5064"/>
        <c:crosses val="autoZero"/>
        <c:crossBetween val="midCat"/>
        <c:majorUnit val="14"/>
        <c:minorUnit val="7"/>
      </c:valAx>
      <c:valAx>
        <c:axId val="668835064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8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13.277829642217627</c:v>
                </c:pt>
                <c:pt idx="2">
                  <c:v>16.483886927833961</c:v>
                </c:pt>
                <c:pt idx="3">
                  <c:v>20.435269467553514</c:v>
                </c:pt>
                <c:pt idx="4">
                  <c:v>25.289967793687335</c:v>
                </c:pt>
                <c:pt idx="5">
                  <c:v>31.231513319186782</c:v>
                </c:pt>
                <c:pt idx="6">
                  <c:v>38.468975247954276</c:v>
                </c:pt>
                <c:pt idx="7">
                  <c:v>47.234479868508544</c:v>
                </c:pt>
                <c:pt idx="8">
                  <c:v>57.777040862636333</c:v>
                </c:pt>
                <c:pt idx="9">
                  <c:v>70.351343273980731</c:v>
                </c:pt>
                <c:pt idx="10">
                  <c:v>85.200230023338264</c:v>
                </c:pt>
                <c:pt idx="11">
                  <c:v>102.53020080641564</c:v>
                </c:pt>
                <c:pt idx="12">
                  <c:v>122.48045184718971</c:v>
                </c:pt>
                <c:pt idx="13">
                  <c:v>145.08794501852279</c:v>
                </c:pt>
                <c:pt idx="14">
                  <c:v>170.25347868794347</c:v>
                </c:pt>
                <c:pt idx="15">
                  <c:v>197.71605475351217</c:v>
                </c:pt>
                <c:pt idx="16">
                  <c:v>227.04385986802606</c:v>
                </c:pt>
                <c:pt idx="17">
                  <c:v>257.64869902945071</c:v>
                </c:pt>
                <c:pt idx="18">
                  <c:v>288.82621181875015</c:v>
                </c:pt>
                <c:pt idx="19">
                  <c:v>319.81754975043282</c:v>
                </c:pt>
                <c:pt idx="20">
                  <c:v>349.88174074963456</c:v>
                </c:pt>
                <c:pt idx="21">
                  <c:v>378.3645053203071</c:v>
                </c:pt>
                <c:pt idx="22">
                  <c:v>404.75045494453434</c:v>
                </c:pt>
                <c:pt idx="23">
                  <c:v>428.69083621819203</c:v>
                </c:pt>
                <c:pt idx="24">
                  <c:v>450.00589022150581</c:v>
                </c:pt>
                <c:pt idx="25">
                  <c:v>468.66671656048743</c:v>
                </c:pt>
                <c:pt idx="26">
                  <c:v>484.76457370445041</c:v>
                </c:pt>
                <c:pt idx="27">
                  <c:v>498.47567855264447</c:v>
                </c:pt>
                <c:pt idx="28">
                  <c:v>510.02775106881523</c:v>
                </c:pt>
                <c:pt idx="29">
                  <c:v>519.67203079618093</c:v>
                </c:pt>
                <c:pt idx="30">
                  <c:v>527.6622097270905</c:v>
                </c:pt>
                <c:pt idx="31">
                  <c:v>534.24012364300825</c:v>
                </c:pt>
                <c:pt idx="32">
                  <c:v>539.62716763085166</c:v>
                </c:pt>
                <c:pt idx="33">
                  <c:v>544.02008949799358</c:v>
                </c:pt>
                <c:pt idx="34">
                  <c:v>547.5898541713924</c:v>
                </c:pt>
                <c:pt idx="35">
                  <c:v>550.48248276750201</c:v>
                </c:pt>
                <c:pt idx="36">
                  <c:v>552.82103115752545</c:v>
                </c:pt>
                <c:pt idx="37">
                  <c:v>554.7081180622265</c:v>
                </c:pt>
                <c:pt idx="38">
                  <c:v>556.22861374817023</c:v>
                </c:pt>
                <c:pt idx="39">
                  <c:v>557.45225149654834</c:v>
                </c:pt>
                <c:pt idx="40">
                  <c:v>558.43603037253479</c:v>
                </c:pt>
                <c:pt idx="41">
                  <c:v>559.22634854182866</c:v>
                </c:pt>
                <c:pt idx="42">
                  <c:v>559.86085077760765</c:v>
                </c:pt>
                <c:pt idx="43">
                  <c:v>560.36999981823215</c:v>
                </c:pt>
                <c:pt idx="44">
                  <c:v>560.77839501454855</c:v>
                </c:pt>
                <c:pt idx="45">
                  <c:v>561.10586769947281</c:v>
                </c:pt>
                <c:pt idx="46">
                  <c:v>561.36838400205613</c:v>
                </c:pt>
                <c:pt idx="47">
                  <c:v>561.57878446099198</c:v>
                </c:pt>
                <c:pt idx="48">
                  <c:v>561.74738707975825</c:v>
                </c:pt>
                <c:pt idx="49">
                  <c:v>561.88247721412995</c:v>
                </c:pt>
                <c:pt idx="50">
                  <c:v>561.99070436525756</c:v>
                </c:pt>
                <c:pt idx="51">
                  <c:v>562.07740282573775</c:v>
                </c:pt>
                <c:pt idx="52">
                  <c:v>562.14685031623685</c:v>
                </c:pt>
                <c:pt idx="53">
                  <c:v>562.20247630033487</c:v>
                </c:pt>
                <c:pt idx="54">
                  <c:v>562.24702957366003</c:v>
                </c:pt>
                <c:pt idx="55">
                  <c:v>562.28271296446189</c:v>
                </c:pt>
                <c:pt idx="56">
                  <c:v>562.31129151991638</c:v>
                </c:pt>
                <c:pt idx="57">
                  <c:v>562.33417934598185</c:v>
                </c:pt>
                <c:pt idx="58">
                  <c:v>562.35250927989307</c:v>
                </c:pt>
                <c:pt idx="59">
                  <c:v>562.36718876807277</c:v>
                </c:pt>
                <c:pt idx="60">
                  <c:v>562.37894466718831</c:v>
                </c:pt>
                <c:pt idx="61">
                  <c:v>562.38835915550999</c:v>
                </c:pt>
                <c:pt idx="62">
                  <c:v>562.39589851297683</c:v>
                </c:pt>
                <c:pt idx="63">
                  <c:v>562.40193618255046</c:v>
                </c:pt>
                <c:pt idx="64">
                  <c:v>562.40677124691047</c:v>
                </c:pt>
                <c:pt idx="65">
                  <c:v>562.41064323047203</c:v>
                </c:pt>
                <c:pt idx="66">
                  <c:v>562.41374395661569</c:v>
                </c:pt>
                <c:pt idx="67">
                  <c:v>562.41622704537917</c:v>
                </c:pt>
                <c:pt idx="68">
                  <c:v>562.41821552076453</c:v>
                </c:pt>
                <c:pt idx="69">
                  <c:v>562.41980790366836</c:v>
                </c:pt>
                <c:pt idx="70">
                  <c:v>562.4210830917425</c:v>
                </c:pt>
                <c:pt idx="71">
                  <c:v>562.42210426759698</c:v>
                </c:pt>
                <c:pt idx="72">
                  <c:v>562.42292202875603</c:v>
                </c:pt>
                <c:pt idx="73">
                  <c:v>562.42357689429673</c:v>
                </c:pt>
                <c:pt idx="74">
                  <c:v>562.42410131227359</c:v>
                </c:pt>
                <c:pt idx="75">
                  <c:v>562.42452126733679</c:v>
                </c:pt>
                <c:pt idx="76">
                  <c:v>562.42485756815756</c:v>
                </c:pt>
                <c:pt idx="77">
                  <c:v>562.42512687842861</c:v>
                </c:pt>
                <c:pt idx="78">
                  <c:v>562.42534254250677</c:v>
                </c:pt>
                <c:pt idx="79">
                  <c:v>562.42551524660166</c:v>
                </c:pt>
                <c:pt idx="80">
                  <c:v>562.42565354826286</c:v>
                </c:pt>
                <c:pt idx="81">
                  <c:v>562.42576430039901</c:v>
                </c:pt>
                <c:pt idx="82">
                  <c:v>562.42585299083419</c:v>
                </c:pt>
                <c:pt idx="83">
                  <c:v>562.42592401422985</c:v>
                </c:pt>
                <c:pt idx="84">
                  <c:v>562.42598088983789</c:v>
                </c:pt>
                <c:pt idx="85">
                  <c:v>562.426026435881</c:v>
                </c:pt>
                <c:pt idx="86">
                  <c:v>562.42606290919616</c:v>
                </c:pt>
                <c:pt idx="87">
                  <c:v>562.4260921170611</c:v>
                </c:pt>
                <c:pt idx="88">
                  <c:v>562.4261155067461</c:v>
                </c:pt>
                <c:pt idx="89">
                  <c:v>562.42613423722707</c:v>
                </c:pt>
                <c:pt idx="90">
                  <c:v>562.4261492366129</c:v>
                </c:pt>
                <c:pt idx="91">
                  <c:v>562.42616124813424</c:v>
                </c:pt>
                <c:pt idx="92">
                  <c:v>562.42617086697101</c:v>
                </c:pt>
                <c:pt idx="93">
                  <c:v>562.42617856974391</c:v>
                </c:pt>
                <c:pt idx="94">
                  <c:v>562.42618473813104</c:v>
                </c:pt>
                <c:pt idx="95">
                  <c:v>562.42618967778083</c:v>
                </c:pt>
                <c:pt idx="96">
                  <c:v>562.42619363345648</c:v>
                </c:pt>
                <c:pt idx="97">
                  <c:v>562.42619680116513</c:v>
                </c:pt>
                <c:pt idx="98">
                  <c:v>562.42619933786875</c:v>
                </c:pt>
                <c:pt idx="99">
                  <c:v>562.42620136926325</c:v>
                </c:pt>
                <c:pt idx="100">
                  <c:v>562.4262029960056</c:v>
                </c:pt>
                <c:pt idx="101">
                  <c:v>562.42620429870226</c:v>
                </c:pt>
                <c:pt idx="102">
                  <c:v>562.42620534190291</c:v>
                </c:pt>
                <c:pt idx="103">
                  <c:v>562.42620617729892</c:v>
                </c:pt>
                <c:pt idx="104">
                  <c:v>562.42620684628457</c:v>
                </c:pt>
                <c:pt idx="105">
                  <c:v>562.42620738200901</c:v>
                </c:pt>
                <c:pt idx="106">
                  <c:v>562.42620781101755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421.06923198233716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43296"/>
        <c:axId val="668841728"/>
      </c:scatterChart>
      <c:valAx>
        <c:axId val="668843296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41728"/>
        <c:crossesAt val="1.0000000000000002E-2"/>
        <c:crossBetween val="midCat"/>
        <c:majorUnit val="14"/>
        <c:minorUnit val="7"/>
      </c:valAx>
      <c:valAx>
        <c:axId val="668841728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4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6"/>
  <sheetViews>
    <sheetView zoomScale="9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7"/>
  <sheetViews>
    <sheetView zoomScale="9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4"/>
  <sheetViews>
    <sheetView zoomScale="9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3"/>
  <sheetViews>
    <sheetView zoomScale="9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7"/>
  <sheetViews>
    <sheetView tabSelected="1" zoomScale="98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5"/>
  <sheetViews>
    <sheetView zoomScale="98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6"/>
  <sheetViews>
    <sheetView zoomScale="98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8"/>
  <sheetViews>
    <sheetView zoomScale="98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9"/>
  <sheetViews>
    <sheetView zoomScale="98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1"/>
  <sheetViews>
    <sheetView zoomScale="98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0"/>
  <sheetViews>
    <sheetView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5521</xdr:colOff>
      <xdr:row>54</xdr:row>
      <xdr:rowOff>107056</xdr:rowOff>
    </xdr:from>
    <xdr:to>
      <xdr:col>73</xdr:col>
      <xdr:colOff>57592</xdr:colOff>
      <xdr:row>79</xdr:row>
      <xdr:rowOff>116696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0.62936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60676" y="786216"/>
          <a:ext cx="3294503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707114" y="5775188"/>
          <a:ext cx="2316535" cy="270683"/>
        </a:xfrm>
        <a:prstGeom xmlns:a="http://schemas.openxmlformats.org/drawingml/2006/main" prst="wedgeRectCallout">
          <a:avLst>
            <a:gd name="adj1" fmla="val 31552"/>
            <a:gd name="adj2" fmla="val -88824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H117" totalsRowShown="0" headerRowDxfId="42">
  <autoFilter ref="B10:BH117"/>
  <tableColumns count="59">
    <tableColumn id="1" name="Date" dataDxfId="41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40">
      <calculatedColumnFormula>tblData[[#This Row],[New South Wales]]/$L$9</calculatedColumnFormula>
    </tableColumn>
    <tableColumn id="27" name="Italy"/>
    <tableColumn id="38" name="Italy Cases per Capita" dataDxfId="39">
      <calculatedColumnFormula>IF(ISNUMBER(tblData[Italy]),tblData[Italy]/$N$9,"")</calculatedColumnFormula>
    </tableColumn>
    <tableColumn id="28" name="US"/>
    <tableColumn id="39" name="US Cases Per Capita" dataDxfId="38">
      <calculatedColumnFormula>IF(ISNUMBER(tblData[US]),tblData[US]/$P$9,"")</calculatedColumnFormula>
    </tableColumn>
    <tableColumn id="49" name="SKorea" dataDxfId="37"/>
    <tableColumn id="50" name="SKorea Cases Per Capita" dataDxfId="36">
      <calculatedColumnFormula>IF(ISNUMBER(tblData[SKorea]),tblData[SKorea]/$R$9,"")</calculatedColumnFormula>
    </tableColumn>
    <tableColumn id="51" name="UK" dataDxfId="35"/>
    <tableColumn id="52" name="UK Cases Per Capita" dataDxfId="34">
      <calculatedColumnFormula>IF(ISNUMBER(tblData[UK]),tblData[UK]/$T$9,"")</calculatedColumnFormula>
    </tableColumn>
    <tableColumn id="31" name="China"/>
    <tableColumn id="40" name="China Cases Per Capita" dataDxfId="33">
      <calculatedColumnFormula>IF(ISNUMBER(tblData[China]),tblData[China]/$V$9,"")</calculatedColumnFormula>
    </tableColumn>
    <tableColumn id="11" name="Days# Italy">
      <calculatedColumnFormula>IF($B11&lt;BM$13,"",$B11-BM$13)</calculatedColumnFormula>
    </tableColumn>
    <tableColumn id="26" name="Days# US"/>
    <tableColumn id="32" name="Days# China"/>
    <tableColumn id="54" name="Days# Skorea" dataDxfId="32">
      <calculatedColumnFormula>IF(tblData[[#This Row],[Date]]&lt;StartDt2Korea,"",tblData[[#This Row],[Date]]-StartDt2Korea)</calculatedColumnFormula>
    </tableColumn>
    <tableColumn id="53" name="Days# UK" dataDxfId="31">
      <calculatedColumnFormula>IF(tblData[[#This Row],[Date]]&lt;UKStart,"",tblData[[#This Row],[Date]]-UKStart)</calculatedColumnFormula>
    </tableColumn>
    <tableColumn id="13" name="Day# Aust" dataDxfId="30">
      <calculatedColumnFormula>IF(tblData[Date]&gt;=StartDt2Au,tblData[Date]-StartDt2Au,"")</calculatedColumnFormula>
    </tableColumn>
    <tableColumn id="14" name="Au">
      <calculatedColumnFormula>SUM(C11:K11)</calculatedColumnFormula>
    </tableColumn>
    <tableColumn id="42" name="Au Cases Per Capita" dataDxfId="1">
      <calculatedColumnFormula>IF(ISNUMBER(tblData[Au]),tblData[Au]/$AA$9,"")</calculatedColumnFormula>
    </tableColumn>
    <tableColumn id="19" name="Au LogiP(t)" dataDxfId="29">
      <calculatedColumnFormula>IF(ISNUMBER(tblData[[#This Row],[Day'# Aust]]),betaAu/(deltaAu+betaPodeltaAu*EXP(-betaAu*tblData[[#This Row],[Day'# Aust]])),"")</calculatedColumnFormula>
    </tableColumn>
    <tableColumn id="47" name="Au LogiP(t) Per Capita" dataDxfId="28">
      <calculatedColumnFormula>IF(ISNUMBER(tblData[Day'# Aust]),tblData[Au LogiP(t)]/$AD$9,"")</calculatedColumnFormula>
    </tableColumn>
    <tableColumn id="48" name="AU Sq Err" dataDxfId="0">
      <calculatedColumnFormula>IF(AND(tblData[Date]&gt;=StartDt2Au,ISNUMBER(tblData[NSW])),(tblData[[#This Row],[Au LogiP(t)]]-tblData[[#This Row],[Au]])^2,"")</calculatedColumnFormula>
    </tableColumn>
    <tableColumn id="15" name="Day # NSW" dataDxfId="27">
      <calculatedColumnFormula>IF(tblData[Date]&gt;StartDt2NSW,tblData[Date]-StartDt2NSW,"")</calculatedColumnFormula>
    </tableColumn>
    <tableColumn id="16" name="NSW">
      <calculatedColumnFormula>E11</calculatedColumnFormula>
    </tableColumn>
    <tableColumn id="17" name="NSW LogiP(t)" dataDxfId="26">
      <calculatedColumnFormula>IF(tblData[Date]&gt;StartDt2NSW,betaNSW/(deltaNSW+betaPodeltaNSW*EXP(-betaNSW*tblData[[#This Row],[Day '# NSW]])),"")</calculatedColumnFormula>
    </tableColumn>
    <tableColumn id="18" name="NSW Sq Err" dataDxfId="25">
      <calculatedColumnFormula>IF(AND(ISNUMBER(tblData[NSW]),tblData[Date]&gt;StartDt2NSW),(tblData[[#This Row],[NSW LogiP(t)]]-tblData[[#This Row],[NSW]])^2,"")</calculatedColumnFormula>
    </tableColumn>
    <tableColumn id="43" name="Nsw LogiP(t) Per Capita" dataDxfId="24">
      <calculatedColumnFormula>IF(AND(tblData[Date]&gt;StartDt2NSW,ISNUMBER(tblData[Day'# Aust])),tblData[NSW LogiP(t)]/$AG$9,"")</calculatedColumnFormula>
    </tableColumn>
    <tableColumn id="20" name="Italy LogiP(t)" dataDxfId="23">
      <calculatedColumnFormula>IF(AND(tblData[Date]&gt;StartDt2Italy,ISNUMBER(tblData[Days'# Italy])),betaItaly/(deltaItaly+betaPodeltaItaly*EXP(-betaItaly*tblData[Days'# Italy])),"")</calculatedColumnFormula>
    </tableColumn>
    <tableColumn id="21" name="Italy Sq Err" dataDxfId="22">
      <calculatedColumnFormula>IF(AND(tblData[Date]&gt;StartDt2Italy,ISNUMBER(tblData[Italy])),(tblData[[#This Row],[Italy LogiP(t)]]-tblData[[#This Row],[Italy]])^2,"")</calculatedColumnFormula>
    </tableColumn>
    <tableColumn id="44" name="Italy LogiP(t) Per Capita" dataDxfId="21">
      <calculatedColumnFormula>IF(AND(tblData[Date]&gt;StartDt2Italy,ISNUMBER(tblData[Days'# Italy])),tblData[[#This Row],[Italy LogiP(t)]]/$AM$9,"")</calculatedColumnFormula>
    </tableColumn>
    <tableColumn id="29" name="US LogiP(t)" dataDxfId="20">
      <calculatedColumnFormula>betaUS/(deltaUS+betaPodeltaUS*EXP(-betaUS*tblData[Days'# US]))</calculatedColumnFormula>
    </tableColumn>
    <tableColumn id="30" name="US Sq Err" dataDxfId="19">
      <calculatedColumnFormula>IF(ISNUMBER(tblData[US]),(tblData[[#This Row],[US LogiP(t)]]-tblData[US])^2,"")</calculatedColumnFormula>
    </tableColumn>
    <tableColumn id="46" name="US LogiP(t) Per Capita" dataDxfId="18">
      <calculatedColumnFormula>IF(ISNUMBER(tblData[[#This Row],[Days'# US]]),tblData[[#This Row],[US LogiP(t)]]/$AP$9,"")</calculatedColumnFormula>
    </tableColumn>
    <tableColumn id="41" name="SKorea LogiP(t)" dataDxfId="17">
      <calculatedColumnFormula>IF(tblData[Date]&gt;=StartDt2Korea,betaSKorea/(deltaSKorea+betaPodeltaSKorea*EXP(-betaSKorea*(tblData[Date]-StartDt2Korea))),"")</calculatedColumnFormula>
    </tableColumn>
    <tableColumn id="55" name="Skorea Sq Err" dataDxfId="16">
      <calculatedColumnFormula>IF(AND(tblData[Date]&gt;=StartDt2Korea,ISNUMBER(tblData[SKorea])),(tblData[[#This Row],[SKorea LogiP(t)]]-tblData[[#This Row],[SKorea]])^2,"")</calculatedColumnFormula>
    </tableColumn>
    <tableColumn id="56" name="Skorea LogiP(t) Per Capita" dataDxfId="15">
      <calculatedColumnFormula>IF(tblData[Date]&gt;=StartDt2Korea,tblData[[#This Row],[SKorea LogiP(t)]]/$AS$9,"")</calculatedColumnFormula>
    </tableColumn>
    <tableColumn id="57" name="UK LogiP(t)" dataDxfId="14">
      <calculatedColumnFormula>IF(ISNUMBER(tblData[Days'# UK]),betaUK/(deltaUK+betaPodeltaUK*EXP(-betaUK*tblData[Days'# UK])),"")</calculatedColumnFormula>
    </tableColumn>
    <tableColumn id="58" name="UK Sq Err" dataDxfId="13">
      <calculatedColumnFormula>IF(ISNUMBER(tblData[UK]),(tblData[[#This Row],[UK LogiP(t)]]-tblData[[#This Row],[UK]])^2,"")</calculatedColumnFormula>
    </tableColumn>
    <tableColumn id="59" name="UK LogiP(t) Per Capita" dataDxfId="12">
      <calculatedColumnFormula>IF(ISNUMBER(tblData[Days'# UK]),tblData[[#This Row],[UK LogiP(t)]]/$AV$9,"")</calculatedColumnFormula>
    </tableColumn>
    <tableColumn id="34" name="China LogiP(t)" dataDxfId="11">
      <calculatedColumnFormula>IF(ISNUMBER(tblData[Days'# China]),betaChina/(deltaChina+betaPodeltaChina*EXP(-betaChina*tblData[Days'# China])),"")</calculatedColumnFormula>
    </tableColumn>
    <tableColumn id="33" name="China Sq Err" dataDxfId="10">
      <calculatedColumnFormula>IF(ISNUMBER(tblData[China]),(tblData[[#This Row],[China LogiP(t)]]-tblData[[#This Row],[China]])^2,"")</calculatedColumnFormula>
    </tableColumn>
    <tableColumn id="45" name="China LogiP(t) Per Capita" dataDxfId="9">
      <calculatedColumnFormula>tblData[[#This Row],[China LogiP(t)]]/$AY$9</calculatedColumnFormula>
    </tableColumn>
    <tableColumn id="22" name="NSW Number of Tests" dataDxfId="8"/>
    <tableColumn id="23" name="NSW Under Investigation'" dataDxfId="7"/>
    <tableColumn id="24" name="Increase NSW Tests/Day " dataDxfId="6">
      <calculatedColumnFormula>IF(ISNUMBER(tblData[[#This Row],[NSW Number of Tests]]),tblData[[#This Row],[NSW Number of Tests]]-BB10,"")</calculatedColumnFormula>
    </tableColumn>
    <tableColumn id="25" name="IncreasNSW Investig" dataDxfId="5">
      <calculatedColumnFormula>IF(ISNUMBER(tblData[[#This Row],[NSW Under Investigation'']]),tblData[[#This Row],[NSW Under Investigation'']]-BC10,"")</calculatedColumnFormula>
    </tableColumn>
    <tableColumn id="36" name="NSW Test Day Number" dataDxfId="4"/>
    <tableColumn id="2" name="NSW Test Logi" dataDxfId="3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2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Q129"/>
  <sheetViews>
    <sheetView zoomScaleNormal="100" workbookViewId="0">
      <pane xSplit="2" ySplit="10" topLeftCell="AI16" activePane="bottomRight" state="frozen"/>
      <selection pane="topRight" activeCell="C1" sqref="C1"/>
      <selection pane="bottomLeft" activeCell="A11" sqref="A11"/>
      <selection pane="bottomRight" activeCell="AX19" sqref="AX19:AX117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4.85546875" customWidth="1"/>
    <col min="26" max="26" width="18" customWidth="1"/>
    <col min="27" max="27" width="15.5703125" customWidth="1"/>
    <col min="28" max="29" width="12.28515625" bestFit="1" customWidth="1"/>
    <col min="30" max="30" width="14.5703125" customWidth="1"/>
    <col min="31" max="31" width="15" customWidth="1"/>
    <col min="32" max="32" width="12.28515625" bestFit="1" customWidth="1"/>
    <col min="33" max="33" width="16" customWidth="1"/>
    <col min="34" max="34" width="12.28515625" bestFit="1" customWidth="1"/>
    <col min="35" max="35" width="12.7109375" bestFit="1" customWidth="1"/>
    <col min="36" max="36" width="19.5703125" style="26" customWidth="1"/>
    <col min="37" max="37" width="15.42578125" customWidth="1"/>
    <col min="38" max="45" width="12.7109375" bestFit="1" customWidth="1"/>
    <col min="46" max="46" width="13.85546875" customWidth="1"/>
    <col min="47" max="52" width="11.42578125" bestFit="1" customWidth="1"/>
    <col min="53" max="53" width="12.28515625" bestFit="1" customWidth="1"/>
    <col min="54" max="54" width="12.85546875" customWidth="1"/>
    <col min="56" max="56" width="16.5703125" customWidth="1"/>
    <col min="58" max="58" width="10.7109375" bestFit="1" customWidth="1"/>
    <col min="59" max="59" width="14" customWidth="1"/>
    <col min="63" max="63" width="14.5703125" customWidth="1"/>
    <col min="64" max="64" width="16.85546875" style="26" customWidth="1"/>
    <col min="65" max="65" width="10.7109375" bestFit="1" customWidth="1"/>
    <col min="66" max="66" width="10.7109375" style="26" customWidth="1"/>
    <col min="69" max="69" width="13.140625" customWidth="1"/>
    <col min="71" max="71" width="13.5703125" customWidth="1"/>
    <col min="72" max="72" width="11.28515625" customWidth="1"/>
    <col min="75" max="75" width="13.5703125" customWidth="1"/>
    <col min="76" max="76" width="10.7109375" bestFit="1" customWidth="1"/>
    <col min="77" max="78" width="14.140625" style="26" customWidth="1"/>
    <col min="79" max="79" width="13.42578125" customWidth="1"/>
    <col min="80" max="80" width="12.85546875" customWidth="1"/>
    <col min="83" max="83" width="16.140625" customWidth="1"/>
    <col min="85" max="85" width="15.7109375" customWidth="1"/>
    <col min="86" max="86" width="48" customWidth="1"/>
    <col min="88" max="88" width="10.7109375" bestFit="1" customWidth="1"/>
    <col min="90" max="90" width="10.7109375" bestFit="1" customWidth="1"/>
    <col min="92" max="92" width="44.42578125" customWidth="1"/>
    <col min="94" max="94" width="22.42578125" bestFit="1" customWidth="1"/>
    <col min="102" max="102" width="9.42578125" customWidth="1"/>
    <col min="103" max="103" width="12.140625" customWidth="1"/>
    <col min="110" max="110" width="15.85546875" style="82" bestFit="1" customWidth="1"/>
    <col min="111" max="111" width="14.7109375" style="27" customWidth="1"/>
    <col min="112" max="112" width="12.140625" style="27" bestFit="1" customWidth="1"/>
    <col min="118" max="118" width="9.5703125" bestFit="1" customWidth="1"/>
    <col min="122" max="122" width="11" style="27" bestFit="1" customWidth="1"/>
    <col min="126" max="126" width="13.7109375" style="27" customWidth="1"/>
  </cols>
  <sheetData>
    <row r="1" spans="1:140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8" t="s">
        <v>857</v>
      </c>
      <c r="L1" s="26" t="s">
        <v>962</v>
      </c>
      <c r="AC1" s="2" t="s">
        <v>205</v>
      </c>
      <c r="AD1" s="3" t="s">
        <v>206</v>
      </c>
      <c r="AE1" s="4" t="s">
        <v>207</v>
      </c>
      <c r="AF1" s="5" t="s">
        <v>208</v>
      </c>
      <c r="AG1" s="6" t="s">
        <v>209</v>
      </c>
      <c r="AH1" s="7" t="s">
        <v>210</v>
      </c>
      <c r="AI1" s="8" t="s">
        <v>211</v>
      </c>
      <c r="AJ1" s="20"/>
      <c r="AK1" t="s">
        <v>991</v>
      </c>
      <c r="AL1" t="s">
        <v>990</v>
      </c>
    </row>
    <row r="2" spans="1:140" ht="15.75" thickBot="1" x14ac:dyDescent="0.3">
      <c r="A2" s="9">
        <f>betaAu</f>
        <v>0.20648931335259277</v>
      </c>
      <c r="B2" s="39">
        <f>deltaAu</f>
        <v>1.0000000000000768E-9</v>
      </c>
      <c r="C2" s="9">
        <f>PoAu</f>
        <v>1.0150253776574341E-2</v>
      </c>
      <c r="D2" s="9">
        <f>beta/delta</f>
        <v>206489313.35257691</v>
      </c>
      <c r="E2" s="9">
        <f>msqAu</f>
        <v>10.992507007919523</v>
      </c>
      <c r="F2" s="43">
        <f>(beta/Po)-delta</f>
        <v>20.343266078627209</v>
      </c>
      <c r="G2" s="10">
        <f>delta*1000</f>
        <v>1.0000000000000768E-6</v>
      </c>
      <c r="J2">
        <v>1</v>
      </c>
      <c r="L2" s="44">
        <v>10000000</v>
      </c>
      <c r="AC2" s="9">
        <v>0.16833124287870344</v>
      </c>
      <c r="AD2" s="39">
        <v>5.7750090964641499E-7</v>
      </c>
      <c r="AE2" s="9">
        <v>4943.2602326566102</v>
      </c>
      <c r="AF2" s="9">
        <f>AC2/AD2</f>
        <v>291482.21252459526</v>
      </c>
      <c r="AG2" s="9">
        <f>SQRT(SUM(tblData[NSW Test Sq Err])/COUNT(tblData[NSW Test Sq Err]))</f>
        <v>2141.4153557262753</v>
      </c>
      <c r="AH2" s="42">
        <f>(betaTest/PoTest)-deltaTest</f>
        <v>3.3475175857532143E-5</v>
      </c>
      <c r="AI2" s="10">
        <f>deltaTest*1000</f>
        <v>5.7750090964641494E-4</v>
      </c>
      <c r="AJ2" s="53">
        <f t="array" ref="AJ2">MAX(IF(ISNUMBER(tblData[NSW Number of Tests]),tblData[Date]))</f>
        <v>43911</v>
      </c>
      <c r="AK2" t="str">
        <f>"NSW COVID19 Tests at " &amp;TEXT(AJ2,"ddd dd-mmm ")</f>
        <v xml:space="preserve">NSW COVID19 Tests at Sat 21-Mar </v>
      </c>
      <c r="AL2" t="str">
        <f ca="1">"Logistic Forecast, Limit " &amp; Cengnotation(AF2,3) &amp; " at " &amp; TEXT(NOW(),"dd-mmm")</f>
        <v>Logistic Forecast, Limit 291 k at 21-Mar</v>
      </c>
    </row>
    <row r="3" spans="1:140" x14ac:dyDescent="0.25">
      <c r="B3" s="44">
        <v>1E-10</v>
      </c>
      <c r="D3" t="str">
        <f>Cengnotation(D2)</f>
        <v>206 M</v>
      </c>
      <c r="L3" s="26" t="str">
        <f>"Cases per " &amp; Cengnotation(L2,2)  &amp; " population"</f>
        <v>Cases per 10 M population</v>
      </c>
    </row>
    <row r="4" spans="1:140" x14ac:dyDescent="0.25">
      <c r="A4" s="31" t="s">
        <v>490</v>
      </c>
    </row>
    <row r="6" spans="1:140" s="26" customFormat="1" ht="18.75" x14ac:dyDescent="0.3">
      <c r="M6" s="19"/>
      <c r="N6" s="19"/>
      <c r="O6" s="19"/>
      <c r="U6" s="19"/>
      <c r="DF6" s="82"/>
      <c r="DG6" s="27"/>
      <c r="DH6" s="27"/>
      <c r="DR6" s="27"/>
      <c r="DV6" s="27"/>
      <c r="DX6" s="17" t="s">
        <v>220</v>
      </c>
    </row>
    <row r="7" spans="1:140" s="26" customFormat="1" x14ac:dyDescent="0.25">
      <c r="B7" s="26" t="s">
        <v>1339</v>
      </c>
      <c r="M7" s="19"/>
      <c r="N7" s="19"/>
      <c r="O7" s="19"/>
      <c r="U7" s="19"/>
      <c r="DF7" s="82"/>
      <c r="DG7" s="27"/>
      <c r="DH7" s="27"/>
      <c r="DR7" s="27"/>
      <c r="DV7" s="27"/>
    </row>
    <row r="8" spans="1:140" x14ac:dyDescent="0.25">
      <c r="B8" s="47" t="s">
        <v>853</v>
      </c>
      <c r="C8" s="45"/>
      <c r="D8" s="45"/>
      <c r="F8" s="45"/>
      <c r="G8" s="45"/>
      <c r="H8" s="45"/>
      <c r="I8" s="45"/>
      <c r="J8" s="45"/>
      <c r="K8" s="46">
        <f>NSWpop/L9</f>
        <v>10000000</v>
      </c>
      <c r="L8" s="46">
        <v>8080000</v>
      </c>
      <c r="N8" s="46">
        <v>60450000</v>
      </c>
      <c r="P8" s="46">
        <v>329227746</v>
      </c>
      <c r="Q8" s="46"/>
      <c r="R8" s="46">
        <v>51400000</v>
      </c>
      <c r="S8" s="46"/>
      <c r="T8" s="46">
        <v>66440000</v>
      </c>
      <c r="U8" s="46"/>
      <c r="V8" s="46">
        <v>1439323776</v>
      </c>
      <c r="W8" s="45"/>
      <c r="X8" s="45"/>
      <c r="Y8" s="45"/>
      <c r="Z8" s="45"/>
      <c r="AA8" s="46">
        <v>25364000</v>
      </c>
      <c r="AB8" s="45"/>
      <c r="AC8" s="45"/>
      <c r="AD8" s="46">
        <f>AuPop</f>
        <v>25364000</v>
      </c>
      <c r="AE8" s="45"/>
      <c r="AF8" s="45"/>
      <c r="AG8" s="46">
        <f>L8</f>
        <v>8080000</v>
      </c>
      <c r="AH8" s="45"/>
      <c r="AI8" s="45"/>
      <c r="AJ8" s="46">
        <f>AG8</f>
        <v>8080000</v>
      </c>
      <c r="AK8" s="45"/>
      <c r="AL8" s="45"/>
      <c r="AM8" s="46">
        <f>ItalyPop</f>
        <v>60450000</v>
      </c>
      <c r="AN8" s="46"/>
      <c r="AO8" s="45"/>
      <c r="AP8" s="46">
        <f>USpop</f>
        <v>329227746</v>
      </c>
      <c r="AQ8" s="46"/>
      <c r="AR8" s="46"/>
      <c r="AS8" s="46">
        <f>SKoreaPop</f>
        <v>51400000</v>
      </c>
      <c r="AT8" s="46"/>
      <c r="AU8" s="46"/>
      <c r="AV8" s="46">
        <f>UKPop</f>
        <v>66440000</v>
      </c>
      <c r="AW8" s="46"/>
      <c r="AX8" s="46"/>
      <c r="AY8" s="46">
        <f>ChinaPop</f>
        <v>1439323776</v>
      </c>
      <c r="BY8"/>
      <c r="BZ8"/>
      <c r="CC8" s="26"/>
      <c r="CD8" s="26"/>
      <c r="CN8" s="26" t="str">
        <f>"COVID 19 Least Sq Err Logistic Eqns at " &amp; TEXT(MAX(CB16:CB22),"ddd dd-mmm-yyyy")&amp;IF(PopScaling=0,"",", "&amp;PerPersonLabel)</f>
        <v>COVID 19 Least Sq Err Logistic Eqns at Sat 21-Mar-2020, Cases per 10 M population</v>
      </c>
      <c r="DG8" s="27" t="s">
        <v>1337</v>
      </c>
    </row>
    <row r="9" spans="1:140" s="26" customFormat="1" ht="15.75" thickBot="1" x14ac:dyDescent="0.3">
      <c r="B9" s="47" t="s">
        <v>858</v>
      </c>
      <c r="C9" s="45"/>
      <c r="D9" s="45"/>
      <c r="F9" s="45"/>
      <c r="G9" s="45"/>
      <c r="H9" s="45"/>
      <c r="I9" s="45"/>
      <c r="J9" s="45"/>
      <c r="K9" s="45"/>
      <c r="L9" s="46">
        <f>IF(PopScaling=0,1,NSWpop/PerPerson)</f>
        <v>0.80800000000000005</v>
      </c>
      <c r="N9" s="46">
        <f>IF(PopScaling=0,1,ItalyPop/PerPerson)</f>
        <v>6.0449999999999999</v>
      </c>
      <c r="P9" s="46">
        <f>IF(PopScaling=0,1,USpop/PerPerson)</f>
        <v>32.922774599999997</v>
      </c>
      <c r="Q9" s="46"/>
      <c r="R9" s="46">
        <f>IF(PopScaling=0,1,SKoreaPop/PerPerson)</f>
        <v>5.14</v>
      </c>
      <c r="S9" s="46"/>
      <c r="T9" s="46">
        <f>IF(PopScaling=0,1,UKPop/PerPerson)</f>
        <v>6.6440000000000001</v>
      </c>
      <c r="U9" s="46"/>
      <c r="V9" s="46">
        <f>IF(PopScaling=0,1,ChinaPop/PerPerson)</f>
        <v>143.9323776</v>
      </c>
      <c r="W9" s="45"/>
      <c r="X9" s="45"/>
      <c r="Y9" s="45"/>
      <c r="Z9" s="45"/>
      <c r="AA9" s="45">
        <f>IF(PopScaling=0,1,AuPop/PerPerson)</f>
        <v>2.5364</v>
      </c>
      <c r="AB9" s="45"/>
      <c r="AC9" s="45"/>
      <c r="AD9" s="45">
        <f>IF(PopScaling=0,1,AuPop/PerPerson)</f>
        <v>2.5364</v>
      </c>
      <c r="AE9" s="45"/>
      <c r="AF9" s="45"/>
      <c r="AG9" s="46">
        <f>IF(PopScaling=0,1,AG8/10000000)</f>
        <v>0.80800000000000005</v>
      </c>
      <c r="AH9" s="45"/>
      <c r="AI9" s="45"/>
      <c r="AJ9" s="46">
        <f>IF(PopScaling=0,1,AJ8/10000000)</f>
        <v>0.80800000000000005</v>
      </c>
      <c r="AK9" s="45"/>
      <c r="AL9" s="45"/>
      <c r="AM9" s="46">
        <f>IF(PopScaling=0,1,AM8/10000000)</f>
        <v>6.0449999999999999</v>
      </c>
      <c r="AN9" s="46"/>
      <c r="AO9" s="45"/>
      <c r="AP9" s="46">
        <f>IF(PopScaling=0,1,AP8/10000000)</f>
        <v>32.922774599999997</v>
      </c>
      <c r="AQ9" s="46"/>
      <c r="AR9" s="46"/>
      <c r="AS9" s="46">
        <f>IF(PopScaling=0,1,AS8/10000000)</f>
        <v>5.14</v>
      </c>
      <c r="AT9" s="46"/>
      <c r="AU9" s="46"/>
      <c r="AV9" s="46">
        <f>IF(PopScaling=0,1,AV8/10000000)</f>
        <v>6.6440000000000001</v>
      </c>
      <c r="AW9" s="46"/>
      <c r="AX9" s="46"/>
      <c r="AY9" s="46">
        <f>IF(PopScaling=0,1,AY8/10000000)</f>
        <v>143.9323776</v>
      </c>
      <c r="CN9" s="26" t="str">
        <f>"COVID 19 Least Sq Err Logistic Eqns at " &amp; TEXT(MAX(CB16:CB22),"ddd dd-mmm-yyyy")&amp;IF(PopScaling=0,"",", "&amp;PerPersonLabel)</f>
        <v>COVID 19 Least Sq Err Logistic Eqns at Sat 21-Mar-2020, Cases per 10 M population</v>
      </c>
      <c r="CR9" s="26" t="s">
        <v>1037</v>
      </c>
      <c r="DF9" s="82"/>
      <c r="DG9" s="27"/>
      <c r="DH9" s="27"/>
      <c r="DR9" s="27"/>
      <c r="DV9" s="27"/>
    </row>
    <row r="10" spans="1:140" s="14" customFormat="1" ht="69.75" customHeight="1" x14ac:dyDescent="0.25">
      <c r="B10" s="14" t="s">
        <v>203</v>
      </c>
      <c r="C10" s="14" t="s">
        <v>66</v>
      </c>
      <c r="D10" s="69" t="s">
        <v>473</v>
      </c>
      <c r="E10" s="69" t="s">
        <v>47</v>
      </c>
      <c r="F10" s="69" t="s">
        <v>117</v>
      </c>
      <c r="G10" s="69" t="s">
        <v>50</v>
      </c>
      <c r="H10" s="69" t="s">
        <v>62</v>
      </c>
      <c r="I10" s="69" t="s">
        <v>106</v>
      </c>
      <c r="J10" s="69" t="s">
        <v>49</v>
      </c>
      <c r="K10" s="69" t="s">
        <v>95</v>
      </c>
      <c r="L10" s="29" t="s">
        <v>859</v>
      </c>
      <c r="M10" s="70" t="s">
        <v>58</v>
      </c>
      <c r="N10" s="75" t="s">
        <v>860</v>
      </c>
      <c r="O10" s="14" t="s">
        <v>37</v>
      </c>
      <c r="P10" s="29" t="s">
        <v>934</v>
      </c>
      <c r="Q10" s="29" t="s">
        <v>1294</v>
      </c>
      <c r="R10" s="29" t="s">
        <v>1292</v>
      </c>
      <c r="S10" s="29" t="s">
        <v>1252</v>
      </c>
      <c r="T10" s="29" t="s">
        <v>1291</v>
      </c>
      <c r="U10" s="70" t="s">
        <v>225</v>
      </c>
      <c r="V10" s="75" t="s">
        <v>933</v>
      </c>
      <c r="W10" s="14" t="s">
        <v>212</v>
      </c>
      <c r="X10" s="14" t="s">
        <v>489</v>
      </c>
      <c r="Y10" s="14" t="s">
        <v>649</v>
      </c>
      <c r="Z10" s="14" t="s">
        <v>1295</v>
      </c>
      <c r="AA10" s="14" t="s">
        <v>1290</v>
      </c>
      <c r="AB10" s="51" t="s">
        <v>217</v>
      </c>
      <c r="AC10" s="51" t="s">
        <v>992</v>
      </c>
      <c r="AD10" s="74" t="s">
        <v>993</v>
      </c>
      <c r="AE10" s="51" t="s">
        <v>994</v>
      </c>
      <c r="AF10" s="74" t="s">
        <v>996</v>
      </c>
      <c r="AG10" s="51" t="s">
        <v>995</v>
      </c>
      <c r="AH10" s="14" t="s">
        <v>213</v>
      </c>
      <c r="AI10" s="14" t="s">
        <v>202</v>
      </c>
      <c r="AJ10" s="51" t="s">
        <v>214</v>
      </c>
      <c r="AK10" s="51" t="s">
        <v>215</v>
      </c>
      <c r="AL10" s="74" t="s">
        <v>954</v>
      </c>
      <c r="AM10" s="30" t="s">
        <v>223</v>
      </c>
      <c r="AN10" s="30" t="s">
        <v>224</v>
      </c>
      <c r="AO10" s="30" t="s">
        <v>952</v>
      </c>
      <c r="AP10" s="14" t="s">
        <v>487</v>
      </c>
      <c r="AQ10" s="14" t="s">
        <v>488</v>
      </c>
      <c r="AR10" s="14" t="s">
        <v>961</v>
      </c>
      <c r="AS10" s="80" t="s">
        <v>1296</v>
      </c>
      <c r="AT10" s="80" t="s">
        <v>1297</v>
      </c>
      <c r="AU10" s="80" t="s">
        <v>1298</v>
      </c>
      <c r="AV10" s="81" t="s">
        <v>1299</v>
      </c>
      <c r="AW10" s="81" t="s">
        <v>1300</v>
      </c>
      <c r="AX10" s="81" t="s">
        <v>1301</v>
      </c>
      <c r="AY10" s="30" t="s">
        <v>669</v>
      </c>
      <c r="AZ10" s="30" t="s">
        <v>670</v>
      </c>
      <c r="BA10" s="30" t="s">
        <v>953</v>
      </c>
      <c r="BB10" s="29" t="s">
        <v>241</v>
      </c>
      <c r="BC10" s="29" t="s">
        <v>240</v>
      </c>
      <c r="BD10" s="29" t="s">
        <v>244</v>
      </c>
      <c r="BE10" s="29" t="s">
        <v>245</v>
      </c>
      <c r="BF10" s="29" t="s">
        <v>852</v>
      </c>
      <c r="BG10" s="29" t="s">
        <v>850</v>
      </c>
      <c r="BH10" s="29" t="s">
        <v>851</v>
      </c>
      <c r="BJ10" s="1"/>
      <c r="BK10" t="s">
        <v>1338</v>
      </c>
      <c r="BL10" s="26" t="s">
        <v>1340</v>
      </c>
      <c r="BM10" t="s">
        <v>204</v>
      </c>
      <c r="BN10" s="26" t="s">
        <v>1341</v>
      </c>
      <c r="BO10" t="s">
        <v>816</v>
      </c>
      <c r="BP10" s="2" t="s">
        <v>205</v>
      </c>
      <c r="BQ10" s="3" t="s">
        <v>206</v>
      </c>
      <c r="BR10" s="4" t="s">
        <v>207</v>
      </c>
      <c r="BS10" s="5" t="s">
        <v>216</v>
      </c>
      <c r="BT10" s="6" t="s">
        <v>209</v>
      </c>
      <c r="BU10" s="7" t="s">
        <v>210</v>
      </c>
      <c r="BV10" s="8" t="s">
        <v>211</v>
      </c>
      <c r="BW10" s="20" t="s">
        <v>238</v>
      </c>
      <c r="BX10" s="20" t="s">
        <v>239</v>
      </c>
      <c r="BY10" s="20" t="s">
        <v>491</v>
      </c>
      <c r="BZ10" s="20" t="s">
        <v>814</v>
      </c>
      <c r="CA10" s="20" t="s">
        <v>963</v>
      </c>
      <c r="CB10" t="s">
        <v>222</v>
      </c>
      <c r="CC10" t="s">
        <v>221</v>
      </c>
      <c r="CD10" s="20" t="s">
        <v>773</v>
      </c>
      <c r="CE10" s="20" t="s">
        <v>775</v>
      </c>
      <c r="CF10" s="20" t="s">
        <v>815</v>
      </c>
      <c r="CG10" s="20" t="s">
        <v>981</v>
      </c>
      <c r="CH10" t="s">
        <v>774</v>
      </c>
      <c r="CI10" s="20" t="s">
        <v>1023</v>
      </c>
      <c r="CJ10" s="67" t="s">
        <v>1019</v>
      </c>
      <c r="CK10" s="67" t="s">
        <v>1021</v>
      </c>
      <c r="CL10" s="14" t="s">
        <v>1020</v>
      </c>
      <c r="CM10" t="s">
        <v>1022</v>
      </c>
      <c r="CN10"/>
      <c r="CO10"/>
      <c r="CP10"/>
      <c r="CQ10"/>
      <c r="CY10" s="27" t="s">
        <v>203</v>
      </c>
      <c r="CZ10" s="26" t="s">
        <v>964</v>
      </c>
      <c r="DA10" s="23" t="s">
        <v>965</v>
      </c>
      <c r="DB10" s="25"/>
      <c r="DE10" s="26" t="s">
        <v>988</v>
      </c>
      <c r="DF10" s="82" t="s">
        <v>1340</v>
      </c>
      <c r="DG10" s="27" t="s">
        <v>987</v>
      </c>
      <c r="DH10" s="27" t="s">
        <v>1342</v>
      </c>
      <c r="DI10" s="26" t="s">
        <v>816</v>
      </c>
      <c r="DJ10" s="2" t="s">
        <v>205</v>
      </c>
      <c r="DK10" s="3" t="s">
        <v>206</v>
      </c>
      <c r="DL10" s="4" t="s">
        <v>207</v>
      </c>
      <c r="DM10" s="5" t="s">
        <v>216</v>
      </c>
      <c r="DN10" s="6" t="s">
        <v>209</v>
      </c>
      <c r="DO10" s="7" t="s">
        <v>210</v>
      </c>
      <c r="DP10" s="8" t="s">
        <v>211</v>
      </c>
      <c r="DQ10" s="20" t="s">
        <v>238</v>
      </c>
      <c r="DR10" s="27" t="s">
        <v>239</v>
      </c>
      <c r="DS10" s="20" t="s">
        <v>491</v>
      </c>
      <c r="DT10" s="20" t="s">
        <v>814</v>
      </c>
      <c r="DU10" s="20" t="s">
        <v>963</v>
      </c>
      <c r="DV10" s="27" t="s">
        <v>222</v>
      </c>
      <c r="DW10" s="26" t="s">
        <v>221</v>
      </c>
      <c r="DX10" s="20" t="s">
        <v>773</v>
      </c>
      <c r="DY10" s="20" t="s">
        <v>775</v>
      </c>
      <c r="DZ10" s="20" t="s">
        <v>815</v>
      </c>
      <c r="EA10" s="20" t="s">
        <v>981</v>
      </c>
      <c r="EB10" s="26" t="s">
        <v>774</v>
      </c>
      <c r="EC10" s="26"/>
      <c r="ED10" s="26"/>
      <c r="EE10" s="26"/>
      <c r="EF10" s="26"/>
      <c r="EG10" s="26"/>
      <c r="EH10" s="26"/>
      <c r="EI10" s="26"/>
      <c r="EJ10" s="26"/>
    </row>
    <row r="11" spans="1:140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1</v>
      </c>
      <c r="R11" s="19">
        <f>IF(ISNUMBER(tblData[SKorea]),tblData[SKorea]/$R$9,"")</f>
        <v>0.19455252918287938</v>
      </c>
      <c r="T11" s="26" t="str">
        <f>IF(ISNUMBER(tblData[UK]),tblData[UK]/$T$9,"")</f>
        <v/>
      </c>
      <c r="U11">
        <v>548</v>
      </c>
      <c r="V11" s="21">
        <f>IF(ISNUMBER(tblData[China]),tblData[China]/$V$9,"")</f>
        <v>3.8073434840556684</v>
      </c>
      <c r="W11" s="26" t="str">
        <f>IF(tblData[Date]&gt;=StartDt2Italy,tblData[Date]-StartDt2Italy,"")</f>
        <v/>
      </c>
      <c r="X11" s="26"/>
      <c r="Y11" s="26">
        <f>IF($B14&lt;BM$15+3,"",$B14-BM$15-3)</f>
        <v>0</v>
      </c>
      <c r="Z11" s="26" t="str">
        <f>IF(tblData[[#This Row],[Date]]&lt;StartDt2Korea,"",tblData[[#This Row],[Date]]-StartDt2Korea)</f>
        <v/>
      </c>
      <c r="AA11" s="26" t="str">
        <f>IF(tblData[[#This Row],[Date]]&lt;UKStart,"",tblData[[#This Row],[Date]]-UKStart)</f>
        <v/>
      </c>
      <c r="AB11" t="str">
        <f>IF(tblData[Date]&gt;=StartDt2Au,tblData[Date]-StartDt2Au,"")</f>
        <v/>
      </c>
      <c r="AC11" s="26" t="str">
        <f>IF(tblData[New South Wales]&gt;0,SUM(tblData[[#This Row],[Australian Capital Territory]:[Western Australia]]),"")</f>
        <v/>
      </c>
      <c r="AD11" s="26" t="str">
        <f>IF(ISNUMBER(tblData[Au]),tblData[Au]/$AA$9,"")</f>
        <v/>
      </c>
      <c r="AE11" s="11" t="str">
        <f>IF(ISNUMBER(tblData[[#This Row],[Day'# Aust]]),betaAu/(deltaAu+betaPodeltaAu*EXP(-betaAu*tblData[[#This Row],[Day'# Aust]])),"")</f>
        <v/>
      </c>
      <c r="AF11" s="71" t="str">
        <f>IF(ISNUMBER(tblData[Day'# Aust]),tblData[Au LogiP(t)]/$AD$9,"")</f>
        <v/>
      </c>
      <c r="AG11" s="11" t="str">
        <f>IF(AND(tblData[Date]&gt;=StartDt2Au,ISNUMBER(tblData[NSW])),(tblData[[#This Row],[Au LogiP(t)]]-tblData[[#This Row],[Au]])^2,"")</f>
        <v/>
      </c>
      <c r="AH11" t="str">
        <f>IF(tblData[Date]&gt;StartDt2NSW,tblData[Date]-StartDt2NSW,"")</f>
        <v/>
      </c>
      <c r="AI11" t="str">
        <f>IF(E11&gt;0,E11,"")</f>
        <v/>
      </c>
      <c r="AJ11" s="11" t="str">
        <f>IF(tblData[Date]&gt;StartDt2NSW,betaNSW/(deltaNSW+betaPodeltaNSW*EXP(-betaNSW*tblData[[#This Row],[Day '# NSW]])),"")</f>
        <v/>
      </c>
      <c r="AK11" s="12" t="str">
        <f>IF(AND(ISNUMBER(tblData[NSW]),tblData[Date]&gt;StartDt2NSW),(tblData[[#This Row],[NSW LogiP(t)]]-tblData[[#This Row],[NSW]])^2,"")</f>
        <v/>
      </c>
      <c r="AL11" s="12" t="str">
        <f>IF(AND(tblData[Date]&gt;StartDt2NSW,ISNUMBER(tblData[Day'# Aust])),tblData[NSW LogiP(t)]/$AG$9,"")</f>
        <v/>
      </c>
      <c r="AM11" s="11" t="str">
        <f>IF(AND(tblData[Date]&gt;StartDt2Italy,ISNUMBER(tblData[Days'# Italy])),betaItaly/(deltaItaly+betaPodeltaItaly*EXP(-betaItaly*tblData[Days'# Italy])),"")</f>
        <v/>
      </c>
      <c r="AN11" s="11" t="str">
        <f>IF(AND(tblData[Date]&gt;StartDt2Italy,ISNUMBER(tblData[Italy])),(tblData[[#This Row],[Italy LogiP(t)]]-tblData[[#This Row],[Italy]])^2,"")</f>
        <v/>
      </c>
      <c r="AO11" s="11" t="str">
        <f>IF(AND(tblData[Date]&gt;StartDt2Italy,ISNUMBER(tblData[Days'# Italy])),tblData[[#This Row],[Italy LogiP(t)]]/$AM$9,"")</f>
        <v/>
      </c>
      <c r="AP11" s="11" t="str">
        <f>IF(ISNUMBER(tblData[[#This Row],[Days'# US]]),betaUS/(deltaUS+betaPodeltaUS*EXP(-betaUS*tblData[Days'# US])),"")</f>
        <v/>
      </c>
      <c r="AQ11" s="11"/>
      <c r="AR11" s="11" t="str">
        <f>IF(ISNUMBER(tblData[[#This Row],[Days'# US]]),tblData[[#This Row],[US LogiP(t)]]/$AP$9,"")</f>
        <v/>
      </c>
      <c r="AS11" s="11" t="str">
        <f>IF(tblData[Date]&gt;=StartDt2Korea,betaSKorea/(deltaSKorea+betaPodeltaSKorea*EXP(-betaSKorea*(tblData[Date]-StartDt2Korea))),"")</f>
        <v/>
      </c>
      <c r="AT11" s="11" t="str">
        <f>IF(AND(tblData[Date]&gt;=StartDt2Korea,ISNUMBER(tblData[SKorea])),(tblData[[#This Row],[SKorea LogiP(t)]]-tblData[[#This Row],[SKorea]])^2,"")</f>
        <v/>
      </c>
      <c r="AU11" s="11" t="str">
        <f>IF(tblData[Date]&gt;=StartDt2Korea,tblData[[#This Row],[SKorea LogiP(t)]]/$AS$9,"")</f>
        <v/>
      </c>
      <c r="AV11" s="11" t="str">
        <f>IF(ISNUMBER(tblData[Days'# UK]),betaUK/(deltaUK+betaPodeltaUK*EXP(-betaUK*tblData[Days'# UK])),"")</f>
        <v/>
      </c>
      <c r="AW11" s="11" t="str">
        <f>IF(ISNUMBER(tblData[UK]),(tblData[[#This Row],[UK LogiP(t)]]-tblData[[#This Row],[UK]])^2,"")</f>
        <v/>
      </c>
      <c r="AX11" s="11" t="str">
        <f>IF(ISNUMBER(tblData[Days'# UK]),tblData[[#This Row],[UK LogiP(t)]]/$AV$9,"")</f>
        <v/>
      </c>
      <c r="AY11" s="11">
        <f>IF(ISNUMBER(tblData[Days'# China]),betaChina/(deltaChina+betaPodeltaChina*EXP(-betaChina*tblData[Days'# China])),"")</f>
        <v>1537.6493038446686</v>
      </c>
      <c r="AZ11" s="11">
        <f>IF(ISNUMBER(tblData[China]),(tblData[[#This Row],[China LogiP(t)]]-tblData[[#This Row],[China]])^2,"")</f>
        <v>979405.74460023711</v>
      </c>
      <c r="BA11" s="11">
        <f>tblData[[#This Row],[China LogiP(t)]]/$AY$9</f>
        <v>10.683136966707542</v>
      </c>
      <c r="BB11" s="11"/>
      <c r="BC11" s="11"/>
      <c r="BD11" s="11" t="str">
        <f>IF(ISNUMBER(tblData[[#This Row],[NSW Number of Tests]]),tblData[[#This Row],[NSW Number of Tests]]-#REF!,"")</f>
        <v/>
      </c>
      <c r="BE11" s="11" t="str">
        <f>IF(ISNUMBER(tblData[[#This Row],[NSW Under Investigation'']]),tblData[[#This Row],[NSW Under Investigation'']]-#REF!,"")</f>
        <v/>
      </c>
      <c r="BF11" s="11"/>
      <c r="BG11" s="11" t="str">
        <f>IF(ISNUMBER(tblData[[#This Row],[NSW Test Day Number]]),betaTest/(deltaTest+betaPodeltaTest*EXP(-betaTest*tblData[[#This Row],[NSW Test Day Number]])),"")</f>
        <v/>
      </c>
      <c r="BH11" s="11" t="str">
        <f>IF(ISNUMBER(tblData[[#This Row],[NSW Number of Tests]]),(tblData[[#This Row],[NSW Number of Tests]]-tblData[[#This Row],[NSW Test Logi]])^2,"")</f>
        <v/>
      </c>
      <c r="BJ11" s="1"/>
      <c r="BK11" t="s">
        <v>48</v>
      </c>
      <c r="BL11" s="83">
        <v>43911.898379629631</v>
      </c>
      <c r="BM11" s="1">
        <v>43855</v>
      </c>
      <c r="BN11" s="27">
        <v>43855</v>
      </c>
      <c r="BO11">
        <v>0</v>
      </c>
      <c r="BP11">
        <v>0.20648931335259277</v>
      </c>
      <c r="BQ11">
        <v>1.0000000000000768E-9</v>
      </c>
      <c r="BR11" s="26">
        <v>1.0150253776574341E-2</v>
      </c>
      <c r="BS11">
        <f>betaAu/deltaAu</f>
        <v>206489313.35257691</v>
      </c>
      <c r="BT11" s="49">
        <f>SQRT(SUM(tblData[AU Sq Err])/COUNT(tblData[AU Sq Err]))</f>
        <v>10.992507007919523</v>
      </c>
      <c r="BU11">
        <f>(betaAu/PoAu)-deltaAu</f>
        <v>20.343266078627209</v>
      </c>
      <c r="BV11">
        <f>deltaAu*1000</f>
        <v>1.0000000000000768E-6</v>
      </c>
      <c r="BW11" s="26"/>
      <c r="BX11" s="27">
        <f t="array" ref="BX11">MAX(IF(ISNUMBER(tblData[Au]),tblData[Date]))</f>
        <v>43911</v>
      </c>
      <c r="BY11" s="27" t="str">
        <f t="shared" ref="BY11:BY18" si="0">Cengnotation(BS11,3)</f>
        <v>206 M</v>
      </c>
      <c r="BZ11" s="26">
        <f>MAX(tblData[Au])</f>
        <v>1068</v>
      </c>
      <c r="CA11" s="26" t="str">
        <f>Cengnotation(BS11/(AuPop/PerPerson),3)</f>
        <v>81.4 M</v>
      </c>
      <c r="CB11" s="1">
        <f t="array" ref="CB11">MAX(IF(ISNUMBER(tblData[Au]),tblData[Date]))</f>
        <v>43911</v>
      </c>
      <c r="CC11">
        <f t="array" ref="CC11">COUNT(IF(ISNUMBER(tblData[Au]),tblData[Date]))</f>
        <v>57</v>
      </c>
      <c r="CD11" s="27" t="str">
        <f t="shared" ref="CD11:CD18" si="1">"b="&amp;TEXT(BP11,"##0.###")&amp;", d="&amp;TEXT(BQ11,"0.00E+00")&amp;", P0="&amp;TEXT(BR11,"#.####")&amp;" Limit="&amp;IF(PopScaling=0,BY11,CA11)</f>
        <v>b=0.206, d=1.00E-09, P0=.0102 Limit=81.4 M</v>
      </c>
      <c r="CE11" s="26"/>
      <c r="CF11" s="26" t="str">
        <f t="shared" ref="CF11:CF18" si="2">BK11&amp;" Limit " &amp; IF(PopScaling=0,BY11,CA11)</f>
        <v>Australia Limit 81.4 M</v>
      </c>
      <c r="CG11" s="26"/>
      <c r="CH11" s="18" t="str">
        <f>"COVID19 "&amp;BK11 &amp; " " &amp;LogFormula&amp;CHAR(10)&amp;CD11&amp;CHAR(10)&amp;TEXT(CB11," dd-mmm")&amp;IF(PopScaling=0,"",", "&amp;PerPersonLabel)</f>
        <v>COVID19 Australia P(t) = b / {d+[( b/Po - d ) ]* exp(-b*t)}
b=0.206, d=1.00E-09, P0=.0102 Limit=81.4 M
 21-Mar, Cases per 10 M population</v>
      </c>
      <c r="CI11" s="21">
        <f>MAX(tblData[Au Cases Per Capita])</f>
        <v>421.06923198233716</v>
      </c>
      <c r="CJ11" s="26"/>
      <c r="CK11" s="26"/>
      <c r="CN11" s="26" t="str">
        <f>"At " &amp; TEXT(CB11,"ddd dd-mmm ") &amp; BK11 &amp;  TEXT(AuMaxCasespc," ###0") &amp; " cases per 10M was " &amp; CM13  &amp; " days behind Italy, " &amp; IF(CM14&gt;0, CM14 &amp; " days behind", -CM14 &amp; " days ahead of ") &amp; " USA &amp; " &amp;  CM15 &amp; " days behind China, " &amp; CM16 &amp; " days behind South Korea, " &amp; CM17 &amp; " days behind UK"</f>
        <v>At Sat 21-Mar Australia 421 cases per 10M was 17 days behind Italy, 1 days behind USA &amp; 36 days behind China, 22 days behind South Korea, 1 days behind UK</v>
      </c>
      <c r="CY11" s="27">
        <v>43852</v>
      </c>
      <c r="CZ11" s="44">
        <f>NSWpop</f>
        <v>8080000</v>
      </c>
      <c r="DA11" s="52">
        <f>PerPerson</f>
        <v>10000000</v>
      </c>
      <c r="DE11" s="26" t="s">
        <v>48</v>
      </c>
      <c r="DG11" s="27">
        <v>43855</v>
      </c>
      <c r="DI11" s="26">
        <v>0</v>
      </c>
      <c r="DJ11" s="23">
        <v>0.19828176912463458</v>
      </c>
      <c r="DK11" s="25">
        <v>1.0000000000015669E-10</v>
      </c>
      <c r="DL11" s="22">
        <v>1.5235707215503663E-2</v>
      </c>
      <c r="DM11" s="26">
        <v>1982817691.2432389</v>
      </c>
      <c r="DN11" s="19">
        <v>10.841918819926793</v>
      </c>
      <c r="DO11" s="37">
        <v>13.014280618450188</v>
      </c>
      <c r="DP11" s="24">
        <v>1.0000000000015668E-7</v>
      </c>
      <c r="DQ11" s="12"/>
      <c r="DR11" s="27">
        <v>43908</v>
      </c>
      <c r="DS11" s="27" t="s">
        <v>998</v>
      </c>
      <c r="DT11" s="19">
        <v>565</v>
      </c>
      <c r="DU11" s="19" t="s">
        <v>999</v>
      </c>
      <c r="DV11" s="27">
        <v>43908</v>
      </c>
      <c r="DW11" s="26">
        <v>57</v>
      </c>
      <c r="DX11" s="18" t="s">
        <v>1000</v>
      </c>
      <c r="DY11" s="26"/>
      <c r="DZ11" s="26" t="s">
        <v>1001</v>
      </c>
      <c r="EA11" s="26"/>
      <c r="EB11" s="26" t="s">
        <v>1002</v>
      </c>
      <c r="EC11" s="26"/>
      <c r="ED11" s="26"/>
      <c r="EE11" s="26"/>
      <c r="EF11" s="26"/>
      <c r="EG11" s="26"/>
      <c r="EH11" s="26"/>
      <c r="EI11" s="26"/>
      <c r="EJ11" s="21" t="e">
        <f>(AP15-O15)^2</f>
        <v>#VALUE!</v>
      </c>
    </row>
    <row r="12" spans="1:140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1</v>
      </c>
      <c r="R12" s="19">
        <f>IF(ISNUMBER(tblData[SKorea]),tblData[SKorea]/$R$9,"")</f>
        <v>0.19455252918287938</v>
      </c>
      <c r="T12" s="26" t="str">
        <f>IF(ISNUMBER(tblData[UK]),tblData[UK]/$T$9,"")</f>
        <v/>
      </c>
      <c r="U12">
        <v>643</v>
      </c>
      <c r="V12" s="21">
        <f>IF(ISNUMBER(tblData[China]),tblData[China]/$V$9,"")</f>
        <v>4.4673756573864862</v>
      </c>
      <c r="W12" s="26" t="str">
        <f>IF(tblData[[#This Row],[Date]]&lt;ItalyStart,"",tblData[[#This Row],[Date]]-ItalyStart)</f>
        <v/>
      </c>
      <c r="X12" s="26"/>
      <c r="Y12" s="26">
        <f>Y11+1</f>
        <v>1</v>
      </c>
      <c r="Z12" s="26" t="str">
        <f>IF(tblData[[#This Row],[Date]]&lt;StartDt2Korea,"",tblData[[#This Row],[Date]]-StartDt2Korea)</f>
        <v/>
      </c>
      <c r="AA12" s="26" t="str">
        <f>IF(tblData[[#This Row],[Date]]&lt;UKStart,"",tblData[[#This Row],[Date]]-UKStart)</f>
        <v/>
      </c>
      <c r="AB12" t="str">
        <f>IF(tblData[Date]&gt;=StartDt2Au,tblData[Date]-StartDt2Au,"")</f>
        <v/>
      </c>
      <c r="AC12" s="26" t="str">
        <f>IF(tblData[New South Wales]&gt;0,SUM(tblData[[#This Row],[Australian Capital Territory]:[Western Australia]]),"")</f>
        <v/>
      </c>
      <c r="AD12" s="26" t="str">
        <f>IF(ISNUMBER(tblData[Au]),tblData[Au]/$AA$9,"")</f>
        <v/>
      </c>
      <c r="AE12" s="11" t="str">
        <f>IF(ISNUMBER(tblData[[#This Row],[Day'# Aust]]),betaAu/(deltaAu+betaPodeltaAu*EXP(-betaAu*tblData[[#This Row],[Day'# Aust]])),"")</f>
        <v/>
      </c>
      <c r="AF12" s="71" t="str">
        <f>IF(ISNUMBER(tblData[Day'# Aust]),tblData[Au LogiP(t)]/$AD$9,"")</f>
        <v/>
      </c>
      <c r="AG12" s="11" t="str">
        <f>IF(AND(tblData[Date]&gt;=StartDt2Au,ISNUMBER(tblData[NSW])),(tblData[[#This Row],[Au LogiP(t)]]-tblData[[#This Row],[Au]])^2,"")</f>
        <v/>
      </c>
      <c r="AH12" t="str">
        <f>IF(tblData[Date]&gt;StartDt2NSW,tblData[Date]-StartDt2NSW,"")</f>
        <v/>
      </c>
      <c r="AI12" t="str">
        <f>IF(E12&gt;0,E12,"")</f>
        <v/>
      </c>
      <c r="AJ12" s="11" t="str">
        <f>IF(tblData[Date]&gt;StartDt2NSW,betaNSW/(deltaNSW+betaPodeltaNSW*EXP(-betaNSW*tblData[[#This Row],[Day '# NSW]])),"")</f>
        <v/>
      </c>
      <c r="AK12" s="12" t="str">
        <f>IF(AND(ISNUMBER(tblData[NSW]),tblData[Date]&gt;StartDt2NSW),(tblData[[#This Row],[NSW LogiP(t)]]-tblData[[#This Row],[NSW]])^2,"")</f>
        <v/>
      </c>
      <c r="AL12" s="12" t="str">
        <f>IF(AND(tblData[Date]&gt;StartDt2NSW,ISNUMBER(tblData[Day'# Aust])),tblData[NSW LogiP(t)]/$AG$9,"")</f>
        <v/>
      </c>
      <c r="AM12" s="11" t="str">
        <f>IF(AND(tblData[Date]&gt;StartDt2Italy,ISNUMBER(tblData[Days'# Italy])),betaItaly/(deltaItaly+betaPodeltaItaly*EXP(-betaItaly*tblData[Days'# Italy])),"")</f>
        <v/>
      </c>
      <c r="AN12" s="11" t="str">
        <f>IF(AND(tblData[Date]&gt;StartDt2Italy,ISNUMBER(tblData[Italy])),(tblData[[#This Row],[Italy LogiP(t)]]-tblData[[#This Row],[Italy]])^2,"")</f>
        <v/>
      </c>
      <c r="AO12" s="11" t="str">
        <f>IF(AND(tblData[Date]&gt;StartDt2Italy,ISNUMBER(tblData[Days'# Italy])),tblData[[#This Row],[Italy LogiP(t)]]/$AM$9,"")</f>
        <v/>
      </c>
      <c r="AP12" s="11" t="str">
        <f>IF(ISNUMBER(tblData[[#This Row],[Days'# US]]),betaUS/(deltaUS+betaPodeltaUS*EXP(-betaUS*tblData[Days'# US])),"")</f>
        <v/>
      </c>
      <c r="AQ12" s="11"/>
      <c r="AR12" s="11" t="str">
        <f>IF(ISNUMBER(tblData[[#This Row],[Days'# US]]),tblData[[#This Row],[US LogiP(t)]]/$AP$9,"")</f>
        <v/>
      </c>
      <c r="AS12" s="11" t="str">
        <f>IF(tblData[Date]&gt;=StartDt2Korea,betaSKorea/(deltaSKorea+betaPodeltaSKorea*EXP(-betaSKorea*(tblData[Date]-StartDt2Korea))),"")</f>
        <v/>
      </c>
      <c r="AT12" s="11" t="str">
        <f>IF(AND(tblData[Date]&gt;=StartDt2Korea,ISNUMBER(tblData[SKorea])),(tblData[[#This Row],[SKorea LogiP(t)]]-tblData[[#This Row],[SKorea]])^2,"")</f>
        <v/>
      </c>
      <c r="AU12" s="11" t="str">
        <f>IF(tblData[Date]&gt;=StartDt2Korea,tblData[[#This Row],[SKorea LogiP(t)]]/$AS$9,"")</f>
        <v/>
      </c>
      <c r="AV12" s="11" t="str">
        <f>IF(ISNUMBER(tblData[Days'# UK]),betaUK/(deltaUK+betaPodeltaUK*EXP(-betaUK*tblData[Days'# UK])),"")</f>
        <v/>
      </c>
      <c r="AW12" s="11" t="str">
        <f>IF(ISNUMBER(tblData[UK]),(tblData[[#This Row],[UK LogiP(t)]]-tblData[[#This Row],[UK]])^2,"")</f>
        <v/>
      </c>
      <c r="AX12" s="11" t="str">
        <f>IF(ISNUMBER(tblData[Days'# UK]),tblData[[#This Row],[UK LogiP(t)]]/$AV$9,"")</f>
        <v/>
      </c>
      <c r="AY12" s="11">
        <f>IF(ISNUMBER(tblData[Days'# China]),betaChina/(deltaChina+betaPodeltaChina*EXP(-betaChina*tblData[Days'# China])),"")</f>
        <v>1911.1095897721405</v>
      </c>
      <c r="AZ12" s="11">
        <f>IF(ISNUMBER(tblData[China]),(tblData[[#This Row],[China LogiP(t)]]-tblData[[#This Row],[China]])^2,"")</f>
        <v>1608101.9316720665</v>
      </c>
      <c r="BA12" s="11">
        <f>tblData[[#This Row],[China LogiP(t)]]/$AY$9</f>
        <v>13.277829642217627</v>
      </c>
      <c r="BB12" s="11"/>
      <c r="BC12" s="11"/>
      <c r="BD12" s="11" t="str">
        <f>IF(ISNUMBER(tblData[[#This Row],[NSW Number of Tests]]),tblData[[#This Row],[NSW Number of Tests]]-BB11,"")</f>
        <v/>
      </c>
      <c r="BE12" s="11" t="str">
        <f>IF(ISNUMBER(tblData[[#This Row],[NSW Under Investigation'']]),tblData[[#This Row],[NSW Under Investigation'']]-BC11,"")</f>
        <v/>
      </c>
      <c r="BF12" s="11"/>
      <c r="BG12" s="11" t="str">
        <f>IF(ISNUMBER(tblData[[#This Row],[NSW Test Day Number]]),betaTest/(deltaTest+betaPodeltaTest*EXP(-betaTest*tblData[[#This Row],[NSW Test Day Number]])),"")</f>
        <v/>
      </c>
      <c r="BH12" s="11" t="str">
        <f>IF(ISNUMBER(tblData[[#This Row],[NSW Number of Tests]]),(tblData[[#This Row],[NSW Number of Tests]]-tblData[[#This Row],[NSW Test Logi]])^2,"")</f>
        <v/>
      </c>
      <c r="BJ12" s="1"/>
      <c r="BK12" s="62" t="s">
        <v>202</v>
      </c>
      <c r="BL12" s="84">
        <v>43911.866284722222</v>
      </c>
      <c r="BM12" s="63">
        <v>43855</v>
      </c>
      <c r="BN12" s="27">
        <v>43855</v>
      </c>
      <c r="BO12" s="62">
        <v>1</v>
      </c>
      <c r="BP12" s="62">
        <v>0.20930602113130264</v>
      </c>
      <c r="BQ12" s="68">
        <v>7.6817707886235747E-5</v>
      </c>
      <c r="BR12" s="62">
        <v>4.3039510033128963E-3</v>
      </c>
      <c r="BS12" s="62">
        <f>betaNSW/deltaNSW</f>
        <v>2724.7105763852951</v>
      </c>
      <c r="BT12" s="64">
        <f>SQRT(SUM(tblData[NSW Sq Err])/COUNT(tblData[NSW Sq Err]))</f>
        <v>4.2004617329616165</v>
      </c>
      <c r="BU12" s="62">
        <f>(betaNSW/PoNSW)-deltaNSW</f>
        <v>48.631057916445158</v>
      </c>
      <c r="BV12" s="62">
        <f>deltaNSW*1000</f>
        <v>7.681770788623575E-2</v>
      </c>
      <c r="BW12" s="64">
        <f>SQRT(SUM(tblData[NSW Sq Err])/COUNT(tblData[NSW Sq Err]))</f>
        <v>4.2004617329616165</v>
      </c>
      <c r="BX12" s="63">
        <f t="array" ref="BX12">MAX(IF(ISNUMBER(tblData[NSW]),tblData[Date]))</f>
        <v>43911</v>
      </c>
      <c r="BY12" s="63" t="str">
        <f t="shared" si="0"/>
        <v>2.72 k</v>
      </c>
      <c r="BZ12" s="62">
        <f>MAX(tblData[NSW])</f>
        <v>436</v>
      </c>
      <c r="CA12" s="62" t="str">
        <f>Cengnotation(BS12/(NSWpop/PerPerson),3)</f>
        <v>3.37 k</v>
      </c>
      <c r="CB12" s="63">
        <f t="array" ref="CB12">MAX(IF(ISNUMBER(tblData[NSW]),tblData[Date]))</f>
        <v>43911</v>
      </c>
      <c r="CC12" s="65">
        <f t="array" ref="CC12">COUNT(IF(ISNUMBER(tblData[NSW]),tblData[Date]))</f>
        <v>57</v>
      </c>
      <c r="CD12" s="63" t="str">
        <f t="shared" si="1"/>
        <v>b=0.209, d=7.68E-05, P0=.0043 Limit=3.37 k</v>
      </c>
      <c r="CE12" s="62"/>
      <c r="CF12" s="62" t="str">
        <f t="shared" si="2"/>
        <v>NSW Limit 3.37 k</v>
      </c>
      <c r="CG12" s="62"/>
      <c r="CH12" s="66" t="str">
        <f>"COVID19 "&amp;BK12 &amp; " " &amp;LogFormula&amp;CHAR(10)&amp;CD12&amp;CHAR(10)&amp;TEXT(CB12," dd-mmm")&amp;IF(PopScaling=0,"",", "&amp;PerPersonLabel)</f>
        <v>COVID19 NSW P(t) = b / {d+[( b/Po - d ) ]* exp(-b*t)}
b=0.209, d=7.68E-05, P0=.0043 Limit=3.37 k
 21-Mar, Cases per 10 M population</v>
      </c>
      <c r="CI12" s="21">
        <f>MAX(tblData[NSW Cases per Capita])</f>
        <v>539.60396039603961</v>
      </c>
      <c r="CJ12" s="65"/>
      <c r="CK12" s="65"/>
      <c r="CM12" s="11"/>
      <c r="CN12" s="26" t="str">
        <f>"At " &amp; TEXT(CB12,"ddd dd-mmm " ) &amp;  BK12  &amp;  TEXT(NSWMaxCasespc," ###0") &amp; " cases per 10M was " &amp; CK13 &amp; " days behind Italy, " &amp; IF(CK14&gt;0, CK14 &amp; " days behind", -CK14 &amp; " days ahead of") &amp; " USA &amp; " &amp;  CK15 &amp; " days behind China, " &amp; CK16 &amp; " days behind South Korea, " &amp; CK17 &amp; " days behind UK"</f>
        <v>At Sat 21-Mar NSW 540 cases per 10M was 16 days behind Italy, 1 days behind USA &amp; 25 days behind China, 21 days behind South Korea, 1 days behind UK</v>
      </c>
      <c r="CY12" s="27">
        <v>44004</v>
      </c>
      <c r="CZ12" s="44">
        <f>CZ11</f>
        <v>8080000</v>
      </c>
      <c r="DA12" s="52">
        <f>PerPerson</f>
        <v>10000000</v>
      </c>
      <c r="DB12">
        <f>delta</f>
        <v>1.0000000000000768E-9</v>
      </c>
      <c r="DE12" s="26" t="s">
        <v>48</v>
      </c>
      <c r="DG12" s="27">
        <v>43855</v>
      </c>
      <c r="DI12" s="26">
        <v>0</v>
      </c>
      <c r="DJ12" s="26">
        <v>0.19828176912463458</v>
      </c>
      <c r="DK12" s="26">
        <v>1.0000000000015669E-10</v>
      </c>
      <c r="DL12" s="26">
        <v>1.5235707215503663E-2</v>
      </c>
      <c r="DM12" s="26">
        <v>1982817691.2432389</v>
      </c>
      <c r="DN12" s="19">
        <v>12.353786198782009</v>
      </c>
      <c r="DO12" s="12">
        <v>13.014280618450188</v>
      </c>
      <c r="DP12" s="26">
        <v>1.0000000000015668E-7</v>
      </c>
      <c r="DQ12" s="26"/>
      <c r="DR12" s="27">
        <v>43908</v>
      </c>
      <c r="DS12" s="27" t="s">
        <v>998</v>
      </c>
      <c r="DT12" s="26">
        <v>636</v>
      </c>
      <c r="DU12" s="26" t="s">
        <v>999</v>
      </c>
      <c r="DV12" s="27">
        <v>43908</v>
      </c>
      <c r="DW12" s="26">
        <v>58</v>
      </c>
      <c r="DX12" s="27" t="s">
        <v>1000</v>
      </c>
      <c r="DY12" s="26"/>
      <c r="DZ12" s="26" t="s">
        <v>1001</v>
      </c>
      <c r="EA12" s="26"/>
      <c r="EB12" s="18" t="s">
        <v>1024</v>
      </c>
      <c r="EC12" s="21">
        <v>250.74909320296484</v>
      </c>
      <c r="ED12" s="26"/>
      <c r="EE12" s="26"/>
      <c r="EF12" s="26"/>
      <c r="EG12" s="26"/>
      <c r="EH12" s="26" t="s">
        <v>1025</v>
      </c>
      <c r="EI12" s="26"/>
      <c r="EJ12" s="26"/>
    </row>
    <row r="13" spans="1:140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2</v>
      </c>
      <c r="R13" s="19">
        <f>IF(ISNUMBER(tblData[SKorea]),tblData[SKorea]/$R$9,"")</f>
        <v>0.38910505836575876</v>
      </c>
      <c r="T13" s="26" t="str">
        <f>IF(ISNUMBER(tblData[UK]),tblData[UK]/$T$9,"")</f>
        <v/>
      </c>
      <c r="U13">
        <v>920</v>
      </c>
      <c r="V13" s="21">
        <f>IF(ISNUMBER(tblData[China]),tblData[China]/$V$9,"")</f>
        <v>6.391890520677399</v>
      </c>
      <c r="W13" s="26" t="str">
        <f>IF(tblData[[#This Row],[Date]]&lt;ItalyStart,"",tblData[[#This Row],[Date]]-ItalyStart)</f>
        <v/>
      </c>
      <c r="X13" s="26"/>
      <c r="Y13" s="26">
        <f t="shared" ref="Y13:Y76" si="3">Y12+1</f>
        <v>2</v>
      </c>
      <c r="Z13" s="26" t="str">
        <f>IF(tblData[[#This Row],[Date]]&lt;StartDt2Korea,"",tblData[[#This Row],[Date]]-StartDt2Korea)</f>
        <v/>
      </c>
      <c r="AA13" s="26" t="str">
        <f>IF(tblData[[#This Row],[Date]]&lt;UKStart,"",tblData[[#This Row],[Date]]-UKStart)</f>
        <v/>
      </c>
      <c r="AB13" t="str">
        <f>IF(tblData[Date]&gt;=StartDt2Au,tblData[Date]-StartDt2Au,"")</f>
        <v/>
      </c>
      <c r="AC13" s="26" t="str">
        <f>IF(tblData[New South Wales]&gt;0,SUM(tblData[[#This Row],[Australian Capital Territory]:[Western Australia]]),"")</f>
        <v/>
      </c>
      <c r="AD13" s="26" t="str">
        <f>IF(ISNUMBER(tblData[Au]),tblData[Au]/$AA$9,"")</f>
        <v/>
      </c>
      <c r="AE13" s="11" t="str">
        <f>IF(ISNUMBER(tblData[[#This Row],[Day'# Aust]]),betaAu/(deltaAu+betaPodeltaAu*EXP(-betaAu*tblData[[#This Row],[Day'# Aust]])),"")</f>
        <v/>
      </c>
      <c r="AF13" s="71" t="str">
        <f>IF(ISNUMBER(tblData[Day'# Aust]),tblData[Au LogiP(t)]/$AD$9,"")</f>
        <v/>
      </c>
      <c r="AG13" s="11" t="str">
        <f>IF(AND(tblData[Date]&gt;=StartDt2Au,ISNUMBER(tblData[NSW])),(tblData[[#This Row],[Au LogiP(t)]]-tblData[[#This Row],[Au]])^2,"")</f>
        <v/>
      </c>
      <c r="AH13" t="str">
        <f>IF(tblData[Date]&gt;StartDt2NSW,tblData[Date]-StartDt2NSW,"")</f>
        <v/>
      </c>
      <c r="AI13" t="str">
        <f>IF(E13&gt;0,E13,"")</f>
        <v/>
      </c>
      <c r="AJ13" s="11" t="str">
        <f>IF(tblData[Date]&gt;StartDt2NSW,betaNSW/(deltaNSW+betaPodeltaNSW*EXP(-betaNSW*tblData[[#This Row],[Day '# NSW]])),"")</f>
        <v/>
      </c>
      <c r="AK13" s="12" t="str">
        <f>IF(AND(ISNUMBER(tblData[NSW]),tblData[Date]&gt;StartDt2NSW),(tblData[[#This Row],[NSW LogiP(t)]]-tblData[[#This Row],[NSW]])^2,"")</f>
        <v/>
      </c>
      <c r="AL13" s="12" t="str">
        <f>IF(AND(tblData[Date]&gt;StartDt2NSW,ISNUMBER(tblData[Day'# Aust])),tblData[NSW LogiP(t)]/$AG$9,"")</f>
        <v/>
      </c>
      <c r="AM13" s="11" t="str">
        <f>IF(AND(tblData[Date]&gt;StartDt2Italy,ISNUMBER(tblData[Days'# Italy])),betaItaly/(deltaItaly+betaPodeltaItaly*EXP(-betaItaly*tblData[Days'# Italy])),"")</f>
        <v/>
      </c>
      <c r="AN13" s="11" t="str">
        <f>IF(AND(tblData[Date]&gt;StartDt2Italy,ISNUMBER(tblData[Italy])),(tblData[[#This Row],[Italy LogiP(t)]]-tblData[[#This Row],[Italy]])^2,"")</f>
        <v/>
      </c>
      <c r="AO13" s="11" t="str">
        <f>IF(AND(tblData[Date]&gt;StartDt2Italy,ISNUMBER(tblData[Days'# Italy])),tblData[[#This Row],[Italy LogiP(t)]]/$AM$9,"")</f>
        <v/>
      </c>
      <c r="AP13" s="11" t="str">
        <f>IF(ISNUMBER(tblData[[#This Row],[Days'# US]]),betaUS/(deltaUS+betaPodeltaUS*EXP(-betaUS*tblData[Days'# US])),"")</f>
        <v/>
      </c>
      <c r="AQ13" s="11"/>
      <c r="AR13" s="11" t="str">
        <f>IF(ISNUMBER(tblData[[#This Row],[Days'# US]]),tblData[[#This Row],[US LogiP(t)]]/$AP$9,"")</f>
        <v/>
      </c>
      <c r="AS13" s="11" t="str">
        <f>IF(tblData[Date]&gt;=StartDt2Korea,betaSKorea/(deltaSKorea+betaPodeltaSKorea*EXP(-betaSKorea*(tblData[Date]-StartDt2Korea))),"")</f>
        <v/>
      </c>
      <c r="AT13" s="11" t="str">
        <f>IF(AND(tblData[Date]&gt;=StartDt2Korea,ISNUMBER(tblData[SKorea])),(tblData[[#This Row],[SKorea LogiP(t)]]-tblData[[#This Row],[SKorea]])^2,"")</f>
        <v/>
      </c>
      <c r="AU13" s="11" t="str">
        <f>IF(tblData[Date]&gt;=StartDt2Korea,tblData[[#This Row],[SKorea LogiP(t)]]/$AS$9,"")</f>
        <v/>
      </c>
      <c r="AV13" s="11" t="str">
        <f>IF(ISNUMBER(tblData[Days'# UK]),betaUK/(deltaUK+betaPodeltaUK*EXP(-betaUK*tblData[Days'# UK])),"")</f>
        <v/>
      </c>
      <c r="AW13" s="11" t="str">
        <f>IF(ISNUMBER(tblData[UK]),(tblData[[#This Row],[UK LogiP(t)]]-tblData[[#This Row],[UK]])^2,"")</f>
        <v/>
      </c>
      <c r="AX13" s="11" t="str">
        <f>IF(ISNUMBER(tblData[Days'# UK]),tblData[[#This Row],[UK LogiP(t)]]/$AV$9,"")</f>
        <v/>
      </c>
      <c r="AY13" s="11">
        <f>IF(ISNUMBER(tblData[Days'# China]),betaChina/(deltaChina+betaPodeltaChina*EXP(-betaChina*tblData[Days'# China])),"")</f>
        <v>2372.5650376127014</v>
      </c>
      <c r="AZ13" s="11">
        <f>IF(ISNUMBER(tblData[China]),(tblData[[#This Row],[China LogiP(t)]]-tblData[[#This Row],[China]])^2,"")</f>
        <v>2109945.1884947885</v>
      </c>
      <c r="BA13" s="11">
        <f>tblData[[#This Row],[China LogiP(t)]]/$AY$9</f>
        <v>16.483886927833961</v>
      </c>
      <c r="BB13" s="11"/>
      <c r="BC13" s="11"/>
      <c r="BD13" s="11" t="str">
        <f>IF(ISNUMBER(tblData[[#This Row],[NSW Number of Tests]]),tblData[[#This Row],[NSW Number of Tests]]-BB12,"")</f>
        <v/>
      </c>
      <c r="BE13" s="11" t="str">
        <f>IF(ISNUMBER(tblData[[#This Row],[NSW Under Investigation'']]),tblData[[#This Row],[NSW Under Investigation'']]-BC12,"")</f>
        <v/>
      </c>
      <c r="BF13" s="11"/>
      <c r="BG13" s="11" t="str">
        <f>IF(ISNUMBER(tblData[[#This Row],[NSW Test Day Number]]),betaTest/(deltaTest+betaPodeltaTest*EXP(-betaTest*tblData[[#This Row],[NSW Test Day Number]])),"")</f>
        <v/>
      </c>
      <c r="BH13" s="11" t="str">
        <f>IF(ISNUMBER(tblData[[#This Row],[NSW Number of Tests]]),(tblData[[#This Row],[NSW Number of Tests]]-tblData[[#This Row],[NSW Test Logi]])^2,"")</f>
        <v/>
      </c>
      <c r="BJ13" s="1"/>
      <c r="BK13" t="s">
        <v>58</v>
      </c>
      <c r="BL13" s="82">
        <v>43911.866296296299</v>
      </c>
      <c r="BM13" s="1">
        <v>43860</v>
      </c>
      <c r="BN13" s="27">
        <v>43860</v>
      </c>
      <c r="BO13">
        <v>2</v>
      </c>
      <c r="BP13" s="23">
        <v>0.26021145951808367</v>
      </c>
      <c r="BQ13" s="25">
        <v>4.6967448339452021E-6</v>
      </c>
      <c r="BR13" s="22">
        <v>0.44199535332226664</v>
      </c>
      <c r="BS13" s="24">
        <f>betaItaly/deltaItaly</f>
        <v>55402.511466544704</v>
      </c>
      <c r="BT13" s="37">
        <f>SQRT(SUM(tblData[Italy Sq Err])/COUNT(tblData[Italy Sq Err]))</f>
        <v>1127.8816766057491</v>
      </c>
      <c r="BU13" s="24">
        <f>(betaItaly/PoItaly)-deltaItaly</f>
        <v>0.58871520169346225</v>
      </c>
      <c r="BV13" s="24">
        <f>deltaItaly*1000</f>
        <v>4.696744833945202E-3</v>
      </c>
      <c r="BW13" s="24"/>
      <c r="BX13" s="27">
        <f t="array" ref="BX13">MAX(IF(ISNUMBER(tblData[Italy]),tblData[Date]))</f>
        <v>43910</v>
      </c>
      <c r="BY13" s="27" t="str">
        <f t="shared" si="0"/>
        <v>55.4 k</v>
      </c>
      <c r="BZ13" s="26">
        <f>MAX(tblData[Italy])</f>
        <v>47021</v>
      </c>
      <c r="CA13" s="26" t="str">
        <f>Cengnotation(BS13/(ItalyPop/PerPerson),3)</f>
        <v>9.17 k</v>
      </c>
      <c r="CB13" s="1">
        <f t="array" ref="CB13">MAX(IF(ISNUMBER(tblData[Italy]),tblData[Date]))</f>
        <v>43910</v>
      </c>
      <c r="CC13" s="19">
        <f t="array" ref="CC13">COUNT(IF(ISNUMBER(tblData[Italy]),tblData[Date]))</f>
        <v>51</v>
      </c>
      <c r="CD13" s="27" t="str">
        <f t="shared" si="1"/>
        <v>b=0.26, d=4.70E-06, P0=.442 Limit=9.17 k</v>
      </c>
      <c r="CF13" s="26" t="str">
        <f t="shared" si="2"/>
        <v>Italy Limit 9.17 k</v>
      </c>
      <c r="CG13" s="26"/>
      <c r="CH13" s="18" t="str">
        <f>"COVID19 "&amp;BK13 &amp; " " &amp;LogFormula&amp;CHAR(10)&amp;CD13&amp;CHAR(10)&amp;TEXT(CB13," dd-mmm")&amp;IF(PopScaling=0,"",", "&amp;PerPersonLabel)</f>
        <v>COVID19 Italy P(t) = b / {d+[( b/Po - d ) ]* exp(-b*t)}
b=0.26, d=4.70E-06, P0=.442 Limit=9.17 k
 20-Mar, Cases per 10 M population</v>
      </c>
      <c r="CI13" s="21">
        <f>MAX(tblData[Italy Cases per Capita])</f>
        <v>7778.4946236559144</v>
      </c>
      <c r="CJ13" s="27">
        <f>IF(CI13&gt;NSWMaxCasespc,INDEX(tblData[Date],1+MATCH(NSWMaxCasespc,tblData[Italy Cases per Capita],1)),INDEX(tblData[Date],1+MATCH(CI13,tblData[NSW Cases per Capita],1)))</f>
        <v>43895</v>
      </c>
      <c r="CK13" s="11">
        <f>IF(CI13&gt;NSWMaxCasespc,1,-1)*(BX$12-CJ13)</f>
        <v>16</v>
      </c>
      <c r="CL13" s="27">
        <f>IF(CI13&gt;AuMaxCasespc,INDEX(tblData[Date],1+MATCH(AuMaxCasespc,tblData[Italy Cases per Capita],1)),INDEX(tblData[Date],1+MATCH(CI13,tblData[Au Cases Per Capita],1)))</f>
        <v>43894</v>
      </c>
      <c r="CM13" s="11">
        <f>IF(CI13&gt;AuMaxCasespc,1,-1)*(BX$13-CL13+1)</f>
        <v>17</v>
      </c>
      <c r="DE13" s="26" t="s">
        <v>48</v>
      </c>
      <c r="DG13" s="27">
        <v>43855</v>
      </c>
      <c r="DI13" s="26">
        <v>0</v>
      </c>
      <c r="DJ13" s="26">
        <v>0.20329336152663352</v>
      </c>
      <c r="DK13" s="26">
        <v>9.9999999999999995E-7</v>
      </c>
      <c r="DL13" s="26">
        <v>1.1946625698450987E-2</v>
      </c>
      <c r="DM13" s="26">
        <v>203293.36152663353</v>
      </c>
      <c r="DN13" s="19">
        <v>11.355599354824715</v>
      </c>
      <c r="DO13" s="12">
        <v>17.016800786381637</v>
      </c>
      <c r="DP13" s="26">
        <v>1E-3</v>
      </c>
      <c r="DQ13" s="26"/>
      <c r="DR13" s="27">
        <v>43910</v>
      </c>
      <c r="DS13" s="26" t="s">
        <v>1303</v>
      </c>
      <c r="DT13" s="26">
        <v>876</v>
      </c>
      <c r="DU13" s="26" t="s">
        <v>1304</v>
      </c>
      <c r="DV13" s="27">
        <v>43910</v>
      </c>
      <c r="DW13" s="26">
        <v>59</v>
      </c>
      <c r="DX13" s="26" t="s">
        <v>1305</v>
      </c>
      <c r="DY13" s="26"/>
      <c r="DZ13" s="26" t="s">
        <v>1306</v>
      </c>
      <c r="EA13" s="26"/>
      <c r="EB13" s="26" t="s">
        <v>1307</v>
      </c>
      <c r="EC13" s="26">
        <v>345.37139252483837</v>
      </c>
      <c r="ED13" s="26"/>
      <c r="EE13" s="26"/>
      <c r="EF13" s="26"/>
      <c r="EG13" s="26"/>
      <c r="EH13" s="26" t="s">
        <v>1308</v>
      </c>
      <c r="EI13" s="26"/>
      <c r="EJ13" s="26"/>
    </row>
    <row r="14" spans="1:140" ht="18.75" customHeight="1" x14ac:dyDescent="0.25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2</v>
      </c>
      <c r="R14" s="19">
        <f>IF(ISNUMBER(tblData[SKorea]),tblData[SKorea]/$R$9,"")</f>
        <v>0.38910505836575876</v>
      </c>
      <c r="T14" s="26" t="str">
        <f>IF(ISNUMBER(tblData[UK]),tblData[UK]/$T$9,"")</f>
        <v/>
      </c>
      <c r="U14">
        <v>1406</v>
      </c>
      <c r="V14" s="21">
        <f>IF(ISNUMBER(tblData[China]),tblData[China]/$V$9,"")</f>
        <v>9.7684761652961125</v>
      </c>
      <c r="W14" s="26" t="str">
        <f>IF(tblData[[#This Row],[Date]]&lt;ItalyStart,"",tblData[[#This Row],[Date]]-ItalyStart)</f>
        <v/>
      </c>
      <c r="X14" s="26"/>
      <c r="Y14" s="26">
        <f t="shared" si="3"/>
        <v>3</v>
      </c>
      <c r="Z14" s="26" t="str">
        <f>IF(tblData[[#This Row],[Date]]&lt;StartDt2Korea,"",tblData[[#This Row],[Date]]-StartDt2Korea)</f>
        <v/>
      </c>
      <c r="AA14" s="26" t="str">
        <f>IF(tblData[[#This Row],[Date]]&lt;UKStart,"",tblData[[#This Row],[Date]]-UKStart)</f>
        <v/>
      </c>
      <c r="AB14">
        <f>IF(tblData[Date]&gt;=StartDt2Au,tblData[Date]-StartDt2Au,"")</f>
        <v>0</v>
      </c>
      <c r="AC14" s="26">
        <f>IF(tblData[New South Wales]&gt;=0,SUM(tblData[[#This Row],[Australian Capital Territory]:[Western Australia]]),"")</f>
        <v>0</v>
      </c>
      <c r="AD14" s="26">
        <f>IF(ISNUMBER(tblData[Au]),tblData[Au]/$AA$9,"")</f>
        <v>0</v>
      </c>
      <c r="AE14" s="19">
        <f>IF(ISNUMBER(tblData[[#This Row],[Day'# Aust]]),betaAu/(deltaAu+betaPodeltaAu*EXP(-betaAu*tblData[[#This Row],[Day'# Aust]])),"")</f>
        <v>1.0150253776574341E-2</v>
      </c>
      <c r="AF14" s="72">
        <f>IF(ISNUMBER(tblData[Day'# Aust]),tblData[Au LogiP(t)]/$AD$9,"")</f>
        <v>4.001834795999977E-3</v>
      </c>
      <c r="AG14" s="11">
        <f>IF(AND(tblData[Date]&gt;=StartDt2Au,ISNUMBER(tblData[NSW])),(tblData[[#This Row],[Au LogiP(t)]]-tblData[[#This Row],[Au]])^2,"")</f>
        <v>1.0302765172886168E-4</v>
      </c>
      <c r="AH14" t="str">
        <f>IF(tblData[Date]&gt;StartDt2NSW,tblData[Date]-StartDt2NSW,"")</f>
        <v/>
      </c>
      <c r="AI14">
        <v>0</v>
      </c>
      <c r="AJ14" s="11" t="str">
        <f>IF(tblData[Date]&gt;StartDt2NSW,betaNSW/(deltaNSW+betaPodeltaNSW*EXP(-betaNSW*tblData[[#This Row],[Day '# NSW]])),"")</f>
        <v/>
      </c>
      <c r="AK14" s="12" t="str">
        <f>IF(AND(ISNUMBER(tblData[NSW]),tblData[Date]&gt;StartDt2NSW),(tblData[[#This Row],[NSW LogiP(t)]]-tblData[[#This Row],[NSW]])^2,"")</f>
        <v/>
      </c>
      <c r="AL14" s="12" t="str">
        <f>IF(AND(tblData[Date]&gt;StartDt2NSW,ISNUMBER(tblData[Day'# Aust])),tblData[NSW LogiP(t)]/$AG$9,"")</f>
        <v/>
      </c>
      <c r="AM14" s="11" t="str">
        <f>IF(AND(tblData[Date]&gt;StartDt2Italy,ISNUMBER(tblData[Days'# Italy])),betaItaly/(deltaItaly+betaPodeltaItaly*EXP(-betaItaly*tblData[Days'# Italy])),"")</f>
        <v/>
      </c>
      <c r="AN14" s="11" t="str">
        <f>IF(AND(tblData[Date]&gt;StartDt2Italy,ISNUMBER(tblData[Italy])),(tblData[[#This Row],[Italy LogiP(t)]]-tblData[[#This Row],[Italy]])^2,"")</f>
        <v/>
      </c>
      <c r="AO14" s="11" t="str">
        <f>IF(AND(tblData[Date]&gt;StartDt2Italy,ISNUMBER(tblData[Days'# Italy])),tblData[[#This Row],[Italy LogiP(t)]]/$AM$9,"")</f>
        <v/>
      </c>
      <c r="AP14" s="11" t="str">
        <f>IF(ISNUMBER(tblData[[#This Row],[Days'# US]]),betaUS/(deltaUS+betaPodeltaUS*EXP(-betaUS*tblData[Days'# US])),"")</f>
        <v/>
      </c>
      <c r="AQ14" s="11"/>
      <c r="AR14" s="11" t="str">
        <f>IF(ISNUMBER(tblData[[#This Row],[Days'# US]]),tblData[[#This Row],[US LogiP(t)]]/$AP$9,"")</f>
        <v/>
      </c>
      <c r="AS14" s="11" t="str">
        <f>IF(tblData[Date]&gt;=StartDt2Korea,betaSKorea/(deltaSKorea+betaPodeltaSKorea*EXP(-betaSKorea*(tblData[Date]-StartDt2Korea))),"")</f>
        <v/>
      </c>
      <c r="AT14" s="11" t="str">
        <f>IF(AND(tblData[Date]&gt;=StartDt2Korea,ISNUMBER(tblData[SKorea])),(tblData[[#This Row],[SKorea LogiP(t)]]-tblData[[#This Row],[SKorea]])^2,"")</f>
        <v/>
      </c>
      <c r="AU14" s="11" t="str">
        <f>IF(tblData[Date]&gt;=StartDt2Korea,tblData[[#This Row],[SKorea LogiP(t)]]/$AS$9,"")</f>
        <v/>
      </c>
      <c r="AV14" s="11" t="str">
        <f>IF(ISNUMBER(tblData[Days'# UK]),betaUK/(deltaUK+betaPodeltaUK*EXP(-betaUK*tblData[Days'# UK])),"")</f>
        <v/>
      </c>
      <c r="AW14" s="11" t="str">
        <f>IF(ISNUMBER(tblData[UK]),(tblData[[#This Row],[UK LogiP(t)]]-tblData[[#This Row],[UK]])^2,"")</f>
        <v/>
      </c>
      <c r="AX14" s="11" t="str">
        <f>IF(ISNUMBER(tblData[Days'# UK]),tblData[[#This Row],[UK LogiP(t)]]/$AV$9,"")</f>
        <v/>
      </c>
      <c r="AY14" s="11">
        <f>IF(ISNUMBER(tblData[Days'# China]),betaChina/(deltaChina+betaPodeltaChina*EXP(-betaChina*tblData[Days'# China])),"")</f>
        <v>2941.2969213616634</v>
      </c>
      <c r="AZ14" s="11">
        <f>IF(ISNUMBER(tblData[China]),(tblData[[#This Row],[China LogiP(t)]]-tblData[[#This Row],[China]])^2,"")</f>
        <v>2357136.6367426016</v>
      </c>
      <c r="BA14" s="11">
        <f>tblData[[#This Row],[China LogiP(t)]]/$AY$9</f>
        <v>20.435269467553514</v>
      </c>
      <c r="BB14" s="11"/>
      <c r="BC14" s="11"/>
      <c r="BD14" s="11" t="str">
        <f>IF(ISNUMBER(tblData[[#This Row],[NSW Number of Tests]]),tblData[[#This Row],[NSW Number of Tests]]-BB13,"")</f>
        <v/>
      </c>
      <c r="BE14" s="11" t="str">
        <f>IF(ISNUMBER(tblData[[#This Row],[NSW Under Investigation'']]),tblData[[#This Row],[NSW Under Investigation'']]-BC13,"")</f>
        <v/>
      </c>
      <c r="BF14" s="11"/>
      <c r="BG14" s="11" t="str">
        <f>IF(ISNUMBER(tblData[[#This Row],[NSW Test Day Number]]),betaTest/(deltaTest+betaPodeltaTest*EXP(-betaTest*tblData[[#This Row],[NSW Test Day Number]])),"")</f>
        <v/>
      </c>
      <c r="BH14" s="11" t="str">
        <f>IF(ISNUMBER(tblData[[#This Row],[NSW Number of Tests]]),(tblData[[#This Row],[NSW Number of Tests]]-tblData[[#This Row],[NSW Test Logi]])^2,"")</f>
        <v/>
      </c>
      <c r="BJ14" s="27"/>
      <c r="BK14" s="26" t="s">
        <v>486</v>
      </c>
      <c r="BL14" s="83">
        <v>43911.866307870368</v>
      </c>
      <c r="BM14" s="27">
        <v>43852</v>
      </c>
      <c r="BN14" s="27">
        <v>43870</v>
      </c>
      <c r="BO14" s="26">
        <v>3</v>
      </c>
      <c r="BP14" s="23">
        <v>0.34769529201458815</v>
      </c>
      <c r="BQ14" s="25">
        <v>1.0000000000000751E-9</v>
      </c>
      <c r="BR14" s="22">
        <v>1.709986186409522E-2</v>
      </c>
      <c r="BS14" s="24">
        <f>betaUS/deltaUS</f>
        <v>347695292.01456201</v>
      </c>
      <c r="BT14" s="37">
        <f>SQRT(SUM(tblData[US Sq Err])/COUNT(tblData[US Sq Err]))</f>
        <v>315.73237932545749</v>
      </c>
      <c r="BU14" s="24">
        <f>(betaUS/PoUS)-deltaUS</f>
        <v>20.333222265821231</v>
      </c>
      <c r="BV14" s="24">
        <f>deltaUS*1000</f>
        <v>1.0000000000000751E-6</v>
      </c>
      <c r="BW14" s="24"/>
      <c r="BX14" s="27">
        <f t="array" ref="BX14">MAX(IF(ISNUMBER(tblData[US]),tblData[Date]))</f>
        <v>43910</v>
      </c>
      <c r="BY14" s="27" t="str">
        <f t="shared" si="0"/>
        <v>348 M</v>
      </c>
      <c r="BZ14" s="26">
        <f>MAX(tblData[US])</f>
        <v>19100</v>
      </c>
      <c r="CA14" s="26" t="str">
        <f>Cengnotation(BS14/(USpop/PerPerson),3)</f>
        <v>10.6 M</v>
      </c>
      <c r="CB14" s="27">
        <f t="array" ref="CB14">MAX(IF(ISNUMBER(tblData[Italy]),tblData[Date]))</f>
        <v>43910</v>
      </c>
      <c r="CC14" s="19">
        <f t="array" ref="CC14">COUNT(IF(ISNUMBER(tblData[US]),tblData[Date]))</f>
        <v>41</v>
      </c>
      <c r="CD14" s="27" t="str">
        <f t="shared" si="1"/>
        <v>b=0.348, d=1.00E-09, P0=.0171 Limit=10.6 M</v>
      </c>
      <c r="CE14" s="26"/>
      <c r="CF14" s="26" t="str">
        <f t="shared" si="2"/>
        <v>USA Limit 10.6 M</v>
      </c>
      <c r="CG14" s="33" t="s">
        <v>982</v>
      </c>
      <c r="CH14" s="18" t="str">
        <f>"COVID19 "&amp;BK14 &amp; " " &amp;LogFormula&amp;CHAR(10)&amp;CD14&amp;CHAR(10)&amp;TEXT(CB14," dd-mmm")&amp;IF(PopScaling=0,"",", "&amp;PerPersonLabel)&amp;CHAR(10)&amp;CG14</f>
        <v>COVID19 USA P(t) = b / {d+[( b/Po - d ) ]* exp(-b*t)}
b=0.348, d=1.00E-09, P0=.0171 Limit=10.6 M
 20-Mar, Cases per 10 M population
 - Prediction without last day</v>
      </c>
      <c r="CI14" s="21">
        <f>MAX(tblData[US Cases Per Capita])</f>
        <v>580.14551422406544</v>
      </c>
      <c r="CJ14" s="27">
        <f>IF(CI14&gt;NSWMaxCasespc,INDEX(tblData[Date],1+MATCH(NSWMaxCasespc,tblData[US Cases Per Capita],1)),INDEX(tblData[Date],1+MATCH(CI14,tblData[NSW Cases per Capita],1)))</f>
        <v>43910</v>
      </c>
      <c r="CK14" s="11">
        <f>IF(CI14&gt;NSWMaxCasespc,1,-1)*(BX$12-CJ14)</f>
        <v>1</v>
      </c>
      <c r="CL14" s="27">
        <f>IF(CI14&gt;AuMaxCasespc,INDEX(tblData[Date],1+MATCH(AuMaxCasespc,tblData[US Cases Per Capita],1)),INDEX(tblData[Date],1+MATCH(CI14,tblData[Au Cases Per Capita],1)))</f>
        <v>43910</v>
      </c>
      <c r="CM14" s="11">
        <f>IF(CI14&gt;AuMaxCasespc,1,-1)*(BX$13-CL14+1)</f>
        <v>1</v>
      </c>
      <c r="CN14" s="26"/>
      <c r="CP14" s="26"/>
      <c r="CQ14" s="26"/>
      <c r="DE14" s="26" t="s">
        <v>48</v>
      </c>
      <c r="DF14" s="82">
        <v>43911.866249999999</v>
      </c>
      <c r="DG14" s="27">
        <v>43855</v>
      </c>
      <c r="DH14" s="27">
        <v>43855</v>
      </c>
      <c r="DI14" s="26">
        <v>0</v>
      </c>
      <c r="DJ14" s="26">
        <v>0.20648931335259277</v>
      </c>
      <c r="DK14" s="26">
        <v>1.0000000000000768E-9</v>
      </c>
      <c r="DL14" s="26">
        <v>1.0150253776574341E-2</v>
      </c>
      <c r="DM14" s="26">
        <v>206489313.35257691</v>
      </c>
      <c r="DN14" s="19">
        <v>10.992507007919523</v>
      </c>
      <c r="DO14" s="12">
        <v>20.343266078627209</v>
      </c>
      <c r="DP14" s="26">
        <v>1.0000000000000768E-6</v>
      </c>
      <c r="DQ14" s="26"/>
      <c r="DR14" s="27">
        <v>43911</v>
      </c>
      <c r="DS14" s="26" t="s">
        <v>1493</v>
      </c>
      <c r="DT14" s="26">
        <v>1068</v>
      </c>
      <c r="DU14" s="26" t="s">
        <v>1494</v>
      </c>
      <c r="DV14" s="27">
        <v>43911</v>
      </c>
      <c r="DW14" s="26">
        <v>60</v>
      </c>
      <c r="DX14" s="26" t="s">
        <v>1495</v>
      </c>
      <c r="DZ14" s="26" t="s">
        <v>1496</v>
      </c>
      <c r="EA14" s="26"/>
      <c r="EB14" s="26" t="s">
        <v>1497</v>
      </c>
      <c r="EC14" s="26">
        <v>421.06923198233716</v>
      </c>
      <c r="ED14" s="26"/>
      <c r="EE14" s="26"/>
      <c r="EF14" s="26"/>
      <c r="EG14" s="26"/>
      <c r="EH14" s="26" t="s">
        <v>1475</v>
      </c>
      <c r="EI14" s="26"/>
      <c r="EJ14" s="26"/>
    </row>
    <row r="15" spans="1:140" ht="15" customHeight="1" x14ac:dyDescent="0.3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3</v>
      </c>
      <c r="R15" s="19">
        <f>IF(ISNUMBER(tblData[SKorea]),tblData[SKorea]/$R$9,"")</f>
        <v>0.58365758754863817</v>
      </c>
      <c r="T15" s="26" t="str">
        <f>IF(ISNUMBER(tblData[UK]),tblData[UK]/$T$9,"")</f>
        <v/>
      </c>
      <c r="U15">
        <v>2075</v>
      </c>
      <c r="V15" s="21">
        <f>IF(ISNUMBER(tblData[China]),tblData[China]/$V$9,"")</f>
        <v>14.416492206962612</v>
      </c>
      <c r="W15" s="26" t="str">
        <f>IF(tblData[[#This Row],[Date]]&lt;ItalyStart,"",tblData[[#This Row],[Date]]-ItalyStart)</f>
        <v/>
      </c>
      <c r="X15" s="26"/>
      <c r="Y15" s="26">
        <f t="shared" si="3"/>
        <v>4</v>
      </c>
      <c r="Z15" s="26" t="str">
        <f>IF(tblData[[#This Row],[Date]]&lt;StartDt2Korea,"",tblData[[#This Row],[Date]]-StartDt2Korea)</f>
        <v/>
      </c>
      <c r="AA15" s="26" t="str">
        <f>IF(tblData[[#This Row],[Date]]&lt;UKStart,"",tblData[[#This Row],[Date]]-UKStart)</f>
        <v/>
      </c>
      <c r="AB15">
        <f>IF(tblData[Date]&gt;=StartDt2Au,tblData[Date]-StartDt2Au,"")</f>
        <v>1</v>
      </c>
      <c r="AC15">
        <f>IF(tblData[New South Wales]&gt;0,SUM(tblData[[#This Row],[Australian Capital Territory]:[Western Australia]]),"")</f>
        <v>4</v>
      </c>
      <c r="AD15" s="12">
        <f>IF(ISNUMBER(tblData[Au]),tblData[Au]/$AA$9,"")</f>
        <v>1.5770383220312254</v>
      </c>
      <c r="AE15" s="19">
        <f>IF(ISNUMBER(tblData[[#This Row],[Day'# Aust]]),betaAu/(deltaAu+betaPodeltaAu*EXP(-betaAu*tblData[[#This Row],[Day'# Aust]])),"")</f>
        <v>1.2478261135405143E-2</v>
      </c>
      <c r="AF15" s="72">
        <f>IF(ISNUMBER(tblData[Day'# Aust]),tblData[Au LogiP(t)]/$AD$9,"")</f>
        <v>4.9196740007116952E-3</v>
      </c>
      <c r="AG15" s="11">
        <f>IF(AND(tblData[Date]&gt;=StartDt2Au,ISNUMBER(tblData[NSW])),(tblData[[#This Row],[Au LogiP(t)]]-tblData[[#This Row],[Au]])^2,"")</f>
        <v>15.900329617917723</v>
      </c>
      <c r="AH15">
        <f>IF(tblData[Date]&gt;StartDt2NSW,tblData[Date]-StartDt2NSW,"")</f>
        <v>1</v>
      </c>
      <c r="AI15">
        <f t="shared" ref="AI15:AI62" si="4">IF(E15&gt;0,E15,"")</f>
        <v>3</v>
      </c>
      <c r="AJ15" s="11">
        <f>IF(tblData[Date]&gt;StartDt2NSW,betaNSW/(deltaNSW+betaPodeltaNSW*EXP(-betaNSW*tblData[[#This Row],[Day '# NSW]])),"")</f>
        <v>5.3060044382377131E-3</v>
      </c>
      <c r="AK15" s="12">
        <f>IF(AND(ISNUMBER(tblData[NSW]),tblData[Date]&gt;StartDt2NSW),(tblData[[#This Row],[NSW LogiP(t)]]-tblData[[#This Row],[NSW]])^2,"")</f>
        <v>8.9681921270536709</v>
      </c>
      <c r="AL15" s="12">
        <f>IF(AND(tblData[Date]&gt;StartDt2NSW,ISNUMBER(tblData[Day'# Aust])),tblData[NSW LogiP(t)]/$AG$9,"")</f>
        <v>6.5668371760367735E-3</v>
      </c>
      <c r="AM15" s="11" t="str">
        <f>IF(AND(tblData[Date]&gt;StartDt2Italy,ISNUMBER(tblData[Days'# Italy])),betaItaly/(deltaItaly+betaPodeltaItaly*EXP(-betaItaly*tblData[Days'# Italy])),"")</f>
        <v/>
      </c>
      <c r="AN15" s="11" t="str">
        <f>IF(AND(tblData[Date]&gt;StartDt2Italy,ISNUMBER(tblData[Italy])),(tblData[[#This Row],[Italy LogiP(t)]]-tblData[[#This Row],[Italy]])^2,"")</f>
        <v/>
      </c>
      <c r="AO15" s="11" t="str">
        <f>IF(AND(tblData[Date]&gt;StartDt2Italy,ISNUMBER(tblData[Days'# Italy])),tblData[[#This Row],[Italy LogiP(t)]]/$AM$9,"")</f>
        <v/>
      </c>
      <c r="AP15" s="11" t="str">
        <f>IF(ISNUMBER(tblData[[#This Row],[Days'# US]]),betaUS/(deltaUS+betaPodeltaUS*EXP(-betaUS*tblData[Days'# US])),"")</f>
        <v/>
      </c>
      <c r="AQ15" s="11"/>
      <c r="AR15" s="11" t="str">
        <f>IF(ISNUMBER(tblData[[#This Row],[Days'# US]]),tblData[[#This Row],[US LogiP(t)]]/$AP$9,"")</f>
        <v/>
      </c>
      <c r="AS15" s="11" t="str">
        <f>IF(tblData[Date]&gt;=StartDt2Korea,betaSKorea/(deltaSKorea+betaPodeltaSKorea*EXP(-betaSKorea*(tblData[Date]-StartDt2Korea))),"")</f>
        <v/>
      </c>
      <c r="AT15" s="11" t="str">
        <f>IF(AND(tblData[Date]&gt;=StartDt2Korea,ISNUMBER(tblData[SKorea])),(tblData[[#This Row],[SKorea LogiP(t)]]-tblData[[#This Row],[SKorea]])^2,"")</f>
        <v/>
      </c>
      <c r="AU15" s="11" t="str">
        <f>IF(tblData[Date]&gt;=StartDt2Korea,tblData[[#This Row],[SKorea LogiP(t)]]/$AS$9,"")</f>
        <v/>
      </c>
      <c r="AV15" s="11" t="str">
        <f>IF(ISNUMBER(tblData[Days'# UK]),betaUK/(deltaUK+betaPodeltaUK*EXP(-betaUK*tblData[Days'# UK])),"")</f>
        <v/>
      </c>
      <c r="AW15" s="11" t="str">
        <f>IF(ISNUMBER(tblData[UK]),(tblData[[#This Row],[UK LogiP(t)]]-tblData[[#This Row],[UK]])^2,"")</f>
        <v/>
      </c>
      <c r="AX15" s="11" t="str">
        <f>IF(ISNUMBER(tblData[Days'# UK]),tblData[[#This Row],[UK LogiP(t)]]/$AV$9,"")</f>
        <v/>
      </c>
      <c r="AY15" s="11">
        <f>IF(ISNUMBER(tblData[Days'# China]),betaChina/(deltaChina+betaPodeltaChina*EXP(-betaChina*tblData[Days'# China])),"")</f>
        <v>3640.0451939728446</v>
      </c>
      <c r="AZ15" s="11">
        <f>IF(ISNUMBER(tblData[China]),(tblData[[#This Row],[China LogiP(t)]]-tblData[[#This Row],[China]])^2,"")</f>
        <v>2449366.4591774987</v>
      </c>
      <c r="BA15" s="11">
        <f>tblData[[#This Row],[China LogiP(t)]]/$AY$9</f>
        <v>25.289967793687335</v>
      </c>
      <c r="BB15" s="11"/>
      <c r="BC15" s="11"/>
      <c r="BD15" s="11" t="str">
        <f>IF(ISNUMBER(tblData[[#This Row],[NSW Number of Tests]]),tblData[[#This Row],[NSW Number of Tests]]-BB14,"")</f>
        <v/>
      </c>
      <c r="BE15" s="11" t="str">
        <f>IF(ISNUMBER(tblData[[#This Row],[NSW Under Investigation'']]),tblData[[#This Row],[NSW Under Investigation'']]-BC14,"")</f>
        <v/>
      </c>
      <c r="BF15" s="11"/>
      <c r="BG15" s="11" t="str">
        <f>IF(ISNUMBER(tblData[[#This Row],[NSW Test Day Number]]),betaTest/(deltaTest+betaPodeltaTest*EXP(-betaTest*tblData[[#This Row],[NSW Test Day Number]])),"")</f>
        <v/>
      </c>
      <c r="BH15" s="11" t="str">
        <f>IF(ISNUMBER(tblData[[#This Row],[NSW Number of Tests]]),(tblData[[#This Row],[NSW Number of Tests]]-tblData[[#This Row],[NSW Test Logi]])^2,"")</f>
        <v/>
      </c>
      <c r="BJ15" s="27"/>
      <c r="BK15" s="26" t="s">
        <v>225</v>
      </c>
      <c r="BL15" s="83">
        <v>43911.866319444445</v>
      </c>
      <c r="BM15" s="27">
        <v>43852</v>
      </c>
      <c r="BN15" s="27">
        <v>43852</v>
      </c>
      <c r="BO15" s="26">
        <v>4</v>
      </c>
      <c r="BP15" s="23">
        <v>0.2221429979133962</v>
      </c>
      <c r="BQ15" s="25">
        <v>2.744154619604968E-6</v>
      </c>
      <c r="BR15" s="22">
        <v>1537.6493038446686</v>
      </c>
      <c r="BS15" s="24">
        <f>betaChina/deltaChina</f>
        <v>80951.341563025548</v>
      </c>
      <c r="BT15" s="37">
        <f>SQRT(SUM(tblData[China Sq Err])/COUNT(tblData[China Sq Err]))</f>
        <v>2094.0856057837377</v>
      </c>
      <c r="BU15" s="24">
        <f>(betaChina/PoChina)-deltaChina</f>
        <v>1.4172506691092213E-4</v>
      </c>
      <c r="BV15" s="24">
        <f>deltaChina*1000</f>
        <v>2.744154619604968E-3</v>
      </c>
      <c r="BW15" s="24"/>
      <c r="BX15" s="27">
        <f t="array" ref="BX15">MAX(IF(ISNUMBER(tblData[Italy]),tblData[Date]))</f>
        <v>43910</v>
      </c>
      <c r="BY15" s="27" t="str">
        <f t="shared" si="0"/>
        <v>81.0 k</v>
      </c>
      <c r="BZ15" s="26">
        <f>MAX(tblData[China])</f>
        <v>81250</v>
      </c>
      <c r="CA15" s="26" t="str">
        <f>Cengnotation(BS15/(ChinaPop/PerPerson),3)</f>
        <v xml:space="preserve">562  </v>
      </c>
      <c r="CB15" s="27">
        <f t="array" ref="CB15">MAX(IF(ISNUMBER(tblData[China]),tblData[Date]))</f>
        <v>43910</v>
      </c>
      <c r="CC15" s="19">
        <f t="array" ref="CC15">COUNT(IF(ISNUMBER(tblData[China]),tblData[Date]))</f>
        <v>59</v>
      </c>
      <c r="CD15" s="27" t="str">
        <f t="shared" si="1"/>
        <v xml:space="preserve">b=0.222, d=2.74E-06, P0=1537.6493 Limit=562  </v>
      </c>
      <c r="CE15" s="26"/>
      <c r="CF15" s="26" t="str">
        <f t="shared" si="2"/>
        <v xml:space="preserve">China Limit 562  </v>
      </c>
      <c r="CG15" s="26"/>
      <c r="CH15" s="18" t="str">
        <f>"COVID19 "&amp;BK15 &amp; " " &amp;LogFormula&amp;CHAR(10)&amp;CD15&amp;CHAR(10)&amp;TEXT(CB15," dd-mmm")&amp;IF(PopScaling=0,"",", "&amp;PerPersonLabel)&amp;CHAR(10)&amp;CG15</f>
        <v xml:space="preserve">COVID19 China P(t) = b / {d+[( b/Po - d ) ]* exp(-b*t)}
b=0.222, d=2.74E-06, P0=1537.6493 Limit=562  
 20-Mar, Cases per 10 M population
</v>
      </c>
      <c r="CI15" s="21">
        <f>MAX(tblData[China Cases Per Capita])</f>
        <v>564.50120087504206</v>
      </c>
      <c r="CJ15" s="27">
        <f>IF(CI15&gt;NSWMaxCasespc,INDEX(tblData[Date],1+MATCH(NSWMaxCasespc,tblData[China Cases Per Capita],1)),INDEX(tblData[Date],1+MATCH(CI15,tblData[NSW Cases per Capita],1)))</f>
        <v>43886</v>
      </c>
      <c r="CK15" s="11">
        <f>IF(CI15&gt;NSWMaxCasespc,1,-1)*(BX$12-CJ15)</f>
        <v>25</v>
      </c>
      <c r="CL15" s="27">
        <f>IF(CI15&gt;AuMaxCasespc,INDEX(tblData[Date],1+MATCH(AuMaxCasespc,tblData[China Cases Per Capita],1)),INDEX(tblData[Date],1+MATCH(CI15,tblData[Au Cases Per Capita],1)))</f>
        <v>43875</v>
      </c>
      <c r="CM15" s="11">
        <f>IF(CI15&gt;AuMaxCasespc,1,-1)*(BX$13-CL15+1)</f>
        <v>36</v>
      </c>
      <c r="CN15" s="26"/>
      <c r="CP15" s="26"/>
      <c r="CQ15" s="26"/>
      <c r="DE15" s="26" t="s">
        <v>202</v>
      </c>
      <c r="DG15" s="27">
        <v>43855</v>
      </c>
      <c r="DI15" s="26">
        <v>1</v>
      </c>
      <c r="DJ15" s="23">
        <v>0.19302410780606497</v>
      </c>
      <c r="DK15" s="25">
        <v>2.763601010404924E-4</v>
      </c>
      <c r="DL15" s="22">
        <v>9.6455935044007356E-3</v>
      </c>
      <c r="DM15" s="26">
        <v>698.45143014252619</v>
      </c>
      <c r="DN15" s="19">
        <v>3.2654567368634559</v>
      </c>
      <c r="DO15" s="37">
        <v>20.011359804951844</v>
      </c>
      <c r="DP15" s="24">
        <v>0.27636010104049241</v>
      </c>
      <c r="DQ15" s="12">
        <v>3.5803519373979857</v>
      </c>
      <c r="DR15" s="27">
        <v>43903</v>
      </c>
      <c r="DS15" s="27" t="s">
        <v>769</v>
      </c>
      <c r="DT15" s="19"/>
      <c r="DU15" s="19"/>
      <c r="DW15" s="27"/>
      <c r="DX15" s="27"/>
      <c r="DY15" s="26"/>
      <c r="DZ15" s="17"/>
      <c r="EA15" s="26"/>
      <c r="EB15" s="26"/>
      <c r="EC15" s="26"/>
      <c r="ED15" s="27"/>
      <c r="EE15" s="27"/>
      <c r="EF15" s="26"/>
      <c r="EG15" s="26"/>
      <c r="EI15" s="26"/>
      <c r="EJ15" s="26"/>
    </row>
    <row r="16" spans="1:140" ht="18.75" customHeight="1" x14ac:dyDescent="0.25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4</v>
      </c>
      <c r="R16" s="19">
        <f>IF(ISNUMBER(tblData[SKorea]),tblData[SKorea]/$R$9,"")</f>
        <v>0.77821011673151752</v>
      </c>
      <c r="T16" s="26" t="str">
        <f>IF(ISNUMBER(tblData[UK]),tblData[UK]/$T$9,"")</f>
        <v/>
      </c>
      <c r="U16">
        <v>2877</v>
      </c>
      <c r="V16" s="21">
        <f>IF(ISNUMBER(tblData[China]),tblData[China]/$V$9,"")</f>
        <v>19.988553291292259</v>
      </c>
      <c r="W16" s="26" t="str">
        <f>IF(tblData[[#This Row],[Date]]&lt;ItalyStart,"",tblData[[#This Row],[Date]]-ItalyStart)</f>
        <v/>
      </c>
      <c r="X16" s="26"/>
      <c r="Y16" s="26">
        <f t="shared" si="3"/>
        <v>5</v>
      </c>
      <c r="Z16" s="26" t="str">
        <f>IF(tblData[[#This Row],[Date]]&lt;StartDt2Korea,"",tblData[[#This Row],[Date]]-StartDt2Korea)</f>
        <v/>
      </c>
      <c r="AA16" s="26" t="str">
        <f>IF(tblData[[#This Row],[Date]]&lt;UKStart,"",tblData[[#This Row],[Date]]-UKStart)</f>
        <v/>
      </c>
      <c r="AB16">
        <f>IF(tblData[Date]&gt;=StartDt2Au,tblData[Date]-StartDt2Au,"")</f>
        <v>2</v>
      </c>
      <c r="AC16" s="26">
        <f>IF(tblData[New South Wales]&gt;0,SUM(tblData[[#This Row],[Australian Capital Territory]:[Western Australia]]),"")</f>
        <v>5</v>
      </c>
      <c r="AD16" s="12">
        <f>IF(ISNUMBER(tblData[Au]),tblData[Au]/$AA$9,"")</f>
        <v>1.9712979025390318</v>
      </c>
      <c r="AE16" s="19">
        <f>IF(ISNUMBER(tblData[[#This Row],[Day'# Aust]]),betaAu/(deltaAu+betaPodeltaAu*EXP(-betaAu*tblData[[#This Row],[Day'# Aust]])),"")</f>
        <v>1.5340207682522615E-2</v>
      </c>
      <c r="AF16" s="72">
        <f>IF(ISNUMBER(tblData[Day'# Aust]),tblData[Au LogiP(t)]/$AD$9,"")</f>
        <v>6.048023845813994E-3</v>
      </c>
      <c r="AG16" s="11">
        <f>IF(AND(tblData[Date]&gt;=StartDt2Au,ISNUMBER(tblData[NSW])),(tblData[[#This Row],[Au LogiP(t)]]-tblData[[#This Row],[Au]])^2,"")</f>
        <v>24.846833245146513</v>
      </c>
      <c r="AH16">
        <f>IF(tblData[Date]&gt;StartDt2NSW,tblData[Date]-StartDt2NSW,"")</f>
        <v>2</v>
      </c>
      <c r="AI16">
        <f t="shared" si="4"/>
        <v>4</v>
      </c>
      <c r="AJ16" s="11">
        <f>IF(tblData[Date]&gt;StartDt2NSW,betaNSW/(deltaNSW+betaPodeltaNSW*EXP(-betaNSW*tblData[[#This Row],[Day '# NSW]])),"")</f>
        <v>6.5413571544613146E-3</v>
      </c>
      <c r="AK16" s="12">
        <f>IF(AND(ISNUMBER(tblData[NSW]),tblData[Date]&gt;StartDt2NSW),(tblData[[#This Row],[NSW LogiP(t)]]-tblData[[#This Row],[NSW]])^2,"")</f>
        <v>15.947711932117731</v>
      </c>
      <c r="AL16" s="12">
        <f>IF(AND(tblData[Date]&gt;StartDt2NSW,ISNUMBER(tblData[Day'# Aust])),tblData[NSW LogiP(t)]/$AG$9,"")</f>
        <v>8.0957390525511312E-3</v>
      </c>
      <c r="AM16" s="11" t="str">
        <f>IF(AND(tblData[Date]&gt;StartDt2Italy,ISNUMBER(tblData[Days'# Italy])),betaItaly/(deltaItaly+betaPodeltaItaly*EXP(-betaItaly*tblData[Days'# Italy])),"")</f>
        <v/>
      </c>
      <c r="AN16" s="11" t="str">
        <f>IF(AND(tblData[Date]&gt;StartDt2Italy,ISNUMBER(tblData[Italy])),(tblData[[#This Row],[Italy LogiP(t)]]-tblData[[#This Row],[Italy]])^2,"")</f>
        <v/>
      </c>
      <c r="AO16" s="11" t="str">
        <f>IF(AND(tblData[Date]&gt;StartDt2Italy,ISNUMBER(tblData[Days'# Italy])),tblData[[#This Row],[Italy LogiP(t)]]/$AM$9,"")</f>
        <v/>
      </c>
      <c r="AP16" s="11" t="str">
        <f>IF(ISNUMBER(tblData[[#This Row],[Days'# US]]),betaUS/(deltaUS+betaPodeltaUS*EXP(-betaUS*tblData[Days'# US])),"")</f>
        <v/>
      </c>
      <c r="AQ16" s="11"/>
      <c r="AR16" s="11" t="str">
        <f>IF(ISNUMBER(tblData[[#This Row],[Days'# US]]),tblData[[#This Row],[US LogiP(t)]]/$AP$9,"")</f>
        <v/>
      </c>
      <c r="AS16" s="11" t="str">
        <f>IF(tblData[Date]&gt;=StartDt2Korea,betaSKorea/(deltaSKorea+betaPodeltaSKorea*EXP(-betaSKorea*(tblData[Date]-StartDt2Korea))),"")</f>
        <v/>
      </c>
      <c r="AT16" s="11" t="str">
        <f>IF(AND(tblData[Date]&gt;=StartDt2Korea,ISNUMBER(tblData[SKorea])),(tblData[[#This Row],[SKorea LogiP(t)]]-tblData[[#This Row],[SKorea]])^2,"")</f>
        <v/>
      </c>
      <c r="AU16" s="11" t="str">
        <f>IF(tblData[Date]&gt;=StartDt2Korea,tblData[[#This Row],[SKorea LogiP(t)]]/$AS$9,"")</f>
        <v/>
      </c>
      <c r="AV16" s="11" t="str">
        <f>IF(ISNUMBER(tblData[Days'# UK]),betaUK/(deltaUK+betaPodeltaUK*EXP(-betaUK*tblData[Days'# UK])),"")</f>
        <v/>
      </c>
      <c r="AW16" s="11" t="str">
        <f>IF(ISNUMBER(tblData[UK]),(tblData[[#This Row],[UK LogiP(t)]]-tblData[[#This Row],[UK]])^2,"")</f>
        <v/>
      </c>
      <c r="AX16" s="11" t="str">
        <f>IF(ISNUMBER(tblData[Days'# UK]),tblData[[#This Row],[UK LogiP(t)]]/$AV$9,"")</f>
        <v/>
      </c>
      <c r="AY16" s="11">
        <f>IF(ISNUMBER(tblData[Days'# China]),betaChina/(deltaChina+betaPodeltaChina*EXP(-betaChina*tblData[Days'# China])),"")</f>
        <v>4495.225968076621</v>
      </c>
      <c r="AZ16" s="11">
        <f>IF(ISNUMBER(tblData[China]),(tblData[[#This Row],[China LogiP(t)]]-tblData[[#This Row],[China]])^2,"")</f>
        <v>2618655.2837575171</v>
      </c>
      <c r="BA16" s="11">
        <f>tblData[[#This Row],[China LogiP(t)]]/$AY$9</f>
        <v>31.231513319186782</v>
      </c>
      <c r="BB16" s="11"/>
      <c r="BC16" s="11"/>
      <c r="BD16" s="11" t="str">
        <f>IF(ISNUMBER(tblData[[#This Row],[NSW Number of Tests]]),tblData[[#This Row],[NSW Number of Tests]]-BB15,"")</f>
        <v/>
      </c>
      <c r="BE16" s="11" t="str">
        <f>IF(ISNUMBER(tblData[[#This Row],[NSW Under Investigation'']]),tblData[[#This Row],[NSW Under Investigation'']]-BC15,"")</f>
        <v/>
      </c>
      <c r="BF16" s="11"/>
      <c r="BG16" s="11" t="str">
        <f>IF(ISNUMBER(tblData[[#This Row],[NSW Test Day Number]]),betaTest/(deltaTest+betaPodeltaTest*EXP(-betaTest*tblData[[#This Row],[NSW Test Day Number]])),"")</f>
        <v/>
      </c>
      <c r="BH16" s="11" t="str">
        <f>IF(ISNUMBER(tblData[[#This Row],[NSW Number of Tests]]),(tblData[[#This Row],[NSW Number of Tests]]-tblData[[#This Row],[NSW Test Logi]])^2,"")</f>
        <v/>
      </c>
      <c r="BJ16" s="27"/>
      <c r="BK16" s="26" t="s">
        <v>1293</v>
      </c>
      <c r="BL16" s="83">
        <v>43911.866331018522</v>
      </c>
      <c r="BM16" s="27">
        <v>43852</v>
      </c>
      <c r="BN16" s="27">
        <v>43880</v>
      </c>
      <c r="BO16" s="26">
        <v>5</v>
      </c>
      <c r="BP16" s="23">
        <v>0.32566109072274135</v>
      </c>
      <c r="BQ16" s="25">
        <v>3.9144727914542807E-5</v>
      </c>
      <c r="BR16" s="22">
        <v>174.6164952155498</v>
      </c>
      <c r="BS16" s="24">
        <f>betaSKorea/deltaSKorea</f>
        <v>8319.4112738168697</v>
      </c>
      <c r="BT16" s="37">
        <f t="array" ref="BT16">SQRT(SUM(tblData[Skorea Sq Err])/COUNT(tblData[Skorea Sq Err]))</f>
        <v>139.72665717739883</v>
      </c>
      <c r="BU16" s="24">
        <f>(betaSKorea/PoSKorea)-deltaSKorea</f>
        <v>1.8258628724312283E-3</v>
      </c>
      <c r="BV16" s="24">
        <f>deltaSKorea*1000</f>
        <v>3.9144727914542807E-2</v>
      </c>
      <c r="BW16" s="24"/>
      <c r="BX16" s="27">
        <f t="array" ref="BX16">MAX(IF(ISNUMBER(tblData[SKorea]),tblData[Date]))</f>
        <v>43910</v>
      </c>
      <c r="BY16" s="27" t="str">
        <f t="shared" si="0"/>
        <v>8.32 k</v>
      </c>
      <c r="BZ16" s="26">
        <f>MAX(tblData[SKorea])</f>
        <v>8652</v>
      </c>
      <c r="CA16" s="26" t="str">
        <f>Cengnotation(BS16/(SKoreaPop/PerPerson),3)</f>
        <v>1.62 k</v>
      </c>
      <c r="CB16" s="27">
        <f t="array" ref="CB16">MAX(IF(ISNUMBER(tblData[SKorea]),tblData[Date]))</f>
        <v>43910</v>
      </c>
      <c r="CC16" s="19">
        <f t="array" ref="CC16">COUNT(IF(ISNUMBER(tblData[SKorea]),tblData[Date]))</f>
        <v>59</v>
      </c>
      <c r="CD16" s="27" t="str">
        <f t="shared" si="1"/>
        <v>b=0.326, d=3.91E-05, P0=174.6165 Limit=1.62 k</v>
      </c>
      <c r="CE16" s="26"/>
      <c r="CF16" s="26" t="str">
        <f>BK16&amp;" Limit " &amp; IF(PopScaling=0,BY16,CA16) &amp; " fr 19th Feb"</f>
        <v>Skorea Limit 1.62 k fr 19th Feb</v>
      </c>
      <c r="CG16" s="33" t="s">
        <v>1302</v>
      </c>
      <c r="CH16" s="18" t="str">
        <f>"COVID19 "&amp;BK16 &amp; " " &amp;LogFormula&amp;CHAR(10)&amp;CD16&amp;CHAR(10)&amp;TEXT(CB16," dd-mmm")&amp;IF(PopScaling=0,"",", "&amp;PerPersonLabel)&amp;CHAR(10)&amp;CG16</f>
        <v xml:space="preserve">COVID19 Skorea P(t) = b / {d+[( b/Po - d ) ]* exp(-b*t)}
b=0.326, d=3.91E-05, P0=174.6165 Limit=1.62 k
 20-Mar, Cases per 10 M population
log fit from 19th Feb </v>
      </c>
      <c r="CI16" s="21">
        <f>MAX(tblData[SKorea Cases Per Capita])</f>
        <v>1683.2684824902724</v>
      </c>
      <c r="CJ16" s="27">
        <f>IF(CI16&gt;NSWMaxCasespc,INDEX(tblData[Date],1+MATCH(NSWMaxCasespc,tblData[SKorea Cases Per Capita],1)),INDEX(tblData[Date],1+MATCH(CI16,tblData[NSW Cases per Capita],1)))</f>
        <v>43890</v>
      </c>
      <c r="CK16" s="11">
        <f>IF(CI16&gt;NSWMaxCasespc,1,-1)*(BX$12-CJ16)</f>
        <v>21</v>
      </c>
      <c r="CL16" s="27">
        <f>IF(CI16&gt;AuMaxCasespc,INDEX(tblData[Date],1+MATCH(AuMaxCasespc,tblData[SKorea Cases Per Capita],1)),INDEX(tblData[Date],1+MATCH(CI16,tblData[Au Cases Per Capita],1)))</f>
        <v>43889</v>
      </c>
      <c r="CM16" s="11">
        <f>IF(CI16&gt;AuMaxCasespc,1,-1)*(BX$13-CL16+1)</f>
        <v>22</v>
      </c>
      <c r="CN16" s="26"/>
      <c r="CO16" s="26"/>
      <c r="CP16" s="26"/>
      <c r="CQ16" s="26"/>
      <c r="CR16" s="26"/>
      <c r="CS16" s="26"/>
      <c r="CT16" s="26"/>
      <c r="CU16" s="26"/>
      <c r="CV16" s="26"/>
      <c r="DE16" s="26" t="s">
        <v>202</v>
      </c>
      <c r="DG16" s="27">
        <v>43855</v>
      </c>
      <c r="DI16" s="26">
        <v>1</v>
      </c>
      <c r="DJ16" s="23">
        <v>0.20197976034974141</v>
      </c>
      <c r="DK16" s="25">
        <v>3.7238456472139586E-4</v>
      </c>
      <c r="DL16" s="23">
        <v>6.7779266478176703E-3</v>
      </c>
      <c r="DM16" s="26">
        <v>542.39562937001722</v>
      </c>
      <c r="DN16" s="19">
        <v>3.1776191206100863</v>
      </c>
      <c r="DO16" s="37">
        <v>29.799265593927426</v>
      </c>
      <c r="DP16" s="24">
        <v>0.37238456472139586</v>
      </c>
      <c r="DQ16" s="12">
        <v>3.1776191206100863</v>
      </c>
      <c r="DR16" s="27">
        <v>43904</v>
      </c>
      <c r="DS16" s="27" t="s">
        <v>770</v>
      </c>
      <c r="DT16" s="19"/>
      <c r="DU16" s="19"/>
      <c r="DW16" s="26"/>
      <c r="DX16" s="18"/>
      <c r="DY16" s="26"/>
      <c r="EA16" s="26"/>
      <c r="EB16" s="26"/>
      <c r="EC16" s="26"/>
      <c r="ED16" s="26"/>
      <c r="EE16" s="26"/>
      <c r="EF16" s="26"/>
      <c r="EG16" s="26"/>
      <c r="EI16" s="26"/>
      <c r="EJ16" s="26"/>
    </row>
    <row r="17" spans="2:140" ht="15" customHeight="1" x14ac:dyDescent="0.3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4</v>
      </c>
      <c r="R17" s="19">
        <f>IF(ISNUMBER(tblData[SKorea]),tblData[SKorea]/$R$9,"")</f>
        <v>0.77821011673151752</v>
      </c>
      <c r="T17" s="26" t="str">
        <f>IF(ISNUMBER(tblData[UK]),tblData[UK]/$T$9,"")</f>
        <v/>
      </c>
      <c r="U17">
        <v>5509</v>
      </c>
      <c r="V17" s="21">
        <f>IF(ISNUMBER(tblData[China]),tblData[China]/$V$9,"")</f>
        <v>38.274918346099774</v>
      </c>
      <c r="W17" s="26" t="str">
        <f>IF(tblData[[#This Row],[Date]]&lt;ItalyStart,"",tblData[[#This Row],[Date]]-ItalyStart)</f>
        <v/>
      </c>
      <c r="X17" s="26"/>
      <c r="Y17" s="26">
        <f t="shared" si="3"/>
        <v>6</v>
      </c>
      <c r="Z17" s="26" t="str">
        <f>IF(tblData[[#This Row],[Date]]&lt;StartDt2Korea,"",tblData[[#This Row],[Date]]-StartDt2Korea)</f>
        <v/>
      </c>
      <c r="AA17" s="26" t="str">
        <f>IF(tblData[[#This Row],[Date]]&lt;UKStart,"",tblData[[#This Row],[Date]]-UKStart)</f>
        <v/>
      </c>
      <c r="AB17">
        <f>IF(tblData[Date]&gt;=StartDt2Au,tblData[Date]-StartDt2Au,"")</f>
        <v>3</v>
      </c>
      <c r="AC17" s="26">
        <f>IF(tblData[New South Wales]&gt;0,SUM(tblData[[#This Row],[Australian Capital Territory]:[Western Australia]]),"")</f>
        <v>5</v>
      </c>
      <c r="AD17" s="12">
        <f>IF(ISNUMBER(tblData[Au]),tblData[Au]/$AA$9,"")</f>
        <v>1.9712979025390318</v>
      </c>
      <c r="AE17" s="19">
        <f>IF(ISNUMBER(tblData[[#This Row],[Day'# Aust]]),betaAu/(deltaAu+betaPodeltaAu*EXP(-betaAu*tblData[[#This Row],[Day'# Aust]])),"")</f>
        <v>1.8858554824957775E-2</v>
      </c>
      <c r="AF17" s="72">
        <f>IF(ISNUMBER(tblData[Day'# Aust]),tblData[Au LogiP(t)]/$AD$9,"")</f>
        <v>7.4351659142713198E-3</v>
      </c>
      <c r="AG17" s="11">
        <f>IF(AND(tblData[Date]&gt;=StartDt2Au,ISNUMBER(tblData[NSW])),(tblData[[#This Row],[Au LogiP(t)]]-tblData[[#This Row],[Au]])^2,"")</f>
        <v>24.811770096840512</v>
      </c>
      <c r="AH17">
        <f>IF(tblData[Date]&gt;StartDt2NSW,tblData[Date]-StartDt2NSW,"")</f>
        <v>3</v>
      </c>
      <c r="AI17">
        <f t="shared" si="4"/>
        <v>4</v>
      </c>
      <c r="AJ17" s="11">
        <f>IF(tblData[Date]&gt;StartDt2NSW,betaNSW/(deltaNSW+betaPodeltaNSW*EXP(-betaNSW*tblData[[#This Row],[Day '# NSW]])),"")</f>
        <v>8.0643258790107208E-3</v>
      </c>
      <c r="AK17" s="12">
        <f>IF(AND(ISNUMBER(tblData[NSW]),tblData[Date]&gt;StartDt2NSW),(tblData[[#This Row],[NSW LogiP(t)]]-tblData[[#This Row],[NSW]])^2,"")</f>
        <v>15.935550426319798</v>
      </c>
      <c r="AL17" s="12">
        <f>IF(AND(tblData[Date]&gt;StartDt2NSW,ISNUMBER(tblData[Day'# Aust])),tblData[NSW LogiP(t)]/$AG$9,"")</f>
        <v>9.9806013354093066E-3</v>
      </c>
      <c r="AM17" s="11" t="str">
        <f>IF(AND(tblData[Date]&gt;StartDt2Italy,ISNUMBER(tblData[Days'# Italy])),betaItaly/(deltaItaly+betaPodeltaItaly*EXP(-betaItaly*tblData[Days'# Italy])),"")</f>
        <v/>
      </c>
      <c r="AN17" s="11" t="str">
        <f>IF(AND(tblData[Date]&gt;StartDt2Italy,ISNUMBER(tblData[Italy])),(tblData[[#This Row],[Italy LogiP(t)]]-tblData[[#This Row],[Italy]])^2,"")</f>
        <v/>
      </c>
      <c r="AO17" s="11" t="str">
        <f>IF(AND(tblData[Date]&gt;StartDt2Italy,ISNUMBER(tblData[Days'# Italy])),tblData[[#This Row],[Italy LogiP(t)]]/$AM$9,"")</f>
        <v/>
      </c>
      <c r="AP17" s="11" t="str">
        <f>IF(ISNUMBER(tblData[[#This Row],[Days'# US]]),betaUS/(deltaUS+betaPodeltaUS*EXP(-betaUS*tblData[Days'# US])),"")</f>
        <v/>
      </c>
      <c r="AQ17" s="11"/>
      <c r="AR17" s="11" t="str">
        <f>IF(ISNUMBER(tblData[[#This Row],[Days'# US]]),tblData[[#This Row],[US LogiP(t)]]/$AP$9,"")</f>
        <v/>
      </c>
      <c r="AS17" s="11" t="str">
        <f>IF(tblData[Date]&gt;=StartDt2Korea,betaSKorea/(deltaSKorea+betaPodeltaSKorea*EXP(-betaSKorea*(tblData[Date]-StartDt2Korea))),"")</f>
        <v/>
      </c>
      <c r="AT17" s="11" t="str">
        <f>IF(AND(tblData[Date]&gt;=StartDt2Korea,ISNUMBER(tblData[SKorea])),(tblData[[#This Row],[SKorea LogiP(t)]]-tblData[[#This Row],[SKorea]])^2,"")</f>
        <v/>
      </c>
      <c r="AU17" s="11" t="str">
        <f>IF(tblData[Date]&gt;=StartDt2Korea,tblData[[#This Row],[SKorea LogiP(t)]]/$AS$9,"")</f>
        <v/>
      </c>
      <c r="AV17" s="11" t="str">
        <f>IF(ISNUMBER(tblData[Days'# UK]),betaUK/(deltaUK+betaPodeltaUK*EXP(-betaUK*tblData[Days'# UK])),"")</f>
        <v/>
      </c>
      <c r="AW17" s="11" t="str">
        <f>IF(ISNUMBER(tblData[UK]),(tblData[[#This Row],[UK LogiP(t)]]-tblData[[#This Row],[UK]])^2,"")</f>
        <v/>
      </c>
      <c r="AX17" s="11" t="str">
        <f>IF(ISNUMBER(tblData[Days'# UK]),tblData[[#This Row],[UK LogiP(t)]]/$AV$9,"")</f>
        <v/>
      </c>
      <c r="AY17" s="11">
        <f>IF(ISNUMBER(tblData[Days'# China]),betaChina/(deltaChina+betaPodeltaChina*EXP(-betaChina*tblData[Days'# China])),"")</f>
        <v>5536.9310712736078</v>
      </c>
      <c r="AZ17" s="11">
        <f>IF(ISNUMBER(tblData[China]),(tblData[[#This Row],[China LogiP(t)]]-tblData[[#This Row],[China]])^2,"")</f>
        <v>780.14474249135958</v>
      </c>
      <c r="BA17" s="11">
        <f>tblData[[#This Row],[China LogiP(t)]]/$AY$9</f>
        <v>38.468975247954276</v>
      </c>
      <c r="BB17" s="11"/>
      <c r="BC17" s="11"/>
      <c r="BD17" s="11" t="str">
        <f>IF(ISNUMBER(tblData[[#This Row],[NSW Number of Tests]]),tblData[[#This Row],[NSW Number of Tests]]-BB16,"")</f>
        <v/>
      </c>
      <c r="BE17" s="11" t="str">
        <f>IF(ISNUMBER(tblData[[#This Row],[NSW Under Investigation'']]),tblData[[#This Row],[NSW Under Investigation'']]-BC16,"")</f>
        <v/>
      </c>
      <c r="BF17" s="11"/>
      <c r="BG17" s="11" t="str">
        <f>IF(ISNUMBER(tblData[[#This Row],[NSW Test Day Number]]),betaTest/(deltaTest+betaPodeltaTest*EXP(-betaTest*tblData[[#This Row],[NSW Test Day Number]])),"")</f>
        <v/>
      </c>
      <c r="BH17" s="11" t="str">
        <f>IF(ISNUMBER(tblData[[#This Row],[NSW Number of Tests]]),(tblData[[#This Row],[NSW Number of Tests]]-tblData[[#This Row],[NSW Test Logi]])^2,"")</f>
        <v/>
      </c>
      <c r="BJ17" s="27"/>
      <c r="BK17" s="26" t="s">
        <v>1252</v>
      </c>
      <c r="BL17" s="83">
        <v>43911.866331018522</v>
      </c>
      <c r="BM17" s="27">
        <v>43860</v>
      </c>
      <c r="BN17" s="27">
        <v>43860</v>
      </c>
      <c r="BO17" s="26">
        <v>6</v>
      </c>
      <c r="BP17" s="23">
        <v>0.23059524064806408</v>
      </c>
      <c r="BQ17" s="25">
        <v>9.9999999999999903E-10</v>
      </c>
      <c r="BR17" s="22">
        <v>3.8070710556030042E-2</v>
      </c>
      <c r="BS17" s="24">
        <f>betaUK/deltaUK</f>
        <v>230595240.64806432</v>
      </c>
      <c r="BT17" s="37">
        <f>SQRT(SUM(tblData[UK Sq Err])/COUNT(tblData[UK Sq Err]))</f>
        <v>70.671251275874369</v>
      </c>
      <c r="BU17" s="24">
        <f>(betaUK/PoUK)-deltaUK</f>
        <v>6.0570248687798465</v>
      </c>
      <c r="BV17" s="24">
        <f>deltaUK*1000</f>
        <v>9.9999999999999911E-7</v>
      </c>
      <c r="BW17" s="24"/>
      <c r="BX17" s="27">
        <f t="array" ref="BX17">MAX(IF(ISNUMBER(tblData[UK]),tblData[Date]))</f>
        <v>43910</v>
      </c>
      <c r="BY17" s="27" t="str">
        <f t="shared" si="0"/>
        <v>231 M</v>
      </c>
      <c r="BZ17" s="26">
        <f>MAX(tblData[UK])</f>
        <v>4014</v>
      </c>
      <c r="CA17" s="26" t="str">
        <f>Cengnotation(BS17/(UKPop/PerPerson),3)</f>
        <v>34.7 M</v>
      </c>
      <c r="CB17" s="27">
        <f t="array" ref="CB17">MAX(IF(ISNUMBER(tblData[UK]),tblData[Date]))</f>
        <v>43910</v>
      </c>
      <c r="CC17" s="19">
        <f t="array" ref="CC17">COUNT(IF(ISNUMBER(tblData[UK]),tblData[Date]))</f>
        <v>51</v>
      </c>
      <c r="CD17" s="27" t="str">
        <f t="shared" si="1"/>
        <v>b=0.231, d=1.00E-09, P0=.0381 Limit=34.7 M</v>
      </c>
      <c r="CE17" s="26"/>
      <c r="CF17" s="26" t="str">
        <f t="shared" si="2"/>
        <v>UK Limit 34.7 M</v>
      </c>
      <c r="CG17" s="26"/>
      <c r="CH17" s="18" t="str">
        <f>"COVID19 "&amp;BK17 &amp; " " &amp;LogFormula&amp;CHAR(10)&amp;CD17&amp;CHAR(10)&amp;TEXT(CB17," dd-mmm")&amp;IF(PopScaling=0,"",", "&amp;PerPersonLabel)&amp;CHAR(10)&amp;CG17</f>
        <v xml:space="preserve">COVID19 UK P(t) = b / {d+[( b/Po - d ) ]* exp(-b*t)}
b=0.231, d=1.00E-09, P0=.0381 Limit=34.7 M
 20-Mar, Cases per 10 M population
</v>
      </c>
      <c r="CI17" s="21">
        <f>MAX(tblData[UK Cases Per Capita])</f>
        <v>604.15412402167362</v>
      </c>
      <c r="CJ17" s="27">
        <f>IF(CI17&gt;NSWMaxCasespc,INDEX(tblData[Date],1+MATCH(NSWMaxCasespc,tblData[UK Cases Per Capita],1)),INDEX(tblData[Date],1+MATCH(CI17,tblData[NSW Cases per Capita],1)))</f>
        <v>43910</v>
      </c>
      <c r="CK17" s="11">
        <f>IF(CI17&gt;NSWMaxCasespc,1,-1)*(BX$12-CJ17)</f>
        <v>1</v>
      </c>
      <c r="CL17" s="27">
        <f>IF(CI17&gt;AuMaxCasespc,INDEX(tblData[Date],1+MATCH(AuMaxCasespc,tblData[UK Cases Per Capita],1)),INDEX(tblData[Date],1+MATCH(CI17,tblData[Au Cases Per Capita],1)))</f>
        <v>43910</v>
      </c>
      <c r="CM17" s="11">
        <f>IF(CI17&gt;AuMaxCasespc,1,-1)*(BX$13-CL17+1)</f>
        <v>1</v>
      </c>
      <c r="CN17" s="26"/>
      <c r="CO17" s="26"/>
      <c r="CP17" s="26"/>
      <c r="CQ17" s="26"/>
      <c r="CR17" s="26"/>
      <c r="CS17" s="26"/>
      <c r="CT17" s="26"/>
      <c r="CU17" s="26"/>
      <c r="CV17" s="26"/>
      <c r="DE17" s="26" t="s">
        <v>202</v>
      </c>
      <c r="DG17" s="27">
        <v>43855</v>
      </c>
      <c r="DI17" s="26">
        <v>1</v>
      </c>
      <c r="DJ17" s="26">
        <v>0.18458384557537055</v>
      </c>
      <c r="DK17" s="26">
        <v>1.2349487374940706E-6</v>
      </c>
      <c r="DL17" s="26">
        <v>1.3171361296767334E-2</v>
      </c>
      <c r="DM17" s="26">
        <v>149466.80778825187</v>
      </c>
      <c r="DN17" s="19">
        <v>3.1071550624512132</v>
      </c>
      <c r="DO17" s="12">
        <v>14.014028250422166</v>
      </c>
      <c r="DP17" s="26">
        <v>1.2349487374940706E-3</v>
      </c>
      <c r="DQ17" s="12">
        <v>3.1071550624512132</v>
      </c>
      <c r="DR17" s="27">
        <v>43905</v>
      </c>
      <c r="DS17" s="27" t="s">
        <v>771</v>
      </c>
      <c r="DT17" s="19"/>
      <c r="DU17" s="19"/>
      <c r="DW17" s="17"/>
      <c r="DX17" s="18"/>
      <c r="DY17" s="26"/>
      <c r="DZ17" s="26"/>
      <c r="EA17" s="26"/>
      <c r="EB17" s="26"/>
      <c r="EC17" s="26"/>
      <c r="ED17" s="17"/>
      <c r="EE17" s="17"/>
      <c r="EF17" s="26"/>
      <c r="EG17" s="26"/>
      <c r="EH17" s="26"/>
      <c r="EI17" s="26"/>
      <c r="EJ17" s="26"/>
    </row>
    <row r="18" spans="2:140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4</v>
      </c>
      <c r="R18" s="19">
        <f>IF(ISNUMBER(tblData[SKorea]),tblData[SKorea]/$R$9,"")</f>
        <v>0.77821011673151752</v>
      </c>
      <c r="T18" s="26" t="str">
        <f>IF(ISNUMBER(tblData[UK]),tblData[UK]/$T$9,"")</f>
        <v/>
      </c>
      <c r="U18">
        <v>6087</v>
      </c>
      <c r="V18" s="21">
        <f>IF(ISNUMBER(tblData[China]),tblData[China]/$V$9,"")</f>
        <v>42.290693042786231</v>
      </c>
      <c r="W18" s="26" t="str">
        <f>IF(tblData[[#This Row],[Date]]&lt;ItalyStart,"",tblData[[#This Row],[Date]]-ItalyStart)</f>
        <v/>
      </c>
      <c r="X18" s="26"/>
      <c r="Y18" s="26">
        <f t="shared" si="3"/>
        <v>7</v>
      </c>
      <c r="Z18" s="26" t="str">
        <f>IF(tblData[[#This Row],[Date]]&lt;StartDt2Korea,"",tblData[[#This Row],[Date]]-StartDt2Korea)</f>
        <v/>
      </c>
      <c r="AA18" s="26" t="str">
        <f>IF(tblData[[#This Row],[Date]]&lt;UKStart,"",tblData[[#This Row],[Date]]-UKStart)</f>
        <v/>
      </c>
      <c r="AB18">
        <f>IF(tblData[Date]&gt;=StartDt2Au,tblData[Date]-StartDt2Au,"")</f>
        <v>4</v>
      </c>
      <c r="AC18" s="26">
        <f>IF(tblData[New South Wales]&gt;0,SUM(tblData[[#This Row],[Australian Capital Territory]:[Western Australia]]),"")</f>
        <v>6</v>
      </c>
      <c r="AD18" s="12">
        <f>IF(ISNUMBER(tblData[Au]),tblData[Au]/$AA$9,"")</f>
        <v>2.365557483046838</v>
      </c>
      <c r="AE18" s="19">
        <f>IF(ISNUMBER(tblData[[#This Row],[Day'# Aust]]),betaAu/(deltaAu+betaPodeltaAu*EXP(-betaAu*tblData[[#This Row],[Day'# Aust]])),"")</f>
        <v>2.3183851056315319E-2</v>
      </c>
      <c r="AF18" s="72">
        <f>IF(ISNUMBER(tblData[Day'# Aust]),tblData[Au LogiP(t)]/$AD$9,"")</f>
        <v>9.1404553920183401E-3</v>
      </c>
      <c r="AG18" s="11">
        <f>IF(AND(tblData[Date]&gt;=StartDt2Au,ISNUMBER(tblData[NSW])),(tblData[[#This Row],[Au LogiP(t)]]-tblData[[#This Row],[Au]])^2,"")</f>
        <v>35.722331278274012</v>
      </c>
      <c r="AH18">
        <f>IF(tblData[Date]&gt;StartDt2NSW,tblData[Date]-StartDt2NSW,"")</f>
        <v>4</v>
      </c>
      <c r="AI18">
        <f t="shared" si="4"/>
        <v>4</v>
      </c>
      <c r="AJ18" s="11">
        <f>IF(tblData[Date]&gt;StartDt2NSW,betaNSW/(deltaNSW+betaPodeltaNSW*EXP(-betaNSW*tblData[[#This Row],[Day '# NSW]])),"")</f>
        <v>9.9418732052264196E-3</v>
      </c>
      <c r="AK18" s="12">
        <f>IF(AND(ISNUMBER(tblData[NSW]),tblData[Date]&gt;StartDt2NSW),(tblData[[#This Row],[NSW LogiP(t)]]-tblData[[#This Row],[NSW]])^2,"")</f>
        <v>15.920563855201019</v>
      </c>
      <c r="AL18" s="12">
        <f>IF(AND(tblData[Date]&gt;StartDt2NSW,ISNUMBER(tblData[Day'# Aust])),tblData[NSW LogiP(t)]/$AG$9,"")</f>
        <v>1.2304298521319826E-2</v>
      </c>
      <c r="AM18" s="11" t="str">
        <f>IF(AND(tblData[Date]&gt;StartDt2Italy,ISNUMBER(tblData[Days'# Italy])),betaItaly/(deltaItaly+betaPodeltaItaly*EXP(-betaItaly*tblData[Days'# Italy])),"")</f>
        <v/>
      </c>
      <c r="AN18" s="11" t="str">
        <f>IF(AND(tblData[Date]&gt;StartDt2Italy,ISNUMBER(tblData[Italy])),(tblData[[#This Row],[Italy LogiP(t)]]-tblData[[#This Row],[Italy]])^2,"")</f>
        <v/>
      </c>
      <c r="AO18" s="11" t="str">
        <f>IF(AND(tblData[Date]&gt;StartDt2Italy,ISNUMBER(tblData[Days'# Italy])),tblData[[#This Row],[Italy LogiP(t)]]/$AM$9,"")</f>
        <v/>
      </c>
      <c r="AP18" s="11" t="str">
        <f>IF(ISNUMBER(tblData[[#This Row],[Days'# US]]),betaUS/(deltaUS+betaPodeltaUS*EXP(-betaUS*tblData[Days'# US])),"")</f>
        <v/>
      </c>
      <c r="AQ18" s="11"/>
      <c r="AR18" s="11" t="str">
        <f>IF(ISNUMBER(tblData[[#This Row],[Days'# US]]),tblData[[#This Row],[US LogiP(t)]]/$AP$9,"")</f>
        <v/>
      </c>
      <c r="AS18" s="11" t="str">
        <f>IF(tblData[Date]&gt;=StartDt2Korea,betaSKorea/(deltaSKorea+betaPodeltaSKorea*EXP(-betaSKorea*(tblData[Date]-StartDt2Korea))),"")</f>
        <v/>
      </c>
      <c r="AT18" s="11" t="str">
        <f>IF(AND(tblData[Date]&gt;=StartDt2Korea,ISNUMBER(tblData[SKorea])),(tblData[[#This Row],[SKorea LogiP(t)]]-tblData[[#This Row],[SKorea]])^2,"")</f>
        <v/>
      </c>
      <c r="AU18" s="11" t="str">
        <f>IF(tblData[Date]&gt;=StartDt2Korea,tblData[[#This Row],[SKorea LogiP(t)]]/$AS$9,"")</f>
        <v/>
      </c>
      <c r="AV18" s="11" t="str">
        <f>IF(ISNUMBER(tblData[Days'# UK]),betaUK/(deltaUK+betaPodeltaUK*EXP(-betaUK*tblData[Days'# UK])),"")</f>
        <v/>
      </c>
      <c r="AW18" s="11" t="str">
        <f>IF(ISNUMBER(tblData[UK]),(tblData[[#This Row],[UK LogiP(t)]]-tblData[[#This Row],[UK]])^2,"")</f>
        <v/>
      </c>
      <c r="AX18" s="11" t="str">
        <f>IF(ISNUMBER(tblData[Days'# UK]),tblData[[#This Row],[UK LogiP(t)]]/$AV$9,"")</f>
        <v/>
      </c>
      <c r="AY18" s="11">
        <f>IF(ISNUMBER(tblData[Days'# China]),betaChina/(deltaChina+betaPodeltaChina*EXP(-betaChina*tblData[Days'# China])),"")</f>
        <v>6798.5709921737698</v>
      </c>
      <c r="AZ18" s="11">
        <f>IF(ISNUMBER(tblData[China]),(tblData[[#This Row],[China LogiP(t)]]-tblData[[#This Row],[China]])^2,"")</f>
        <v>506333.27690316318</v>
      </c>
      <c r="BA18" s="11">
        <f>tblData[[#This Row],[China LogiP(t)]]/$AY$9</f>
        <v>47.234479868508544</v>
      </c>
      <c r="BB18" s="11"/>
      <c r="BC18" s="11"/>
      <c r="BD18" s="11" t="str">
        <f>IF(ISNUMBER(tblData[[#This Row],[NSW Number of Tests]]),tblData[[#This Row],[NSW Number of Tests]]-BB17,"")</f>
        <v/>
      </c>
      <c r="BE18" s="11" t="str">
        <f>IF(ISNUMBER(tblData[[#This Row],[NSW Under Investigation'']]),tblData[[#This Row],[NSW Under Investigation'']]-BC17,"")</f>
        <v/>
      </c>
      <c r="BF18" s="11"/>
      <c r="BG18" s="11" t="str">
        <f>IF(ISNUMBER(tblData[[#This Row],[NSW Test Day Number]]),betaTest/(deltaTest+betaPodeltaTest*EXP(-betaTest*tblData[[#This Row],[NSW Test Day Number]])),"")</f>
        <v/>
      </c>
      <c r="BH18" s="11" t="str">
        <f>IF(ISNUMBER(tblData[[#This Row],[NSW Number of Tests]]),(tblData[[#This Row],[NSW Number of Tests]]-tblData[[#This Row],[NSW Test Logi]])^2,"")</f>
        <v/>
      </c>
      <c r="BJ18" s="27"/>
      <c r="BK18" s="26" t="s">
        <v>989</v>
      </c>
      <c r="BL18" s="83">
        <v>43911.89398148148</v>
      </c>
      <c r="BM18" s="27"/>
      <c r="BN18" s="13">
        <v>43896</v>
      </c>
      <c r="BO18" s="26">
        <v>7</v>
      </c>
      <c r="BP18" s="23">
        <v>0.20209478104227763</v>
      </c>
      <c r="BQ18" s="25">
        <v>1.0000000000000751E-10</v>
      </c>
      <c r="BR18" s="22">
        <v>5.7886977342360797E-3</v>
      </c>
      <c r="BS18" s="24">
        <f>betaTests/deltaTests</f>
        <v>2020947810.4226243</v>
      </c>
      <c r="BT18" s="37">
        <f>SQRT(SUM(tblData[NSW Test Sq Err])/COUNT(tblData[NSW Test Sq Err]))</f>
        <v>2141.4153557262753</v>
      </c>
      <c r="BU18" s="24">
        <f>(betaTests/PoTests)-deltaTests</f>
        <v>34.911959532184611</v>
      </c>
      <c r="BV18" s="24">
        <f>deltaTests*1000</f>
        <v>1.0000000000000751E-7</v>
      </c>
      <c r="BW18" s="24"/>
      <c r="BX18" s="27">
        <f t="array" ref="BX18">MAX(IF(ISNUMBER(tblData[NSW Number of Tests]),tblData[Date]))</f>
        <v>43911</v>
      </c>
      <c r="BY18" s="27" t="str">
        <f t="shared" si="0"/>
        <v>2.02 G</v>
      </c>
      <c r="BZ18" s="26">
        <f>MAX(tblData[NSW Number of Tests])</f>
        <v>46456</v>
      </c>
      <c r="CA18" s="26" t="str">
        <f>Cengnotation(BS18/(NSWpop/PerPerson),3)</f>
        <v>2.50 G</v>
      </c>
      <c r="CB18" s="27">
        <f t="array" ref="CB18">MAX(IF(ISNUMBER(tblData[NSW Number of Tests]),tblData[Date]))</f>
        <v>43911</v>
      </c>
      <c r="CC18" s="19">
        <f t="array" ref="CC18">COUNT(IF(ISNUMBER(tblData[NSW Number of Tests]),tblData[Date]))</f>
        <v>16</v>
      </c>
      <c r="CD18" s="27" t="str">
        <f t="shared" si="1"/>
        <v>b=0.202, d=1.00E-10, P0=.0058 Limit=2.50 G</v>
      </c>
      <c r="CE18" s="26"/>
      <c r="CF18" s="26" t="str">
        <f t="shared" si="2"/>
        <v>Tests Limit 2.50 G</v>
      </c>
      <c r="CG18" s="26"/>
      <c r="CH18" s="18" t="str">
        <f>"COVID19 "&amp;BK18 &amp; " " &amp;LogFormula&amp;CHAR(10)&amp;CD18&amp;CHAR(10)&amp;TEXT(CB18," dd-mmm")&amp;IF(PopScaling=0,"",", "&amp;PerPersonLabel)&amp;CHAR(10)&amp;CG18</f>
        <v xml:space="preserve">COVID19 Tests P(t) = b / {d+[( b/Po - d ) ]* exp(-b*t)}
b=0.202, d=1.00E-10, P0=.0058 Limit=2.50 G
 21-Mar, Cases per 10 M population
</v>
      </c>
      <c r="CI18" s="26"/>
      <c r="CJ18" s="19"/>
      <c r="CK18" s="19"/>
      <c r="CL18" s="26"/>
      <c r="CM18" s="26"/>
      <c r="CN18" s="26"/>
      <c r="CO18" s="26"/>
      <c r="CP18" s="26"/>
      <c r="CQ18" s="26"/>
      <c r="DE18" s="26" t="s">
        <v>202</v>
      </c>
      <c r="DG18" s="27">
        <v>43855</v>
      </c>
      <c r="DI18" s="26">
        <v>1</v>
      </c>
      <c r="DJ18" s="23">
        <v>0.19036954183670268</v>
      </c>
      <c r="DK18" s="25">
        <v>1.0000000000000751E-10</v>
      </c>
      <c r="DL18" s="22">
        <v>1.0111170011545663E-2</v>
      </c>
      <c r="DM18" s="26">
        <v>1903695418.3668838</v>
      </c>
      <c r="DN18" s="19">
        <v>3.2111653832176152</v>
      </c>
      <c r="DO18" s="37">
        <v>18.827647207822032</v>
      </c>
      <c r="DP18" s="24">
        <v>1.0000000000000751E-7</v>
      </c>
      <c r="DQ18" s="12">
        <v>3.2111653832176152</v>
      </c>
      <c r="DR18" s="27">
        <v>43906</v>
      </c>
      <c r="DS18" s="27" t="s">
        <v>983</v>
      </c>
      <c r="DT18" s="19">
        <v>171</v>
      </c>
      <c r="DU18" s="19">
        <v>43906</v>
      </c>
      <c r="DV18" s="27">
        <v>52</v>
      </c>
      <c r="DW18" s="26" t="s">
        <v>984</v>
      </c>
      <c r="DX18" s="18"/>
      <c r="DY18" s="26" t="s">
        <v>985</v>
      </c>
      <c r="DZ18" s="26" t="s">
        <v>986</v>
      </c>
      <c r="EA18" s="26"/>
      <c r="EB18" s="26"/>
      <c r="EC18" s="26"/>
      <c r="ED18" s="26"/>
      <c r="EE18" s="26"/>
      <c r="EF18" s="26"/>
      <c r="EG18" s="26"/>
      <c r="EH18" s="26"/>
      <c r="EI18" s="26"/>
      <c r="EJ18" s="26"/>
    </row>
    <row r="19" spans="2:140" x14ac:dyDescent="0.25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1">
        <f>IF(ISNUMBER(tblData[China]),tblData[China]/$V$9,"")</f>
        <v>56.561283400907293</v>
      </c>
      <c r="W19" s="26">
        <f>IF(tblData[[#This Row],[Date]]&lt;ItalyStart,"",tblData[[#This Row],[Date]]-ItalyStart)</f>
        <v>0</v>
      </c>
      <c r="X19" s="26"/>
      <c r="Y19" s="26">
        <f t="shared" si="3"/>
        <v>8</v>
      </c>
      <c r="Z19" s="26" t="str">
        <f>IF(tblData[[#This Row],[Date]]&lt;StartDt2Korea,"",tblData[[#This Row],[Date]]-StartDt2Korea)</f>
        <v/>
      </c>
      <c r="AA19" s="26">
        <f>IF(tblData[[#This Row],[Date]]&lt;UKStart,"",tblData[[#This Row],[Date]]-UKStart)</f>
        <v>0</v>
      </c>
      <c r="AB19">
        <f>IF(tblData[Date]&gt;=StartDt2Au,tblData[Date]-StartDt2Au,"")</f>
        <v>5</v>
      </c>
      <c r="AC19" s="26">
        <f>IF(tblData[New South Wales]&gt;0,SUM(tblData[[#This Row],[Australian Capital Territory]:[Western Australia]]),"")</f>
        <v>9</v>
      </c>
      <c r="AD19" s="12">
        <f>IF(ISNUMBER(tblData[Au]),tblData[Au]/$AA$9,"")</f>
        <v>3.548336224570257</v>
      </c>
      <c r="AE19" s="19">
        <f>IF(ISNUMBER(tblData[[#This Row],[Day'# Aust]]),betaAu/(deltaAu+betaPodeltaAu*EXP(-betaAu*tblData[[#This Row],[Day'# Aust]])),"")</f>
        <v>2.8501173859171058E-2</v>
      </c>
      <c r="AF19" s="72">
        <f>IF(ISNUMBER(tblData[Day'# Aust]),tblData[Au LogiP(t)]/$AD$9,"")</f>
        <v>1.1236860849696837E-2</v>
      </c>
      <c r="AG19" s="11">
        <f>IF(AND(tblData[Date]&gt;=StartDt2Au,ISNUMBER(tblData[NSW])),(tblData[[#This Row],[Au LogiP(t)]]-tblData[[#This Row],[Au]])^2,"")</f>
        <v>80.487791187446277</v>
      </c>
      <c r="AH19">
        <f>IF(tblData[Date]&gt;StartDt2NSW,tblData[Date]-StartDt2NSW,"")</f>
        <v>5</v>
      </c>
      <c r="AI19">
        <f t="shared" si="4"/>
        <v>4</v>
      </c>
      <c r="AJ19" s="11">
        <f>IF(tblData[Date]&gt;StartDt2NSW,betaNSW/(deltaNSW+betaPodeltaNSW*EXP(-betaNSW*tblData[[#This Row],[Day '# NSW]])),"")</f>
        <v>1.2256551688801576E-2</v>
      </c>
      <c r="AK19" s="12">
        <f>IF(AND(ISNUMBER(tblData[NSW]),tblData[Date]&gt;StartDt2NSW),(tblData[[#This Row],[NSW LogiP(t)]]-tblData[[#This Row],[NSW]])^2,"")</f>
        <v>15.902097809548888</v>
      </c>
      <c r="AL19" s="12">
        <f>IF(AND(tblData[Date]&gt;StartDt2NSW,ISNUMBER(tblData[Day'# Aust])),tblData[NSW LogiP(t)]/$AG$9,"")</f>
        <v>1.5168999614853435E-2</v>
      </c>
      <c r="AM19" s="11" t="str">
        <f>IF(AND(tblData[Date]&gt;StartDt2Italy,ISNUMBER(tblData[Days'# Italy])),betaItaly/(deltaItaly+betaPodeltaItaly*EXP(-betaItaly*tblData[Days'# Italy])),"")</f>
        <v/>
      </c>
      <c r="AN19" s="11" t="str">
        <f>IF(AND(tblData[Date]&gt;StartDt2Italy,ISNUMBER(tblData[Italy])),(tblData[[#This Row],[Italy LogiP(t)]]-tblData[[#This Row],[Italy]])^2,"")</f>
        <v/>
      </c>
      <c r="AO19" s="44" t="str">
        <f>IF(AND(tblData[Date]&gt;StartDt2Italy,ISNUMBER(tblData[Days'# Italy])),tblData[[#This Row],[Italy LogiP(t)]]/$AM$9,"")</f>
        <v/>
      </c>
      <c r="AP19" s="11" t="str">
        <f>IF(ISNUMBER(tblData[[#This Row],[Days'# US]]),betaUS/(deltaUS+betaPodeltaUS*EXP(-betaUS*tblData[Days'# US])),"")</f>
        <v/>
      </c>
      <c r="AQ19" s="11"/>
      <c r="AR19" s="11" t="str">
        <f>IF(ISNUMBER(tblData[[#This Row],[Days'# US]]),tblData[[#This Row],[US LogiP(t)]]/$AP$9,"")</f>
        <v/>
      </c>
      <c r="AS19" s="11" t="str">
        <f>IF(tblData[Date]&gt;=StartDt2Korea,betaSKorea/(deltaSKorea+betaPodeltaSKorea*EXP(-betaSKorea*(tblData[Date]-StartDt2Korea))),"")</f>
        <v/>
      </c>
      <c r="AT19" s="11" t="str">
        <f>IF(AND(tblData[Date]&gt;=StartDt2Korea,ISNUMBER(tblData[SKorea])),(tblData[[#This Row],[SKorea LogiP(t)]]-tblData[[#This Row],[SKorea]])^2,"")</f>
        <v/>
      </c>
      <c r="AU19" s="11" t="str">
        <f>IF(tblData[Date]&gt;=StartDt2Korea,tblData[[#This Row],[SKorea LogiP(t)]]/$AS$9,"")</f>
        <v/>
      </c>
      <c r="AV19" s="11">
        <f>IF(ISNUMBER(tblData[Days'# UK]),betaUK/(deltaUK+betaPodeltaUK*EXP(-betaUK*tblData[Days'# UK])),"")</f>
        <v>3.8070710556030042E-2</v>
      </c>
      <c r="AW19" s="11">
        <f>IF(ISNUMBER(tblData[UK]),(tblData[[#This Row],[UK LogiP(t)]]-tblData[[#This Row],[UK]])^2,"")</f>
        <v>1.4493790022410173E-3</v>
      </c>
      <c r="AX19" s="11">
        <f>IF(ISNUMBER(tblData[Days'# UK]),tblData[[#This Row],[UK LogiP(t)]]/$AV$9,"")</f>
        <v>5.7300888856155995E-3</v>
      </c>
      <c r="AY19" s="11">
        <f>IF(ISNUMBER(tblData[Days'# China]),betaChina/(deltaChina+betaPodeltaChina*EXP(-betaChina*tblData[Days'# China])),"")</f>
        <v>8315.9868620516027</v>
      </c>
      <c r="AZ19" s="11">
        <f>IF(ISNUMBER(tblData[China]),(tblData[[#This Row],[China LogiP(t)]]-tblData[[#This Row],[China]])^2,"")</f>
        <v>30620.401890666617</v>
      </c>
      <c r="BA19" s="11">
        <f>tblData[[#This Row],[China LogiP(t)]]/$AY$9</f>
        <v>57.777040862636333</v>
      </c>
      <c r="BB19" s="11"/>
      <c r="BC19" s="11"/>
      <c r="BD19" s="11" t="str">
        <f>IF(ISNUMBER(tblData[[#This Row],[NSW Number of Tests]]),tblData[[#This Row],[NSW Number of Tests]]-BB18,"")</f>
        <v/>
      </c>
      <c r="BE19" s="11" t="str">
        <f>IF(ISNUMBER(tblData[[#This Row],[NSW Under Investigation'']]),tblData[[#This Row],[NSW Under Investigation'']]-BC18,"")</f>
        <v/>
      </c>
      <c r="BF19" s="11"/>
      <c r="BG19" s="11" t="str">
        <f>IF(ISNUMBER(tblData[[#This Row],[NSW Test Day Number]]),betaTest/(deltaTest+betaPodeltaTest*EXP(-betaTest*tblData[[#This Row],[NSW Test Day Number]])),"")</f>
        <v/>
      </c>
      <c r="BH19" s="11" t="str">
        <f>IF(ISNUMBER(tblData[[#This Row],[NSW Number of Tests]]),(tblData[[#This Row],[NSW Number of Tests]]-tblData[[#This Row],[NSW Test Logi]])^2,"")</f>
        <v/>
      </c>
      <c r="BJ19" s="27"/>
      <c r="BK19" s="26"/>
      <c r="BM19" s="27"/>
      <c r="BN19" s="27"/>
      <c r="BO19" s="26"/>
      <c r="BP19" s="23"/>
      <c r="BQ19" s="25"/>
      <c r="BR19" s="22"/>
      <c r="BS19" s="26"/>
      <c r="BT19" s="12"/>
      <c r="BU19" s="26"/>
      <c r="BV19" s="24"/>
      <c r="BW19" s="24"/>
      <c r="BX19" s="24"/>
      <c r="BY19" s="24"/>
      <c r="CA19" s="26"/>
      <c r="CB19" s="27"/>
      <c r="CC19" s="19"/>
      <c r="CD19" s="27"/>
      <c r="CE19" s="26"/>
      <c r="CF19" s="26"/>
      <c r="CG19" s="18"/>
      <c r="CH19" s="26"/>
      <c r="CI19" s="26"/>
      <c r="CJ19" s="19"/>
      <c r="CK19" s="19"/>
      <c r="CL19" s="26"/>
      <c r="CM19" s="26"/>
      <c r="CN19" s="26"/>
      <c r="CO19" s="26"/>
      <c r="CP19" s="26"/>
      <c r="CQ19" s="26"/>
      <c r="DE19" s="26" t="s">
        <v>202</v>
      </c>
      <c r="DG19" s="27">
        <v>43855</v>
      </c>
      <c r="DI19" s="26">
        <v>1</v>
      </c>
      <c r="DJ19" s="23">
        <v>0.19065324956550231</v>
      </c>
      <c r="DK19" s="25">
        <v>1.0000000000000751E-10</v>
      </c>
      <c r="DL19" s="22">
        <v>1.0112692767979454E-2</v>
      </c>
      <c r="DM19" s="26">
        <v>1906532495.6548798</v>
      </c>
      <c r="DN19" s="19">
        <v>3.3224128526326897</v>
      </c>
      <c r="DO19" s="37">
        <v>18.852866782245194</v>
      </c>
      <c r="DP19" s="24">
        <v>1.0000000000000751E-7</v>
      </c>
      <c r="DQ19" s="12">
        <v>3.3224128526326897</v>
      </c>
      <c r="DR19" s="27">
        <v>43907</v>
      </c>
      <c r="DS19" s="27" t="s">
        <v>966</v>
      </c>
      <c r="DT19" s="19">
        <v>210</v>
      </c>
      <c r="DU19" s="19" t="s">
        <v>967</v>
      </c>
      <c r="DV19" s="27">
        <v>43907</v>
      </c>
      <c r="DW19" s="26">
        <v>53</v>
      </c>
      <c r="DX19" s="18" t="s">
        <v>968</v>
      </c>
      <c r="DY19" s="26"/>
      <c r="DZ19" s="26" t="s">
        <v>969</v>
      </c>
      <c r="EA19" s="26"/>
      <c r="EB19" s="26"/>
      <c r="EC19" s="26"/>
      <c r="ED19" s="26"/>
      <c r="EE19" s="26"/>
      <c r="EF19" s="26"/>
      <c r="EG19" s="26"/>
      <c r="EH19" s="26"/>
      <c r="EI19" s="26"/>
      <c r="EJ19" s="26"/>
    </row>
    <row r="20" spans="2:140" x14ac:dyDescent="0.25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49">
        <f>IF(ISNUMBER(tblData[Italy]),tblData[Italy]/$N$9,"")</f>
        <v>0.33085194375516958</v>
      </c>
      <c r="P20" s="26" t="str">
        <f>IF(ISNUMBER(tblData[US]),tblData[US]/$P$9,"")</f>
        <v/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1">
        <f>IF(ISNUMBER(tblData[China]),tblData[China]/$V$9,"")</f>
        <v>68.10142487356508</v>
      </c>
      <c r="W20" s="26">
        <f>IF(tblData[[#This Row],[Date]]&lt;ItalyStart,"",tblData[[#This Row],[Date]]-ItalyStart)</f>
        <v>1</v>
      </c>
      <c r="X20" s="26"/>
      <c r="Y20" s="26">
        <f t="shared" si="3"/>
        <v>9</v>
      </c>
      <c r="Z20" s="26" t="str">
        <f>IF(tblData[[#This Row],[Date]]&lt;StartDt2Korea,"",tblData[[#This Row],[Date]]-StartDt2Korea)</f>
        <v/>
      </c>
      <c r="AA20" s="26">
        <f>IF(tblData[[#This Row],[Date]]&lt;UKStart,"",tblData[[#This Row],[Date]]-UKStart)</f>
        <v>1</v>
      </c>
      <c r="AB20">
        <f>IF(tblData[Date]&gt;=StartDt2Au,tblData[Date]-StartDt2Au,"")</f>
        <v>6</v>
      </c>
      <c r="AC20" s="26">
        <f>IF(tblData[New South Wales]&gt;0,SUM(tblData[[#This Row],[Australian Capital Territory]:[Western Australia]]),"")</f>
        <v>9</v>
      </c>
      <c r="AD20" s="12">
        <f>IF(ISNUMBER(tblData[Au]),tblData[Au]/$AA$9,"")</f>
        <v>3.548336224570257</v>
      </c>
      <c r="AE20" s="19">
        <f>IF(ISNUMBER(tblData[[#This Row],[Day'# Aust]]),betaAu/(deltaAu+betaPodeltaAu*EXP(-betaAu*tblData[[#This Row],[Day'# Aust]])),"")</f>
        <v>3.5038049087389278E-2</v>
      </c>
      <c r="AF20" s="72">
        <f>IF(ISNUMBER(tblData[Day'# Aust]),tblData[Au LogiP(t)]/$AD$9,"")</f>
        <v>1.3814086535006024E-2</v>
      </c>
      <c r="AG20" s="11">
        <f>IF(AND(tblData[Date]&gt;=StartDt2Au,ISNUMBER(tblData[NSW])),(tblData[[#This Row],[Au LogiP(t)]]-tblData[[#This Row],[Au]])^2,"")</f>
        <v>80.37054278131086</v>
      </c>
      <c r="AH20">
        <f>IF(tblData[Date]&gt;StartDt2NSW,tblData[Date]-StartDt2NSW,"")</f>
        <v>6</v>
      </c>
      <c r="AI20">
        <f t="shared" si="4"/>
        <v>4</v>
      </c>
      <c r="AJ20" s="11">
        <f>IF(tblData[Date]&gt;StartDt2NSW,betaNSW/(deltaNSW+betaPodeltaNSW*EXP(-betaNSW*tblData[[#This Row],[Day '# NSW]])),"")</f>
        <v>1.5110133320686846E-2</v>
      </c>
      <c r="AK20" s="12">
        <f>IF(AND(ISNUMBER(tblData[NSW]),tblData[Date]&gt;StartDt2NSW),(tblData[[#This Row],[NSW LogiP(t)]]-tblData[[#This Row],[NSW]])^2,"")</f>
        <v>15.879347249563473</v>
      </c>
      <c r="AL20" s="12">
        <f>IF(AND(tblData[Date]&gt;StartDt2NSW,ISNUMBER(tblData[Day'# Aust])),tblData[NSW LogiP(t)]/$AG$9,"")</f>
        <v>1.8700660050355006E-2</v>
      </c>
      <c r="AM20" s="11">
        <f>IF(AND(tblData[Date]&gt;StartDt2Italy,ISNUMBER(tblData[Days'# Italy])),betaItaly/(deltaItaly+betaPodeltaItaly*EXP(-betaItaly*tblData[Days'# Italy])),"")</f>
        <v>0.57335694167567941</v>
      </c>
      <c r="AN20" s="11">
        <f>IF(AND(tblData[Date]&gt;StartDt2Italy,ISNUMBER(tblData[Italy])),(tblData[[#This Row],[Italy LogiP(t)]]-tblData[[#This Row],[Italy]])^2,"")</f>
        <v>2.0353104158649709</v>
      </c>
      <c r="AO20" s="44">
        <f>IF(AND(tblData[Date]&gt;StartDt2Italy,ISNUMBER(tblData[Days'# Italy])),tblData[[#This Row],[Italy LogiP(t)]]/$AM$9,"")</f>
        <v>9.4848129309458962E-2</v>
      </c>
      <c r="AP20" s="11" t="str">
        <f>IF(ISNUMBER(tblData[[#This Row],[Days'# US]]),betaUS/(deltaUS+betaPodeltaUS*EXP(-betaUS*tblData[Days'# US])),"")</f>
        <v/>
      </c>
      <c r="AQ20" s="11"/>
      <c r="AR20" s="11" t="str">
        <f>IF(ISNUMBER(tblData[[#This Row],[Days'# US]]),tblData[[#This Row],[US LogiP(t)]]/$AP$9,"")</f>
        <v/>
      </c>
      <c r="AS20" s="11" t="str">
        <f>IF(tblData[Date]&gt;=StartDt2Korea,betaSKorea/(deltaSKorea+betaPodeltaSKorea*EXP(-betaSKorea*(tblData[Date]-StartDt2Korea))),"")</f>
        <v/>
      </c>
      <c r="AT20" s="11" t="str">
        <f>IF(AND(tblData[Date]&gt;=StartDt2Korea,ISNUMBER(tblData[SKorea])),(tblData[[#This Row],[SKorea LogiP(t)]]-tblData[[#This Row],[SKorea]])^2,"")</f>
        <v/>
      </c>
      <c r="AU20" s="11" t="str">
        <f>IF(tblData[Date]&gt;=StartDt2Korea,tblData[[#This Row],[SKorea LogiP(t)]]/$AS$9,"")</f>
        <v/>
      </c>
      <c r="AV20" s="11">
        <f>IF(ISNUMBER(tblData[Days'# UK]),betaUK/(deltaUK+betaPodeltaUK*EXP(-betaUK*tblData[Days'# UK])),"")</f>
        <v>4.7944326601901101E-2</v>
      </c>
      <c r="AW20" s="11">
        <f>IF(ISNUMBER(tblData[UK]),(tblData[[#This Row],[UK LogiP(t)]]-tblData[[#This Row],[UK]])^2,"")</f>
        <v>3.8105213520457055</v>
      </c>
      <c r="AX20" s="11">
        <f>IF(ISNUMBER(tblData[Days'# UK]),tblData[[#This Row],[UK LogiP(t)]]/$AV$9,"")</f>
        <v>7.2161840159393588E-3</v>
      </c>
      <c r="AY20" s="11">
        <f>IF(ISNUMBER(tblData[Days'# China]),betaChina/(deltaChina+betaPodeltaChina*EXP(-betaChina*tblData[Days'# China])),"")</f>
        <v>10125.836104777814</v>
      </c>
      <c r="AZ20" s="11">
        <f>IF(ISNUMBER(tblData[China]),(tblData[[#This Row],[China LogiP(t)]]-tblData[[#This Row],[China]])^2,"")</f>
        <v>104869.82275766759</v>
      </c>
      <c r="BA20" s="11">
        <f>tblData[[#This Row],[China LogiP(t)]]/$AY$9</f>
        <v>70.351343273980731</v>
      </c>
      <c r="BB20" s="11"/>
      <c r="BC20" s="11"/>
      <c r="BD20" s="11" t="str">
        <f>IF(ISNUMBER(tblData[[#This Row],[NSW Number of Tests]]),tblData[[#This Row],[NSW Number of Tests]]-BB19,"")</f>
        <v/>
      </c>
      <c r="BE20" s="11" t="str">
        <f>IF(ISNUMBER(tblData[[#This Row],[NSW Under Investigation'']]),tblData[[#This Row],[NSW Under Investigation'']]-BC19,"")</f>
        <v/>
      </c>
      <c r="BF20" s="11"/>
      <c r="BG20" s="11" t="str">
        <f>IF(ISNUMBER(tblData[[#This Row],[NSW Test Day Number]]),betaTest/(deltaTest+betaPodeltaTest*EXP(-betaTest*tblData[[#This Row],[NSW Test Day Number]])),"")</f>
        <v/>
      </c>
      <c r="BH20" s="11" t="str">
        <f>IF(ISNUMBER(tblData[[#This Row],[NSW Number of Tests]]),(tblData[[#This Row],[NSW Number of Tests]]-tblData[[#This Row],[NSW Test Logi]])^2,"")</f>
        <v/>
      </c>
      <c r="BJ20" s="27"/>
      <c r="BZ20"/>
      <c r="DB20" s="26"/>
      <c r="DE20" s="26" t="s">
        <v>202</v>
      </c>
      <c r="DG20" s="27">
        <v>43855</v>
      </c>
      <c r="DI20" s="26">
        <v>1</v>
      </c>
      <c r="DJ20" s="23">
        <v>0.20209478104227763</v>
      </c>
      <c r="DK20" s="25">
        <v>1.0000000000000751E-10</v>
      </c>
      <c r="DL20" s="22">
        <v>5.7886977342360797E-3</v>
      </c>
      <c r="DM20" s="26">
        <v>2020947810.4226243</v>
      </c>
      <c r="DN20" s="19">
        <v>3.5813561365949553</v>
      </c>
      <c r="DO20" s="37">
        <v>34.911959532184611</v>
      </c>
      <c r="DP20" s="24">
        <v>1.0000000000000751E-7</v>
      </c>
      <c r="DQ20" s="12">
        <v>3.5813561365949553</v>
      </c>
      <c r="DR20" s="27">
        <v>43908</v>
      </c>
      <c r="DS20" s="27" t="s">
        <v>1003</v>
      </c>
      <c r="DT20" s="19">
        <v>267</v>
      </c>
      <c r="DU20" s="19" t="s">
        <v>1004</v>
      </c>
      <c r="DV20" s="27">
        <v>43908</v>
      </c>
      <c r="DW20" s="26">
        <v>54</v>
      </c>
      <c r="DX20" s="18" t="s">
        <v>1005</v>
      </c>
      <c r="DY20" s="26"/>
      <c r="DZ20" s="26" t="s">
        <v>1006</v>
      </c>
      <c r="EA20" s="26"/>
      <c r="EB20" s="26" t="s">
        <v>1007</v>
      </c>
      <c r="EC20" s="26"/>
      <c r="ED20" s="26"/>
      <c r="EE20" s="26"/>
      <c r="EF20" s="26"/>
      <c r="EG20" s="26"/>
      <c r="EH20" s="26"/>
      <c r="EI20" s="26"/>
      <c r="EJ20" s="26"/>
    </row>
    <row r="21" spans="2:140" x14ac:dyDescent="0.25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49">
        <f>IF(ISNUMBER(tblData[Italy]),tblData[Italy]/$N$9,"")</f>
        <v>0.33085194375516958</v>
      </c>
      <c r="P21" s="26" t="str">
        <f>IF(ISNUMBER(tblData[US]),tblData[US]/$P$9,"")</f>
        <v/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1">
        <f>IF(ISNUMBER(tblData[China]),tblData[China]/$V$9,"")</f>
        <v>82.615184979755384</v>
      </c>
      <c r="W21" s="26">
        <f>IF(tblData[[#This Row],[Date]]&lt;ItalyStart,"",tblData[[#This Row],[Date]]-ItalyStart)</f>
        <v>2</v>
      </c>
      <c r="X21" s="26"/>
      <c r="Y21" s="26">
        <f t="shared" si="3"/>
        <v>10</v>
      </c>
      <c r="Z21" s="26" t="str">
        <f>IF(tblData[[#This Row],[Date]]&lt;StartDt2Korea,"",tblData[[#This Row],[Date]]-StartDt2Korea)</f>
        <v/>
      </c>
      <c r="AA21" s="26">
        <f>IF(tblData[[#This Row],[Date]]&lt;UKStart,"",tblData[[#This Row],[Date]]-UKStart)</f>
        <v>2</v>
      </c>
      <c r="AB21">
        <f>IF(tblData[Date]&gt;=StartDt2Au,tblData[Date]-StartDt2Au,"")</f>
        <v>7</v>
      </c>
      <c r="AC21" s="26">
        <f>IF(tblData[New South Wales]&gt;0,SUM(tblData[[#This Row],[Australian Capital Territory]:[Western Australia]]),"")</f>
        <v>12</v>
      </c>
      <c r="AD21" s="12">
        <f>IF(ISNUMBER(tblData[Au]),tblData[Au]/$AA$9,"")</f>
        <v>4.731114966093676</v>
      </c>
      <c r="AE21" s="19">
        <f>IF(ISNUMBER(tblData[[#This Row],[Day'# Aust]]),betaAu/(deltaAu+betaPodeltaAu*EXP(-betaAu*tblData[[#This Row],[Day'# Aust]])),"")</f>
        <v>4.3074186695168395E-2</v>
      </c>
      <c r="AF21" s="72">
        <f>IF(ISNUMBER(tblData[Day'# Aust]),tblData[Au LogiP(t)]/$AD$9,"")</f>
        <v>1.6982410777152023E-2</v>
      </c>
      <c r="AG21" s="11">
        <f>IF(AND(tblData[Date]&gt;=StartDt2Au,ISNUMBER(tblData[NSW])),(tblData[[#This Row],[Au LogiP(t)]]-tblData[[#This Row],[Au]])^2,"")</f>
        <v>142.96807490487541</v>
      </c>
      <c r="AH21">
        <f>IF(tblData[Date]&gt;StartDt2NSW,tblData[Date]-StartDt2NSW,"")</f>
        <v>7</v>
      </c>
      <c r="AI21">
        <f t="shared" si="4"/>
        <v>4</v>
      </c>
      <c r="AJ21" s="11">
        <f>IF(tblData[Date]&gt;StartDt2NSW,betaNSW/(deltaNSW+betaPodeltaNSW*EXP(-betaNSW*tblData[[#This Row],[Day '# NSW]])),"")</f>
        <v>1.8628083909307397E-2</v>
      </c>
      <c r="AK21" s="12">
        <f>IF(AND(ISNUMBER(tblData[NSW]),tblData[Date]&gt;StartDt2NSW),(tblData[[#This Row],[NSW LogiP(t)]]-tblData[[#This Row],[NSW]])^2,"")</f>
        <v>15.851322334235672</v>
      </c>
      <c r="AL21" s="12">
        <f>IF(AND(tblData[Date]&gt;StartDt2NSW,ISNUMBER(tblData[Day'# Aust])),tblData[NSW LogiP(t)]/$AG$9,"")</f>
        <v>2.3054559293697274E-2</v>
      </c>
      <c r="AM21" s="11">
        <f>IF(AND(tblData[Date]&gt;StartDt2Italy,ISNUMBER(tblData[Days'# Italy])),betaItaly/(deltaItaly+betaPodeltaItaly*EXP(-betaItaly*tblData[Days'# Italy])),"")</f>
        <v>0.74375883918474039</v>
      </c>
      <c r="AN21" s="11">
        <f>IF(AND(tblData[Date]&gt;StartDt2Italy,ISNUMBER(tblData[Italy])),(tblData[[#This Row],[Italy LogiP(t)]]-tblData[[#This Row],[Italy]])^2,"")</f>
        <v>1.5781418541264707</v>
      </c>
      <c r="AO21" s="44">
        <f>IF(AND(tblData[Date]&gt;StartDt2Italy,ISNUMBER(tblData[Days'# Italy])),tblData[[#This Row],[Italy LogiP(t)]]/$AM$9,"")</f>
        <v>0.12303702881467997</v>
      </c>
      <c r="AP21" s="11" t="str">
        <f>IF(ISNUMBER(tblData[[#This Row],[Days'# US]]),betaUS/(deltaUS+betaPodeltaUS*EXP(-betaUS*tblData[Days'# US])),"")</f>
        <v/>
      </c>
      <c r="AQ21" s="11"/>
      <c r="AR21" s="11" t="str">
        <f>IF(ISNUMBER(tblData[[#This Row],[Days'# US]]),tblData[[#This Row],[US LogiP(t)]]/$AP$9,"")</f>
        <v/>
      </c>
      <c r="AS21" s="11" t="str">
        <f>IF(tblData[Date]&gt;=StartDt2Korea,betaSKorea/(deltaSKorea+betaPodeltaSKorea*EXP(-betaSKorea*(tblData[Date]-StartDt2Korea))),"")</f>
        <v/>
      </c>
      <c r="AT21" s="11" t="str">
        <f>IF(AND(tblData[Date]&gt;=StartDt2Korea,ISNUMBER(tblData[SKorea])),(tblData[[#This Row],[SKorea LogiP(t)]]-tblData[[#This Row],[SKorea]])^2,"")</f>
        <v/>
      </c>
      <c r="AU21" s="11" t="str">
        <f>IF(tblData[Date]&gt;=StartDt2Korea,tblData[[#This Row],[SKorea LogiP(t)]]/$AS$9,"")</f>
        <v/>
      </c>
      <c r="AV21" s="11">
        <f>IF(ISNUMBER(tblData[Days'# UK]),betaUK/(deltaUK+betaPodeltaUK*EXP(-betaUK*tblData[Days'# UK])),"")</f>
        <v>6.0378659071813667E-2</v>
      </c>
      <c r="AW21" s="11">
        <f>IF(ISNUMBER(tblData[UK]),(tblData[[#This Row],[UK LogiP(t)]]-tblData[[#This Row],[UK]])^2,"")</f>
        <v>3.762130946184056</v>
      </c>
      <c r="AX21" s="11">
        <f>IF(ISNUMBER(tblData[Days'# UK]),tblData[[#This Row],[UK LogiP(t)]]/$AV$9,"")</f>
        <v>9.0876970306763491E-3</v>
      </c>
      <c r="AY21" s="11">
        <f>IF(ISNUMBER(tblData[Days'# China]),betaChina/(deltaChina+betaPodeltaChina*EXP(-betaChina*tblData[Days'# China])),"")</f>
        <v>12263.07167932598</v>
      </c>
      <c r="AZ21" s="11">
        <f>IF(ISNUMBER(tblData[China]),(tblData[[#This Row],[China LogiP(t)]]-tblData[[#This Row],[China]])^2,"")</f>
        <v>138437.33455645479</v>
      </c>
      <c r="BA21" s="11">
        <f>tblData[[#This Row],[China LogiP(t)]]/$AY$9</f>
        <v>85.200230023338264</v>
      </c>
      <c r="BB21" s="11"/>
      <c r="BC21" s="11"/>
      <c r="BD21" s="11" t="str">
        <f>IF(ISNUMBER(tblData[[#This Row],[NSW Number of Tests]]),tblData[[#This Row],[NSW Number of Tests]]-BB20,"")</f>
        <v/>
      </c>
      <c r="BE21" s="11" t="str">
        <f>IF(ISNUMBER(tblData[[#This Row],[NSW Under Investigation'']]),tblData[[#This Row],[NSW Under Investigation'']]-BC20,"")</f>
        <v/>
      </c>
      <c r="BF21" s="11"/>
      <c r="BG21" s="11" t="str">
        <f>IF(ISNUMBER(tblData[[#This Row],[NSW Test Day Number]]),betaTest/(deltaTest+betaPodeltaTest*EXP(-betaTest*tblData[[#This Row],[NSW Test Day Number]])),"")</f>
        <v/>
      </c>
      <c r="BH21" s="11" t="str">
        <f>IF(ISNUMBER(tblData[[#This Row],[NSW Number of Tests]]),(tblData[[#This Row],[NSW Number of Tests]]-tblData[[#This Row],[NSW Test Logi]])^2,"")</f>
        <v/>
      </c>
      <c r="BJ21" s="27"/>
      <c r="DE21" s="62" t="s">
        <v>202</v>
      </c>
      <c r="DG21" s="27">
        <v>43855</v>
      </c>
      <c r="DI21" s="62">
        <v>1</v>
      </c>
      <c r="DJ21" s="62">
        <v>0.20209478104227763</v>
      </c>
      <c r="DK21" s="62">
        <v>1.0000000000000751E-10</v>
      </c>
      <c r="DL21" s="62">
        <v>5.7886977342360797E-3</v>
      </c>
      <c r="DM21" s="62">
        <v>2020947810.4226243</v>
      </c>
      <c r="DN21" s="65">
        <v>3.8333653054478112</v>
      </c>
      <c r="DO21" s="64">
        <v>34.911959532184611</v>
      </c>
      <c r="DP21" s="62">
        <v>1.0000000000000751E-7</v>
      </c>
      <c r="DQ21" s="64">
        <v>3.8333653054478112</v>
      </c>
      <c r="DR21" s="27">
        <v>43908</v>
      </c>
      <c r="DS21" s="63" t="s">
        <v>1003</v>
      </c>
      <c r="DT21" s="62">
        <v>307</v>
      </c>
      <c r="DU21" s="62" t="s">
        <v>1004</v>
      </c>
      <c r="DV21" s="27">
        <v>43908</v>
      </c>
      <c r="DW21" s="65">
        <v>55</v>
      </c>
      <c r="DX21" s="63" t="s">
        <v>1005</v>
      </c>
      <c r="DY21" s="62"/>
      <c r="DZ21" s="62" t="s">
        <v>1006</v>
      </c>
      <c r="EA21" s="62"/>
      <c r="EB21" s="66" t="s">
        <v>1026</v>
      </c>
      <c r="EC21" s="21">
        <v>379.95049504950492</v>
      </c>
      <c r="ED21" s="65"/>
      <c r="EE21" s="65"/>
      <c r="EF21" s="26"/>
      <c r="EG21" s="11"/>
      <c r="EH21" s="26" t="s">
        <v>1027</v>
      </c>
      <c r="EI21" s="26"/>
      <c r="EJ21" s="26"/>
    </row>
    <row r="22" spans="2:140" ht="18.75" customHeight="1" x14ac:dyDescent="0.25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49">
        <f>IF(ISNUMBER(tblData[Italy]),tblData[Italy]/$N$9,"")</f>
        <v>0.33085194375516958</v>
      </c>
      <c r="P22" s="26" t="str">
        <f>IF(ISNUMBER(tblData[US]),tblData[US]/$P$9,"")</f>
        <v/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1">
        <f>IF(ISNUMBER(tblData[China]),tblData[China]/$V$9,"")</f>
        <v>115.54036886833168</v>
      </c>
      <c r="W22" s="26">
        <f>IF(tblData[[#This Row],[Date]]&lt;ItalyStart,"",tblData[[#This Row],[Date]]-ItalyStart)</f>
        <v>3</v>
      </c>
      <c r="X22" s="26"/>
      <c r="Y22" s="26">
        <f t="shared" si="3"/>
        <v>11</v>
      </c>
      <c r="Z22" s="26" t="str">
        <f>IF(tblData[[#This Row],[Date]]&lt;StartDt2Korea,"",tblData[[#This Row],[Date]]-StartDt2Korea)</f>
        <v/>
      </c>
      <c r="AA22" s="26">
        <f>IF(tblData[[#This Row],[Date]]&lt;UKStart,"",tblData[[#This Row],[Date]]-UKStart)</f>
        <v>3</v>
      </c>
      <c r="AB22">
        <f>IF(tblData[Date]&gt;=StartDt2Au,tblData[Date]-StartDt2Au,"")</f>
        <v>8</v>
      </c>
      <c r="AC22" s="26">
        <f>IF(tblData[New South Wales]&gt;0,SUM(tblData[[#This Row],[Australian Capital Territory]:[Western Australia]]),"")</f>
        <v>12</v>
      </c>
      <c r="AD22" s="12">
        <f>IF(ISNUMBER(tblData[Au]),tblData[Au]/$AA$9,"")</f>
        <v>4.731114966093676</v>
      </c>
      <c r="AE22" s="19">
        <f>IF(ISNUMBER(tblData[[#This Row],[Day'# Aust]]),betaAu/(deltaAu+betaPodeltaAu*EXP(-betaAu*tblData[[#This Row],[Day'# Aust]])),"")</f>
        <v>5.2953449400281863E-2</v>
      </c>
      <c r="AF22" s="72">
        <f>IF(ISNUMBER(tblData[Day'# Aust]),tblData[Au LogiP(t)]/$AD$9,"")</f>
        <v>2.0877404746996477E-2</v>
      </c>
      <c r="AG22" s="11">
        <f>IF(AND(tblData[Date]&gt;=StartDt2Au,ISNUMBER(tblData[NSW])),(tblData[[#This Row],[Au LogiP(t)]]-tblData[[#This Row],[Au]])^2,"")</f>
        <v>142.73192128219665</v>
      </c>
      <c r="AH22">
        <f>IF(tblData[Date]&gt;StartDt2NSW,tblData[Date]-StartDt2NSW,"")</f>
        <v>8</v>
      </c>
      <c r="AI22">
        <f t="shared" si="4"/>
        <v>4</v>
      </c>
      <c r="AJ22" s="11">
        <f>IF(tblData[Date]&gt;StartDt2NSW,betaNSW/(deltaNSW+betaPodeltaNSW*EXP(-betaNSW*tblData[[#This Row],[Day '# NSW]])),"")</f>
        <v>2.2965079027216881E-2</v>
      </c>
      <c r="AK22" s="12">
        <f>IF(AND(ISNUMBER(tblData[NSW]),tblData[Date]&gt;StartDt2NSW),(tblData[[#This Row],[NSW LogiP(t)]]-tblData[[#This Row],[NSW]])^2,"")</f>
        <v>15.816806762636991</v>
      </c>
      <c r="AL22" s="12">
        <f>IF(AND(tblData[Date]&gt;StartDt2NSW,ISNUMBER(tblData[Day'# Aust])),tblData[NSW LogiP(t)]/$AG$9,"")</f>
        <v>2.8422127508931781E-2</v>
      </c>
      <c r="AM22" s="11">
        <f>IF(AND(tblData[Date]&gt;StartDt2Italy,ISNUMBER(tblData[Days'# Italy])),betaItaly/(deltaItaly+betaPodeltaItaly*EXP(-betaItaly*tblData[Days'# Italy])),"")</f>
        <v>0.96480336242891529</v>
      </c>
      <c r="AN22" s="11">
        <f>IF(AND(tblData[Date]&gt;StartDt2Italy,ISNUMBER(tblData[Italy])),(tblData[[#This Row],[Italy LogiP(t)]]-tblData[[#This Row],[Italy]])^2,"")</f>
        <v>1.0716320784384799</v>
      </c>
      <c r="AO22" s="44">
        <f>IF(AND(tblData[Date]&gt;StartDt2Italy,ISNUMBER(tblData[Days'# Italy])),tblData[[#This Row],[Italy LogiP(t)]]/$AM$9,"")</f>
        <v>0.15960353390056498</v>
      </c>
      <c r="AP22" s="11" t="str">
        <f>IF(ISNUMBER(tblData[[#This Row],[Days'# US]]),betaUS/(deltaUS+betaPodeltaUS*EXP(-betaUS*tblData[Days'# US])),"")</f>
        <v/>
      </c>
      <c r="AQ22" s="11"/>
      <c r="AR22" s="11" t="str">
        <f>IF(ISNUMBER(tblData[[#This Row],[Days'# US]]),tblData[[#This Row],[US LogiP(t)]]/$AP$9,"")</f>
        <v/>
      </c>
      <c r="AS22" s="11" t="str">
        <f>IF(tblData[Date]&gt;=StartDt2Korea,betaSKorea/(deltaSKorea+betaPodeltaSKorea*EXP(-betaSKorea*(tblData[Date]-StartDt2Korea))),"")</f>
        <v/>
      </c>
      <c r="AT22" s="11" t="str">
        <f>IF(AND(tblData[Date]&gt;=StartDt2Korea,ISNUMBER(tblData[SKorea])),(tblData[[#This Row],[SKorea LogiP(t)]]-tblData[[#This Row],[SKorea]])^2,"")</f>
        <v/>
      </c>
      <c r="AU22" s="11" t="str">
        <f>IF(tblData[Date]&gt;=StartDt2Korea,tblData[[#This Row],[SKorea LogiP(t)]]/$AS$9,"")</f>
        <v/>
      </c>
      <c r="AV22" s="11">
        <f>IF(ISNUMBER(tblData[Days'# UK]),betaUK/(deltaUK+betaPodeltaUK*EXP(-betaUK*tblData[Days'# UK])),"")</f>
        <v>7.6037828240448552E-2</v>
      </c>
      <c r="AW22" s="11">
        <f>IF(ISNUMBER(tblData[UK]),(tblData[[#This Row],[UK LogiP(t)]]-tblData[[#This Row],[UK]])^2,"")</f>
        <v>3.7016304383617298</v>
      </c>
      <c r="AX22" s="11">
        <f>IF(ISNUMBER(tblData[Days'# UK]),tblData[[#This Row],[UK LogiP(t)]]/$AV$9,"")</f>
        <v>1.1444585827882081E-2</v>
      </c>
      <c r="AY22" s="11">
        <f>IF(ISNUMBER(tblData[Days'# China]),betaChina/(deltaChina+betaPodeltaChina*EXP(-betaChina*tblData[Days'# China])),"")</f>
        <v>14757.41557787284</v>
      </c>
      <c r="AZ22" s="11">
        <f>IF(ISNUMBER(tblData[China]),(tblData[[#This Row],[China LogiP(t)]]-tblData[[#This Row],[China]])^2,"")</f>
        <v>3506572.4179933099</v>
      </c>
      <c r="BA22" s="11">
        <f>tblData[[#This Row],[China LogiP(t)]]/$AY$9</f>
        <v>102.53020080641564</v>
      </c>
      <c r="BB22" s="11"/>
      <c r="BC22" s="11"/>
      <c r="BD22" s="11" t="str">
        <f>IF(ISNUMBER(tblData[[#This Row],[NSW Number of Tests]]),tblData[[#This Row],[NSW Number of Tests]]-BB21,"")</f>
        <v/>
      </c>
      <c r="BE22" s="11" t="str">
        <f>IF(ISNUMBER(tblData[[#This Row],[NSW Under Investigation'']]),tblData[[#This Row],[NSW Under Investigation'']]-BC21,"")</f>
        <v/>
      </c>
      <c r="BF22" s="11"/>
      <c r="BG22" s="11" t="str">
        <f>IF(ISNUMBER(tblData[[#This Row],[NSW Test Day Number]]),betaTest/(deltaTest+betaPodeltaTest*EXP(-betaTest*tblData[[#This Row],[NSW Test Day Number]])),"")</f>
        <v/>
      </c>
      <c r="BH22" s="11" t="str">
        <f>IF(ISNUMBER(tblData[[#This Row],[NSW Number of Tests]]),(tblData[[#This Row],[NSW Number of Tests]]-tblData[[#This Row],[NSW Test Logi]])^2,"")</f>
        <v/>
      </c>
      <c r="BJ22" s="27"/>
      <c r="DE22" s="26" t="s">
        <v>202</v>
      </c>
      <c r="DG22" s="27">
        <v>43855</v>
      </c>
      <c r="DI22" s="26">
        <v>1</v>
      </c>
      <c r="DJ22" s="26">
        <v>0.19837162818971904</v>
      </c>
      <c r="DK22" s="26">
        <v>1.00000000000157E-8</v>
      </c>
      <c r="DL22" s="26">
        <v>6.9460009994493713E-3</v>
      </c>
      <c r="DM22" s="26">
        <v>19837162.818940759</v>
      </c>
      <c r="DN22" s="19">
        <v>3.6531506142049168</v>
      </c>
      <c r="DO22" s="12">
        <v>28.559113097735587</v>
      </c>
      <c r="DP22" s="26">
        <v>1.00000000000157E-5</v>
      </c>
      <c r="DQ22" s="26">
        <v>3.6531506142049168</v>
      </c>
      <c r="DR22" s="27">
        <v>43910</v>
      </c>
      <c r="DS22" s="26" t="s">
        <v>1309</v>
      </c>
      <c r="DT22" s="26">
        <v>382</v>
      </c>
      <c r="DU22" s="26" t="s">
        <v>1310</v>
      </c>
      <c r="DV22" s="27">
        <v>43910</v>
      </c>
      <c r="DW22" s="26">
        <v>56</v>
      </c>
      <c r="DX22" s="26" t="s">
        <v>1311</v>
      </c>
      <c r="DY22" s="26"/>
      <c r="DZ22" s="26" t="s">
        <v>1312</v>
      </c>
      <c r="EA22" s="26"/>
      <c r="EB22" s="26" t="s">
        <v>1313</v>
      </c>
      <c r="EC22" s="26">
        <v>472.77227722772273</v>
      </c>
      <c r="ED22" s="26"/>
      <c r="EE22" s="26"/>
      <c r="EF22" s="26"/>
      <c r="EG22" s="26"/>
      <c r="EH22" s="26" t="s">
        <v>1314</v>
      </c>
      <c r="EI22" s="26"/>
      <c r="EJ22" s="26"/>
    </row>
    <row r="23" spans="2:140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49">
        <f>IF(ISNUMBER(tblData[Italy]),tblData[Italy]/$N$9,"")</f>
        <v>0.33085194375516958</v>
      </c>
      <c r="P23" s="26" t="str">
        <f>IF(ISNUMBER(tblData[US]),tblData[US]/$P$9,"")</f>
        <v/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1">
        <f>IF(ISNUMBER(tblData[China]),tblData[China]/$V$9,"")</f>
        <v>136.98099294095175</v>
      </c>
      <c r="W23" s="26">
        <f>IF(tblData[[#This Row],[Date]]&lt;ItalyStart,"",tblData[[#This Row],[Date]]-ItalyStart)</f>
        <v>4</v>
      </c>
      <c r="X23" s="26"/>
      <c r="Y23" s="26">
        <f t="shared" si="3"/>
        <v>12</v>
      </c>
      <c r="Z23" s="26" t="str">
        <f>IF(tblData[[#This Row],[Date]]&lt;StartDt2Korea,"",tblData[[#This Row],[Date]]-StartDt2Korea)</f>
        <v/>
      </c>
      <c r="AA23" s="26">
        <f>IF(tblData[[#This Row],[Date]]&lt;UKStart,"",tblData[[#This Row],[Date]]-UKStart)</f>
        <v>4</v>
      </c>
      <c r="AB23">
        <f>IF(tblData[Date]&gt;=StartDt2Au,tblData[Date]-StartDt2Au,"")</f>
        <v>9</v>
      </c>
      <c r="AC23" s="26">
        <f>IF(tblData[New South Wales]&gt;0,SUM(tblData[[#This Row],[Australian Capital Territory]:[Western Australia]]),"")</f>
        <v>12</v>
      </c>
      <c r="AD23" s="12">
        <f>IF(ISNUMBER(tblData[Au]),tblData[Au]/$AA$9,"")</f>
        <v>4.731114966093676</v>
      </c>
      <c r="AE23" s="19">
        <f>IF(ISNUMBER(tblData[[#This Row],[Day'# Aust]]),betaAu/(deltaAu+betaPodeltaAu*EXP(-betaAu*tblData[[#This Row],[Day'# Aust]])),"")</f>
        <v>6.5098566415230125E-2</v>
      </c>
      <c r="AF23" s="72">
        <f>IF(ISNUMBER(tblData[Day'# Aust]),tblData[Au LogiP(t)]/$AD$9,"")</f>
        <v>2.5665733486528199E-2</v>
      </c>
      <c r="AG23" s="11">
        <f>IF(AND(tblData[Date]&gt;=StartDt2Au,ISNUMBER(tblData[NSW])),(tblData[[#This Row],[Au LogiP(t)]]-tblData[[#This Row],[Au]])^2,"")</f>
        <v>142.44187222938379</v>
      </c>
      <c r="AH23">
        <f>IF(tblData[Date]&gt;StartDt2NSW,tblData[Date]-StartDt2NSW,"")</f>
        <v>9</v>
      </c>
      <c r="AI23">
        <f t="shared" si="4"/>
        <v>4</v>
      </c>
      <c r="AJ23" s="11">
        <f>IF(tblData[Date]&gt;StartDt2NSW,betaNSW/(deltaNSW+betaPodeltaNSW*EXP(-betaNSW*tblData[[#This Row],[Day '# NSW]])),"")</f>
        <v>2.8311803932569855E-2</v>
      </c>
      <c r="AK23" s="12">
        <f>IF(AND(ISNUMBER(tblData[NSW]),tblData[Date]&gt;StartDt2NSW),(tblData[[#This Row],[NSW LogiP(t)]]-tblData[[#This Row],[NSW]])^2,"")</f>
        <v>15.774307126781357</v>
      </c>
      <c r="AL23" s="12">
        <f>IF(AND(tblData[Date]&gt;StartDt2NSW,ISNUMBER(tblData[Day'# Aust])),tblData[NSW LogiP(t)]/$AG$9,"")</f>
        <v>3.5039361302685458E-2</v>
      </c>
      <c r="AM23" s="11">
        <f>IF(AND(tblData[Date]&gt;StartDt2Italy,ISNUMBER(tblData[Days'# Italy])),betaItaly/(deltaItaly+betaPodeltaItaly*EXP(-betaItaly*tblData[Days'# Italy])),"")</f>
        <v>1.2515406544931931</v>
      </c>
      <c r="AN23" s="11">
        <f>IF(AND(tblData[Date]&gt;StartDt2Italy,ISNUMBER(tblData[Italy])),(tblData[[#This Row],[Italy LogiP(t)]]-tblData[[#This Row],[Italy]])^2,"")</f>
        <v>0.56019139187647782</v>
      </c>
      <c r="AO23" s="44">
        <f>IF(AND(tblData[Date]&gt;StartDt2Italy,ISNUMBER(tblData[Days'# Italy])),tblData[[#This Row],[Italy LogiP(t)]]/$AM$9,"")</f>
        <v>0.20703732911384501</v>
      </c>
      <c r="AP23" s="11" t="str">
        <f>IF(ISNUMBER(tblData[[#This Row],[Days'# US]]),betaUS/(deltaUS+betaPodeltaUS*EXP(-betaUS*tblData[Days'# US])),"")</f>
        <v/>
      </c>
      <c r="AQ23" s="11"/>
      <c r="AR23" s="11" t="str">
        <f>IF(ISNUMBER(tblData[[#This Row],[Days'# US]]),tblData[[#This Row],[US LogiP(t)]]/$AP$9,"")</f>
        <v/>
      </c>
      <c r="AS23" s="11" t="str">
        <f>IF(tblData[Date]&gt;=StartDt2Korea,betaSKorea/(deltaSKorea+betaPodeltaSKorea*EXP(-betaSKorea*(tblData[Date]-StartDt2Korea))),"")</f>
        <v/>
      </c>
      <c r="AT23" s="11" t="str">
        <f>IF(AND(tblData[Date]&gt;=StartDt2Korea,ISNUMBER(tblData[SKorea])),(tblData[[#This Row],[SKorea LogiP(t)]]-tblData[[#This Row],[SKorea]])^2,"")</f>
        <v/>
      </c>
      <c r="AU23" s="11" t="str">
        <f>IF(tblData[Date]&gt;=StartDt2Korea,tblData[[#This Row],[SKorea LogiP(t)]]/$AS$9,"")</f>
        <v/>
      </c>
      <c r="AV23" s="11">
        <f>IF(ISNUMBER(tblData[Days'# UK]),betaUK/(deltaUK+betaPodeltaUK*EXP(-betaUK*tblData[Days'# UK])),"")</f>
        <v>9.5758193578717593E-2</v>
      </c>
      <c r="AW23" s="11">
        <f>IF(ISNUMBER(tblData[UK]),(tblData[[#This Row],[UK LogiP(t)]]-tblData[[#This Row],[UK]])^2,"")</f>
        <v>3.6261368573225892</v>
      </c>
      <c r="AX23" s="11">
        <f>IF(ISNUMBER(tblData[Days'# UK]),tblData[[#This Row],[UK LogiP(t)]]/$AV$9,"")</f>
        <v>1.4412732326718481E-2</v>
      </c>
      <c r="AY23" s="11">
        <f>IF(ISNUMBER(tblData[Days'# China]),betaChina/(deltaChina+betaPodeltaChina*EXP(-betaChina*tblData[Days'# China])),"")</f>
        <v>17628.902643888327</v>
      </c>
      <c r="AZ23" s="11">
        <f>IF(ISNUMBER(tblData[China]),(tblData[[#This Row],[China LogiP(t)]]-tblData[[#This Row],[China]])^2,"")</f>
        <v>4355975.3738883371</v>
      </c>
      <c r="BA23" s="11">
        <f>tblData[[#This Row],[China LogiP(t)]]/$AY$9</f>
        <v>122.48045184718971</v>
      </c>
      <c r="BB23" s="11"/>
      <c r="BC23" s="11"/>
      <c r="BD23" s="11" t="str">
        <f>IF(ISNUMBER(tblData[[#This Row],[NSW Number of Tests]]),tblData[[#This Row],[NSW Number of Tests]]-BB22,"")</f>
        <v/>
      </c>
      <c r="BE23" s="11" t="str">
        <f>IF(ISNUMBER(tblData[[#This Row],[NSW Under Investigation'']]),tblData[[#This Row],[NSW Under Investigation'']]-BC22,"")</f>
        <v/>
      </c>
      <c r="BF23" s="11"/>
      <c r="BG23" s="11" t="str">
        <f>IF(ISNUMBER(tblData[[#This Row],[NSW Test Day Number]]),betaTest/(deltaTest+betaPodeltaTest*EXP(-betaTest*tblData[[#This Row],[NSW Test Day Number]])),"")</f>
        <v/>
      </c>
      <c r="BH23" s="11" t="str">
        <f>IF(ISNUMBER(tblData[[#This Row],[NSW Number of Tests]]),(tblData[[#This Row],[NSW Number of Tests]]-tblData[[#This Row],[NSW Test Logi]])^2,"")</f>
        <v/>
      </c>
      <c r="BJ23" s="27"/>
      <c r="DE23" s="26" t="s">
        <v>202</v>
      </c>
      <c r="DF23" s="82">
        <v>43911.866284722222</v>
      </c>
      <c r="DG23" s="27">
        <v>43855</v>
      </c>
      <c r="DH23" s="27">
        <v>43855</v>
      </c>
      <c r="DI23" s="26">
        <v>1</v>
      </c>
      <c r="DJ23" s="26">
        <v>0.20930602113130264</v>
      </c>
      <c r="DK23" s="26">
        <v>7.6817707886235747E-5</v>
      </c>
      <c r="DL23" s="26">
        <v>4.3039510033128963E-3</v>
      </c>
      <c r="DM23" s="26">
        <v>2724.7105763852951</v>
      </c>
      <c r="DN23" s="19">
        <v>4.2004617329616165</v>
      </c>
      <c r="DO23" s="12">
        <v>48.631057916445158</v>
      </c>
      <c r="DP23" s="26">
        <v>7.681770788623575E-2</v>
      </c>
      <c r="DQ23" s="26">
        <v>4.2004617329616165</v>
      </c>
      <c r="DR23" s="27">
        <v>43911</v>
      </c>
      <c r="DS23" s="26" t="s">
        <v>1487</v>
      </c>
      <c r="DT23" s="26">
        <v>436</v>
      </c>
      <c r="DU23" s="26" t="s">
        <v>1488</v>
      </c>
      <c r="DV23" s="27">
        <v>43911</v>
      </c>
      <c r="DW23" s="26">
        <v>57</v>
      </c>
      <c r="DX23" s="26" t="s">
        <v>1489</v>
      </c>
      <c r="DY23" s="26"/>
      <c r="DZ23" s="26" t="s">
        <v>1490</v>
      </c>
      <c r="EA23" s="26"/>
      <c r="EB23" s="26" t="s">
        <v>1491</v>
      </c>
      <c r="EC23" s="26">
        <v>539.60396039603961</v>
      </c>
      <c r="ED23" s="26"/>
      <c r="EE23" s="26"/>
      <c r="EF23" s="26"/>
      <c r="EG23" s="26"/>
      <c r="EH23" s="26" t="s">
        <v>1476</v>
      </c>
      <c r="EI23" s="26"/>
      <c r="EJ23" s="26"/>
    </row>
    <row r="24" spans="2:140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49">
        <f>IF(ISNUMBER(tblData[Italy]),tblData[Italy]/$N$9,"")</f>
        <v>0.33085194375516958</v>
      </c>
      <c r="P24" s="26" t="str">
        <f>IF(ISNUMBER(tblData[US]),tblData[US]/$P$9,"")</f>
        <v/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1">
        <f>IF(ISNUMBER(tblData[China]),tblData[China]/$V$9,"")</f>
        <v>164.7092919279338</v>
      </c>
      <c r="W24" s="26">
        <f>IF(tblData[[#This Row],[Date]]&lt;ItalyStart,"",tblData[[#This Row],[Date]]-ItalyStart)</f>
        <v>5</v>
      </c>
      <c r="X24" s="26"/>
      <c r="Y24" s="26">
        <f t="shared" si="3"/>
        <v>13</v>
      </c>
      <c r="Z24" s="26" t="str">
        <f>IF(tblData[[#This Row],[Date]]&lt;StartDt2Korea,"",tblData[[#This Row],[Date]]-StartDt2Korea)</f>
        <v/>
      </c>
      <c r="AA24" s="26">
        <f>IF(tblData[[#This Row],[Date]]&lt;UKStart,"",tblData[[#This Row],[Date]]-UKStart)</f>
        <v>5</v>
      </c>
      <c r="AB24">
        <f>IF(tblData[Date]&gt;=StartDt2Au,tblData[Date]-StartDt2Au,"")</f>
        <v>10</v>
      </c>
      <c r="AC24" s="26">
        <f>IF(tblData[New South Wales]&gt;0,SUM(tblData[[#This Row],[Australian Capital Territory]:[Western Australia]]),"")</f>
        <v>13</v>
      </c>
      <c r="AD24" s="12">
        <f>IF(ISNUMBER(tblData[Au]),tblData[Au]/$AA$9,"")</f>
        <v>5.1253745466014822</v>
      </c>
      <c r="AE24" s="19">
        <f>IF(ISNUMBER(tblData[[#This Row],[Day'# Aust]]),betaAu/(deltaAu+betaPodeltaAu*EXP(-betaAu*tblData[[#This Row],[Day'# Aust]])),"")</f>
        <v>8.0029221840237724E-2</v>
      </c>
      <c r="AF24" s="72">
        <f>IF(ISNUMBER(tblData[Day'# Aust]),tblData[Au LogiP(t)]/$AD$9,"")</f>
        <v>3.1552287431098301E-2</v>
      </c>
      <c r="AG24" s="11">
        <f>IF(AND(tblData[Date]&gt;=StartDt2Au,ISNUMBER(tblData[NSW])),(tblData[[#This Row],[Au LogiP(t)]]-tblData[[#This Row],[Au]])^2,"")</f>
        <v>166.92564490850216</v>
      </c>
      <c r="AH24">
        <f>IF(tblData[Date]&gt;StartDt2NSW,tblData[Date]-StartDt2NSW,"")</f>
        <v>10</v>
      </c>
      <c r="AI24">
        <f t="shared" si="4"/>
        <v>4</v>
      </c>
      <c r="AJ24" s="11">
        <f>IF(tblData[Date]&gt;StartDt2NSW,betaNSW/(deltaNSW+betaPodeltaNSW*EXP(-betaNSW*tblData[[#This Row],[Day '# NSW]])),"")</f>
        <v>3.4903336268076422E-2</v>
      </c>
      <c r="AK24" s="12">
        <f>IF(AND(ISNUMBER(tblData[NSW]),tblData[Date]&gt;StartDt2NSW),(tblData[[#This Row],[NSW LogiP(t)]]-tblData[[#This Row],[NSW]])^2,"")</f>
        <v>15.721991552738031</v>
      </c>
      <c r="AL24" s="12">
        <f>IF(AND(tblData[Date]&gt;StartDt2NSW,ISNUMBER(tblData[Day'# Aust])),tblData[NSW LogiP(t)]/$AG$9,"")</f>
        <v>4.319719835157973E-2</v>
      </c>
      <c r="AM24" s="11">
        <f>IF(AND(tblData[Date]&gt;StartDt2Italy,ISNUMBER(tblData[Days'# Italy])),betaItaly/(deltaItaly+betaPodeltaItaly*EXP(-betaItaly*tblData[Days'# Italy])),"")</f>
        <v>1.6234930987102256</v>
      </c>
      <c r="AN24" s="11">
        <f>IF(AND(tblData[Date]&gt;StartDt2Italy,ISNUMBER(tblData[Italy])),(tblData[[#This Row],[Italy LogiP(t)]]-tblData[[#This Row],[Italy]])^2,"")</f>
        <v>0.1417574467188279</v>
      </c>
      <c r="AO24" s="44">
        <f>IF(AND(tblData[Date]&gt;StartDt2Italy,ISNUMBER(tblData[Days'# Italy])),tblData[[#This Row],[Italy LogiP(t)]]/$AM$9,"")</f>
        <v>0.26856792369069077</v>
      </c>
      <c r="AP24" s="11" t="str">
        <f>IF(ISNUMBER(tblData[[#This Row],[Days'# US]]),betaUS/(deltaUS+betaPodeltaUS*EXP(-betaUS*tblData[Days'# US])),"")</f>
        <v/>
      </c>
      <c r="AQ24" s="11"/>
      <c r="AR24" s="11" t="str">
        <f>IF(ISNUMBER(tblData[[#This Row],[Days'# US]]),tblData[[#This Row],[US LogiP(t)]]/$AP$9,"")</f>
        <v/>
      </c>
      <c r="AS24" s="11" t="str">
        <f>IF(tblData[Date]&gt;=StartDt2Korea,betaSKorea/(deltaSKorea+betaPodeltaSKorea*EXP(-betaSKorea*(tblData[Date]-StartDt2Korea))),"")</f>
        <v/>
      </c>
      <c r="AT24" s="11" t="str">
        <f>IF(AND(tblData[Date]&gt;=StartDt2Korea,ISNUMBER(tblData[SKorea])),(tblData[[#This Row],[SKorea LogiP(t)]]-tblData[[#This Row],[SKorea]])^2,"")</f>
        <v/>
      </c>
      <c r="AU24" s="11" t="str">
        <f>IF(tblData[Date]&gt;=StartDt2Korea,tblData[[#This Row],[SKorea LogiP(t)]]/$AS$9,"")</f>
        <v/>
      </c>
      <c r="AV24" s="11">
        <f>IF(ISNUMBER(tblData[Days'# UK]),betaUK/(deltaUK+betaPodeltaUK*EXP(-betaUK*tblData[Days'# UK])),"")</f>
        <v>0.12059302388620777</v>
      </c>
      <c r="AW24" s="11">
        <f>IF(ISNUMBER(tblData[UK]),(tblData[[#This Row],[UK LogiP(t)]]-tblData[[#This Row],[UK]])^2,"")</f>
        <v>3.5321705818651883</v>
      </c>
      <c r="AX24" s="11">
        <f>IF(ISNUMBER(tblData[Days'# UK]),tblData[[#This Row],[UK LogiP(t)]]/$AV$9,"")</f>
        <v>1.815066584681032E-2</v>
      </c>
      <c r="AY24" s="11">
        <f>IF(ISNUMBER(tblData[Days'# China]),betaChina/(deltaChina+betaPodeltaChina*EXP(-betaChina*tblData[Days'# China])),"")</f>
        <v>20882.852887614059</v>
      </c>
      <c r="AZ24" s="11">
        <f>IF(ISNUMBER(tblData[China]),(tblData[[#This Row],[China LogiP(t)]]-tblData[[#This Row],[China]])^2,"")</f>
        <v>7975806.9123978484</v>
      </c>
      <c r="BA24" s="11">
        <f>tblData[[#This Row],[China LogiP(t)]]/$AY$9</f>
        <v>145.08794501852279</v>
      </c>
      <c r="BB24" s="11"/>
      <c r="BC24" s="11"/>
      <c r="BD24" s="11" t="str">
        <f>IF(ISNUMBER(tblData[[#This Row],[NSW Number of Tests]]),tblData[[#This Row],[NSW Number of Tests]]-BB23,"")</f>
        <v/>
      </c>
      <c r="BE24" s="11" t="str">
        <f>IF(ISNUMBER(tblData[[#This Row],[NSW Under Investigation'']]),tblData[[#This Row],[NSW Under Investigation'']]-BC23,"")</f>
        <v/>
      </c>
      <c r="BF24" s="11"/>
      <c r="BG24" s="11" t="str">
        <f>IF(ISNUMBER(tblData[[#This Row],[NSW Test Day Number]]),betaTest/(deltaTest+betaPodeltaTest*EXP(-betaTest*tblData[[#This Row],[NSW Test Day Number]])),"")</f>
        <v/>
      </c>
      <c r="BH24" s="11" t="str">
        <f>IF(ISNUMBER(tblData[[#This Row],[NSW Number of Tests]]),(tblData[[#This Row],[NSW Number of Tests]]-tblData[[#This Row],[NSW Test Logi]])^2,"")</f>
        <v/>
      </c>
      <c r="BJ24" s="27"/>
      <c r="DE24" s="26" t="s">
        <v>58</v>
      </c>
      <c r="DG24" s="27">
        <v>43860</v>
      </c>
      <c r="DI24" s="26">
        <v>2</v>
      </c>
      <c r="DJ24" s="23">
        <v>0.26341245608301456</v>
      </c>
      <c r="DK24" s="25">
        <v>8.0178356113971791E-6</v>
      </c>
      <c r="DL24" s="22">
        <v>0.43807876080500274</v>
      </c>
      <c r="DM24" s="26">
        <v>32853.312146806733</v>
      </c>
      <c r="DN24" s="19">
        <v>317.87708238738571</v>
      </c>
      <c r="DO24" s="37">
        <v>0.60128216021130942</v>
      </c>
      <c r="DP24" s="24">
        <v>8.0178356113971786E-3</v>
      </c>
      <c r="DQ24" s="12"/>
      <c r="DR24" s="27">
        <v>43904</v>
      </c>
      <c r="DS24" s="27" t="s">
        <v>492</v>
      </c>
      <c r="DT24" s="19"/>
      <c r="DU24" s="19"/>
      <c r="DW24" s="26"/>
      <c r="DX24" s="18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</row>
    <row r="25" spans="2:140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49">
        <f>IF(ISNUMBER(tblData[Italy]),tblData[Italy]/$N$9,"")</f>
        <v>0.33085194375516958</v>
      </c>
      <c r="P25" s="26" t="str">
        <f>IF(ISNUMBER(tblData[US]),tblData[US]/$P$9,"")</f>
        <v/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1">
        <f>IF(ISNUMBER(tblData[China]),tblData[China]/$V$9,"")</f>
        <v>190.64508248629113</v>
      </c>
      <c r="W25" s="26">
        <f>IF(tblData[[#This Row],[Date]]&lt;ItalyStart,"",tblData[[#This Row],[Date]]-ItalyStart)</f>
        <v>6</v>
      </c>
      <c r="X25" s="26"/>
      <c r="Y25" s="26">
        <f t="shared" si="3"/>
        <v>14</v>
      </c>
      <c r="Z25" s="26" t="str">
        <f>IF(tblData[[#This Row],[Date]]&lt;StartDt2Korea,"",tblData[[#This Row],[Date]]-StartDt2Korea)</f>
        <v/>
      </c>
      <c r="AA25" s="26">
        <f>IF(tblData[[#This Row],[Date]]&lt;UKStart,"",tblData[[#This Row],[Date]]-UKStart)</f>
        <v>6</v>
      </c>
      <c r="AB25">
        <f>IF(tblData[Date]&gt;=StartDt2Au,tblData[Date]-StartDt2Au,"")</f>
        <v>11</v>
      </c>
      <c r="AC25" s="26">
        <f>IF(tblData[New South Wales]&gt;0,SUM(tblData[[#This Row],[Australian Capital Territory]:[Western Australia]]),"")</f>
        <v>13</v>
      </c>
      <c r="AD25" s="12">
        <f>IF(ISNUMBER(tblData[Au]),tblData[Au]/$AA$9,"")</f>
        <v>5.1253745466014822</v>
      </c>
      <c r="AE25" s="19">
        <f>IF(ISNUMBER(tblData[[#This Row],[Day'# Aust]]),betaAu/(deltaAu+betaPodeltaAu*EXP(-betaAu*tblData[[#This Row],[Day'# Aust]])),"")</f>
        <v>9.8384291712288199E-2</v>
      </c>
      <c r="AF25" s="72">
        <f>IF(ISNUMBER(tblData[Day'# Aust]),tblData[Au LogiP(t)]/$AD$9,"")</f>
        <v>3.8788949579044392E-2</v>
      </c>
      <c r="AG25" s="11">
        <f>IF(AND(tblData[Date]&gt;=StartDt2Au,ISNUMBER(tblData[NSW])),(tblData[[#This Row],[Au LogiP(t)]]-tblData[[#This Row],[Au]])^2,"")</f>
        <v>166.45168788433625</v>
      </c>
      <c r="AH25">
        <f>IF(tblData[Date]&gt;StartDt2NSW,tblData[Date]-StartDt2NSW,"")</f>
        <v>11</v>
      </c>
      <c r="AI25">
        <f t="shared" si="4"/>
        <v>4</v>
      </c>
      <c r="AJ25" s="11">
        <f>IF(tblData[Date]&gt;StartDt2NSW,betaNSW/(deltaNSW+betaPodeltaNSW*EXP(-betaNSW*tblData[[#This Row],[Day '# NSW]])),"")</f>
        <v>4.3029479837727119E-2</v>
      </c>
      <c r="AK25" s="12">
        <f>IF(AND(ISNUMBER(tblData[NSW]),tblData[Date]&gt;StartDt2NSW),(tblData[[#This Row],[NSW LogiP(t)]]-tblData[[#This Row],[NSW]])^2,"")</f>
        <v>15.657615697433288</v>
      </c>
      <c r="AL25" s="12">
        <f>IF(AND(tblData[Date]&gt;StartDt2NSW,ISNUMBER(tblData[Day'# Aust])),tblData[NSW LogiP(t)]/$AG$9,"")</f>
        <v>5.3254306729860292E-2</v>
      </c>
      <c r="AM25" s="11">
        <f>IF(AND(tblData[Date]&gt;StartDt2Italy,ISNUMBER(tblData[Days'# Italy])),betaItaly/(deltaItaly+betaPodeltaItaly*EXP(-betaItaly*tblData[Days'# Italy])),"")</f>
        <v>2.1059839910204423</v>
      </c>
      <c r="AN25" s="11">
        <f>IF(AND(tblData[Date]&gt;StartDt2Italy,ISNUMBER(tblData[Italy])),(tblData[[#This Row],[Italy LogiP(t)]]-tblData[[#This Row],[Italy]])^2,"")</f>
        <v>1.1232606352621197E-2</v>
      </c>
      <c r="AO25" s="44">
        <f>IF(AND(tblData[Date]&gt;StartDt2Italy,ISNUMBER(tblData[Days'# Italy])),tblData[[#This Row],[Italy LogiP(t)]]/$AM$9,"")</f>
        <v>0.34838444847319144</v>
      </c>
      <c r="AP25" s="11" t="str">
        <f>IF(ISNUMBER(tblData[[#This Row],[Days'# US]]),betaUS/(deltaUS+betaPodeltaUS*EXP(-betaUS*tblData[Days'# US])),"")</f>
        <v/>
      </c>
      <c r="AQ25" s="11"/>
      <c r="AR25" s="11" t="str">
        <f>IF(ISNUMBER(tblData[[#This Row],[Days'# US]]),tblData[[#This Row],[US LogiP(t)]]/$AP$9,"")</f>
        <v/>
      </c>
      <c r="AS25" s="11" t="str">
        <f>IF(tblData[Date]&gt;=StartDt2Korea,betaSKorea/(deltaSKorea+betaPodeltaSKorea*EXP(-betaSKorea*(tblData[Date]-StartDt2Korea))),"")</f>
        <v/>
      </c>
      <c r="AT25" s="11" t="str">
        <f>IF(AND(tblData[Date]&gt;=StartDt2Korea,ISNUMBER(tblData[SKorea])),(tblData[[#This Row],[SKorea LogiP(t)]]-tblData[[#This Row],[SKorea]])^2,"")</f>
        <v/>
      </c>
      <c r="AU25" s="11" t="str">
        <f>IF(tblData[Date]&gt;=StartDt2Korea,tblData[[#This Row],[SKorea LogiP(t)]]/$AS$9,"")</f>
        <v/>
      </c>
      <c r="AV25" s="11">
        <f>IF(ISNUMBER(tblData[Days'# UK]),betaUK/(deltaUK+betaPodeltaUK*EXP(-betaUK*tblData[Days'# UK])),"")</f>
        <v>0.15186875259565683</v>
      </c>
      <c r="AW25" s="11">
        <f>IF(ISNUMBER(tblData[UK]),(tblData[[#This Row],[UK LogiP(t)]]-tblData[[#This Row],[UK]])^2,"")</f>
        <v>3.4155891076323335</v>
      </c>
      <c r="AX25" s="11">
        <f>IF(ISNUMBER(tblData[Days'# UK]),tblData[[#This Row],[UK LogiP(t)]]/$AV$9,"")</f>
        <v>2.2858030192001329E-2</v>
      </c>
      <c r="AY25" s="11">
        <f>IF(ISNUMBER(tblData[Days'# China]),betaChina/(deltaChina+betaPodeltaChina*EXP(-betaChina*tblData[Days'# China])),"")</f>
        <v>24504.98798222663</v>
      </c>
      <c r="AZ25" s="11">
        <f>IF(ISNUMBER(tblData[China]),(tblData[[#This Row],[China LogiP(t)]]-tblData[[#This Row],[China]])^2,"")</f>
        <v>8614295.5444741081</v>
      </c>
      <c r="BA25" s="11">
        <f>tblData[[#This Row],[China LogiP(t)]]/$AY$9</f>
        <v>170.25347868794347</v>
      </c>
      <c r="BB25" s="11"/>
      <c r="BC25" s="11"/>
      <c r="BD25" s="11" t="str">
        <f>IF(ISNUMBER(tblData[[#This Row],[NSW Number of Tests]]),tblData[[#This Row],[NSW Number of Tests]]-BB24,"")</f>
        <v/>
      </c>
      <c r="BE25" s="11" t="str">
        <f>IF(ISNUMBER(tblData[[#This Row],[NSW Under Investigation'']]),tblData[[#This Row],[NSW Under Investigation'']]-BC24,"")</f>
        <v/>
      </c>
      <c r="BF25" s="11"/>
      <c r="BG25" s="11" t="str">
        <f>IF(ISNUMBER(tblData[[#This Row],[NSW Test Day Number]]),betaTest/(deltaTest+betaPodeltaTest*EXP(-betaTest*tblData[[#This Row],[NSW Test Day Number]])),"")</f>
        <v/>
      </c>
      <c r="BH25" s="11" t="str">
        <f>IF(ISNUMBER(tblData[[#This Row],[NSW Number of Tests]]),(tblData[[#This Row],[NSW Number of Tests]]-tblData[[#This Row],[NSW Test Logi]])^2,"")</f>
        <v/>
      </c>
      <c r="BJ25" s="27"/>
      <c r="DE25" s="26" t="s">
        <v>58</v>
      </c>
      <c r="DG25" s="27">
        <v>43860</v>
      </c>
      <c r="DI25" s="26">
        <v>2</v>
      </c>
      <c r="DJ25" s="23">
        <v>0.26295149930522799</v>
      </c>
      <c r="DK25" s="25">
        <v>7.2323673251486775E-6</v>
      </c>
      <c r="DL25" s="22">
        <v>0.43947505980618701</v>
      </c>
      <c r="DM25" s="24">
        <v>36357.597379060448</v>
      </c>
      <c r="DN25" s="22">
        <v>403.75439893608279</v>
      </c>
      <c r="DO25" s="37">
        <v>0.59832364770853697</v>
      </c>
      <c r="DP25" s="24">
        <v>7.2323673251486779E-3</v>
      </c>
      <c r="DQ25" s="24"/>
      <c r="DR25" s="27">
        <v>43905</v>
      </c>
      <c r="DS25" s="27" t="s">
        <v>768</v>
      </c>
      <c r="DT25" s="26"/>
      <c r="DU25" s="26"/>
      <c r="DW25" s="19"/>
      <c r="DX25" s="18"/>
      <c r="DY25" s="26"/>
      <c r="DZ25" s="26"/>
      <c r="EA25" s="26"/>
      <c r="EB25" s="26"/>
      <c r="EC25" s="26"/>
      <c r="ED25" s="19"/>
      <c r="EE25" s="19"/>
      <c r="EF25" s="26"/>
      <c r="EG25" s="26"/>
      <c r="EH25" s="26"/>
      <c r="EI25" s="26"/>
      <c r="EJ25" s="26"/>
    </row>
    <row r="26" spans="2:140" ht="15" customHeight="1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49">
        <f>IF(ISNUMBER(tblData[Italy]),tblData[Italy]/$N$9,"")</f>
        <v>0.33085194375516958</v>
      </c>
      <c r="P26" s="26" t="str">
        <f>IF(ISNUMBER(tblData[US]),tblData[US]/$P$9,"")</f>
        <v/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1">
        <f>IF(ISNUMBER(tblData[China]),tblData[China]/$V$9,"")</f>
        <v>212.50951669126044</v>
      </c>
      <c r="W26" s="26">
        <f>IF(tblData[[#This Row],[Date]]&lt;ItalyStart,"",tblData[[#This Row],[Date]]-ItalyStart)</f>
        <v>7</v>
      </c>
      <c r="X26" s="26"/>
      <c r="Y26" s="26">
        <f t="shared" si="3"/>
        <v>15</v>
      </c>
      <c r="Z26" s="26" t="str">
        <f>IF(tblData[[#This Row],[Date]]&lt;StartDt2Korea,"",tblData[[#This Row],[Date]]-StartDt2Korea)</f>
        <v/>
      </c>
      <c r="AA26" s="26">
        <f>IF(tblData[[#This Row],[Date]]&lt;UKStart,"",tblData[[#This Row],[Date]]-UKStart)</f>
        <v>7</v>
      </c>
      <c r="AB26">
        <f>IF(tblData[Date]&gt;=StartDt2Au,tblData[Date]-StartDt2Au,"")</f>
        <v>12</v>
      </c>
      <c r="AC26" s="26">
        <f>IF(tblData[New South Wales]&gt;0,SUM(tblData[[#This Row],[Australian Capital Territory]:[Western Australia]]),"")</f>
        <v>14</v>
      </c>
      <c r="AD26" s="12">
        <f>IF(ISNUMBER(tblData[Au]),tblData[Au]/$AA$9,"")</f>
        <v>5.5196341271092884</v>
      </c>
      <c r="AE26" s="19">
        <f>IF(ISNUMBER(tblData[[#This Row],[Day'# Aust]]),betaAu/(deltaAu+betaPodeltaAu*EXP(-betaAu*tblData[[#This Row],[Day'# Aust]])),"")</f>
        <v>0.12094918122350851</v>
      </c>
      <c r="AF26" s="72">
        <f>IF(ISNUMBER(tblData[Day'# Aust]),tblData[Au LogiP(t)]/$AD$9,"")</f>
        <v>4.7685373451943111E-2</v>
      </c>
      <c r="AG26" s="11">
        <f>IF(AND(tblData[Date]&gt;=StartDt2Au,ISNUMBER(tblData[NSW])),(tblData[[#This Row],[Au LogiP(t)]]-tblData[[#This Row],[Au]])^2,"")</f>
        <v>192.62805163018041</v>
      </c>
      <c r="AH26">
        <f>IF(tblData[Date]&gt;StartDt2NSW,tblData[Date]-StartDt2NSW,"")</f>
        <v>12</v>
      </c>
      <c r="AI26">
        <f t="shared" si="4"/>
        <v>4</v>
      </c>
      <c r="AJ26" s="11">
        <f>IF(tblData[Date]&gt;StartDt2NSW,betaNSW/(deltaNSW+betaPodeltaNSW*EXP(-betaNSW*tblData[[#This Row],[Day '# NSW]])),"")</f>
        <v>5.3047503403266257E-2</v>
      </c>
      <c r="AK26" s="12">
        <f>IF(AND(ISNUMBER(tblData[NSW]),tblData[Date]&gt;StartDt2NSW),(tblData[[#This Row],[NSW LogiP(t)]]-tblData[[#This Row],[NSW]])^2,"")</f>
        <v>15.578434010391188</v>
      </c>
      <c r="AL26" s="12">
        <f>IF(AND(tblData[Date]&gt;StartDt2NSW,ISNUMBER(tblData[Day'# Aust])),tblData[NSW LogiP(t)]/$AG$9,"")</f>
        <v>6.5652850746616656E-2</v>
      </c>
      <c r="AM26" s="11">
        <f>IF(AND(tblData[Date]&gt;StartDt2Italy,ISNUMBER(tblData[Days'# Italy])),betaItaly/(deltaItaly+betaPodeltaItaly*EXP(-betaItaly*tblData[Days'# Italy])),"")</f>
        <v>2.731860760316434</v>
      </c>
      <c r="AN26" s="11">
        <f>IF(AND(tblData[Date]&gt;StartDt2Italy,ISNUMBER(tblData[Italy])),(tblData[[#This Row],[Italy LogiP(t)]]-tblData[[#This Row],[Italy]])^2,"")</f>
        <v>0.53562017249094884</v>
      </c>
      <c r="AO26" s="44">
        <f>IF(AND(tblData[Date]&gt;StartDt2Italy,ISNUMBER(tblData[Days'# Italy])),tblData[[#This Row],[Italy LogiP(t)]]/$AM$9,"")</f>
        <v>0.45192072130958377</v>
      </c>
      <c r="AP26" s="11" t="str">
        <f>IF(ISNUMBER(tblData[[#This Row],[Days'# US]]),betaUS/(deltaUS+betaPodeltaUS*EXP(-betaUS*tblData[Days'# US])),"")</f>
        <v/>
      </c>
      <c r="AQ26" s="11"/>
      <c r="AR26" s="11" t="str">
        <f>IF(ISNUMBER(tblData[[#This Row],[Days'# US]]),tblData[[#This Row],[US LogiP(t)]]/$AP$9,"")</f>
        <v/>
      </c>
      <c r="AS26" s="11" t="str">
        <f>IF(tblData[Date]&gt;=StartDt2Korea,betaSKorea/(deltaSKorea+betaPodeltaSKorea*EXP(-betaSKorea*(tblData[Date]-StartDt2Korea))),"")</f>
        <v/>
      </c>
      <c r="AT26" s="11" t="str">
        <f>IF(AND(tblData[Date]&gt;=StartDt2Korea,ISNUMBER(tblData[SKorea])),(tblData[[#This Row],[SKorea LogiP(t)]]-tblData[[#This Row],[SKorea]])^2,"")</f>
        <v/>
      </c>
      <c r="AU26" s="11" t="str">
        <f>IF(tblData[Date]&gt;=StartDt2Korea,tblData[[#This Row],[SKorea LogiP(t)]]/$AS$9,"")</f>
        <v/>
      </c>
      <c r="AV26" s="11">
        <f>IF(ISNUMBER(tblData[Days'# UK]),betaUK/(deltaUK+betaPodeltaUK*EXP(-betaUK*tblData[Days'# UK])),"")</f>
        <v>0.19125582285682594</v>
      </c>
      <c r="AW26" s="11">
        <f>IF(ISNUMBER(tblData[UK]),(tblData[[#This Row],[UK LogiP(t)]]-tblData[[#This Row],[UK]])^2,"")</f>
        <v>3.2715554983493376</v>
      </c>
      <c r="AX26" s="11">
        <f>IF(ISNUMBER(tblData[Days'# UK]),tblData[[#This Row],[UK LogiP(t)]]/$AV$9,"")</f>
        <v>2.8786246667192344E-2</v>
      </c>
      <c r="AY26" s="11">
        <f>IF(ISNUMBER(tblData[Days'# China]),betaChina/(deltaChina+betaPodeltaChina*EXP(-betaChina*tblData[Days'# China])),"")</f>
        <v>28457.741850364786</v>
      </c>
      <c r="AZ26" s="11">
        <f>IF(ISNUMBER(tblData[China]),(tblData[[#This Row],[China LogiP(t)]]-tblData[[#This Row],[China]])^2,"")</f>
        <v>4533740.2677879753</v>
      </c>
      <c r="BA26" s="11">
        <f>tblData[[#This Row],[China LogiP(t)]]/$AY$9</f>
        <v>197.71605475351217</v>
      </c>
      <c r="BB26" s="11"/>
      <c r="BC26" s="11"/>
      <c r="BD26" s="11" t="str">
        <f>IF(ISNUMBER(tblData[[#This Row],[NSW Number of Tests]]),tblData[[#This Row],[NSW Number of Tests]]-BB25,"")</f>
        <v/>
      </c>
      <c r="BE26" s="11" t="str">
        <f>IF(ISNUMBER(tblData[[#This Row],[NSW Under Investigation'']]),tblData[[#This Row],[NSW Under Investigation'']]-BC25,"")</f>
        <v/>
      </c>
      <c r="BF26" s="11"/>
      <c r="BG26" s="11" t="str">
        <f>IF(ISNUMBER(tblData[[#This Row],[NSW Test Day Number]]),betaTest/(deltaTest+betaPodeltaTest*EXP(-betaTest*tblData[[#This Row],[NSW Test Day Number]])),"")</f>
        <v/>
      </c>
      <c r="BH26" s="11" t="str">
        <f>IF(ISNUMBER(tblData[[#This Row],[NSW Number of Tests]]),(tblData[[#This Row],[NSW Number of Tests]]-tblData[[#This Row],[NSW Test Logi]])^2,"")</f>
        <v/>
      </c>
      <c r="BJ26" s="27"/>
      <c r="DE26" s="26" t="s">
        <v>58</v>
      </c>
      <c r="DG26" s="27">
        <v>43860</v>
      </c>
      <c r="DI26" s="26">
        <v>2</v>
      </c>
      <c r="DJ26" s="23">
        <v>0.26191421074859073</v>
      </c>
      <c r="DK26" s="25">
        <v>6.140019699733307E-6</v>
      </c>
      <c r="DL26" s="22">
        <v>0.44086139601669905</v>
      </c>
      <c r="DM26" s="26">
        <v>42656.90071971056</v>
      </c>
      <c r="DN26" s="19">
        <v>414.31666978327439</v>
      </c>
      <c r="DO26" s="37">
        <v>0.59409035632825868</v>
      </c>
      <c r="DP26" s="24">
        <v>6.1400196997333069E-3</v>
      </c>
      <c r="DQ26" s="12"/>
      <c r="DR26" s="27">
        <v>43906</v>
      </c>
      <c r="DS26" s="27" t="s">
        <v>970</v>
      </c>
      <c r="DT26" s="19">
        <v>27980</v>
      </c>
      <c r="DU26" s="19" t="s">
        <v>971</v>
      </c>
      <c r="DV26" s="27">
        <v>43906</v>
      </c>
      <c r="DW26" s="26">
        <v>47</v>
      </c>
      <c r="DX26" s="18" t="s">
        <v>972</v>
      </c>
      <c r="DY26" s="26"/>
      <c r="DZ26" s="26" t="s">
        <v>973</v>
      </c>
      <c r="EA26" s="26"/>
      <c r="EB26" s="26"/>
      <c r="EC26" s="26"/>
      <c r="ED26" s="26"/>
      <c r="EE26" s="26"/>
      <c r="EF26" s="26"/>
      <c r="EG26" s="26"/>
      <c r="EH26" s="26"/>
      <c r="EI26" s="26"/>
      <c r="EJ26" s="26"/>
    </row>
    <row r="27" spans="2:140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49">
        <f>IF(ISNUMBER(tblData[Italy]),tblData[Italy]/$N$9,"")</f>
        <v>0.49627791563275436</v>
      </c>
      <c r="P27" s="26" t="str">
        <f>IF(ISNUMBER(tblData[US]),tblData[US]/$P$9,"")</f>
        <v/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1">
        <f>IF(ISNUMBER(tblData[China]),tblData[China]/$V$9,"")</f>
        <v>236.98628876120227</v>
      </c>
      <c r="W27" s="26">
        <f>IF(tblData[[#This Row],[Date]]&lt;ItalyStart,"",tblData[[#This Row],[Date]]-ItalyStart)</f>
        <v>8</v>
      </c>
      <c r="X27" s="26" t="str">
        <f>IF($B27&lt;BM$14+19,"",$B27-BM$14-19)</f>
        <v/>
      </c>
      <c r="Y27" s="26">
        <f t="shared" si="3"/>
        <v>16</v>
      </c>
      <c r="Z27" s="26" t="str">
        <f>IF(tblData[[#This Row],[Date]]&lt;StartDt2Korea,"",tblData[[#This Row],[Date]]-StartDt2Korea)</f>
        <v/>
      </c>
      <c r="AA27" s="26">
        <f>IF(tblData[[#This Row],[Date]]&lt;UKStart,"",tblData[[#This Row],[Date]]-UKStart)</f>
        <v>8</v>
      </c>
      <c r="AB27">
        <f>IF(tblData[Date]&gt;=StartDt2Au,tblData[Date]-StartDt2Au,"")</f>
        <v>13</v>
      </c>
      <c r="AC27" s="26">
        <f>IF(tblData[New South Wales]&gt;0,SUM(tblData[[#This Row],[Australian Capital Territory]:[Western Australia]]),"")</f>
        <v>15</v>
      </c>
      <c r="AD27" s="12">
        <f>IF(ISNUMBER(tblData[Au]),tblData[Au]/$AA$9,"")</f>
        <v>5.9138937076170954</v>
      </c>
      <c r="AE27" s="19">
        <f>IF(ISNUMBER(tblData[[#This Row],[Day'# Aust]]),betaAu/(deltaAu+betaPodeltaAu*EXP(-betaAu*tblData[[#This Row],[Day'# Aust]])),"")</f>
        <v>0.14868943185615605</v>
      </c>
      <c r="AF27" s="72">
        <f>IF(ISNUMBER(tblData[Day'# Aust]),tblData[Au LogiP(t)]/$AD$9,"")</f>
        <v>5.8622233029552141E-2</v>
      </c>
      <c r="AG27" s="11">
        <f>IF(AND(tblData[Date]&gt;=StartDt2Au,ISNUMBER(tblData[NSW])),(tblData[[#This Row],[Au LogiP(t)]]-tblData[[#This Row],[Au]])^2,"")</f>
        <v>220.56142559146105</v>
      </c>
      <c r="AH27">
        <f>IF(tblData[Date]&gt;StartDt2NSW,tblData[Date]-StartDt2NSW,"")</f>
        <v>13</v>
      </c>
      <c r="AI27">
        <f t="shared" si="4"/>
        <v>4</v>
      </c>
      <c r="AJ27" s="11">
        <f>IF(tblData[Date]&gt;StartDt2NSW,betaNSW/(deltaNSW+betaPodeltaNSW*EXP(-betaNSW*tblData[[#This Row],[Day '# NSW]])),"")</f>
        <v>6.5397843967862399E-2</v>
      </c>
      <c r="AK27" s="12">
        <f>IF(AND(ISNUMBER(tblData[NSW]),tblData[Date]&gt;StartDt2NSW),(tblData[[#This Row],[NSW LogiP(t)]]-tblData[[#This Row],[NSW]])^2,"")</f>
        <v>15.481094126252748</v>
      </c>
      <c r="AL27" s="12">
        <f>IF(AND(tblData[Date]&gt;StartDt2NSW,ISNUMBER(tblData[Day'# Aust])),tblData[NSW LogiP(t)]/$AG$9,"")</f>
        <v>8.0937925702799993E-2</v>
      </c>
      <c r="AM27" s="11">
        <f>IF(AND(tblData[Date]&gt;StartDt2Italy,ISNUMBER(tblData[Days'# Italy])),betaItaly/(deltaItaly+betaPodeltaItaly*EXP(-betaItaly*tblData[Days'# Italy])),"")</f>
        <v>3.5437297666052965</v>
      </c>
      <c r="AN27" s="11">
        <f>IF(AND(tblData[Date]&gt;StartDt2Italy,ISNUMBER(tblData[Italy])),(tblData[[#This Row],[Italy LogiP(t)]]-tblData[[#This Row],[Italy]])^2,"")</f>
        <v>0.29564205909265018</v>
      </c>
      <c r="AO27" s="44">
        <f>IF(AND(tblData[Date]&gt;StartDt2Italy,ISNUMBER(tblData[Days'# Italy])),tblData[[#This Row],[Italy LogiP(t)]]/$AM$9,"")</f>
        <v>0.58622494071220788</v>
      </c>
      <c r="AP27" s="11" t="str">
        <f>IF(ISNUMBER(tblData[[#This Row],[Days'# US]]),betaUS/(deltaUS+betaPodeltaUS*EXP(-betaUS*tblData[Days'# US])),"")</f>
        <v/>
      </c>
      <c r="AQ27" s="11"/>
      <c r="AR27" s="11" t="str">
        <f>IF(ISNUMBER(tblData[[#This Row],[Days'# US]]),tblData[[#This Row],[US LogiP(t)]]/$AP$9,"")</f>
        <v/>
      </c>
      <c r="AS27" s="11" t="str">
        <f>IF(tblData[Date]&gt;=StartDt2Korea,betaSKorea/(deltaSKorea+betaPodeltaSKorea*EXP(-betaSKorea*(tblData[Date]-StartDt2Korea))),"")</f>
        <v/>
      </c>
      <c r="AT27" s="11" t="str">
        <f>IF(AND(tblData[Date]&gt;=StartDt2Korea,ISNUMBER(tblData[SKorea])),(tblData[[#This Row],[SKorea LogiP(t)]]-tblData[[#This Row],[SKorea]])^2,"")</f>
        <v/>
      </c>
      <c r="AU27" s="11" t="str">
        <f>IF(tblData[Date]&gt;=StartDt2Korea,tblData[[#This Row],[SKorea LogiP(t)]]/$AS$9,"")</f>
        <v/>
      </c>
      <c r="AV27" s="11">
        <f>IF(ISNUMBER(tblData[Days'# UK]),betaUK/(deltaUK+betaPodeltaUK*EXP(-betaUK*tblData[Days'# UK])),"")</f>
        <v>0.24085790625021095</v>
      </c>
      <c r="AW27" s="11">
        <f>IF(ISNUMBER(tblData[UK]),(tblData[[#This Row],[UK LogiP(t)]]-tblData[[#This Row],[UK]])^2,"")</f>
        <v>7.6128650935019699</v>
      </c>
      <c r="AX27" s="11">
        <f>IF(ISNUMBER(tblData[Days'# UK]),tblData[[#This Row],[UK LogiP(t)]]/$AV$9,"")</f>
        <v>3.6251942542175036E-2</v>
      </c>
      <c r="AY27" s="11">
        <f>IF(ISNUMBER(tblData[Days'# China]),betaChina/(deltaChina+betaPodeltaChina*EXP(-betaChina*tblData[Days'# China])),"")</f>
        <v>32678.96257028621</v>
      </c>
      <c r="AZ27" s="11">
        <f>IF(ISNUMBER(tblData[China]),(tblData[[#This Row],[China LogiP(t)]]-tblData[[#This Row],[China]])^2,"")</f>
        <v>2047868.1252418493</v>
      </c>
      <c r="BA27" s="11">
        <f>tblData[[#This Row],[China LogiP(t)]]/$AY$9</f>
        <v>227.04385986802606</v>
      </c>
      <c r="BB27" s="11"/>
      <c r="BC27" s="11"/>
      <c r="BD27" s="11" t="str">
        <f>IF(ISNUMBER(tblData[[#This Row],[NSW Number of Tests]]),tblData[[#This Row],[NSW Number of Tests]]-BB26,"")</f>
        <v/>
      </c>
      <c r="BE27" s="11" t="str">
        <f>IF(ISNUMBER(tblData[[#This Row],[NSW Under Investigation'']]),tblData[[#This Row],[NSW Under Investigation'']]-BC26,"")</f>
        <v/>
      </c>
      <c r="BF27" s="11"/>
      <c r="BG27" s="11" t="str">
        <f>IF(ISNUMBER(tblData[[#This Row],[NSW Test Day Number]]),betaTest/(deltaTest+betaPodeltaTest*EXP(-betaTest*tblData[[#This Row],[NSW Test Day Number]])),"")</f>
        <v/>
      </c>
      <c r="BH27" s="11" t="str">
        <f>IF(ISNUMBER(tblData[[#This Row],[NSW Number of Tests]]),(tblData[[#This Row],[NSW Number of Tests]]-tblData[[#This Row],[NSW Test Logi]])^2,"")</f>
        <v/>
      </c>
      <c r="BJ27" s="27"/>
      <c r="DE27" s="26" t="s">
        <v>58</v>
      </c>
      <c r="DG27" s="27">
        <v>43860</v>
      </c>
      <c r="DI27" s="26">
        <v>2</v>
      </c>
      <c r="DJ27" s="23">
        <v>0.2615655981515827</v>
      </c>
      <c r="DK27" s="25">
        <v>5.8419822423564144E-6</v>
      </c>
      <c r="DL27" s="22">
        <v>0.44095476463112465</v>
      </c>
      <c r="DM27" s="26">
        <v>44773.432595385282</v>
      </c>
      <c r="DN27" s="19">
        <v>467.53213903899575</v>
      </c>
      <c r="DO27" s="37">
        <v>0.59317427337583117</v>
      </c>
      <c r="DP27" s="24">
        <v>5.8419822423564144E-3</v>
      </c>
      <c r="DQ27" s="12"/>
      <c r="DR27" s="27">
        <v>43907</v>
      </c>
      <c r="DS27" s="27" t="s">
        <v>1008</v>
      </c>
      <c r="DT27" s="19">
        <v>31506</v>
      </c>
      <c r="DU27" s="19" t="s">
        <v>1009</v>
      </c>
      <c r="DV27" s="27">
        <v>43907</v>
      </c>
      <c r="DW27" s="26">
        <v>48</v>
      </c>
      <c r="DX27" s="18" t="s">
        <v>1010</v>
      </c>
      <c r="DY27" s="26"/>
      <c r="DZ27" s="26" t="s">
        <v>1011</v>
      </c>
      <c r="EA27" s="26"/>
      <c r="EB27" s="26" t="s">
        <v>1012</v>
      </c>
      <c r="EC27" s="26"/>
      <c r="ED27" s="26"/>
      <c r="EE27" s="26"/>
      <c r="EF27" s="26"/>
      <c r="EG27" s="26"/>
      <c r="EH27" s="26"/>
      <c r="EI27" s="26"/>
      <c r="EJ27" s="26"/>
    </row>
    <row r="28" spans="2:140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49">
        <f>IF(ISNUMBER(tblData[Italy]),tblData[Italy]/$N$9,"")</f>
        <v>0.49627791563275436</v>
      </c>
      <c r="P28" s="26" t="str">
        <f>IF(ISNUMBER(tblData[US]),tblData[US]/$P$9,"")</f>
        <v/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1">
        <f>IF(ISNUMBER(tblData[China]),tblData[China]/$V$9,"")</f>
        <v>255.77288872632366</v>
      </c>
      <c r="W28" s="26">
        <f>IF(tblData[[#This Row],[Date]]&lt;ItalyStart,"",tblData[[#This Row],[Date]]-ItalyStart)</f>
        <v>9</v>
      </c>
      <c r="X28" s="26" t="str">
        <f>IF($B28&lt;BM$14+19,"",$B28-BM$14-19)</f>
        <v/>
      </c>
      <c r="Y28" s="26">
        <f t="shared" si="3"/>
        <v>17</v>
      </c>
      <c r="Z28" s="26" t="str">
        <f>IF(tblData[[#This Row],[Date]]&lt;StartDt2Korea,"",tblData[[#This Row],[Date]]-StartDt2Korea)</f>
        <v/>
      </c>
      <c r="AA28" s="26">
        <f>IF(tblData[[#This Row],[Date]]&lt;UKStart,"",tblData[[#This Row],[Date]]-UKStart)</f>
        <v>9</v>
      </c>
      <c r="AB28">
        <f>IF(tblData[Date]&gt;=StartDt2Au,tblData[Date]-StartDt2Au,"")</f>
        <v>14</v>
      </c>
      <c r="AC28" s="26">
        <f>IF(tblData[New South Wales]&gt;0,SUM(tblData[[#This Row],[Australian Capital Territory]:[Western Australia]]),"")</f>
        <v>15</v>
      </c>
      <c r="AD28" s="12">
        <f>IF(ISNUMBER(tblData[Au]),tblData[Au]/$AA$9,"")</f>
        <v>5.9138937076170954</v>
      </c>
      <c r="AE28" s="19">
        <f>IF(ISNUMBER(tblData[[#This Row],[Day'# Aust]]),betaAu/(deltaAu+betaPodeltaAu*EXP(-betaAu*tblData[[#This Row],[Day'# Aust]])),"")</f>
        <v>0.18279203646835526</v>
      </c>
      <c r="AF28" s="72">
        <f>IF(ISNUMBER(tblData[Day'# Aust]),tblData[Au LogiP(t)]/$AD$9,"")</f>
        <v>7.2067511618181382E-2</v>
      </c>
      <c r="AG28" s="11">
        <f>IF(AND(tblData[Date]&gt;=StartDt2Au,ISNUMBER(tblData[NSW])),(tblData[[#This Row],[Au LogiP(t)]]-tblData[[#This Row],[Au]])^2,"")</f>
        <v>219.54965183454561</v>
      </c>
      <c r="AH28">
        <f>IF(tblData[Date]&gt;StartDt2NSW,tblData[Date]-StartDt2NSW,"")</f>
        <v>14</v>
      </c>
      <c r="AI28">
        <f t="shared" si="4"/>
        <v>4</v>
      </c>
      <c r="AJ28" s="11">
        <f>IF(tblData[Date]&gt;StartDt2NSW,betaNSW/(deltaNSW+betaPodeltaNSW*EXP(-betaNSW*tblData[[#This Row],[Day '# NSW]])),"")</f>
        <v>8.0623464024216329E-2</v>
      </c>
      <c r="AK28" s="12">
        <f>IF(AND(ISNUMBER(tblData[NSW]),tblData[Date]&gt;StartDt2NSW),(tblData[[#This Row],[NSW LogiP(t)]]-tblData[[#This Row],[NSW]])^2,"")</f>
        <v>15.361512430757532</v>
      </c>
      <c r="AL28" s="12">
        <f>IF(AND(tblData[Date]&gt;StartDt2NSW,ISNUMBER(tblData[Day'# Aust])),tblData[NSW LogiP(t)]/$AG$9,"")</f>
        <v>9.9781514881455841E-2</v>
      </c>
      <c r="AM28" s="11">
        <f>IF(AND(tblData[Date]&gt;StartDt2Italy,ISNUMBER(tblData[Days'# Italy])),betaItaly/(deltaItaly+betaPodeltaItaly*EXP(-betaItaly*tblData[Days'# Italy])),"")</f>
        <v>4.5968543305867708</v>
      </c>
      <c r="AN28" s="11">
        <f>IF(AND(tblData[Date]&gt;StartDt2Italy,ISNUMBER(tblData[Italy])),(tblData[[#This Row],[Italy LogiP(t)]]-tblData[[#This Row],[Italy]])^2,"")</f>
        <v>2.5499437531137241</v>
      </c>
      <c r="AO28" s="44">
        <f>IF(AND(tblData[Date]&gt;StartDt2Italy,ISNUMBER(tblData[Days'# Italy])),tblData[[#This Row],[Italy LogiP(t)]]/$AM$9,"")</f>
        <v>0.76043909521700093</v>
      </c>
      <c r="AP28" s="11" t="str">
        <f>IF(ISNUMBER(tblData[[#This Row],[Days'# US]]),betaUS/(deltaUS+betaPodeltaUS*EXP(-betaUS*tblData[Days'# US])),"")</f>
        <v/>
      </c>
      <c r="AQ28" s="11"/>
      <c r="AR28" s="11" t="str">
        <f>IF(ISNUMBER(tblData[[#This Row],[Days'# US]]),tblData[[#This Row],[US LogiP(t)]]/$AP$9,"")</f>
        <v/>
      </c>
      <c r="AS28" s="11" t="str">
        <f>IF(tblData[Date]&gt;=StartDt2Korea,betaSKorea/(deltaSKorea+betaPodeltaSKorea*EXP(-betaSKorea*(tblData[Date]-StartDt2Korea))),"")</f>
        <v/>
      </c>
      <c r="AT28" s="11" t="str">
        <f>IF(AND(tblData[Date]&gt;=StartDt2Korea,ISNUMBER(tblData[SKorea])),(tblData[[#This Row],[SKorea LogiP(t)]]-tblData[[#This Row],[SKorea]])^2,"")</f>
        <v/>
      </c>
      <c r="AU28" s="11" t="str">
        <f>IF(tblData[Date]&gt;=StartDt2Korea,tblData[[#This Row],[SKorea LogiP(t)]]/$AS$9,"")</f>
        <v/>
      </c>
      <c r="AV28" s="11">
        <f>IF(ISNUMBER(tblData[Days'# UK]),betaUK/(deltaUK+betaPodeltaUK*EXP(-betaUK*tblData[Days'# UK])),"")</f>
        <v>0.30332426032031046</v>
      </c>
      <c r="AW28" s="11">
        <f>IF(ISNUMBER(tblData[UK]),(tblData[[#This Row],[UK LogiP(t)]]-tblData[[#This Row],[UK]])^2,"")</f>
        <v>7.2720600449770005</v>
      </c>
      <c r="AX28" s="11">
        <f>IF(ISNUMBER(tblData[Days'# UK]),tblData[[#This Row],[UK LogiP(t)]]/$AV$9,"")</f>
        <v>4.5653862179456724E-2</v>
      </c>
      <c r="AY28" s="11">
        <f>IF(ISNUMBER(tblData[Days'# China]),betaChina/(deltaChina+betaPodeltaChina*EXP(-betaChina*tblData[Days'# China])),"")</f>
        <v>37083.989836855653</v>
      </c>
      <c r="AZ28" s="11">
        <f>IF(ISNUMBER(tblData[China]),(tblData[[#This Row],[China LogiP(t)]]-tblData[[#This Row],[China]])^2,"")</f>
        <v>72894.512005342272</v>
      </c>
      <c r="BA28" s="11">
        <f>tblData[[#This Row],[China LogiP(t)]]/$AY$9</f>
        <v>257.64869902945071</v>
      </c>
      <c r="BB28" s="11"/>
      <c r="BC28" s="11"/>
      <c r="BD28" s="11" t="str">
        <f>IF(ISNUMBER(tblData[[#This Row],[NSW Number of Tests]]),tblData[[#This Row],[NSW Number of Tests]]-BB27,"")</f>
        <v/>
      </c>
      <c r="BE28" s="11" t="str">
        <f>IF(ISNUMBER(tblData[[#This Row],[NSW Under Investigation'']]),tblData[[#This Row],[NSW Under Investigation'']]-BC27,"")</f>
        <v/>
      </c>
      <c r="BF28" s="11"/>
      <c r="BG28" s="11" t="str">
        <f>IF(ISNUMBER(tblData[[#This Row],[NSW Test Day Number]]),betaTest/(deltaTest+betaPodeltaTest*EXP(-betaTest*tblData[[#This Row],[NSW Test Day Number]])),"")</f>
        <v/>
      </c>
      <c r="BH28" s="11" t="str">
        <f>IF(ISNUMBER(tblData[[#This Row],[NSW Number of Tests]]),(tblData[[#This Row],[NSW Number of Tests]]-tblData[[#This Row],[NSW Test Logi]])^2,"")</f>
        <v/>
      </c>
      <c r="BJ28" s="27"/>
      <c r="DE28" s="26" t="s">
        <v>58</v>
      </c>
      <c r="DG28" s="27">
        <v>43860</v>
      </c>
      <c r="DI28" s="26">
        <v>2</v>
      </c>
      <c r="DJ28" s="23">
        <v>0.2615655981515827</v>
      </c>
      <c r="DK28" s="25">
        <v>5.8419822423564144E-6</v>
      </c>
      <c r="DL28" s="22">
        <v>0.44095476463112465</v>
      </c>
      <c r="DM28" s="24">
        <v>44773.432595385282</v>
      </c>
      <c r="DN28" s="22">
        <v>606.55052647767229</v>
      </c>
      <c r="DO28" s="37">
        <v>0.59317427337583117</v>
      </c>
      <c r="DP28" s="24">
        <v>5.8419822423564144E-3</v>
      </c>
      <c r="DQ28" s="24"/>
      <c r="DR28" s="27">
        <v>43907</v>
      </c>
      <c r="DS28" s="27" t="s">
        <v>1008</v>
      </c>
      <c r="DT28" s="26">
        <v>35713</v>
      </c>
      <c r="DU28" s="26" t="s">
        <v>1009</v>
      </c>
      <c r="DV28" s="27">
        <v>43907</v>
      </c>
      <c r="DW28" s="19">
        <v>49</v>
      </c>
      <c r="DX28" s="27" t="s">
        <v>1010</v>
      </c>
      <c r="DY28" s="26"/>
      <c r="DZ28" s="26" t="s">
        <v>1011</v>
      </c>
      <c r="EA28" s="26"/>
      <c r="EB28" s="18" t="s">
        <v>1028</v>
      </c>
      <c r="EC28" s="21">
        <v>5907.8577336641856</v>
      </c>
      <c r="ED28" s="27">
        <v>43893</v>
      </c>
      <c r="EE28" s="11">
        <v>16</v>
      </c>
      <c r="EF28" s="27">
        <v>43891</v>
      </c>
      <c r="EG28" s="11">
        <v>18</v>
      </c>
      <c r="EH28" s="26"/>
      <c r="EI28" s="26"/>
      <c r="EJ28" s="26"/>
    </row>
    <row r="29" spans="2:140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49">
        <f>IF(ISNUMBER(tblData[Italy]),tblData[Italy]/$N$9,"")</f>
        <v>0.49627791563275436</v>
      </c>
      <c r="O29">
        <v>0</v>
      </c>
      <c r="P29" s="44">
        <f>IF(ISNUMBER(tblData[US]),tblData[US]/$P$9,"")</f>
        <v>0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1">
        <f>IF(ISNUMBER(tblData[China]),tblData[China]/$V$9,"")</f>
        <v>276.72022559571752</v>
      </c>
      <c r="W29" s="26">
        <f>IF(tblData[[#This Row],[Date]]&lt;ItalyStart,"",tblData[[#This Row],[Date]]-ItalyStart)</f>
        <v>10</v>
      </c>
      <c r="X29" s="26">
        <f t="shared" ref="X29:X60" si="5">IF($B29&lt;BM$14+18,"",$B29-BM$14-18)</f>
        <v>0</v>
      </c>
      <c r="Y29" s="26">
        <f t="shared" si="3"/>
        <v>18</v>
      </c>
      <c r="Z29" s="26" t="str">
        <f>IF(tblData[[#This Row],[Date]]&lt;StartDt2Korea,"",tblData[[#This Row],[Date]]-StartDt2Korea)</f>
        <v/>
      </c>
      <c r="AA29" s="26">
        <f>IF(tblData[[#This Row],[Date]]&lt;UKStart,"",tblData[[#This Row],[Date]]-UKStart)</f>
        <v>10</v>
      </c>
      <c r="AB29">
        <f>IF(tblData[Date]&gt;=StartDt2Au,tblData[Date]-StartDt2Au,"")</f>
        <v>15</v>
      </c>
      <c r="AC29" s="26">
        <f>IF(tblData[New South Wales]&gt;0,SUM(tblData[[#This Row],[Australian Capital Territory]:[Western Australia]]),"")</f>
        <v>15</v>
      </c>
      <c r="AD29" s="12">
        <f>IF(ISNUMBER(tblData[Au]),tblData[Au]/$AA$9,"")</f>
        <v>5.9138937076170954</v>
      </c>
      <c r="AE29" s="19">
        <f>IF(ISNUMBER(tblData[[#This Row],[Day'# Aust]]),betaAu/(deltaAu+betaPodeltaAu*EXP(-betaAu*tblData[[#This Row],[Day'# Aust]])),"")</f>
        <v>0.2247162301844487</v>
      </c>
      <c r="AF29" s="72">
        <f>IF(ISNUMBER(tblData[Day'# Aust]),tblData[Au LogiP(t)]/$AD$9,"")</f>
        <v>8.8596526645816395E-2</v>
      </c>
      <c r="AG29" s="11">
        <f>IF(AND(tblData[Date]&gt;=StartDt2Au,ISNUMBER(tblData[NSW])),(tblData[[#This Row],[Au LogiP(t)]]-tblData[[#This Row],[Au]])^2,"")</f>
        <v>218.30901047857486</v>
      </c>
      <c r="AH29">
        <f>IF(tblData[Date]&gt;StartDt2NSW,tblData[Date]-StartDt2NSW,"")</f>
        <v>15</v>
      </c>
      <c r="AI29">
        <f t="shared" si="4"/>
        <v>4</v>
      </c>
      <c r="AJ29" s="11">
        <f>IF(tblData[Date]&gt;StartDt2NSW,betaNSW/(deltaNSW+betaPodeltaNSW*EXP(-betaNSW*tblData[[#This Row],[Day '# NSW]])),"")</f>
        <v>9.9393712395123054E-2</v>
      </c>
      <c r="AK29" s="12">
        <f>IF(AND(ISNUMBER(tblData[NSW]),tblData[Date]&gt;StartDt2NSW),(tblData[[#This Row],[NSW LogiP(t)]]-tblData[[#This Row],[NSW]])^2,"")</f>
        <v>15.2147294109027</v>
      </c>
      <c r="AL29" s="12">
        <f>IF(AND(tblData[Date]&gt;StartDt2NSW,ISNUMBER(tblData[Day'# Aust])),tblData[NSW LogiP(t)]/$AG$9,"")</f>
        <v>0.12301202029099387</v>
      </c>
      <c r="AM29" s="11">
        <f>IF(AND(tblData[Date]&gt;StartDt2Italy,ISNUMBER(tblData[Days'# Italy])),betaItaly/(deltaItaly+betaPodeltaItaly*EXP(-betaItaly*tblData[Days'# Italy])),"")</f>
        <v>5.9629124545492882</v>
      </c>
      <c r="AN29" s="11">
        <f>IF(AND(tblData[Date]&gt;StartDt2Italy,ISNUMBER(tblData[Italy])),(tblData[[#This Row],[Italy LogiP(t)]]-tblData[[#This Row],[Italy]])^2,"")</f>
        <v>8.7788502133232882</v>
      </c>
      <c r="AO29" s="44">
        <f>IF(AND(tblData[Date]&gt;StartDt2Italy,ISNUMBER(tblData[Days'# Italy])),tblData[[#This Row],[Italy LogiP(t)]]/$AM$9,"")</f>
        <v>0.98642058801477062</v>
      </c>
      <c r="AP29" s="11">
        <f>IF(ISNUMBER(tblData[[#This Row],[Days'# US]]),betaUS/(deltaUS+betaPodeltaUS*EXP(-betaUS*tblData[Days'# US])),"")</f>
        <v>1.709986186409522E-2</v>
      </c>
      <c r="AQ29" s="11">
        <f>IF(ISNUMBER(tblData[US]),(tblData[[#This Row],[US LogiP(t)]]-tblData[US])^2,"")</f>
        <v>2.9240527577113805E-4</v>
      </c>
      <c r="AR29" s="11">
        <f>IF(ISNUMBER(tblData[[#This Row],[Days'# US]]),tblData[[#This Row],[US LogiP(t)]]/$AP$9,"")</f>
        <v>5.193930970840842E-4</v>
      </c>
      <c r="AS29" s="11" t="str">
        <f>IF(tblData[Date]&gt;=StartDt2Korea,betaSKorea/(deltaSKorea+betaPodeltaSKorea*EXP(-betaSKorea*(tblData[Date]-StartDt2Korea))),"")</f>
        <v/>
      </c>
      <c r="AT29" s="11" t="str">
        <f>IF(AND(tblData[Date]&gt;=StartDt2Korea,ISNUMBER(tblData[SKorea])),(tblData[[#This Row],[SKorea LogiP(t)]]-tblData[[#This Row],[SKorea]])^2,"")</f>
        <v/>
      </c>
      <c r="AU29" s="11" t="str">
        <f>IF(tblData[Date]&gt;=StartDt2Korea,tblData[[#This Row],[SKorea LogiP(t)]]/$AS$9,"")</f>
        <v/>
      </c>
      <c r="AV29" s="11">
        <f>IF(ISNUMBER(tblData[Days'# UK]),betaUK/(deltaUK+betaPodeltaUK*EXP(-betaUK*tblData[Days'# UK])),"")</f>
        <v>0.38199122596715229</v>
      </c>
      <c r="AW29" s="11">
        <f>IF(ISNUMBER(tblData[UK]),(tblData[[#This Row],[UK LogiP(t)]]-tblData[[#This Row],[UK]])^2,"")</f>
        <v>6.8539699409129744</v>
      </c>
      <c r="AX29" s="11">
        <f>IF(ISNUMBER(tblData[Days'# UK]),tblData[[#This Row],[UK LogiP(t)]]/$AV$9,"")</f>
        <v>5.7494164052852542E-2</v>
      </c>
      <c r="AY29" s="11">
        <f>IF(ISNUMBER(tblData[Days'# China]),betaChina/(deltaChina+betaPodeltaChina*EXP(-betaChina*tblData[Days'# China])),"")</f>
        <v>41571.44338027393</v>
      </c>
      <c r="AZ29" s="11">
        <f>IF(ISNUMBER(tblData[China]),(tblData[[#This Row],[China LogiP(t)]]-tblData[[#This Row],[China]])^2,"")</f>
        <v>3036108.9334604377</v>
      </c>
      <c r="BA29" s="11">
        <f>tblData[[#This Row],[China LogiP(t)]]/$AY$9</f>
        <v>288.82621181875015</v>
      </c>
      <c r="BB29" s="11"/>
      <c r="BC29" s="11"/>
      <c r="BD29" s="11" t="str">
        <f>IF(ISNUMBER(tblData[[#This Row],[NSW Number of Tests]]),tblData[[#This Row],[NSW Number of Tests]]-BB28,"")</f>
        <v/>
      </c>
      <c r="BE29" s="11" t="str">
        <f>IF(ISNUMBER(tblData[[#This Row],[NSW Under Investigation'']]),tblData[[#This Row],[NSW Under Investigation'']]-BC28,"")</f>
        <v/>
      </c>
      <c r="BF29" s="11"/>
      <c r="BG29" s="11" t="str">
        <f>IF(ISNUMBER(tblData[[#This Row],[NSW Test Day Number]]),betaTest/(deltaTest+betaPodeltaTest*EXP(-betaTest*tblData[[#This Row],[NSW Test Day Number]])),"")</f>
        <v/>
      </c>
      <c r="BH29" s="11" t="str">
        <f>IF(ISNUMBER(tblData[[#This Row],[NSW Number of Tests]]),(tblData[[#This Row],[NSW Number of Tests]]-tblData[[#This Row],[NSW Test Logi]])^2,"")</f>
        <v/>
      </c>
      <c r="BJ29" s="27"/>
      <c r="DE29" s="26" t="s">
        <v>58</v>
      </c>
      <c r="DG29" s="27">
        <v>43860</v>
      </c>
      <c r="DI29" s="26">
        <v>2</v>
      </c>
      <c r="DJ29" s="26">
        <v>0.26124939657046986</v>
      </c>
      <c r="DK29" s="26">
        <v>5.5289448647719272E-6</v>
      </c>
      <c r="DL29" s="26">
        <v>0.44118045186898547</v>
      </c>
      <c r="DM29" s="26">
        <v>47251.221157049207</v>
      </c>
      <c r="DN29" s="19">
        <v>861.88192352690567</v>
      </c>
      <c r="DO29" s="12">
        <v>0.59215442615679836</v>
      </c>
      <c r="DP29" s="26">
        <v>5.5289448647719269E-3</v>
      </c>
      <c r="DQ29" s="26"/>
      <c r="DR29" s="27">
        <v>43909</v>
      </c>
      <c r="DS29" s="26" t="s">
        <v>1315</v>
      </c>
      <c r="DT29" s="26">
        <v>41035</v>
      </c>
      <c r="DU29" s="26" t="s">
        <v>1316</v>
      </c>
      <c r="DV29" s="27">
        <v>43909</v>
      </c>
      <c r="DW29" s="26">
        <v>50</v>
      </c>
      <c r="DX29" s="26" t="s">
        <v>1317</v>
      </c>
      <c r="DY29" s="26"/>
      <c r="DZ29" s="26" t="s">
        <v>1318</v>
      </c>
      <c r="EA29" s="26"/>
      <c r="EB29" s="26" t="s">
        <v>1319</v>
      </c>
      <c r="EC29" s="26">
        <v>6788.2547559966915</v>
      </c>
      <c r="ED29" s="26">
        <v>43894</v>
      </c>
      <c r="EE29" s="26">
        <v>16</v>
      </c>
      <c r="EF29" s="26">
        <v>43893</v>
      </c>
      <c r="EG29" s="26">
        <v>17</v>
      </c>
      <c r="EH29" s="26"/>
      <c r="EI29" s="26"/>
      <c r="EJ29" s="26"/>
    </row>
    <row r="30" spans="2:140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49">
        <f>IF(ISNUMBER(tblData[Italy]),tblData[Italy]/$N$9,"")</f>
        <v>0.49627791563275436</v>
      </c>
      <c r="O30">
        <v>11</v>
      </c>
      <c r="P30" s="49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1">
        <f>IF(ISNUMBER(tblData[China]),tblData[China]/$V$9,"")</f>
        <v>294.26318599214193</v>
      </c>
      <c r="W30" s="26">
        <f>IF(tblData[[#This Row],[Date]]&lt;ItalyStart,"",tblData[[#This Row],[Date]]-ItalyStart)</f>
        <v>11</v>
      </c>
      <c r="X30" s="26">
        <f t="shared" si="5"/>
        <v>1</v>
      </c>
      <c r="Y30" s="26">
        <f t="shared" si="3"/>
        <v>19</v>
      </c>
      <c r="Z30" s="26" t="str">
        <f>IF(tblData[[#This Row],[Date]]&lt;StartDt2Korea,"",tblData[[#This Row],[Date]]-StartDt2Korea)</f>
        <v/>
      </c>
      <c r="AA30" s="26">
        <f>IF(tblData[[#This Row],[Date]]&lt;UKStart,"",tblData[[#This Row],[Date]]-UKStart)</f>
        <v>11</v>
      </c>
      <c r="AB30">
        <f>IF(tblData[Date]&gt;=StartDt2Au,tblData[Date]-StartDt2Au,"")</f>
        <v>16</v>
      </c>
      <c r="AC30" s="26">
        <f>IF(tblData[New South Wales]&gt;0,SUM(tblData[[#This Row],[Australian Capital Territory]:[Western Australia]]),"")</f>
        <v>15</v>
      </c>
      <c r="AD30" s="12">
        <f>IF(ISNUMBER(tblData[Au]),tblData[Au]/$AA$9,"")</f>
        <v>5.9138937076170954</v>
      </c>
      <c r="AE30" s="19">
        <f>IF(ISNUMBER(tblData[[#This Row],[Day'# Aust]]),betaAu/(deltaAu+betaPodeltaAu*EXP(-betaAu*tblData[[#This Row],[Day'# Aust]])),"")</f>
        <v>0.27625593040920404</v>
      </c>
      <c r="AF30" s="72">
        <f>IF(ISNUMBER(tblData[Day'# Aust]),tblData[Au LogiP(t)]/$AD$9,"")</f>
        <v>0.10891654723592653</v>
      </c>
      <c r="AG30" s="11">
        <f>IF(AND(tblData[Date]&gt;=StartDt2Au,ISNUMBER(tblData[NSW])),(tblData[[#This Row],[Au LogiP(t)]]-tblData[[#This Row],[Au]])^2,"")</f>
        <v>216.78863942681011</v>
      </c>
      <c r="AH30">
        <f>IF(tblData[Date]&gt;StartDt2NSW,tblData[Date]-StartDt2NSW,"")</f>
        <v>16</v>
      </c>
      <c r="AI30">
        <f t="shared" si="4"/>
        <v>4</v>
      </c>
      <c r="AJ30" s="11">
        <f>IF(tblData[Date]&gt;StartDt2NSW,betaNSW/(deltaNSW+betaPodeltaNSW*EXP(-betaNSW*tblData[[#This Row],[Day '# NSW]])),"")</f>
        <v>0.12253373553715302</v>
      </c>
      <c r="AK30" s="12">
        <f>IF(AND(ISNUMBER(tblData[NSW]),tblData[Date]&gt;StartDt2NSW),(tblData[[#This Row],[NSW LogiP(t)]]-tblData[[#This Row],[NSW]])^2,"")</f>
        <v>15.034744632047463</v>
      </c>
      <c r="AL30" s="12">
        <f>IF(AND(tblData[Date]&gt;StartDt2NSW,ISNUMBER(tblData[Day'# Aust])),tblData[NSW LogiP(t)]/$AG$9,"")</f>
        <v>0.1516506627935062</v>
      </c>
      <c r="AM30" s="11">
        <f>IF(AND(tblData[Date]&gt;StartDt2Italy,ISNUMBER(tblData[Days'# Italy])),betaItaly/(deltaItaly+betaPodeltaItaly*EXP(-betaItaly*tblData[Days'# Italy])),"")</f>
        <v>7.7348686361348733</v>
      </c>
      <c r="AN30" s="11">
        <f>IF(AND(tblData[Date]&gt;StartDt2Italy,ISNUMBER(tblData[Italy])),(tblData[[#This Row],[Italy LogiP(t)]]-tblData[[#This Row],[Italy]])^2,"")</f>
        <v>22.418981001453716</v>
      </c>
      <c r="AO30" s="44">
        <f>IF(AND(tblData[Date]&gt;StartDt2Italy,ISNUMBER(tblData[Days'# Italy])),tblData[[#This Row],[Italy LogiP(t)]]/$AM$9,"")</f>
        <v>1.2795481614780602</v>
      </c>
      <c r="AP30" s="21">
        <f>IF(ISNUMBER(tblData[[#This Row],[Days'# US]]),betaUS/(deltaUS+betaPodeltaUS*EXP(-betaUS*tblData[Days'# US])),"")</f>
        <v>2.4209997733873199E-2</v>
      </c>
      <c r="AQ30" s="11">
        <f>IF(ISNUMBER(tblData[US]),(tblData[[#This Row],[US LogiP(t)]]-tblData[US])^2,"")</f>
        <v>120.46796617384506</v>
      </c>
      <c r="AR30" s="21">
        <f>IF(ISNUMBER(tblData[[#This Row],[Days'# US]]),tblData[[#This Row],[US LogiP(t)]]/$AP$9,"")</f>
        <v>7.3535715103043595E-4</v>
      </c>
      <c r="AS30" s="21" t="str">
        <f>IF(tblData[Date]&gt;=StartDt2Korea,betaSKorea/(deltaSKorea+betaPodeltaSKorea*EXP(-betaSKorea*(tblData[Date]-StartDt2Korea))),"")</f>
        <v/>
      </c>
      <c r="AT30" s="21" t="str">
        <f>IF(AND(tblData[Date]&gt;=StartDt2Korea,ISNUMBER(tblData[SKorea])),(tblData[[#This Row],[SKorea LogiP(t)]]-tblData[[#This Row],[SKorea]])^2,"")</f>
        <v/>
      </c>
      <c r="AU30" s="21" t="str">
        <f>IF(tblData[Date]&gt;=StartDt2Korea,tblData[[#This Row],[SKorea LogiP(t)]]/$AS$9,"")</f>
        <v/>
      </c>
      <c r="AV30" s="11">
        <f>IF(ISNUMBER(tblData[Days'# UK]),betaUK/(deltaUK+betaPodeltaUK*EXP(-betaUK*tblData[Days'# UK])),"")</f>
        <v>0.4810604221003924</v>
      </c>
      <c r="AW30" s="21">
        <f>IF(ISNUMBER(tblData[UK]),(tblData[[#This Row],[UK LogiP(t)]]-tblData[[#This Row],[UK]])^2,"")</f>
        <v>56.534452376105129</v>
      </c>
      <c r="AX30" s="21">
        <f>IF(ISNUMBER(tblData[Days'# UK]),tblData[[#This Row],[UK LogiP(t)]]/$AV$9,"")</f>
        <v>7.2405241134917572E-2</v>
      </c>
      <c r="AY30" s="11">
        <f>IF(ISNUMBER(tblData[Days'# China]),betaChina/(deltaChina+betaPodeltaChina*EXP(-betaChina*tblData[Days'# China])),"")</f>
        <v>46032.100333786082</v>
      </c>
      <c r="AZ30" s="11">
        <f>IF(ISNUMBER(tblData[China]),(tblData[[#This Row],[China LogiP(t)]]-tblData[[#This Row],[China]])^2,"")</f>
        <v>13528422.065397289</v>
      </c>
      <c r="BA30" s="11">
        <f>tblData[[#This Row],[China LogiP(t)]]/$AY$9</f>
        <v>319.81754975043282</v>
      </c>
      <c r="BB30" s="11"/>
      <c r="BC30" s="11"/>
      <c r="BD30" s="11" t="str">
        <f>IF(ISNUMBER(tblData[[#This Row],[NSW Number of Tests]]),tblData[[#This Row],[NSW Number of Tests]]-BB29,"")</f>
        <v/>
      </c>
      <c r="BE30" s="11" t="str">
        <f>IF(ISNUMBER(tblData[[#This Row],[NSW Under Investigation'']]),tblData[[#This Row],[NSW Under Investigation'']]-BC29,"")</f>
        <v/>
      </c>
      <c r="BF30" s="11"/>
      <c r="BG30" s="11" t="str">
        <f>IF(ISNUMBER(tblData[[#This Row],[NSW Test Day Number]]),betaTest/(deltaTest+betaPodeltaTest*EXP(-betaTest*tblData[[#This Row],[NSW Test Day Number]])),"")</f>
        <v/>
      </c>
      <c r="BH30" s="11" t="str">
        <f>IF(ISNUMBER(tblData[[#This Row],[NSW Number of Tests]]),(tblData[[#This Row],[NSW Number of Tests]]-tblData[[#This Row],[NSW Test Logi]])^2,"")</f>
        <v/>
      </c>
      <c r="BJ30" s="27"/>
      <c r="DE30" s="26" t="s">
        <v>58</v>
      </c>
      <c r="DF30" s="82">
        <v>43911.866296296299</v>
      </c>
      <c r="DG30" s="27">
        <v>43860</v>
      </c>
      <c r="DH30" s="27">
        <v>43860</v>
      </c>
      <c r="DI30" s="26">
        <v>2</v>
      </c>
      <c r="DJ30" s="26">
        <v>0.26021145951808367</v>
      </c>
      <c r="DK30" s="26">
        <v>4.6967448339452021E-6</v>
      </c>
      <c r="DL30" s="26">
        <v>0.44199535332226664</v>
      </c>
      <c r="DM30" s="26">
        <v>55402.511466544704</v>
      </c>
      <c r="DN30" s="19">
        <v>1127.8816766057491</v>
      </c>
      <c r="DO30" s="12">
        <v>0.58871520169346225</v>
      </c>
      <c r="DP30" s="26">
        <v>4.696744833945202E-3</v>
      </c>
      <c r="DQ30" s="26"/>
      <c r="DR30" s="27">
        <v>43910</v>
      </c>
      <c r="DS30" s="26" t="s">
        <v>1343</v>
      </c>
      <c r="DT30" s="26">
        <v>47021</v>
      </c>
      <c r="DU30" s="26" t="s">
        <v>1344</v>
      </c>
      <c r="DV30" s="27">
        <v>43910</v>
      </c>
      <c r="DW30" s="26">
        <v>51</v>
      </c>
      <c r="DX30" s="26" t="s">
        <v>1345</v>
      </c>
      <c r="DY30" s="26"/>
      <c r="DZ30" s="26" t="s">
        <v>1346</v>
      </c>
      <c r="EA30" s="26"/>
      <c r="EB30" s="26" t="s">
        <v>1498</v>
      </c>
      <c r="EC30" s="26">
        <v>7778.4946236559144</v>
      </c>
      <c r="ED30" s="26">
        <v>43895</v>
      </c>
      <c r="EE30" s="26">
        <v>16</v>
      </c>
      <c r="EF30" s="26">
        <v>43894</v>
      </c>
      <c r="EG30" s="26">
        <v>17</v>
      </c>
      <c r="EH30" s="26"/>
    </row>
    <row r="31" spans="2:140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49">
        <f>IF(ISNUMBER(tblData[Italy]),tblData[Italy]/$N$9,"")</f>
        <v>0.49627791563275436</v>
      </c>
      <c r="O31">
        <v>12</v>
      </c>
      <c r="P31" s="49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1">
        <f>IF(ISNUMBER(tblData[China]),tblData[China]/$V$9,"")</f>
        <v>308.38092679433373</v>
      </c>
      <c r="W31" s="26">
        <f>IF(tblData[[#This Row],[Date]]&lt;ItalyStart,"",tblData[[#This Row],[Date]]-ItalyStart)</f>
        <v>12</v>
      </c>
      <c r="X31" s="26">
        <f t="shared" si="5"/>
        <v>2</v>
      </c>
      <c r="Y31" s="26">
        <f t="shared" si="3"/>
        <v>20</v>
      </c>
      <c r="Z31" s="26" t="str">
        <f>IF(tblData[[#This Row],[Date]]&lt;StartDt2Korea,"",tblData[[#This Row],[Date]]-StartDt2Korea)</f>
        <v/>
      </c>
      <c r="AA31" s="26">
        <f>IF(tblData[[#This Row],[Date]]&lt;UKStart,"",tblData[[#This Row],[Date]]-UKStart)</f>
        <v>12</v>
      </c>
      <c r="AB31">
        <f>IF(tblData[Date]&gt;=StartDt2Au,tblData[Date]-StartDt2Au,"")</f>
        <v>17</v>
      </c>
      <c r="AC31" s="26">
        <f>IF(tblData[New South Wales]&gt;0,SUM(tblData[[#This Row],[Australian Capital Territory]:[Western Australia]]),"")</f>
        <v>15</v>
      </c>
      <c r="AD31" s="12">
        <f>IF(ISNUMBER(tblData[Au]),tblData[Au]/$AA$9,"")</f>
        <v>5.9138937076170954</v>
      </c>
      <c r="AE31" s="19">
        <f>IF(ISNUMBER(tblData[[#This Row],[Day'# Aust]]),betaAu/(deltaAu+betaPodeltaAu*EXP(-betaAu*tblData[[#This Row],[Day'# Aust]])),"")</f>
        <v>0.33961649774582026</v>
      </c>
      <c r="AF31" s="72">
        <f>IF(ISNUMBER(tblData[Day'# Aust]),tblData[Au LogiP(t)]/$AD$9,"")</f>
        <v>0.13389705793479745</v>
      </c>
      <c r="AG31" s="11">
        <f>IF(AND(tblData[Date]&gt;=StartDt2Au,ISNUMBER(tblData[NSW])),(tblData[[#This Row],[Au LogiP(t)]]-tblData[[#This Row],[Au]])^2,"")</f>
        <v>214.92684443316651</v>
      </c>
      <c r="AH31">
        <f>IF(tblData[Date]&gt;StartDt2NSW,tblData[Date]-StartDt2NSW,"")</f>
        <v>17</v>
      </c>
      <c r="AI31">
        <f t="shared" si="4"/>
        <v>4</v>
      </c>
      <c r="AJ31" s="11">
        <f>IF(tblData[Date]&gt;StartDt2NSW,betaNSW/(deltaNSW+betaPodeltaNSW*EXP(-betaNSW*tblData[[#This Row],[Day '# NSW]])),"")</f>
        <v>0.15106072904726139</v>
      </c>
      <c r="AK31" s="12">
        <f>IF(AND(ISNUMBER(tblData[NSW]),tblData[Date]&gt;StartDt2NSW),(tblData[[#This Row],[NSW LogiP(t)]]-tblData[[#This Row],[NSW]])^2,"")</f>
        <v>14.814333511482198</v>
      </c>
      <c r="AL31" s="12">
        <f>IF(AND(tblData[Date]&gt;StartDt2NSW,ISNUMBER(tblData[Day'# Aust])),tblData[NSW LogiP(t)]/$AG$9,"")</f>
        <v>0.18695634783076903</v>
      </c>
      <c r="AM31" s="11">
        <f>IF(AND(tblData[Date]&gt;StartDt2Italy,ISNUMBER(tblData[Days'# Italy])),betaItaly/(deltaItaly+betaPodeltaItaly*EXP(-betaItaly*tblData[Days'# Italy])),"")</f>
        <v>10.033289033856045</v>
      </c>
      <c r="AN31" s="11">
        <f>IF(AND(tblData[Date]&gt;StartDt2Italy,ISNUMBER(tblData[Italy])),(tblData[[#This Row],[Italy LogiP(t)]]-tblData[[#This Row],[Italy]])^2,"")</f>
        <v>49.467154633759698</v>
      </c>
      <c r="AO31" s="44">
        <f>IF(AND(tblData[Date]&gt;StartDt2Italy,ISNUMBER(tblData[Days'# Italy])),tblData[[#This Row],[Italy LogiP(t)]]/$AM$9,"")</f>
        <v>1.6597665895543499</v>
      </c>
      <c r="AP31" s="21">
        <f>IF(ISNUMBER(tblData[[#This Row],[Days'# US]]),betaUS/(deltaUS+betaPodeltaUS*EXP(-betaUS*tblData[Days'# US])),"")</f>
        <v>3.4276533630944295E-2</v>
      </c>
      <c r="AQ31" s="11">
        <f>IF(ISNUMBER(tblData[US]),(tblData[[#This Row],[US LogiP(t)]]-tblData[US])^2,"")</f>
        <v>143.1785380736151</v>
      </c>
      <c r="AR31" s="21">
        <f>IF(ISNUMBER(tblData[[#This Row],[Days'# US]]),tblData[[#This Row],[US LogiP(t)]]/$AP$9,"")</f>
        <v>1.0411192266566833E-3</v>
      </c>
      <c r="AS31" s="21" t="str">
        <f>IF(tblData[Date]&gt;=StartDt2Korea,betaSKorea/(deltaSKorea+betaPodeltaSKorea*EXP(-betaSKorea*(tblData[Date]-StartDt2Korea))),"")</f>
        <v/>
      </c>
      <c r="AT31" s="21" t="str">
        <f>IF(AND(tblData[Date]&gt;=StartDt2Korea,ISNUMBER(tblData[SKorea])),(tblData[[#This Row],[SKorea LogiP(t)]]-tblData[[#This Row],[SKorea]])^2,"")</f>
        <v/>
      </c>
      <c r="AU31" s="21" t="str">
        <f>IF(tblData[Date]&gt;=StartDt2Korea,tblData[[#This Row],[SKorea LogiP(t)]]/$AS$9,"")</f>
        <v/>
      </c>
      <c r="AV31" s="11">
        <f>IF(ISNUMBER(tblData[Days'# UK]),betaUK/(deltaUK+betaPodeltaUK*EXP(-betaUK*tblData[Days'# UK])),"")</f>
        <v>0.60582315496828254</v>
      </c>
      <c r="AW31" s="21">
        <f>IF(ISNUMBER(tblData[UK]),(tblData[[#This Row],[UK LogiP(t)]]-tblData[[#This Row],[UK]])^2,"")</f>
        <v>54.6738512156032</v>
      </c>
      <c r="AX31" s="21">
        <f>IF(ISNUMBER(tblData[Days'# UK]),tblData[[#This Row],[UK LogiP(t)]]/$AV$9,"")</f>
        <v>9.1183497135503083E-2</v>
      </c>
      <c r="AY31" s="11">
        <f>IF(ISNUMBER(tblData[Days'# China]),betaChina/(deltaChina+betaPodeltaChina*EXP(-betaChina*tblData[Days'# China])),"")</f>
        <v>50359.310824921704</v>
      </c>
      <c r="AZ31" s="11">
        <f>IF(ISNUMBER(tblData[China]),(tblData[[#This Row],[China LogiP(t)]]-tblData[[#This Row],[China]])^2,"")</f>
        <v>35680442.211126804</v>
      </c>
      <c r="BA31" s="11">
        <f>tblData[[#This Row],[China LogiP(t)]]/$AY$9</f>
        <v>349.88174074963456</v>
      </c>
      <c r="BB31" s="11"/>
      <c r="BC31" s="11"/>
      <c r="BD31" s="11" t="str">
        <f>IF(ISNUMBER(tblData[[#This Row],[NSW Number of Tests]]),tblData[[#This Row],[NSW Number of Tests]]-BB30,"")</f>
        <v/>
      </c>
      <c r="BE31" s="11" t="str">
        <f>IF(ISNUMBER(tblData[[#This Row],[NSW Under Investigation'']]),tblData[[#This Row],[NSW Under Investigation'']]-BC30,"")</f>
        <v/>
      </c>
      <c r="BF31" s="11"/>
      <c r="BG31" s="11" t="str">
        <f>IF(ISNUMBER(tblData[[#This Row],[NSW Test Day Number]]),betaTest/(deltaTest+betaPodeltaTest*EXP(-betaTest*tblData[[#This Row],[NSW Test Day Number]])),"")</f>
        <v/>
      </c>
      <c r="BH31" s="11" t="str">
        <f>IF(ISNUMBER(tblData[[#This Row],[NSW Number of Tests]]),(tblData[[#This Row],[NSW Number of Tests]]-tblData[[#This Row],[NSW Test Logi]])^2,"")</f>
        <v/>
      </c>
      <c r="BJ31" s="27"/>
      <c r="DE31" s="26" t="s">
        <v>58</v>
      </c>
      <c r="DG31" s="27">
        <v>43860</v>
      </c>
      <c r="DI31" s="26">
        <v>2</v>
      </c>
      <c r="DJ31" s="23">
        <v>0.26238091349277259</v>
      </c>
      <c r="DK31" s="25">
        <v>6.5504048686306527E-6</v>
      </c>
      <c r="DL31" s="22">
        <v>0.44060114064329331</v>
      </c>
      <c r="DM31" s="24">
        <f>betaItaly/deltaItaly</f>
        <v>55402.511466544704</v>
      </c>
      <c r="DN31" s="22">
        <f>SQRT(SUM(tblData[Italy Sq Err])/COUNT(tblData[Italy Sq Err]))</f>
        <v>1127.8816766057491</v>
      </c>
      <c r="DO31" s="37">
        <f>(betaItaly/PoItaly)-deltaItaly</f>
        <v>0.58871520169346225</v>
      </c>
      <c r="DP31" s="24">
        <f>deltaItaly*1000</f>
        <v>4.696744833945202E-3</v>
      </c>
      <c r="DQ31" s="24"/>
      <c r="DR31" s="27">
        <f t="array" ref="DR31">MAX(IF(ISNUMBER(tblData[Italy]),tblData[Date]))</f>
        <v>43910</v>
      </c>
      <c r="DS31" s="27" t="str">
        <f>Cengnotation(DM31,3)</f>
        <v>55.4 k</v>
      </c>
      <c r="DT31" s="19"/>
      <c r="DU31" s="19"/>
      <c r="DW31" s="26"/>
      <c r="DX31" s="18"/>
      <c r="DY31" s="26"/>
      <c r="DZ31" s="26"/>
      <c r="EA31" s="26"/>
      <c r="EB31" s="26"/>
      <c r="EC31" s="26"/>
      <c r="ED31" s="26"/>
      <c r="EE31" s="26"/>
      <c r="EF31" s="26"/>
      <c r="EG31" s="26"/>
      <c r="EH31" s="26"/>
    </row>
    <row r="32" spans="2:140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49">
        <f>IF(ISNUMBER(tblData[Italy]),tblData[Italy]/$N$9,"")</f>
        <v>0.49627791563275436</v>
      </c>
      <c r="O32">
        <v>12</v>
      </c>
      <c r="P32" s="49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1">
        <f>IF(ISNUMBER(tblData[China]),tblData[China]/$V$9,"")</f>
        <v>310.97242153804314</v>
      </c>
      <c r="W32" s="26">
        <f>IF(tblData[[#This Row],[Date]]&lt;ItalyStart,"",tblData[[#This Row],[Date]]-ItalyStart)</f>
        <v>13</v>
      </c>
      <c r="X32" s="26">
        <f t="shared" si="5"/>
        <v>3</v>
      </c>
      <c r="Y32" s="26">
        <f t="shared" si="3"/>
        <v>21</v>
      </c>
      <c r="Z32" s="26" t="str">
        <f>IF(tblData[[#This Row],[Date]]&lt;StartDt2Korea,"",tblData[[#This Row],[Date]]-StartDt2Korea)</f>
        <v/>
      </c>
      <c r="AA32" s="26">
        <f>IF(tblData[[#This Row],[Date]]&lt;UKStart,"",tblData[[#This Row],[Date]]-UKStart)</f>
        <v>13</v>
      </c>
      <c r="AB32">
        <f>IF(tblData[Date]&gt;=StartDt2Au,tblData[Date]-StartDt2Au,"")</f>
        <v>18</v>
      </c>
      <c r="AC32" s="26">
        <f>IF(tblData[New South Wales]&gt;0,SUM(tblData[[#This Row],[Australian Capital Territory]:[Western Australia]]),"")</f>
        <v>15</v>
      </c>
      <c r="AD32" s="12">
        <f>IF(ISNUMBER(tblData[Au]),tblData[Au]/$AA$9,"")</f>
        <v>5.9138937076170954</v>
      </c>
      <c r="AE32" s="19">
        <f>IF(ISNUMBER(tblData[[#This Row],[Day'# Aust]]),betaAu/(deltaAu+betaPodeltaAu*EXP(-betaAu*tblData[[#This Row],[Day'# Aust]])),"")</f>
        <v>0.41750910238260991</v>
      </c>
      <c r="AF32" s="72">
        <f>IF(ISNUMBER(tblData[Day'# Aust]),tblData[Au LogiP(t)]/$AD$9,"")</f>
        <v>0.16460696356355856</v>
      </c>
      <c r="AG32" s="11">
        <f>IF(AND(tblData[Date]&gt;=StartDt2Au,ISNUMBER(tblData[NSW])),(tblData[[#This Row],[Au LogiP(t)]]-tblData[[#This Row],[Au]])^2,"")</f>
        <v>212.64904077909404</v>
      </c>
      <c r="AH32">
        <f>IF(tblData[Date]&gt;StartDt2NSW,tblData[Date]-StartDt2NSW,"")</f>
        <v>18</v>
      </c>
      <c r="AI32">
        <f t="shared" si="4"/>
        <v>4</v>
      </c>
      <c r="AJ32" s="11">
        <f>IF(tblData[Date]&gt;StartDt2NSW,betaNSW/(deltaNSW+betaPodeltaNSW*EXP(-betaNSW*tblData[[#This Row],[Day '# NSW]])),"")</f>
        <v>0.18622861807689584</v>
      </c>
      <c r="AK32" s="12">
        <f>IF(AND(ISNUMBER(tblData[NSW]),tblData[Date]&gt;StartDt2NSW),(tblData[[#This Row],[NSW LogiP(t)]]-tblData[[#This Row],[NSW]])^2,"")</f>
        <v>14.544852153575665</v>
      </c>
      <c r="AL32" s="12">
        <f>IF(AND(tblData[Date]&gt;StartDt2NSW,ISNUMBER(tblData[Day'# Aust])),tblData[NSW LogiP(t)]/$AG$9,"")</f>
        <v>0.23048096296645523</v>
      </c>
      <c r="AM32" s="11">
        <f>IF(AND(tblData[Date]&gt;StartDt2Italy,ISNUMBER(tblData[Days'# Italy])),betaItaly/(deltaItaly+betaPodeltaItaly*EXP(-betaItaly*tblData[Days'# Italy])),"")</f>
        <v>13.01452583605627</v>
      </c>
      <c r="AN32" s="11">
        <f>IF(AND(tblData[Date]&gt;StartDt2Italy,ISNUMBER(tblData[Italy])),(tblData[[#This Row],[Italy LogiP(t)]]-tblData[[#This Row],[Italy]])^2,"")</f>
        <v>100.29072772103854</v>
      </c>
      <c r="AO32" s="44">
        <f>IF(AND(tblData[Date]&gt;StartDt2Italy,ISNUMBER(tblData[Days'# Italy])),tblData[[#This Row],[Italy LogiP(t)]]/$AM$9,"")</f>
        <v>2.152940584955545</v>
      </c>
      <c r="AP32" s="21">
        <f>IF(ISNUMBER(tblData[[#This Row],[Days'# US]]),betaUS/(deltaUS+betaPodeltaUS*EXP(-betaUS*tblData[Days'# US])),"")</f>
        <v>4.8528742986840026E-2</v>
      </c>
      <c r="AQ32" s="11">
        <f>IF(ISNUMBER(tblData[US]),(tblData[[#This Row],[US LogiP(t)]]-tblData[US])^2,"")</f>
        <v>142.83766520721173</v>
      </c>
      <c r="AR32" s="21">
        <f>IF(ISNUMBER(tblData[[#This Row],[Days'# US]]),tblData[[#This Row],[US LogiP(t)]]/$AP$9,"")</f>
        <v>1.4740174112433412E-3</v>
      </c>
      <c r="AS32" s="21" t="str">
        <f>IF(tblData[Date]&gt;=StartDt2Korea,betaSKorea/(deltaSKorea+betaPodeltaSKorea*EXP(-betaSKorea*(tblData[Date]-StartDt2Korea))),"")</f>
        <v/>
      </c>
      <c r="AT32" s="21" t="str">
        <f>IF(AND(tblData[Date]&gt;=StartDt2Korea,ISNUMBER(tblData[SKorea])),(tblData[[#This Row],[SKorea LogiP(t)]]-tblData[[#This Row],[SKorea]])^2,"")</f>
        <v/>
      </c>
      <c r="AU32" s="21" t="str">
        <f>IF(tblData[Date]&gt;=StartDt2Korea,tblData[[#This Row],[SKorea LogiP(t)]]/$AS$9,"")</f>
        <v/>
      </c>
      <c r="AV32" s="11">
        <f>IF(ISNUMBER(tblData[Days'# UK]),betaUK/(deltaUK+betaPodeltaUK*EXP(-betaUK*tblData[Days'# UK])),"")</f>
        <v>0.76294302790851787</v>
      </c>
      <c r="AW32" s="21">
        <f>IF(ISNUMBER(tblData[UK]),(tblData[[#This Row],[UK LogiP(t)]]-tblData[[#This Row],[UK]])^2,"")</f>
        <v>67.849107561480892</v>
      </c>
      <c r="AX32" s="21">
        <f>IF(ISNUMBER(tblData[Days'# UK]),tblData[[#This Row],[UK LogiP(t)]]/$AV$9,"")</f>
        <v>0.11483188258707373</v>
      </c>
      <c r="AY32" s="11">
        <f>IF(ISNUMBER(tblData[Days'# China]),betaChina/(deltaChina+betaPodeltaChina*EXP(-betaChina*tblData[Days'# China])),"")</f>
        <v>54458.902850199651</v>
      </c>
      <c r="AZ32" s="11">
        <f>IF(ISNUMBER(tblData[China]),(tblData[[#This Row],[China LogiP(t)]]-tblData[[#This Row],[China]])^2,"")</f>
        <v>94088115.303311303</v>
      </c>
      <c r="BA32" s="11">
        <f>tblData[[#This Row],[China LogiP(t)]]/$AY$9</f>
        <v>378.3645053203071</v>
      </c>
      <c r="BB32" s="11"/>
      <c r="BC32" s="11"/>
      <c r="BD32" s="11" t="str">
        <f>IF(ISNUMBER(tblData[[#This Row],[NSW Number of Tests]]),tblData[[#This Row],[NSW Number of Tests]]-BB31,"")</f>
        <v/>
      </c>
      <c r="BE32" s="11" t="str">
        <f>IF(ISNUMBER(tblData[[#This Row],[NSW Under Investigation'']]),tblData[[#This Row],[NSW Under Investigation'']]-BC31,"")</f>
        <v/>
      </c>
      <c r="BF32" s="11"/>
      <c r="BG32" s="11" t="str">
        <f>IF(ISNUMBER(tblData[[#This Row],[NSW Test Day Number]]),betaTest/(deltaTest+betaPodeltaTest*EXP(-betaTest*tblData[[#This Row],[NSW Test Day Number]])),"")</f>
        <v/>
      </c>
      <c r="BH32" s="11" t="str">
        <f>IF(ISNUMBER(tblData[[#This Row],[NSW Number of Tests]]),(tblData[[#This Row],[NSW Number of Tests]]-tblData[[#This Row],[NSW Test Logi]])^2,"")</f>
        <v/>
      </c>
      <c r="BJ32" s="27"/>
      <c r="DE32" s="26" t="s">
        <v>486</v>
      </c>
      <c r="DG32" s="27">
        <v>43852</v>
      </c>
      <c r="DI32" s="26">
        <v>3</v>
      </c>
      <c r="DJ32" s="23">
        <v>0.23690262188948924</v>
      </c>
      <c r="DK32" s="25">
        <v>1.0000000000010001E-8</v>
      </c>
      <c r="DL32" s="22">
        <v>1</v>
      </c>
      <c r="DM32" s="26">
        <v>23690262.188925233</v>
      </c>
      <c r="DN32" s="19">
        <v>70.768652159383493</v>
      </c>
      <c r="DO32" s="37">
        <v>0.23690261188948925</v>
      </c>
      <c r="DP32" s="24">
        <v>1.0000000000010001E-5</v>
      </c>
      <c r="DQ32" s="12"/>
      <c r="DR32" s="27">
        <v>43904</v>
      </c>
      <c r="DS32" s="27" t="s">
        <v>493</v>
      </c>
      <c r="DT32" s="19"/>
      <c r="DU32" s="19"/>
      <c r="DW32" s="26"/>
      <c r="DX32" s="18"/>
      <c r="DY32" s="26"/>
      <c r="DZ32" s="26"/>
      <c r="EA32" s="26"/>
      <c r="EB32" s="26"/>
      <c r="EC32" s="26"/>
      <c r="ED32" s="26"/>
      <c r="EE32" s="26"/>
      <c r="EF32" s="26"/>
      <c r="EG32" s="26"/>
      <c r="EH32" s="26"/>
    </row>
    <row r="33" spans="2:138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49">
        <f>IF(ISNUMBER(tblData[Italy]),tblData[Italy]/$N$9,"")</f>
        <v>0.49627791563275436</v>
      </c>
      <c r="O33">
        <v>13</v>
      </c>
      <c r="P33" s="49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1">
        <f>IF(ISNUMBER(tblData[China]),tblData[China]/$V$9,"")</f>
        <v>416.13291601736177</v>
      </c>
      <c r="W33" s="26">
        <f>IF(tblData[[#This Row],[Date]]&lt;ItalyStart,"",tblData[[#This Row],[Date]]-ItalyStart)</f>
        <v>14</v>
      </c>
      <c r="X33" s="26">
        <f t="shared" si="5"/>
        <v>4</v>
      </c>
      <c r="Y33" s="26">
        <f t="shared" si="3"/>
        <v>22</v>
      </c>
      <c r="Z33" s="26" t="str">
        <f>IF(tblData[[#This Row],[Date]]&lt;StartDt2Korea,"",tblData[[#This Row],[Date]]-StartDt2Korea)</f>
        <v/>
      </c>
      <c r="AA33" s="26">
        <f>IF(tblData[[#This Row],[Date]]&lt;UKStart,"",tblData[[#This Row],[Date]]-UKStart)</f>
        <v>14</v>
      </c>
      <c r="AB33">
        <f>IF(tblData[Date]&gt;=StartDt2Au,tblData[Date]-StartDt2Au,"")</f>
        <v>19</v>
      </c>
      <c r="AC33" s="26">
        <f>IF(tblData[New South Wales]&gt;0,SUM(tblData[[#This Row],[Australian Capital Territory]:[Western Australia]]),"")</f>
        <v>15</v>
      </c>
      <c r="AD33" s="12">
        <f>IF(ISNUMBER(tblData[Au]),tblData[Au]/$AA$9,"")</f>
        <v>5.9138937076170954</v>
      </c>
      <c r="AE33" s="19">
        <f>IF(ISNUMBER(tblData[[#This Row],[Day'# Aust]]),betaAu/(deltaAu+betaPodeltaAu*EXP(-betaAu*tblData[[#This Row],[Day'# Aust]])),"")</f>
        <v>0.51326673384316401</v>
      </c>
      <c r="AF33" s="72">
        <f>IF(ISNUMBER(tblData[Day'# Aust]),tblData[Au LogiP(t)]/$AD$9,"")</f>
        <v>0.20236032717361774</v>
      </c>
      <c r="AG33" s="11">
        <f>IF(AND(tblData[Date]&gt;=StartDt2Au,ISNUMBER(tblData[NSW])),(tblData[[#This Row],[Au LogiP(t)]]-tblData[[#This Row],[Au]])^2,"")</f>
        <v>209.86544072477511</v>
      </c>
      <c r="AH33">
        <f>IF(tblData[Date]&gt;StartDt2NSW,tblData[Date]-StartDt2NSW,"")</f>
        <v>19</v>
      </c>
      <c r="AI33">
        <f t="shared" si="4"/>
        <v>4</v>
      </c>
      <c r="AJ33" s="11">
        <f>IF(tblData[Date]&gt;StartDt2NSW,betaNSW/(deltaNSW+betaPodeltaNSW*EXP(-betaNSW*tblData[[#This Row],[Day '# NSW]])),"")</f>
        <v>0.22958312324530949</v>
      </c>
      <c r="AK33" s="12">
        <f>IF(AND(ISNUMBER(tblData[NSW]),tblData[Date]&gt;StartDt2NSW),(tblData[[#This Row],[NSW LogiP(t)]]-tblData[[#This Row],[NSW]])^2,"")</f>
        <v>14.216043424516595</v>
      </c>
      <c r="AL33" s="12">
        <f>IF(AND(tblData[Date]&gt;StartDt2NSW,ISNUMBER(tblData[Day'# Aust])),tblData[NSW LogiP(t)]/$AG$9,"")</f>
        <v>0.28413752876894738</v>
      </c>
      <c r="AM33" s="11">
        <f>IF(AND(tblData[Date]&gt;StartDt2Italy,ISNUMBER(tblData[Days'# Italy])),betaItaly/(deltaItaly+betaPodeltaItaly*EXP(-betaItaly*tblData[Days'# Italy])),"")</f>
        <v>16.881321124379671</v>
      </c>
      <c r="AN33" s="11">
        <f>IF(AND(tblData[Date]&gt;StartDt2Italy,ISNUMBER(tblData[Italy])),(tblData[[#This Row],[Italy LogiP(t)]]-tblData[[#This Row],[Italy]])^2,"")</f>
        <v>192.69107615814929</v>
      </c>
      <c r="AO33" s="44">
        <f>IF(AND(tblData[Date]&gt;StartDt2Italy,ISNUMBER(tblData[Days'# Italy])),tblData[[#This Row],[Italy LogiP(t)]]/$AM$9,"")</f>
        <v>2.7926089535781093</v>
      </c>
      <c r="AP33" s="21">
        <f>IF(ISNUMBER(tblData[[#This Row],[Days'# US]]),betaUS/(deltaUS+betaPodeltaUS*EXP(-betaUS*tblData[Days'# US])),"")</f>
        <v>6.870703208204651E-2</v>
      </c>
      <c r="AQ33" s="11">
        <f>IF(ISNUMBER(tblData[US]),(tblData[[#This Row],[US LogiP(t)]]-tblData[US])^2,"")</f>
        <v>167.21833782212431</v>
      </c>
      <c r="AR33" s="21">
        <f>IF(ISNUMBER(tblData[[#This Row],[Days'# US]]),tblData[[#This Row],[US LogiP(t)]]/$AP$9,"")</f>
        <v>2.0869149978035724E-3</v>
      </c>
      <c r="AS33" s="21" t="str">
        <f>IF(tblData[Date]&gt;=StartDt2Korea,betaSKorea/(deltaSKorea+betaPodeltaSKorea*EXP(-betaSKorea*(tblData[Date]-StartDt2Korea))),"")</f>
        <v/>
      </c>
      <c r="AT33" s="21" t="str">
        <f>IF(AND(tblData[Date]&gt;=StartDt2Korea,ISNUMBER(tblData[SKorea])),(tblData[[#This Row],[SKorea LogiP(t)]]-tblData[[#This Row],[SKorea]])^2,"")</f>
        <v/>
      </c>
      <c r="AU33" s="21" t="str">
        <f>IF(tblData[Date]&gt;=StartDt2Korea,tblData[[#This Row],[SKorea LogiP(t)]]/$AS$9,"")</f>
        <v/>
      </c>
      <c r="AV33" s="11">
        <f>IF(ISNUMBER(tblData[Days'# UK]),betaUK/(deltaUK+betaPodeltaUK*EXP(-betaUK*tblData[Days'# UK])),"")</f>
        <v>0.96081184576352374</v>
      </c>
      <c r="AW33" s="21">
        <f>IF(ISNUMBER(tblData[UK]),(tblData[[#This Row],[UK LogiP(t)]]-tblData[[#This Row],[UK]])^2,"")</f>
        <v>64.628546179216102</v>
      </c>
      <c r="AX33" s="21">
        <f>IF(ISNUMBER(tblData[Days'# UK]),tblData[[#This Row],[UK LogiP(t)]]/$AV$9,"")</f>
        <v>0.14461346263749605</v>
      </c>
      <c r="AY33" s="11">
        <f>IF(ISNUMBER(tblData[Days'# China]),betaChina/(deltaChina+betaPodeltaChina*EXP(-betaChina*tblData[Days'# China])),"")</f>
        <v>58256.695314848504</v>
      </c>
      <c r="AZ33" s="11">
        <f>IF(ISNUMBER(tblData[China]),(tblData[[#This Row],[China LogiP(t)]]-tblData[[#This Row],[China]])^2,"")</f>
        <v>2684042.2413893407</v>
      </c>
      <c r="BA33" s="11">
        <f>tblData[[#This Row],[China LogiP(t)]]/$AY$9</f>
        <v>404.75045494453434</v>
      </c>
      <c r="BB33" s="11"/>
      <c r="BC33" s="11"/>
      <c r="BD33" s="11" t="str">
        <f>IF(ISNUMBER(tblData[[#This Row],[NSW Number of Tests]]),tblData[[#This Row],[NSW Number of Tests]]-BB32,"")</f>
        <v/>
      </c>
      <c r="BE33" s="11" t="str">
        <f>IF(ISNUMBER(tblData[[#This Row],[NSW Under Investigation'']]),tblData[[#This Row],[NSW Under Investigation'']]-BC32,"")</f>
        <v/>
      </c>
      <c r="BF33" s="11"/>
      <c r="BG33" s="11" t="str">
        <f>IF(ISNUMBER(tblData[[#This Row],[NSW Test Day Number]]),betaTest/(deltaTest+betaPodeltaTest*EXP(-betaTest*tblData[[#This Row],[NSW Test Day Number]])),"")</f>
        <v/>
      </c>
      <c r="BH33" s="11" t="str">
        <f>IF(ISNUMBER(tblData[[#This Row],[NSW Number of Tests]]),(tblData[[#This Row],[NSW Number of Tests]]-tblData[[#This Row],[NSW Test Logi]])^2,"")</f>
        <v/>
      </c>
      <c r="BJ33" s="27"/>
      <c r="DE33" s="26" t="s">
        <v>486</v>
      </c>
      <c r="DG33" s="27">
        <v>43852</v>
      </c>
      <c r="DI33" s="26">
        <v>3</v>
      </c>
      <c r="DJ33" s="23">
        <v>0.32325497596799352</v>
      </c>
      <c r="DK33" s="38">
        <v>3.2192747767709561E-5</v>
      </c>
      <c r="DL33" s="22">
        <v>8.8068098227311528E-2</v>
      </c>
      <c r="DM33" s="24">
        <v>10041.235942345667</v>
      </c>
      <c r="DN33" s="22">
        <v>0</v>
      </c>
      <c r="DO33" s="37">
        <v>3.6704794053753567</v>
      </c>
      <c r="DP33" s="24">
        <v>3.2192747767709563E-2</v>
      </c>
      <c r="DQ33" s="24"/>
      <c r="DR33" s="27">
        <v>43905</v>
      </c>
      <c r="DS33" s="27" t="s">
        <v>772</v>
      </c>
      <c r="DT33" s="19"/>
      <c r="DU33" s="19"/>
      <c r="DW33" s="26"/>
      <c r="DX33" s="18"/>
      <c r="DY33" s="26"/>
      <c r="DZ33" s="26"/>
      <c r="EA33" s="26"/>
      <c r="EB33" s="26"/>
      <c r="EC33" s="26"/>
      <c r="ED33" s="26"/>
      <c r="EE33" s="26"/>
      <c r="EF33" s="26"/>
      <c r="EG33" s="26"/>
      <c r="EH33" s="26"/>
    </row>
    <row r="34" spans="2:138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49">
        <f>IF(ISNUMBER(tblData[Italy]),tblData[Italy]/$N$9,"")</f>
        <v>0.49627791563275436</v>
      </c>
      <c r="O34">
        <v>13</v>
      </c>
      <c r="P34" s="49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1">
        <f>IF(ISNUMBER(tblData[China]),tblData[China]/$V$9,"")</f>
        <v>461.03594692512047</v>
      </c>
      <c r="W34" s="26">
        <f>IF(tblData[[#This Row],[Date]]&lt;ItalyStart,"",tblData[[#This Row],[Date]]-ItalyStart)</f>
        <v>15</v>
      </c>
      <c r="X34" s="26">
        <f t="shared" si="5"/>
        <v>5</v>
      </c>
      <c r="Y34" s="26">
        <f t="shared" si="3"/>
        <v>23</v>
      </c>
      <c r="Z34" s="26" t="str">
        <f>IF(tblData[[#This Row],[Date]]&lt;StartDt2Korea,"",tblData[[#This Row],[Date]]-StartDt2Korea)</f>
        <v/>
      </c>
      <c r="AA34" s="26">
        <f>IF(tblData[[#This Row],[Date]]&lt;UKStart,"",tblData[[#This Row],[Date]]-UKStart)</f>
        <v>15</v>
      </c>
      <c r="AB34">
        <f>IF(tblData[Date]&gt;=StartDt2Au,tblData[Date]-StartDt2Au,"")</f>
        <v>20</v>
      </c>
      <c r="AC34" s="26">
        <f>IF(tblData[New South Wales]&gt;0,SUM(tblData[[#This Row],[Australian Capital Territory]:[Western Australia]]),"")</f>
        <v>15</v>
      </c>
      <c r="AD34" s="12">
        <f>IF(ISNUMBER(tblData[Au]),tblData[Au]/$AA$9,"")</f>
        <v>5.9138937076170954</v>
      </c>
      <c r="AE34" s="19">
        <f>IF(ISNUMBER(tblData[[#This Row],[Day'# Aust]]),betaAu/(deltaAu+betaPodeltaAu*EXP(-betaAu*tblData[[#This Row],[Day'# Aust]])),"")</f>
        <v>0.63098681810435686</v>
      </c>
      <c r="AF34" s="72">
        <f>IF(ISNUMBER(tblData[Day'# Aust]),tblData[Au LogiP(t)]/$AD$9,"")</f>
        <v>0.24877259821177924</v>
      </c>
      <c r="AG34" s="11">
        <f>IF(AND(tblData[Date]&gt;=StartDt2Au,ISNUMBER(tblData[NSW])),(tblData[[#This Row],[Au LogiP(t)]]-tblData[[#This Row],[Au]])^2,"")</f>
        <v>206.46853982149074</v>
      </c>
      <c r="AH34">
        <f>IF(tblData[Date]&gt;StartDt2NSW,tblData[Date]-StartDt2NSW,"")</f>
        <v>20</v>
      </c>
      <c r="AI34">
        <f t="shared" si="4"/>
        <v>4</v>
      </c>
      <c r="AJ34" s="11">
        <f>IF(tblData[Date]&gt;StartDt2NSW,betaNSW/(deltaNSW+betaPodeltaNSW*EXP(-betaNSW*tblData[[#This Row],[Day '# NSW]])),"")</f>
        <v>0.28302962114520502</v>
      </c>
      <c r="AK34" s="12">
        <f>IF(AND(ISNUMBER(tblData[NSW]),tblData[Date]&gt;StartDt2NSW),(tblData[[#This Row],[NSW LogiP(t)]]-tblData[[#This Row],[NSW]])^2,"")</f>
        <v>13.815868797283958</v>
      </c>
      <c r="AL34" s="12">
        <f>IF(AND(tblData[Date]&gt;StartDt2NSW,ISNUMBER(tblData[Day'# Aust])),tblData[NSW LogiP(t)]/$AG$9,"")</f>
        <v>0.35028418458564975</v>
      </c>
      <c r="AM34" s="11">
        <f>IF(AND(tblData[Date]&gt;StartDt2Italy,ISNUMBER(tblData[Days'# Italy])),betaItaly/(deltaItaly+betaPodeltaItaly*EXP(-betaItaly*tblData[Days'# Italy])),"")</f>
        <v>21.896540499233446</v>
      </c>
      <c r="AN34" s="11">
        <f>IF(AND(tblData[Date]&gt;StartDt2Italy,ISNUMBER(tblData[Italy])),(tblData[[#This Row],[Italy LogiP(t)]]-tblData[[#This Row],[Italy]])^2,"")</f>
        <v>357.07924283916981</v>
      </c>
      <c r="AO34" s="44">
        <f>IF(AND(tblData[Date]&gt;StartDt2Italy,ISNUMBER(tblData[Days'# Italy])),tblData[[#This Row],[Italy LogiP(t)]]/$AM$9,"")</f>
        <v>3.6222564928425882</v>
      </c>
      <c r="AP34" s="21">
        <f>IF(ISNUMBER(tblData[[#This Row],[Days'# US]]),betaUS/(deltaUS+betaPodeltaUS*EXP(-betaUS*tblData[Days'# US])),"")</f>
        <v>9.7275469481861443E-2</v>
      </c>
      <c r="AQ34" s="11">
        <f>IF(ISNUMBER(tblData[US]),(tblData[[#This Row],[US LogiP(t)]]-tblData[US])^2,"")</f>
        <v>166.48030031043453</v>
      </c>
      <c r="AR34" s="21">
        <f>IF(ISNUMBER(tblData[[#This Row],[Days'# US]]),tblData[[#This Row],[US LogiP(t)]]/$AP$9,"")</f>
        <v>2.9546558776932931E-3</v>
      </c>
      <c r="AS34" s="21" t="str">
        <f>IF(tblData[Date]&gt;=StartDt2Korea,betaSKorea/(deltaSKorea+betaPodeltaSKorea*EXP(-betaSKorea*(tblData[Date]-StartDt2Korea))),"")</f>
        <v/>
      </c>
      <c r="AT34" s="21" t="str">
        <f>IF(AND(tblData[Date]&gt;=StartDt2Korea,ISNUMBER(tblData[SKorea])),(tblData[[#This Row],[SKorea LogiP(t)]]-tblData[[#This Row],[SKorea]])^2,"")</f>
        <v/>
      </c>
      <c r="AU34" s="21" t="str">
        <f>IF(tblData[Date]&gt;=StartDt2Korea,tblData[[#This Row],[SKorea LogiP(t)]]/$AS$9,"")</f>
        <v/>
      </c>
      <c r="AV34" s="11">
        <f>IF(ISNUMBER(tblData[Days'# UK]),betaUK/(deltaUK+betaPodeltaUK*EXP(-betaUK*tblData[Days'# UK])),"")</f>
        <v>1.2099978228843062</v>
      </c>
      <c r="AW34" s="21">
        <f>IF(ISNUMBER(tblData[UK]),(tblData[[#This Row],[UK LogiP(t)]]-tblData[[#This Row],[UK]])^2,"")</f>
        <v>60.68413391946725</v>
      </c>
      <c r="AX34" s="21">
        <f>IF(ISNUMBER(tblData[Days'# UK]),tblData[[#This Row],[UK LogiP(t)]]/$AV$9,"")</f>
        <v>0.18211887761654216</v>
      </c>
      <c r="AY34" s="11">
        <f>IF(ISNUMBER(tblData[Days'# China]),betaChina/(deltaChina+betaPodeltaChina*EXP(-betaChina*tblData[Days'# China])),"")</f>
        <v>61702.491312216567</v>
      </c>
      <c r="AZ34" s="11">
        <f>IF(ISNUMBER(tblData[China]),(tblData[[#This Row],[China LogiP(t)]]-tblData[[#This Row],[China]])^2,"")</f>
        <v>21673761.14202702</v>
      </c>
      <c r="BA34" s="11">
        <f>tblData[[#This Row],[China LogiP(t)]]/$AY$9</f>
        <v>428.69083621819203</v>
      </c>
      <c r="BB34" s="11"/>
      <c r="BC34" s="11"/>
      <c r="BD34" s="11" t="str">
        <f>IF(ISNUMBER(tblData[[#This Row],[NSW Number of Tests]]),tblData[[#This Row],[NSW Number of Tests]]-BB33,"")</f>
        <v/>
      </c>
      <c r="BE34" s="11" t="str">
        <f>IF(ISNUMBER(tblData[[#This Row],[NSW Under Investigation'']]),tblData[[#This Row],[NSW Under Investigation'']]-BC33,"")</f>
        <v/>
      </c>
      <c r="BF34" s="11"/>
      <c r="BG34" s="11" t="str">
        <f>IF(ISNUMBER(tblData[[#This Row],[NSW Test Day Number]]),betaTest/(deltaTest+betaPodeltaTest*EXP(-betaTest*tblData[[#This Row],[NSW Test Day Number]])),"")</f>
        <v/>
      </c>
      <c r="BH34" s="11" t="str">
        <f>IF(ISNUMBER(tblData[[#This Row],[NSW Number of Tests]]),(tblData[[#This Row],[NSW Number of Tests]]-tblData[[#This Row],[NSW Test Logi]])^2,"")</f>
        <v/>
      </c>
      <c r="BJ34" s="27"/>
      <c r="DE34" s="26" t="s">
        <v>486</v>
      </c>
      <c r="DG34" s="27">
        <v>43852</v>
      </c>
      <c r="DI34" s="26">
        <v>3</v>
      </c>
      <c r="DJ34" s="23">
        <v>0.36149962702652205</v>
      </c>
      <c r="DK34" s="25">
        <v>4.559608796995672E-5</v>
      </c>
      <c r="DL34" s="22">
        <v>2.9311946911653858E-2</v>
      </c>
      <c r="DM34" s="26">
        <v>7928.3035699184175</v>
      </c>
      <c r="DN34" s="19">
        <v>80.421636650241254</v>
      </c>
      <c r="DO34" s="37">
        <v>12.332796985678472</v>
      </c>
      <c r="DP34" s="24">
        <v>4.559608796995672E-2</v>
      </c>
      <c r="DQ34" s="12"/>
      <c r="DR34" s="27">
        <v>43907</v>
      </c>
      <c r="DS34" s="27" t="s">
        <v>974</v>
      </c>
      <c r="DT34" s="19">
        <v>4736</v>
      </c>
      <c r="DU34" s="19" t="s">
        <v>975</v>
      </c>
      <c r="DV34" s="27">
        <v>43906</v>
      </c>
      <c r="DW34" s="26">
        <v>38</v>
      </c>
      <c r="DX34" s="18" t="s">
        <v>976</v>
      </c>
      <c r="DY34" s="26"/>
      <c r="DZ34" s="26" t="s">
        <v>977</v>
      </c>
      <c r="EA34" s="26"/>
      <c r="EB34" s="26"/>
      <c r="EC34" s="26"/>
      <c r="ED34" s="26"/>
      <c r="EE34" s="26"/>
      <c r="EF34" s="26"/>
      <c r="EG34" s="26"/>
      <c r="EH34" s="26"/>
    </row>
    <row r="35" spans="2:138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49">
        <f>IF(ISNUMBER(tblData[Italy]),tblData[Italy]/$N$9,"")</f>
        <v>0.49627791563275436</v>
      </c>
      <c r="O35">
        <v>13</v>
      </c>
      <c r="P35" s="49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1">
        <f>IF(ISNUMBER(tblData[China]),tblData[China]/$V$9,"")</f>
        <v>475.31348499032924</v>
      </c>
      <c r="W35" s="26">
        <f>IF(tblData[[#This Row],[Date]]&lt;ItalyStart,"",tblData[[#This Row],[Date]]-ItalyStart)</f>
        <v>16</v>
      </c>
      <c r="X35" s="26">
        <f t="shared" si="5"/>
        <v>6</v>
      </c>
      <c r="Y35" s="26">
        <f t="shared" si="3"/>
        <v>24</v>
      </c>
      <c r="Z35" s="26" t="str">
        <f>IF(tblData[[#This Row],[Date]]&lt;StartDt2Korea,"",tblData[[#This Row],[Date]]-StartDt2Korea)</f>
        <v/>
      </c>
      <c r="AA35" s="26">
        <f>IF(tblData[[#This Row],[Date]]&lt;UKStart,"",tblData[[#This Row],[Date]]-UKStart)</f>
        <v>16</v>
      </c>
      <c r="AB35">
        <f>IF(tblData[Date]&gt;=StartDt2Au,tblData[Date]-StartDt2Au,"")</f>
        <v>21</v>
      </c>
      <c r="AC35" s="26">
        <f>IF(tblData[New South Wales]&gt;0,SUM(tblData[[#This Row],[Australian Capital Territory]:[Western Australia]]),"")</f>
        <v>15</v>
      </c>
      <c r="AD35" s="12">
        <f>IF(ISNUMBER(tblData[Au]),tblData[Au]/$AA$9,"")</f>
        <v>5.9138937076170954</v>
      </c>
      <c r="AE35" s="19">
        <f>IF(ISNUMBER(tblData[[#This Row],[Day'# Aust]]),betaAu/(deltaAu+betaPodeltaAu*EXP(-betaAu*tblData[[#This Row],[Day'# Aust]])),"")</f>
        <v>0.77570654460349209</v>
      </c>
      <c r="AF35" s="72">
        <f>IF(ISNUMBER(tblData[Day'# Aust]),tblData[Au LogiP(t)]/$AD$9,"")</f>
        <v>0.30582973687253279</v>
      </c>
      <c r="AG35" s="11">
        <f>IF(AND(tblData[Date]&gt;=StartDt2Au,ISNUMBER(tblData[NSW])),(tblData[[#This Row],[Au LogiP(t)]]-tblData[[#This Row],[Au]])^2,"")</f>
        <v>202.33052430523591</v>
      </c>
      <c r="AH35">
        <f>IF(tblData[Date]&gt;StartDt2NSW,tblData[Date]-StartDt2NSW,"")</f>
        <v>21</v>
      </c>
      <c r="AI35">
        <f t="shared" si="4"/>
        <v>4</v>
      </c>
      <c r="AJ35" s="11">
        <f>IF(tblData[Date]&gt;StartDt2NSW,betaNSW/(deltaNSW+betaPodeltaNSW*EXP(-betaNSW*tblData[[#This Row],[Day '# NSW]])),"")</f>
        <v>0.34891676481083217</v>
      </c>
      <c r="AK35" s="12">
        <f>IF(AND(ISNUMBER(tblData[NSW]),tblData[Date]&gt;StartDt2NSW),(tblData[[#This Row],[NSW LogiP(t)]]-tblData[[#This Row],[NSW]])^2,"")</f>
        <v>13.330408790279401</v>
      </c>
      <c r="AL35" s="12">
        <f>IF(AND(tblData[Date]&gt;StartDt2NSW,ISNUMBER(tblData[Day'# Aust])),tblData[NSW LogiP(t)]/$AG$9,"")</f>
        <v>0.43182767922132692</v>
      </c>
      <c r="AM35" s="11">
        <f>IF(AND(tblData[Date]&gt;StartDt2Italy,ISNUMBER(tblData[Days'# Italy])),betaItaly/(deltaItaly+betaPodeltaItaly*EXP(-betaItaly*tblData[Days'# Italy])),"")</f>
        <v>28.400951827249127</v>
      </c>
      <c r="AN35" s="11">
        <f>IF(AND(tblData[Date]&gt;StartDt2Italy,ISNUMBER(tblData[Italy])),(tblData[[#This Row],[Italy LogiP(t)]]-tblData[[#This Row],[Italy]])^2,"")</f>
        <v>645.20835373023078</v>
      </c>
      <c r="AO35" s="44">
        <f>IF(AND(tblData[Date]&gt;StartDt2Italy,ISNUMBER(tblData[Days'# Italy])),tblData[[#This Row],[Italy LogiP(t)]]/$AM$9,"")</f>
        <v>4.6982550582711546</v>
      </c>
      <c r="AP35" s="21">
        <f>IF(ISNUMBER(tblData[[#This Row],[Days'# US]]),betaUS/(deltaUS+betaPodeltaUS*EXP(-betaUS*tblData[Days'# US])),"")</f>
        <v>0.13772268537656543</v>
      </c>
      <c r="AQ35" s="11">
        <f>IF(ISNUMBER(tblData[US]),(tblData[[#This Row],[US LogiP(t)]]-tblData[US])^2,"")</f>
        <v>165.43817771827662</v>
      </c>
      <c r="AR35" s="21">
        <f>IF(ISNUMBER(tblData[[#This Row],[Days'# US]]),tblData[[#This Row],[US LogiP(t)]]/$AP$9,"")</f>
        <v>4.1832040904767921E-3</v>
      </c>
      <c r="AS35" s="21" t="str">
        <f>IF(tblData[Date]&gt;=StartDt2Korea,betaSKorea/(deltaSKorea+betaPodeltaSKorea*EXP(-betaSKorea*(tblData[Date]-StartDt2Korea))),"")</f>
        <v/>
      </c>
      <c r="AT35" s="21" t="str">
        <f>IF(AND(tblData[Date]&gt;=StartDt2Korea,ISNUMBER(tblData[SKorea])),(tblData[[#This Row],[SKorea LogiP(t)]]-tblData[[#This Row],[SKorea]])^2,"")</f>
        <v/>
      </c>
      <c r="AU35" s="21" t="str">
        <f>IF(tblData[Date]&gt;=StartDt2Korea,tblData[[#This Row],[SKorea LogiP(t)]]/$AS$9,"")</f>
        <v/>
      </c>
      <c r="AV35" s="11">
        <f>IF(ISNUMBER(tblData[Days'# UK]),betaUK/(deltaUK+betaPodeltaUK*EXP(-betaUK*tblData[Days'# UK])),"")</f>
        <v>1.5238100335981717</v>
      </c>
      <c r="AW35" s="21">
        <f>IF(ISNUMBER(tblData[UK]),(tblData[[#This Row],[UK LogiP(t)]]-tblData[[#This Row],[UK]])^2,"")</f>
        <v>55.893416413727373</v>
      </c>
      <c r="AX35" s="21">
        <f>IF(ISNUMBER(tblData[Days'# UK]),tblData[[#This Row],[UK LogiP(t)]]/$AV$9,"")</f>
        <v>0.22935129945788255</v>
      </c>
      <c r="AY35" s="11">
        <f>IF(ISNUMBER(tblData[Days'# China]),betaChina/(deltaChina+betaPodeltaChina*EXP(-betaChina*tblData[Days'# China])),"")</f>
        <v>64770.417713585921</v>
      </c>
      <c r="AZ35" s="11">
        <f>IF(ISNUMBER(tblData[China]),(tblData[[#This Row],[China LogiP(t)]]-tblData[[#This Row],[China]])^2,"")</f>
        <v>13268405.71329762</v>
      </c>
      <c r="BA35" s="11">
        <f>tblData[[#This Row],[China LogiP(t)]]/$AY$9</f>
        <v>450.00589022150581</v>
      </c>
      <c r="BB35" s="11"/>
      <c r="BC35" s="11"/>
      <c r="BD35" s="11" t="str">
        <f>IF(ISNUMBER(tblData[[#This Row],[NSW Number of Tests]]),tblData[[#This Row],[NSW Number of Tests]]-BB34,"")</f>
        <v/>
      </c>
      <c r="BE35" s="11" t="str">
        <f>IF(ISNUMBER(tblData[[#This Row],[NSW Under Investigation'']]),tblData[[#This Row],[NSW Under Investigation'']]-BC34,"")</f>
        <v/>
      </c>
      <c r="BF35" s="11"/>
      <c r="BG35" s="11" t="str">
        <f>IF(ISNUMBER(tblData[[#This Row],[NSW Test Day Number]]),betaTest/(deltaTest+betaPodeltaTest*EXP(-betaTest*tblData[[#This Row],[NSW Test Day Number]])),"")</f>
        <v/>
      </c>
      <c r="BH35" s="11" t="str">
        <f>IF(ISNUMBER(tblData[[#This Row],[NSW Number of Tests]]),(tblData[[#This Row],[NSW Number of Tests]]-tblData[[#This Row],[NSW Test Logi]])^2,"")</f>
        <v/>
      </c>
      <c r="BJ35" s="27"/>
      <c r="DE35" s="26" t="s">
        <v>486</v>
      </c>
      <c r="DG35" s="27">
        <v>43852</v>
      </c>
      <c r="DI35" s="26">
        <v>3</v>
      </c>
      <c r="DJ35" s="23">
        <v>0.27693699134998795</v>
      </c>
      <c r="DK35" s="25">
        <v>9.9999999999976868E-11</v>
      </c>
      <c r="DL35" s="22">
        <v>0.29473541562593031</v>
      </c>
      <c r="DM35" s="26">
        <v>2769369913.5005202</v>
      </c>
      <c r="DN35" s="19">
        <v>50.62824539226316</v>
      </c>
      <c r="DO35" s="37">
        <v>0.93961219669642571</v>
      </c>
      <c r="DP35" s="24">
        <v>9.9999999999976874E-8</v>
      </c>
      <c r="DQ35" s="12"/>
      <c r="DR35" s="27">
        <v>43907</v>
      </c>
      <c r="DS35" s="27" t="s">
        <v>1013</v>
      </c>
      <c r="DT35" s="19">
        <v>6421</v>
      </c>
      <c r="DU35" s="19" t="s">
        <v>1014</v>
      </c>
      <c r="DV35" s="27">
        <v>43907</v>
      </c>
      <c r="DW35" s="26">
        <v>38</v>
      </c>
      <c r="DX35" s="18" t="s">
        <v>1015</v>
      </c>
      <c r="DY35" s="26"/>
      <c r="DZ35" s="26" t="s">
        <v>1016</v>
      </c>
      <c r="EA35" s="26" t="s">
        <v>982</v>
      </c>
      <c r="EB35" s="26" t="s">
        <v>1017</v>
      </c>
      <c r="EC35" s="26"/>
      <c r="ED35" s="26"/>
      <c r="EE35" s="26"/>
      <c r="EF35" s="26"/>
      <c r="EG35" s="26"/>
      <c r="EH35" s="26"/>
    </row>
    <row r="36" spans="2:138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49">
        <f>IF(ISNUMBER(tblData[Italy]),tblData[Italy]/$N$9,"")</f>
        <v>0.49627791563275436</v>
      </c>
      <c r="O36">
        <v>13</v>
      </c>
      <c r="P36" s="49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1">
        <f>IF(ISNUMBER(tblData[China]),tblData[China]/$V$9,"")</f>
        <v>489.90366987448419</v>
      </c>
      <c r="W36" s="26">
        <f>IF(tblData[[#This Row],[Date]]&lt;ItalyStart,"",tblData[[#This Row],[Date]]-ItalyStart)</f>
        <v>17</v>
      </c>
      <c r="X36" s="26">
        <f t="shared" si="5"/>
        <v>7</v>
      </c>
      <c r="Y36" s="26">
        <f t="shared" si="3"/>
        <v>25</v>
      </c>
      <c r="Z36" s="26" t="str">
        <f>IF(tblData[[#This Row],[Date]]&lt;StartDt2Korea,"",tblData[[#This Row],[Date]]-StartDt2Korea)</f>
        <v/>
      </c>
      <c r="AA36" s="26">
        <f>IF(tblData[[#This Row],[Date]]&lt;UKStart,"",tblData[[#This Row],[Date]]-UKStart)</f>
        <v>17</v>
      </c>
      <c r="AB36">
        <f>IF(tblData[Date]&gt;=StartDt2Au,tblData[Date]-StartDt2Au,"")</f>
        <v>22</v>
      </c>
      <c r="AC36" s="26">
        <f>IF(tblData[New South Wales]&gt;0,SUM(tblData[[#This Row],[Australian Capital Territory]:[Western Australia]]),"")</f>
        <v>15</v>
      </c>
      <c r="AD36" s="12">
        <f>IF(ISNUMBER(tblData[Au]),tblData[Au]/$AA$9,"")</f>
        <v>5.9138937076170954</v>
      </c>
      <c r="AE36" s="19">
        <f>IF(ISNUMBER(tblData[[#This Row],[Day'# Aust]]),betaAu/(deltaAu+betaPodeltaAu*EXP(-betaAu*tblData[[#This Row],[Day'# Aust]])),"")</f>
        <v>0.95361840529678032</v>
      </c>
      <c r="AF36" s="72">
        <f>IF(ISNUMBER(tblData[Day'# Aust]),tblData[Au LogiP(t)]/$AD$9,"")</f>
        <v>0.37597319243683186</v>
      </c>
      <c r="AG36" s="11">
        <f>IF(AND(tblData[Date]&gt;=StartDt2Au,ISNUMBER(tblData[NSW])),(tblData[[#This Row],[Au LogiP(t)]]-tblData[[#This Row],[Au]])^2,"")</f>
        <v>197.30083590401739</v>
      </c>
      <c r="AH36">
        <f>IF(tblData[Date]&gt;StartDt2NSW,tblData[Date]-StartDt2NSW,"")</f>
        <v>22</v>
      </c>
      <c r="AI36">
        <f t="shared" si="4"/>
        <v>4</v>
      </c>
      <c r="AJ36" s="11">
        <f>IF(tblData[Date]&gt;StartDt2NSW,betaNSW/(deltaNSW+betaPodeltaNSW*EXP(-betaNSW*tblData[[#This Row],[Day '# NSW]])),"")</f>
        <v>0.43013951291434216</v>
      </c>
      <c r="AK36" s="12">
        <f>IF(AND(ISNUMBER(tblData[NSW]),tblData[Date]&gt;StartDt2NSW),(tblData[[#This Row],[NSW LogiP(t)]]-tblData[[#This Row],[NSW]])^2,"")</f>
        <v>12.74390389725545</v>
      </c>
      <c r="AL36" s="12">
        <f>IF(AND(tblData[Date]&gt;StartDt2NSW,ISNUMBER(tblData[Day'# Aust])),tblData[NSW LogiP(t)]/$AG$9,"")</f>
        <v>0.53235088231973038</v>
      </c>
      <c r="AM36" s="11">
        <f>IF(AND(tblData[Date]&gt;StartDt2Italy,ISNUMBER(tblData[Days'# Italy])),betaItaly/(deltaItaly+betaPodeltaItaly*EXP(-betaItaly*tblData[Days'# Italy])),"")</f>
        <v>36.836226440510629</v>
      </c>
      <c r="AN36" s="11">
        <f>IF(AND(tblData[Date]&gt;StartDt2Italy,ISNUMBER(tblData[Italy])),(tblData[[#This Row],[Italy LogiP(t)]]-tblData[[#This Row],[Italy]])^2,"")</f>
        <v>1144.8902197335105</v>
      </c>
      <c r="AO36" s="44">
        <f>IF(AND(tblData[Date]&gt;StartDt2Italy,ISNUMBER(tblData[Days'# Italy])),tblData[[#This Row],[Italy LogiP(t)]]/$AM$9,"")</f>
        <v>6.0936685592242563</v>
      </c>
      <c r="AP36" s="21">
        <f>IF(ISNUMBER(tblData[[#This Row],[Days'# US]]),betaUS/(deltaUS+betaPodeltaUS*EXP(-betaUS*tblData[Days'# US])),"")</f>
        <v>0.19498788510038251</v>
      </c>
      <c r="AQ36" s="11">
        <f>IF(ISNUMBER(tblData[US]),(tblData[[#This Row],[US LogiP(t)]]-tblData[US])^2,"")</f>
        <v>163.96833526272599</v>
      </c>
      <c r="AR36" s="21">
        <f>IF(ISNUMBER(tblData[[#This Row],[Days'# US]]),tblData[[#This Row],[US LogiP(t)]]/$AP$9,"")</f>
        <v>5.9225836057080839E-3</v>
      </c>
      <c r="AS36" s="21" t="str">
        <f>IF(tblData[Date]&gt;=StartDt2Korea,betaSKorea/(deltaSKorea+betaPodeltaSKorea*EXP(-betaSKorea*(tblData[Date]-StartDt2Korea))),"")</f>
        <v/>
      </c>
      <c r="AT36" s="21" t="str">
        <f>IF(AND(tblData[Date]&gt;=StartDt2Korea,ISNUMBER(tblData[SKorea])),(tblData[[#This Row],[SKorea LogiP(t)]]-tblData[[#This Row],[SKorea]])^2,"")</f>
        <v/>
      </c>
      <c r="AU36" s="21" t="str">
        <f>IF(tblData[Date]&gt;=StartDt2Korea,tblData[[#This Row],[SKorea LogiP(t)]]/$AS$9,"")</f>
        <v/>
      </c>
      <c r="AV36" s="11">
        <f>IF(ISNUMBER(tblData[Days'# UK]),betaUK/(deltaUK+betaPodeltaUK*EXP(-betaUK*tblData[Days'# UK])),"")</f>
        <v>1.9190092525455278</v>
      </c>
      <c r="AW36" s="21">
        <f>IF(ISNUMBER(tblData[UK]),(tblData[[#This Row],[UK LogiP(t)]]-tblData[[#This Row],[UK]])^2,"")</f>
        <v>50.140429965535851</v>
      </c>
      <c r="AX36" s="21">
        <f>IF(ISNUMBER(tblData[Days'# UK]),tblData[[#This Row],[UK LogiP(t)]]/$AV$9,"")</f>
        <v>0.28883342151498009</v>
      </c>
      <c r="AY36" s="11">
        <f>IF(ISNUMBER(tblData[Days'# China]),betaChina/(deltaChina+betaPodeltaChina*EXP(-betaChina*tblData[Days'# China])),"")</f>
        <v>67456.314816536251</v>
      </c>
      <c r="AZ36" s="11">
        <f>IF(ISNUMBER(tblData[China]),(tblData[[#This Row],[China LogiP(t)]]-tblData[[#This Row],[China]])^2,"")</f>
        <v>9343324.3108068146</v>
      </c>
      <c r="BA36" s="11">
        <f>tblData[[#This Row],[China LogiP(t)]]/$AY$9</f>
        <v>468.66671656048743</v>
      </c>
      <c r="BB36" s="11"/>
      <c r="BC36" s="11"/>
      <c r="BD36" s="11" t="str">
        <f>IF(ISNUMBER(tblData[[#This Row],[NSW Number of Tests]]),tblData[[#This Row],[NSW Number of Tests]]-BB35,"")</f>
        <v/>
      </c>
      <c r="BE36" s="11" t="str">
        <f>IF(ISNUMBER(tblData[[#This Row],[NSW Under Investigation'']]),tblData[[#This Row],[NSW Under Investigation'']]-BC35,"")</f>
        <v/>
      </c>
      <c r="BF36" s="11"/>
      <c r="BG36" s="11" t="str">
        <f>IF(ISNUMBER(tblData[[#This Row],[NSW Test Day Number]]),betaTest/(deltaTest+betaPodeltaTest*EXP(-betaTest*tblData[[#This Row],[NSW Test Day Number]])),"")</f>
        <v/>
      </c>
      <c r="BH36" s="11" t="str">
        <f>IF(ISNUMBER(tblData[[#This Row],[NSW Number of Tests]]),(tblData[[#This Row],[NSW Number of Tests]]-tblData[[#This Row],[NSW Test Logi]])^2,"")</f>
        <v/>
      </c>
      <c r="BJ36" s="27"/>
      <c r="DE36" t="s">
        <v>486</v>
      </c>
      <c r="DG36" s="27">
        <v>43852</v>
      </c>
      <c r="DI36">
        <v>3</v>
      </c>
      <c r="DJ36" s="23">
        <v>0.26960395783553237</v>
      </c>
      <c r="DK36" s="25">
        <v>9.0234118240884196E-8</v>
      </c>
      <c r="DL36" s="22">
        <v>0.28960505152543209</v>
      </c>
      <c r="DM36" s="24">
        <v>2987827.2552718031</v>
      </c>
      <c r="DN36" s="22">
        <v>77.269010204642242</v>
      </c>
      <c r="DO36" s="37">
        <v>0.9309365644114127</v>
      </c>
      <c r="DP36" s="24">
        <v>9.0234118240884196E-5</v>
      </c>
      <c r="DQ36" s="24"/>
      <c r="DR36" s="27">
        <v>43907</v>
      </c>
      <c r="DS36" s="27" t="s">
        <v>1029</v>
      </c>
      <c r="DT36" s="26">
        <v>7786</v>
      </c>
      <c r="DU36" s="26" t="s">
        <v>1030</v>
      </c>
      <c r="DV36" s="27">
        <v>43907</v>
      </c>
      <c r="DW36" s="19">
        <v>39</v>
      </c>
      <c r="DX36" s="27" t="s">
        <v>1031</v>
      </c>
      <c r="DZ36" t="s">
        <v>1032</v>
      </c>
      <c r="EA36" s="33" t="s">
        <v>982</v>
      </c>
      <c r="EB36" s="18" t="s">
        <v>1033</v>
      </c>
      <c r="EC36" s="21">
        <v>236.49282585071069</v>
      </c>
      <c r="ED36" s="27">
        <v>43907</v>
      </c>
      <c r="EE36" s="11">
        <v>-2</v>
      </c>
      <c r="EF36" s="27">
        <v>43909</v>
      </c>
      <c r="EG36" s="11">
        <v>0</v>
      </c>
    </row>
    <row r="37" spans="2:138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49">
        <f>IF(ISNUMBER(tblData[Italy]),tblData[Italy]/$N$9,"")</f>
        <v>0.49627791563275436</v>
      </c>
      <c r="O37">
        <v>13</v>
      </c>
      <c r="P37" s="49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1">
        <f>IF(ISNUMBER(tblData[China]),tblData[China]/$V$9,"")</f>
        <v>503.25021518994208</v>
      </c>
      <c r="W37" s="26">
        <f>IF(tblData[[#This Row],[Date]]&lt;ItalyStart,"",tblData[[#This Row],[Date]]-ItalyStart)</f>
        <v>18</v>
      </c>
      <c r="X37" s="26">
        <f t="shared" si="5"/>
        <v>8</v>
      </c>
      <c r="Y37" s="26">
        <f t="shared" si="3"/>
        <v>26</v>
      </c>
      <c r="Z37" s="26" t="str">
        <f>IF(tblData[[#This Row],[Date]]&lt;StartDt2Korea,"",tblData[[#This Row],[Date]]-StartDt2Korea)</f>
        <v/>
      </c>
      <c r="AA37" s="26">
        <f>IF(tblData[[#This Row],[Date]]&lt;UKStart,"",tblData[[#This Row],[Date]]-UKStart)</f>
        <v>18</v>
      </c>
      <c r="AB37">
        <f>IF(tblData[Date]&gt;=StartDt2Au,tblData[Date]-StartDt2Au,"")</f>
        <v>23</v>
      </c>
      <c r="AC37" s="26">
        <f>IF(tblData[New South Wales]&gt;0,SUM(tblData[[#This Row],[Australian Capital Territory]:[Western Australia]]),"")</f>
        <v>15</v>
      </c>
      <c r="AD37" s="12">
        <f>IF(ISNUMBER(tblData[Au]),tblData[Au]/$AA$9,"")</f>
        <v>5.9138937076170954</v>
      </c>
      <c r="AE37" s="19">
        <f>IF(ISNUMBER(tblData[[#This Row],[Day'# Aust]]),betaAu/(deltaAu+betaPodeltaAu*EXP(-betaAu*tblData[[#This Row],[Day'# Aust]])),"")</f>
        <v>1.1723351685860892</v>
      </c>
      <c r="AF37" s="72">
        <f>IF(ISNUMBER(tblData[Day'# Aust]),tblData[Au LogiP(t)]/$AD$9,"")</f>
        <v>0.46220437178129997</v>
      </c>
      <c r="AG37" s="11">
        <f>IF(AND(tblData[Date]&gt;=StartDt2Au,ISNUMBER(tblData[NSW])),(tblData[[#This Row],[Au LogiP(t)]]-tblData[[#This Row],[Au]])^2,"")</f>
        <v>191.20431468992109</v>
      </c>
      <c r="AH37">
        <f>IF(tblData[Date]&gt;StartDt2NSW,tblData[Date]-StartDt2NSW,"")</f>
        <v>23</v>
      </c>
      <c r="AI37">
        <f t="shared" si="4"/>
        <v>4</v>
      </c>
      <c r="AJ37" s="11">
        <f>IF(tblData[Date]&gt;StartDt2NSW,betaNSW/(deltaNSW+betaPodeltaNSW*EXP(-betaNSW*tblData[[#This Row],[Day '# NSW]])),"")</f>
        <v>0.53026605532449167</v>
      </c>
      <c r="AK37" s="12">
        <f>IF(AND(ISNUMBER(tblData[NSW]),tblData[Date]&gt;StartDt2NSW),(tblData[[#This Row],[NSW LogiP(t)]]-tblData[[#This Row],[NSW]])^2,"")</f>
        <v>12.039053646833462</v>
      </c>
      <c r="AL37" s="12">
        <f>IF(AND(tblData[Date]&gt;StartDt2NSW,ISNUMBER(tblData[Day'# Aust])),tblData[NSW LogiP(t)]/$AG$9,"")</f>
        <v>0.65626987045110352</v>
      </c>
      <c r="AM37" s="11">
        <f>IF(AND(tblData[Date]&gt;StartDt2Italy,ISNUMBER(tblData[Days'# Italy])),betaItaly/(deltaItaly+betaPodeltaItaly*EXP(-betaItaly*tblData[Days'# Italy])),"")</f>
        <v>47.774673109258501</v>
      </c>
      <c r="AN37" s="11">
        <f>IF(AND(tblData[Date]&gt;StartDt2Italy,ISNUMBER(tblData[Italy])),(tblData[[#This Row],[Italy LogiP(t)]]-tblData[[#This Row],[Italy]])^2,"")</f>
        <v>2004.7713520409563</v>
      </c>
      <c r="AO37" s="44">
        <f>IF(AND(tblData[Date]&gt;StartDt2Italy,ISNUMBER(tblData[Days'# Italy])),tblData[[#This Row],[Italy LogiP(t)]]/$AM$9,"")</f>
        <v>7.9031717302330025</v>
      </c>
      <c r="AP37" s="21">
        <f>IF(ISNUMBER(tblData[[#This Row],[Days'# US]]),betaUS/(deltaUS+betaPodeltaUS*EXP(-betaUS*tblData[Days'# US])),"")</f>
        <v>0.27606399940111626</v>
      </c>
      <c r="AQ37" s="11">
        <f>IF(ISNUMBER(tblData[US]),(tblData[[#This Row],[US LogiP(t)]]-tblData[US])^2,"")</f>
        <v>161.89854734733629</v>
      </c>
      <c r="AR37" s="21">
        <f>IF(ISNUMBER(tblData[[#This Row],[Days'# US]]),tblData[[#This Row],[US LogiP(t)]]/$AP$9,"")</f>
        <v>8.385198475984958E-3</v>
      </c>
      <c r="AS37" s="21" t="str">
        <f>IF(tblData[Date]&gt;=StartDt2Korea,betaSKorea/(deltaSKorea+betaPodeltaSKorea*EXP(-betaSKorea*(tblData[Date]-StartDt2Korea))),"")</f>
        <v/>
      </c>
      <c r="AT37" s="21" t="str">
        <f>IF(AND(tblData[Date]&gt;=StartDt2Korea,ISNUMBER(tblData[SKorea])),(tblData[[#This Row],[SKorea LogiP(t)]]-tblData[[#This Row],[SKorea]])^2,"")</f>
        <v/>
      </c>
      <c r="AU37" s="21" t="str">
        <f>IF(tblData[Date]&gt;=StartDt2Korea,tblData[[#This Row],[SKorea LogiP(t)]]/$AS$9,"")</f>
        <v/>
      </c>
      <c r="AV37" s="11">
        <f>IF(ISNUMBER(tblData[Days'# UK]),betaUK/(deltaUK+betaPodeltaUK*EXP(-betaUK*tblData[Days'# UK])),"")</f>
        <v>2.4167031509976331</v>
      </c>
      <c r="AW37" s="21">
        <f>IF(ISNUMBER(tblData[UK]),(tblData[[#This Row],[UK LogiP(t)]]-tblData[[#This Row],[UK]])^2,"")</f>
        <v>43.339797402084493</v>
      </c>
      <c r="AX37" s="21">
        <f>IF(ISNUMBER(tblData[Days'# UK]),tblData[[#This Row],[UK LogiP(t)]]/$AV$9,"")</f>
        <v>0.36374219611644087</v>
      </c>
      <c r="AY37" s="11">
        <f>IF(ISNUMBER(tblData[Days'# China]),betaChina/(deltaChina+betaPodeltaChina*EXP(-betaChina*tblData[Days'# China])),"")</f>
        <v>69773.317669531985</v>
      </c>
      <c r="AZ37" s="11">
        <f>IF(ISNUMBER(tblData[China]),(tblData[[#This Row],[China LogiP(t)]]-tblData[[#This Row],[China]])^2,"")</f>
        <v>7079230.4636647059</v>
      </c>
      <c r="BA37" s="11">
        <f>tblData[[#This Row],[China LogiP(t)]]/$AY$9</f>
        <v>484.76457370445041</v>
      </c>
      <c r="BB37" s="11"/>
      <c r="BC37" s="11"/>
      <c r="BD37" s="11" t="str">
        <f>IF(ISNUMBER(tblData[[#This Row],[NSW Number of Tests]]),tblData[[#This Row],[NSW Number of Tests]]-BB36,"")</f>
        <v/>
      </c>
      <c r="BE37" s="11" t="str">
        <f>IF(ISNUMBER(tblData[[#This Row],[NSW Under Investigation'']]),tblData[[#This Row],[NSW Under Investigation'']]-BC36,"")</f>
        <v/>
      </c>
      <c r="BF37" s="11"/>
      <c r="BG37" s="11" t="str">
        <f>IF(ISNUMBER(tblData[[#This Row],[NSW Test Day Number]]),betaTest/(deltaTest+betaPodeltaTest*EXP(-betaTest*tblData[[#This Row],[NSW Test Day Number]])),"")</f>
        <v/>
      </c>
      <c r="BH37" s="11" t="str">
        <f>IF(ISNUMBER(tblData[[#This Row],[NSW Number of Tests]]),(tblData[[#This Row],[NSW Number of Tests]]-tblData[[#This Row],[NSW Test Logi]])^2,"")</f>
        <v/>
      </c>
      <c r="BJ37" s="27"/>
      <c r="DE37" t="s">
        <v>486</v>
      </c>
      <c r="DF37" s="82">
        <v>43911.866307870368</v>
      </c>
      <c r="DG37" s="27">
        <v>43852</v>
      </c>
      <c r="DH37" s="27">
        <v>43870</v>
      </c>
      <c r="DI37">
        <v>3</v>
      </c>
      <c r="DJ37" s="26">
        <v>0.34769529201458815</v>
      </c>
      <c r="DK37" s="26">
        <v>1.0000000000000751E-9</v>
      </c>
      <c r="DL37" s="26">
        <v>1.709986186409522E-2</v>
      </c>
      <c r="DM37">
        <v>347695292.01456201</v>
      </c>
      <c r="DN37" s="19">
        <v>315.73237932545749</v>
      </c>
      <c r="DO37" s="12">
        <v>20.333222265821231</v>
      </c>
      <c r="DP37" s="26">
        <v>1.0000000000000751E-6</v>
      </c>
      <c r="DQ37" s="26"/>
      <c r="DR37" s="27">
        <v>43910</v>
      </c>
      <c r="DS37" s="26" t="s">
        <v>1499</v>
      </c>
      <c r="DT37" s="26">
        <v>19100</v>
      </c>
      <c r="DU37" s="26" t="s">
        <v>1500</v>
      </c>
      <c r="DV37" s="27">
        <v>43910</v>
      </c>
      <c r="DW37">
        <v>41</v>
      </c>
      <c r="DX37" s="26" t="s">
        <v>1501</v>
      </c>
      <c r="DZ37" t="s">
        <v>1502</v>
      </c>
      <c r="EA37" t="s">
        <v>982</v>
      </c>
      <c r="EB37" t="s">
        <v>1503</v>
      </c>
      <c r="EC37">
        <v>580.14551422406544</v>
      </c>
      <c r="ED37" s="26">
        <v>43910</v>
      </c>
      <c r="EE37" s="26">
        <v>1</v>
      </c>
      <c r="EF37">
        <v>43910</v>
      </c>
      <c r="EG37">
        <v>1</v>
      </c>
    </row>
    <row r="38" spans="2:138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49">
        <f>IF(ISNUMBER(tblData[Italy]),tblData[Italy]/$N$9,"")</f>
        <v>0.49627791563275436</v>
      </c>
      <c r="O38">
        <v>13</v>
      </c>
      <c r="P38" s="49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1">
        <f>IF(ISNUMBER(tblData[China]),tblData[China]/$V$9,"")</f>
        <v>515.59629068477227</v>
      </c>
      <c r="W38" s="26">
        <f>IF(tblData[[#This Row],[Date]]&lt;ItalyStart,"",tblData[[#This Row],[Date]]-ItalyStart)</f>
        <v>19</v>
      </c>
      <c r="X38" s="26">
        <f t="shared" si="5"/>
        <v>9</v>
      </c>
      <c r="Y38" s="26">
        <f t="shared" si="3"/>
        <v>27</v>
      </c>
      <c r="Z38" s="26" t="str">
        <f>IF(tblData[[#This Row],[Date]]&lt;StartDt2Korea,"",tblData[[#This Row],[Date]]-StartDt2Korea)</f>
        <v/>
      </c>
      <c r="AA38" s="26">
        <f>IF(tblData[[#This Row],[Date]]&lt;UKStart,"",tblData[[#This Row],[Date]]-UKStart)</f>
        <v>19</v>
      </c>
      <c r="AB38">
        <f>IF(tblData[Date]&gt;=StartDt2Au,tblData[Date]-StartDt2Au,"")</f>
        <v>24</v>
      </c>
      <c r="AC38" s="26">
        <f>IF(tblData[New South Wales]&gt;0,SUM(tblData[[#This Row],[Australian Capital Territory]:[Western Australia]]),"")</f>
        <v>15</v>
      </c>
      <c r="AD38" s="12">
        <f>IF(ISNUMBER(tblData[Au]),tblData[Au]/$AA$9,"")</f>
        <v>5.9138937076170954</v>
      </c>
      <c r="AE38" s="19">
        <f>IF(ISNUMBER(tblData[[#This Row],[Day'# Aust]]),betaAu/(deltaAu+betaPodeltaAu*EXP(-betaAu*tblData[[#This Row],[Day'# Aust]])),"")</f>
        <v>1.4412156262254237</v>
      </c>
      <c r="AF38" s="72">
        <f>IF(ISNUMBER(tblData[Day'# Aust]),tblData[Au LogiP(t)]/$AD$9,"")</f>
        <v>0.56821306821693096</v>
      </c>
      <c r="AG38" s="11">
        <f>IF(AND(tblData[Date]&gt;=StartDt2Au,ISNUMBER(tblData[NSW])),(tblData[[#This Row],[Au LogiP(t)]]-tblData[[#This Row],[Au]])^2,"")</f>
        <v>183.84063369451366</v>
      </c>
      <c r="AH38">
        <f>IF(tblData[Date]&gt;StartDt2NSW,tblData[Date]-StartDt2NSW,"")</f>
        <v>24</v>
      </c>
      <c r="AI38">
        <f t="shared" si="4"/>
        <v>4</v>
      </c>
      <c r="AJ38" s="11">
        <f>IF(tblData[Date]&gt;StartDt2NSW,betaNSW/(deltaNSW+betaPodeltaNSW*EXP(-betaNSW*tblData[[#This Row],[Day '# NSW]])),"")</f>
        <v>0.65369415131484421</v>
      </c>
      <c r="AK38" s="12">
        <f>IF(AND(ISNUMBER(tblData[NSW]),tblData[Date]&gt;StartDt2NSW),(tblData[[#This Row],[NSW LogiP(t)]]-tblData[[#This Row],[NSW]])^2,"")</f>
        <v>11.197762832944482</v>
      </c>
      <c r="AL38" s="12">
        <f>IF(AND(tblData[Date]&gt;StartDt2NSW,ISNUMBER(tblData[Day'# Aust])),tblData[NSW LogiP(t)]/$AG$9,"")</f>
        <v>0.80902741499361897</v>
      </c>
      <c r="AM38" s="11">
        <f>IF(AND(tblData[Date]&gt;StartDt2Italy,ISNUMBER(tblData[Days'# Italy])),betaItaly/(deltaItaly+betaPodeltaItaly*EXP(-betaItaly*tblData[Days'# Italy])),"")</f>
        <v>61.957635617687039</v>
      </c>
      <c r="AN38" s="11">
        <f>IF(AND(tblData[Date]&gt;StartDt2Italy,ISNUMBER(tblData[Italy])),(tblData[[#This Row],[Italy LogiP(t)]]-tblData[[#This Row],[Italy]])^2,"")</f>
        <v>3476.0027976279594</v>
      </c>
      <c r="AO38" s="44">
        <f>IF(AND(tblData[Date]&gt;StartDt2Italy,ISNUMBER(tblData[Days'# Italy])),tblData[[#This Row],[Italy LogiP(t)]]/$AM$9,"")</f>
        <v>10.249402087293142</v>
      </c>
      <c r="AP38" s="21">
        <f>IF(ISNUMBER(tblData[[#This Row],[Days'# US]]),betaUS/(deltaUS+betaPodeltaUS*EXP(-betaUS*tblData[Days'# US])),"")</f>
        <v>0.39085162505719595</v>
      </c>
      <c r="AQ38" s="11">
        <f>IF(ISNUMBER(tblData[US]),(tblData[[#This Row],[US LogiP(t)]]-tblData[US])^2,"")</f>
        <v>158.99062274132274</v>
      </c>
      <c r="AR38" s="21">
        <f>IF(ISNUMBER(tblData[[#This Row],[Days'# US]]),tblData[[#This Row],[US LogiP(t)]]/$AP$9,"")</f>
        <v>1.1871770523775842E-2</v>
      </c>
      <c r="AS38" s="21" t="str">
        <f>IF(tblData[Date]&gt;=StartDt2Korea,betaSKorea/(deltaSKorea+betaPodeltaSKorea*EXP(-betaSKorea*(tblData[Date]-StartDt2Korea))),"")</f>
        <v/>
      </c>
      <c r="AT38" s="21" t="str">
        <f>IF(AND(tblData[Date]&gt;=StartDt2Korea,ISNUMBER(tblData[SKorea])),(tblData[[#This Row],[SKorea LogiP(t)]]-tblData[[#This Row],[SKorea]])^2,"")</f>
        <v/>
      </c>
      <c r="AU38" s="21" t="str">
        <f>IF(tblData[Date]&gt;=StartDt2Korea,tblData[[#This Row],[SKorea LogiP(t)]]/$AS$9,"")</f>
        <v/>
      </c>
      <c r="AV38" s="11">
        <f>IF(ISNUMBER(tblData[Days'# UK]),betaUK/(deltaUK+betaPodeltaUK*EXP(-betaUK*tblData[Days'# UK])),"")</f>
        <v>3.0434736617478086</v>
      </c>
      <c r="AW38" s="21">
        <f>IF(ISNUMBER(tblData[UK]),(tblData[[#This Row],[UK LogiP(t)]]-tblData[[#This Row],[UK]])^2,"")</f>
        <v>35.480206018292051</v>
      </c>
      <c r="AX38" s="21">
        <f>IF(ISNUMBER(tblData[Days'# UK]),tblData[[#This Row],[UK LogiP(t)]]/$AV$9,"")</f>
        <v>0.45807851621731016</v>
      </c>
      <c r="AY38" s="11">
        <f>IF(ISNUMBER(tblData[Days'# China]),betaChina/(deltaChina+betaPodeltaChina*EXP(-betaChina*tblData[Days'# China])),"")</f>
        <v>71746.789589855442</v>
      </c>
      <c r="AZ38" s="11">
        <f>IF(ISNUMBER(tblData[China]),(tblData[[#This Row],[China LogiP(t)]]-tblData[[#This Row],[China]])^2,"")</f>
        <v>6072332.9454648132</v>
      </c>
      <c r="BA38" s="11">
        <f>tblData[[#This Row],[China LogiP(t)]]/$AY$9</f>
        <v>498.47567855264447</v>
      </c>
      <c r="BB38" s="11"/>
      <c r="BC38" s="11"/>
      <c r="BD38" s="11" t="str">
        <f>IF(ISNUMBER(tblData[[#This Row],[NSW Number of Tests]]),tblData[[#This Row],[NSW Number of Tests]]-BB37,"")</f>
        <v/>
      </c>
      <c r="BE38" s="11" t="str">
        <f>IF(ISNUMBER(tblData[[#This Row],[NSW Under Investigation'']]),tblData[[#This Row],[NSW Under Investigation'']]-BC37,"")</f>
        <v/>
      </c>
      <c r="BF38" s="11"/>
      <c r="BG38" s="11" t="str">
        <f>IF(ISNUMBER(tblData[[#This Row],[NSW Test Day Number]]),betaTest/(deltaTest+betaPodeltaTest*EXP(-betaTest*tblData[[#This Row],[NSW Test Day Number]])),"")</f>
        <v/>
      </c>
      <c r="BH38" s="11" t="str">
        <f>IF(ISNUMBER(tblData[[#This Row],[NSW Number of Tests]]),(tblData[[#This Row],[NSW Number of Tests]]-tblData[[#This Row],[NSW Test Logi]])^2,"")</f>
        <v/>
      </c>
      <c r="DE38" t="s">
        <v>486</v>
      </c>
      <c r="DG38" s="27">
        <v>43852</v>
      </c>
      <c r="DI38">
        <v>3</v>
      </c>
      <c r="DJ38" s="26">
        <v>0.26960395737241599</v>
      </c>
      <c r="DK38" s="26">
        <v>2.2999968774326208E-6</v>
      </c>
      <c r="DL38" s="26">
        <v>0.28960505147680476</v>
      </c>
      <c r="DM38" s="26">
        <v>117219.27104238607</v>
      </c>
      <c r="DN38" s="19">
        <v>681.80877800845474</v>
      </c>
      <c r="DO38" s="12">
        <v>0.9309343532058354</v>
      </c>
      <c r="DP38" s="26">
        <v>2.2999968774326208E-3</v>
      </c>
      <c r="DQ38" s="26"/>
      <c r="DR38" s="27">
        <v>43910</v>
      </c>
      <c r="DS38" s="26" t="s">
        <v>1320</v>
      </c>
      <c r="DT38">
        <v>14366</v>
      </c>
      <c r="DU38" t="s">
        <v>1321</v>
      </c>
      <c r="DV38" s="27">
        <v>43909</v>
      </c>
      <c r="DW38" s="26">
        <v>41</v>
      </c>
      <c r="DX38" s="26" t="s">
        <v>1322</v>
      </c>
      <c r="DZ38" t="s">
        <v>1323</v>
      </c>
      <c r="EA38" t="s">
        <v>982</v>
      </c>
      <c r="EB38" s="26" t="s">
        <v>1324</v>
      </c>
      <c r="EC38" s="26">
        <v>436.35447420643584</v>
      </c>
      <c r="ED38" s="26">
        <v>43910</v>
      </c>
      <c r="EE38" s="26">
        <v>0</v>
      </c>
      <c r="EF38" s="26">
        <v>43909</v>
      </c>
      <c r="EG38" s="26">
        <v>1</v>
      </c>
    </row>
    <row r="39" spans="2:138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49">
        <f>IF(ISNUMBER(tblData[Italy]),tblData[Italy]/$N$9,"")</f>
        <v>0.49627791563275436</v>
      </c>
      <c r="O39">
        <v>13</v>
      </c>
      <c r="P39" s="49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1">
        <f>IF(ISNUMBER(tblData[China]),tblData[China]/$V$9,"")</f>
        <v>518.43095517655092</v>
      </c>
      <c r="W39" s="26">
        <f>IF(tblData[[#This Row],[Date]]&lt;ItalyStart,"",tblData[[#This Row],[Date]]-ItalyStart)</f>
        <v>20</v>
      </c>
      <c r="X39" s="26">
        <f t="shared" si="5"/>
        <v>10</v>
      </c>
      <c r="Y39" s="26">
        <f t="shared" si="3"/>
        <v>28</v>
      </c>
      <c r="Z39" s="26">
        <f>IF(tblData[[#This Row],[Date]]&lt;StartDt2Korea,"",tblData[[#This Row],[Date]]-StartDt2Korea)</f>
        <v>0</v>
      </c>
      <c r="AA39" s="26">
        <f>IF(tblData[[#This Row],[Date]]&lt;UKStart,"",tblData[[#This Row],[Date]]-UKStart)</f>
        <v>20</v>
      </c>
      <c r="AB39">
        <f>IF(tblData[Date]&gt;=StartDt2Au,tblData[Date]-StartDt2Au,"")</f>
        <v>25</v>
      </c>
      <c r="AC39" s="26">
        <f>IF(tblData[New South Wales]&gt;0,SUM(tblData[[#This Row],[Australian Capital Territory]:[Western Australia]]),"")</f>
        <v>15</v>
      </c>
      <c r="AD39" s="12">
        <f>IF(ISNUMBER(tblData[Au]),tblData[Au]/$AA$9,"")</f>
        <v>5.9138937076170954</v>
      </c>
      <c r="AE39" s="19">
        <f>IF(ISNUMBER(tblData[[#This Row],[Day'# Aust]]),betaAu/(deltaAu+betaPodeltaAu*EXP(-betaAu*tblData[[#This Row],[Day'# Aust]])),"")</f>
        <v>1.7717650517651224</v>
      </c>
      <c r="AF39" s="72">
        <f>IF(ISNUMBER(tblData[Day'# Aust]),tblData[Au LogiP(t)]/$AD$9,"")</f>
        <v>0.69853534606730894</v>
      </c>
      <c r="AG39" s="11">
        <f>IF(AND(tblData[Date]&gt;=StartDt2Au,ISNUMBER(tblData[NSW])),(tblData[[#This Row],[Au LogiP(t)]]-tblData[[#This Row],[Au]])^2,"")</f>
        <v>174.9861998457026</v>
      </c>
      <c r="AH39">
        <f>IF(tblData[Date]&gt;StartDt2NSW,tblData[Date]-StartDt2NSW,"")</f>
        <v>25</v>
      </c>
      <c r="AI39">
        <f t="shared" si="4"/>
        <v>4</v>
      </c>
      <c r="AJ39" s="11">
        <f>IF(tblData[Date]&gt;StartDt2NSW,betaNSW/(deltaNSW+betaPodeltaNSW*EXP(-betaNSW*tblData[[#This Row],[Day '# NSW]])),"")</f>
        <v>0.80584365647188749</v>
      </c>
      <c r="AK39" s="12">
        <f>IF(AND(ISNUMBER(tblData[NSW]),tblData[Date]&gt;StartDt2NSW),(tblData[[#This Row],[NSW LogiP(t)]]-tblData[[#This Row],[NSW]])^2,"")</f>
        <v>10.202634746900882</v>
      </c>
      <c r="AL39" s="12">
        <f>IF(AND(tblData[Date]&gt;StartDt2NSW,ISNUMBER(tblData[Day'# Aust])),tblData[NSW LogiP(t)]/$AG$9,"")</f>
        <v>0.99733125800976163</v>
      </c>
      <c r="AM39" s="11">
        <f>IF(AND(tblData[Date]&gt;StartDt2Italy,ISNUMBER(tblData[Days'# Italy])),betaItaly/(deltaItaly+betaPodeltaItaly*EXP(-betaItaly*tblData[Days'# Italy])),"")</f>
        <v>80.345011104248798</v>
      </c>
      <c r="AN39" s="11">
        <f>IF(AND(tblData[Date]&gt;StartDt2Italy,ISNUMBER(tblData[Italy])),(tblData[[#This Row],[Italy LogiP(t)]]-tblData[[#This Row],[Italy]])^2,"")</f>
        <v>5982.25074271637</v>
      </c>
      <c r="AO39" s="44">
        <f>IF(AND(tblData[Date]&gt;StartDt2Italy,ISNUMBER(tblData[Days'# Italy])),tblData[[#This Row],[Italy LogiP(t)]]/$AM$9,"")</f>
        <v>13.291151547435698</v>
      </c>
      <c r="AP39" s="21">
        <f>IF(ISNUMBER(tblData[[#This Row],[Days'# US]]),betaUS/(deltaUS+betaPodeltaUS*EXP(-betaUS*tblData[Days'# US])),"")</f>
        <v>0.55336803465965689</v>
      </c>
      <c r="AQ39" s="11">
        <f>IF(ISNUMBER(tblData[US]),(tblData[[#This Row],[US LogiP(t)]]-tblData[US])^2,"")</f>
        <v>154.918647280632</v>
      </c>
      <c r="AR39" s="21">
        <f>IF(ISNUMBER(tblData[[#This Row],[Days'# US]]),tblData[[#This Row],[US LogiP(t)]]/$AP$9,"")</f>
        <v>1.6808061938365818E-2</v>
      </c>
      <c r="AS39" s="21">
        <f>IF(tblData[Date]&gt;=StartDt2Korea,betaSKorea/(deltaSKorea+betaPodeltaSKorea*EXP(-betaSKorea*(tblData[Date]-StartDt2Korea))),"")</f>
        <v>174.6164952155498</v>
      </c>
      <c r="AT39" s="21">
        <f>IF(AND(tblData[Date]&gt;=StartDt2Korea,ISNUMBER(tblData[SKorea])),(tblData[[#This Row],[SKorea LogiP(t)]]-tblData[[#This Row],[SKorea]])^2,"")</f>
        <v>20625.697697998039</v>
      </c>
      <c r="AU39" s="21">
        <f>IF(tblData[Date]&gt;=StartDt2Korea,tblData[[#This Row],[SKorea LogiP(t)]]/$AS$9,"")</f>
        <v>33.97208078123537</v>
      </c>
      <c r="AV39" s="11">
        <f>IF(ISNUMBER(tblData[Days'# UK]),betaUK/(deltaUK+betaPodeltaUK*EXP(-betaUK*tblData[Days'# UK])),"")</f>
        <v>3.8327967253236546</v>
      </c>
      <c r="AW39" s="21">
        <f>IF(ISNUMBER(tblData[UK]),(tblData[[#This Row],[UK LogiP(t)]]-tblData[[#This Row],[UK]])^2,"")</f>
        <v>26.699989681825947</v>
      </c>
      <c r="AX39" s="21">
        <f>IF(ISNUMBER(tblData[Days'# UK]),tblData[[#This Row],[UK LogiP(t)]]/$AV$9,"")</f>
        <v>0.57688090387171198</v>
      </c>
      <c r="AY39" s="11">
        <f>IF(ISNUMBER(tblData[Days'# China]),betaChina/(deltaChina+betaPodeltaChina*EXP(-betaChina*tblData[Days'# China])),"")</f>
        <v>73409.506853315514</v>
      </c>
      <c r="AZ39" s="11">
        <f>IF(ISNUMBER(tblData[China]),(tblData[[#This Row],[China LogiP(t)]]-tblData[[#This Row],[China]])^2,"")</f>
        <v>1462873.6718767406</v>
      </c>
      <c r="BA39" s="11">
        <f>tblData[[#This Row],[China LogiP(t)]]/$AY$9</f>
        <v>510.02775106881523</v>
      </c>
      <c r="BB39" s="11"/>
      <c r="BC39" s="11"/>
      <c r="BD39" s="11" t="str">
        <f>IF(ISNUMBER(tblData[[#This Row],[NSW Number of Tests]]),tblData[[#This Row],[NSW Number of Tests]]-BB38,"")</f>
        <v/>
      </c>
      <c r="BE39" s="11" t="str">
        <f>IF(ISNUMBER(tblData[[#This Row],[NSW Under Investigation'']]),tblData[[#This Row],[NSW Under Investigation'']]-BC38,"")</f>
        <v/>
      </c>
      <c r="BF39" s="11"/>
      <c r="BG39" s="11" t="str">
        <f>IF(ISNUMBER(tblData[[#This Row],[NSW Test Day Number]]),betaTest/(deltaTest+betaPodeltaTest*EXP(-betaTest*tblData[[#This Row],[NSW Test Day Number]])),"")</f>
        <v/>
      </c>
      <c r="BH39" s="11" t="str">
        <f>IF(ISNUMBER(tblData[[#This Row],[NSW Number of Tests]]),(tblData[[#This Row],[NSW Number of Tests]]-tblData[[#This Row],[NSW Test Logi]])^2,"")</f>
        <v/>
      </c>
      <c r="DE39" t="s">
        <v>225</v>
      </c>
      <c r="DG39" s="27">
        <v>43852</v>
      </c>
      <c r="DI39">
        <v>4</v>
      </c>
      <c r="DJ39" s="23">
        <v>0.2221429979133962</v>
      </c>
      <c r="DK39" s="25">
        <v>2.745882625476671E-6</v>
      </c>
      <c r="DL39" s="22">
        <v>1537.6493038446686</v>
      </c>
      <c r="DM39" s="24">
        <v>80900.398237099929</v>
      </c>
      <c r="DN39" s="22">
        <v>2208.2653303765946</v>
      </c>
      <c r="DO39" s="37">
        <v>1.4172333890505041E-4</v>
      </c>
      <c r="DP39" s="24">
        <v>2.7458826254766712E-3</v>
      </c>
      <c r="DQ39" s="24"/>
      <c r="DR39" s="27">
        <v>43905</v>
      </c>
      <c r="DS39" s="27" t="s">
        <v>767</v>
      </c>
      <c r="DT39" s="19"/>
      <c r="DU39" s="19"/>
      <c r="DX39" s="18"/>
      <c r="EA39" s="18"/>
      <c r="ED39" s="26"/>
      <c r="EE39" s="26"/>
    </row>
    <row r="40" spans="2:138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49">
        <f>IF(ISNUMBER(tblData[Italy]),tblData[Italy]/$N$9,"")</f>
        <v>0.49627791563275436</v>
      </c>
      <c r="O40">
        <v>13</v>
      </c>
      <c r="P40" s="49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1">
        <f>IF(ISNUMBER(tblData[China]),tblData[China]/$V$9,"")</f>
        <v>521.61300502271422</v>
      </c>
      <c r="W40" s="26">
        <f>IF(tblData[[#This Row],[Date]]&lt;ItalyStart,"",tblData[[#This Row],[Date]]-ItalyStart)</f>
        <v>21</v>
      </c>
      <c r="X40" s="26">
        <f t="shared" si="5"/>
        <v>11</v>
      </c>
      <c r="Y40" s="26">
        <f t="shared" si="3"/>
        <v>29</v>
      </c>
      <c r="Z40" s="26">
        <f>IF(tblData[[#This Row],[Date]]&lt;StartDt2Korea,"",tblData[[#This Row],[Date]]-StartDt2Korea)</f>
        <v>1</v>
      </c>
      <c r="AA40" s="26">
        <f>IF(tblData[[#This Row],[Date]]&lt;UKStart,"",tblData[[#This Row],[Date]]-UKStart)</f>
        <v>21</v>
      </c>
      <c r="AB40">
        <f>IF(tblData[Date]&gt;=StartDt2Au,tblData[Date]-StartDt2Au,"")</f>
        <v>26</v>
      </c>
      <c r="AC40" s="26">
        <f>IF(tblData[New South Wales]&gt;0,SUM(tblData[[#This Row],[Australian Capital Territory]:[Western Australia]]),"")</f>
        <v>15</v>
      </c>
      <c r="AD40" s="12">
        <f>IF(ISNUMBER(tblData[Au]),tblData[Au]/$AA$9,"")</f>
        <v>5.9138937076170954</v>
      </c>
      <c r="AE40" s="19">
        <f>IF(ISNUMBER(tblData[[#This Row],[Day'# Aust]]),betaAu/(deltaAu+betaPodeltaAu*EXP(-betaAu*tblData[[#This Row],[Day'# Aust]])),"")</f>
        <v>2.1781275059619123</v>
      </c>
      <c r="AF40" s="72">
        <f>IF(ISNUMBER(tblData[Day'# Aust]),tblData[Au LogiP(t)]/$AD$9,"")</f>
        <v>0.85874763679305799</v>
      </c>
      <c r="AG40" s="11">
        <f>IF(AND(tblData[Date]&gt;=StartDt2Au,ISNUMBER(tblData[NSW])),(tblData[[#This Row],[Au LogiP(t)]]-tblData[[#This Row],[Au]])^2,"")</f>
        <v>164.40041425337049</v>
      </c>
      <c r="AH40">
        <f>IF(tblData[Date]&gt;StartDt2NSW,tblData[Date]-StartDt2NSW,"")</f>
        <v>26</v>
      </c>
      <c r="AI40">
        <f t="shared" si="4"/>
        <v>4</v>
      </c>
      <c r="AJ40" s="11">
        <f>IF(tblData[Date]&gt;StartDt2NSW,betaNSW/(deltaNSW+betaPodeltaNSW*EXP(-betaNSW*tblData[[#This Row],[Day '# NSW]])),"")</f>
        <v>0.99339355469557611</v>
      </c>
      <c r="AK40" s="12">
        <f>IF(AND(ISNUMBER(tblData[NSW]),tblData[Date]&gt;StartDt2NSW),(tblData[[#This Row],[NSW LogiP(t)]]-tblData[[#This Row],[NSW]])^2,"")</f>
        <v>9.0396823169461058</v>
      </c>
      <c r="AL40" s="12">
        <f>IF(AND(tblData[Date]&gt;StartDt2NSW,ISNUMBER(tblData[Day'# Aust])),tblData[NSW LogiP(t)]/$AG$9,"")</f>
        <v>1.2294474686826435</v>
      </c>
      <c r="AM40" s="11">
        <f>IF(AND(tblData[Date]&gt;StartDt2Italy,ISNUMBER(tblData[Days'# Italy])),betaItaly/(deltaItaly+betaPodeltaItaly*EXP(-betaItaly*tblData[Days'# Italy])),"")</f>
        <v>104.17899710981926</v>
      </c>
      <c r="AN40" s="11">
        <f>IF(AND(tblData[Date]&gt;StartDt2Italy,ISNUMBER(tblData[Italy])),(tblData[[#This Row],[Italy LogiP(t)]]-tblData[[#This Row],[Italy]])^2,"")</f>
        <v>10237.189456148815</v>
      </c>
      <c r="AO40" s="44">
        <f>IF(AND(tblData[Date]&gt;StartDt2Italy,ISNUMBER(tblData[Days'# Italy])),tblData[[#This Row],[Italy LogiP(t)]]/$AM$9,"")</f>
        <v>17.233911846123949</v>
      </c>
      <c r="AP40" s="21">
        <f>IF(ISNUMBER(tblData[[#This Row],[Days'# US]]),betaUS/(deltaUS+betaPodeltaUS*EXP(-betaUS*tblData[Days'# US])),"")</f>
        <v>0.78345889358594223</v>
      </c>
      <c r="AQ40" s="11">
        <f>IF(ISNUMBER(tblData[US]),(tblData[[#This Row],[US LogiP(t)]]-tblData[US])^2,"")</f>
        <v>149.24387660470441</v>
      </c>
      <c r="AR40" s="21">
        <f>IF(ISNUMBER(tblData[[#This Row],[Days'# US]]),tblData[[#This Row],[US LogiP(t)]]/$AP$9,"")</f>
        <v>2.3796867156692873E-2</v>
      </c>
      <c r="AS40" s="21">
        <f>IF(tblData[Date]&gt;=StartDt2Korea,betaSKorea/(deltaSKorea+betaPodeltaSKorea*EXP(-betaSKorea*(tblData[Date]-StartDt2Korea))),"")</f>
        <v>239.89612627878844</v>
      </c>
      <c r="AT40" s="21">
        <f>IF(AND(tblData[Date]&gt;=StartDt2Korea,ISNUMBER(tblData[SKorea])),(tblData[[#This Row],[SKorea LogiP(t)]]-tblData[[#This Row],[SKorea]])^2,"")</f>
        <v>18467.757137580415</v>
      </c>
      <c r="AU40" s="21">
        <f>IF(tblData[Date]&gt;=StartDt2Korea,tblData[[#This Row],[SKorea LogiP(t)]]/$AS$9,"")</f>
        <v>46.672398108713708</v>
      </c>
      <c r="AV40" s="11">
        <f>IF(ISNUMBER(tblData[Days'# UK]),betaUK/(deltaUK+betaPodeltaUK*EXP(-betaUK*tblData[Days'# UK])),"")</f>
        <v>4.8268302463882806</v>
      </c>
      <c r="AW40" s="21">
        <f>IF(ISNUMBER(tblData[UK]),(tblData[[#This Row],[UK LogiP(t)]]-tblData[[#This Row],[UK]])^2,"")</f>
        <v>17.4153457924597</v>
      </c>
      <c r="AX40" s="21">
        <f>IF(ISNUMBER(tblData[Days'# UK]),tblData[[#This Row],[UK LogiP(t)]]/$AV$9,"")</f>
        <v>0.72649461866169185</v>
      </c>
      <c r="AY40" s="11">
        <f>IF(ISNUMBER(tblData[Days'# China]),betaChina/(deltaChina+betaPodeltaChina*EXP(-betaChina*tblData[Days'# China])),"")</f>
        <v>74797.630964714743</v>
      </c>
      <c r="AZ40" s="11">
        <f>IF(ISNUMBER(tblData[China]),(tblData[[#This Row],[China LogiP(t)]]-tblData[[#This Row],[China]])^2,"")</f>
        <v>78047.057876215316</v>
      </c>
      <c r="BA40" s="11">
        <f>tblData[[#This Row],[China LogiP(t)]]/$AY$9</f>
        <v>519.67203079618093</v>
      </c>
      <c r="BB40" s="11"/>
      <c r="BC40" s="11"/>
      <c r="BD40" s="11" t="str">
        <f>IF(ISNUMBER(tblData[[#This Row],[NSW Number of Tests]]),tblData[[#This Row],[NSW Number of Tests]]-BB39,"")</f>
        <v/>
      </c>
      <c r="BE40" s="11" t="str">
        <f>IF(ISNUMBER(tblData[[#This Row],[NSW Under Investigation'']]),tblData[[#This Row],[NSW Under Investigation'']]-BC39,"")</f>
        <v/>
      </c>
      <c r="BF40" s="11"/>
      <c r="BG40" s="11" t="str">
        <f>IF(ISNUMBER(tblData[[#This Row],[NSW Test Day Number]]),betaTest/(deltaTest+betaPodeltaTest*EXP(-betaTest*tblData[[#This Row],[NSW Test Day Number]])),"")</f>
        <v/>
      </c>
      <c r="BH40" s="11" t="str">
        <f>IF(ISNUMBER(tblData[[#This Row],[NSW Number of Tests]]),(tblData[[#This Row],[NSW Number of Tests]]-tblData[[#This Row],[NSW Test Logi]])^2,"")</f>
        <v/>
      </c>
      <c r="DE40" t="s">
        <v>225</v>
      </c>
      <c r="DG40" s="27">
        <v>43852</v>
      </c>
      <c r="DI40">
        <v>4</v>
      </c>
      <c r="DJ40" s="23">
        <v>0.2221429979133962</v>
      </c>
      <c r="DK40" s="25">
        <v>2.745543785173982E-6</v>
      </c>
      <c r="DL40" s="22">
        <v>1537.6493038446686</v>
      </c>
      <c r="DM40">
        <v>80910.382530766758</v>
      </c>
      <c r="DN40" s="19">
        <v>2167.9126784143218</v>
      </c>
      <c r="DO40" s="37">
        <v>1.4172367774535312E-4</v>
      </c>
      <c r="DP40" s="24">
        <v>2.7455437851739819E-3</v>
      </c>
      <c r="DQ40" s="12"/>
      <c r="DR40" s="27">
        <v>43906</v>
      </c>
      <c r="DS40" s="27" t="s">
        <v>767</v>
      </c>
      <c r="DT40" s="19">
        <v>81033</v>
      </c>
      <c r="DU40" s="19" t="s">
        <v>978</v>
      </c>
      <c r="DV40" s="27">
        <v>43906</v>
      </c>
      <c r="DW40">
        <v>55</v>
      </c>
      <c r="DX40" s="18" t="s">
        <v>979</v>
      </c>
      <c r="DZ40" t="s">
        <v>980</v>
      </c>
      <c r="ED40" s="26"/>
      <c r="EE40" s="26"/>
    </row>
    <row r="41" spans="2:138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49">
        <f>IF(ISNUMBER(tblData[Italy]),tblData[Italy]/$N$9,"")</f>
        <v>3.3085194375516958</v>
      </c>
      <c r="O41">
        <v>15</v>
      </c>
      <c r="P41" s="49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1">
        <f>IF(ISNUMBER(tblData[China]),tblData[China]/$V$9,"")</f>
        <v>524.89927047519291</v>
      </c>
      <c r="W41" s="26">
        <f>IF(tblData[[#This Row],[Date]]&lt;ItalyStart,"",tblData[[#This Row],[Date]]-ItalyStart)</f>
        <v>22</v>
      </c>
      <c r="X41" s="26">
        <f t="shared" si="5"/>
        <v>12</v>
      </c>
      <c r="Y41" s="26">
        <f t="shared" si="3"/>
        <v>30</v>
      </c>
      <c r="Z41" s="26">
        <f>IF(tblData[[#This Row],[Date]]&lt;StartDt2Korea,"",tblData[[#This Row],[Date]]-StartDt2Korea)</f>
        <v>2</v>
      </c>
      <c r="AA41" s="26">
        <f>IF(tblData[[#This Row],[Date]]&lt;UKStart,"",tblData[[#This Row],[Date]]-UKStart)</f>
        <v>22</v>
      </c>
      <c r="AB41">
        <f>IF(tblData[Date]&gt;=StartDt2Au,tblData[Date]-StartDt2Au,"")</f>
        <v>27</v>
      </c>
      <c r="AC41" s="26">
        <f>IF(tblData[New South Wales]&gt;0,SUM(tblData[[#This Row],[Australian Capital Territory]:[Western Australia]]),"")</f>
        <v>15</v>
      </c>
      <c r="AD41" s="12">
        <f>IF(ISNUMBER(tblData[Au]),tblData[Au]/$AA$9,"")</f>
        <v>5.9138937076170954</v>
      </c>
      <c r="AE41" s="19">
        <f>IF(ISNUMBER(tblData[[#This Row],[Day'# Aust]]),betaAu/(deltaAu+betaPodeltaAu*EXP(-betaAu*tblData[[#This Row],[Day'# Aust]])),"")</f>
        <v>2.6776910546689301</v>
      </c>
      <c r="AF41" s="72">
        <f>IF(ISNUMBER(tblData[Day'# Aust]),tblData[Au LogiP(t)]/$AD$9,"")</f>
        <v>1.055705351943278</v>
      </c>
      <c r="AG41" s="11">
        <f>IF(AND(tblData[Date]&gt;=StartDt2Au,ISNUMBER(tblData[NSW])),(tblData[[#This Row],[Au LogiP(t)]]-tblData[[#This Row],[Au]])^2,"")</f>
        <v>151.8392977441861</v>
      </c>
      <c r="AH41">
        <f>IF(tblData[Date]&gt;StartDt2NSW,tblData[Date]-StartDt2NSW,"")</f>
        <v>27</v>
      </c>
      <c r="AI41">
        <f t="shared" si="4"/>
        <v>4</v>
      </c>
      <c r="AJ41" s="11">
        <f>IF(tblData[Date]&gt;StartDt2NSW,betaNSW/(deltaNSW+betaPodeltaNSW*EXP(-betaNSW*tblData[[#This Row],[Day '# NSW]])),"")</f>
        <v>1.2245736913528042</v>
      </c>
      <c r="AK41" s="12">
        <f>IF(AND(ISNUMBER(tblData[NSW]),tblData[Date]&gt;StartDt2NSW),(tblData[[#This Row],[NSW LogiP(t)]]-tblData[[#This Row],[NSW]])^2,"")</f>
        <v>7.7029911947309992</v>
      </c>
      <c r="AL41" s="12">
        <f>IF(AND(tblData[Date]&gt;StartDt2NSW,ISNUMBER(tblData[Day'# Aust])),tblData[NSW LogiP(t)]/$AG$9,"")</f>
        <v>1.5155614991990152</v>
      </c>
      <c r="AM41" s="11">
        <f>IF(AND(tblData[Date]&gt;StartDt2Italy,ISNUMBER(tblData[Days'# Italy])),betaItaly/(deltaItaly+betaPodeltaItaly*EXP(-betaItaly*tblData[Days'# Italy])),"")</f>
        <v>135.06596620932896</v>
      </c>
      <c r="AN41" s="11">
        <f>IF(AND(tblData[Date]&gt;StartDt2Italy,ISNUMBER(tblData[Italy])),(tblData[[#This Row],[Italy LogiP(t)]]-tblData[[#This Row],[Italy]])^2,"")</f>
        <v>13240.176579686435</v>
      </c>
      <c r="AO41" s="44">
        <f>IF(AND(tblData[Date]&gt;StartDt2Italy,ISNUMBER(tblData[Days'# Italy])),tblData[[#This Row],[Italy LogiP(t)]]/$AM$9,"")</f>
        <v>22.343418727763268</v>
      </c>
      <c r="AP41" s="21">
        <f>IF(ISNUMBER(tblData[[#This Row],[Days'# US]]),betaUS/(deltaUS+betaPodeltaUS*EXP(-betaUS*tblData[Days'# US])),"")</f>
        <v>1.1092217101906321</v>
      </c>
      <c r="AQ41" s="11">
        <f>IF(ISNUMBER(tblData[US]),(tblData[[#This Row],[US LogiP(t)]]-tblData[US])^2,"")</f>
        <v>192.95372149663928</v>
      </c>
      <c r="AR41" s="21">
        <f>IF(ISNUMBER(tblData[[#This Row],[Days'# US]]),tblData[[#This Row],[US LogiP(t)]]/$AP$9,"")</f>
        <v>3.3691623007698512E-2</v>
      </c>
      <c r="AS41" s="21">
        <f>IF(tblData[Date]&gt;=StartDt2Korea,betaSKorea/(deltaSKorea+betaPodeltaSKorea*EXP(-betaSKorea*(tblData[Date]-StartDt2Korea))),"")</f>
        <v>328.59568679309189</v>
      </c>
      <c r="AT41" s="21">
        <f>IF(AND(tblData[Date]&gt;=StartDt2Korea,ISNUMBER(tblData[SKorea])),(tblData[[#This Row],[SKorea LogiP(t)]]-tblData[[#This Row],[SKorea]])^2,"")</f>
        <v>15524.085167442252</v>
      </c>
      <c r="AU41" s="21">
        <f>IF(tblData[Date]&gt;=StartDt2Korea,tblData[[#This Row],[SKorea LogiP(t)]]/$AS$9,"")</f>
        <v>63.929121944181304</v>
      </c>
      <c r="AV41" s="11">
        <f>IF(ISNUMBER(tblData[Days'# UK]),betaUK/(deltaUK+betaPodeltaUK*EXP(-betaUK*tblData[Days'# UK])),"")</f>
        <v>6.078665755339328</v>
      </c>
      <c r="AW41" s="21">
        <f>IF(ISNUMBER(tblData[UK]),(tblData[[#This Row],[UK LogiP(t)]]-tblData[[#This Row],[UK]])^2,"")</f>
        <v>8.534193769027139</v>
      </c>
      <c r="AX41" s="21">
        <f>IF(ISNUMBER(tblData[Days'# UK]),tblData[[#This Row],[UK LogiP(t)]]/$AV$9,"")</f>
        <v>0.91491055920218656</v>
      </c>
      <c r="AY41" s="11">
        <f>IF(ISNUMBER(tblData[Days'# China]),betaChina/(deltaChina+betaPodeltaChina*EXP(-betaChina*tblData[Days'# China])),"")</f>
        <v>75947.676415689974</v>
      </c>
      <c r="AZ41" s="11">
        <f>IF(ISNUMBER(tblData[China]),(tblData[[#This Row],[China LogiP(t)]]-tblData[[#This Row],[China]])^2,"")</f>
        <v>158146.53159602461</v>
      </c>
      <c r="BA41" s="11">
        <f>tblData[[#This Row],[China LogiP(t)]]/$AY$9</f>
        <v>527.6622097270905</v>
      </c>
      <c r="BB41" s="11"/>
      <c r="BC41" s="11"/>
      <c r="BD41" s="11" t="str">
        <f>IF(ISNUMBER(tblData[[#This Row],[NSW Number of Tests]]),tblData[[#This Row],[NSW Number of Tests]]-BB40,"")</f>
        <v/>
      </c>
      <c r="BE41" s="11" t="str">
        <f>IF(ISNUMBER(tblData[[#This Row],[NSW Under Investigation'']]),tblData[[#This Row],[NSW Under Investigation'']]-BC40,"")</f>
        <v/>
      </c>
      <c r="BF41" s="11"/>
      <c r="BG41" s="11" t="str">
        <f>IF(ISNUMBER(tblData[[#This Row],[NSW Test Day Number]]),betaTest/(deltaTest+betaPodeltaTest*EXP(-betaTest*tblData[[#This Row],[NSW Test Day Number]])),"")</f>
        <v/>
      </c>
      <c r="BH41" s="11" t="str">
        <f>IF(ISNUMBER(tblData[[#This Row],[NSW Number of Tests]]),(tblData[[#This Row],[NSW Number of Tests]]-tblData[[#This Row],[NSW Test Logi]])^2,"")</f>
        <v/>
      </c>
      <c r="DE41" t="s">
        <v>225</v>
      </c>
      <c r="DG41" s="27">
        <v>43852</v>
      </c>
      <c r="DI41">
        <v>4</v>
      </c>
      <c r="DJ41" s="23">
        <v>0.2221429979133962</v>
      </c>
      <c r="DK41" s="25">
        <v>2.7453499609305866E-6</v>
      </c>
      <c r="DL41" s="22">
        <v>1537.6493038446686</v>
      </c>
      <c r="DM41">
        <v>80916.09487851843</v>
      </c>
      <c r="DN41" s="19">
        <v>2148.5827606526632</v>
      </c>
      <c r="DO41" s="37">
        <v>1.4172387156959651E-4</v>
      </c>
      <c r="DP41" s="24">
        <v>2.7453499609305866E-3</v>
      </c>
      <c r="DQ41" s="12"/>
      <c r="DR41" s="27">
        <v>43907</v>
      </c>
      <c r="DS41" s="27" t="s">
        <v>767</v>
      </c>
      <c r="DT41" s="19">
        <v>81058</v>
      </c>
      <c r="DU41" s="19" t="s">
        <v>978</v>
      </c>
      <c r="DV41" s="27">
        <v>43907</v>
      </c>
      <c r="DW41">
        <v>56</v>
      </c>
      <c r="DX41" s="18" t="s">
        <v>979</v>
      </c>
      <c r="DZ41" t="s">
        <v>980</v>
      </c>
      <c r="EB41" t="s">
        <v>1018</v>
      </c>
      <c r="ED41" s="26"/>
      <c r="EE41" s="26"/>
    </row>
    <row r="42" spans="2:138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49">
        <f>IF(ISNUMBER(tblData[Italy]),tblData[Italy]/$N$9,"")</f>
        <v>10.256410256410257</v>
      </c>
      <c r="O42">
        <v>15</v>
      </c>
      <c r="P42" s="49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1">
        <f>IF(ISNUMBER(tblData[China]),tblData[China]/$V$9,"")</f>
        <v>534.98039345943528</v>
      </c>
      <c r="W42" s="26">
        <f>IF(tblData[[#This Row],[Date]]&lt;ItalyStart,"",tblData[[#This Row],[Date]]-ItalyStart)</f>
        <v>23</v>
      </c>
      <c r="X42" s="26">
        <f t="shared" si="5"/>
        <v>13</v>
      </c>
      <c r="Y42" s="26">
        <f t="shared" si="3"/>
        <v>31</v>
      </c>
      <c r="Z42" s="26">
        <f>IF(tblData[[#This Row],[Date]]&lt;StartDt2Korea,"",tblData[[#This Row],[Date]]-StartDt2Korea)</f>
        <v>3</v>
      </c>
      <c r="AA42" s="26">
        <f>IF(tblData[[#This Row],[Date]]&lt;UKStart,"",tblData[[#This Row],[Date]]-UKStart)</f>
        <v>23</v>
      </c>
      <c r="AB42">
        <f>IF(tblData[Date]&gt;=StartDt2Au,tblData[Date]-StartDt2Au,"")</f>
        <v>28</v>
      </c>
      <c r="AC42" s="26">
        <f>IF(tblData[New South Wales]&gt;0,SUM(tblData[[#This Row],[Australian Capital Territory]:[Western Australia]]),"")</f>
        <v>15</v>
      </c>
      <c r="AD42" s="12">
        <f>IF(ISNUMBER(tblData[Au]),tblData[Au]/$AA$9,"")</f>
        <v>5.9138937076170954</v>
      </c>
      <c r="AE42" s="19">
        <f>IF(ISNUMBER(tblData[[#This Row],[Day'# Aust]]),betaAu/(deltaAu+betaPodeltaAu*EXP(-betaAu*tblData[[#This Row],[Day'# Aust]])),"")</f>
        <v>3.2918317961872638</v>
      </c>
      <c r="AF42" s="72">
        <f>IF(ISNUMBER(tblData[Day'# Aust]),tblData[Au LogiP(t)]/$AD$9,"")</f>
        <v>1.2978362230670493</v>
      </c>
      <c r="AG42" s="11">
        <f>IF(AND(tblData[Date]&gt;=StartDt2Au,ISNUMBER(tblData[NSW])),(tblData[[#This Row],[Au LogiP(t)]]-tblData[[#This Row],[Au]])^2,"")</f>
        <v>137.08120268877155</v>
      </c>
      <c r="AH42">
        <f>IF(tblData[Date]&gt;StartDt2NSW,tblData[Date]-StartDt2NSW,"")</f>
        <v>28</v>
      </c>
      <c r="AI42">
        <f t="shared" si="4"/>
        <v>4</v>
      </c>
      <c r="AJ42" s="11">
        <f>IF(tblData[Date]&gt;StartDt2NSW,betaNSW/(deltaNSW+betaPodeltaNSW*EXP(-betaNSW*tblData[[#This Row],[Day '# NSW]])),"")</f>
        <v>1.5095236916741737</v>
      </c>
      <c r="AK42" s="12">
        <f>IF(AND(ISNUMBER(tblData[NSW]),tblData[Date]&gt;StartDt2NSW),(tblData[[#This Row],[NSW LogiP(t)]]-tblData[[#This Row],[NSW]])^2,"")</f>
        <v>6.2024722423322363</v>
      </c>
      <c r="AL42" s="12">
        <f>IF(AND(tblData[Date]&gt;StartDt2NSW,ISNUMBER(tblData[Day'# Aust])),tblData[NSW LogiP(t)]/$AG$9,"")</f>
        <v>1.8682223906858584</v>
      </c>
      <c r="AM42" s="11">
        <f>IF(AND(tblData[Date]&gt;StartDt2Italy,ISNUMBER(tblData[Days'# Italy])),betaItaly/(deltaItaly+betaPodeltaItaly*EXP(-betaItaly*tblData[Days'# Italy])),"")</f>
        <v>175.08130465497496</v>
      </c>
      <c r="AN42" s="11">
        <f>IF(AND(tblData[Date]&gt;StartDt2Italy,ISNUMBER(tblData[Italy])),(tblData[[#This Row],[Italy LogiP(t)]]-tblData[[#This Row],[Italy]])^2,"")</f>
        <v>12787.381462471261</v>
      </c>
      <c r="AO42" s="44">
        <f>IF(AND(tblData[Date]&gt;StartDt2Italy,ISNUMBER(tblData[Days'# Italy])),tblData[[#This Row],[Italy LogiP(t)]]/$AM$9,"")</f>
        <v>28.962994980144742</v>
      </c>
      <c r="AP42" s="21">
        <f>IF(ISNUMBER(tblData[[#This Row],[Days'# US]]),betaUS/(deltaUS+betaPodeltaUS*EXP(-betaUS*tblData[Days'# US])),"")</f>
        <v>1.5704369584055844</v>
      </c>
      <c r="AQ42" s="11">
        <f>IF(ISNUMBER(tblData[US]),(tblData[[#This Row],[US LogiP(t)]]-tblData[US])^2,"")</f>
        <v>180.35316348815863</v>
      </c>
      <c r="AR42" s="21">
        <f>IF(ISNUMBER(tblData[[#This Row],[Days'# US]]),tblData[[#This Row],[US LogiP(t)]]/$AP$9,"")</f>
        <v>4.770062600998351E-2</v>
      </c>
      <c r="AS42" s="21">
        <f>IF(tblData[Date]&gt;=StartDt2Korea,betaSKorea/(deltaSKorea+betaPodeltaSKorea*EXP(-betaSKorea*(tblData[Date]-StartDt2Korea))),"")</f>
        <v>448.2715598540359</v>
      </c>
      <c r="AT42" s="21">
        <f>IF(AND(tblData[Date]&gt;=StartDt2Korea,ISNUMBER(tblData[SKorea])),(tblData[[#This Row],[SKorea LogiP(t)]]-tblData[[#This Row],[SKorea]])^2,"")</f>
        <v>233.22054037540099</v>
      </c>
      <c r="AU42" s="21">
        <f>IF(tblData[Date]&gt;=StartDt2Korea,tblData[[#This Row],[SKorea LogiP(t)]]/$AS$9,"")</f>
        <v>87.212365730357178</v>
      </c>
      <c r="AV42" s="11">
        <f>IF(ISNUMBER(tblData[Days'# UK]),betaUK/(deltaUK+betaPodeltaUK*EXP(-betaUK*tblData[Days'# UK])),"")</f>
        <v>7.655164036638733</v>
      </c>
      <c r="AW42" s="21">
        <f>IF(ISNUMBER(tblData[UK]),(tblData[[#This Row],[UK LogiP(t)]]-tblData[[#This Row],[UK]])^2,"")</f>
        <v>1.8085837683498269</v>
      </c>
      <c r="AX42" s="21">
        <f>IF(ISNUMBER(tblData[Days'# UK]),tblData[[#This Row],[UK LogiP(t)]]/$AV$9,"")</f>
        <v>1.1521920584946919</v>
      </c>
      <c r="AY42" s="11">
        <f>IF(ISNUMBER(tblData[Days'# China]),betaChina/(deltaChina+betaPodeltaChina*EXP(-betaChina*tblData[Days'# China])),"")</f>
        <v>76894.451205256148</v>
      </c>
      <c r="AZ42" s="11">
        <f>IF(ISNUMBER(tblData[China]),(tblData[[#This Row],[China LogiP(t)]]-tblData[[#This Row],[China]])^2,"")</f>
        <v>11352.645661367576</v>
      </c>
      <c r="BA42" s="11">
        <f>tblData[[#This Row],[China LogiP(t)]]/$AY$9</f>
        <v>534.24012364300825</v>
      </c>
      <c r="BB42" s="11"/>
      <c r="BC42" s="11"/>
      <c r="BD42" s="11" t="str">
        <f>IF(ISNUMBER(tblData[[#This Row],[NSW Number of Tests]]),tblData[[#This Row],[NSW Number of Tests]]-BB41,"")</f>
        <v/>
      </c>
      <c r="BE42" s="11" t="str">
        <f>IF(ISNUMBER(tblData[[#This Row],[NSW Under Investigation'']]),tblData[[#This Row],[NSW Under Investigation'']]-BC41,"")</f>
        <v/>
      </c>
      <c r="BF42" s="11"/>
      <c r="BG42" s="11" t="str">
        <f>IF(ISNUMBER(tblData[[#This Row],[NSW Test Day Number]]),betaTest/(deltaTest+betaPodeltaTest*EXP(-betaTest*tblData[[#This Row],[NSW Test Day Number]])),"")</f>
        <v/>
      </c>
      <c r="BH42" s="11" t="str">
        <f>IF(ISNUMBER(tblData[[#This Row],[NSW Number of Tests]]),(tblData[[#This Row],[NSW Number of Tests]]-tblData[[#This Row],[NSW Test Logi]])^2,"")</f>
        <v/>
      </c>
      <c r="DE42" t="s">
        <v>225</v>
      </c>
      <c r="DG42" s="27">
        <v>43852</v>
      </c>
      <c r="DI42">
        <v>4</v>
      </c>
      <c r="DJ42" s="23">
        <v>0.2221429979133962</v>
      </c>
      <c r="DK42" s="25">
        <v>2.7453499609305866E-6</v>
      </c>
      <c r="DL42" s="22">
        <v>1537.6493038446686</v>
      </c>
      <c r="DM42" s="24">
        <v>80916.09487851843</v>
      </c>
      <c r="DN42" s="22">
        <v>2129.8209279691509</v>
      </c>
      <c r="DO42" s="37">
        <v>1.4172387156959651E-4</v>
      </c>
      <c r="DP42" s="24">
        <v>2.7453499609305866E-3</v>
      </c>
      <c r="DQ42" s="24"/>
      <c r="DR42" s="27">
        <v>43907</v>
      </c>
      <c r="DS42" s="27" t="s">
        <v>767</v>
      </c>
      <c r="DT42">
        <v>81102</v>
      </c>
      <c r="DU42" t="s">
        <v>978</v>
      </c>
      <c r="DV42" s="27">
        <v>43907</v>
      </c>
      <c r="DW42" s="19">
        <v>57</v>
      </c>
      <c r="DX42" s="27" t="s">
        <v>979</v>
      </c>
      <c r="DZ42" t="s">
        <v>980</v>
      </c>
      <c r="EB42" s="18" t="s">
        <v>1034</v>
      </c>
      <c r="EC42" s="21">
        <v>563.47294022606354</v>
      </c>
      <c r="ED42" s="27">
        <v>43874</v>
      </c>
      <c r="EE42" s="11">
        <v>35</v>
      </c>
      <c r="EF42" s="27">
        <v>43869</v>
      </c>
      <c r="EG42" s="11">
        <v>40</v>
      </c>
    </row>
    <row r="43" spans="2:138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49">
        <f>IF(ISNUMBER(tblData[Italy]),tblData[Italy]/$N$9,"")</f>
        <v>25.641025641025642</v>
      </c>
      <c r="O43">
        <v>15</v>
      </c>
      <c r="P43" s="49">
        <f>IF(ISNUMBER(tblData[US]),tblData[US]/$P$9,"")</f>
        <v>0.45561166038539175</v>
      </c>
      <c r="Q43">
        <v>602</v>
      </c>
      <c r="R43" s="19">
        <f>IF(ISNUMBER(tblData[SKorea]),tblData[SKorea]/$R$9,"")</f>
        <v>117.1206225680934</v>
      </c>
      <c r="S43">
        <v>9</v>
      </c>
      <c r="T43" s="12">
        <f>IF(ISNUMBER(tblData[UK]),tblData[UK]/$T$9,"")</f>
        <v>1.3546056592414208</v>
      </c>
      <c r="U43">
        <v>77022</v>
      </c>
      <c r="V43" s="21">
        <f>IF(ISNUMBER(tblData[China]),tblData[China]/$V$9,"")</f>
        <v>535.12629530827678</v>
      </c>
      <c r="W43" s="26">
        <f>IF(tblData[[#This Row],[Date]]&lt;ItalyStart,"",tblData[[#This Row],[Date]]-ItalyStart)</f>
        <v>24</v>
      </c>
      <c r="X43" s="26">
        <f t="shared" si="5"/>
        <v>14</v>
      </c>
      <c r="Y43" s="26">
        <f t="shared" si="3"/>
        <v>32</v>
      </c>
      <c r="Z43" s="26">
        <f>IF(tblData[[#This Row],[Date]]&lt;StartDt2Korea,"",tblData[[#This Row],[Date]]-StartDt2Korea)</f>
        <v>4</v>
      </c>
      <c r="AA43" s="26">
        <f>IF(tblData[[#This Row],[Date]]&lt;UKStart,"",tblData[[#This Row],[Date]]-UKStart)</f>
        <v>24</v>
      </c>
      <c r="AB43">
        <f>IF(tblData[Date]&gt;=StartDt2Au,tblData[Date]-StartDt2Au,"")</f>
        <v>29</v>
      </c>
      <c r="AC43" s="26">
        <f>IF(tblData[New South Wales]&gt;0,SUM(tblData[[#This Row],[Australian Capital Territory]:[Western Australia]]),"")</f>
        <v>15</v>
      </c>
      <c r="AD43" s="12">
        <f>IF(ISNUMBER(tblData[Au]),tblData[Au]/$AA$9,"")</f>
        <v>5.9138937076170954</v>
      </c>
      <c r="AE43" s="19">
        <f>IF(ISNUMBER(tblData[[#This Row],[Day'# Aust]]),betaAu/(deltaAu+betaPodeltaAu*EXP(-betaAu*tblData[[#This Row],[Day'# Aust]])),"")</f>
        <v>4.0468285346448951</v>
      </c>
      <c r="AF43" s="72">
        <f>IF(ISNUMBER(tblData[Day'# Aust]),tblData[Au LogiP(t)]/$AD$9,"")</f>
        <v>1.595500920456117</v>
      </c>
      <c r="AG43" s="11">
        <f>IF(AND(tblData[Date]&gt;=StartDt2Au,ISNUMBER(tblData[NSW])),(tblData[[#This Row],[Au LogiP(t)]]-tblData[[#This Row],[Au]])^2,"")</f>
        <v>119.9719651494693</v>
      </c>
      <c r="AH43">
        <f>IF(tblData[Date]&gt;StartDt2NSW,tblData[Date]-StartDt2NSW,"")</f>
        <v>29</v>
      </c>
      <c r="AI43">
        <f t="shared" si="4"/>
        <v>4</v>
      </c>
      <c r="AJ43" s="11">
        <f>IF(tblData[Date]&gt;StartDt2NSW,betaNSW/(deltaNSW+betaPodeltaNSW*EXP(-betaNSW*tblData[[#This Row],[Day '# NSW]])),"")</f>
        <v>1.8607343248622554</v>
      </c>
      <c r="AK43" s="12">
        <f>IF(AND(ISNUMBER(tblData[NSW]),tblData[Date]&gt;StartDt2NSW),(tblData[[#This Row],[NSW LogiP(t)]]-tblData[[#This Row],[NSW]])^2,"")</f>
        <v>4.5764576288225509</v>
      </c>
      <c r="AL43" s="12">
        <f>IF(AND(tblData[Date]&gt;StartDt2NSW,ISNUMBER(tblData[Day'# Aust])),tblData[NSW LogiP(t)]/$AG$9,"")</f>
        <v>2.3028890159186326</v>
      </c>
      <c r="AM43" s="11">
        <f>IF(AND(tblData[Date]&gt;StartDt2Italy,ISNUMBER(tblData[Days'# Italy])),betaItaly/(deltaItaly+betaPodeltaItaly*EXP(-betaItaly*tblData[Days'# Italy])),"")</f>
        <v>226.90312137882273</v>
      </c>
      <c r="AN43" s="11">
        <f>IF(AND(tblData[Date]&gt;StartDt2Italy,ISNUMBER(tblData[Italy])),(tblData[[#This Row],[Italy LogiP(t)]]-tblData[[#This Row],[Italy]])^2,"")</f>
        <v>5170.0588640177148</v>
      </c>
      <c r="AO43" s="44">
        <f>IF(AND(tblData[Date]&gt;StartDt2Italy,ISNUMBER(tblData[Days'# Italy])),tblData[[#This Row],[Italy LogiP(t)]]/$AM$9,"")</f>
        <v>37.535669376149336</v>
      </c>
      <c r="AP43" s="21">
        <f>IF(ISNUMBER(tblData[[#This Row],[Days'# US]]),betaUS/(deltaUS+betaPodeltaUS*EXP(-betaUS*tblData[Days'# US])),"")</f>
        <v>2.2234258636553692</v>
      </c>
      <c r="AQ43" s="11">
        <f>IF(ISNUMBER(tblData[US]),(tblData[[#This Row],[US LogiP(t)]]-tblData[US])^2,"")</f>
        <v>163.24084666151057</v>
      </c>
      <c r="AR43" s="21">
        <f>IF(ISNUMBER(tblData[[#This Row],[Days'# US]]),tblData[[#This Row],[US LogiP(t)]]/$AP$9,"")</f>
        <v>6.753458329892309E-2</v>
      </c>
      <c r="AS43" s="21">
        <f>IF(tblData[Date]&gt;=StartDt2Korea,betaSKorea/(deltaSKorea+betaPodeltaSKorea*EXP(-betaSKorea*(tblData[Date]-StartDt2Korea))),"")</f>
        <v>608.21631173525884</v>
      </c>
      <c r="AT43" s="21">
        <f>IF(AND(tblData[Date]&gt;=StartDt2Korea,ISNUMBER(tblData[SKorea])),(tblData[[#This Row],[SKorea LogiP(t)]]-tblData[[#This Row],[SKorea]])^2,"")</f>
        <v>38.642531589916793</v>
      </c>
      <c r="AU43" s="21">
        <f>IF(tblData[Date]&gt;=StartDt2Korea,tblData[[#This Row],[SKorea LogiP(t)]]/$AS$9,"")</f>
        <v>118.33002173837721</v>
      </c>
      <c r="AV43" s="11">
        <f>IF(ISNUMBER(tblData[Days'# UK]),betaUK/(deltaUK+betaPodeltaUK*EXP(-betaUK*tblData[Days'# UK])),"")</f>
        <v>9.6405261750850268</v>
      </c>
      <c r="AW43" s="21">
        <f>IF(ISNUMBER(tblData[UK]),(tblData[[#This Row],[UK LogiP(t)]]-tblData[[#This Row],[UK]])^2,"")</f>
        <v>0.41027378096905448</v>
      </c>
      <c r="AX43" s="21">
        <f>IF(ISNUMBER(tblData[Days'# UK]),tblData[[#This Row],[UK LogiP(t)]]/$AV$9,"")</f>
        <v>1.4510123683150251</v>
      </c>
      <c r="AY43" s="11">
        <f>IF(ISNUMBER(tblData[Days'# China]),betaChina/(deltaChina+betaPodeltaChina*EXP(-betaChina*tblData[Days'# China])),"")</f>
        <v>77669.821254662238</v>
      </c>
      <c r="AZ43" s="11">
        <f>IF(ISNUMBER(tblData[China]),(tblData[[#This Row],[China LogiP(t)]]-tblData[[#This Row],[China]])^2,"")</f>
        <v>419672.37799215631</v>
      </c>
      <c r="BA43" s="11">
        <f>tblData[[#This Row],[China LogiP(t)]]/$AY$9</f>
        <v>539.62716763085166</v>
      </c>
      <c r="BB43" s="11"/>
      <c r="BC43" s="11"/>
      <c r="BD43" s="11" t="str">
        <f>IF(ISNUMBER(tblData[[#This Row],[NSW Number of Tests]]),tblData[[#This Row],[NSW Number of Tests]]-BB42,"")</f>
        <v/>
      </c>
      <c r="BE43" s="11" t="str">
        <f>IF(ISNUMBER(tblData[[#This Row],[NSW Under Investigation'']]),tblData[[#This Row],[NSW Under Investigation'']]-BC42,"")</f>
        <v/>
      </c>
      <c r="BF43" s="11"/>
      <c r="BG43" s="11" t="str">
        <f>IF(ISNUMBER(tblData[[#This Row],[NSW Test Day Number]]),betaTest/(deltaTest+betaPodeltaTest*EXP(-betaTest*tblData[[#This Row],[NSW Test Day Number]])),"")</f>
        <v/>
      </c>
      <c r="BH43" s="11" t="str">
        <f>IF(ISNUMBER(tblData[[#This Row],[NSW Number of Tests]]),(tblData[[#This Row],[NSW Number of Tests]]-tblData[[#This Row],[NSW Test Logi]])^2,"")</f>
        <v/>
      </c>
      <c r="DE43" t="s">
        <v>225</v>
      </c>
      <c r="DG43" s="27">
        <v>43852</v>
      </c>
      <c r="DI43">
        <v>4</v>
      </c>
      <c r="DJ43">
        <v>0.2221429979133962</v>
      </c>
      <c r="DK43">
        <v>2.7451241687424546E-6</v>
      </c>
      <c r="DL43">
        <v>1537.6493038446686</v>
      </c>
      <c r="DM43">
        <v>80922.750396081436</v>
      </c>
      <c r="DN43" s="19">
        <v>2111.6231171407408</v>
      </c>
      <c r="DO43" s="12">
        <v>1.4172409736178465E-4</v>
      </c>
      <c r="DP43">
        <v>2.7451241687424547E-3</v>
      </c>
      <c r="DR43" s="27">
        <v>43909</v>
      </c>
      <c r="DS43" t="s">
        <v>767</v>
      </c>
      <c r="DT43">
        <v>81156</v>
      </c>
      <c r="DU43" t="s">
        <v>978</v>
      </c>
      <c r="DV43" s="27">
        <v>43909</v>
      </c>
      <c r="DW43">
        <v>58</v>
      </c>
      <c r="DX43" t="s">
        <v>979</v>
      </c>
      <c r="DZ43" t="s">
        <v>980</v>
      </c>
      <c r="EB43" t="s">
        <v>1325</v>
      </c>
      <c r="EC43">
        <v>563.84811640879889</v>
      </c>
      <c r="ED43" s="26">
        <v>43876</v>
      </c>
      <c r="EE43" s="26">
        <v>34</v>
      </c>
      <c r="EF43">
        <v>43874</v>
      </c>
      <c r="EG43">
        <v>36</v>
      </c>
    </row>
    <row r="44" spans="2:138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49">
        <f>IF(ISNUMBER(tblData[Italy]),tblData[Italy]/$N$9,"")</f>
        <v>37.882547559966916</v>
      </c>
      <c r="O44">
        <v>51</v>
      </c>
      <c r="P44" s="49">
        <f>IF(ISNUMBER(tblData[US]),tblData[US]/$P$9,"")</f>
        <v>1.5490796453103319</v>
      </c>
      <c r="Q44">
        <v>833</v>
      </c>
      <c r="R44" s="19">
        <f>IF(ISNUMBER(tblData[SKorea]),tblData[SKorea]/$R$9,"")</f>
        <v>162.06225680933852</v>
      </c>
      <c r="S44">
        <v>13</v>
      </c>
      <c r="T44" s="12">
        <f>IF(ISNUMBER(tblData[UK]),tblData[UK]/$T$9,"")</f>
        <v>1.9566526189042746</v>
      </c>
      <c r="U44">
        <v>77241</v>
      </c>
      <c r="V44" s="21">
        <f>IF(ISNUMBER(tblData[China]),tblData[China]/$V$9,"")</f>
        <v>536.64784316048156</v>
      </c>
      <c r="W44" s="26">
        <f>IF(tblData[[#This Row],[Date]]&lt;ItalyStart,"",tblData[[#This Row],[Date]]-ItalyStart)</f>
        <v>25</v>
      </c>
      <c r="X44" s="26">
        <f t="shared" si="5"/>
        <v>15</v>
      </c>
      <c r="Y44" s="26">
        <f t="shared" si="3"/>
        <v>33</v>
      </c>
      <c r="Z44" s="26">
        <f>IF(tblData[[#This Row],[Date]]&lt;StartDt2Korea,"",tblData[[#This Row],[Date]]-StartDt2Korea)</f>
        <v>5</v>
      </c>
      <c r="AA44" s="26">
        <f>IF(tblData[[#This Row],[Date]]&lt;UKStart,"",tblData[[#This Row],[Date]]-UKStart)</f>
        <v>25</v>
      </c>
      <c r="AB44">
        <f>IF(tblData[Date]&gt;=StartDt2Au,tblData[Date]-StartDt2Au,"")</f>
        <v>30</v>
      </c>
      <c r="AC44" s="26">
        <f>IF(tblData[New South Wales]&gt;0,SUM(tblData[[#This Row],[Australian Capital Territory]:[Western Australia]]),"")</f>
        <v>15</v>
      </c>
      <c r="AD44" s="12">
        <f>IF(ISNUMBER(tblData[Au]),tblData[Au]/$AA$9,"")</f>
        <v>5.9138937076170954</v>
      </c>
      <c r="AE44" s="19">
        <f>IF(ISNUMBER(tblData[[#This Row],[Day'# Aust]]),betaAu/(deltaAu+betaPodeltaAu*EXP(-betaAu*tblData[[#This Row],[Day'# Aust]])),"")</f>
        <v>4.9749872378202538</v>
      </c>
      <c r="AF44" s="72">
        <f>IF(ISNUMBER(tblData[Day'# Aust]),tblData[Au LogiP(t)]/$AD$9,"")</f>
        <v>1.9614363814147033</v>
      </c>
      <c r="AG44" s="11">
        <f>IF(AND(tblData[Date]&gt;=StartDt2Au,ISNUMBER(tblData[NSW])),(tblData[[#This Row],[Au LogiP(t)]]-tblData[[#This Row],[Au]])^2,"")</f>
        <v>100.50088088186676</v>
      </c>
      <c r="AH44">
        <f>IF(tblData[Date]&gt;StartDt2NSW,tblData[Date]-StartDt2NSW,"")</f>
        <v>30</v>
      </c>
      <c r="AI44">
        <f t="shared" si="4"/>
        <v>4</v>
      </c>
      <c r="AJ44" s="11">
        <f>IF(tblData[Date]&gt;StartDt2NSW,betaNSW/(deltaNSW+betaPodeltaNSW*EXP(-betaNSW*tblData[[#This Row],[Day '# NSW]])),"")</f>
        <v>2.2935899299778564</v>
      </c>
      <c r="AK44" s="12">
        <f>IF(AND(ISNUMBER(tblData[NSW]),tblData[Date]&gt;StartDt2NSW),(tblData[[#This Row],[NSW LogiP(t)]]-tblData[[#This Row],[NSW]])^2,"")</f>
        <v>2.9118353270729771</v>
      </c>
      <c r="AL44" s="12">
        <f>IF(AND(tblData[Date]&gt;StartDt2NSW,ISNUMBER(tblData[Day'# Aust])),tblData[NSW LogiP(t)]/$AG$9,"")</f>
        <v>2.8386013984874459</v>
      </c>
      <c r="AM44" s="11">
        <f>IF(AND(tblData[Date]&gt;StartDt2Italy,ISNUMBER(tblData[Days'# Italy])),betaItaly/(deltaItaly+betaPodeltaItaly*EXP(-betaItaly*tblData[Days'# Italy])),"")</f>
        <v>293.98188097707725</v>
      </c>
      <c r="AN44" s="11">
        <f>IF(AND(tblData[Date]&gt;StartDt2Italy,ISNUMBER(tblData[Italy])),(tblData[[#This Row],[Italy LogiP(t)]]-tblData[[#This Row],[Italy]])^2,"")</f>
        <v>4222.6448553190348</v>
      </c>
      <c r="AO44" s="44">
        <f>IF(AND(tblData[Date]&gt;StartDt2Italy,ISNUMBER(tblData[Days'# Italy])),tblData[[#This Row],[Italy LogiP(t)]]/$AM$9,"")</f>
        <v>48.632238375033459</v>
      </c>
      <c r="AP44" s="21">
        <f>IF(ISNUMBER(tblData[[#This Row],[Days'# US]]),betaUS/(deltaUS+betaPodeltaUS*EXP(-betaUS*tblData[Days'# US])),"")</f>
        <v>3.1479280596721866</v>
      </c>
      <c r="AQ44" s="11">
        <f>IF(ISNUMBER(tblData[US]),(tblData[[#This Row],[US LogiP(t)]]-tblData[US])^2,"")</f>
        <v>2289.8207889823084</v>
      </c>
      <c r="AR44" s="21">
        <f>IF(ISNUMBER(tblData[[#This Row],[Days'# US]]),tblData[[#This Row],[US LogiP(t)]]/$AP$9,"")</f>
        <v>9.5615515336067297E-2</v>
      </c>
      <c r="AS44" s="21">
        <f>IF(tblData[Date]&gt;=StartDt2Korea,betaSKorea/(deltaSKorea+betaPodeltaSKorea*EXP(-betaSKorea*(tblData[Date]-StartDt2Korea))),"")</f>
        <v>819.28970445040068</v>
      </c>
      <c r="AT44" s="21">
        <f>IF(AND(tblData[Date]&gt;=StartDt2Korea,ISNUMBER(tblData[SKorea])),(tblData[[#This Row],[SKorea LogiP(t)]]-tblData[[#This Row],[SKorea]])^2,"")</f>
        <v>187.972204057363</v>
      </c>
      <c r="AU44" s="21">
        <f>IF(tblData[Date]&gt;=StartDt2Korea,tblData[[#This Row],[SKorea LogiP(t)]]/$AS$9,"")</f>
        <v>159.3948841343192</v>
      </c>
      <c r="AV44" s="11">
        <f>IF(ISNUMBER(tblData[Days'# UK]),betaUK/(deltaUK+betaPodeltaUK*EXP(-betaUK*tblData[Days'# UK])),"")</f>
        <v>12.140790749897526</v>
      </c>
      <c r="AW44" s="21">
        <f>IF(ISNUMBER(tblData[UK]),(tblData[[#This Row],[UK LogiP(t)]]-tblData[[#This Row],[UK]])^2,"")</f>
        <v>0.73824053546165525</v>
      </c>
      <c r="AX44" s="21">
        <f>IF(ISNUMBER(tblData[Days'# UK]),tblData[[#This Row],[UK LogiP(t)]]/$AV$9,"")</f>
        <v>1.8273315397196759</v>
      </c>
      <c r="AY44" s="11">
        <f>IF(ISNUMBER(tblData[Days'# China]),betaChina/(deltaChina+betaPodeltaChina*EXP(-betaChina*tblData[Days'# China])),"")</f>
        <v>78302.104943611004</v>
      </c>
      <c r="AZ44" s="11">
        <f>IF(ISNUMBER(tblData[China]),(tblData[[#This Row],[China LogiP(t)]]-tblData[[#This Row],[China]])^2,"")</f>
        <v>1125943.7013557125</v>
      </c>
      <c r="BA44" s="11">
        <f>tblData[[#This Row],[China LogiP(t)]]/$AY$9</f>
        <v>544.02008949799358</v>
      </c>
      <c r="BB44" s="11"/>
      <c r="BC44" s="11"/>
      <c r="BD44" s="11" t="str">
        <f>IF(ISNUMBER(tblData[[#This Row],[NSW Number of Tests]]),tblData[[#This Row],[NSW Number of Tests]]-BB43,"")</f>
        <v/>
      </c>
      <c r="BE44" s="11" t="str">
        <f>IF(ISNUMBER(tblData[[#This Row],[NSW Under Investigation'']]),tblData[[#This Row],[NSW Under Investigation'']]-BC43,"")</f>
        <v/>
      </c>
      <c r="BF44" s="11"/>
      <c r="BG44" s="11" t="str">
        <f>IF(ISNUMBER(tblData[[#This Row],[NSW Test Day Number]]),betaTest/(deltaTest+betaPodeltaTest*EXP(-betaTest*tblData[[#This Row],[NSW Test Day Number]])),"")</f>
        <v/>
      </c>
      <c r="BH44" s="11" t="str">
        <f>IF(ISNUMBER(tblData[[#This Row],[NSW Number of Tests]]),(tblData[[#This Row],[NSW Number of Tests]]-tblData[[#This Row],[NSW Test Logi]])^2,"")</f>
        <v/>
      </c>
      <c r="DE44" t="s">
        <v>225</v>
      </c>
      <c r="DF44" s="82">
        <v>43911.866319444445</v>
      </c>
      <c r="DG44" s="27">
        <v>43852</v>
      </c>
      <c r="DH44" s="27">
        <v>43852</v>
      </c>
      <c r="DI44">
        <v>4</v>
      </c>
      <c r="DJ44">
        <v>0.2221429979133962</v>
      </c>
      <c r="DK44">
        <v>2.744154619604968E-6</v>
      </c>
      <c r="DL44">
        <v>1537.6493038446686</v>
      </c>
      <c r="DM44">
        <v>80951.341563025548</v>
      </c>
      <c r="DN44" s="19">
        <v>2094.0856057837377</v>
      </c>
      <c r="DO44" s="12">
        <v>1.4172506691092213E-4</v>
      </c>
      <c r="DP44">
        <v>2.744154619604968E-3</v>
      </c>
      <c r="DR44" s="27">
        <v>43910</v>
      </c>
      <c r="DS44" t="s">
        <v>1478</v>
      </c>
      <c r="DT44">
        <v>81250</v>
      </c>
      <c r="DU44" t="s">
        <v>978</v>
      </c>
      <c r="DV44" s="27">
        <v>43910</v>
      </c>
      <c r="DW44">
        <v>59</v>
      </c>
      <c r="DX44" t="s">
        <v>1477</v>
      </c>
      <c r="DZ44" t="s">
        <v>980</v>
      </c>
      <c r="EB44" t="s">
        <v>1504</v>
      </c>
      <c r="EC44">
        <v>564.50120087504206</v>
      </c>
      <c r="ED44">
        <v>43886</v>
      </c>
      <c r="EE44">
        <v>25</v>
      </c>
      <c r="EF44">
        <v>43875</v>
      </c>
      <c r="EG44">
        <v>36</v>
      </c>
    </row>
    <row r="45" spans="2:138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49">
        <f>IF(ISNUMBER(tblData[Italy]),tblData[Italy]/$N$9,"")</f>
        <v>53.267162944582303</v>
      </c>
      <c r="O45">
        <v>51</v>
      </c>
      <c r="P45" s="49">
        <f>IF(ISNUMBER(tblData[US]),tblData[US]/$P$9,"")</f>
        <v>1.5490796453103319</v>
      </c>
      <c r="Q45">
        <v>977</v>
      </c>
      <c r="R45" s="19">
        <f>IF(ISNUMBER(tblData[SKorea]),tblData[SKorea]/$R$9,"")</f>
        <v>190.07782101167317</v>
      </c>
      <c r="S45">
        <v>13</v>
      </c>
      <c r="T45" s="12">
        <f>IF(ISNUMBER(tblData[UK]),tblData[UK]/$T$9,"")</f>
        <v>1.9566526189042746</v>
      </c>
      <c r="U45">
        <v>77754</v>
      </c>
      <c r="V45" s="21">
        <f>IF(ISNUMBER(tblData[China]),tblData[China]/$V$9,"")</f>
        <v>540.21201689646796</v>
      </c>
      <c r="W45" s="26">
        <f>IF(tblData[[#This Row],[Date]]&lt;ItalyStart,"",tblData[[#This Row],[Date]]-ItalyStart)</f>
        <v>26</v>
      </c>
      <c r="X45" s="26">
        <f t="shared" si="5"/>
        <v>16</v>
      </c>
      <c r="Y45" s="26">
        <f t="shared" si="3"/>
        <v>34</v>
      </c>
      <c r="Z45" s="26">
        <f>IF(tblData[[#This Row],[Date]]&lt;StartDt2Korea,"",tblData[[#This Row],[Date]]-StartDt2Korea)</f>
        <v>6</v>
      </c>
      <c r="AA45" s="26">
        <f>IF(tblData[[#This Row],[Date]]&lt;UKStart,"",tblData[[#This Row],[Date]]-UKStart)</f>
        <v>26</v>
      </c>
      <c r="AB45">
        <f>IF(tblData[Date]&gt;=StartDt2Au,tblData[Date]-StartDt2Au,"")</f>
        <v>31</v>
      </c>
      <c r="AC45" s="26">
        <f>IF(tblData[New South Wales]&gt;0,SUM(tblData[[#This Row],[Australian Capital Territory]:[Western Australia]]),"")</f>
        <v>15</v>
      </c>
      <c r="AD45" s="12">
        <f>IF(ISNUMBER(tblData[Au]),tblData[Au]/$AA$9,"")</f>
        <v>5.9138937076170954</v>
      </c>
      <c r="AE45" s="19">
        <f>IF(ISNUMBER(tblData[[#This Row],[Day'# Aust]]),betaAu/(deltaAu+betaPodeltaAu*EXP(-betaAu*tblData[[#This Row],[Day'# Aust]])),"")</f>
        <v>6.1160233943862901</v>
      </c>
      <c r="AF45" s="72">
        <f>IF(ISNUMBER(tblData[Day'# Aust]),tblData[Au LogiP(t)]/$AD$9,"")</f>
        <v>2.4113008178466684</v>
      </c>
      <c r="AG45" s="11">
        <f>IF(AND(tblData[Date]&gt;=StartDt2Au,ISNUMBER(tblData[NSW])),(tblData[[#This Row],[Au LogiP(t)]]-tblData[[#This Row],[Au]])^2,"")</f>
        <v>78.925040329091715</v>
      </c>
      <c r="AH45">
        <f>IF(tblData[Date]&gt;StartDt2NSW,tblData[Date]-StartDt2NSW,"")</f>
        <v>31</v>
      </c>
      <c r="AI45">
        <f t="shared" si="4"/>
        <v>4</v>
      </c>
      <c r="AJ45" s="11">
        <f>IF(tblData[Date]&gt;StartDt2NSW,betaNSW/(deltaNSW+betaPodeltaNSW*EXP(-betaNSW*tblData[[#This Row],[Day '# NSW]])),"")</f>
        <v>2.8270345548558118</v>
      </c>
      <c r="AK45" s="12">
        <f>IF(AND(ISNUMBER(tblData[NSW]),tblData[Date]&gt;StartDt2NSW),(tblData[[#This Row],[NSW LogiP(t)]]-tblData[[#This Row],[NSW]])^2,"")</f>
        <v>1.3758479355023037</v>
      </c>
      <c r="AL45" s="12">
        <f>IF(AND(tblData[Date]&gt;StartDt2NSW,ISNUMBER(tblData[Day'# Aust])),tblData[NSW LogiP(t)]/$AG$9,"")</f>
        <v>3.4988051421482815</v>
      </c>
      <c r="AM45" s="11">
        <f>IF(AND(tblData[Date]&gt;StartDt2Italy,ISNUMBER(tblData[Days'# Italy])),betaItaly/(deltaItaly+betaPodeltaItaly*EXP(-betaItaly*tblData[Days'# Italy])),"")</f>
        <v>380.75410948610892</v>
      </c>
      <c r="AN45" s="11">
        <f>IF(AND(tblData[Date]&gt;StartDt2Italy,ISNUMBER(tblData[Italy])),(tblData[[#This Row],[Italy LogiP(t)]]-tblData[[#This Row],[Italy]])^2,"")</f>
        <v>3452.045381505674</v>
      </c>
      <c r="AO45" s="44">
        <f>IF(AND(tblData[Date]&gt;StartDt2Italy,ISNUMBER(tblData[Days'# Italy])),tblData[[#This Row],[Italy LogiP(t)]]/$AM$9,"")</f>
        <v>62.986618608123891</v>
      </c>
      <c r="AP45" s="21">
        <f>IF(ISNUMBER(tblData[[#This Row],[Days'# US]]),betaUS/(deltaUS+betaPodeltaUS*EXP(-betaUS*tblData[Days'# US])),"")</f>
        <v>4.4568389798364167</v>
      </c>
      <c r="AQ45" s="11">
        <f>IF(ISNUMBER(tblData[US]),(tblData[[#This Row],[US LogiP(t)]]-tblData[US])^2,"")</f>
        <v>2166.2658377488747</v>
      </c>
      <c r="AR45" s="21">
        <f>IF(ISNUMBER(tblData[[#This Row],[Days'# US]]),tblData[[#This Row],[US LogiP(t)]]/$AP$9,"")</f>
        <v>0.1353725205115737</v>
      </c>
      <c r="AS45" s="21">
        <f>IF(tblData[Date]&gt;=StartDt2Korea,betaSKorea/(deltaSKorea+betaPodeltaSKorea*EXP(-betaSKorea*(tblData[Date]-StartDt2Korea))),"")</f>
        <v>1093.2285134918898</v>
      </c>
      <c r="AT45" s="21">
        <f>IF(AND(tblData[Date]&gt;=StartDt2Korea,ISNUMBER(tblData[SKorea])),(tblData[[#This Row],[SKorea LogiP(t)]]-tblData[[#This Row],[SKorea]])^2,"")</f>
        <v>13509.067348534403</v>
      </c>
      <c r="AU45" s="21">
        <f>IF(tblData[Date]&gt;=StartDt2Korea,tblData[[#This Row],[SKorea LogiP(t)]]/$AS$9,"")</f>
        <v>212.69037227468675</v>
      </c>
      <c r="AV45" s="11">
        <f>IF(ISNUMBER(tblData[Days'# UK]),betaUK/(deltaUK+betaPodeltaUK*EXP(-betaUK*tblData[Days'# UK])),"")</f>
        <v>15.289497371963387</v>
      </c>
      <c r="AW45" s="21">
        <f>IF(ISNUMBER(tblData[UK]),(tblData[[#This Row],[UK LogiP(t)]]-tblData[[#This Row],[UK]])^2,"")</f>
        <v>5.2417982162272558</v>
      </c>
      <c r="AX45" s="21">
        <f>IF(ISNUMBER(tblData[Days'# UK]),tblData[[#This Row],[UK LogiP(t)]]/$AV$9,"")</f>
        <v>2.3012488518909371</v>
      </c>
      <c r="AY45" s="11">
        <f>IF(ISNUMBER(tblData[Days'# China]),betaChina/(deltaChina+betaPodeltaChina*EXP(-betaChina*tblData[Days'# China])),"")</f>
        <v>78815.90966052578</v>
      </c>
      <c r="AZ45" s="11">
        <f>IF(ISNUMBER(tblData[China]),(tblData[[#This Row],[China LogiP(t)]]-tblData[[#This Row],[China]])^2,"")</f>
        <v>1127652.1271179775</v>
      </c>
      <c r="BA45" s="11">
        <f>tblData[[#This Row],[China LogiP(t)]]/$AY$9</f>
        <v>547.5898541713924</v>
      </c>
      <c r="BB45" s="11"/>
      <c r="BC45" s="11"/>
      <c r="BD45" s="11" t="str">
        <f>IF(ISNUMBER(tblData[[#This Row],[NSW Number of Tests]]),tblData[[#This Row],[NSW Number of Tests]]-BB44,"")</f>
        <v/>
      </c>
      <c r="BE45" s="11" t="str">
        <f>IF(ISNUMBER(tblData[[#This Row],[NSW Under Investigation'']]),tblData[[#This Row],[NSW Under Investigation'']]-BC44,"")</f>
        <v/>
      </c>
      <c r="BF45" s="11"/>
      <c r="BG45" s="11" t="str">
        <f>IF(ISNUMBER(tblData[[#This Row],[NSW Test Day Number]]),betaTest/(deltaTest+betaPodeltaTest*EXP(-betaTest*tblData[[#This Row],[NSW Test Day Number]])),"")</f>
        <v/>
      </c>
      <c r="BH45" s="11" t="str">
        <f>IF(ISNUMBER(tblData[[#This Row],[NSW Number of Tests]]),(tblData[[#This Row],[NSW Number of Tests]]-tblData[[#This Row],[NSW Test Logi]])^2,"")</f>
        <v/>
      </c>
      <c r="DE45" t="s">
        <v>1293</v>
      </c>
      <c r="DF45" s="82">
        <v>43911.866331018522</v>
      </c>
      <c r="DG45" s="27">
        <v>43852</v>
      </c>
      <c r="DH45" s="27">
        <v>43880</v>
      </c>
      <c r="DI45">
        <v>5</v>
      </c>
      <c r="DJ45">
        <v>0.32566109072274135</v>
      </c>
      <c r="DK45">
        <v>3.9144727914542807E-5</v>
      </c>
      <c r="DL45">
        <v>174.6164952155498</v>
      </c>
      <c r="DM45">
        <v>8319.4112738168697</v>
      </c>
      <c r="DN45" s="19">
        <v>139.72665717739883</v>
      </c>
      <c r="DO45" s="12">
        <v>1.8258628724312283E-3</v>
      </c>
      <c r="DP45">
        <v>3.9144727914542807E-2</v>
      </c>
      <c r="DR45" s="27">
        <v>43910</v>
      </c>
      <c r="DS45" t="s">
        <v>1479</v>
      </c>
      <c r="DT45">
        <v>8652</v>
      </c>
      <c r="DU45" t="s">
        <v>1480</v>
      </c>
      <c r="DV45" s="27">
        <v>43910</v>
      </c>
      <c r="DW45">
        <v>59</v>
      </c>
      <c r="DX45" t="s">
        <v>1481</v>
      </c>
      <c r="DZ45" t="s">
        <v>1482</v>
      </c>
      <c r="EA45" t="s">
        <v>1302</v>
      </c>
      <c r="EB45" t="s">
        <v>1505</v>
      </c>
      <c r="EC45">
        <v>1683.2684824902724</v>
      </c>
      <c r="ED45">
        <v>43890</v>
      </c>
      <c r="EE45">
        <v>21</v>
      </c>
      <c r="EF45">
        <v>43889</v>
      </c>
      <c r="EG45">
        <v>22</v>
      </c>
    </row>
    <row r="46" spans="2:138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49">
        <f>IF(ISNUMBER(tblData[Italy]),tblData[Italy]/$N$9,"")</f>
        <v>74.937965260545909</v>
      </c>
      <c r="O46">
        <v>57</v>
      </c>
      <c r="P46" s="49">
        <f>IF(ISNUMBER(tblData[US]),tblData[US]/$P$9,"")</f>
        <v>1.7313243094644886</v>
      </c>
      <c r="Q46">
        <v>1261</v>
      </c>
      <c r="R46" s="19">
        <f>IF(ISNUMBER(tblData[SKorea]),tblData[SKorea]/$R$9,"")</f>
        <v>245.33073929961091</v>
      </c>
      <c r="S46">
        <v>13</v>
      </c>
      <c r="T46" s="12">
        <f>IF(ISNUMBER(tblData[UK]),tblData[UK]/$T$9,"")</f>
        <v>1.9566526189042746</v>
      </c>
      <c r="U46">
        <v>78166</v>
      </c>
      <c r="V46" s="21">
        <f>IF(ISNUMBER(tblData[China]),tblData[China]/$V$9,"")</f>
        <v>543.07447221659743</v>
      </c>
      <c r="W46" s="26">
        <f>IF(tblData[[#This Row],[Date]]&lt;ItalyStart,"",tblData[[#This Row],[Date]]-ItalyStart)</f>
        <v>27</v>
      </c>
      <c r="X46" s="26">
        <f t="shared" si="5"/>
        <v>17</v>
      </c>
      <c r="Y46" s="26">
        <f t="shared" si="3"/>
        <v>35</v>
      </c>
      <c r="Z46" s="26">
        <f>IF(tblData[[#This Row],[Date]]&lt;StartDt2Korea,"",tblData[[#This Row],[Date]]-StartDt2Korea)</f>
        <v>7</v>
      </c>
      <c r="AA46" s="26">
        <f>IF(tblData[[#This Row],[Date]]&lt;UKStart,"",tblData[[#This Row],[Date]]-UKStart)</f>
        <v>27</v>
      </c>
      <c r="AB46">
        <f>IF(tblData[Date]&gt;=StartDt2Au,tblData[Date]-StartDt2Au,"")</f>
        <v>32</v>
      </c>
      <c r="AC46" s="26">
        <f>IF(tblData[New South Wales]&gt;0,SUM(tblData[[#This Row],[Australian Capital Territory]:[Western Australia]]),"")</f>
        <v>15</v>
      </c>
      <c r="AD46" s="12">
        <f>IF(ISNUMBER(tblData[Au]),tblData[Au]/$AA$9,"")</f>
        <v>5.9138937076170954</v>
      </c>
      <c r="AE46" s="19">
        <f>IF(ISNUMBER(tblData[[#This Row],[Day'# Aust]]),betaAu/(deltaAu+betaPodeltaAu*EXP(-betaAu*tblData[[#This Row],[Day'# Aust]])),"")</f>
        <v>7.5187614209161024</v>
      </c>
      <c r="AF46" s="72">
        <f>IF(ISNUMBER(tblData[Day'# Aust]),tblData[Au LogiP(t)]/$AD$9,"")</f>
        <v>2.9643437237486605</v>
      </c>
      <c r="AG46" s="11">
        <f>IF(AND(tblData[Date]&gt;=StartDt2Au,ISNUMBER(tblData[NSW])),(tblData[[#This Row],[Au LogiP(t)]]-tblData[[#This Row],[Au]])^2,"")</f>
        <v>55.968930677173255</v>
      </c>
      <c r="AH46">
        <f>IF(tblData[Date]&gt;StartDt2NSW,tblData[Date]-StartDt2NSW,"")</f>
        <v>32</v>
      </c>
      <c r="AI46">
        <f t="shared" si="4"/>
        <v>4</v>
      </c>
      <c r="AJ46" s="11">
        <f>IF(tblData[Date]&gt;StartDt2NSW,betaNSW/(deltaNSW+betaPodeltaNSW*EXP(-betaNSW*tblData[[#This Row],[Day '# NSW]])),"")</f>
        <v>3.4843892802561145</v>
      </c>
      <c r="AK46" s="12">
        <f>IF(AND(ISNUMBER(tblData[NSW]),tblData[Date]&gt;StartDt2NSW),(tblData[[#This Row],[NSW LogiP(t)]]-tblData[[#This Row],[NSW]])^2,"")</f>
        <v>0.26585441431480766</v>
      </c>
      <c r="AL46" s="12">
        <f>IF(AND(tblData[Date]&gt;StartDt2NSW,ISNUMBER(tblData[Day'# Aust])),tblData[NSW LogiP(t)]/$AG$9,"")</f>
        <v>4.3123629706140028</v>
      </c>
      <c r="AM46" s="11">
        <f>IF(AND(tblData[Date]&gt;StartDt2Italy,ISNUMBER(tblData[Days'# Italy])),betaItaly/(deltaItaly+betaPodeltaItaly*EXP(-betaItaly*tblData[Days'# Italy])),"")</f>
        <v>492.90910638194993</v>
      </c>
      <c r="AN46" s="11">
        <f>IF(AND(tblData[Date]&gt;StartDt2Italy,ISNUMBER(tblData[Italy])),(tblData[[#This Row],[Italy LogiP(t)]]-tblData[[#This Row],[Italy]])^2,"")</f>
        <v>1592.7367722057963</v>
      </c>
      <c r="AO46" s="44">
        <f>IF(AND(tblData[Date]&gt;StartDt2Italy,ISNUMBER(tblData[Days'# Italy])),tblData[[#This Row],[Italy LogiP(t)]]/$AM$9,"")</f>
        <v>81.539967970545888</v>
      </c>
      <c r="AP46" s="21">
        <f>IF(ISNUMBER(tblData[[#This Row],[Days'# US]]),betaUS/(deltaUS+betaPodeltaUS*EXP(-betaUS*tblData[Days'# US])),"")</f>
        <v>6.3099960623514635</v>
      </c>
      <c r="AQ46" s="11">
        <f>IF(ISNUMBER(tblData[US]),(tblData[[#This Row],[US LogiP(t)]]-tblData[US])^2,"")</f>
        <v>2569.4764991988241</v>
      </c>
      <c r="AR46" s="21">
        <f>IF(ISNUMBER(tblData[[#This Row],[Days'# US]]),tblData[[#This Row],[US LogiP(t)]]/$AP$9,"")</f>
        <v>0.1916605188662156</v>
      </c>
      <c r="AS46" s="21">
        <f>IF(tblData[Date]&gt;=StartDt2Korea,betaSKorea/(deltaSKorea+betaPodeltaSKorea*EXP(-betaSKorea*(tblData[Date]-StartDt2Korea))),"")</f>
        <v>1441.1618147407094</v>
      </c>
      <c r="AT46" s="21">
        <f>IF(AND(tblData[Date]&gt;=StartDt2Korea,ISNUMBER(tblData[SKorea])),(tblData[[#This Row],[SKorea LogiP(t)]]-tblData[[#This Row],[SKorea]])^2,"")</f>
        <v>32458.279490665682</v>
      </c>
      <c r="AU46" s="21">
        <f>IF(tblData[Date]&gt;=StartDt2Korea,tblData[[#This Row],[SKorea LogiP(t)]]/$AS$9,"")</f>
        <v>280.38167601959327</v>
      </c>
      <c r="AV46" s="11">
        <f>IF(ISNUMBER(tblData[Days'# UK]),betaUK/(deltaUK+betaPodeltaUK*EXP(-betaUK*tblData[Days'# UK])),"")</f>
        <v>19.25481905380791</v>
      </c>
      <c r="AW46" s="21">
        <f>IF(ISNUMBER(tblData[UK]),(tblData[[#This Row],[UK LogiP(t)]]-tblData[[#This Row],[UK]])^2,"")</f>
        <v>39.122761395878484</v>
      </c>
      <c r="AX46" s="21">
        <f>IF(ISNUMBER(tblData[Days'# UK]),tblData[[#This Row],[UK LogiP(t)]]/$AV$9,"")</f>
        <v>2.8980763175508595</v>
      </c>
      <c r="AY46" s="11">
        <f>IF(ISNUMBER(tblData[Days'# China]),betaChina/(deltaChina+betaPodeltaChina*EXP(-betaChina*tblData[Days'# China])),"")</f>
        <v>79232.252571877587</v>
      </c>
      <c r="AZ46" s="11">
        <f>IF(ISNUMBER(tblData[China]),(tblData[[#This Row],[China LogiP(t)]]-tblData[[#This Row],[China]])^2,"")</f>
        <v>1136894.5470355686</v>
      </c>
      <c r="BA46" s="11">
        <f>tblData[[#This Row],[China LogiP(t)]]/$AY$9</f>
        <v>550.48248276750201</v>
      </c>
      <c r="BB46" s="11"/>
      <c r="BC46" s="11"/>
      <c r="BD46" s="11" t="str">
        <f>IF(ISNUMBER(tblData[[#This Row],[NSW Number of Tests]]),tblData[[#This Row],[NSW Number of Tests]]-BB45,"")</f>
        <v/>
      </c>
      <c r="BE46" s="11" t="str">
        <f>IF(ISNUMBER(tblData[[#This Row],[NSW Under Investigation'']]),tblData[[#This Row],[NSW Under Investigation'']]-BC45,"")</f>
        <v/>
      </c>
      <c r="BF46" s="11"/>
      <c r="BG46" s="11" t="str">
        <f>IF(ISNUMBER(tblData[[#This Row],[NSW Test Day Number]]),betaTest/(deltaTest+betaPodeltaTest*EXP(-betaTest*tblData[[#This Row],[NSW Test Day Number]])),"")</f>
        <v/>
      </c>
      <c r="BH46" s="11" t="str">
        <f>IF(ISNUMBER(tblData[[#This Row],[NSW Number of Tests]]),(tblData[[#This Row],[NSW Number of Tests]]-tblData[[#This Row],[NSW Test Logi]])^2,"")</f>
        <v/>
      </c>
      <c r="DE46" t="s">
        <v>1293</v>
      </c>
      <c r="DG46" s="27">
        <v>43852</v>
      </c>
      <c r="DI46">
        <v>5</v>
      </c>
      <c r="DJ46">
        <v>0.33457917057724718</v>
      </c>
      <c r="DK46">
        <v>4.0721909397092568E-5</v>
      </c>
      <c r="DL46">
        <v>161.50151869158597</v>
      </c>
      <c r="DM46">
        <v>8216.19554512184</v>
      </c>
      <c r="DN46" s="19">
        <v>148.73667220847148</v>
      </c>
      <c r="DO46" s="12">
        <v>2.0309562598725215E-3</v>
      </c>
      <c r="DP46">
        <v>4.0721909397092568E-2</v>
      </c>
      <c r="DR46" s="27">
        <v>43910</v>
      </c>
      <c r="DS46" t="s">
        <v>1326</v>
      </c>
      <c r="DT46">
        <v>8652</v>
      </c>
      <c r="DU46" t="s">
        <v>1327</v>
      </c>
      <c r="DV46" s="27">
        <v>43910</v>
      </c>
      <c r="DW46">
        <v>59</v>
      </c>
      <c r="DX46" t="s">
        <v>1328</v>
      </c>
      <c r="DZ46" t="s">
        <v>1329</v>
      </c>
      <c r="EA46" t="s">
        <v>1302</v>
      </c>
      <c r="EB46" t="s">
        <v>1330</v>
      </c>
      <c r="EC46">
        <v>1683.2684824902724</v>
      </c>
      <c r="ED46">
        <v>43890</v>
      </c>
      <c r="EE46">
        <v>20</v>
      </c>
      <c r="EF46">
        <v>43889</v>
      </c>
      <c r="EG46">
        <v>21</v>
      </c>
    </row>
    <row r="47" spans="2:138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49">
        <f>IF(ISNUMBER(tblData[Italy]),tblData[Italy]/$N$9,"")</f>
        <v>108.35401157981804</v>
      </c>
      <c r="O47">
        <v>58</v>
      </c>
      <c r="P47" s="49">
        <f>IF(ISNUMBER(tblData[US]),tblData[US]/$P$9,"")</f>
        <v>1.761698420156848</v>
      </c>
      <c r="Q47">
        <v>1766</v>
      </c>
      <c r="R47" s="19">
        <f>IF(ISNUMBER(tblData[SKorea]),tblData[SKorea]/$R$9,"")</f>
        <v>343.579766536965</v>
      </c>
      <c r="S47">
        <v>15</v>
      </c>
      <c r="T47" s="12">
        <f>IF(ISNUMBER(tblData[UK]),tblData[UK]/$T$9,"")</f>
        <v>2.2576760987357014</v>
      </c>
      <c r="U47">
        <v>78600</v>
      </c>
      <c r="V47" s="21">
        <f>IF(ISNUMBER(tblData[China]),tblData[China]/$V$9,"")</f>
        <v>546.08977709265605</v>
      </c>
      <c r="W47" s="26">
        <f>IF(tblData[[#This Row],[Date]]&lt;ItalyStart,"",tblData[[#This Row],[Date]]-ItalyStart)</f>
        <v>28</v>
      </c>
      <c r="X47" s="26">
        <f t="shared" si="5"/>
        <v>18</v>
      </c>
      <c r="Y47" s="26">
        <f t="shared" si="3"/>
        <v>36</v>
      </c>
      <c r="Z47" s="26">
        <f>IF(tblData[[#This Row],[Date]]&lt;StartDt2Korea,"",tblData[[#This Row],[Date]]-StartDt2Korea)</f>
        <v>8</v>
      </c>
      <c r="AA47" s="26">
        <f>IF(tblData[[#This Row],[Date]]&lt;UKStart,"",tblData[[#This Row],[Date]]-UKStart)</f>
        <v>28</v>
      </c>
      <c r="AB47">
        <f>IF(tblData[Date]&gt;=StartDt2Au,tblData[Date]-StartDt2Au,"")</f>
        <v>33</v>
      </c>
      <c r="AC47" s="26">
        <f>IF(tblData[New South Wales]&gt;0,SUM(tblData[[#This Row],[Australian Capital Territory]:[Western Australia]]),"")</f>
        <v>15</v>
      </c>
      <c r="AD47" s="12">
        <f>IF(ISNUMBER(tblData[Au]),tblData[Au]/$AA$9,"")</f>
        <v>5.9138937076170954</v>
      </c>
      <c r="AE47" s="19">
        <f>IF(ISNUMBER(tblData[[#This Row],[Day'# Aust]]),betaAu/(deltaAu+betaPodeltaAu*EXP(-betaAu*tblData[[#This Row],[Day'# Aust]])),"")</f>
        <v>9.2432238353543159</v>
      </c>
      <c r="AF47" s="72">
        <f>IF(ISNUMBER(tblData[Day'# Aust]),tblData[Au LogiP(t)]/$AD$9,"")</f>
        <v>3.6442295518665495</v>
      </c>
      <c r="AG47" s="11">
        <f>IF(AND(tblData[Date]&gt;=StartDt2Au,ISNUMBER(tblData[NSW])),(tblData[[#This Row],[Au LogiP(t)]]-tblData[[#This Row],[Au]])^2,"")</f>
        <v>33.140471809832675</v>
      </c>
      <c r="AH47">
        <f>IF(tblData[Date]&gt;StartDt2NSW,tblData[Date]-StartDt2NSW,"")</f>
        <v>33</v>
      </c>
      <c r="AI47">
        <f t="shared" si="4"/>
        <v>4</v>
      </c>
      <c r="AJ47" s="11">
        <f>IF(tblData[Date]&gt;StartDt2NSW,betaNSW/(deltaNSW+betaPodeltaNSW*EXP(-betaNSW*tblData[[#This Row],[Day '# NSW]])),"")</f>
        <v>4.2943539127361063</v>
      </c>
      <c r="AK47" s="12">
        <f>IF(AND(ISNUMBER(tblData[NSW]),tblData[Date]&gt;StartDt2NSW),(tblData[[#This Row],[NSW LogiP(t)]]-tblData[[#This Row],[NSW]])^2,"")</f>
        <v>8.6644225943055306E-2</v>
      </c>
      <c r="AL47" s="12">
        <f>IF(AND(tblData[Date]&gt;StartDt2NSW,ISNUMBER(tblData[Day'# Aust])),tblData[NSW LogiP(t)]/$AG$9,"")</f>
        <v>5.3147944464555765</v>
      </c>
      <c r="AM47" s="11">
        <f>IF(AND(tblData[Date]&gt;StartDt2Italy,ISNUMBER(tblData[Days'# Italy])),betaItaly/(deltaItaly+betaPodeltaItaly*EXP(-betaItaly*tblData[Days'# Italy])),"")</f>
        <v>637.71759763619218</v>
      </c>
      <c r="AN47" s="11">
        <f>IF(AND(tblData[Date]&gt;StartDt2Italy,ISNUMBER(tblData[Italy])),(tblData[[#This Row],[Italy LogiP(t)]]-tblData[[#This Row],[Italy]])^2,"")</f>
        <v>298.68143146455009</v>
      </c>
      <c r="AO47" s="44">
        <f>IF(AND(tblData[Date]&gt;StartDt2Italy,ISNUMBER(tblData[Days'# Italy])),tblData[[#This Row],[Italy LogiP(t)]]/$AM$9,"")</f>
        <v>105.49505337240565</v>
      </c>
      <c r="AP47" s="21">
        <f>IF(ISNUMBER(tblData[[#This Row],[Days'# US]]),betaUS/(deltaUS+betaPodeltaUS*EXP(-betaUS*tblData[Days'# US])),"")</f>
        <v>8.9336972681283946</v>
      </c>
      <c r="AQ47" s="11">
        <f>IF(ISNUMBER(tblData[US]),(tblData[[#This Row],[US LogiP(t)]]-tblData[US])^2,"")</f>
        <v>2407.5020637756706</v>
      </c>
      <c r="AR47" s="21">
        <f>IF(ISNUMBER(tblData[[#This Row],[Days'# US]]),tblData[[#This Row],[US LogiP(t)]]/$AP$9,"")</f>
        <v>0.2713531097141611</v>
      </c>
      <c r="AS47" s="21">
        <f>IF(tblData[Date]&gt;=StartDt2Korea,betaSKorea/(deltaSKorea+betaPodeltaSKorea*EXP(-betaSKorea*(tblData[Date]-StartDt2Korea))),"")</f>
        <v>1871.1555455655443</v>
      </c>
      <c r="AT47" s="21">
        <f>IF(AND(tblData[Date]&gt;=StartDt2Korea,ISNUMBER(tblData[SKorea])),(tblData[[#This Row],[SKorea LogiP(t)]]-tblData[[#This Row],[SKorea]])^2,"")</f>
        <v>11057.688763187272</v>
      </c>
      <c r="AU47" s="21">
        <f>IF(tblData[Date]&gt;=StartDt2Korea,tblData[[#This Row],[SKorea LogiP(t)]]/$AS$9,"")</f>
        <v>364.03804388434719</v>
      </c>
      <c r="AV47" s="11">
        <f>IF(ISNUMBER(tblData[Days'# UK]),betaUK/(deltaUK+betaPodeltaUK*EXP(-betaUK*tblData[Days'# UK])),"")</f>
        <v>24.248544351842256</v>
      </c>
      <c r="AW47" s="21">
        <f>IF(ISNUMBER(tblData[UK]),(tblData[[#This Row],[UK LogiP(t)]]-tblData[[#This Row],[UK]])^2,"")</f>
        <v>85.53557262799329</v>
      </c>
      <c r="AX47" s="21">
        <f>IF(ISNUMBER(tblData[Days'# UK]),tblData[[#This Row],[UK LogiP(t)]]/$AV$9,"")</f>
        <v>3.6496906008191234</v>
      </c>
      <c r="AY47" s="11">
        <f>IF(ISNUMBER(tblData[Days'# China]),betaChina/(deltaChina+betaPodeltaChina*EXP(-betaChina*tblData[Days'# China])),"")</f>
        <v>79568.845401786311</v>
      </c>
      <c r="AZ47" s="11">
        <f>IF(ISNUMBER(tblData[China]),(tblData[[#This Row],[China LogiP(t)]]-tblData[[#This Row],[China]])^2,"")</f>
        <v>938661.41256247915</v>
      </c>
      <c r="BA47" s="11">
        <f>tblData[[#This Row],[China LogiP(t)]]/$AY$9</f>
        <v>552.82103115752545</v>
      </c>
      <c r="BB47" s="11"/>
      <c r="BC47" s="11"/>
      <c r="BD47" s="11" t="str">
        <f>IF(ISNUMBER(tblData[[#This Row],[NSW Number of Tests]]),tblData[[#This Row],[NSW Number of Tests]]-BB46,"")</f>
        <v/>
      </c>
      <c r="BE47" s="11" t="str">
        <f>IF(ISNUMBER(tblData[[#This Row],[NSW Under Investigation'']]),tblData[[#This Row],[NSW Under Investigation'']]-BC46,"")</f>
        <v/>
      </c>
      <c r="BF47" s="11"/>
      <c r="BG47" s="11" t="str">
        <f>IF(ISNUMBER(tblData[[#This Row],[NSW Test Day Number]]),betaTest/(deltaTest+betaPodeltaTest*EXP(-betaTest*tblData[[#This Row],[NSW Test Day Number]])),"")</f>
        <v/>
      </c>
      <c r="BH47" s="11" t="str">
        <f>IF(ISNUMBER(tblData[[#This Row],[NSW Number of Tests]]),(tblData[[#This Row],[NSW Number of Tests]]-tblData[[#This Row],[NSW Test Logi]])^2,"")</f>
        <v/>
      </c>
      <c r="DE47" t="s">
        <v>1252</v>
      </c>
      <c r="DF47" s="82">
        <v>43911.866331018522</v>
      </c>
      <c r="DG47" s="27">
        <v>43860</v>
      </c>
      <c r="DH47" s="27">
        <v>43860</v>
      </c>
      <c r="DI47">
        <v>6</v>
      </c>
      <c r="DJ47">
        <v>0.23059524064806408</v>
      </c>
      <c r="DK47">
        <v>9.9999999999999903E-10</v>
      </c>
      <c r="DL47">
        <v>3.8070710556030042E-2</v>
      </c>
      <c r="DM47">
        <v>230595240.64806432</v>
      </c>
      <c r="DN47" s="19">
        <v>70.671251275874369</v>
      </c>
      <c r="DO47" s="12">
        <v>6.0570248687798465</v>
      </c>
      <c r="DP47">
        <v>9.9999999999999911E-7</v>
      </c>
      <c r="DR47" s="27">
        <v>43910</v>
      </c>
      <c r="DS47" t="s">
        <v>1483</v>
      </c>
      <c r="DT47">
        <v>4014</v>
      </c>
      <c r="DU47" t="s">
        <v>1484</v>
      </c>
      <c r="DV47" s="27">
        <v>43910</v>
      </c>
      <c r="DW47">
        <v>51</v>
      </c>
      <c r="DX47" t="s">
        <v>1485</v>
      </c>
      <c r="DZ47" t="s">
        <v>1486</v>
      </c>
      <c r="EB47" t="s">
        <v>1492</v>
      </c>
      <c r="EC47">
        <v>604.15412402167362</v>
      </c>
      <c r="ED47">
        <v>43910</v>
      </c>
      <c r="EE47">
        <v>1</v>
      </c>
      <c r="EF47">
        <v>43910</v>
      </c>
      <c r="EG47">
        <v>1</v>
      </c>
    </row>
    <row r="48" spans="2:138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49">
        <f>IF(ISNUMBER(tblData[Italy]),tblData[Italy]/$N$9,"")</f>
        <v>146.89826302729529</v>
      </c>
      <c r="O48">
        <v>60</v>
      </c>
      <c r="P48" s="49">
        <f>IF(ISNUMBER(tblData[US]),tblData[US]/$P$9,"")</f>
        <v>1.822446641541567</v>
      </c>
      <c r="Q48">
        <v>2337</v>
      </c>
      <c r="R48" s="19">
        <f>IF(ISNUMBER(tblData[SKorea]),tblData[SKorea]/$R$9,"")</f>
        <v>454.66926070038915</v>
      </c>
      <c r="S48">
        <v>20</v>
      </c>
      <c r="T48" s="12">
        <f>IF(ISNUMBER(tblData[UK]),tblData[UK]/$T$9,"")</f>
        <v>3.0102347983142685</v>
      </c>
      <c r="U48">
        <v>78928</v>
      </c>
      <c r="V48" s="21">
        <f>IF(ISNUMBER(tblData[China]),tblData[China]/$V$9,"")</f>
        <v>548.36862501741928</v>
      </c>
      <c r="W48" s="26">
        <f>IF(tblData[[#This Row],[Date]]&lt;ItalyStart,"",tblData[[#This Row],[Date]]-ItalyStart)</f>
        <v>29</v>
      </c>
      <c r="X48" s="26">
        <f t="shared" si="5"/>
        <v>19</v>
      </c>
      <c r="Y48" s="26">
        <f t="shared" si="3"/>
        <v>37</v>
      </c>
      <c r="Z48" s="26">
        <f>IF(tblData[[#This Row],[Date]]&lt;StartDt2Korea,"",tblData[[#This Row],[Date]]-StartDt2Korea)</f>
        <v>9</v>
      </c>
      <c r="AA48" s="26">
        <f>IF(tblData[[#This Row],[Date]]&lt;UKStart,"",tblData[[#This Row],[Date]]-UKStart)</f>
        <v>29</v>
      </c>
      <c r="AB48">
        <f>IF(tblData[Date]&gt;=StartDt2Au,tblData[Date]-StartDt2Au,"")</f>
        <v>34</v>
      </c>
      <c r="AC48" s="26">
        <f>IF(tblData[New South Wales]&gt;0,SUM(tblData[[#This Row],[Australian Capital Territory]:[Western Australia]]),"")</f>
        <v>15</v>
      </c>
      <c r="AD48" s="12">
        <f>IF(ISNUMBER(tblData[Au]),tblData[Au]/$AA$9,"")</f>
        <v>5.9138937076170954</v>
      </c>
      <c r="AE48" s="19">
        <f>IF(ISNUMBER(tblData[[#This Row],[Day'# Aust]]),betaAu/(deltaAu+betaPodeltaAu*EXP(-betaAu*tblData[[#This Row],[Day'# Aust]])),"")</f>
        <v>11.363199591509886</v>
      </c>
      <c r="AF48" s="72">
        <f>IF(ISNUMBER(tblData[Day'# Aust]),tblData[Au LogiP(t)]/$AD$9,"")</f>
        <v>4.4800503041751645</v>
      </c>
      <c r="AG48" s="11">
        <f>IF(AND(tblData[Date]&gt;=StartDt2Au,ISNUMBER(tblData[NSW])),(tblData[[#This Row],[Au LogiP(t)]]-tblData[[#This Row],[Au]])^2,"")</f>
        <v>13.226317211193859</v>
      </c>
      <c r="AH48" s="26">
        <f>IF(tblData[Date]&gt;StartDt2NSW,tblData[Date]-StartDt2NSW,"")</f>
        <v>34</v>
      </c>
      <c r="AI48">
        <f t="shared" si="4"/>
        <v>4</v>
      </c>
      <c r="AJ48" s="11">
        <f>IF(tblData[Date]&gt;StartDt2NSW,betaNSW/(deltaNSW+betaPodeltaNSW*EXP(-betaNSW*tblData[[#This Row],[Day '# NSW]])),"")</f>
        <v>5.2922329207989129</v>
      </c>
      <c r="AK48" s="12">
        <f>IF(AND(ISNUMBER(tblData[NSW]),tblData[Date]&gt;StartDt2NSW),(tblData[[#This Row],[NSW LogiP(t)]]-tblData[[#This Row],[NSW]])^2,"")</f>
        <v>1.6698659215964895</v>
      </c>
      <c r="AL48" s="12">
        <f>IF(AND(tblData[Date]&gt;StartDt2NSW,ISNUMBER(tblData[Day'# Aust])),tblData[NSW LogiP(t)]/$AG$9,"")</f>
        <v>6.5497932188105352</v>
      </c>
      <c r="AM48" s="11">
        <f>IF(AND(tblData[Date]&gt;StartDt2Italy,ISNUMBER(tblData[Days'# Italy])),betaItaly/(deltaItaly+betaPodeltaItaly*EXP(-betaItaly*tblData[Days'# Italy])),"")</f>
        <v>824.42966981006452</v>
      </c>
      <c r="AN48" s="11">
        <f>IF(AND(tblData[Date]&gt;StartDt2Italy,ISNUMBER(tblData[Italy])),(tblData[[#This Row],[Italy LogiP(t)]]-tblData[[#This Row],[Italy]])^2,"")</f>
        <v>4041.1868804574219</v>
      </c>
      <c r="AO48" s="44">
        <f>IF(AND(tblData[Date]&gt;StartDt2Italy,ISNUMBER(tblData[Days'# Italy])),tblData[[#This Row],[Italy LogiP(t)]]/$AM$9,"")</f>
        <v>136.38207937304625</v>
      </c>
      <c r="AP48" s="21">
        <f>IF(ISNUMBER(tblData[[#This Row],[Days'# US]]),betaUS/(deltaUS+betaPodeltaUS*EXP(-betaUS*tblData[Days'# US])),"")</f>
        <v>12.648335409326043</v>
      </c>
      <c r="AQ48" s="11">
        <f>IF(ISNUMBER(tblData[US]),(tblData[[#This Row],[US LogiP(t)]]-tblData[US])^2,"")</f>
        <v>2242.1801395076859</v>
      </c>
      <c r="AR48" s="21">
        <f>IF(ISNUMBER(tblData[[#This Row],[Days'# US]]),tblData[[#This Row],[US LogiP(t)]]/$AP$9,"")</f>
        <v>0.3841819397969588</v>
      </c>
      <c r="AS48" s="21">
        <f>IF(tblData[Date]&gt;=StartDt2Korea,betaSKorea/(deltaSKorea+betaPodeltaSKorea*EXP(-betaSKorea*(tblData[Date]-StartDt2Korea))),"")</f>
        <v>2384.9596940264883</v>
      </c>
      <c r="AT48" s="21">
        <f>IF(AND(tblData[Date]&gt;=StartDt2Korea,ISNUMBER(tblData[SKorea])),(tblData[[#This Row],[SKorea LogiP(t)]]-tblData[[#This Row],[SKorea]])^2,"")</f>
        <v>2300.1322511143726</v>
      </c>
      <c r="AU48" s="21">
        <f>IF(tblData[Date]&gt;=StartDt2Korea,tblData[[#This Row],[SKorea LogiP(t)]]/$AS$9,"")</f>
        <v>463.99994047207946</v>
      </c>
      <c r="AV48" s="11">
        <f>IF(ISNUMBER(tblData[Days'# UK]),betaUK/(deltaUK+betaPodeltaUK*EXP(-betaUK*tblData[Days'# UK])),"")</f>
        <v>30.537389016105454</v>
      </c>
      <c r="AW48" s="21">
        <f>IF(ISNUMBER(tblData[UK]),(tblData[[#This Row],[UK LogiP(t)]]-tblData[[#This Row],[UK]])^2,"")</f>
        <v>111.03656727673987</v>
      </c>
      <c r="AX48" s="21">
        <f>IF(ISNUMBER(tblData[Days'# UK]),tblData[[#This Row],[UK LogiP(t)]]/$AV$9,"")</f>
        <v>4.5962355532970278</v>
      </c>
      <c r="AY48" s="11">
        <f>IF(ISNUMBER(tblData[Days'# China]),betaChina/(deltaChina+betaPodeltaChina*EXP(-betaChina*tblData[Days'# China])),"")</f>
        <v>79840.458306717759</v>
      </c>
      <c r="AZ48" s="11">
        <f>IF(ISNUMBER(tblData[China]),(tblData[[#This Row],[China LogiP(t)]]-tblData[[#This Row],[China]])^2,"")</f>
        <v>832580.1614982402</v>
      </c>
      <c r="BA48" s="11">
        <f>tblData[[#This Row],[China LogiP(t)]]/$AY$9</f>
        <v>554.7081180622265</v>
      </c>
      <c r="BB48" s="11"/>
      <c r="BC48" s="11"/>
      <c r="BD48" s="11" t="str">
        <f>IF(ISNUMBER(tblData[[#This Row],[NSW Number of Tests]]),tblData[[#This Row],[NSW Number of Tests]]-BB47,"")</f>
        <v/>
      </c>
      <c r="BE48" s="11" t="str">
        <f>IF(ISNUMBER(tblData[[#This Row],[NSW Under Investigation'']]),tblData[[#This Row],[NSW Under Investigation'']]-BC47,"")</f>
        <v/>
      </c>
      <c r="BF48" s="11"/>
      <c r="BG48" s="11" t="str">
        <f>IF(ISNUMBER(tblData[[#This Row],[NSW Test Day Number]]),betaTest/(deltaTest+betaPodeltaTest*EXP(-betaTest*tblData[[#This Row],[NSW Test Day Number]])),"")</f>
        <v/>
      </c>
      <c r="BH48" s="11" t="str">
        <f>IF(ISNUMBER(tblData[[#This Row],[NSW Number of Tests]]),(tblData[[#This Row],[NSW Number of Tests]]-tblData[[#This Row],[NSW Test Logi]])^2,"")</f>
        <v/>
      </c>
      <c r="DE48" t="s">
        <v>1252</v>
      </c>
      <c r="DG48" s="27">
        <v>43860</v>
      </c>
      <c r="DI48">
        <v>6</v>
      </c>
      <c r="DJ48">
        <v>0.24137990934722836</v>
      </c>
      <c r="DK48">
        <v>9.9999999999999995E-7</v>
      </c>
      <c r="DL48">
        <v>2.4074005303217398E-2</v>
      </c>
      <c r="DM48">
        <v>241379.90934722839</v>
      </c>
      <c r="DN48" s="19">
        <v>146.85588583547002</v>
      </c>
      <c r="DO48" s="12">
        <v>10.026577722858754</v>
      </c>
      <c r="DP48">
        <v>1E-3</v>
      </c>
      <c r="DR48" s="27">
        <v>43910</v>
      </c>
      <c r="DS48" t="s">
        <v>1331</v>
      </c>
      <c r="DT48">
        <v>3269</v>
      </c>
      <c r="DU48" t="s">
        <v>1332</v>
      </c>
      <c r="DV48" s="27">
        <v>43910</v>
      </c>
      <c r="DW48">
        <v>51</v>
      </c>
      <c r="DX48" t="s">
        <v>1333</v>
      </c>
      <c r="DZ48" t="s">
        <v>1334</v>
      </c>
      <c r="EB48" t="s">
        <v>1335</v>
      </c>
      <c r="EC48">
        <v>492.0228777844672</v>
      </c>
      <c r="ED48">
        <v>43910</v>
      </c>
      <c r="EE48">
        <v>0</v>
      </c>
      <c r="EF48">
        <v>43908</v>
      </c>
      <c r="EG48">
        <v>2</v>
      </c>
    </row>
    <row r="49" spans="2:173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49">
        <f>IF(ISNUMBER(tblData[Italy]),tblData[Italy]/$N$9,"")</f>
        <v>186.60049627791562</v>
      </c>
      <c r="O49">
        <v>68</v>
      </c>
      <c r="P49" s="49">
        <f>IF(ISNUMBER(tblData[US]),tblData[US]/$P$9,"")</f>
        <v>2.0654395270804424</v>
      </c>
      <c r="Q49">
        <v>3150</v>
      </c>
      <c r="R49" s="19">
        <f>IF(ISNUMBER(tblData[SKorea]),tblData[SKorea]/$R$9,"")</f>
        <v>612.84046692607012</v>
      </c>
      <c r="S49">
        <v>23</v>
      </c>
      <c r="T49" s="12">
        <f>IF(ISNUMBER(tblData[UK]),tblData[UK]/$T$9,"")</f>
        <v>3.4617700180614088</v>
      </c>
      <c r="U49">
        <v>79356</v>
      </c>
      <c r="V49" s="21">
        <f>IF(ISNUMBER(tblData[China]),tblData[China]/$V$9,"")</f>
        <v>551.34224365095179</v>
      </c>
      <c r="W49" s="26">
        <f>IF(tblData[[#This Row],[Date]]&lt;ItalyStart,"",tblData[[#This Row],[Date]]-ItalyStart)</f>
        <v>30</v>
      </c>
      <c r="X49" s="26">
        <f t="shared" si="5"/>
        <v>20</v>
      </c>
      <c r="Y49" s="26">
        <f t="shared" si="3"/>
        <v>38</v>
      </c>
      <c r="Z49" s="26">
        <f>IF(tblData[[#This Row],[Date]]&lt;StartDt2Korea,"",tblData[[#This Row],[Date]]-StartDt2Korea)</f>
        <v>10</v>
      </c>
      <c r="AA49" s="26">
        <f>IF(tblData[[#This Row],[Date]]&lt;UKStart,"",tblData[[#This Row],[Date]]-UKStart)</f>
        <v>30</v>
      </c>
      <c r="AB49">
        <f>IF(tblData[Date]&gt;=StartDt2Au,tblData[Date]-StartDt2Au,"")</f>
        <v>35</v>
      </c>
      <c r="AC49" s="26">
        <f>IF(tblData[New South Wales]&gt;0,SUM(tblData[[#This Row],[Australian Capital Territory]:[Western Australia]]),"")</f>
        <v>25</v>
      </c>
      <c r="AD49" s="12">
        <f>IF(ISNUMBER(tblData[Au]),tblData[Au]/$AA$9,"")</f>
        <v>9.856489512695159</v>
      </c>
      <c r="AE49" s="19">
        <f>IF(ISNUMBER(tblData[[#This Row],[Day'# Aust]]),betaAu/(deltaAu+betaPodeltaAu*EXP(-betaAu*tblData[[#This Row],[Day'# Aust]])),"")</f>
        <v>13.969401472088558</v>
      </c>
      <c r="AF49" s="72">
        <f>IF(ISNUMBER(tblData[Day'# Aust]),tblData[Au LogiP(t)]/$AD$9,"")</f>
        <v>5.5075703643307676</v>
      </c>
      <c r="AG49" s="11">
        <f>IF(AND(tblData[Date]&gt;=StartDt2Au,ISNUMBER(tblData[NSW])),(tblData[[#This Row],[Au LogiP(t)]]-tblData[[#This Row],[Au]])^2,"")</f>
        <v>121.67410388396208</v>
      </c>
      <c r="AH49" s="26">
        <f>IF(tblData[Date]&gt;StartDt2NSW,tblData[Date]-StartDt2NSW,"")</f>
        <v>35</v>
      </c>
      <c r="AI49">
        <f t="shared" si="4"/>
        <v>4</v>
      </c>
      <c r="AJ49" s="11">
        <f>IF(tblData[Date]&gt;StartDt2NSW,betaNSW/(deltaNSW+betaPodeltaNSW*EXP(-betaNSW*tblData[[#This Row],[Day '# NSW]])),"")</f>
        <v>6.5214332112218498</v>
      </c>
      <c r="AK49" s="12">
        <f>IF(AND(ISNUMBER(tblData[NSW]),tblData[Date]&gt;StartDt2NSW),(tblData[[#This Row],[NSW LogiP(t)]]-tblData[[#This Row],[NSW]])^2,"")</f>
        <v>6.3576254386525299</v>
      </c>
      <c r="AL49" s="12">
        <f>IF(AND(tblData[Date]&gt;StartDt2NSW,ISNUMBER(tblData[Day'# Aust])),tblData[NSW LogiP(t)]/$AG$9,"")</f>
        <v>8.0710807069577353</v>
      </c>
      <c r="AM49" s="11">
        <f>IF(AND(tblData[Date]&gt;StartDt2Italy,ISNUMBER(tblData[Days'# Italy])),betaItaly/(deltaItaly+betaPodeltaItaly*EXP(-betaItaly*tblData[Days'# Italy])),"")</f>
        <v>1064.7448067773078</v>
      </c>
      <c r="AN49" s="11">
        <f>IF(AND(tblData[Date]&gt;StartDt2Italy,ISNUMBER(tblData[Italy])),(tblData[[#This Row],[Italy LogiP(t)]]-tblData[[#This Row],[Italy]])^2,"")</f>
        <v>4001.2194696401307</v>
      </c>
      <c r="AO49" s="44">
        <f>IF(AND(tblData[Date]&gt;StartDt2Italy,ISNUMBER(tblData[Days'# Italy])),tblData[[#This Row],[Italy LogiP(t)]]/$AM$9,"")</f>
        <v>176.13644446274736</v>
      </c>
      <c r="AP49" s="21">
        <f>IF(ISNUMBER(tblData[[#This Row],[Days'# US]]),betaUS/(deltaUS+betaPodeltaUS*EXP(-betaUS*tblData[Days'# US])),"")</f>
        <v>17.907522844643484</v>
      </c>
      <c r="AQ49" s="11">
        <f>IF(ISNUMBER(tblData[US]),(tblData[[#This Row],[US LogiP(t)]]-tblData[US])^2,"")</f>
        <v>2509.2562675599147</v>
      </c>
      <c r="AR49" s="21">
        <f>IF(ISNUMBER(tblData[[#This Row],[Days'# US]]),tblData[[#This Row],[US LogiP(t)]]/$AP$9,"")</f>
        <v>0.54392508110915672</v>
      </c>
      <c r="AS49" s="21">
        <f>IF(tblData[Date]&gt;=StartDt2Korea,betaSKorea/(deltaSKorea+betaPodeltaSKorea*EXP(-betaSKorea*(tblData[Date]-StartDt2Korea))),"")</f>
        <v>2974.7631173528671</v>
      </c>
      <c r="AT49" s="21">
        <f>IF(AND(tblData[Date]&gt;=StartDt2Korea,ISNUMBER(tblData[SKorea])),(tblData[[#This Row],[SKorea LogiP(t)]]-tblData[[#This Row],[SKorea]])^2,"")</f>
        <v>30707.965039885032</v>
      </c>
      <c r="AU49" s="21">
        <f>IF(tblData[Date]&gt;=StartDt2Korea,tblData[[#This Row],[SKorea LogiP(t)]]/$AS$9,"")</f>
        <v>578.74768820094698</v>
      </c>
      <c r="AV49" s="11">
        <f>IF(ISNUMBER(tblData[Days'# UK]),betaUK/(deltaUK+betaPodeltaUK*EXP(-betaUK*tblData[Days'# UK])),"")</f>
        <v>38.457241300518611</v>
      </c>
      <c r="AW49" s="21">
        <f>IF(ISNUMBER(tblData[UK]),(tblData[[#This Row],[UK LogiP(t)]]-tblData[[#This Row],[UK]])^2,"")</f>
        <v>238.92630862245827</v>
      </c>
      <c r="AX49" s="21">
        <f>IF(ISNUMBER(tblData[Days'# UK]),tblData[[#This Row],[UK LogiP(t)]]/$AV$9,"")</f>
        <v>5.7882663004994894</v>
      </c>
      <c r="AY49" s="11">
        <f>IF(ISNUMBER(tblData[Days'# China]),betaChina/(deltaChina+betaPodeltaChina*EXP(-betaChina*tblData[Days'# China])),"")</f>
        <v>80059.306865926192</v>
      </c>
      <c r="AZ49" s="11">
        <f>IF(ISNUMBER(tblData[China]),(tblData[[#This Row],[China LogiP(t)]]-tblData[[#This Row],[China]])^2,"")</f>
        <v>494640.54765892215</v>
      </c>
      <c r="BA49" s="11">
        <f>tblData[[#This Row],[China LogiP(t)]]/$AY$9</f>
        <v>556.22861374817023</v>
      </c>
      <c r="BB49" s="11"/>
      <c r="BC49" s="11"/>
      <c r="BD49" s="11" t="str">
        <f>IF(ISNUMBER(tblData[[#This Row],[NSW Number of Tests]]),tblData[[#This Row],[NSW Number of Tests]]-BB48,"")</f>
        <v/>
      </c>
      <c r="BE49" s="11" t="str">
        <f>IF(ISNUMBER(tblData[[#This Row],[NSW Under Investigation'']]),tblData[[#This Row],[NSW Under Investigation'']]-BC48,"")</f>
        <v/>
      </c>
      <c r="BF49" s="11"/>
      <c r="BG49" s="11" t="str">
        <f>IF(ISNUMBER(tblData[[#This Row],[NSW Test Day Number]]),betaTest/(deltaTest+betaPodeltaTest*EXP(-betaTest*tblData[[#This Row],[NSW Test Day Number]])),"")</f>
        <v/>
      </c>
      <c r="BH49" s="11" t="str">
        <f>IF(ISNUMBER(tblData[[#This Row],[NSW Number of Tests]]),(tblData[[#This Row],[NSW Number of Tests]]-tblData[[#This Row],[NSW Test Logi]])^2,"")</f>
        <v/>
      </c>
      <c r="DE49" t="s">
        <v>989</v>
      </c>
      <c r="DI49">
        <v>7</v>
      </c>
      <c r="DJ49" s="23">
        <v>0.20209478104227763</v>
      </c>
      <c r="DK49" s="25">
        <v>1.0000000000000751E-10</v>
      </c>
      <c r="DL49" s="22">
        <v>5.7886977342360797E-3</v>
      </c>
      <c r="DM49" s="24">
        <v>2020947810.4226243</v>
      </c>
      <c r="DN49" s="22">
        <v>1385.0469640460797</v>
      </c>
      <c r="DO49" s="37">
        <v>34.911959532184611</v>
      </c>
      <c r="DP49" s="24">
        <v>1.0000000000000751E-7</v>
      </c>
      <c r="DQ49" s="24"/>
      <c r="DR49" s="27">
        <v>43908</v>
      </c>
      <c r="DS49" s="27" t="s">
        <v>1003</v>
      </c>
      <c r="DT49">
        <v>33387</v>
      </c>
      <c r="DU49" t="s">
        <v>1004</v>
      </c>
      <c r="DV49" s="27">
        <v>43908</v>
      </c>
      <c r="DW49" s="19">
        <v>13</v>
      </c>
      <c r="DX49" s="27" t="s">
        <v>1005</v>
      </c>
      <c r="DZ49" t="s">
        <v>1035</v>
      </c>
      <c r="EB49" s="18" t="s">
        <v>1036</v>
      </c>
      <c r="ED49" s="19"/>
      <c r="EE49" s="19"/>
    </row>
    <row r="50" spans="2:173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49">
        <f>IF(ISNUMBER(tblData[Italy]),tblData[Italy]/$N$9,"")</f>
        <v>280.2315963606286</v>
      </c>
      <c r="O50">
        <v>74</v>
      </c>
      <c r="P50" s="49">
        <f>IF(ISNUMBER(tblData[US]),tblData[US]/$P$9,"")</f>
        <v>2.2476841912345993</v>
      </c>
      <c r="Q50">
        <v>3736</v>
      </c>
      <c r="R50" s="19">
        <f>IF(ISNUMBER(tblData[SKorea]),tblData[SKorea]/$R$9,"")</f>
        <v>726.84824902723744</v>
      </c>
      <c r="S50">
        <v>36</v>
      </c>
      <c r="T50" s="12">
        <f>IF(ISNUMBER(tblData[UK]),tblData[UK]/$T$9,"")</f>
        <v>5.4184226369656834</v>
      </c>
      <c r="U50">
        <v>79932</v>
      </c>
      <c r="V50" s="21">
        <f>IF(ISNUMBER(tblData[China]),tblData[China]/$V$9,"")</f>
        <v>555.34412293346293</v>
      </c>
      <c r="W50" s="26">
        <f>IF(tblData[[#This Row],[Date]]&lt;ItalyStart,"",tblData[[#This Row],[Date]]-ItalyStart)</f>
        <v>31</v>
      </c>
      <c r="X50" s="26">
        <f t="shared" si="5"/>
        <v>21</v>
      </c>
      <c r="Y50" s="26">
        <f t="shared" si="3"/>
        <v>39</v>
      </c>
      <c r="Z50" s="26">
        <f>IF(tblData[[#This Row],[Date]]&lt;StartDt2Korea,"",tblData[[#This Row],[Date]]-StartDt2Korea)</f>
        <v>11</v>
      </c>
      <c r="AA50" s="26">
        <f>IF(tblData[[#This Row],[Date]]&lt;UKStart,"",tblData[[#This Row],[Date]]-UKStart)</f>
        <v>31</v>
      </c>
      <c r="AB50">
        <f>IF(tblData[Date]&gt;=StartDt2Au,tblData[Date]-StartDt2Au,"")</f>
        <v>36</v>
      </c>
      <c r="AC50" s="26">
        <f>IF(tblData[New South Wales]&gt;0,SUM(tblData[[#This Row],[Australian Capital Territory]:[Western Australia]]),"")</f>
        <v>27</v>
      </c>
      <c r="AD50" s="12">
        <f>IF(ISNUMBER(tblData[Au]),tblData[Au]/$AA$9,"")</f>
        <v>10.645008673710771</v>
      </c>
      <c r="AE50" s="19">
        <f>IF(ISNUMBER(tblData[[#This Row],[Day'# Aust]]),betaAu/(deltaAu+betaPodeltaAu*EXP(-betaAu*tblData[[#This Row],[Day'# Aust]])),"")</f>
        <v>17.17334764314894</v>
      </c>
      <c r="AF50" s="72">
        <f>IF(ISNUMBER(tblData[Day'# Aust]),tblData[Au LogiP(t)]/$AD$9,"")</f>
        <v>6.7707568377026259</v>
      </c>
      <c r="AG50" s="11">
        <f>IF(AND(tblData[Date]&gt;=StartDt2Au,ISNUMBER(tblData[NSW])),(tblData[[#This Row],[Au LogiP(t)]]-tblData[[#This Row],[Au]])^2,"")</f>
        <v>96.563096542406498</v>
      </c>
      <c r="AH50" s="26">
        <f>IF(tblData[Date]&gt;StartDt2NSW,tblData[Date]-StartDt2NSW,"")</f>
        <v>36</v>
      </c>
      <c r="AI50">
        <f t="shared" si="4"/>
        <v>6</v>
      </c>
      <c r="AJ50" s="11">
        <f>IF(tblData[Date]&gt;StartDt2NSW,betaNSW/(deltaNSW+betaPodeltaNSW*EXP(-betaNSW*tblData[[#This Row],[Day '# NSW]])),"")</f>
        <v>8.0352900723019296</v>
      </c>
      <c r="AK50" s="12">
        <f>IF(AND(ISNUMBER(tblData[NSW]),tblData[Date]&gt;StartDt2NSW),(tblData[[#This Row],[NSW LogiP(t)]]-tblData[[#This Row],[NSW]])^2,"")</f>
        <v>4.1424056784107934</v>
      </c>
      <c r="AL50" s="12">
        <f>IF(AND(tblData[Date]&gt;StartDt2NSW,ISNUMBER(tblData[Day'# Aust])),tblData[NSW LogiP(t)]/$AG$9,"")</f>
        <v>9.9446659310667442</v>
      </c>
      <c r="AM50" s="11">
        <f>IF(AND(tblData[Date]&gt;StartDt2Italy,ISNUMBER(tblData[Days'# Italy])),betaItaly/(deltaItaly+betaPodeltaItaly*EXP(-betaItaly*tblData[Days'# Italy])),"")</f>
        <v>1373.3473556223698</v>
      </c>
      <c r="AN50" s="11">
        <f>IF(AND(tblData[Date]&gt;StartDt2Italy,ISNUMBER(tblData[Italy])),(tblData[[#This Row],[Italy LogiP(t)]]-tblData[[#This Row],[Italy]])^2,"")</f>
        <v>102818.11834636696</v>
      </c>
      <c r="AO50" s="44">
        <f>IF(AND(tblData[Date]&gt;StartDt2Italy,ISNUMBER(tblData[Days'# Italy])),tblData[[#This Row],[Italy LogiP(t)]]/$AM$9,"")</f>
        <v>227.18732102934158</v>
      </c>
      <c r="AP50" s="21">
        <f>IF(ISNUMBER(tblData[[#This Row],[Days'# US]]),betaUS/(deltaUS+betaPodeltaUS*EXP(-betaUS*tblData[Days'# US])),"")</f>
        <v>25.353484236203816</v>
      </c>
      <c r="AQ50" s="11">
        <f>IF(ISNUMBER(tblData[US]),(tblData[[#This Row],[US LogiP(t)]]-tblData[US])^2,"")</f>
        <v>2366.4834959572709</v>
      </c>
      <c r="AR50" s="21">
        <f>IF(ISNUMBER(tblData[[#This Row],[Days'# US]]),tblData[[#This Row],[US LogiP(t)]]/$AP$9,"")</f>
        <v>0.77008953662744506</v>
      </c>
      <c r="AS50" s="21">
        <f>IF(tblData[Date]&gt;=StartDt2Korea,betaSKorea/(deltaSKorea+betaPodeltaSKorea*EXP(-betaSKorea*(tblData[Date]-StartDt2Korea))),"")</f>
        <v>3621.4171393842262</v>
      </c>
      <c r="AT50" s="21">
        <f>IF(AND(tblData[Date]&gt;=StartDt2Korea,ISNUMBER(tblData[SKorea])),(tblData[[#This Row],[SKorea LogiP(t)]]-tblData[[#This Row],[SKorea]])^2,"")</f>
        <v>13129.231946893853</v>
      </c>
      <c r="AU50" s="21">
        <f>IF(tblData[Date]&gt;=StartDt2Korea,tblData[[#This Row],[SKorea LogiP(t)]]/$AS$9,"")</f>
        <v>704.55586369342927</v>
      </c>
      <c r="AV50" s="11">
        <f>IF(ISNUMBER(tblData[Days'# UK]),betaUK/(deltaUK+betaPodeltaUK*EXP(-betaUK*tblData[Days'# UK])),"")</f>
        <v>48.431101771425105</v>
      </c>
      <c r="AW50" s="21">
        <f>IF(ISNUMBER(tblData[UK]),(tblData[[#This Row],[UK LogiP(t)]]-tblData[[#This Row],[UK]])^2,"")</f>
        <v>154.53229125152839</v>
      </c>
      <c r="AX50" s="21">
        <f>IF(ISNUMBER(tblData[Days'# UK]),tblData[[#This Row],[UK LogiP(t)]]/$AV$9,"")</f>
        <v>7.2894493936521831</v>
      </c>
      <c r="AY50" s="11">
        <f>IF(ISNUMBER(tblData[Days'# China]),betaChina/(deltaChina+betaPodeltaChina*EXP(-betaChina*tblData[Days'# China])),"")</f>
        <v>80235.427956371364</v>
      </c>
      <c r="AZ50" s="11">
        <f>IF(ISNUMBER(tblData[China]),(tblData[[#This Row],[China LogiP(t)]]-tblData[[#This Row],[China]])^2,"")</f>
        <v>92068.524707702629</v>
      </c>
      <c r="BA50" s="11">
        <f>tblData[[#This Row],[China LogiP(t)]]/$AY$9</f>
        <v>557.45225149654834</v>
      </c>
      <c r="BB50" s="11"/>
      <c r="BC50" s="11"/>
      <c r="BD50" s="11" t="str">
        <f>IF(ISNUMBER(tblData[[#This Row],[NSW Number of Tests]]),tblData[[#This Row],[NSW Number of Tests]]-BB49,"")</f>
        <v/>
      </c>
      <c r="BE50" s="11" t="str">
        <f>IF(ISNUMBER(tblData[[#This Row],[NSW Under Investigation'']]),tblData[[#This Row],[NSW Under Investigation'']]-BC49,"")</f>
        <v/>
      </c>
      <c r="BF50" s="11"/>
      <c r="BG50" s="11" t="str">
        <f>IF(ISNUMBER(tblData[[#This Row],[NSW Test Day Number]]),betaTest/(deltaTest+betaPodeltaTest*EXP(-betaTest*tblData[[#This Row],[NSW Test Day Number]])),"")</f>
        <v/>
      </c>
      <c r="BH50" s="11" t="str">
        <f>IF(ISNUMBER(tblData[[#This Row],[NSW Number of Tests]]),(tblData[[#This Row],[NSW Number of Tests]]-tblData[[#This Row],[NSW Test Logi]])^2,"")</f>
        <v/>
      </c>
      <c r="DE50" t="s">
        <v>989</v>
      </c>
      <c r="DF50" s="82">
        <v>43911.866342592592</v>
      </c>
      <c r="DH50" s="27">
        <v>43896</v>
      </c>
      <c r="DI50">
        <v>7</v>
      </c>
      <c r="DJ50">
        <v>0.20209478104227763</v>
      </c>
      <c r="DK50">
        <v>1.0000000000000751E-10</v>
      </c>
      <c r="DL50">
        <v>5.7886977342360797E-3</v>
      </c>
      <c r="DM50">
        <v>2020947810.4226243</v>
      </c>
      <c r="DN50" s="19">
        <v>1753.8770216205796</v>
      </c>
      <c r="DO50" s="12">
        <v>34.911959532184611</v>
      </c>
      <c r="DP50">
        <v>1.0000000000000751E-7</v>
      </c>
      <c r="DR50" s="27">
        <v>43910</v>
      </c>
      <c r="DS50" t="s">
        <v>1003</v>
      </c>
      <c r="DT50">
        <v>40298</v>
      </c>
      <c r="DU50" t="s">
        <v>1004</v>
      </c>
      <c r="DV50" s="27">
        <v>43910</v>
      </c>
      <c r="DW50">
        <v>15</v>
      </c>
      <c r="DX50" t="s">
        <v>1005</v>
      </c>
      <c r="DZ50" t="s">
        <v>1035</v>
      </c>
      <c r="EB50" t="s">
        <v>1506</v>
      </c>
    </row>
    <row r="51" spans="2:173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49">
        <f>IF(ISNUMBER(tblData[Italy]),tblData[Italy]/$N$9,"")</f>
        <v>336.80727874276261</v>
      </c>
      <c r="O51">
        <v>98</v>
      </c>
      <c r="P51" s="49">
        <f>IF(ISNUMBER(tblData[US]),tblData[US]/$P$9,"")</f>
        <v>2.9766628478512263</v>
      </c>
      <c r="Q51">
        <v>4335</v>
      </c>
      <c r="R51" s="19">
        <f>IF(ISNUMBER(tblData[SKorea]),tblData[SKorea]/$R$9,"")</f>
        <v>843.38521400778211</v>
      </c>
      <c r="S51">
        <v>40</v>
      </c>
      <c r="T51" s="12">
        <f>IF(ISNUMBER(tblData[UK]),tblData[UK]/$T$9,"")</f>
        <v>6.0204695966285371</v>
      </c>
      <c r="U51">
        <v>80136</v>
      </c>
      <c r="V51" s="21">
        <f>IF(ISNUMBER(tblData[China]),tblData[China]/$V$9,"")</f>
        <v>556.7614551793522</v>
      </c>
      <c r="W51" s="26">
        <f>IF(tblData[[#This Row],[Date]]&lt;ItalyStart,"",tblData[[#This Row],[Date]]-ItalyStart)</f>
        <v>32</v>
      </c>
      <c r="X51" s="26">
        <f t="shared" si="5"/>
        <v>22</v>
      </c>
      <c r="Y51" s="26">
        <f t="shared" si="3"/>
        <v>40</v>
      </c>
      <c r="Z51" s="26">
        <f>IF(tblData[[#This Row],[Date]]&lt;StartDt2Korea,"",tblData[[#This Row],[Date]]-StartDt2Korea)</f>
        <v>12</v>
      </c>
      <c r="AA51" s="26">
        <f>IF(tblData[[#This Row],[Date]]&lt;UKStart,"",tblData[[#This Row],[Date]]-UKStart)</f>
        <v>32</v>
      </c>
      <c r="AB51">
        <f>IF(tblData[Date]&gt;=StartDt2Au,tblData[Date]-StartDt2Au,"")</f>
        <v>37</v>
      </c>
      <c r="AC51" s="26">
        <f>IF(tblData[New South Wales]&gt;0,SUM(tblData[[#This Row],[Australian Capital Territory]:[Western Australia]]),"")</f>
        <v>30</v>
      </c>
      <c r="AD51" s="12">
        <f>IF(ISNUMBER(tblData[Au]),tblData[Au]/$AA$9,"")</f>
        <v>11.827787415234191</v>
      </c>
      <c r="AE51" s="19">
        <f>IF(ISNUMBER(tblData[[#This Row],[Day'# Aust]]),betaAu/(deltaAu+betaPodeltaAu*EXP(-betaAu*tblData[[#This Row],[Day'# Aust]])),"")</f>
        <v>21.112133459129591</v>
      </c>
      <c r="AF51" s="72">
        <f>IF(ISNUMBER(tblData[Day'# Aust]),tblData[Au LogiP(t)]/$AD$9,"")</f>
        <v>8.3236608812212545</v>
      </c>
      <c r="AG51" s="11">
        <f>IF(AND(tblData[Date]&gt;=StartDt2Au,ISNUMBER(tblData[NSW])),(tblData[[#This Row],[Au LogiP(t)]]-tblData[[#This Row],[Au]])^2,"")</f>
        <v>78.994171648323729</v>
      </c>
      <c r="AH51" s="26">
        <f>IF(tblData[Date]&gt;StartDt2NSW,tblData[Date]-StartDt2NSW,"")</f>
        <v>37</v>
      </c>
      <c r="AI51">
        <f t="shared" si="4"/>
        <v>6</v>
      </c>
      <c r="AJ51" s="11">
        <f>IF(tblData[Date]&gt;StartDt2NSW,betaNSW/(deltaNSW+betaPodeltaNSW*EXP(-betaNSW*tblData[[#This Row],[Day '# NSW]])),"")</f>
        <v>9.8992871899891952</v>
      </c>
      <c r="AK51" s="12">
        <f>IF(AND(ISNUMBER(tblData[NSW]),tblData[Date]&gt;StartDt2NSW),(tblData[[#This Row],[NSW LogiP(t)]]-tblData[[#This Row],[NSW]])^2,"")</f>
        <v>15.204440590013833</v>
      </c>
      <c r="AL51" s="12">
        <f>IF(AND(tblData[Date]&gt;StartDt2NSW,ISNUMBER(tblData[Day'# Aust])),tblData[NSW LogiP(t)]/$AG$9,"")</f>
        <v>12.25159305691732</v>
      </c>
      <c r="AM51" s="11">
        <f>IF(AND(tblData[Date]&gt;StartDt2Italy,ISNUMBER(tblData[Days'# Italy])),betaItaly/(deltaItaly+betaPodeltaItaly*EXP(-betaItaly*tblData[Days'# Italy])),"")</f>
        <v>1768.4833026841723</v>
      </c>
      <c r="AN51" s="11">
        <f>IF(AND(tblData[Date]&gt;StartDt2Italy,ISNUMBER(tblData[Italy])),(tblData[[#This Row],[Italy LogiP(t)]]-tblData[[#This Row],[Italy]])^2,"")</f>
        <v>71565.1833427682</v>
      </c>
      <c r="AO51" s="44">
        <f>IF(AND(tblData[Date]&gt;StartDt2Italy,ISNUMBER(tblData[Days'# Italy])),tblData[[#This Row],[Italy LogiP(t)]]/$AM$9,"")</f>
        <v>292.55306909581014</v>
      </c>
      <c r="AP51" s="21">
        <f>IF(ISNUMBER(tblData[[#This Row],[Days'# US]]),betaUS/(deltaUS+betaPodeltaUS*EXP(-betaUS*tblData[Days'# US])),"")</f>
        <v>35.895481623463873</v>
      </c>
      <c r="AQ51" s="11">
        <f>IF(ISNUMBER(tblData[US]),(tblData[[#This Row],[US LogiP(t)]]-tblData[US])^2,"")</f>
        <v>3856.9712027815135</v>
      </c>
      <c r="AR51" s="21">
        <f>IF(ISNUMBER(tblData[[#This Row],[Days'# US]]),tblData[[#This Row],[US LogiP(t)]]/$AP$9,"")</f>
        <v>1.0902933321866461</v>
      </c>
      <c r="AS51" s="21">
        <f>IF(tblData[Date]&gt;=StartDt2Korea,betaSKorea/(deltaSKorea+betaPodeltaSKorea*EXP(-betaSKorea*(tblData[Date]-StartDt2Korea))),"")</f>
        <v>4295.660595720261</v>
      </c>
      <c r="AT51" s="21">
        <f>IF(AND(tblData[Date]&gt;=StartDt2Korea,ISNUMBER(tblData[SKorea])),(tblData[[#This Row],[SKorea LogiP(t)]]-tblData[[#This Row],[SKorea]])^2,"")</f>
        <v>1547.5887290847493</v>
      </c>
      <c r="AU51" s="21">
        <f>IF(tblData[Date]&gt;=StartDt2Korea,tblData[[#This Row],[SKorea LogiP(t)]]/$AS$9,"")</f>
        <v>835.73163340861117</v>
      </c>
      <c r="AV51" s="11">
        <f>IF(ISNUMBER(tblData[Days'# UK]),betaUK/(deltaUK+betaPodeltaUK*EXP(-betaUK*tblData[Days'# UK])),"")</f>
        <v>60.991675771889746</v>
      </c>
      <c r="AW51" s="21">
        <f>IF(ISNUMBER(tblData[UK]),(tblData[[#This Row],[UK LogiP(t)]]-tblData[[#This Row],[UK]])^2,"")</f>
        <v>440.65045171214297</v>
      </c>
      <c r="AX51" s="21">
        <f>IF(ISNUMBER(tblData[Days'# UK]),tblData[[#This Row],[UK LogiP(t)]]/$AV$9,"")</f>
        <v>9.1799632408021896</v>
      </c>
      <c r="AY51" s="11">
        <f>IF(ISNUMBER(tblData[Days'# China]),betaChina/(deltaChina+betaPodeltaChina*EXP(-betaChina*tblData[Days'# China])),"")</f>
        <v>80377.02558902475</v>
      </c>
      <c r="AZ51" s="11">
        <f>IF(ISNUMBER(tblData[China]),(tblData[[#This Row],[China LogiP(t)]]-tblData[[#This Row],[China]])^2,"")</f>
        <v>58093.334564727658</v>
      </c>
      <c r="BA51" s="11">
        <f>tblData[[#This Row],[China LogiP(t)]]/$AY$9</f>
        <v>558.43603037253479</v>
      </c>
      <c r="BB51" s="11"/>
      <c r="BC51" s="11"/>
      <c r="BD51" s="11" t="str">
        <f>IF(ISNUMBER(tblData[[#This Row],[NSW Number of Tests]]),tblData[[#This Row],[NSW Number of Tests]]-BB50,"")</f>
        <v/>
      </c>
      <c r="BE51" s="11" t="str">
        <f>IF(ISNUMBER(tblData[[#This Row],[NSW Under Investigation'']]),tblData[[#This Row],[NSW Under Investigation'']]-BC50,"")</f>
        <v/>
      </c>
      <c r="BF51" s="11"/>
      <c r="BG51" s="11" t="str">
        <f>IF(ISNUMBER(tblData[[#This Row],[NSW Test Day Number]]),betaTest/(deltaTest+betaPodeltaTest*EXP(-betaTest*tblData[[#This Row],[NSW Test Day Number]])),"")</f>
        <v/>
      </c>
      <c r="BH51" s="11" t="str">
        <f>IF(ISNUMBER(tblData[[#This Row],[NSW Number of Tests]]),(tblData[[#This Row],[NSW Number of Tests]]-tblData[[#This Row],[NSW Test Logi]])^2,"")</f>
        <v/>
      </c>
      <c r="DE51" t="s">
        <v>989</v>
      </c>
      <c r="DI51">
        <v>7</v>
      </c>
      <c r="DJ51">
        <v>0.20209478104227763</v>
      </c>
      <c r="DK51">
        <v>1.0000000000000751E-10</v>
      </c>
      <c r="DL51">
        <v>5.7886977342360797E-3</v>
      </c>
      <c r="DM51">
        <v>2020947810.4226243</v>
      </c>
      <c r="DN51" s="19">
        <v>1753.8770216205796</v>
      </c>
      <c r="DO51" s="12">
        <v>34.911959532184611</v>
      </c>
      <c r="DP51">
        <v>1.0000000000000751E-7</v>
      </c>
      <c r="DR51" s="27">
        <v>43910</v>
      </c>
      <c r="DS51" t="s">
        <v>1003</v>
      </c>
      <c r="DT51">
        <v>40298</v>
      </c>
      <c r="DU51" t="s">
        <v>1004</v>
      </c>
      <c r="DV51" s="27">
        <v>43910</v>
      </c>
      <c r="DW51">
        <v>15</v>
      </c>
      <c r="DX51" t="s">
        <v>1005</v>
      </c>
      <c r="DZ51" t="s">
        <v>1035</v>
      </c>
      <c r="EB51" t="s">
        <v>1336</v>
      </c>
    </row>
    <row r="52" spans="2:173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49">
        <f>IF(ISNUMBER(tblData[Italy]),tblData[Italy]/$N$9,"")</f>
        <v>413.89578163771711</v>
      </c>
      <c r="O52">
        <v>118</v>
      </c>
      <c r="P52" s="49">
        <f>IF(ISNUMBER(tblData[US]),tblData[US]/$P$9,"")</f>
        <v>3.5841450616984152</v>
      </c>
      <c r="Q52">
        <v>5186</v>
      </c>
      <c r="R52" s="19">
        <f>IF(ISNUMBER(tblData[SKorea]),tblData[SKorea]/$R$9,"")</f>
        <v>1008.9494163424125</v>
      </c>
      <c r="S52">
        <v>51</v>
      </c>
      <c r="T52" s="12">
        <f>IF(ISNUMBER(tblData[UK]),tblData[UK]/$T$9,"")</f>
        <v>7.6760987357013848</v>
      </c>
      <c r="U52">
        <v>80261</v>
      </c>
      <c r="V52" s="21">
        <f>IF(ISNUMBER(tblData[China]),tblData[China]/$V$9,"")</f>
        <v>557.6299185653138</v>
      </c>
      <c r="W52" s="26">
        <f>IF(tblData[[#This Row],[Date]]&lt;ItalyStart,"",tblData[[#This Row],[Date]]-ItalyStart)</f>
        <v>33</v>
      </c>
      <c r="X52" s="26">
        <f t="shared" si="5"/>
        <v>23</v>
      </c>
      <c r="Y52" s="26">
        <f t="shared" si="3"/>
        <v>41</v>
      </c>
      <c r="Z52" s="26">
        <f>IF(tblData[[#This Row],[Date]]&lt;StartDt2Korea,"",tblData[[#This Row],[Date]]-StartDt2Korea)</f>
        <v>13</v>
      </c>
      <c r="AA52" s="26">
        <f>IF(tblData[[#This Row],[Date]]&lt;UKStart,"",tblData[[#This Row],[Date]]-UKStart)</f>
        <v>33</v>
      </c>
      <c r="AB52">
        <f>IF(tblData[Date]&gt;=StartDt2Au,tblData[Date]-StartDt2Au,"")</f>
        <v>38</v>
      </c>
      <c r="AC52" s="26">
        <f>IF(tblData[New South Wales]&gt;0,SUM(tblData[[#This Row],[Australian Capital Territory]:[Western Australia]]),"")</f>
        <v>39</v>
      </c>
      <c r="AD52" s="12">
        <f>IF(ISNUMBER(tblData[Au]),tblData[Au]/$AA$9,"")</f>
        <v>15.376123639804447</v>
      </c>
      <c r="AE52" s="19">
        <f>IF(ISNUMBER(tblData[[#This Row],[Day'# Aust]]),betaAu/(deltaAu+betaPodeltaAu*EXP(-betaAu*tblData[[#This Row],[Day'# Aust]])),"")</f>
        <v>25.954297700594523</v>
      </c>
      <c r="AF52" s="72">
        <f>IF(ISNUMBER(tblData[Day'# Aust]),tblData[Au LogiP(t)]/$AD$9,"")</f>
        <v>10.232730523811119</v>
      </c>
      <c r="AG52" s="11">
        <f>IF(AND(tblData[Date]&gt;=StartDt2Au,ISNUMBER(tblData[NSW])),(tblData[[#This Row],[Au LogiP(t)]]-tblData[[#This Row],[Au]])^2,"")</f>
        <v>170.19034848471335</v>
      </c>
      <c r="AH52">
        <f>IF(tblData[Date]&gt;StartDt2NSW,tblData[Date]-StartDt2NSW,"")</f>
        <v>38</v>
      </c>
      <c r="AI52">
        <f t="shared" si="4"/>
        <v>13</v>
      </c>
      <c r="AJ52" s="11">
        <f>IF(tblData[Date]&gt;StartDt2NSW,betaNSW/(deltaNSW+betaPodeltaNSW*EXP(-betaNSW*tblData[[#This Row],[Day '# NSW]])),"")</f>
        <v>12.193746688117297</v>
      </c>
      <c r="AK52" s="12">
        <f>IF(AND(ISNUMBER(tblData[NSW]),tblData[Date]&gt;StartDt2NSW),(tblData[[#This Row],[NSW LogiP(t)]]-tblData[[#This Row],[NSW]])^2,"")</f>
        <v>0.65004440292182664</v>
      </c>
      <c r="AL52" s="12">
        <f>IF(AND(tblData[Date]&gt;StartDt2NSW,ISNUMBER(tblData[Day'# Aust])),tblData[NSW LogiP(t)]/$AG$9,"")</f>
        <v>15.091270653610515</v>
      </c>
      <c r="AM52" s="11">
        <f>IF(AND(tblData[Date]&gt;StartDt2Italy,ISNUMBER(tblData[Days'# Italy])),betaItaly/(deltaItaly+betaPodeltaItaly*EXP(-betaItaly*tblData[Days'# Italy])),"")</f>
        <v>2272.524923306758</v>
      </c>
      <c r="AN52" s="11">
        <f>IF(AND(tblData[Date]&gt;StartDt2Italy,ISNUMBER(tblData[Italy])),(tblData[[#This Row],[Italy LogiP(t)]]-tblData[[#This Row],[Italy]])^2,"")</f>
        <v>52658.81082336932</v>
      </c>
      <c r="AO52" s="44">
        <f>IF(AND(tblData[Date]&gt;StartDt2Italy,ISNUMBER(tblData[Days'# Italy])),tblData[[#This Row],[Italy LogiP(t)]]/$AM$9,"")</f>
        <v>375.93464405405427</v>
      </c>
      <c r="AP52" s="21">
        <f>IF(ISNUMBER(tblData[[#This Row],[Days'# US]]),betaUS/(deltaUS+betaPodeltaUS*EXP(-betaUS*tblData[Days'# US])),"")</f>
        <v>50.820848634945257</v>
      </c>
      <c r="AQ52" s="11">
        <f>IF(ISNUMBER(tblData[US]),(tblData[[#This Row],[US LogiP(t)]]-tblData[US])^2,"")</f>
        <v>4513.0383781289356</v>
      </c>
      <c r="AR52" s="21">
        <f>IF(ISNUMBER(tblData[[#This Row],[Days'# US]]),tblData[[#This Row],[US LogiP(t)]]/$AP$9,"")</f>
        <v>1.5436380819174718</v>
      </c>
      <c r="AS52" s="21">
        <f>IF(tblData[Date]&gt;=StartDt2Korea,betaSKorea/(deltaSKorea+betaPodeltaSKorea*EXP(-betaSKorea*(tblData[Date]-StartDt2Korea))),"")</f>
        <v>4962.8276039259954</v>
      </c>
      <c r="AT52" s="21">
        <f>IF(AND(tblData[Date]&gt;=StartDt2Korea,ISNUMBER(tblData[SKorea])),(tblData[[#This Row],[SKorea LogiP(t)]]-tblData[[#This Row],[SKorea]])^2,"")</f>
        <v>49805.918369412386</v>
      </c>
      <c r="AU52" s="21">
        <f>IF(tblData[Date]&gt;=StartDt2Korea,tblData[[#This Row],[SKorea LogiP(t)]]/$AS$9,"")</f>
        <v>965.53066224241161</v>
      </c>
      <c r="AV52" s="11">
        <f>IF(ISNUMBER(tblData[Days'# UK]),betaUK/(deltaUK+betaPodeltaUK*EXP(-betaUK*tblData[Days'# UK])),"")</f>
        <v>76.80982519184829</v>
      </c>
      <c r="AW52" s="21">
        <f>IF(ISNUMBER(tblData[UK]),(tblData[[#This Row],[UK LogiP(t)]]-tblData[[#This Row],[UK]])^2,"")</f>
        <v>666.14707643376664</v>
      </c>
      <c r="AX52" s="21">
        <f>IF(ISNUMBER(tblData[Days'# UK]),tblData[[#This Row],[UK LogiP(t)]]/$AV$9,"")</f>
        <v>11.560780432246883</v>
      </c>
      <c r="AY52" s="11">
        <f>IF(ISNUMBER(tblData[Days'# China]),betaChina/(deltaChina+betaPodeltaChina*EXP(-betaChina*tblData[Days'# China])),"")</f>
        <v>80490.777962191685</v>
      </c>
      <c r="AZ52" s="11">
        <f>IF(ISNUMBER(tblData[China]),(tblData[[#This Row],[China LogiP(t)]]-tblData[[#This Row],[China]])^2,"")</f>
        <v>52797.911908963521</v>
      </c>
      <c r="BA52" s="11">
        <f>tblData[[#This Row],[China LogiP(t)]]/$AY$9</f>
        <v>559.22634854182866</v>
      </c>
      <c r="BB52" s="11"/>
      <c r="BC52" s="11"/>
      <c r="BD52" s="11" t="str">
        <f>IF(ISNUMBER(tblData[[#This Row],[NSW Number of Tests]]),tblData[[#This Row],[NSW Number of Tests]]-BB51,"")</f>
        <v/>
      </c>
      <c r="BE52" s="11" t="str">
        <f>IF(ISNUMBER(tblData[[#This Row],[NSW Under Investigation'']]),tblData[[#This Row],[NSW Under Investigation'']]-BC51,"")</f>
        <v/>
      </c>
      <c r="BF52" s="11"/>
      <c r="BG52" s="11" t="str">
        <f>IF(ISNUMBER(tblData[[#This Row],[NSW Test Day Number]]),betaTest/(deltaTest+betaPodeltaTest*EXP(-betaTest*tblData[[#This Row],[NSW Test Day Number]])),"")</f>
        <v/>
      </c>
      <c r="BH52" s="11" t="str">
        <f>IF(ISNUMBER(tblData[[#This Row],[NSW Number of Tests]]),(tblData[[#This Row],[NSW Number of Tests]]-tblData[[#This Row],[NSW Test Logi]])^2,"")</f>
        <v/>
      </c>
      <c r="DE52" t="s">
        <v>989</v>
      </c>
      <c r="DF52" s="82">
        <v>43911.89398148148</v>
      </c>
      <c r="DH52" s="27">
        <v>43896</v>
      </c>
      <c r="DI52">
        <v>7</v>
      </c>
      <c r="DJ52">
        <v>0.20209478104227763</v>
      </c>
      <c r="DK52">
        <v>1.0000000000000751E-10</v>
      </c>
      <c r="DL52">
        <v>5.7886977342360797E-3</v>
      </c>
      <c r="DM52">
        <v>2020947810.4226243</v>
      </c>
      <c r="DN52">
        <v>2141.4153557262753</v>
      </c>
      <c r="DO52">
        <v>34.911959532184611</v>
      </c>
      <c r="DP52">
        <v>1.0000000000000751E-7</v>
      </c>
      <c r="DR52" s="27">
        <v>43911</v>
      </c>
      <c r="DS52" t="s">
        <v>1003</v>
      </c>
      <c r="DT52">
        <v>46456</v>
      </c>
      <c r="DU52" t="s">
        <v>1004</v>
      </c>
      <c r="DV52" s="27">
        <v>43911</v>
      </c>
      <c r="DW52">
        <v>16</v>
      </c>
      <c r="DX52" t="s">
        <v>1005</v>
      </c>
      <c r="DZ52" t="s">
        <v>1035</v>
      </c>
      <c r="EB52" t="s">
        <v>1507</v>
      </c>
    </row>
    <row r="53" spans="2:173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49">
        <f>IF(ISNUMBER(tblData[Italy]),tblData[Italy]/$N$9,"")</f>
        <v>511.00082712985937</v>
      </c>
      <c r="O53">
        <v>149</v>
      </c>
      <c r="P53" s="49">
        <f>IF(ISNUMBER(tblData[US]),tblData[US]/$P$9,"")</f>
        <v>4.525742493161558</v>
      </c>
      <c r="Q53">
        <v>5621</v>
      </c>
      <c r="R53" s="19">
        <f>IF(ISNUMBER(tblData[SKorea]),tblData[SKorea]/$R$9,"")</f>
        <v>1093.5797665369651</v>
      </c>
      <c r="S53">
        <v>86</v>
      </c>
      <c r="T53" s="12">
        <f>IF(ISNUMBER(tblData[UK]),tblData[UK]/$T$9,"")</f>
        <v>12.944009632751355</v>
      </c>
      <c r="U53">
        <v>80386</v>
      </c>
      <c r="V53" s="21">
        <f>IF(ISNUMBER(tblData[China]),tblData[China]/$V$9,"")</f>
        <v>558.49838195127541</v>
      </c>
      <c r="W53" s="26">
        <f>IF(tblData[[#This Row],[Date]]&lt;ItalyStart,"",tblData[[#This Row],[Date]]-ItalyStart)</f>
        <v>34</v>
      </c>
      <c r="X53" s="26">
        <f t="shared" si="5"/>
        <v>24</v>
      </c>
      <c r="Y53" s="26">
        <f t="shared" si="3"/>
        <v>42</v>
      </c>
      <c r="Z53" s="26">
        <f>IF(tblData[[#This Row],[Date]]&lt;StartDt2Korea,"",tblData[[#This Row],[Date]]-StartDt2Korea)</f>
        <v>14</v>
      </c>
      <c r="AA53" s="26">
        <f>IF(tblData[[#This Row],[Date]]&lt;UKStart,"",tblData[[#This Row],[Date]]-UKStart)</f>
        <v>34</v>
      </c>
      <c r="AB53">
        <f>IF(tblData[Date]&gt;=StartDt2Au,tblData[Date]-StartDt2Au,"")</f>
        <v>39</v>
      </c>
      <c r="AC53" s="26">
        <f>IF(tblData[New South Wales]&gt;0,SUM(tblData[[#This Row],[Australian Capital Territory]:[Western Australia]]),"")</f>
        <v>52</v>
      </c>
      <c r="AD53" s="12">
        <f>IF(ISNUMBER(tblData[Au]),tblData[Au]/$AA$9,"")</f>
        <v>20.501498186405929</v>
      </c>
      <c r="AE53" s="19">
        <f>IF(ISNUMBER(tblData[[#This Row],[Day'# Aust]]),betaAu/(deltaAu+betaPodeltaAu*EXP(-betaAu*tblData[[#This Row],[Day'# Aust]])),"")</f>
        <v>31.907034256492466</v>
      </c>
      <c r="AF53" s="72">
        <f>IF(ISNUMBER(tblData[Day'# Aust]),tblData[Au LogiP(t)]/$AD$9,"")</f>
        <v>12.579653941212927</v>
      </c>
      <c r="AG53" s="11">
        <f>IF(AND(tblData[Date]&gt;=StartDt2Au,ISNUMBER(tblData[NSW])),(tblData[[#This Row],[Au LogiP(t)]]-tblData[[#This Row],[Au]])^2,"")</f>
        <v>403.72727236976726</v>
      </c>
      <c r="AH53">
        <f>IF(tblData[Date]&gt;StartDt2NSW,tblData[Date]-StartDt2NSW,"")</f>
        <v>39</v>
      </c>
      <c r="AI53">
        <f t="shared" si="4"/>
        <v>22</v>
      </c>
      <c r="AJ53" s="11">
        <f>IF(tblData[Date]&gt;StartDt2NSW,betaNSW/(deltaNSW+betaPodeltaNSW*EXP(-betaNSW*tblData[[#This Row],[Day '# NSW]])),"")</f>
        <v>15.017074909226453</v>
      </c>
      <c r="AK53" s="12">
        <f>IF(AND(ISNUMBER(tblData[NSW]),tblData[Date]&gt;StartDt2NSW),(tblData[[#This Row],[NSW LogiP(t)]]-tblData[[#This Row],[NSW]])^2,"")</f>
        <v>48.761242823354749</v>
      </c>
      <c r="AL53" s="12">
        <f>IF(AND(tblData[Date]&gt;StartDt2NSW,ISNUMBER(tblData[Day'# Aust])),tblData[NSW LogiP(t)]/$AG$9,"")</f>
        <v>18.585488749042639</v>
      </c>
      <c r="AM53" s="11">
        <f>IF(AND(tblData[Date]&gt;StartDt2Italy,ISNUMBER(tblData[Days'# Italy])),betaItaly/(deltaItaly+betaPodeltaItaly*EXP(-betaItaly*tblData[Days'# Italy])),"")</f>
        <v>2912.4242874528013</v>
      </c>
      <c r="AN53" s="11">
        <f>IF(AND(tblData[Date]&gt;StartDt2Italy,ISNUMBER(tblData[Italy])),(tblData[[#This Row],[Italy LogiP(t)]]-tblData[[#This Row],[Italy]])^2,"")</f>
        <v>31178.98226155094</v>
      </c>
      <c r="AO53" s="44">
        <f>IF(AND(tblData[Date]&gt;StartDt2Italy,ISNUMBER(tblData[Days'# Italy])),tblData[[#This Row],[Italy LogiP(t)]]/$AM$9,"")</f>
        <v>481.79061827176201</v>
      </c>
      <c r="AP53" s="21">
        <f>IF(ISNUMBER(tblData[[#This Row],[Days'# US]]),betaUS/(deltaUS+betaPodeltaUS*EXP(-betaUS*tblData[Days'# US])),"")</f>
        <v>71.952192673418168</v>
      </c>
      <c r="AQ53" s="11">
        <f>IF(ISNUMBER(tblData[US]),(tblData[[#This Row],[US LogiP(t)]]-tblData[US])^2,"")</f>
        <v>5936.3646138340773</v>
      </c>
      <c r="AR53" s="21">
        <f>IF(ISNUMBER(tblData[[#This Row],[Days'# US]]),tblData[[#This Row],[US LogiP(t)]]/$AP$9,"")</f>
        <v>2.185483864820378</v>
      </c>
      <c r="AS53" s="21">
        <f>IF(tblData[Date]&gt;=StartDt2Korea,betaSKorea/(deltaSKorea+betaPodeltaSKorea*EXP(-betaSKorea*(tblData[Date]-StartDt2Korea))),"")</f>
        <v>5589.6693405264114</v>
      </c>
      <c r="AT53" s="21">
        <f>IF(AND(tblData[Date]&gt;=StartDt2Korea,ISNUMBER(tblData[SKorea])),(tblData[[#This Row],[SKorea LogiP(t)]]-tblData[[#This Row],[SKorea]])^2,"")</f>
        <v>981.61022304996959</v>
      </c>
      <c r="AU53" s="21">
        <f>IF(tblData[Date]&gt;=StartDt2Korea,tblData[[#This Row],[SKorea LogiP(t)]]/$AS$9,"")</f>
        <v>1087.4843074954108</v>
      </c>
      <c r="AV53" s="11">
        <f>IF(ISNUMBER(tblData[Days'# UK]),betaUK/(deltaUK+betaPodeltaUK*EXP(-betaUK*tblData[Days'# UK])),"")</f>
        <v>96.730399130324258</v>
      </c>
      <c r="AW53" s="21">
        <f>IF(ISNUMBER(tblData[UK]),(tblData[[#This Row],[UK LogiP(t)]]-tblData[[#This Row],[UK]])^2,"")</f>
        <v>115.1414654960636</v>
      </c>
      <c r="AX53" s="21">
        <f>IF(ISNUMBER(tblData[Days'# UK]),tblData[[#This Row],[UK LogiP(t)]]/$AV$9,"")</f>
        <v>14.559060675846517</v>
      </c>
      <c r="AY53" s="11">
        <f>IF(ISNUMBER(tblData[Days'# China]),betaChina/(deltaChina+betaPodeltaChina*EXP(-betaChina*tblData[Days'# China])),"")</f>
        <v>80582.103377579871</v>
      </c>
      <c r="AZ53" s="11">
        <f>IF(ISNUMBER(tblData[China]),(tblData[[#This Row],[China LogiP(t)]]-tblData[[#This Row],[China]])^2,"")</f>
        <v>38456.534698233627</v>
      </c>
      <c r="BA53" s="11">
        <f>tblData[[#This Row],[China LogiP(t)]]/$AY$9</f>
        <v>559.86085077760765</v>
      </c>
      <c r="BB53" s="11"/>
      <c r="BC53" s="11"/>
      <c r="BD53" s="11" t="str">
        <f>IF(ISNUMBER(tblData[[#This Row],[NSW Number of Tests]]),tblData[[#This Row],[NSW Number of Tests]]-BB52,"")</f>
        <v/>
      </c>
      <c r="BE53" s="11" t="str">
        <f>IF(ISNUMBER(tblData[[#This Row],[NSW Under Investigation'']]),tblData[[#This Row],[NSW Under Investigation'']]-BC52,"")</f>
        <v/>
      </c>
      <c r="BF53" s="11"/>
      <c r="BG53" s="11" t="str">
        <f>IF(ISNUMBER(tblData[[#This Row],[NSW Test Day Number]]),betaTest/(deltaTest+betaPodeltaTest*EXP(-betaTest*tblData[[#This Row],[NSW Test Day Number]])),"")</f>
        <v/>
      </c>
      <c r="BH53" s="11" t="str">
        <f>IF(ISNUMBER(tblData[[#This Row],[NSW Number of Tests]]),(tblData[[#This Row],[NSW Number of Tests]]-tblData[[#This Row],[NSW Test Logi]])^2,"")</f>
        <v/>
      </c>
      <c r="DE53" t="s">
        <v>48</v>
      </c>
      <c r="DF53" s="82">
        <v>43911.898379629631</v>
      </c>
      <c r="DG53" s="27">
        <v>43855</v>
      </c>
      <c r="DH53" s="27">
        <v>43855</v>
      </c>
      <c r="DI53">
        <v>0</v>
      </c>
      <c r="DJ53">
        <v>0.20648931335259277</v>
      </c>
      <c r="DK53">
        <v>1.0000000000000768E-9</v>
      </c>
      <c r="DL53">
        <v>1.0150253776574341E-2</v>
      </c>
      <c r="DM53">
        <v>206489313.35257691</v>
      </c>
      <c r="DN53">
        <v>10.992507007919523</v>
      </c>
      <c r="DO53">
        <v>20.343266078627209</v>
      </c>
      <c r="DP53">
        <v>1.0000000000000768E-6</v>
      </c>
      <c r="DR53" s="27">
        <v>43911</v>
      </c>
      <c r="DS53" t="s">
        <v>1493</v>
      </c>
      <c r="DT53">
        <v>1068</v>
      </c>
      <c r="DU53" t="s">
        <v>1494</v>
      </c>
      <c r="DV53" s="27">
        <v>43911</v>
      </c>
      <c r="DW53">
        <v>57</v>
      </c>
      <c r="DX53" t="s">
        <v>1495</v>
      </c>
      <c r="DZ53" t="s">
        <v>1496</v>
      </c>
      <c r="EB53" t="s">
        <v>1497</v>
      </c>
      <c r="EC53">
        <v>421.06923198233716</v>
      </c>
      <c r="EH53" t="s">
        <v>1475</v>
      </c>
    </row>
    <row r="54" spans="2:173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49">
        <f>IF(ISNUMBER(tblData[Italy]),tblData[Italy]/$N$9,"")</f>
        <v>638.21339950372214</v>
      </c>
      <c r="O54">
        <v>217</v>
      </c>
      <c r="P54" s="49">
        <f>IF(ISNUMBER(tblData[US]),tblData[US]/$P$9,"")</f>
        <v>6.5911820202420008</v>
      </c>
      <c r="Q54">
        <v>6088</v>
      </c>
      <c r="R54" s="19">
        <f>IF(ISNUMBER(tblData[SKorea]),tblData[SKorea]/$R$9,"")</f>
        <v>1184.4357976653698</v>
      </c>
      <c r="S54">
        <v>116</v>
      </c>
      <c r="T54" s="12">
        <f>IF(ISNUMBER(tblData[UK]),tblData[UK]/$T$9,"")</f>
        <v>17.459361830222758</v>
      </c>
      <c r="U54">
        <v>80537</v>
      </c>
      <c r="V54" s="21">
        <f>IF(ISNUMBER(tblData[China]),tblData[China]/$V$9,"")</f>
        <v>559.54748572151709</v>
      </c>
      <c r="W54" s="26">
        <f>IF(tblData[[#This Row],[Date]]&lt;ItalyStart,"",tblData[[#This Row],[Date]]-ItalyStart)</f>
        <v>35</v>
      </c>
      <c r="X54" s="26">
        <f t="shared" si="5"/>
        <v>25</v>
      </c>
      <c r="Y54" s="26">
        <f t="shared" si="3"/>
        <v>43</v>
      </c>
      <c r="Z54" s="26">
        <f>IF(tblData[[#This Row],[Date]]&lt;StartDt2Korea,"",tblData[[#This Row],[Date]]-StartDt2Korea)</f>
        <v>15</v>
      </c>
      <c r="AA54" s="26">
        <f>IF(tblData[[#This Row],[Date]]&lt;UKStart,"",tblData[[#This Row],[Date]]-UKStart)</f>
        <v>35</v>
      </c>
      <c r="AB54">
        <f>IF(tblData[Date]&gt;=StartDt2Au,tblData[Date]-StartDt2Au,"")</f>
        <v>40</v>
      </c>
      <c r="AC54" s="26">
        <f>IF(tblData[New South Wales]&gt;0,SUM(tblData[[#This Row],[Australian Capital Territory]:[Western Australia]]),"")</f>
        <v>55</v>
      </c>
      <c r="AD54" s="12">
        <f>IF(ISNUMBER(tblData[Au]),tblData[Au]/$AA$9,"")</f>
        <v>21.68427692792935</v>
      </c>
      <c r="AE54" s="19">
        <f>IF(ISNUMBER(tblData[[#This Row],[Day'# Aust]]),betaAu/(deltaAu+betaPodeltaAu*EXP(-betaAu*tblData[[#This Row],[Day'# Aust]])),"")</f>
        <v>39.225057832728709</v>
      </c>
      <c r="AF54" s="72">
        <f>IF(ISNUMBER(tblData[Day'# Aust]),tblData[Au LogiP(t)]/$AD$9,"")</f>
        <v>15.464854846526064</v>
      </c>
      <c r="AG54" s="11">
        <f>IF(AND(tblData[Date]&gt;=StartDt2Au,ISNUMBER(tblData[NSW])),(tblData[[#This Row],[Au LogiP(t)]]-tblData[[#This Row],[Au]])^2,"")</f>
        <v>248.84880038075386</v>
      </c>
      <c r="AH54">
        <f>IF(tblData[Date]&gt;StartDt2NSW,tblData[Date]-StartDt2NSW,"")</f>
        <v>40</v>
      </c>
      <c r="AI54">
        <f t="shared" si="4"/>
        <v>22</v>
      </c>
      <c r="AJ54" s="11">
        <f>IF(tblData[Date]&gt;StartDt2NSW,betaNSW/(deltaNSW+betaPodeltaNSW*EXP(-betaNSW*tblData[[#This Row],[Day '# NSW]])),"")</f>
        <v>18.489657826959295</v>
      </c>
      <c r="AK54" s="12">
        <f>IF(AND(ISNUMBER(tblData[NSW]),tblData[Date]&gt;StartDt2NSW),(tblData[[#This Row],[NSW LogiP(t)]]-tblData[[#This Row],[NSW]])^2,"")</f>
        <v>12.322502171828139</v>
      </c>
      <c r="AL54" s="12">
        <f>IF(AND(tblData[Date]&gt;StartDt2NSW,ISNUMBER(tblData[Day'# Aust])),tblData[NSW LogiP(t)]/$AG$9,"")</f>
        <v>22.88323988485061</v>
      </c>
      <c r="AM54" s="11">
        <f>IF(AND(tblData[Date]&gt;StartDt2Italy,ISNUMBER(tblData[Days'# Italy])),betaItaly/(deltaItaly+betaPodeltaItaly*EXP(-betaItaly*tblData[Days'# Italy])),"")</f>
        <v>3719.8914970771784</v>
      </c>
      <c r="AN54" s="11">
        <f>IF(AND(tblData[Date]&gt;StartDt2Italy,ISNUMBER(tblData[Italy])),(tblData[[#This Row],[Italy LogiP(t)]]-tblData[[#This Row],[Italy]])^2,"")</f>
        <v>19073.958579583013</v>
      </c>
      <c r="AO54" s="44">
        <f>IF(AND(tblData[Date]&gt;StartDt2Italy,ISNUMBER(tblData[Days'# Italy])),tblData[[#This Row],[Italy LogiP(t)]]/$AM$9,"")</f>
        <v>615.3666661831561</v>
      </c>
      <c r="AP54" s="21">
        <f>IF(ISNUMBER(tblData[[#This Row],[Days'# US]]),betaUS/(deltaUS+betaPodeltaUS*EXP(-betaUS*tblData[Days'# US])),"")</f>
        <v>101.86996161501597</v>
      </c>
      <c r="AQ54" s="11">
        <f>IF(ISNUMBER(tblData[US]),(tblData[[#This Row],[US LogiP(t)]]-tblData[US])^2,"")</f>
        <v>13254.925738527896</v>
      </c>
      <c r="AR54" s="21">
        <f>IF(ISNUMBER(tblData[[#This Row],[Days'# US]]),tblData[[#This Row],[US LogiP(t)]]/$AP$9,"")</f>
        <v>3.0942094903209032</v>
      </c>
      <c r="AS54" s="21">
        <f>IF(tblData[Date]&gt;=StartDt2Korea,betaSKorea/(deltaSKorea+betaPodeltaSKorea*EXP(-betaSKorea*(tblData[Date]-StartDt2Korea))),"")</f>
        <v>6150.6059786806291</v>
      </c>
      <c r="AT54" s="21">
        <f>IF(AND(tblData[Date]&gt;=StartDt2Korea,ISNUMBER(tblData[SKorea])),(tblData[[#This Row],[SKorea LogiP(t)]]-tblData[[#This Row],[SKorea]])^2,"")</f>
        <v>3919.5085665593792</v>
      </c>
      <c r="AU54" s="21">
        <f>IF(tblData[Date]&gt;=StartDt2Korea,tblData[[#This Row],[SKorea LogiP(t)]]/$AS$9,"")</f>
        <v>1196.6159491596554</v>
      </c>
      <c r="AV54" s="11">
        <f>IF(ISNUMBER(tblData[Days'# UK]),betaUK/(deltaUK+betaPodeltaUK*EXP(-betaUK*tblData[Days'# UK])),"")</f>
        <v>121.81735712725457</v>
      </c>
      <c r="AW54" s="21">
        <f>IF(ISNUMBER(tblData[UK]),(tblData[[#This Row],[UK LogiP(t)]]-tblData[[#This Row],[UK]])^2,"")</f>
        <v>33.841643946019509</v>
      </c>
      <c r="AX54" s="21">
        <f>IF(ISNUMBER(tblData[Days'# UK]),tblData[[#This Row],[UK LogiP(t)]]/$AV$9,"")</f>
        <v>18.334942373156917</v>
      </c>
      <c r="AY54" s="11">
        <f>IF(ISNUMBER(tblData[Days'# China]),betaChina/(deltaChina+betaPodeltaChina*EXP(-betaChina*tblData[Days'# China])),"")</f>
        <v>80655.386409549712</v>
      </c>
      <c r="AZ54" s="11">
        <f>IF(ISNUMBER(tblData[China]),(tblData[[#This Row],[China LogiP(t)]]-tblData[[#This Row],[China]])^2,"")</f>
        <v>14015.341966072134</v>
      </c>
      <c r="BA54" s="11">
        <f>tblData[[#This Row],[China LogiP(t)]]/$AY$9</f>
        <v>560.36999981823215</v>
      </c>
      <c r="BB54" s="11"/>
      <c r="BC54" s="11"/>
      <c r="BD54" s="11" t="str">
        <f>IF(ISNUMBER(tblData[[#This Row],[NSW Number of Tests]]),tblData[[#This Row],[NSW Number of Tests]]-BB53,"")</f>
        <v/>
      </c>
      <c r="BE54" s="11" t="str">
        <f>IF(ISNUMBER(tblData[[#This Row],[NSW Under Investigation'']]),tblData[[#This Row],[NSW Under Investigation'']]-BC53,"")</f>
        <v/>
      </c>
      <c r="BF54" s="11"/>
      <c r="BG54" s="11" t="str">
        <f>IF(ISNUMBER(tblData[[#This Row],[NSW Test Day Number]]),betaTest/(deltaTest+betaPodeltaTest*EXP(-betaTest*tblData[[#This Row],[NSW Test Day Number]])),"")</f>
        <v/>
      </c>
      <c r="BH54" s="11" t="str">
        <f>IF(ISNUMBER(tblData[[#This Row],[NSW Number of Tests]]),(tblData[[#This Row],[NSW Number of Tests]]-tblData[[#This Row],[NSW Test Logi]])^2,"")</f>
        <v/>
      </c>
    </row>
    <row r="55" spans="2:173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49">
        <f>IF(ISNUMBER(tblData[Italy]),tblData[Italy]/$N$9,"")</f>
        <v>766.91480562448305</v>
      </c>
      <c r="O55">
        <v>262</v>
      </c>
      <c r="P55" s="49">
        <f>IF(ISNUMBER(tblData[US]),tblData[US]/$P$9,"")</f>
        <v>7.9580170013981757</v>
      </c>
      <c r="Q55">
        <v>6593</v>
      </c>
      <c r="R55" s="19">
        <f>IF(ISNUMBER(tblData[SKorea]),tblData[SKorea]/$R$9,"")</f>
        <v>1282.6848249027239</v>
      </c>
      <c r="S55">
        <v>164</v>
      </c>
      <c r="T55" s="12">
        <f>IF(ISNUMBER(tblData[UK]),tblData[UK]/$T$9,"")</f>
        <v>24.683925346177002</v>
      </c>
      <c r="U55">
        <v>80690</v>
      </c>
      <c r="V55" s="21">
        <f>IF(ISNUMBER(tblData[China]),tblData[China]/$V$9,"")</f>
        <v>560.61048490593407</v>
      </c>
      <c r="W55" s="26">
        <f>IF(tblData[[#This Row],[Date]]&lt;ItalyStart,"",tblData[[#This Row],[Date]]-ItalyStart)</f>
        <v>36</v>
      </c>
      <c r="X55" s="26">
        <f t="shared" si="5"/>
        <v>26</v>
      </c>
      <c r="Y55" s="26">
        <f t="shared" si="3"/>
        <v>44</v>
      </c>
      <c r="Z55" s="26">
        <f>IF(tblData[[#This Row],[Date]]&lt;StartDt2Korea,"",tblData[[#This Row],[Date]]-StartDt2Korea)</f>
        <v>16</v>
      </c>
      <c r="AA55" s="26">
        <f>IF(tblData[[#This Row],[Date]]&lt;UKStart,"",tblData[[#This Row],[Date]]-UKStart)</f>
        <v>36</v>
      </c>
      <c r="AB55">
        <f>IF(tblData[Date]&gt;=StartDt2Au,tblData[Date]-StartDt2Au,"")</f>
        <v>41</v>
      </c>
      <c r="AC55" s="26">
        <f>IF(tblData[New South Wales]&gt;0,SUM(tblData[[#This Row],[Australian Capital Territory]:[Western Australia]]),"")</f>
        <v>60</v>
      </c>
      <c r="AD55" s="12">
        <f>IF(ISNUMBER(tblData[Au]),tblData[Au]/$AA$9,"")</f>
        <v>23.655574830468382</v>
      </c>
      <c r="AE55" s="19">
        <f>IF(ISNUMBER(tblData[[#This Row],[Day'# Aust]]),betaAu/(deltaAu+betaPodeltaAu*EXP(-betaAu*tblData[[#This Row],[Day'# Aust]])),"")</f>
        <v>48.221503042435785</v>
      </c>
      <c r="AF55" s="72">
        <f>IF(ISNUMBER(tblData[Day'# Aust]),tblData[Au LogiP(t)]/$AD$9,"")</f>
        <v>19.011789560966641</v>
      </c>
      <c r="AG55" s="11">
        <f>IF(AND(tblData[Date]&gt;=StartDt2Au,ISNUMBER(tblData[NSW])),(tblData[[#This Row],[Au LogiP(t)]]-tblData[[#This Row],[Au]])^2,"")</f>
        <v>138.73299057934946</v>
      </c>
      <c r="AH55">
        <f>IF(tblData[Date]&gt;StartDt2NSW,tblData[Date]-StartDt2NSW,"")</f>
        <v>41</v>
      </c>
      <c r="AI55">
        <f t="shared" si="4"/>
        <v>26</v>
      </c>
      <c r="AJ55" s="11">
        <f>IF(tblData[Date]&gt;StartDt2NSW,betaNSW/(deltaNSW+betaPodeltaNSW*EXP(-betaNSW*tblData[[#This Row],[Day '# NSW]])),"")</f>
        <v>22.758504398050814</v>
      </c>
      <c r="AK55" s="12">
        <f>IF(AND(ISNUMBER(tblData[NSW]),tblData[Date]&gt;StartDt2NSW),(tblData[[#This Row],[NSW LogiP(t)]]-tblData[[#This Row],[NSW]])^2,"")</f>
        <v>10.507293737455916</v>
      </c>
      <c r="AL55" s="12">
        <f>IF(AND(tblData[Date]&gt;StartDt2NSW,ISNUMBER(tblData[Day'# Aust])),tblData[NSW LogiP(t)]/$AG$9,"")</f>
        <v>28.166465839171799</v>
      </c>
      <c r="AM55" s="11">
        <f>IF(AND(tblData[Date]&gt;StartDt2Italy,ISNUMBER(tblData[Days'# Italy])),betaItaly/(deltaItaly+betaPodeltaItaly*EXP(-betaItaly*tblData[Days'# Italy])),"")</f>
        <v>4731.0504433398564</v>
      </c>
      <c r="AN55" s="11">
        <f>IF(AND(tblData[Date]&gt;StartDt2Italy,ISNUMBER(tblData[Italy])),(tblData[[#This Row],[Italy LogiP(t)]]-tblData[[#This Row],[Italy]])^2,"")</f>
        <v>9034.5867791032579</v>
      </c>
      <c r="AO55" s="44">
        <f>IF(AND(tblData[Date]&gt;StartDt2Italy,ISNUMBER(tblData[Days'# Italy])),tblData[[#This Row],[Italy LogiP(t)]]/$AM$9,"")</f>
        <v>782.6386175913741</v>
      </c>
      <c r="AP55" s="21">
        <f>IF(ISNUMBER(tblData[[#This Row],[Days'# US]]),betaUS/(deltaUS+betaPodeltaUS*EXP(-betaUS*tblData[Days'# US])),"")</f>
        <v>144.22755335979099</v>
      </c>
      <c r="AQ55" s="11">
        <f>IF(ISNUMBER(tblData[US]),(tblData[[#This Row],[US LogiP(t)]]-tblData[US])^2,"")</f>
        <v>13870.349187620879</v>
      </c>
      <c r="AR55" s="21">
        <f>IF(ISNUMBER(tblData[[#This Row],[Days'# US]]),tblData[[#This Row],[US LogiP(t)]]/$AP$9,"")</f>
        <v>4.3807836706384702</v>
      </c>
      <c r="AS55" s="21">
        <f>IF(tblData[Date]&gt;=StartDt2Korea,betaSKorea/(deltaSKorea+betaPodeltaSKorea*EXP(-betaSKorea*(tblData[Date]-StartDt2Korea))),"")</f>
        <v>6631.0910110863042</v>
      </c>
      <c r="AT55" s="21">
        <f>IF(AND(tblData[Date]&gt;=StartDt2Korea,ISNUMBER(tblData[SKorea])),(tblData[[#This Row],[SKorea LogiP(t)]]-tblData[[#This Row],[SKorea]])^2,"")</f>
        <v>1450.92512557695</v>
      </c>
      <c r="AU55" s="21">
        <f>IF(tblData[Date]&gt;=StartDt2Korea,tblData[[#This Row],[SKorea LogiP(t)]]/$AS$9,"")</f>
        <v>1290.0955274486973</v>
      </c>
      <c r="AV55" s="11">
        <f>IF(ISNUMBER(tblData[Days'# UK]),betaUK/(deltaUK+betaPodeltaUK*EXP(-betaUK*tblData[Days'# UK])),"")</f>
        <v>153.41059493383929</v>
      </c>
      <c r="AW55" s="21">
        <f>IF(ISNUMBER(tblData[UK]),(tblData[[#This Row],[UK LogiP(t)]]-tblData[[#This Row],[UK]])^2,"")</f>
        <v>112.13549965523008</v>
      </c>
      <c r="AX55" s="21">
        <f>IF(ISNUMBER(tblData[Days'# UK]),tblData[[#This Row],[UK LogiP(t)]]/$AV$9,"")</f>
        <v>23.090095564996883</v>
      </c>
      <c r="AY55" s="11">
        <f>IF(ISNUMBER(tblData[Days'# China]),betaChina/(deltaChina+betaPodeltaChina*EXP(-betaChina*tblData[Days'# China])),"")</f>
        <v>80714.167701155951</v>
      </c>
      <c r="AZ55" s="11">
        <f>IF(ISNUMBER(tblData[China]),(tblData[[#This Row],[China LogiP(t)]]-tblData[[#This Row],[China]])^2,"")</f>
        <v>584.07777916337284</v>
      </c>
      <c r="BA55" s="11">
        <f>tblData[[#This Row],[China LogiP(t)]]/$AY$9</f>
        <v>560.77839501454855</v>
      </c>
      <c r="BB55" s="11">
        <v>6217</v>
      </c>
      <c r="BC55" s="11">
        <v>545</v>
      </c>
      <c r="BD55" s="11">
        <f>IF(ISNUMBER(tblData[[#This Row],[NSW Number of Tests]]),tblData[[#This Row],[NSW Number of Tests]]-BB54,"")</f>
        <v>6217</v>
      </c>
      <c r="BE55" s="11">
        <f>IF(ISNUMBER(tblData[[#This Row],[NSW Under Investigation'']]),tblData[[#This Row],[NSW Under Investigation'']]-BC54,"")</f>
        <v>545</v>
      </c>
      <c r="BF55" s="11">
        <v>0</v>
      </c>
      <c r="BG55" s="11">
        <f>IF(ISNUMBER(tblData[[#This Row],[NSW Test Day Number]]),betaTest/(deltaTest+betaPodeltaTest*EXP(-betaTest*tblData[[#This Row],[NSW Test Day Number]])),"")</f>
        <v>4943.2602326566102</v>
      </c>
      <c r="BH55" s="11">
        <f>IF(ISNUMBER(tblData[[#This Row],[NSW Number of Tests]]),(tblData[[#This Row],[NSW Number of Tests]]-tblData[[#This Row],[NSW Test Logi]])^2,"")</f>
        <v>1622412.9949119927</v>
      </c>
      <c r="BY55"/>
      <c r="BZ55"/>
      <c r="CJ55" s="26"/>
      <c r="CK55" s="26"/>
    </row>
    <row r="56" spans="2:173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49">
        <f>IF(ISNUMBER(tblData[Italy]),tblData[Italy]/$N$9,"")</f>
        <v>973.20099255583125</v>
      </c>
      <c r="O56">
        <v>401</v>
      </c>
      <c r="P56" s="49">
        <f>IF(ISNUMBER(tblData[US]),tblData[US]/$P$9,"")</f>
        <v>12.180018387636139</v>
      </c>
      <c r="Q56">
        <v>7041</v>
      </c>
      <c r="R56" s="19">
        <f>IF(ISNUMBER(tblData[SKorea]),tblData[SKorea]/$R$9,"")</f>
        <v>1369.8443579766538</v>
      </c>
      <c r="S56">
        <v>207</v>
      </c>
      <c r="T56" s="12">
        <f>IF(ISNUMBER(tblData[UK]),tblData[UK]/$T$9,"")</f>
        <v>31.155930162552679</v>
      </c>
      <c r="U56">
        <v>80770</v>
      </c>
      <c r="V56" s="21">
        <f>IF(ISNUMBER(tblData[China]),tblData[China]/$V$9,"")</f>
        <v>561.1663014729495</v>
      </c>
      <c r="W56" s="26">
        <f>IF(tblData[[#This Row],[Date]]&lt;ItalyStart,"",tblData[[#This Row],[Date]]-ItalyStart)</f>
        <v>37</v>
      </c>
      <c r="X56" s="26">
        <f t="shared" si="5"/>
        <v>27</v>
      </c>
      <c r="Y56" s="26">
        <f t="shared" si="3"/>
        <v>45</v>
      </c>
      <c r="Z56" s="26">
        <f>IF(tblData[[#This Row],[Date]]&lt;StartDt2Korea,"",tblData[[#This Row],[Date]]-StartDt2Korea)</f>
        <v>17</v>
      </c>
      <c r="AA56" s="26">
        <f>IF(tblData[[#This Row],[Date]]&lt;UKStart,"",tblData[[#This Row],[Date]]-UKStart)</f>
        <v>37</v>
      </c>
      <c r="AB56">
        <f>IF(tblData[Date]&gt;=StartDt2Au,tblData[Date]-StartDt2Au,"")</f>
        <v>42</v>
      </c>
      <c r="AC56" s="26">
        <f>IF(tblData[New South Wales]&gt;0,SUM(tblData[[#This Row],[Australian Capital Territory]:[Western Australia]]),"")</f>
        <v>63</v>
      </c>
      <c r="AD56" s="12">
        <f>IF(ISNUMBER(tblData[Au]),tblData[Au]/$AA$9,"")</f>
        <v>24.838353571991799</v>
      </c>
      <c r="AE56" s="19">
        <f>IF(ISNUMBER(tblData[[#This Row],[Day'# Aust]]),betaAu/(deltaAu+betaPodeltaAu*EXP(-betaAu*tblData[[#This Row],[Day'# Aust]])),"")</f>
        <v>59.281323238620971</v>
      </c>
      <c r="AF56" s="72">
        <f>IF(ISNUMBER(tblData[Day'# Aust]),tblData[Au LogiP(t)]/$AD$9,"")</f>
        <v>23.372229632006377</v>
      </c>
      <c r="AG56" s="11">
        <f>IF(AND(tblData[Date]&gt;=StartDt2Au,ISNUMBER(tblData[NSW])),(tblData[[#This Row],[Au LogiP(t)]]-tblData[[#This Row],[Au]])^2,"")</f>
        <v>13.828556855620427</v>
      </c>
      <c r="AH56">
        <f>IF(tblData[Date]&gt;StartDt2NSW,tblData[Date]-StartDt2NSW,"")</f>
        <v>42</v>
      </c>
      <c r="AI56">
        <f t="shared" si="4"/>
        <v>28</v>
      </c>
      <c r="AJ56" s="11">
        <f>IF(tblData[Date]&gt;StartDt2NSW,betaNSW/(deltaNSW+betaPodeltaNSW*EXP(-betaNSW*tblData[[#This Row],[Day '# NSW]])),"")</f>
        <v>28.002733393114337</v>
      </c>
      <c r="AK56" s="12">
        <f>IF(AND(ISNUMBER(tblData[NSW]),tblData[Date]&gt;StartDt2NSW),(tblData[[#This Row],[NSW LogiP(t)]]-tblData[[#This Row],[NSW]])^2,"")</f>
        <v>7.4714379175034759E-6</v>
      </c>
      <c r="AL56" s="12">
        <f>IF(AND(tblData[Date]&gt;StartDt2NSW,ISNUMBER(tblData[Day'# Aust])),tblData[NSW LogiP(t)]/$AG$9,"")</f>
        <v>34.656848258804871</v>
      </c>
      <c r="AM56" s="11">
        <f>IF(AND(tblData[Date]&gt;StartDt2Italy,ISNUMBER(tblData[Days'# Italy])),betaItaly/(deltaItaly+betaPodeltaItaly*EXP(-betaItaly*tblData[Days'# Italy])),"")</f>
        <v>5985.2368753577084</v>
      </c>
      <c r="AN56" s="11">
        <f>IF(AND(tblData[Date]&gt;StartDt2Italy,ISNUMBER(tblData[Italy])),(tblData[[#This Row],[Italy LogiP(t)]]-tblData[[#This Row],[Italy]])^2,"")</f>
        <v>10452.378682907605</v>
      </c>
      <c r="AO56" s="44">
        <f>IF(AND(tblData[Date]&gt;StartDt2Italy,ISNUMBER(tblData[Days'# Italy])),tblData[[#This Row],[Italy LogiP(t)]]/$AM$9,"")</f>
        <v>990.11362702360771</v>
      </c>
      <c r="AP56" s="21">
        <f>IF(ISNUMBER(tblData[[#This Row],[Days'# US]]),betaUS/(deltaUS+betaPodeltaUS*EXP(-betaUS*tblData[Days'# US])),"")</f>
        <v>204.19744706561286</v>
      </c>
      <c r="AQ56" s="11">
        <f>IF(ISNUMBER(tblData[US]),(tblData[[#This Row],[US LogiP(t)]]-tblData[US])^2,"")</f>
        <v>38731.244841492255</v>
      </c>
      <c r="AR56" s="21">
        <f>IF(ISNUMBER(tblData[[#This Row],[Days'# US]]),tblData[[#This Row],[US LogiP(t)]]/$AP$9,"")</f>
        <v>6.2023158602681345</v>
      </c>
      <c r="AS56" s="21">
        <f>IF(tblData[Date]&gt;=StartDt2Korea,betaSKorea/(deltaSKorea+betaPodeltaSKorea*EXP(-betaSKorea*(tblData[Date]-StartDt2Korea))),"")</f>
        <v>7027.4869442876652</v>
      </c>
      <c r="AT56" s="21">
        <f>IF(AND(tblData[Date]&gt;=StartDt2Korea,ISNUMBER(tblData[SKorea])),(tblData[[#This Row],[SKorea LogiP(t)]]-tblData[[#This Row],[SKorea]])^2,"")</f>
        <v>182.6026746846639</v>
      </c>
      <c r="AU56" s="21">
        <f>IF(tblData[Date]&gt;=StartDt2Korea,tblData[[#This Row],[SKorea LogiP(t)]]/$AS$9,"")</f>
        <v>1367.2153588108299</v>
      </c>
      <c r="AV56" s="11">
        <f>IF(ISNUMBER(tblData[Days'# UK]),betaUK/(deltaUK+betaPodeltaUK*EXP(-betaUK*tblData[Days'# UK])),"")</f>
        <v>193.19750778300349</v>
      </c>
      <c r="AW56" s="21">
        <f>IF(ISNUMBER(tblData[UK]),(tblData[[#This Row],[UK LogiP(t)]]-tblData[[#This Row],[UK]])^2,"")</f>
        <v>190.50879140024929</v>
      </c>
      <c r="AX56" s="21">
        <f>IF(ISNUMBER(tblData[Days'# UK]),tblData[[#This Row],[UK LogiP(t)]]/$AV$9,"")</f>
        <v>29.07849304379944</v>
      </c>
      <c r="AY56" s="11">
        <f>IF(ISNUMBER(tblData[Days'# China]),betaChina/(deltaChina+betaPodeltaChina*EXP(-betaChina*tblData[Days'# China])),"")</f>
        <v>80761.301623296167</v>
      </c>
      <c r="AZ56" s="11">
        <f>IF(ISNUMBER(tblData[China]),(tblData[[#This Row],[China LogiP(t)]]-tblData[[#This Row],[China]])^2,"")</f>
        <v>75.661757281780538</v>
      </c>
      <c r="BA56" s="11">
        <f>tblData[[#This Row],[China LogiP(t)]]/$AY$9</f>
        <v>561.10586769947281</v>
      </c>
      <c r="BB56" s="11">
        <v>6690</v>
      </c>
      <c r="BC56" s="11">
        <v>488</v>
      </c>
      <c r="BD56" s="11">
        <f>IF(ISNUMBER(tblData[[#This Row],[NSW Number of Tests]]),tblData[[#This Row],[NSW Number of Tests]]-BB55,"")</f>
        <v>473</v>
      </c>
      <c r="BE56" s="11">
        <f>IF(ISNUMBER(tblData[[#This Row],[NSW Under Investigation'']]),tblData[[#This Row],[NSW Under Investigation'']]-BC55,"")</f>
        <v>-57</v>
      </c>
      <c r="BF56" s="11">
        <f>BF55+1</f>
        <v>1</v>
      </c>
      <c r="BG56" s="11">
        <f>IF(ISNUMBER(tblData[[#This Row],[NSW Test Day Number]]),betaTest/(deltaTest+betaPodeltaTest*EXP(-betaTest*tblData[[#This Row],[NSW Test Day Number]])),"")</f>
        <v>5831.3706112455338</v>
      </c>
      <c r="BH56" s="11">
        <f>IF(ISNUMBER(tblData[[#This Row],[NSW Number of Tests]]),(tblData[[#This Row],[NSW Number of Tests]]-tblData[[#This Row],[NSW Test Logi]])^2,"")</f>
        <v>737244.42723286815</v>
      </c>
      <c r="BY56"/>
      <c r="BZ56"/>
      <c r="CJ56" s="26"/>
      <c r="CK56" s="26"/>
    </row>
    <row r="57" spans="2:173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49">
        <f>IF(ISNUMBER(tblData[Italy]),tblData[Italy]/$N$9,"")</f>
        <v>1220.0165425971877</v>
      </c>
      <c r="O57">
        <v>514</v>
      </c>
      <c r="P57" s="49">
        <f>IF(ISNUMBER(tblData[US]),tblData[US]/$P$9,"")</f>
        <v>15.612292895872757</v>
      </c>
      <c r="Q57">
        <v>7314</v>
      </c>
      <c r="R57" s="19">
        <f>IF(ISNUMBER(tblData[SKorea]),tblData[SKorea]/$R$9,"")</f>
        <v>1422.95719844358</v>
      </c>
      <c r="S57">
        <v>274</v>
      </c>
      <c r="T57" s="12">
        <f>IF(ISNUMBER(tblData[UK]),tblData[UK]/$T$9,"")</f>
        <v>41.240216736905481</v>
      </c>
      <c r="U57">
        <v>80823</v>
      </c>
      <c r="V57" s="21">
        <f>IF(ISNUMBER(tblData[China]),tblData[China]/$V$9,"")</f>
        <v>561.5345299485972</v>
      </c>
      <c r="W57" s="26">
        <f>IF(tblData[[#This Row],[Date]]&lt;ItalyStart,"",tblData[[#This Row],[Date]]-ItalyStart)</f>
        <v>38</v>
      </c>
      <c r="X57" s="26">
        <f t="shared" si="5"/>
        <v>28</v>
      </c>
      <c r="Y57" s="26">
        <f t="shared" si="3"/>
        <v>46</v>
      </c>
      <c r="Z57" s="26">
        <f>IF(tblData[[#This Row],[Date]]&lt;StartDt2Korea,"",tblData[[#This Row],[Date]]-StartDt2Korea)</f>
        <v>18</v>
      </c>
      <c r="AA57" s="26">
        <f>IF(tblData[[#This Row],[Date]]&lt;UKStart,"",tblData[[#This Row],[Date]]-UKStart)</f>
        <v>38</v>
      </c>
      <c r="AB57">
        <f>IF(tblData[Date]&gt;=StartDt2Au,tblData[Date]-StartDt2Au,"")</f>
        <v>43</v>
      </c>
      <c r="AC57" s="26">
        <f>IF(tblData[New South Wales]&gt;0,SUM(tblData[[#This Row],[Australian Capital Territory]:[Western Australia]]),"")</f>
        <v>76</v>
      </c>
      <c r="AD57" s="12">
        <f>IF(ISNUMBER(tblData[Au]),tblData[Au]/$AA$9,"")</f>
        <v>29.963728118593281</v>
      </c>
      <c r="AE57" s="19">
        <f>IF(ISNUMBER(tblData[[#This Row],[Day'# Aust]]),betaAu/(deltaAu+betaPodeltaAu*EXP(-betaAu*tblData[[#This Row],[Day'# Aust]])),"")</f>
        <v>72.877762409398287</v>
      </c>
      <c r="AF57" s="72">
        <f>IF(ISNUMBER(tblData[Day'# Aust]),tblData[Au LogiP(t)]/$AD$9,"")</f>
        <v>28.732756035876946</v>
      </c>
      <c r="AG57" s="11">
        <f>IF(AND(tblData[Date]&gt;=StartDt2Au,ISNUMBER(tblData[NSW])),(tblData[[#This Row],[Au LogiP(t)]]-tblData[[#This Row],[Au]])^2,"")</f>
        <v>9.7483675721663925</v>
      </c>
      <c r="AH57">
        <f>IF(tblData[Date]&gt;StartDt2NSW,tblData[Date]-StartDt2NSW,"")</f>
        <v>43</v>
      </c>
      <c r="AI57">
        <f t="shared" si="4"/>
        <v>38</v>
      </c>
      <c r="AJ57" s="11">
        <f>IF(tblData[Date]&gt;StartDt2NSW,betaNSW/(deltaNSW+betaPodeltaNSW*EXP(-betaNSW*tblData[[#This Row],[Day '# NSW]])),"")</f>
        <v>34.439984055529592</v>
      </c>
      <c r="AK57" s="12">
        <f>IF(AND(ISNUMBER(tblData[NSW]),tblData[Date]&gt;StartDt2NSW),(tblData[[#This Row],[NSW LogiP(t)]]-tblData[[#This Row],[NSW]])^2,"")</f>
        <v>12.673713524883528</v>
      </c>
      <c r="AL57" s="12">
        <f>IF(AND(tblData[Date]&gt;StartDt2NSW,ISNUMBER(tblData[Day'# Aust])),tblData[NSW LogiP(t)]/$AG$9,"")</f>
        <v>42.623742642982165</v>
      </c>
      <c r="AM57" s="11">
        <f>IF(AND(tblData[Date]&gt;StartDt2Italy,ISNUMBER(tblData[Days'# Italy])),betaItaly/(deltaItaly+betaPodeltaItaly*EXP(-betaItaly*tblData[Days'# Italy])),"")</f>
        <v>7522.5449579736451</v>
      </c>
      <c r="AN57" s="11">
        <f>IF(AND(tblData[Date]&gt;StartDt2Italy,ISNUMBER(tblData[Italy])),(tblData[[#This Row],[Italy LogiP(t)]]-tblData[[#This Row],[Italy]])^2,"")</f>
        <v>21769.514623444691</v>
      </c>
      <c r="AO57" s="44">
        <f>IF(AND(tblData[Date]&gt;StartDt2Italy,ISNUMBER(tblData[Days'# Italy])),tblData[[#This Row],[Italy LogiP(t)]]/$AM$9,"")</f>
        <v>1244.4243106656154</v>
      </c>
      <c r="AP57" s="21">
        <f>IF(ISNUMBER(tblData[[#This Row],[Days'# US]]),betaUS/(deltaUS+betaPodeltaUS*EXP(-betaUS*tblData[Days'# US])),"")</f>
        <v>289.10283386530949</v>
      </c>
      <c r="AQ57" s="11">
        <f>IF(ISNUMBER(tblData[US]),(tblData[[#This Row],[US LogiP(t)]]-tblData[US])^2,"")</f>
        <v>50578.735335414582</v>
      </c>
      <c r="AR57" s="21">
        <f>IF(ISNUMBER(tblData[[#This Row],[Days'# US]]),tblData[[#This Row],[US LogiP(t)]]/$AP$9,"")</f>
        <v>8.781241477299714</v>
      </c>
      <c r="AS57" s="21">
        <f>IF(tblData[Date]&gt;=StartDt2Korea,betaSKorea/(deltaSKorea+betaPodeltaSKorea*EXP(-betaSKorea*(tblData[Date]-StartDt2Korea))),"")</f>
        <v>7344.497309914952</v>
      </c>
      <c r="AT57" s="21">
        <f>IF(AND(tblData[Date]&gt;=StartDt2Korea,ISNUMBER(tblData[SKorea])),(tblData[[#This Row],[SKorea LogiP(t)]]-tblData[[#This Row],[SKorea]])^2,"")</f>
        <v>930.08591204862864</v>
      </c>
      <c r="AU57" s="21">
        <f>IF(tblData[Date]&gt;=StartDt2Korea,tblData[[#This Row],[SKorea LogiP(t)]]/$AS$9,"")</f>
        <v>1428.8905272208078</v>
      </c>
      <c r="AV57" s="11">
        <f>IF(ISNUMBER(tblData[Days'# UK]),betaUK/(deltaUK+betaPodeltaUK*EXP(-betaUK*tblData[Days'# UK])),"")</f>
        <v>243.30311318735008</v>
      </c>
      <c r="AW57" s="21">
        <f>IF(ISNUMBER(tblData[UK]),(tblData[[#This Row],[UK LogiP(t)]]-tblData[[#This Row],[UK]])^2,"")</f>
        <v>942.29885998864063</v>
      </c>
      <c r="AX57" s="21">
        <f>IF(ISNUMBER(tblData[Days'# UK]),tblData[[#This Row],[UK LogiP(t)]]/$AV$9,"")</f>
        <v>36.619974892737822</v>
      </c>
      <c r="AY57" s="11">
        <f>IF(ISNUMBER(tblData[Days'# China]),betaChina/(deltaChina+betaPodeltaChina*EXP(-betaChina*tblData[Days'# China])),"")</f>
        <v>80799.086218885743</v>
      </c>
      <c r="AZ57" s="11">
        <f>IF(ISNUMBER(tblData[China]),(tblData[[#This Row],[China LogiP(t)]]-tblData[[#This Row],[China]])^2,"")</f>
        <v>571.86892718060858</v>
      </c>
      <c r="BA57" s="11">
        <f>tblData[[#This Row],[China LogiP(t)]]/$AY$9</f>
        <v>561.36838400205613</v>
      </c>
      <c r="BB57" s="11">
        <v>7361</v>
      </c>
      <c r="BC57" s="11">
        <v>576</v>
      </c>
      <c r="BD57" s="11">
        <f>IF(ISNUMBER(tblData[[#This Row],[NSW Number of Tests]]),tblData[[#This Row],[NSW Number of Tests]]-BB56,"")</f>
        <v>671</v>
      </c>
      <c r="BE57" s="11">
        <f>IF(ISNUMBER(tblData[[#This Row],[NSW Under Investigation'']]),tblData[[#This Row],[NSW Under Investigation'']]-BC56,"")</f>
        <v>88</v>
      </c>
      <c r="BF57" s="11">
        <f t="shared" ref="BF57:BF96" si="6">BF56+1</f>
        <v>2</v>
      </c>
      <c r="BG57" s="11">
        <f>IF(ISNUMBER(tblData[[#This Row],[NSW Test Day Number]]),betaTest/(deltaTest+betaPodeltaTest*EXP(-betaTest*tblData[[#This Row],[NSW Test Day Number]])),"")</f>
        <v>6875.2112147925036</v>
      </c>
      <c r="BH57" s="11">
        <f>IF(ISNUMBER(tblData[[#This Row],[NSW Number of Tests]]),(tblData[[#This Row],[NSW Number of Tests]]-tblData[[#This Row],[NSW Test Logi]])^2,"")</f>
        <v>235990.74383337508</v>
      </c>
      <c r="BY57"/>
      <c r="BZ57"/>
      <c r="CJ57" s="26"/>
      <c r="CK57" s="26"/>
      <c r="DE57" s="55"/>
      <c r="DI57" s="55"/>
      <c r="DJ57" s="55"/>
      <c r="DK57" s="55"/>
      <c r="DL57" s="55"/>
      <c r="DM57" s="55"/>
      <c r="DN57" s="55"/>
      <c r="DO57" s="55"/>
      <c r="DP57" s="55"/>
      <c r="DQ57" s="55"/>
      <c r="DS57" s="55"/>
      <c r="DT57" s="55"/>
      <c r="DU57" s="55"/>
      <c r="DW57" s="55"/>
      <c r="DX57" s="55"/>
      <c r="DY57" s="55"/>
      <c r="DZ57" s="55"/>
      <c r="EA57" s="55"/>
      <c r="EB57" s="55"/>
      <c r="EC57" s="55"/>
      <c r="ED57" s="55"/>
      <c r="EE57" s="55"/>
      <c r="EF57" s="55"/>
      <c r="EG57" s="55"/>
    </row>
    <row r="58" spans="2:173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49">
        <f>IF(ISNUMBER(tblData[Italy]),tblData[Italy]/$N$9,"")</f>
        <v>1517.2870140612076</v>
      </c>
      <c r="O58">
        <v>579</v>
      </c>
      <c r="P58" s="49">
        <f>IF(ISNUMBER(tblData[US]),tblData[US]/$P$9,"")</f>
        <v>17.586610090876121</v>
      </c>
      <c r="Q58">
        <v>7478</v>
      </c>
      <c r="R58" s="19">
        <f>IF(ISNUMBER(tblData[SKorea]),tblData[SKorea]/$R$9,"")</f>
        <v>1454.8638132295721</v>
      </c>
      <c r="S58">
        <v>322</v>
      </c>
      <c r="T58" s="12">
        <f>IF(ISNUMBER(tblData[UK]),tblData[UK]/$T$9,"")</f>
        <v>48.464780252859725</v>
      </c>
      <c r="U58">
        <v>80860</v>
      </c>
      <c r="V58" s="21">
        <f>IF(ISNUMBER(tblData[China]),tblData[China]/$V$9,"")</f>
        <v>561.79159511084185</v>
      </c>
      <c r="W58" s="26">
        <f>IF(tblData[[#This Row],[Date]]&lt;ItalyStart,"",tblData[[#This Row],[Date]]-ItalyStart)</f>
        <v>39</v>
      </c>
      <c r="X58" s="26">
        <f t="shared" si="5"/>
        <v>29</v>
      </c>
      <c r="Y58" s="26">
        <f t="shared" si="3"/>
        <v>47</v>
      </c>
      <c r="Z58" s="26">
        <f>IF(tblData[[#This Row],[Date]]&lt;StartDt2Korea,"",tblData[[#This Row],[Date]]-StartDt2Korea)</f>
        <v>19</v>
      </c>
      <c r="AA58" s="26">
        <f>IF(tblData[[#This Row],[Date]]&lt;UKStart,"",tblData[[#This Row],[Date]]-UKStart)</f>
        <v>39</v>
      </c>
      <c r="AB58">
        <f>IF(tblData[Date]&gt;=StartDt2Au,tblData[Date]-StartDt2Au,"")</f>
        <v>44</v>
      </c>
      <c r="AC58" s="26">
        <f>IF(tblData[New South Wales]&gt;0,SUM(tblData[[#This Row],[Australian Capital Territory]:[Western Australia]]),"")</f>
        <v>91</v>
      </c>
      <c r="AD58" s="12">
        <f>IF(ISNUMBER(tblData[Au]),tblData[Au]/$AA$9,"")</f>
        <v>35.87762182621038</v>
      </c>
      <c r="AE58" s="19">
        <f>IF(ISNUMBER(tblData[[#This Row],[Day'# Aust]]),betaAu/(deltaAu+betaPodeltaAu*EXP(-betaAu*tblData[[#This Row],[Day'# Aust]])),"")</f>
        <v>89.592604945956865</v>
      </c>
      <c r="AF58" s="72">
        <f>IF(ISNUMBER(tblData[Day'# Aust]),tblData[Au LogiP(t)]/$AD$9,"")</f>
        <v>35.322742842594572</v>
      </c>
      <c r="AG58" s="11">
        <f>IF(AND(tblData[Date]&gt;=StartDt2Au,ISNUMBER(tblData[NSW])),(tblData[[#This Row],[Au LogiP(t)]]-tblData[[#This Row],[Au]])^2,"")</f>
        <v>1.9807608381450803</v>
      </c>
      <c r="AH58">
        <f>IF(tblData[Date]&gt;StartDt2NSW,tblData[Date]-StartDt2NSW,"")</f>
        <v>44</v>
      </c>
      <c r="AI58">
        <f t="shared" si="4"/>
        <v>48</v>
      </c>
      <c r="AJ58" s="11">
        <f>IF(tblData[Date]&gt;StartDt2NSW,betaNSW/(deltaNSW+betaPodeltaNSW*EXP(-betaNSW*tblData[[#This Row],[Day '# NSW]])),"")</f>
        <v>42.333795592095491</v>
      </c>
      <c r="AK58" s="12">
        <f>IF(AND(ISNUMBER(tblData[NSW]),tblData[Date]&gt;StartDt2NSW),(tblData[[#This Row],[NSW LogiP(t)]]-tblData[[#This Row],[NSW]])^2,"")</f>
        <v>32.105872392156485</v>
      </c>
      <c r="AL58" s="12">
        <f>IF(AND(tblData[Date]&gt;StartDt2NSW,ISNUMBER(tblData[Day'# Aust])),tblData[NSW LogiP(t)]/$AG$9,"")</f>
        <v>52.393311376355804</v>
      </c>
      <c r="AM58" s="11">
        <f>IF(AND(tblData[Date]&gt;StartDt2Italy,ISNUMBER(tblData[Days'# Italy])),betaItaly/(deltaItaly+betaPodeltaItaly*EXP(-betaItaly*tblData[Days'# Italy])),"")</f>
        <v>9379.7637343113456</v>
      </c>
      <c r="AN58" s="11">
        <f>IF(AND(tblData[Date]&gt;StartDt2Italy,ISNUMBER(tblData[Italy])),(tblData[[#This Row],[Italy LogiP(t)]]-tblData[[#This Row],[Italy]])^2,"")</f>
        <v>43165.769294995414</v>
      </c>
      <c r="AO58" s="44">
        <f>IF(AND(tblData[Date]&gt;StartDt2Italy,ISNUMBER(tblData[Days'# Italy])),tblData[[#This Row],[Italy LogiP(t)]]/$AM$9,"")</f>
        <v>1551.6565317305783</v>
      </c>
      <c r="AP58" s="21">
        <f>IF(ISNUMBER(tblData[[#This Row],[Days'# US]]),betaUS/(deltaUS+betaPodeltaUS*EXP(-betaUS*tblData[Days'# US])),"")</f>
        <v>409.3118756555383</v>
      </c>
      <c r="AQ58" s="11">
        <f>IF(ISNUMBER(tblData[US]),(tblData[[#This Row],[US LogiP(t)]]-tblData[US])^2,"")</f>
        <v>28794.059543541494</v>
      </c>
      <c r="AR58" s="21">
        <f>IF(ISNUMBER(tblData[[#This Row],[Days'# US]]),tblData[[#This Row],[US LogiP(t)]]/$AP$9,"")</f>
        <v>12.432484218858587</v>
      </c>
      <c r="AS58" s="21">
        <f>IF(tblData[Date]&gt;=StartDt2Korea,betaSKorea/(deltaSKorea+betaPodeltaSKorea*EXP(-betaSKorea*(tblData[Date]-StartDt2Korea))),"")</f>
        <v>7591.7744079440899</v>
      </c>
      <c r="AT58" s="21">
        <f>IF(AND(tblData[Date]&gt;=StartDt2Korea,ISNUMBER(tblData[SKorea])),(tblData[[#This Row],[SKorea LogiP(t)]]-tblData[[#This Row],[SKorea]])^2,"")</f>
        <v>12944.615903028198</v>
      </c>
      <c r="AU58" s="21">
        <f>IF(tblData[Date]&gt;=StartDt2Korea,tblData[[#This Row],[SKorea LogiP(t)]]/$AS$9,"")</f>
        <v>1476.9989120513794</v>
      </c>
      <c r="AV58" s="11">
        <f>IF(ISNUMBER(tblData[Days'# UK]),betaUK/(deltaUK+betaPodeltaUK*EXP(-betaUK*tblData[Days'# UK])),"")</f>
        <v>306.40354645370917</v>
      </c>
      <c r="AW58" s="21">
        <f>IF(ISNUMBER(tblData[UK]),(tblData[[#This Row],[UK LogiP(t)]]-tblData[[#This Row],[UK]])^2,"")</f>
        <v>243.24936322160787</v>
      </c>
      <c r="AX58" s="21">
        <f>IF(ISNUMBER(tblData[Days'# UK]),tblData[[#This Row],[UK LogiP(t)]]/$AV$9,"")</f>
        <v>46.117330893092891</v>
      </c>
      <c r="AY58" s="11">
        <f>IF(ISNUMBER(tblData[Days'# China]),betaChina/(deltaChina+betaPodeltaChina*EXP(-betaChina*tblData[Days'# China])),"")</f>
        <v>80829.369657188508</v>
      </c>
      <c r="AZ58" s="11">
        <f>IF(ISNUMBER(tblData[China]),(tblData[[#This Row],[China LogiP(t)]]-tblData[[#This Row],[China]])^2,"")</f>
        <v>938.21790074949354</v>
      </c>
      <c r="BA58" s="11">
        <f>tblData[[#This Row],[China LogiP(t)]]/$AY$9</f>
        <v>561.57878446099198</v>
      </c>
      <c r="BB58" s="11">
        <v>7848</v>
      </c>
      <c r="BC58" s="11">
        <v>476</v>
      </c>
      <c r="BD58" s="11">
        <f>IF(ISNUMBER(tblData[[#This Row],[NSW Number of Tests]]),tblData[[#This Row],[NSW Number of Tests]]-BB57,"")</f>
        <v>487</v>
      </c>
      <c r="BE58" s="11">
        <f>IF(ISNUMBER(tblData[[#This Row],[NSW Under Investigation'']]),tblData[[#This Row],[NSW Under Investigation'']]-BC57,"")</f>
        <v>-100</v>
      </c>
      <c r="BF58" s="11">
        <f t="shared" si="6"/>
        <v>3</v>
      </c>
      <c r="BG58" s="11">
        <f>IF(ISNUMBER(tblData[[#This Row],[NSW Test Day Number]]),betaTest/(deltaTest+betaPodeltaTest*EXP(-betaTest*tblData[[#This Row],[NSW Test Day Number]])),"")</f>
        <v>8100.6049825657465</v>
      </c>
      <c r="BH58" s="11">
        <f>IF(ISNUMBER(tblData[[#This Row],[NSW Number of Tests]]),(tblData[[#This Row],[NSW Number of Tests]]-tblData[[#This Row],[NSW Test Logi]])^2,"")</f>
        <v>63809.277217041075</v>
      </c>
      <c r="BY58"/>
      <c r="BZ58"/>
      <c r="CJ58" s="26"/>
      <c r="CK58" s="26"/>
    </row>
    <row r="59" spans="2:173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49">
        <f>IF(ISNUMBER(tblData[Italy]),tblData[Italy]/$N$9,"")</f>
        <v>1678.9081885856081</v>
      </c>
      <c r="O59">
        <v>959</v>
      </c>
      <c r="P59" s="49">
        <f>IF(ISNUMBER(tblData[US]),tblData[US]/$P$9,"")</f>
        <v>29.128772153972712</v>
      </c>
      <c r="Q59">
        <v>7513</v>
      </c>
      <c r="R59" s="19">
        <f>IF(ISNUMBER(tblData[SKorea]),tblData[SKorea]/$R$9,"")</f>
        <v>1461.6731517509729</v>
      </c>
      <c r="S59">
        <v>384</v>
      </c>
      <c r="T59" s="12">
        <f>IF(ISNUMBER(tblData[UK]),tblData[UK]/$T$9,"")</f>
        <v>57.796508127633956</v>
      </c>
      <c r="U59">
        <v>80887</v>
      </c>
      <c r="V59" s="21">
        <f>IF(ISNUMBER(tblData[China]),tblData[China]/$V$9,"")</f>
        <v>561.97918320220958</v>
      </c>
      <c r="W59" s="26">
        <f>IF(tblData[[#This Row],[Date]]&lt;ItalyStart,"",tblData[[#This Row],[Date]]-ItalyStart)</f>
        <v>40</v>
      </c>
      <c r="X59" s="26">
        <f t="shared" si="5"/>
        <v>30</v>
      </c>
      <c r="Y59" s="26">
        <f t="shared" si="3"/>
        <v>48</v>
      </c>
      <c r="Z59" s="26">
        <f>IF(tblData[[#This Row],[Date]]&lt;StartDt2Korea,"",tblData[[#This Row],[Date]]-StartDt2Korea)</f>
        <v>20</v>
      </c>
      <c r="AA59" s="26">
        <f>IF(tblData[[#This Row],[Date]]&lt;UKStart,"",tblData[[#This Row],[Date]]-UKStart)</f>
        <v>40</v>
      </c>
      <c r="AB59">
        <f>IF(tblData[Date]&gt;=StartDt2Au,tblData[Date]-StartDt2Au,"")</f>
        <v>45</v>
      </c>
      <c r="AC59" s="26">
        <f>IF(tblData[New South Wales]&gt;0,SUM(tblData[[#This Row],[Australian Capital Territory]:[Western Australia]]),"")</f>
        <v>107</v>
      </c>
      <c r="AD59" s="12">
        <f>IF(ISNUMBER(tblData[Au]),tblData[Au]/$AA$9,"")</f>
        <v>42.185775114335279</v>
      </c>
      <c r="AE59" s="19">
        <f>IF(ISNUMBER(tblData[[#This Row],[Day'# Aust]]),betaAu/(deltaAu+betaPodeltaAu*EXP(-betaAu*tblData[[#This Row],[Day'# Aust]])),"")</f>
        <v>110.14106973930745</v>
      </c>
      <c r="AF59" s="72">
        <f>IF(ISNUMBER(tblData[Day'# Aust]),tblData[Au LogiP(t)]/$AD$9,"")</f>
        <v>43.424171952100401</v>
      </c>
      <c r="AG59" s="11">
        <f>IF(AND(tblData[Date]&gt;=StartDt2Au,ISNUMBER(tblData[NSW])),(tblData[[#This Row],[Au LogiP(t)]]-tblData[[#This Row],[Au]])^2,"")</f>
        <v>9.8663191071929983</v>
      </c>
      <c r="AH59">
        <f>IF(tblData[Date]&gt;StartDt2NSW,tblData[Date]-StartDt2NSW,"")</f>
        <v>45</v>
      </c>
      <c r="AI59">
        <f t="shared" si="4"/>
        <v>55</v>
      </c>
      <c r="AJ59" s="11">
        <f>IF(tblData[Date]&gt;StartDt2NSW,betaNSW/(deltaNSW+betaPodeltaNSW*EXP(-betaNSW*tblData[[#This Row],[Day '# NSW]])),"")</f>
        <v>52.001933956529612</v>
      </c>
      <c r="AK59" s="12">
        <f>IF(AND(ISNUMBER(tblData[NSW]),tblData[Date]&gt;StartDt2NSW),(tblData[[#This Row],[NSW LogiP(t)]]-tblData[[#This Row],[NSW]])^2,"")</f>
        <v>8.9884000010101861</v>
      </c>
      <c r="AL59" s="12">
        <f>IF(AND(tblData[Date]&gt;StartDt2NSW,ISNUMBER(tblData[Day'# Aust])),tblData[NSW LogiP(t)]/$AG$9,"")</f>
        <v>64.358829154120798</v>
      </c>
      <c r="AM59" s="11">
        <f>IF(AND(tblData[Date]&gt;StartDt2Italy,ISNUMBER(tblData[Days'# Italy])),betaItaly/(deltaItaly+betaPodeltaItaly*EXP(-betaItaly*tblData[Days'# Italy])),"")</f>
        <v>11584.565964985874</v>
      </c>
      <c r="AN59" s="11">
        <f>IF(AND(tblData[Date]&gt;StartDt2Italy,ISNUMBER(tblData[Italy])),(tblData[[#This Row],[Italy LogiP(t)]]-tblData[[#This Row],[Italy]])^2,"")</f>
        <v>2060849.6398258221</v>
      </c>
      <c r="AO59" s="44">
        <f>IF(AND(tblData[Date]&gt;StartDt2Italy,ISNUMBER(tblData[Days'# Italy])),tblData[[#This Row],[Italy LogiP(t)]]/$AM$9,"")</f>
        <v>1916.388083537779</v>
      </c>
      <c r="AP59" s="21">
        <f>IF(ISNUMBER(tblData[[#This Row],[Days'# US]]),betaUS/(deltaUS+betaPodeltaUS*EXP(-betaUS*tblData[Days'# US])),"")</f>
        <v>579.50378842192686</v>
      </c>
      <c r="AQ59" s="11">
        <f>IF(ISNUMBER(tblData[US]),(tblData[[#This Row],[US LogiP(t)]]-tblData[US])^2,"")</f>
        <v>144017.37460210966</v>
      </c>
      <c r="AR59" s="21">
        <f>IF(ISNUMBER(tblData[[#This Row],[Days'# US]]),tblData[[#This Row],[US LogiP(t)]]/$AP$9,"")</f>
        <v>17.601912216169257</v>
      </c>
      <c r="AS59" s="21">
        <f>IF(tblData[Date]&gt;=StartDt2Korea,betaSKorea/(deltaSKorea+betaPodeltaSKorea*EXP(-betaSKorea*(tblData[Date]-StartDt2Korea))),"")</f>
        <v>7780.9305927529585</v>
      </c>
      <c r="AT59" s="21">
        <f>IF(AND(tblData[Date]&gt;=StartDt2Korea,ISNUMBER(tblData[SKorea])),(tblData[[#This Row],[SKorea LogiP(t)]]-tblData[[#This Row],[SKorea]])^2,"")</f>
        <v>71786.802532951726</v>
      </c>
      <c r="AU59" s="21">
        <f>IF(tblData[Date]&gt;=StartDt2Korea,tblData[[#This Row],[SKorea LogiP(t)]]/$AS$9,"")</f>
        <v>1513.7997262165291</v>
      </c>
      <c r="AV59" s="11">
        <f>IF(ISNUMBER(tblData[Days'# UK]),betaUK/(deltaUK+betaPodeltaUK*EXP(-betaUK*tblData[Days'# UK])),"")</f>
        <v>385.86899027613316</v>
      </c>
      <c r="AW59" s="21">
        <f>IF(ISNUMBER(tblData[UK]),(tblData[[#This Row],[UK LogiP(t)]]-tblData[[#This Row],[UK]])^2,"")</f>
        <v>3.4931246522803092</v>
      </c>
      <c r="AX59" s="21">
        <f>IF(ISNUMBER(tblData[Days'# UK]),tblData[[#This Row],[UK LogiP(t)]]/$AV$9,"")</f>
        <v>58.077813105980304</v>
      </c>
      <c r="AY59" s="11">
        <f>IF(ISNUMBER(tblData[Days'# China]),betaChina/(deltaChina+betaPodeltaChina*EXP(-betaChina*tblData[Days'# China])),"")</f>
        <v>80853.637032977131</v>
      </c>
      <c r="AZ59" s="11">
        <f>IF(ISNUMBER(tblData[China]),(tblData[[#This Row],[China LogiP(t)]]-tblData[[#This Row],[China]])^2,"")</f>
        <v>1113.0875685690623</v>
      </c>
      <c r="BA59" s="11">
        <f>tblData[[#This Row],[China LogiP(t)]]/$AY$9</f>
        <v>561.74738707975825</v>
      </c>
      <c r="BB59" s="11">
        <v>8361</v>
      </c>
      <c r="BC59" s="11">
        <v>618</v>
      </c>
      <c r="BD59" s="11">
        <f>IF(ISNUMBER(tblData[[#This Row],[NSW Number of Tests]]),tblData[[#This Row],[NSW Number of Tests]]-BB58,"")</f>
        <v>513</v>
      </c>
      <c r="BE59" s="11">
        <f>IF(ISNUMBER(tblData[[#This Row],[NSW Under Investigation'']]),tblData[[#This Row],[NSW Under Investigation'']]-BC58,"")</f>
        <v>142</v>
      </c>
      <c r="BF59" s="11">
        <f t="shared" si="6"/>
        <v>4</v>
      </c>
      <c r="BG59" s="11">
        <f>IF(ISNUMBER(tblData[[#This Row],[NSW Test Day Number]]),betaTest/(deltaTest+betaPodeltaTest*EXP(-betaTest*tblData[[#This Row],[NSW Test Day Number]])),"")</f>
        <v>9537.0863898022344</v>
      </c>
      <c r="BH59" s="11">
        <f>IF(ISNUMBER(tblData[[#This Row],[NSW Number of Tests]]),(tblData[[#This Row],[NSW Number of Tests]]-tblData[[#This Row],[NSW Test Logi]])^2,"")</f>
        <v>1383179.1962780533</v>
      </c>
      <c r="BY59"/>
      <c r="BZ59"/>
      <c r="CJ59" s="26"/>
      <c r="CK59" s="26"/>
    </row>
    <row r="60" spans="2:173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49">
        <f>IF(ISNUMBER(tblData[Italy]),tblData[Italy]/$N$9,"")</f>
        <v>2061.5384615384614</v>
      </c>
      <c r="O60">
        <v>1281</v>
      </c>
      <c r="P60" s="49">
        <f>IF(ISNUMBER(tblData[US]),tblData[US]/$P$9,"")</f>
        <v>38.909235796912455</v>
      </c>
      <c r="Q60">
        <v>7755</v>
      </c>
      <c r="R60" s="19">
        <f>IF(ISNUMBER(tblData[SKorea]),tblData[SKorea]/$R$9,"")</f>
        <v>1508.7548638132296</v>
      </c>
      <c r="S60">
        <v>459</v>
      </c>
      <c r="T60" s="12">
        <f>IF(ISNUMBER(tblData[UK]),tblData[UK]/$T$9,"")</f>
        <v>69.084888621312459</v>
      </c>
      <c r="U60">
        <v>80921</v>
      </c>
      <c r="V60" s="21">
        <f>IF(ISNUMBER(tblData[China]),tblData[China]/$V$9,"")</f>
        <v>562.21540524319107</v>
      </c>
      <c r="W60" s="26">
        <f>IF(tblData[[#This Row],[Date]]&lt;ItalyStart,"",tblData[[#This Row],[Date]]-ItalyStart)</f>
        <v>41</v>
      </c>
      <c r="X60" s="26">
        <f t="shared" si="5"/>
        <v>31</v>
      </c>
      <c r="Y60" s="26">
        <f t="shared" si="3"/>
        <v>49</v>
      </c>
      <c r="Z60" s="26">
        <f>IF(tblData[[#This Row],[Date]]&lt;StartDt2Korea,"",tblData[[#This Row],[Date]]-StartDt2Korea)</f>
        <v>21</v>
      </c>
      <c r="AA60" s="26">
        <f>IF(tblData[[#This Row],[Date]]&lt;UKStart,"",tblData[[#This Row],[Date]]-UKStart)</f>
        <v>41</v>
      </c>
      <c r="AB60">
        <f>IF(tblData[Date]&gt;=StartDt2Au,tblData[Date]-StartDt2Au,"")</f>
        <v>46</v>
      </c>
      <c r="AC60" s="26">
        <f>IF(tblData[New South Wales]&gt;0,SUM(tblData[[#This Row],[Australian Capital Territory]:[Western Australia]]),"")</f>
        <v>128</v>
      </c>
      <c r="AD60" s="12">
        <f>IF(ISNUMBER(tblData[Au]),tblData[Au]/$AA$9,"")</f>
        <v>50.465226304999213</v>
      </c>
      <c r="AE60" s="19">
        <f>IF(ISNUMBER(tblData[[#This Row],[Day'# Aust]]),betaAu/(deltaAu+betaPodeltaAu*EXP(-betaAu*tblData[[#This Row],[Day'# Aust]])),"")</f>
        <v>135.40241377911704</v>
      </c>
      <c r="AF60" s="72">
        <f>IF(ISNUMBER(tblData[Day'# Aust]),tblData[Au LogiP(t)]/$AD$9,"")</f>
        <v>53.383698856299098</v>
      </c>
      <c r="AG60" s="11">
        <f>IF(AND(tblData[Date]&gt;=StartDt2Au,ISNUMBER(tblData[NSW])),(tblData[[#This Row],[Au LogiP(t)]]-tblData[[#This Row],[Au]])^2,"")</f>
        <v>54.795729757261824</v>
      </c>
      <c r="AH60">
        <f>IF(tblData[Date]&gt;StartDt2NSW,tblData[Date]-StartDt2NSW,"")</f>
        <v>46</v>
      </c>
      <c r="AI60" s="26">
        <f t="shared" si="4"/>
        <v>65</v>
      </c>
      <c r="AJ60" s="11">
        <f>IF(tblData[Date]&gt;StartDt2NSW,betaNSW/(deltaNSW+betaPodeltaNSW*EXP(-betaNSW*tblData[[#This Row],[Day '# NSW]])),"")</f>
        <v>63.825531502146625</v>
      </c>
      <c r="AK60" s="12">
        <f>IF(AND(ISNUMBER(tblData[NSW]),tblData[Date]&gt;StartDt2NSW),(tblData[[#This Row],[NSW LogiP(t)]]-tblData[[#This Row],[NSW]])^2,"")</f>
        <v>1.3793762524499642</v>
      </c>
      <c r="AL60" s="12">
        <f>IF(AND(tblData[Date]&gt;StartDt2NSW,ISNUMBER(tblData[Day'# Aust])),tblData[NSW LogiP(t)]/$AG$9,"")</f>
        <v>78.991994433349774</v>
      </c>
      <c r="AM60" s="11">
        <f>IF(AND(tblData[Date]&gt;StartDt2Italy,ISNUMBER(tblData[Days'# Italy])),betaItaly/(deltaItaly+betaPodeltaItaly*EXP(-betaItaly*tblData[Days'# Italy])),"")</f>
        <v>14148.304546172034</v>
      </c>
      <c r="AN60" s="11">
        <f>IF(AND(tblData[Date]&gt;StartDt2Italy,ISNUMBER(tblData[Italy])),(tblData[[#This Row],[Italy LogiP(t)]]-tblData[[#This Row],[Italy]])^2,"")</f>
        <v>2843623.0224404694</v>
      </c>
      <c r="AO60" s="44">
        <f>IF(AND(tblData[Date]&gt;StartDt2Italy,ISNUMBER(tblData[Days'# Italy])),tblData[[#This Row],[Italy LogiP(t)]]/$AM$9,"")</f>
        <v>2340.4970299705597</v>
      </c>
      <c r="AP60" s="21">
        <f>IF(ISNUMBER(tblData[[#This Row],[Days'# US]]),betaUS/(deltaUS+betaPodeltaUS*EXP(-betaUS*tblData[Days'# US])),"")</f>
        <v>820.46134602778352</v>
      </c>
      <c r="AQ60" s="11">
        <f>IF(ISNUMBER(tblData[US]),(tblData[[#This Row],[US LogiP(t)]]-tblData[US])^2,"")</f>
        <v>212095.85180254094</v>
      </c>
      <c r="AR60" s="21">
        <f>IF(ISNUMBER(tblData[[#This Row],[Days'# US]]),tblData[[#This Row],[US LogiP(t)]]/$AP$9,"")</f>
        <v>24.920783743050126</v>
      </c>
      <c r="AS60" s="21">
        <f>IF(tblData[Date]&gt;=StartDt2Korea,betaSKorea/(deltaSKorea+betaPodeltaSKorea*EXP(-betaSKorea*(tblData[Date]-StartDt2Korea))),"")</f>
        <v>7923.4783244789023</v>
      </c>
      <c r="AT60" s="21">
        <f>IF(AND(tblData[Date]&gt;=StartDt2Korea,ISNUMBER(tblData[SKorea])),(tblData[[#This Row],[SKorea LogiP(t)]]-tblData[[#This Row],[SKorea]])^2,"")</f>
        <v>28384.945819218297</v>
      </c>
      <c r="AU60" s="21">
        <f>IF(tblData[Date]&gt;=StartDt2Korea,tblData[[#This Row],[SKorea LogiP(t)]]/$AS$9,"")</f>
        <v>1541.532747953094</v>
      </c>
      <c r="AV60" s="11">
        <f>IF(ISNUMBER(tblData[Days'# UK]),betaUK/(deltaUK+betaPodeltaUK*EXP(-betaUK*tblData[Days'# UK])),"")</f>
        <v>485.9436715815886</v>
      </c>
      <c r="AW60" s="21">
        <f>IF(ISNUMBER(tblData[UK]),(tblData[[#This Row],[UK LogiP(t)]]-tblData[[#This Row],[UK]])^2,"")</f>
        <v>725.96143829650532</v>
      </c>
      <c r="AX60" s="21">
        <f>IF(ISNUMBER(tblData[Days'# UK]),tblData[[#This Row],[UK LogiP(t)]]/$AV$9,"")</f>
        <v>73.14022751077492</v>
      </c>
      <c r="AY60" s="11">
        <f>IF(ISNUMBER(tblData[Days'# China]),betaChina/(deltaChina+betaPodeltaChina*EXP(-betaChina*tblData[Days'# China])),"")</f>
        <v>80873.08087720754</v>
      </c>
      <c r="AZ60" s="11">
        <f>IF(ISNUMBER(tblData[China]),(tblData[[#This Row],[China LogiP(t)]]-tblData[[#This Row],[China]])^2,"")</f>
        <v>2296.2423291988839</v>
      </c>
      <c r="BA60" s="11">
        <f>tblData[[#This Row],[China LogiP(t)]]/$AY$9</f>
        <v>561.88247721412995</v>
      </c>
      <c r="BB60" s="11">
        <v>9152</v>
      </c>
      <c r="BC60" s="11">
        <v>1004</v>
      </c>
      <c r="BD60" s="11">
        <f>IF(ISNUMBER(tblData[[#This Row],[NSW Number of Tests]]),tblData[[#This Row],[NSW Number of Tests]]-BB59,"")</f>
        <v>791</v>
      </c>
      <c r="BE60" s="11">
        <f>IF(ISNUMBER(tblData[[#This Row],[NSW Under Investigation'']]),tblData[[#This Row],[NSW Under Investigation'']]-BC59,"")</f>
        <v>386</v>
      </c>
      <c r="BF60" s="11">
        <f t="shared" si="6"/>
        <v>5</v>
      </c>
      <c r="BG60" s="11">
        <f>IF(ISNUMBER(tblData[[#This Row],[NSW Test Day Number]]),betaTest/(deltaTest+betaPodeltaTest*EXP(-betaTest*tblData[[#This Row],[NSW Test Day Number]])),"")</f>
        <v>11218.215202018408</v>
      </c>
      <c r="BH60" s="11">
        <f>IF(ISNUMBER(tblData[[#This Row],[NSW Number of Tests]]),(tblData[[#This Row],[NSW Number of Tests]]-tblData[[#This Row],[NSW Test Logi]])^2,"")</f>
        <v>4269245.2610519687</v>
      </c>
      <c r="BY60"/>
      <c r="BZ60"/>
      <c r="CJ60" s="26"/>
      <c r="CK60" s="26"/>
    </row>
    <row r="61" spans="2:173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49">
        <f>IF(ISNUMBER(tblData[Italy]),tblData[Italy]/$N$9,"")</f>
        <v>2500.082712985939</v>
      </c>
      <c r="O61">
        <v>1663</v>
      </c>
      <c r="P61" s="49">
        <f>IF(ISNUMBER(tblData[US]),tblData[US]/$P$9,"")</f>
        <v>50.512146081393766</v>
      </c>
      <c r="Q61">
        <v>7869</v>
      </c>
      <c r="R61" s="19">
        <f>IF(ISNUMBER(tblData[SKorea]),tblData[SKorea]/$R$9,"")</f>
        <v>1530.933852140078</v>
      </c>
      <c r="S61">
        <v>459</v>
      </c>
      <c r="T61" s="12">
        <f>IF(ISNUMBER(tblData[UK]),tblData[UK]/$T$9,"")</f>
        <v>69.084888621312459</v>
      </c>
      <c r="U61">
        <v>80932</v>
      </c>
      <c r="V61" s="21">
        <f>IF(ISNUMBER(tblData[China]),tblData[China]/$V$9,"")</f>
        <v>562.29183002115576</v>
      </c>
      <c r="W61" s="26">
        <f>IF(tblData[[#This Row],[Date]]&lt;ItalyStart,"",tblData[[#This Row],[Date]]-ItalyStart)</f>
        <v>42</v>
      </c>
      <c r="X61" s="26">
        <f t="shared" ref="X61:X92" si="7">IF($B61&lt;BM$14+18,"",$B61-BM$14-18)</f>
        <v>32</v>
      </c>
      <c r="Y61" s="26">
        <f t="shared" si="3"/>
        <v>50</v>
      </c>
      <c r="Z61" s="26">
        <f>IF(tblData[[#This Row],[Date]]&lt;StartDt2Korea,"",tblData[[#This Row],[Date]]-StartDt2Korea)</f>
        <v>22</v>
      </c>
      <c r="AA61" s="26">
        <f>IF(tblData[[#This Row],[Date]]&lt;UKStart,"",tblData[[#This Row],[Date]]-UKStart)</f>
        <v>42</v>
      </c>
      <c r="AB61">
        <f>IF(tblData[Date]&gt;=StartDt2Au,tblData[Date]-StartDt2Au,"")</f>
        <v>47</v>
      </c>
      <c r="AC61" s="26">
        <f>IF(tblData[New South Wales]&gt;0,SUM(tblData[[#This Row],[Australian Capital Territory]:[Western Australia]]),"")</f>
        <v>145</v>
      </c>
      <c r="AD61" s="12">
        <f>IF(ISNUMBER(tblData[Au]),tblData[Au]/$AA$9,"")</f>
        <v>57.167639173631919</v>
      </c>
      <c r="AE61" s="19">
        <f>IF(ISNUMBER(tblData[[#This Row],[Day'# Aust]]),betaAu/(deltaAu+betaPodeltaAu*EXP(-betaAu*tblData[[#This Row],[Day'# Aust]])),"")</f>
        <v>166.45755471763607</v>
      </c>
      <c r="AF61" s="72">
        <f>IF(ISNUMBER(tblData[Day'# Aust]),tblData[Au LogiP(t)]/$AD$9,"")</f>
        <v>65.627485695330421</v>
      </c>
      <c r="AG61" s="11">
        <f>IF(AND(tblData[Date]&gt;=StartDt2Au,ISNUMBER(tblData[NSW])),(tblData[[#This Row],[Au LogiP(t)]]-tblData[[#This Row],[Au]])^2,"")</f>
        <v>460.42665446034601</v>
      </c>
      <c r="AH61">
        <f>IF(tblData[Date]&gt;StartDt2NSW,tblData[Date]-StartDt2NSW,"")</f>
        <v>47</v>
      </c>
      <c r="AI61" s="26">
        <f t="shared" si="4"/>
        <v>75</v>
      </c>
      <c r="AJ61" s="11">
        <f>IF(tblData[Date]&gt;StartDt2NSW,betaNSW/(deltaNSW+betaPodeltaNSW*EXP(-betaNSW*tblData[[#This Row],[Day '# NSW]])),"")</f>
        <v>78.258726113797422</v>
      </c>
      <c r="AK61" s="12">
        <f>IF(AND(ISNUMBER(tblData[NSW]),tblData[Date]&gt;StartDt2NSW),(tblData[[#This Row],[NSW LogiP(t)]]-tblData[[#This Row],[NSW]])^2,"")</f>
        <v>10.619295884745251</v>
      </c>
      <c r="AL61" s="12">
        <f>IF(AND(tblData[Date]&gt;StartDt2NSW,ISNUMBER(tblData[Day'# Aust])),tblData[NSW LogiP(t)]/$AG$9,"")</f>
        <v>96.854859051729477</v>
      </c>
      <c r="AM61" s="11">
        <f>IF(AND(tblData[Date]&gt;StartDt2Italy,ISNUMBER(tblData[Days'# Italy])),betaItaly/(deltaItaly+betaPodeltaItaly*EXP(-betaItaly*tblData[Days'# Italy])),"")</f>
        <v>17058.534362046572</v>
      </c>
      <c r="AN61" s="11">
        <f>IF(AND(tblData[Date]&gt;StartDt2Italy,ISNUMBER(tblData[Italy])),(tblData[[#This Row],[Italy LogiP(t)]]-tblData[[#This Row],[Italy]])^2,"")</f>
        <v>3785103.9539039615</v>
      </c>
      <c r="AO61" s="44">
        <f>IF(AND(tblData[Date]&gt;StartDt2Italy,ISNUMBER(tblData[Days'# Italy])),tblData[[#This Row],[Italy LogiP(t)]]/$AM$9,"")</f>
        <v>2821.9246256487299</v>
      </c>
      <c r="AP61" s="21">
        <f>IF(ISNUMBER(tblData[[#This Row],[Days'# US]]),betaUS/(deltaUS+betaPodeltaUS*EXP(-betaUS*tblData[Days'# US])),"")</f>
        <v>1161.608672455998</v>
      </c>
      <c r="AQ61" s="11">
        <f>IF(ISNUMBER(tblData[US]),(tblData[[#This Row],[US LogiP(t)]]-tblData[US])^2,"")</f>
        <v>251393.26333633673</v>
      </c>
      <c r="AR61" s="21">
        <f>IF(ISNUMBER(tblData[[#This Row],[Days'# US]]),tblData[[#This Row],[US LogiP(t)]]/$AP$9,"")</f>
        <v>35.28283039838319</v>
      </c>
      <c r="AS61" s="21">
        <f>IF(tblData[Date]&gt;=StartDt2Korea,betaSKorea/(deltaSKorea+betaPodeltaSKorea*EXP(-betaSKorea*(tblData[Date]-StartDt2Korea))),"")</f>
        <v>8029.6955700762064</v>
      </c>
      <c r="AT61" s="21">
        <f>IF(AND(tblData[Date]&gt;=StartDt2Korea,ISNUMBER(tblData[SKorea])),(tblData[[#This Row],[SKorea LogiP(t)]]-tblData[[#This Row],[SKorea]])^2,"")</f>
        <v>25823.066242116969</v>
      </c>
      <c r="AU61" s="21">
        <f>IF(tblData[Date]&gt;=StartDt2Korea,tblData[[#This Row],[SKorea LogiP(t)]]/$AS$9,"")</f>
        <v>1562.1975817268885</v>
      </c>
      <c r="AV61" s="11">
        <f>IF(ISNUMBER(tblData[Days'# UK]),betaUK/(deltaUK+betaPodeltaUK*EXP(-betaUK*tblData[Days'# UK])),"")</f>
        <v>611.97253814744602</v>
      </c>
      <c r="AW61" s="21">
        <f>IF(ISNUMBER(tblData[UK]),(tblData[[#This Row],[UK LogiP(t)]]-tblData[[#This Row],[UK]])^2,"")</f>
        <v>23400.597427271827</v>
      </c>
      <c r="AX61" s="21">
        <f>IF(ISNUMBER(tblData[Days'# UK]),tblData[[#This Row],[UK LogiP(t)]]/$AV$9,"")</f>
        <v>92.109051497207403</v>
      </c>
      <c r="AY61" s="11">
        <f>IF(ISNUMBER(tblData[Days'# China]),betaChina/(deltaChina+betaPodeltaChina*EXP(-betaChina*tblData[Days'# China])),"")</f>
        <v>80888.658268390223</v>
      </c>
      <c r="AZ61" s="11">
        <f>IF(ISNUMBER(tblData[China]),(tblData[[#This Row],[China LogiP(t)]]-tblData[[#This Row],[China]])^2,"")</f>
        <v>1878.5056989339096</v>
      </c>
      <c r="BA61" s="11">
        <f>tblData[[#This Row],[China LogiP(t)]]/$AY$9</f>
        <v>561.99070436525756</v>
      </c>
      <c r="BB61" s="11">
        <v>11040</v>
      </c>
      <c r="BC61" s="11">
        <v>1831</v>
      </c>
      <c r="BD61" s="11">
        <f>IF(ISNUMBER(tblData[[#This Row],[NSW Number of Tests]]),tblData[[#This Row],[NSW Number of Tests]]-BB60,"")</f>
        <v>1888</v>
      </c>
      <c r="BE61" s="11">
        <f>IF(ISNUMBER(tblData[[#This Row],[NSW Under Investigation'']]),tblData[[#This Row],[NSW Under Investigation'']]-BC60,"")</f>
        <v>827</v>
      </c>
      <c r="BF61" s="11">
        <f t="shared" si="6"/>
        <v>6</v>
      </c>
      <c r="BG61" s="11">
        <f>IF(ISNUMBER(tblData[[#This Row],[NSW Test Day Number]]),betaTest/(deltaTest+betaPodeltaTest*EXP(-betaTest*tblData[[#This Row],[NSW Test Day Number]])),"")</f>
        <v>13181.826573284892</v>
      </c>
      <c r="BH61" s="11">
        <f>IF(ISNUMBER(tblData[[#This Row],[NSW Number of Tests]]),(tblData[[#This Row],[NSW Number of Tests]]-tblData[[#This Row],[NSW Test Logi]])^2,"")</f>
        <v>4587421.0700293034</v>
      </c>
      <c r="BY61"/>
      <c r="BZ61"/>
      <c r="CJ61" s="26"/>
      <c r="CK61" s="26"/>
      <c r="EH61" s="55"/>
      <c r="EI61" s="55"/>
      <c r="EJ61" s="55"/>
      <c r="EK61" s="55"/>
      <c r="EL61" s="55"/>
      <c r="EM61" s="55"/>
      <c r="EN61" s="55"/>
      <c r="EO61" s="55"/>
      <c r="EP61" s="55"/>
      <c r="EQ61" s="55"/>
      <c r="ER61" s="55"/>
      <c r="ES61" s="55"/>
      <c r="ET61" s="55"/>
      <c r="EU61" s="55"/>
      <c r="EV61" s="55"/>
      <c r="EW61" s="55"/>
      <c r="EX61" s="55"/>
      <c r="EY61" s="55"/>
      <c r="EZ61" s="55"/>
      <c r="FA61" s="55"/>
      <c r="FB61" s="55"/>
      <c r="FC61" s="55"/>
      <c r="FD61" s="55"/>
      <c r="FE61" s="55"/>
      <c r="FF61" s="55"/>
      <c r="FG61" s="55"/>
      <c r="FH61" s="55"/>
      <c r="FI61" s="55"/>
      <c r="FJ61" s="55"/>
      <c r="FK61" s="55"/>
      <c r="FL61" s="55"/>
      <c r="FM61" s="55"/>
      <c r="FN61" s="55"/>
      <c r="FO61" s="55"/>
      <c r="FP61" s="55"/>
      <c r="FQ61" s="55"/>
    </row>
    <row r="62" spans="2:173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49">
        <f>IF(ISNUMBER(tblData[Italy]),tblData[Italy]/$N$9,"")</f>
        <v>2921.4226633581475</v>
      </c>
      <c r="O62">
        <v>2179</v>
      </c>
      <c r="P62" s="49">
        <f>IF(ISNUMBER(tblData[US]),tblData[US]/$P$9,"")</f>
        <v>66.185187198651235</v>
      </c>
      <c r="Q62">
        <v>7979</v>
      </c>
      <c r="R62" s="19">
        <f>IF(ISNUMBER(tblData[SKorea]),tblData[SKorea]/$R$9,"")</f>
        <v>1552.3346303501946</v>
      </c>
      <c r="S62">
        <v>802</v>
      </c>
      <c r="T62" s="12">
        <f>IF(ISNUMBER(tblData[UK]),tblData[UK]/$T$9,"")</f>
        <v>120.71041541240217</v>
      </c>
      <c r="U62">
        <v>80945</v>
      </c>
      <c r="V62" s="21">
        <f>IF(ISNUMBER(tblData[China]),tblData[China]/$V$9,"")</f>
        <v>562.38215021329574</v>
      </c>
      <c r="W62" s="26">
        <f>IF(tblData[[#This Row],[Date]]&lt;ItalyStart,"",tblData[[#This Row],[Date]]-ItalyStart)</f>
        <v>43</v>
      </c>
      <c r="X62" s="26">
        <f t="shared" si="7"/>
        <v>33</v>
      </c>
      <c r="Y62" s="26">
        <f t="shared" si="3"/>
        <v>51</v>
      </c>
      <c r="Z62" s="26">
        <f>IF(tblData[[#This Row],[Date]]&lt;StartDt2Korea,"",tblData[[#This Row],[Date]]-StartDt2Korea)</f>
        <v>23</v>
      </c>
      <c r="AA62" s="26">
        <f>IF(tblData[[#This Row],[Date]]&lt;UKStart,"",tblData[[#This Row],[Date]]-UKStart)</f>
        <v>43</v>
      </c>
      <c r="AB62">
        <f>IF(tblData[Date]&gt;=StartDt2Au,tblData[Date]-StartDt2Au,"")</f>
        <v>48</v>
      </c>
      <c r="AC62" s="26">
        <f>IF(tblData[New South Wales]&gt;0,SUM(tblData[[#This Row],[Australian Capital Territory]:[Western Australia]]),"")</f>
        <v>200</v>
      </c>
      <c r="AD62" s="12">
        <f>IF(ISNUMBER(tblData[Au]),tblData[Au]/$AA$9,"")</f>
        <v>78.851916101561272</v>
      </c>
      <c r="AE62" s="19">
        <f>IF(ISNUMBER(tblData[[#This Row],[Day'# Aust]]),betaAu/(deltaAu+betaPodeltaAu*EXP(-betaAu*tblData[[#This Row],[Day'# Aust]])),"")</f>
        <v>204.63532217388749</v>
      </c>
      <c r="AF62" s="72">
        <f>IF(ISNUMBER(tblData[Day'# Aust]),tblData[Au LogiP(t)]/$AD$9,"")</f>
        <v>80.679436277356686</v>
      </c>
      <c r="AG62" s="11">
        <f>IF(AND(tblData[Date]&gt;=StartDt2Au,ISNUMBER(tblData[NSW])),(tblData[[#This Row],[Au LogiP(t)]]-tblData[[#This Row],[Au]])^2,"")</f>
        <v>21.486211655733026</v>
      </c>
      <c r="AH62">
        <f>IF(tblData[Date]&gt;StartDt2NSW,tblData[Date]-StartDt2NSW,"")</f>
        <v>48</v>
      </c>
      <c r="AI62" s="28">
        <f t="shared" si="4"/>
        <v>92</v>
      </c>
      <c r="AJ62" s="11">
        <f>IF(tblData[Date]&gt;StartDt2NSW,betaNSW/(deltaNSW+betaPodeltaNSW*EXP(-betaNSW*tblData[[#This Row],[Day '# NSW]])),"")</f>
        <v>95.838217465849482</v>
      </c>
      <c r="AK62" s="12">
        <f>IF(AND(ISNUMBER(tblData[NSW]),tblData[Date]&gt;StartDt2NSW),(tblData[[#This Row],[NSW LogiP(t)]]-tblData[[#This Row],[NSW]])^2,"")</f>
        <v>14.731913315152019</v>
      </c>
      <c r="AL62" s="12">
        <f>IF(AND(tblData[Date]&gt;StartDt2NSW,ISNUMBER(tblData[Day'# Aust])),tblData[NSW LogiP(t)]/$AG$9,"")</f>
        <v>118.61165527951668</v>
      </c>
      <c r="AM62" s="11">
        <f>IF(AND(tblData[Date]&gt;StartDt2Italy,ISNUMBER(tblData[Days'# Italy])),betaItaly/(deltaItaly+betaPodeltaItaly*EXP(-betaItaly*tblData[Days'# Italy])),"")</f>
        <v>20273.20863943897</v>
      </c>
      <c r="AN62" s="11">
        <f>IF(AND(tblData[Date]&gt;StartDt2Italy,ISNUMBER(tblData[Italy])),(tblData[[#This Row],[Italy LogiP(t)]]-tblData[[#This Row],[Italy]])^2,"")</f>
        <v>6828859.3932384718</v>
      </c>
      <c r="AO62" s="44">
        <f>IF(AND(tblData[Date]&gt;StartDt2Italy,ISNUMBER(tblData[Days'# Italy])),tblData[[#This Row],[Italy LogiP(t)]]/$AM$9,"")</f>
        <v>3353.7152422562399</v>
      </c>
      <c r="AP62" s="21">
        <f>IF(ISNUMBER(tblData[[#This Row],[Days'# US]]),betaUS/(deltaUS+betaPodeltaUS*EXP(-betaUS*tblData[Days'# US])),"")</f>
        <v>1644.6041778446975</v>
      </c>
      <c r="AQ62" s="11">
        <f>IF(ISNUMBER(tblData[US]),(tblData[[#This Row],[US LogiP(t)]]-tblData[US])^2,"")</f>
        <v>285578.89473704173</v>
      </c>
      <c r="AR62" s="21">
        <f>IF(ISNUMBER(tblData[[#This Row],[Days'# US]]),tblData[[#This Row],[US LogiP(t)]]/$AP$9,"")</f>
        <v>49.953389342971647</v>
      </c>
      <c r="AS62" s="21">
        <f>IF(tblData[Date]&gt;=StartDt2Korea,betaSKorea/(deltaSKorea+betaPodeltaSKorea*EXP(-betaSKorea*(tblData[Date]-StartDt2Korea))),"")</f>
        <v>8108.1774853466986</v>
      </c>
      <c r="AT62" s="21">
        <f>IF(AND(tblData[Date]&gt;=StartDt2Korea,ISNUMBER(tblData[SKorea])),(tblData[[#This Row],[SKorea LogiP(t)]]-tblData[[#This Row],[SKorea]])^2,"")</f>
        <v>16686.822720496541</v>
      </c>
      <c r="AU62" s="21">
        <f>IF(tblData[Date]&gt;=StartDt2Korea,tblData[[#This Row],[SKorea LogiP(t)]]/$AS$9,"")</f>
        <v>1577.4664368378792</v>
      </c>
      <c r="AV62" s="11">
        <f>IF(ISNUMBER(tblData[Days'# UK]),betaUK/(deltaUK+betaPodeltaUK*EXP(-betaUK*tblData[Days'# UK])),"")</f>
        <v>770.68672001247091</v>
      </c>
      <c r="AW62" s="21">
        <f>IF(ISNUMBER(tblData[UK]),(tblData[[#This Row],[UK LogiP(t)]]-tblData[[#This Row],[UK]])^2,"")</f>
        <v>980.52150357738958</v>
      </c>
      <c r="AX62" s="21">
        <f>IF(ISNUMBER(tblData[Days'# UK]),tblData[[#This Row],[UK LogiP(t)]]/$AV$9,"")</f>
        <v>115.99739915901128</v>
      </c>
      <c r="AY62" s="11">
        <f>IF(ISNUMBER(tblData[Days'# China]),betaChina/(deltaChina+betaPodeltaChina*EXP(-betaChina*tblData[Days'# China])),"")</f>
        <v>80901.136983941382</v>
      </c>
      <c r="AZ62" s="11">
        <f>IF(ISNUMBER(tblData[China]),(tblData[[#This Row],[China LogiP(t)]]-tblData[[#This Row],[China]])^2,"")</f>
        <v>1923.9641777585882</v>
      </c>
      <c r="BA62" s="11">
        <f>tblData[[#This Row],[China LogiP(t)]]/$AY$9</f>
        <v>562.07740282573775</v>
      </c>
      <c r="BB62" s="11">
        <v>18716</v>
      </c>
      <c r="BC62" s="11">
        <v>1668</v>
      </c>
      <c r="BD62" s="11">
        <f>IF(ISNUMBER(tblData[[#This Row],[NSW Number of Tests]]),tblData[[#This Row],[NSW Number of Tests]]-BB61,"")</f>
        <v>7676</v>
      </c>
      <c r="BE62" s="11">
        <f>IF(ISNUMBER(tblData[[#This Row],[NSW Under Investigation'']]),tblData[[#This Row],[NSW Under Investigation'']]-BC61,"")</f>
        <v>-163</v>
      </c>
      <c r="BF62" s="11">
        <f t="shared" si="6"/>
        <v>7</v>
      </c>
      <c r="BG62" s="11">
        <f>IF(ISNUMBER(tblData[[#This Row],[NSW Test Day Number]]),betaTest/(deltaTest+betaPodeltaTest*EXP(-betaTest*tblData[[#This Row],[NSW Test Day Number]])),"")</f>
        <v>15470.17201149113</v>
      </c>
      <c r="BH62" s="11">
        <f>IF(ISNUMBER(tblData[[#This Row],[NSW Number of Tests]]),(tblData[[#This Row],[NSW Number of Tests]]-tblData[[#This Row],[NSW Test Logi]])^2,"")</f>
        <v>10535399.330987541</v>
      </c>
      <c r="BY62"/>
      <c r="BZ62"/>
      <c r="CJ62" s="26"/>
      <c r="CK62" s="26"/>
    </row>
    <row r="63" spans="2:173" x14ac:dyDescent="0.25">
      <c r="B63" s="1">
        <f t="shared" ref="B63:B64" si="8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49">
        <f>IF(ISNUMBER(tblData[Italy]),tblData[Italy]/$N$9,"")</f>
        <v>3499.9172870140615</v>
      </c>
      <c r="O63">
        <v>2727</v>
      </c>
      <c r="P63" s="49">
        <f>IF(ISNUMBER(tblData[US]),tblData[US]/$P$9,"")</f>
        <v>82.830199858064219</v>
      </c>
      <c r="Q63">
        <v>8086</v>
      </c>
      <c r="R63" s="19">
        <f>IF(ISNUMBER(tblData[SKorea]),tblData[SKorea]/$R$9,"")</f>
        <v>1573.1517509727628</v>
      </c>
      <c r="S63">
        <v>1144</v>
      </c>
      <c r="T63" s="12">
        <f>IF(ISNUMBER(tblData[UK]),tblData[UK]/$T$9,"")</f>
        <v>172.18543046357615</v>
      </c>
      <c r="U63">
        <v>80977</v>
      </c>
      <c r="V63" s="21">
        <f>IF(ISNUMBER(tblData[China]),tblData[China]/$V$9,"")</f>
        <v>562.60447684010194</v>
      </c>
      <c r="W63" s="26">
        <f>IF(tblData[[#This Row],[Date]]&lt;ItalyStart,"",tblData[[#This Row],[Date]]-ItalyStart)</f>
        <v>44</v>
      </c>
      <c r="X63" s="26">
        <f t="shared" si="7"/>
        <v>34</v>
      </c>
      <c r="Y63" s="26">
        <f t="shared" si="3"/>
        <v>52</v>
      </c>
      <c r="Z63" s="26">
        <f>IF(tblData[[#This Row],[Date]]&lt;StartDt2Korea,"",tblData[[#This Row],[Date]]-StartDt2Korea)</f>
        <v>24</v>
      </c>
      <c r="AA63" s="26">
        <f>IF(tblData[[#This Row],[Date]]&lt;UKStart,"",tblData[[#This Row],[Date]]-UKStart)</f>
        <v>44</v>
      </c>
      <c r="AB63">
        <f>IF(tblData[Date]&gt;=StartDt2Au,tblData[Date]-StartDt2Au,"")</f>
        <v>49</v>
      </c>
      <c r="AC63" s="26">
        <f>IF(tblData[New South Wales]&gt;0,SUM(tblData[[#This Row],[Australian Capital Territory]:[Western Australia]]),"")</f>
        <v>251</v>
      </c>
      <c r="AD63" s="12">
        <f>IF(ISNUMBER(tblData[Au]),tblData[Au]/$AA$9,"")</f>
        <v>98.95915470745939</v>
      </c>
      <c r="AE63" s="19">
        <f>IF(ISNUMBER(tblData[[#This Row],[Day'# Aust]]),betaAu/(deltaAu+betaPodeltaAu*EXP(-betaAu*tblData[[#This Row],[Day'# Aust]])),"")</f>
        <v>251.5693167336031</v>
      </c>
      <c r="AF63" s="72">
        <f>IF(ISNUMBER(tblData[Day'# Aust]),tblData[Au LogiP(t)]/$AD$9,"")</f>
        <v>99.183613284025824</v>
      </c>
      <c r="AG63" s="11">
        <f>IF(AND(tblData[Date]&gt;=StartDt2Au,ISNUMBER(tblData[NSW])),(tblData[[#This Row],[Au LogiP(t)]]-tblData[[#This Row],[Au]])^2,"")</f>
        <v>0.3241215431605059</v>
      </c>
      <c r="AH63">
        <f>IF(tblData[Date]&gt;StartDt2NSW,tblData[Date]-StartDt2NSW,"")</f>
        <v>49</v>
      </c>
      <c r="AI63" s="26">
        <v>112</v>
      </c>
      <c r="AJ63" s="11">
        <f>IF(tblData[Date]&gt;StartDt2NSW,betaNSW/(deltaNSW+betaPodeltaNSW*EXP(-betaNSW*tblData[[#This Row],[Day '# NSW]])),"")</f>
        <v>117.19177340236101</v>
      </c>
      <c r="AK63" s="12">
        <f>IF(AND(ISNUMBER(tblData[NSW]),tblData[Date]&gt;StartDt2NSW),(tblData[[#This Row],[NSW LogiP(t)]]-tblData[[#This Row],[NSW]])^2,"")</f>
        <v>26.954511061463197</v>
      </c>
      <c r="AL63" s="12">
        <f>IF(AND(tblData[Date]&gt;StartDt2NSW,ISNUMBER(tblData[Day'# Aust])),tblData[NSW LogiP(t)]/$AG$9,"")</f>
        <v>145.03932351777351</v>
      </c>
      <c r="AM63" s="11">
        <f>IF(AND(tblData[Date]&gt;StartDt2Italy,ISNUMBER(tblData[Days'# Italy])),betaItaly/(deltaItaly+betaPodeltaItaly*EXP(-betaItaly*tblData[Days'# Italy])),"")</f>
        <v>23718.94668793826</v>
      </c>
      <c r="AN63" s="11">
        <f>IF(AND(tblData[Date]&gt;StartDt2Italy,ISNUMBER(tblData[Italy])),(tblData[[#This Row],[Italy LogiP(t)]]-tblData[[#This Row],[Italy]])^2,"")</f>
        <v>6563570.8318378199</v>
      </c>
      <c r="AO63" s="44">
        <f>IF(AND(tblData[Date]&gt;StartDt2Italy,ISNUMBER(tblData[Days'# Italy])),tblData[[#This Row],[Italy LogiP(t)]]/$AM$9,"")</f>
        <v>3923.7298077648074</v>
      </c>
      <c r="AP63" s="21">
        <f>IF(ISNUMBER(tblData[[#This Row],[Days'# US]]),betaUS/(deltaUS+betaPodeltaUS*EXP(-betaUS*tblData[Days'# US])),"")</f>
        <v>2328.4272954093385</v>
      </c>
      <c r="AQ63" s="11">
        <f>IF(ISNUMBER(tblData[US]),(tblData[[#This Row],[US LogiP(t)]]-tblData[US])^2,"")</f>
        <v>158860.20084471471</v>
      </c>
      <c r="AR63" s="21">
        <f>IF(ISNUMBER(tblData[[#This Row],[Days'# US]]),tblData[[#This Row],[US LogiP(t)]]/$AP$9,"")</f>
        <v>70.723908409874383</v>
      </c>
      <c r="AS63" s="21">
        <f>IF(tblData[Date]&gt;=StartDt2Korea,betaSKorea/(deltaSKorea+betaPodeltaSKorea*EXP(-betaSKorea*(tblData[Date]-StartDt2Korea))),"")</f>
        <v>8165.8059104727599</v>
      </c>
      <c r="AT63" s="21">
        <f>IF(AND(tblData[Date]&gt;=StartDt2Korea,ISNUMBER(tblData[SKorea])),(tblData[[#This Row],[SKorea LogiP(t)]]-tblData[[#This Row],[SKorea]])^2,"")</f>
        <v>6368.9833463861733</v>
      </c>
      <c r="AU63" s="21">
        <f>IF(tblData[Date]&gt;=StartDt2Korea,tblData[[#This Row],[SKorea LogiP(t)]]/$AS$9,"")</f>
        <v>1588.6781926989806</v>
      </c>
      <c r="AV63" s="11">
        <f>IF(ISNUMBER(tblData[Days'# UK]),betaUK/(deltaUK+betaPodeltaUK*EXP(-betaUK*tblData[Days'# UK])),"")</f>
        <v>970.56301934258749</v>
      </c>
      <c r="AW63" s="21">
        <f>IF(ISNUMBER(tblData[UK]),(tblData[[#This Row],[UK LogiP(t)]]-tblData[[#This Row],[UK]])^2,"")</f>
        <v>30080.38625955968</v>
      </c>
      <c r="AX63" s="21">
        <f>IF(ISNUMBER(tblData[Days'# UK]),tblData[[#This Row],[UK LogiP(t)]]/$AV$9,"")</f>
        <v>146.08112873910108</v>
      </c>
      <c r="AY63" s="11">
        <f>IF(ISNUMBER(tblData[Days'# China]),betaChina/(deltaChina+betaPodeltaChina*EXP(-betaChina*tblData[Days'# China])),"")</f>
        <v>80911.132726367287</v>
      </c>
      <c r="AZ63" s="11">
        <f>IF(ISNUMBER(tblData[China]),(tblData[[#This Row],[China LogiP(t)]]-tblData[[#This Row],[China]])^2,"")</f>
        <v>4338.4977358067517</v>
      </c>
      <c r="BA63" s="11">
        <f>tblData[[#This Row],[China LogiP(t)]]/$AY$9</f>
        <v>562.14685031623685</v>
      </c>
      <c r="BB63" s="11">
        <v>18716</v>
      </c>
      <c r="BC63" s="11">
        <v>1668</v>
      </c>
      <c r="BD63" s="11">
        <f>IF(ISNUMBER(tblData[[#This Row],[NSW Number of Tests]]),tblData[[#This Row],[NSW Number of Tests]]-BB62,"")</f>
        <v>0</v>
      </c>
      <c r="BE63" s="11">
        <f>IF(ISNUMBER(tblData[[#This Row],[NSW Under Investigation'']]),tblData[[#This Row],[NSW Under Investigation'']]-BC62,"")</f>
        <v>0</v>
      </c>
      <c r="BF63" s="11">
        <f t="shared" si="6"/>
        <v>8</v>
      </c>
      <c r="BG63" s="11">
        <f>IF(ISNUMBER(tblData[[#This Row],[NSW Test Day Number]]),betaTest/(deltaTest+betaPodeltaTest*EXP(-betaTest*tblData[[#This Row],[NSW Test Day Number]])),"")</f>
        <v>18129.891717165989</v>
      </c>
      <c r="BH63" s="11">
        <f>IF(ISNUMBER(tblData[[#This Row],[NSW Number of Tests]]),(tblData[[#This Row],[NSW Number of Tests]]-tblData[[#This Row],[NSW Test Logi]])^2,"")</f>
        <v>343522.91920663341</v>
      </c>
      <c r="BY63"/>
      <c r="BZ63"/>
      <c r="CJ63" s="26"/>
      <c r="CK63" s="26"/>
    </row>
    <row r="64" spans="2:173" x14ac:dyDescent="0.25">
      <c r="B64" s="1">
        <f t="shared" si="8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49">
        <f>IF(ISNUMBER(tblData[Italy]),tblData[Italy]/$N$9,"")</f>
        <v>4093.7965260545907</v>
      </c>
      <c r="O64">
        <v>3499</v>
      </c>
      <c r="P64" s="49">
        <f>IF(ISNUMBER(tblData[US]),tblData[US]/$P$9,"")</f>
        <v>106.27901331256571</v>
      </c>
      <c r="Q64">
        <v>8162</v>
      </c>
      <c r="R64" s="19">
        <f>IF(ISNUMBER(tblData[SKorea]),tblData[SKorea]/$R$9,"")</f>
        <v>1587.9377431906616</v>
      </c>
      <c r="S64">
        <v>1145</v>
      </c>
      <c r="T64" s="12">
        <f>IF(ISNUMBER(tblData[UK]),tblData[UK]/$T$9,"")</f>
        <v>172.33594220349187</v>
      </c>
      <c r="U64">
        <v>81003</v>
      </c>
      <c r="V64" s="21">
        <f>IF(ISNUMBER(tblData[China]),tblData[China]/$V$9,"")</f>
        <v>562.78511722438191</v>
      </c>
      <c r="W64" s="26">
        <f>IF(tblData[[#This Row],[Date]]&lt;ItalyStart,"",tblData[[#This Row],[Date]]-ItalyStart)</f>
        <v>45</v>
      </c>
      <c r="X64" s="26">
        <f t="shared" si="7"/>
        <v>35</v>
      </c>
      <c r="Y64" s="26">
        <f t="shared" si="3"/>
        <v>53</v>
      </c>
      <c r="Z64" s="26">
        <f>IF(tblData[[#This Row],[Date]]&lt;StartDt2Korea,"",tblData[[#This Row],[Date]]-StartDt2Korea)</f>
        <v>25</v>
      </c>
      <c r="AA64" s="26">
        <f>IF(tblData[[#This Row],[Date]]&lt;UKStart,"",tblData[[#This Row],[Date]]-UKStart)</f>
        <v>45</v>
      </c>
      <c r="AB64">
        <f>IF(tblData[Date]&gt;=StartDt2Au,tblData[Date]-StartDt2Au,"")</f>
        <v>50</v>
      </c>
      <c r="AC64" s="26">
        <f>IF(tblData[New South Wales]&gt;0,SUM(tblData[[#This Row],[Australian Capital Territory]:[Western Australia]]),"")</f>
        <v>316</v>
      </c>
      <c r="AD64" s="12">
        <f>IF(ISNUMBER(tblData[Au]),tblData[Au]/$AA$9,"")</f>
        <v>124.58602744046681</v>
      </c>
      <c r="AE64" s="19">
        <f>IF(ISNUMBER(tblData[[#This Row],[Day'# Aust]]),betaAu/(deltaAu+betaPodeltaAu*EXP(-betaAu*tblData[[#This Row],[Day'# Aust]])),"")</f>
        <v>309.2678094390958</v>
      </c>
      <c r="AF64" s="72">
        <f>IF(ISNUMBER(tblData[Day'# Aust]),tblData[Au LogiP(t)]/$AD$9,"")</f>
        <v>121.9317968140261</v>
      </c>
      <c r="AG64" s="11">
        <f>IF(AND(tblData[Date]&gt;=StartDt2Au,ISNUMBER(tblData[NSW])),(tblData[[#This Row],[Au LogiP(t)]]-tblData[[#This Row],[Au]])^2,"")</f>
        <v>45.322389748327616</v>
      </c>
      <c r="AH64">
        <f>IF(tblData[Date]&gt;StartDt2NSW,tblData[Date]-StartDt2NSW,"")</f>
        <v>50</v>
      </c>
      <c r="AI64">
        <f t="shared" ref="AI64:AI95" si="9">IF(E64&gt;0,E64,"")</f>
        <v>134</v>
      </c>
      <c r="AJ64" s="11">
        <f>IF(tblData[Date]&gt;StartDt2NSW,betaNSW/(deltaNSW+betaPodeltaNSW*EXP(-betaNSW*tblData[[#This Row],[Day '# NSW]])),"")</f>
        <v>143.04419774564079</v>
      </c>
      <c r="AK64" s="12">
        <f>IF(AND(ISNUMBER(tblData[NSW]),tblData[Date]&gt;StartDt2NSW),(tblData[[#This Row],[NSW LogiP(t)]]-tblData[[#This Row],[NSW]])^2,"")</f>
        <v>81.797512862253896</v>
      </c>
      <c r="AL64" s="12">
        <f>IF(AND(tblData[Date]&gt;StartDt2NSW,ISNUMBER(tblData[Day'# Aust])),tblData[NSW LogiP(t)]/$AG$9,"")</f>
        <v>177.03489820005046</v>
      </c>
      <c r="AM64" s="11">
        <f>IF(AND(tblData[Date]&gt;StartDt2Italy,ISNUMBER(tblData[Days'# Italy])),betaItaly/(deltaItaly+betaPodeltaItaly*EXP(-betaItaly*tblData[Days'# Italy])),"")</f>
        <v>27295.288844777973</v>
      </c>
      <c r="AN64" s="11">
        <f>IF(AND(tblData[Date]&gt;StartDt2Italy,ISNUMBER(tblData[Italy])),(tblData[[#This Row],[Italy LogiP(t)]]-tblData[[#This Row],[Italy]])^2,"")</f>
        <v>6493776.0364198573</v>
      </c>
      <c r="AO64" s="44">
        <f>IF(AND(tblData[Date]&gt;StartDt2Italy,ISNUMBER(tblData[Days'# Italy])),tblData[[#This Row],[Italy LogiP(t)]]/$AM$9,"")</f>
        <v>4515.3496848267951</v>
      </c>
      <c r="AP64" s="21">
        <f>IF(ISNUMBER(tblData[[#This Row],[Days'# US]]),betaUS/(deltaUS+betaPodeltaUS*EXP(-betaUS*tblData[Days'# US])),"")</f>
        <v>3296.5799974640026</v>
      </c>
      <c r="AQ64" s="11">
        <f>IF(ISNUMBER(tblData[US]),(tblData[[#This Row],[US LogiP(t)]]-tblData[US])^2,"")</f>
        <v>40973.857426673174</v>
      </c>
      <c r="AR64" s="21">
        <f>IF(ISNUMBER(tblData[[#This Row],[Days'# US]]),tblData[[#This Row],[US LogiP(t)]]/$AP$9,"")</f>
        <v>100.13068574918965</v>
      </c>
      <c r="AS64" s="21">
        <f>IF(tblData[Date]&gt;=StartDt2Korea,betaSKorea/(deltaSKorea+betaPodeltaSKorea*EXP(-betaSKorea*(tblData[Date]-StartDt2Korea))),"")</f>
        <v>8207.9284212804796</v>
      </c>
      <c r="AT64" s="21">
        <f>IF(AND(tblData[Date]&gt;=StartDt2Korea,ISNUMBER(tblData[SKorea])),(tblData[[#This Row],[SKorea LogiP(t)]]-tblData[[#This Row],[SKorea]])^2,"")</f>
        <v>2109.4198813172111</v>
      </c>
      <c r="AU64" s="21">
        <f>IF(tblData[Date]&gt;=StartDt2Korea,tblData[[#This Row],[SKorea LogiP(t)]]/$AS$9,"")</f>
        <v>1596.8732337121558</v>
      </c>
      <c r="AV64" s="11">
        <f>IF(ISNUMBER(tblData[Days'# UK]),betaUK/(deltaUK+betaPodeltaUK*EXP(-betaUK*tblData[Days'# UK])),"")</f>
        <v>1222.2766245933283</v>
      </c>
      <c r="AW64" s="21">
        <f>IF(ISNUMBER(tblData[UK]),(tblData[[#This Row],[UK LogiP(t)]]-tblData[[#This Row],[UK]])^2,"")</f>
        <v>5971.6767085381889</v>
      </c>
      <c r="AX64" s="21">
        <f>IF(ISNUMBER(tblData[Days'# UK]),tblData[[#This Row],[UK LogiP(t)]]/$AV$9,"")</f>
        <v>183.96698142584711</v>
      </c>
      <c r="AY64" s="11">
        <f>IF(ISNUMBER(tblData[Days'# China]),betaChina/(deltaChina+betaPodeltaChina*EXP(-betaChina*tblData[Days'# China])),"")</f>
        <v>80919.139106514849</v>
      </c>
      <c r="AZ64" s="11">
        <f>IF(ISNUMBER(tblData[China]),(tblData[[#This Row],[China LogiP(t)]]-tblData[[#This Row],[China]])^2,"")</f>
        <v>7032.6494561278214</v>
      </c>
      <c r="BA64" s="11">
        <f>tblData[[#This Row],[China LogiP(t)]]/$AY$9</f>
        <v>562.20247630033487</v>
      </c>
      <c r="BB64" s="11">
        <v>20511</v>
      </c>
      <c r="BC64" s="11">
        <v>1924</v>
      </c>
      <c r="BD64" s="11">
        <f>IF(ISNUMBER(tblData[[#This Row],[NSW Number of Tests]]),tblData[[#This Row],[NSW Number of Tests]]-BB63,"")</f>
        <v>1795</v>
      </c>
      <c r="BE64" s="11">
        <f>IF(ISNUMBER(tblData[[#This Row],[NSW Under Investigation'']]),tblData[[#This Row],[NSW Under Investigation'']]-BC63,"")</f>
        <v>256</v>
      </c>
      <c r="BF64" s="11">
        <f t="shared" si="6"/>
        <v>9</v>
      </c>
      <c r="BG64" s="11">
        <f>IF(ISNUMBER(tblData[[#This Row],[NSW Test Day Number]]),betaTest/(deltaTest+betaPodeltaTest*EXP(-betaTest*tblData[[#This Row],[NSW Test Day Number]])),"")</f>
        <v>21211.743642330875</v>
      </c>
      <c r="BH64" s="11">
        <f>IF(ISNUMBER(tblData[[#This Row],[NSW Number of Tests]]),(tblData[[#This Row],[NSW Number of Tests]]-tblData[[#This Row],[NSW Test Logi]])^2,"")</f>
        <v>491041.65226714191</v>
      </c>
      <c r="BY64"/>
      <c r="BZ64"/>
      <c r="CJ64" s="26"/>
      <c r="CK64" s="26"/>
    </row>
    <row r="65" spans="2:173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49">
        <f>IF(ISNUMBER(tblData[Italy]),tblData[Italy]/$N$9,"")</f>
        <v>4628.618693134822</v>
      </c>
      <c r="O65">
        <v>4632</v>
      </c>
      <c r="P65" s="49">
        <f>IF(ISNUMBER(tblData[US]),tblData[US]/$P$9,"")</f>
        <v>140.69288072700897</v>
      </c>
      <c r="Q65">
        <v>8236</v>
      </c>
      <c r="R65" s="19">
        <f>IF(ISNUMBER(tblData[SKorea]),tblData[SKorea]/$R$9,"")</f>
        <v>1602.3346303501946</v>
      </c>
      <c r="S65">
        <v>1551</v>
      </c>
      <c r="T65" s="12">
        <f>IF(ISNUMBER(tblData[UK]),tblData[UK]/$T$9,"")</f>
        <v>233.44370860927151</v>
      </c>
      <c r="U65">
        <v>81033</v>
      </c>
      <c r="V65" s="21">
        <f>IF(ISNUMBER(tblData[China]),tblData[China]/$V$9,"")</f>
        <v>562.99354843701269</v>
      </c>
      <c r="W65" s="26">
        <f>IF(tblData[[#This Row],[Date]]&lt;ItalyStart,"",tblData[[#This Row],[Date]]-ItalyStart)</f>
        <v>46</v>
      </c>
      <c r="X65" s="26">
        <f t="shared" si="7"/>
        <v>36</v>
      </c>
      <c r="Y65" s="26">
        <f t="shared" si="3"/>
        <v>54</v>
      </c>
      <c r="Z65" s="26">
        <f>IF(tblData[[#This Row],[Date]]&lt;StartDt2Korea,"",tblData[[#This Row],[Date]]-StartDt2Korea)</f>
        <v>26</v>
      </c>
      <c r="AA65" s="26">
        <f>IF(tblData[[#This Row],[Date]]&lt;UKStart,"",tblData[[#This Row],[Date]]-UKStart)</f>
        <v>46</v>
      </c>
      <c r="AB65">
        <f>IF(tblData[Date]&gt;=StartDt2Au,tblData[Date]-StartDt2Au,"")</f>
        <v>51</v>
      </c>
      <c r="AC65" s="26">
        <f>IF(tblData[New South Wales]&gt;0,SUM(tblData[[#This Row],[Australian Capital Territory]:[Western Australia]]),"")</f>
        <v>377</v>
      </c>
      <c r="AD65" s="12">
        <f>IF(ISNUMBER(tblData[Au]),tblData[Au]/$AA$9,"")</f>
        <v>148.635861851443</v>
      </c>
      <c r="AE65" s="19">
        <f>IF(ISNUMBER(tblData[[#This Row],[Day'# Aust]]),betaAu/(deltaAu+betaPodeltaAu*EXP(-betaAu*tblData[[#This Row],[Day'# Aust]])),"")</f>
        <v>380.19967246951171</v>
      </c>
      <c r="AF65" s="72">
        <f>IF(ISNUMBER(tblData[Day'# Aust]),tblData[Au LogiP(t)]/$AD$9,"")</f>
        <v>149.89736337703505</v>
      </c>
      <c r="AG65" s="11">
        <f>IF(AND(tblData[Date]&gt;=StartDt2Au,ISNUMBER(tblData[NSW])),(tblData[[#This Row],[Au LogiP(t)]]-tblData[[#This Row],[Au]])^2,"")</f>
        <v>10.23790391215117</v>
      </c>
      <c r="AH65">
        <f>IF(tblData[Date]&gt;StartDt2NSW,tblData[Date]-StartDt2NSW,"")</f>
        <v>51</v>
      </c>
      <c r="AI65">
        <f t="shared" si="9"/>
        <v>171</v>
      </c>
      <c r="AJ65" s="11">
        <f>IF(tblData[Date]&gt;StartDt2NSW,betaNSW/(deltaNSW+betaPodeltaNSW*EXP(-betaNSW*tblData[[#This Row],[Day '# NSW]])),"")</f>
        <v>174.21860735205112</v>
      </c>
      <c r="AK65" s="12">
        <f>IF(AND(ISNUMBER(tblData[NSW]),tblData[Date]&gt;StartDt2NSW),(tblData[[#This Row],[NSW LogiP(t)]]-tblData[[#This Row],[NSW]])^2,"")</f>
        <v>10.359433286677541</v>
      </c>
      <c r="AL65" s="12">
        <f>IF(AND(tblData[Date]&gt;StartDt2NSW,ISNUMBER(tblData[Day'# Aust])),tblData[NSW LogiP(t)]/$AG$9,"")</f>
        <v>215.61708830699396</v>
      </c>
      <c r="AM65" s="11">
        <f>IF(AND(tblData[Date]&gt;StartDt2Italy,ISNUMBER(tblData[Days'# Italy])),betaItaly/(deltaItaly+betaPodeltaItaly*EXP(-betaItaly*tblData[Days'# Italy])),"")</f>
        <v>30885.218514951546</v>
      </c>
      <c r="AN65" s="11">
        <f>IF(AND(tblData[Date]&gt;StartDt2Italy,ISNUMBER(tblData[Italy])),(tblData[[#This Row],[Italy LogiP(t)]]-tblData[[#This Row],[Italy]])^2,"")</f>
        <v>8440294.6196172684</v>
      </c>
      <c r="AO65" s="44">
        <f>IF(AND(tblData[Date]&gt;StartDt2Italy,ISNUMBER(tblData[Days'# Italy])),tblData[[#This Row],[Italy LogiP(t)]]/$AM$9,"")</f>
        <v>5109.2172894874357</v>
      </c>
      <c r="AP65" s="21">
        <f>IF(ISNUMBER(tblData[[#This Row],[Days'# US]]),betaUS/(deltaUS+betaPodeltaUS*EXP(-betaUS*tblData[Days'# US])),"")</f>
        <v>4667.2821259767079</v>
      </c>
      <c r="AQ65" s="11">
        <f>IF(ISNUMBER(tblData[US]),(tblData[[#This Row],[US LogiP(t)]]-tblData[US])^2,"")</f>
        <v>1244.8284134362866</v>
      </c>
      <c r="AR65" s="21">
        <f>IF(ISNUMBER(tblData[[#This Row],[Days'# US]]),tblData[[#This Row],[US LogiP(t)]]/$AP$9,"")</f>
        <v>141.76454392688726</v>
      </c>
      <c r="AS65" s="21">
        <f>IF(tblData[Date]&gt;=StartDt2Korea,betaSKorea/(deltaSKorea+betaPodeltaSKorea*EXP(-betaSKorea*(tblData[Date]-StartDt2Korea))),"")</f>
        <v>8238.6141574265439</v>
      </c>
      <c r="AT65" s="21">
        <f>IF(AND(tblData[Date]&gt;=StartDt2Korea,ISNUMBER(tblData[SKorea])),(tblData[[#This Row],[SKorea LogiP(t)]]-tblData[[#This Row],[SKorea]])^2,"")</f>
        <v>6.833819050754613</v>
      </c>
      <c r="AU65" s="21">
        <f>IF(tblData[Date]&gt;=StartDt2Korea,tblData[[#This Row],[SKorea LogiP(t)]]/$AS$9,"")</f>
        <v>1602.843221289211</v>
      </c>
      <c r="AV65" s="11">
        <f>IF(ISNUMBER(tblData[Days'# UK]),betaUK/(deltaUK+betaPodeltaUK*EXP(-betaUK*tblData[Days'# UK])),"")</f>
        <v>1539.271221252558</v>
      </c>
      <c r="AW65" s="21">
        <f>IF(ISNUMBER(tblData[UK]),(tblData[[#This Row],[UK LogiP(t)]]-tblData[[#This Row],[UK]])^2,"")</f>
        <v>137.56425090644697</v>
      </c>
      <c r="AX65" s="21">
        <f>IF(ISNUMBER(tblData[Days'# UK]),tblData[[#This Row],[UK LogiP(t)]]/$AV$9,"")</f>
        <v>231.67838971290757</v>
      </c>
      <c r="AY65" s="11">
        <f>IF(ISNUMBER(tblData[Days'# China]),betaChina/(deltaChina+betaPodeltaChina*EXP(-betaChina*tblData[Days'# China])),"")</f>
        <v>80925.5517650744</v>
      </c>
      <c r="AZ65" s="11">
        <f>IF(ISNUMBER(tblData[China]),(tblData[[#This Row],[China LogiP(t)]]-tblData[[#This Row],[China]])^2,"")</f>
        <v>11545.123188626829</v>
      </c>
      <c r="BA65" s="11">
        <f>tblData[[#This Row],[China LogiP(t)]]/$AY$9</f>
        <v>562.24702957366003</v>
      </c>
      <c r="BB65" s="11">
        <v>25511</v>
      </c>
      <c r="BC65" s="11">
        <v>1282</v>
      </c>
      <c r="BD65" s="11">
        <f>IF(ISNUMBER(tblData[[#This Row],[NSW Number of Tests]]),tblData[[#This Row],[NSW Number of Tests]]-BB64,"")</f>
        <v>5000</v>
      </c>
      <c r="BE65" s="11">
        <f>IF(ISNUMBER(tblData[[#This Row],[NSW Under Investigation'']]),tblData[[#This Row],[NSW Under Investigation'']]-BC64,"")</f>
        <v>-642</v>
      </c>
      <c r="BF65" s="11">
        <f t="shared" si="6"/>
        <v>10</v>
      </c>
      <c r="BG65" s="11">
        <f>IF(ISNUMBER(tblData[[#This Row],[NSW Test Day Number]]),betaTest/(deltaTest+betaPodeltaTest*EXP(-betaTest*tblData[[#This Row],[NSW Test Day Number]])),"")</f>
        <v>24770.000005985781</v>
      </c>
      <c r="BH65" s="11">
        <f>IF(ISNUMBER(tblData[[#This Row],[NSW Number of Tests]]),(tblData[[#This Row],[NSW Number of Tests]]-tblData[[#This Row],[NSW Test Logi]])^2,"")</f>
        <v>549080.99112907238</v>
      </c>
      <c r="BY65"/>
      <c r="BZ65"/>
      <c r="CJ65" s="26"/>
      <c r="CK65" s="26"/>
    </row>
    <row r="66" spans="2:173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49">
        <f>IF(ISNUMBER(tblData[Italy]),tblData[Italy]/$N$9,"")</f>
        <v>5211.9106699751865</v>
      </c>
      <c r="O66">
        <v>6421</v>
      </c>
      <c r="P66" s="49">
        <f>IF(ISNUMBER(tblData[US]),tblData[US]/$P$9,"")</f>
        <v>195.03216475564003</v>
      </c>
      <c r="Q66">
        <v>8320</v>
      </c>
      <c r="R66" s="19">
        <f>IF(ISNUMBER(tblData[SKorea]),tblData[SKorea]/$R$9,"")</f>
        <v>1618.6770428015566</v>
      </c>
      <c r="S66">
        <v>1960</v>
      </c>
      <c r="T66" s="12">
        <f>IF(ISNUMBER(tblData[UK]),tblData[UK]/$T$9,"")</f>
        <v>295.0030102347983</v>
      </c>
      <c r="U66">
        <v>81058</v>
      </c>
      <c r="V66" s="21">
        <f>IF(ISNUMBER(tblData[China]),tblData[China]/$V$9,"")</f>
        <v>563.16724111420501</v>
      </c>
      <c r="W66" s="26">
        <f>IF(tblData[[#This Row],[Date]]&lt;ItalyStart,"",tblData[[#This Row],[Date]]-ItalyStart)</f>
        <v>47</v>
      </c>
      <c r="X66" s="26">
        <f t="shared" si="7"/>
        <v>37</v>
      </c>
      <c r="Y66" s="26">
        <f t="shared" si="3"/>
        <v>55</v>
      </c>
      <c r="Z66" s="26">
        <f>IF(tblData[[#This Row],[Date]]&lt;StartDt2Korea,"",tblData[[#This Row],[Date]]-StartDt2Korea)</f>
        <v>27</v>
      </c>
      <c r="AA66" s="26">
        <f>IF(tblData[[#This Row],[Date]]&lt;UKStart,"",tblData[[#This Row],[Date]]-UKStart)</f>
        <v>47</v>
      </c>
      <c r="AB66">
        <f>IF(tblData[Date]&gt;=StartDt2Au,tblData[Date]-StartDt2Au,"")</f>
        <v>52</v>
      </c>
      <c r="AC66" s="26">
        <f>IF(tblData[New South Wales]&gt;0,SUM(tblData[[#This Row],[Australian Capital Territory]:[Western Australia]]),"")</f>
        <v>456</v>
      </c>
      <c r="AD66" s="12">
        <f>IF(ISNUMBER(tblData[Au]),tblData[Au]/$AA$9,"")</f>
        <v>179.78236871155968</v>
      </c>
      <c r="AE66" s="19">
        <f>IF(ISNUMBER(tblData[[#This Row],[Day'# Aust]]),betaAu/(deltaAu+betaPodeltaAu*EXP(-betaAu*tblData[[#This Row],[Day'# Aust]])),"")</f>
        <v>467.40001754266149</v>
      </c>
      <c r="AF66" s="72">
        <f>IF(ISNUMBER(tblData[Day'# Aust]),tblData[Au LogiP(t)]/$AD$9,"")</f>
        <v>184.27693484571105</v>
      </c>
      <c r="AG66" s="11">
        <f>IF(AND(tblData[Date]&gt;=StartDt2Au,ISNUMBER(tblData[NSW])),(tblData[[#This Row],[Au LogiP(t)]]-tblData[[#This Row],[Au]])^2,"")</f>
        <v>129.96039997298965</v>
      </c>
      <c r="AH66">
        <f>IF(tblData[Date]&gt;StartDt2NSW,tblData[Date]-StartDt2NSW,"")</f>
        <v>52</v>
      </c>
      <c r="AI66">
        <f t="shared" si="9"/>
        <v>210</v>
      </c>
      <c r="AJ66" s="11">
        <f>IF(tblData[Date]&gt;StartDt2NSW,betaNSW/(deltaNSW+betaPodeltaNSW*EXP(-betaNSW*tblData[[#This Row],[Day '# NSW]])),"")</f>
        <v>211.63009394148847</v>
      </c>
      <c r="AK66" s="12">
        <f>IF(AND(ISNUMBER(tblData[NSW]),tblData[Date]&gt;StartDt2NSW),(tblData[[#This Row],[NSW LogiP(t)]]-tblData[[#This Row],[NSW]])^2,"")</f>
        <v>2.6572062580774092</v>
      </c>
      <c r="AL66" s="12">
        <f>IF(AND(tblData[Date]&gt;StartDt2NSW,ISNUMBER(tblData[Day'# Aust])),tblData[NSW LogiP(t)]/$AG$9,"")</f>
        <v>261.91843309590155</v>
      </c>
      <c r="AM66" s="11">
        <f>IF(AND(tblData[Date]&gt;StartDt2Italy,ISNUMBER(tblData[Days'# Italy])),betaItaly/(deltaItaly+betaPodeltaItaly*EXP(-betaItaly*tblData[Days'# Italy])),"")</f>
        <v>34369.944875056521</v>
      </c>
      <c r="AN66" s="11">
        <f>IF(AND(tblData[Date]&gt;StartDt2Italy,ISNUMBER(tblData[Italy])),(tblData[[#This Row],[Italy LogiP(t)]]-tblData[[#This Row],[Italy]])^2,"")</f>
        <v>8202180.2473625103</v>
      </c>
      <c r="AO66" s="44">
        <f>IF(AND(tblData[Date]&gt;StartDt2Italy,ISNUMBER(tblData[Days'# Italy])),tblData[[#This Row],[Italy LogiP(t)]]/$AM$9,"")</f>
        <v>5685.6815343352391</v>
      </c>
      <c r="AP66" s="21">
        <f>IF(ISNUMBER(tblData[[#This Row],[Days'# US]]),betaUS/(deltaUS+betaPodeltaUS*EXP(-betaUS*tblData[Days'# US])),"")</f>
        <v>6607.9047840681724</v>
      </c>
      <c r="AQ66" s="11">
        <f>IF(ISNUMBER(tblData[US]),(tblData[[#This Row],[US LogiP(t)]]-tblData[US])^2,"")</f>
        <v>34933.39830757014</v>
      </c>
      <c r="AR66" s="21">
        <f>IF(ISNUMBER(tblData[[#This Row],[Days'# US]]),tblData[[#This Row],[US LogiP(t)]]/$AP$9,"")</f>
        <v>200.70923135585824</v>
      </c>
      <c r="AS66" s="21">
        <f>IF(tblData[Date]&gt;=StartDt2Korea,betaSKorea/(deltaSKorea+betaPodeltaSKorea*EXP(-betaSKorea*(tblData[Date]-StartDt2Korea))),"")</f>
        <v>8260.9138185180636</v>
      </c>
      <c r="AT66" s="21">
        <f>IF(AND(tblData[Date]&gt;=StartDt2Korea,ISNUMBER(tblData[SKorea])),(tblData[[#This Row],[SKorea LogiP(t)]]-tblData[[#This Row],[SKorea]])^2,"")</f>
        <v>3491.1768421163197</v>
      </c>
      <c r="AU66" s="21">
        <f>IF(tblData[Date]&gt;=StartDt2Korea,tblData[[#This Row],[SKorea LogiP(t)]]/$AS$9,"")</f>
        <v>1607.1816767544872</v>
      </c>
      <c r="AV66" s="11">
        <f>IF(ISNUMBER(tblData[Days'# UK]),betaUK/(deltaUK+betaPodeltaUK*EXP(-betaUK*tblData[Days'# UK])),"")</f>
        <v>1938.4769373608649</v>
      </c>
      <c r="AW66" s="21">
        <f>IF(ISNUMBER(tblData[UK]),(tblData[[#This Row],[UK LogiP(t)]]-tblData[[#This Row],[UK]])^2,"")</f>
        <v>463.2422253681334</v>
      </c>
      <c r="AX66" s="21">
        <f>IF(ISNUMBER(tblData[Days'# UK]),tblData[[#This Row],[UK LogiP(t)]]/$AV$9,"")</f>
        <v>291.76353662866723</v>
      </c>
      <c r="AY66" s="11">
        <f>IF(ISNUMBER(tblData[Days'# China]),betaChina/(deltaChina+betaPodeltaChina*EXP(-betaChina*tblData[Days'# China])),"")</f>
        <v>80930.687760353336</v>
      </c>
      <c r="AZ66" s="11">
        <f>IF(ISNUMBER(tblData[China]),(tblData[[#This Row],[China LogiP(t)]]-tblData[[#This Row],[China]])^2,"")</f>
        <v>16208.406363849666</v>
      </c>
      <c r="BA66" s="11">
        <f>tblData[[#This Row],[China LogiP(t)]]/$AY$9</f>
        <v>562.28271296446189</v>
      </c>
      <c r="BB66" s="11">
        <v>28552</v>
      </c>
      <c r="BC66" s="11">
        <v>1482</v>
      </c>
      <c r="BD66" s="11">
        <f>IF(ISNUMBER(tblData[[#This Row],[NSW Number of Tests]]),tblData[[#This Row],[NSW Number of Tests]]-BB65,"")</f>
        <v>3041</v>
      </c>
      <c r="BE66" s="11">
        <f>IF(ISNUMBER(tblData[[#This Row],[NSW Under Investigation'']]),tblData[[#This Row],[NSW Under Investigation'']]-BC65,"")</f>
        <v>200</v>
      </c>
      <c r="BF66" s="11">
        <f t="shared" si="6"/>
        <v>11</v>
      </c>
      <c r="BG66" s="11">
        <f>IF(ISNUMBER(tblData[[#This Row],[NSW Test Day Number]]),betaTest/(deltaTest+betaPodeltaTest*EXP(-betaTest*tblData[[#This Row],[NSW Test Day Number]])),"")</f>
        <v>28861.410853591464</v>
      </c>
      <c r="BH66" s="11">
        <f>IF(ISNUMBER(tblData[[#This Row],[NSW Number of Tests]]),(tblData[[#This Row],[NSW Number of Tests]]-tblData[[#This Row],[NSW Test Logi]])^2,"")</f>
        <v>95735.076320198263</v>
      </c>
      <c r="BY66"/>
      <c r="BZ66"/>
      <c r="CJ66" s="26"/>
      <c r="CK66" s="26"/>
    </row>
    <row r="67" spans="2:173" x14ac:dyDescent="0.25">
      <c r="B67" s="1">
        <f t="shared" ref="B67:B80" si="10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49">
        <f>IF(ISNUMBER(tblData[Italy]),tblData[Italy]/$N$9,"")</f>
        <v>5907.8577336641856</v>
      </c>
      <c r="O67">
        <v>7783</v>
      </c>
      <c r="P67" s="49">
        <f>IF(ISNUMBER(tblData[US]),tblData[US]/$P$9,"")</f>
        <v>236.40170351863358</v>
      </c>
      <c r="Q67">
        <v>8413</v>
      </c>
      <c r="R67" s="19">
        <f>IF(ISNUMBER(tblData[SKorea]),tblData[SKorea]/$R$9,"")</f>
        <v>1636.7704280155642</v>
      </c>
      <c r="S67">
        <v>2642</v>
      </c>
      <c r="T67" s="12">
        <f>IF(ISNUMBER(tblData[UK]),tblData[UK]/$T$9,"")</f>
        <v>397.65201685731489</v>
      </c>
      <c r="U67">
        <v>81102</v>
      </c>
      <c r="V67" s="21">
        <f>IF(ISNUMBER(tblData[China]),tblData[China]/$V$9,"")</f>
        <v>563.47294022606354</v>
      </c>
      <c r="W67" s="26">
        <f>IF(tblData[[#This Row],[Date]]&lt;ItalyStart,"",tblData[[#This Row],[Date]]-ItalyStart)</f>
        <v>48</v>
      </c>
      <c r="X67" s="26">
        <f t="shared" si="7"/>
        <v>38</v>
      </c>
      <c r="Y67" s="26">
        <f t="shared" si="3"/>
        <v>56</v>
      </c>
      <c r="Z67" s="26">
        <f>IF(tblData[[#This Row],[Date]]&lt;StartDt2Korea,"",tblData[[#This Row],[Date]]-StartDt2Korea)</f>
        <v>28</v>
      </c>
      <c r="AA67" s="26">
        <f>IF(tblData[[#This Row],[Date]]&lt;UKStart,"",tblData[[#This Row],[Date]]-UKStart)</f>
        <v>48</v>
      </c>
      <c r="AB67">
        <f>IF(tblData[Date]&gt;=StartDt2Au,tblData[Date]-StartDt2Au,"")</f>
        <v>53</v>
      </c>
      <c r="AC67" s="26">
        <f>IF(tblData[New South Wales]&gt;0,SUM(tblData[[#This Row],[Australian Capital Territory]:[Western Australia]]),"")</f>
        <v>568</v>
      </c>
      <c r="AD67" s="12">
        <f>IF(ISNUMBER(tblData[Au]),tblData[Au]/$AA$9,"")</f>
        <v>223.93944172843399</v>
      </c>
      <c r="AE67" s="19">
        <f>IF(ISNUMBER(tblData[[#This Row],[Day'# Aust]]),betaAu/(deltaAu+betaPodeltaAu*EXP(-betaAu*tblData[[#This Row],[Day'# Aust]])),"")</f>
        <v>574.60006164761853</v>
      </c>
      <c r="AF67" s="72">
        <f>IF(ISNUMBER(tblData[Day'# Aust]),tblData[Au LogiP(t)]/$AD$9,"")</f>
        <v>226.54157926494975</v>
      </c>
      <c r="AG67" s="11">
        <f>IF(AND(tblData[Date]&gt;=StartDt2Au,ISNUMBER(tblData[NSW])),(tblData[[#This Row],[Au LogiP(t)]]-tblData[[#This Row],[Au]])^2,"")</f>
        <v>43.560813752365043</v>
      </c>
      <c r="AH67">
        <f>IF(tblData[Date]&gt;StartDt2NSW,tblData[Date]-StartDt2NSW,"")</f>
        <v>53</v>
      </c>
      <c r="AI67">
        <f t="shared" si="9"/>
        <v>267</v>
      </c>
      <c r="AJ67" s="11">
        <f>IF(tblData[Date]&gt;StartDt2NSW,betaNSW/(deltaNSW+betaPodeltaNSW*EXP(-betaNSW*tblData[[#This Row],[Day '# NSW]])),"")</f>
        <v>256.26806765616789</v>
      </c>
      <c r="AK67" s="12">
        <f>IF(AND(ISNUMBER(tblData[NSW]),tblData[Date]&gt;StartDt2NSW),(tblData[[#This Row],[NSW LogiP(t)]]-tblData[[#This Row],[NSW]])^2,"")</f>
        <v>115.17437183258984</v>
      </c>
      <c r="AL67" s="12">
        <f>IF(AND(tblData[Date]&gt;StartDt2NSW,ISNUMBER(tblData[Day'# Aust])),tblData[NSW LogiP(t)]/$AG$9,"")</f>
        <v>317.16345006951468</v>
      </c>
      <c r="AM67" s="11">
        <f>IF(AND(tblData[Date]&gt;StartDt2Italy,ISNUMBER(tblData[Days'# Italy])),betaItaly/(deltaItaly+betaPodeltaItaly*EXP(-betaItaly*tblData[Days'# Italy])),"")</f>
        <v>37644.160012580185</v>
      </c>
      <c r="AN67" s="11">
        <f>IF(AND(tblData[Date]&gt;StartDt2Italy,ISNUMBER(tblData[Italy])),(tblData[[#This Row],[Italy LogiP(t)]]-tblData[[#This Row],[Italy]])^2,"")</f>
        <v>3729378.9941887008</v>
      </c>
      <c r="AO67" s="44">
        <f>IF(AND(tblData[Date]&gt;StartDt2Italy,ISNUMBER(tblData[Days'# Italy])),tblData[[#This Row],[Italy LogiP(t)]]/$AM$9,"")</f>
        <v>6227.3217555963911</v>
      </c>
      <c r="AP67" s="21">
        <f>IF(ISNUMBER(tblData[[#This Row],[Days'# US]]),betaUS/(deltaUS+betaPodeltaUS*EXP(-betaUS*tblData[Days'# US])),"")</f>
        <v>9355.4028069356391</v>
      </c>
      <c r="AQ67" s="11">
        <f>IF(ISNUMBER(tblData[US]),(tblData[[#This Row],[US LogiP(t)]]-tblData[US])^2,"")</f>
        <v>2472450.5872590765</v>
      </c>
      <c r="AR67" s="21">
        <f>IF(ISNUMBER(tblData[[#This Row],[Days'# US]]),tblData[[#This Row],[US LogiP(t)]]/$AP$9,"")</f>
        <v>284.16204042947339</v>
      </c>
      <c r="AS67" s="21">
        <f>IF(tblData[Date]&gt;=StartDt2Korea,betaSKorea/(deltaSKorea+betaPodeltaSKorea*EXP(-betaSKorea*(tblData[Date]-StartDt2Korea))),"")</f>
        <v>8277.0904833395307</v>
      </c>
      <c r="AT67" s="21">
        <f>IF(AND(tblData[Date]&gt;=StartDt2Korea,ISNUMBER(tblData[SKorea])),(tblData[[#This Row],[SKorea LogiP(t)]]-tblData[[#This Row],[SKorea]])^2,"")</f>
        <v>18471.396718882384</v>
      </c>
      <c r="AU67" s="21">
        <f>IF(tblData[Date]&gt;=StartDt2Korea,tblData[[#This Row],[SKorea LogiP(t)]]/$AS$9,"")</f>
        <v>1610.3288878092474</v>
      </c>
      <c r="AV67" s="11">
        <f>IF(ISNUMBER(tblData[Days'# UK]),betaUK/(deltaUK+betaPodeltaUK*EXP(-betaUK*tblData[Days'# UK])),"")</f>
        <v>2441.2144511340948</v>
      </c>
      <c r="AW67" s="21">
        <f>IF(ISNUMBER(tblData[UK]),(tblData[[#This Row],[UK LogiP(t)]]-tblData[[#This Row],[UK]])^2,"")</f>
        <v>40314.836633382802</v>
      </c>
      <c r="AX67" s="21">
        <f>IF(ISNUMBER(tblData[Days'# UK]),tblData[[#This Row],[UK LogiP(t)]]/$AV$9,"")</f>
        <v>367.43143454757598</v>
      </c>
      <c r="AY67" s="11">
        <f>IF(ISNUMBER(tblData[Days'# China]),betaChina/(deltaChina+betaPodeltaChina*EXP(-betaChina*tblData[Days'# China])),"")</f>
        <v>80934.80113978828</v>
      </c>
      <c r="AZ67" s="11">
        <f>IF(ISNUMBER(tblData[China]),(tblData[[#This Row],[China LogiP(t)]]-tblData[[#This Row],[China]])^2,"")</f>
        <v>27955.458856098245</v>
      </c>
      <c r="BA67" s="11">
        <f>tblData[[#This Row],[China LogiP(t)]]/$AY$9</f>
        <v>562.31129151991638</v>
      </c>
      <c r="BB67" s="11">
        <v>33387</v>
      </c>
      <c r="BC67" s="11">
        <v>2146</v>
      </c>
      <c r="BD67" s="11">
        <f>IF(ISNUMBER(tblData[[#This Row],[NSW Number of Tests]]),tblData[[#This Row],[NSW Number of Tests]]-BB66,"")</f>
        <v>4835</v>
      </c>
      <c r="BE67" s="11">
        <f>IF(ISNUMBER(tblData[[#This Row],[NSW Under Investigation'']]),tblData[[#This Row],[NSW Under Investigation'']]-BC66,"")</f>
        <v>664</v>
      </c>
      <c r="BF67" s="11">
        <f t="shared" si="6"/>
        <v>12</v>
      </c>
      <c r="BG67" s="11">
        <f>IF(ISNUMBER(tblData[[#This Row],[NSW Test Day Number]]),betaTest/(deltaTest+betaPodeltaTest*EXP(-betaTest*tblData[[#This Row],[NSW Test Day Number]])),"")</f>
        <v>33543.630978759677</v>
      </c>
      <c r="BH67" s="11">
        <f>IF(ISNUMBER(tblData[[#This Row],[NSW Number of Tests]]),(tblData[[#This Row],[NSW Number of Tests]]-tblData[[#This Row],[NSW Test Logi]])^2,"")</f>
        <v>24533.263507214233</v>
      </c>
      <c r="BY67"/>
      <c r="BZ67"/>
      <c r="CJ67" s="26"/>
      <c r="CK67" s="26"/>
    </row>
    <row r="68" spans="2:173" x14ac:dyDescent="0.25">
      <c r="B68" s="1">
        <f t="shared" si="10"/>
        <v>43909</v>
      </c>
      <c r="D68" s="26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>
        <v>41035</v>
      </c>
      <c r="N68" s="49">
        <f>IF(ISNUMBER(tblData[Italy]),tblData[Italy]/$N$9,"")</f>
        <v>6788.2547559966915</v>
      </c>
      <c r="O68">
        <v>13677</v>
      </c>
      <c r="P68" s="49">
        <f>IF(ISNUMBER(tblData[US]),tblData[US]/$P$9,"")</f>
        <v>415.42671193940021</v>
      </c>
      <c r="Q68">
        <v>8565</v>
      </c>
      <c r="R68" s="19">
        <f>IF(ISNUMBER(tblData[SKorea]),tblData[SKorea]/$R$9,"")</f>
        <v>1666.342412451362</v>
      </c>
      <c r="S68">
        <v>2716</v>
      </c>
      <c r="T68" s="12">
        <f>IF(ISNUMBER(tblData[UK]),tblData[UK]/$T$9,"")</f>
        <v>408.78988561107764</v>
      </c>
      <c r="U68">
        <v>81156</v>
      </c>
      <c r="V68" s="21">
        <f>IF(ISNUMBER(tblData[China]),tblData[China]/$V$9,"")</f>
        <v>563.84811640879889</v>
      </c>
      <c r="W68" s="26">
        <f>IF(tblData[[#This Row],[Date]]&lt;ItalyStart,"",tblData[[#This Row],[Date]]-ItalyStart)</f>
        <v>49</v>
      </c>
      <c r="X68" s="26">
        <f t="shared" si="7"/>
        <v>39</v>
      </c>
      <c r="Y68" s="26">
        <f t="shared" si="3"/>
        <v>57</v>
      </c>
      <c r="Z68" s="26">
        <f>IF(tblData[[#This Row],[Date]]&lt;StartDt2Korea,"",tblData[[#This Row],[Date]]-StartDt2Korea)</f>
        <v>29</v>
      </c>
      <c r="AA68" s="26">
        <f>IF(tblData[[#This Row],[Date]]&lt;UKStart,"",tblData[[#This Row],[Date]]-UKStart)</f>
        <v>49</v>
      </c>
      <c r="AB68">
        <f>IF(tblData[Date]&gt;=StartDt2Au,tblData[Date]-StartDt2Au,"")</f>
        <v>54</v>
      </c>
      <c r="AC68" s="26">
        <f>IF(tblData[New South Wales]&gt;0,SUM(tblData[[#This Row],[Australian Capital Territory]:[Western Australia]]),"")</f>
        <v>710</v>
      </c>
      <c r="AD68" s="12">
        <f>IF(ISNUMBER(tblData[Au]),tblData[Au]/$AA$9,"")</f>
        <v>279.92430216054248</v>
      </c>
      <c r="AE68" s="19">
        <f>IF(ISNUMBER(tblData[[#This Row],[Day'# Aust]]),betaAu/(deltaAu+betaPodeltaAu*EXP(-betaAu*tblData[[#This Row],[Day'# Aust]])),"")</f>
        <v>706.3867760816637</v>
      </c>
      <c r="AF68" s="72">
        <f>IF(ISNUMBER(tblData[Day'# Aust]),tblData[Au LogiP(t)]/$AD$9,"")</f>
        <v>278.49975401421847</v>
      </c>
      <c r="AG68" s="11">
        <f>IF(AND(tblData[Date]&gt;=StartDt2Au,ISNUMBER(tblData[NSW])),(tblData[[#This Row],[Au LogiP(t)]]-tblData[[#This Row],[Au]])^2,"")</f>
        <v>13.055387084037545</v>
      </c>
      <c r="AH68">
        <f>IF(tblData[Date]&gt;StartDt2NSW,tblData[Date]-StartDt2NSW,"")</f>
        <v>54</v>
      </c>
      <c r="AI68">
        <f t="shared" si="9"/>
        <v>307</v>
      </c>
      <c r="AJ68" s="11">
        <f>IF(tblData[Date]&gt;StartDt2NSW,betaNSW/(deltaNSW+betaPodeltaNSW*EXP(-betaNSW*tblData[[#This Row],[Day '# NSW]])),"")</f>
        <v>309.16300650764964</v>
      </c>
      <c r="AK68" s="12">
        <f>IF(AND(ISNUMBER(tblData[NSW]),tblData[Date]&gt;StartDt2NSW),(tblData[[#This Row],[NSW LogiP(t)]]-tblData[[#This Row],[NSW]])^2,"")</f>
        <v>4.678597152134695</v>
      </c>
      <c r="AL68" s="12">
        <f>IF(AND(tblData[Date]&gt;StartDt2NSW,ISNUMBER(tblData[Day'# Aust])),tblData[NSW LogiP(t)]/$AG$9,"")</f>
        <v>382.62748330154653</v>
      </c>
      <c r="AM68" s="11">
        <f>IF(AND(tblData[Date]&gt;StartDt2Italy,ISNUMBER(tblData[Days'# Italy])),betaItaly/(deltaItaly+betaPodeltaItaly*EXP(-betaItaly*tblData[Days'# Italy])),"")</f>
        <v>40627.776735136613</v>
      </c>
      <c r="AN68" s="11">
        <f>IF(AND(tblData[Date]&gt;StartDt2Italy,ISNUMBER(tblData[Italy])),(tblData[[#This Row],[Italy LogiP(t)]]-tblData[[#This Row],[Italy]])^2,"")</f>
        <v>165830.78744599636</v>
      </c>
      <c r="AO68" s="44">
        <f>IF(AND(tblData[Date]&gt;StartDt2Italy,ISNUMBER(tblData[Days'# Italy])),tblData[[#This Row],[Italy LogiP(t)]]/$AM$9,"")</f>
        <v>6720.8894516355031</v>
      </c>
      <c r="AP68" s="21">
        <f>IF(ISNUMBER(tblData[[#This Row],[Days'# US]]),betaUS/(deltaUS+betaPodeltaUS*EXP(-betaUS*tblData[Days'# US])),"")</f>
        <v>13245.238387932033</v>
      </c>
      <c r="AQ68" s="11">
        <f>IF(ISNUMBER(tblData[US]),(tblData[[#This Row],[US LogiP(t)]]-tblData[US])^2,"")</f>
        <v>186418.08965552945</v>
      </c>
      <c r="AR68" s="21">
        <f>IF(ISNUMBER(tblData[[#This Row],[Days'# US]]),tblData[[#This Row],[US LogiP(t)]]/$AP$9,"")</f>
        <v>402.31233694173619</v>
      </c>
      <c r="AS68" s="21">
        <f>IF(tblData[Date]&gt;=StartDt2Korea,betaSKorea/(deltaSKorea+betaPodeltaSKorea*EXP(-betaSKorea*(tblData[Date]-StartDt2Korea))),"")</f>
        <v>8288.8102855013021</v>
      </c>
      <c r="AT68" s="21">
        <f>IF(AND(tblData[Date]&gt;=StartDt2Korea,ISNUMBER(tblData[SKorea])),(tblData[[#This Row],[SKorea LogiP(t)]]-tblData[[#This Row],[SKorea]])^2,"")</f>
        <v>76280.758394872246</v>
      </c>
      <c r="AU68" s="21">
        <f>IF(tblData[Date]&gt;=StartDt2Korea,tblData[[#This Row],[SKorea LogiP(t)]]/$AS$9,"")</f>
        <v>1612.6090049613429</v>
      </c>
      <c r="AV68" s="11">
        <f>IF(ISNUMBER(tblData[Days'# UK]),betaUK/(deltaUK+betaPodeltaUK*EXP(-betaUK*tblData[Days'# UK])),"")</f>
        <v>3074.3335202498411</v>
      </c>
      <c r="AW68" s="21">
        <f>IF(ISNUMBER(tblData[UK]),(tblData[[#This Row],[UK LogiP(t)]]-tblData[[#This Row],[UK]])^2,"")</f>
        <v>128402.91173464325</v>
      </c>
      <c r="AX68" s="21">
        <f>IF(ISNUMBER(tblData[Days'# UK]),tblData[[#This Row],[UK LogiP(t)]]/$AV$9,"")</f>
        <v>462.72328721400379</v>
      </c>
      <c r="AY68" s="11">
        <f>IF(ISNUMBER(tblData[Days'# China]),betaChina/(deltaChina+betaPodeltaChina*EXP(-betaChina*tblData[Days'# China])),"")</f>
        <v>80938.095439011973</v>
      </c>
      <c r="AZ68" s="11">
        <f>IF(ISNUMBER(tblData[China]),(tblData[[#This Row],[China LogiP(t)]]-tblData[[#This Row],[China]])^2,"")</f>
        <v>47482.397699384688</v>
      </c>
      <c r="BA68" s="11">
        <f>tblData[[#This Row],[China LogiP(t)]]/$AY$9</f>
        <v>562.33417934598185</v>
      </c>
      <c r="BB68" s="11">
        <v>38782</v>
      </c>
      <c r="BC68" s="11"/>
      <c r="BD68" s="11">
        <f>IF(ISNUMBER(tblData[[#This Row],[NSW Number of Tests]]),tblData[[#This Row],[NSW Number of Tests]]-BB67,"")</f>
        <v>5395</v>
      </c>
      <c r="BE68" s="11" t="str">
        <f>IF(ISNUMBER(tblData[[#This Row],[NSW Under Investigation'']]),tblData[[#This Row],[NSW Under Investigation'']]-BC67,"")</f>
        <v/>
      </c>
      <c r="BF68" s="11">
        <f t="shared" si="6"/>
        <v>13</v>
      </c>
      <c r="BG68" s="11">
        <f>IF(ISNUMBER(tblData[[#This Row],[NSW Test Day Number]]),betaTest/(deltaTest+betaPodeltaTest*EXP(-betaTest*tblData[[#This Row],[NSW Test Day Number]])),"")</f>
        <v>38873.017142243072</v>
      </c>
      <c r="BH68" s="11">
        <f>IF(ISNUMBER(tblData[[#This Row],[NSW Number of Tests]]),(tblData[[#This Row],[NSW Number of Tests]]-tblData[[#This Row],[NSW Test Logi]])^2,"")</f>
        <v>8284.1201820956303</v>
      </c>
      <c r="BY68"/>
      <c r="BZ68"/>
      <c r="CJ68" s="26"/>
      <c r="CK68" s="26"/>
    </row>
    <row r="69" spans="2:173" x14ac:dyDescent="0.25">
      <c r="B69" s="1">
        <f t="shared" si="10"/>
        <v>43910</v>
      </c>
      <c r="D69" s="26">
        <v>6</v>
      </c>
      <c r="E69">
        <v>382</v>
      </c>
      <c r="F69">
        <v>3</v>
      </c>
      <c r="G69">
        <v>184</v>
      </c>
      <c r="H69">
        <v>50</v>
      </c>
      <c r="I69">
        <v>10</v>
      </c>
      <c r="J69">
        <v>178</v>
      </c>
      <c r="K69">
        <v>64</v>
      </c>
      <c r="L69" s="12">
        <f>IF(ISNUMBER(tblData[[#This Row],[NSW]]),tblData[[#This Row],[New South Wales]]/$L$9,"")</f>
        <v>472.77227722772273</v>
      </c>
      <c r="M69" s="26">
        <v>47021</v>
      </c>
      <c r="N69" s="49">
        <f>IF(ISNUMBER(tblData[Italy]),tblData[Italy]/$N$9,"")</f>
        <v>7778.4946236559144</v>
      </c>
      <c r="O69">
        <v>19100</v>
      </c>
      <c r="P69" s="49">
        <f>IF(ISNUMBER(tblData[US]),tblData[US]/$P$9,"")</f>
        <v>580.14551422406544</v>
      </c>
      <c r="Q69">
        <v>8652</v>
      </c>
      <c r="R69" s="19">
        <f>IF(ISNUMBER(tblData[SKorea]),tblData[SKorea]/$R$9,"")</f>
        <v>1683.2684824902724</v>
      </c>
      <c r="S69">
        <v>4014</v>
      </c>
      <c r="T69" s="12">
        <f>IF(ISNUMBER(tblData[UK]),tblData[UK]/$T$9,"")</f>
        <v>604.15412402167362</v>
      </c>
      <c r="U69">
        <v>81250</v>
      </c>
      <c r="V69" s="21">
        <f>IF(ISNUMBER(tblData[China]),tblData[China]/$V$9,"")</f>
        <v>564.50120087504206</v>
      </c>
      <c r="W69" s="26">
        <f>IF(tblData[[#This Row],[Date]]&lt;ItalyStart,"",tblData[[#This Row],[Date]]-ItalyStart)</f>
        <v>50</v>
      </c>
      <c r="X69" s="26">
        <f t="shared" si="7"/>
        <v>40</v>
      </c>
      <c r="Y69" s="26">
        <f t="shared" si="3"/>
        <v>58</v>
      </c>
      <c r="Z69" s="26">
        <f>IF(tblData[[#This Row],[Date]]&lt;StartDt2Korea,"",tblData[[#This Row],[Date]]-StartDt2Korea)</f>
        <v>30</v>
      </c>
      <c r="AA69" s="26">
        <f>IF(tblData[[#This Row],[Date]]&lt;UKStart,"",tblData[[#This Row],[Date]]-UKStart)</f>
        <v>50</v>
      </c>
      <c r="AB69">
        <f>IF(tblData[Date]&gt;=StartDt2Au,tblData[Date]-StartDt2Au,"")</f>
        <v>55</v>
      </c>
      <c r="AC69" s="26">
        <f>IF(tblData[New South Wales]&gt;0,SUM(tblData[[#This Row],[Australian Capital Territory]:[Western Australia]]),"")</f>
        <v>877</v>
      </c>
      <c r="AD69" s="12">
        <f>IF(ISNUMBER(tblData[Au]),tblData[Au]/$AA$9,"")</f>
        <v>345.76565210534613</v>
      </c>
      <c r="AE69" s="19">
        <f>IF(ISNUMBER(tblData[[#This Row],[Day'# Aust]]),betaAu/(deltaAu+betaPodeltaAu*EXP(-betaAu*tblData[[#This Row],[Day'# Aust]])),"")</f>
        <v>868.39914870758753</v>
      </c>
      <c r="AF69" s="72">
        <f>IF(ISNUMBER(tblData[Day'# Aust]),tblData[Au LogiP(t)]/$AD$9,"")</f>
        <v>342.3746840827896</v>
      </c>
      <c r="AG69" s="11">
        <f>IF(AND(tblData[Date]&gt;=StartDt2Au,ISNUMBER(tblData[NSW])),(tblData[[#This Row],[Au LogiP(t)]]-tblData[[#This Row],[Au]])^2,"")</f>
        <v>73.974642954193286</v>
      </c>
      <c r="AH69">
        <f>IF(tblData[Date]&gt;StartDt2NSW,tblData[Date]-StartDt2NSW,"")</f>
        <v>55</v>
      </c>
      <c r="AI69">
        <f t="shared" si="9"/>
        <v>382</v>
      </c>
      <c r="AJ69" s="11">
        <f>IF(tblData[Date]&gt;StartDt2NSW,betaNSW/(deltaNSW+betaPodeltaNSW*EXP(-betaNSW*tblData[[#This Row],[Day '# NSW]])),"")</f>
        <v>371.33332660993506</v>
      </c>
      <c r="AK69" s="12">
        <f>IF(AND(ISNUMBER(tblData[NSW]),tblData[Date]&gt;StartDt2NSW),(tblData[[#This Row],[NSW LogiP(t)]]-tblData[[#This Row],[NSW]])^2,"")</f>
        <v>113.77792121031955</v>
      </c>
      <c r="AL69" s="12">
        <f>IF(AND(tblData[Date]&gt;StartDt2NSW,ISNUMBER(tblData[Day'# Aust])),tblData[NSW LogiP(t)]/$AG$9,"")</f>
        <v>459.57094877467205</v>
      </c>
      <c r="AM69" s="11">
        <f>IF(AND(tblData[Date]&gt;StartDt2Italy,ISNUMBER(tblData[Days'# Italy])),betaItaly/(deltaItaly+betaPodeltaItaly*EXP(-betaItaly*tblData[Days'# Italy])),"")</f>
        <v>43271.648983889121</v>
      </c>
      <c r="AN69" s="11">
        <f>IF(AND(tblData[Date]&gt;StartDt2Italy,ISNUMBER(tblData[Italy])),(tblData[[#This Row],[Italy LogiP(t)]]-tblData[[#This Row],[Italy]])^2,"")</f>
        <v>14057633.04201168</v>
      </c>
      <c r="AO69" s="44">
        <f>IF(AND(tblData[Date]&gt;StartDt2Italy,ISNUMBER(tblData[Days'# Italy])),tblData[[#This Row],[Italy LogiP(t)]]/$AM$9,"")</f>
        <v>7158.2545879055615</v>
      </c>
      <c r="AP69" s="21">
        <f>IF(ISNUMBER(tblData[[#This Row],[Days'# US]]),betaUS/(deltaUS+betaPodeltaUS*EXP(-betaUS*tblData[Days'# US])),"")</f>
        <v>18752.32178644988</v>
      </c>
      <c r="AQ69" s="11">
        <f>IF(ISNUMBER(tblData[US]),(tblData[[#This Row],[US LogiP(t)]]-tblData[US])^2,"")</f>
        <v>120880.14017740273</v>
      </c>
      <c r="AR69" s="21">
        <f>IF(ISNUMBER(tblData[[#This Row],[Days'# US]]),tblData[[#This Row],[US LogiP(t)]]/$AP$9,"")</f>
        <v>569.58509768037231</v>
      </c>
      <c r="AS69" s="21">
        <f>IF(tblData[Date]&gt;=StartDt2Korea,betaSKorea/(deltaSKorea+betaPodeltaSKorea*EXP(-betaSKorea*(tblData[Date]-StartDt2Korea))),"")</f>
        <v>8297.2932217099551</v>
      </c>
      <c r="AT69" s="21">
        <f>IF(AND(tblData[Date]&gt;=StartDt2Korea,ISNUMBER(tblData[SKorea])),(tblData[[#This Row],[SKorea LogiP(t)]]-tblData[[#This Row],[SKorea]])^2,"")</f>
        <v>125816.89856490307</v>
      </c>
      <c r="AU69" s="21">
        <f>IF(tblData[Date]&gt;=StartDt2Korea,tblData[[#This Row],[SKorea LogiP(t)]]/$AS$9,"")</f>
        <v>1614.2593816556334</v>
      </c>
      <c r="AV69" s="11">
        <f>IF(ISNUMBER(tblData[Days'# UK]),betaUK/(deltaUK+betaPodeltaUK*EXP(-betaUK*tblData[Days'# UK])),"")</f>
        <v>3871.6466958700094</v>
      </c>
      <c r="AW69" s="21">
        <f>IF(ISNUMBER(tblData[UK]),(tblData[[#This Row],[UK LogiP(t)]]-tblData[[#This Row],[UK]])^2,"")</f>
        <v>20264.463196725614</v>
      </c>
      <c r="AX69" s="21">
        <f>IF(ISNUMBER(tblData[Days'# UK]),tblData[[#This Row],[UK LogiP(t)]]/$AV$9,"")</f>
        <v>582.72828053431806</v>
      </c>
      <c r="AY69" s="11">
        <f>IF(ISNUMBER(tblData[Days'# China]),betaChina/(deltaChina+betaPodeltaChina*EXP(-betaChina*tblData[Days'# China])),"")</f>
        <v>80940.733709981068</v>
      </c>
      <c r="AZ69" s="11">
        <f>IF(ISNUMBER(tblData[China]),(tblData[[#This Row],[China LogiP(t)]]-tblData[[#This Row],[China]])^2,"")</f>
        <v>95645.63814207392</v>
      </c>
      <c r="BA69" s="11">
        <f>tblData[[#This Row],[China LogiP(t)]]/$AY$9</f>
        <v>562.35250927989307</v>
      </c>
      <c r="BB69" s="11">
        <v>40298</v>
      </c>
      <c r="BC69" s="11"/>
      <c r="BD69" s="11">
        <f>IF(ISNUMBER(tblData[[#This Row],[NSW Number of Tests]]),tblData[[#This Row],[NSW Number of Tests]]-BB68,"")</f>
        <v>1516</v>
      </c>
      <c r="BE69" s="11" t="str">
        <f>IF(ISNUMBER(tblData[[#This Row],[NSW Under Investigation'']]),tblData[[#This Row],[NSW Under Investigation'']]-BC68,"")</f>
        <v/>
      </c>
      <c r="BF69" s="11">
        <f t="shared" si="6"/>
        <v>14</v>
      </c>
      <c r="BG69" s="11">
        <f>IF(ISNUMBER(tblData[[#This Row],[NSW Test Day Number]]),betaTest/(deltaTest+betaPodeltaTest*EXP(-betaTest*tblData[[#This Row],[NSW Test Day Number]])),"")</f>
        <v>44901.734221300751</v>
      </c>
      <c r="BH69" s="11">
        <f>IF(ISNUMBER(tblData[[#This Row],[NSW Number of Tests]]),(tblData[[#This Row],[NSW Number of Tests]]-tblData[[#This Row],[NSW Test Logi]])^2,"")</f>
        <v>21194368.780375626</v>
      </c>
      <c r="BY69"/>
      <c r="BZ69"/>
      <c r="CJ69" s="26"/>
      <c r="CK69" s="26"/>
    </row>
    <row r="70" spans="2:173" x14ac:dyDescent="0.25">
      <c r="B70" s="1">
        <f t="shared" si="10"/>
        <v>43911</v>
      </c>
      <c r="D70" s="26">
        <v>9</v>
      </c>
      <c r="E70">
        <v>436</v>
      </c>
      <c r="F70">
        <v>5</v>
      </c>
      <c r="G70">
        <v>221</v>
      </c>
      <c r="H70">
        <v>67</v>
      </c>
      <c r="I70">
        <v>11</v>
      </c>
      <c r="J70">
        <v>229</v>
      </c>
      <c r="K70">
        <v>90</v>
      </c>
      <c r="L70" s="12">
        <f>IF(ISNUMBER(tblData[[#This Row],[NSW]]),tblData[[#This Row],[New South Wales]]/$L$9,"")</f>
        <v>539.60396039603961</v>
      </c>
      <c r="M70" s="26"/>
      <c r="N70" s="49" t="str">
        <f>IF(ISNUMBER(tblData[Italy]),tblData[Italy]/$N$9,"")</f>
        <v/>
      </c>
      <c r="P70" s="49" t="str">
        <f>IF(ISNUMBER(tblData[US]),tblData[US]/$P$9,"")</f>
        <v/>
      </c>
      <c r="R70" s="19" t="str">
        <f>IF(ISNUMBER(tblData[SKorea]),tblData[SKorea]/$R$9,"")</f>
        <v/>
      </c>
      <c r="T70" s="12" t="str">
        <f>IF(ISNUMBER(tblData[UK]),tblData[UK]/$T$9,"")</f>
        <v/>
      </c>
      <c r="V70" s="21" t="str">
        <f>IF(ISNUMBER(tblData[China]),tblData[China]/$V$9,"")</f>
        <v/>
      </c>
      <c r="W70" s="26">
        <f>IF(tblData[[#This Row],[Date]]&lt;ItalyStart,"",tblData[[#This Row],[Date]]-ItalyStart)</f>
        <v>51</v>
      </c>
      <c r="X70" s="26">
        <f t="shared" si="7"/>
        <v>41</v>
      </c>
      <c r="Y70" s="26">
        <f t="shared" si="3"/>
        <v>59</v>
      </c>
      <c r="Z70" s="26">
        <f>IF(tblData[[#This Row],[Date]]&lt;StartDt2Korea,"",tblData[[#This Row],[Date]]-StartDt2Korea)</f>
        <v>31</v>
      </c>
      <c r="AA70" s="26">
        <f>IF(tblData[[#This Row],[Date]]&lt;UKStart,"",tblData[[#This Row],[Date]]-UKStart)</f>
        <v>51</v>
      </c>
      <c r="AB70">
        <f>IF(tblData[Date]&gt;=StartDt2Au,tblData[Date]-StartDt2Au,"")</f>
        <v>56</v>
      </c>
      <c r="AC70" s="26">
        <f>IF(tblData[New South Wales]&gt;0,SUM(tblData[[#This Row],[Australian Capital Territory]:[Western Australia]]),"")</f>
        <v>1068</v>
      </c>
      <c r="AD70" s="12">
        <f>IF(ISNUMBER(tblData[Au]),tblData[Au]/$AA$9,"")</f>
        <v>421.06923198233716</v>
      </c>
      <c r="AE70" s="19">
        <f>IF(ISNUMBER(tblData[[#This Row],[Day'# Aust]]),betaAu/(deltaAu+betaPodeltaAu*EXP(-betaAu*tblData[[#This Row],[Day'# Aust]])),"")</f>
        <v>1067.5694552975406</v>
      </c>
      <c r="AF70" s="72">
        <f>IF(ISNUMBER(tblData[Day'# Aust]),tblData[Au LogiP(t)]/$AD$9,"")</f>
        <v>420.89948560855566</v>
      </c>
      <c r="AG70" s="11">
        <f>IF(AND(tblData[Date]&gt;=StartDt2Au,ISNUMBER(tblData[NSW])),(tblData[[#This Row],[Au LogiP(t)]]-tblData[[#This Row],[Au]])^2,"")</f>
        <v>0.18536874081587795</v>
      </c>
      <c r="AH70">
        <f>IF(tblData[Date]&gt;StartDt2NSW,tblData[Date]-StartDt2NSW,"")</f>
        <v>56</v>
      </c>
      <c r="AI70">
        <f t="shared" si="9"/>
        <v>436</v>
      </c>
      <c r="AJ70" s="11">
        <f>IF(tblData[Date]&gt;StartDt2NSW,betaNSW/(deltaNSW+betaPodeltaNSW*EXP(-betaNSW*tblData[[#This Row],[Day '# NSW]])),"")</f>
        <v>443.70914971212068</v>
      </c>
      <c r="AK70" s="12">
        <f>IF(AND(ISNUMBER(tblData[NSW]),tblData[Date]&gt;StartDt2NSW),(tblData[[#This Row],[NSW LogiP(t)]]-tblData[[#This Row],[NSW]])^2,"")</f>
        <v>59.43098928389032</v>
      </c>
      <c r="AL70" s="12">
        <f>IF(AND(tblData[Date]&gt;StartDt2NSW,ISNUMBER(tblData[Day'# Aust])),tblData[NSW LogiP(t)]/$AG$9,"")</f>
        <v>549.14498726747604</v>
      </c>
      <c r="AM70" s="11">
        <f>IF(AND(tblData[Date]&gt;StartDt2Italy,ISNUMBER(tblData[Days'# Italy])),betaItaly/(deltaItaly+betaPodeltaItaly*EXP(-betaItaly*tblData[Days'# Italy])),"")</f>
        <v>45557.062111241808</v>
      </c>
      <c r="AN70" s="11" t="str">
        <f>IF(AND(tblData[Date]&gt;StartDt2Italy,ISNUMBER(tblData[Italy])),(tblData[[#This Row],[Italy LogiP(t)]]-tblData[[#This Row],[Italy]])^2,"")</f>
        <v/>
      </c>
      <c r="AO70" s="44">
        <f>IF(AND(tblData[Date]&gt;StartDt2Italy,ISNUMBER(tblData[Days'# Italy])),tblData[[#This Row],[Italy LogiP(t)]]/$AM$9,"")</f>
        <v>7536.3212756396706</v>
      </c>
      <c r="AP70" s="21">
        <f>IF(ISNUMBER(tblData[[#This Row],[Days'# US]]),betaUS/(deltaUS+betaPodeltaUS*EXP(-betaUS*tblData[Days'# US])),"")</f>
        <v>26548.956405590252</v>
      </c>
      <c r="AQ70" s="11" t="str">
        <f>IF(ISNUMBER(tblData[US]),(tblData[[#This Row],[US LogiP(t)]]-tblData[US])^2,"")</f>
        <v/>
      </c>
      <c r="AR70" s="21">
        <f>IF(ISNUMBER(tblData[[#This Row],[Days'# US]]),tblData[[#This Row],[US LogiP(t)]]/$AP$9,"")</f>
        <v>806.4009406300238</v>
      </c>
      <c r="AS70" s="21">
        <f>IF(tblData[Date]&gt;=StartDt2Korea,betaSKorea/(deltaSKorea+betaPodeltaSKorea*EXP(-betaSKorea*(tblData[Date]-StartDt2Korea))),"")</f>
        <v>8303.4291273181952</v>
      </c>
      <c r="AT70" s="21" t="str">
        <f>IF(AND(tblData[Date]&gt;=StartDt2Korea,ISNUMBER(tblData[SKorea])),(tblData[[#This Row],[SKorea LogiP(t)]]-tblData[[#This Row],[SKorea]])^2,"")</f>
        <v/>
      </c>
      <c r="AU70" s="21">
        <f>IF(tblData[Date]&gt;=StartDt2Korea,tblData[[#This Row],[SKorea LogiP(t)]]/$AS$9,"")</f>
        <v>1615.453137610544</v>
      </c>
      <c r="AV70" s="11">
        <f>IF(ISNUMBER(tblData[Days'# UK]),betaUK/(deltaUK+betaPodeltaUK*EXP(-betaUK*tblData[Days'# UK])),"")</f>
        <v>4875.7347233906075</v>
      </c>
      <c r="AW70" s="21" t="str">
        <f>IF(ISNUMBER(tblData[UK]),(tblData[[#This Row],[UK LogiP(t)]]-tblData[[#This Row],[UK]])^2,"")</f>
        <v/>
      </c>
      <c r="AX70" s="21">
        <f>IF(ISNUMBER(tblData[Days'# UK]),tblData[[#This Row],[UK LogiP(t)]]/$AV$9,"")</f>
        <v>733.85531658498007</v>
      </c>
      <c r="AY70" s="11">
        <f>IF(ISNUMBER(tblData[Days'# China]),betaChina/(deltaChina+betaPodeltaChina*EXP(-betaChina*tblData[Days'# China])),"")</f>
        <v>80942.846563616724</v>
      </c>
      <c r="AZ70" s="11" t="str">
        <f>IF(ISNUMBER(tblData[China]),(tblData[[#This Row],[China LogiP(t)]]-tblData[[#This Row],[China]])^2,"")</f>
        <v/>
      </c>
      <c r="BA70" s="11">
        <f>tblData[[#This Row],[China LogiP(t)]]/$AY$9</f>
        <v>562.36718876807277</v>
      </c>
      <c r="BB70" s="11">
        <v>46456</v>
      </c>
      <c r="BC70" s="11"/>
      <c r="BD70" s="11">
        <f>IF(ISNUMBER(tblData[[#This Row],[NSW Number of Tests]]),tblData[[#This Row],[NSW Number of Tests]]-BB69,"")</f>
        <v>6158</v>
      </c>
      <c r="BE70" s="11" t="str">
        <f>IF(ISNUMBER(tblData[[#This Row],[NSW Under Investigation'']]),tblData[[#This Row],[NSW Under Investigation'']]-BC69,"")</f>
        <v/>
      </c>
      <c r="BF70" s="11">
        <f t="shared" si="6"/>
        <v>15</v>
      </c>
      <c r="BG70" s="11">
        <f>IF(ISNUMBER(tblData[[#This Row],[NSW Test Day Number]]),betaTest/(deltaTest+betaPodeltaTest*EXP(-betaTest*tblData[[#This Row],[NSW Test Day Number]])),"")</f>
        <v>51674.168884514424</v>
      </c>
      <c r="BH70" s="11">
        <f>IF(ISNUMBER(tblData[[#This Row],[NSW Number of Tests]]),(tblData[[#This Row],[NSW Number of Tests]]-tblData[[#This Row],[NSW Test Logi]])^2,"")</f>
        <v>27229286.507314503</v>
      </c>
      <c r="BY70"/>
      <c r="BZ70"/>
      <c r="CJ70" s="26"/>
      <c r="CK70" s="26"/>
    </row>
    <row r="71" spans="2:173" x14ac:dyDescent="0.25">
      <c r="B71" s="1">
        <f t="shared" si="10"/>
        <v>43912</v>
      </c>
      <c r="D71" s="26"/>
      <c r="L71" s="12" t="str">
        <f>IF(ISNUMBER(tblData[[#This Row],[NSW]]),tblData[[#This Row],[New South Wales]]/$L$9,"")</f>
        <v/>
      </c>
      <c r="M71" s="26"/>
      <c r="N71" s="49" t="str">
        <f>IF(ISNUMBER(tblData[Italy]),tblData[Italy]/$N$9,"")</f>
        <v/>
      </c>
      <c r="O71" s="26"/>
      <c r="P71" s="49" t="str">
        <f>IF(ISNUMBER(tblData[US]),tblData[US]/$P$9,"")</f>
        <v/>
      </c>
      <c r="Q71" s="49"/>
      <c r="R71" s="19" t="str">
        <f>IF(ISNUMBER(tblData[SKorea]),tblData[SKorea]/$R$9,"")</f>
        <v/>
      </c>
      <c r="S71" s="49"/>
      <c r="T71" s="12" t="str">
        <f>IF(ISNUMBER(tblData[UK]),tblData[UK]/$T$9,"")</f>
        <v/>
      </c>
      <c r="U71" s="26"/>
      <c r="V71" s="21" t="str">
        <f>IF(ISNUMBER(tblData[China]),tblData[China]/$V$9,"")</f>
        <v/>
      </c>
      <c r="W71" s="26">
        <f>IF(tblData[[#This Row],[Date]]&lt;ItalyStart,"",tblData[[#This Row],[Date]]-ItalyStart)</f>
        <v>52</v>
      </c>
      <c r="X71" s="26">
        <f t="shared" si="7"/>
        <v>42</v>
      </c>
      <c r="Y71" s="26">
        <f t="shared" si="3"/>
        <v>60</v>
      </c>
      <c r="Z71" s="26">
        <f>IF(tblData[[#This Row],[Date]]&lt;StartDt2Korea,"",tblData[[#This Row],[Date]]-StartDt2Korea)</f>
        <v>32</v>
      </c>
      <c r="AA71" s="26">
        <f>IF(tblData[[#This Row],[Date]]&lt;UKStart,"",tblData[[#This Row],[Date]]-UKStart)</f>
        <v>52</v>
      </c>
      <c r="AB71">
        <f>IF(tblData[Date]&gt;=StartDt2Au,tblData[Date]-StartDt2Au,"")</f>
        <v>57</v>
      </c>
      <c r="AC71" s="26" t="str">
        <f>IF(tblData[New South Wales]&gt;0,SUM(tblData[[#This Row],[Australian Capital Territory]:[Western Australia]]),"")</f>
        <v/>
      </c>
      <c r="AD71" s="12" t="str">
        <f>IF(ISNUMBER(tblData[Au]),tblData[Au]/$AA$9,"")</f>
        <v/>
      </c>
      <c r="AE71" s="19">
        <f>IF(ISNUMBER(tblData[[#This Row],[Day'# Aust]]),betaAu/(deltaAu+betaPodeltaAu*EXP(-betaAu*tblData[[#This Row],[Day'# Aust]])),"")</f>
        <v>1312.4198606706216</v>
      </c>
      <c r="AF71" s="72">
        <f>IF(ISNUMBER(tblData[Day'# Aust]),tblData[Au LogiP(t)]/$AD$9,"")</f>
        <v>517.43410371811296</v>
      </c>
      <c r="AG71" s="11" t="str">
        <f>IF(AND(tblData[Date]&gt;=StartDt2Au,ISNUMBER(tblData[NSW])),(tblData[[#This Row],[Au LogiP(t)]]-tblData[[#This Row],[Au]])^2,"")</f>
        <v/>
      </c>
      <c r="AH71">
        <f>IF(tblData[Date]&gt;StartDt2NSW,tblData[Date]-StartDt2NSW,"")</f>
        <v>57</v>
      </c>
      <c r="AI71" s="26" t="str">
        <f t="shared" si="9"/>
        <v/>
      </c>
      <c r="AJ71" s="11">
        <f>IF(tblData[Date]&gt;StartDt2NSW,betaNSW/(deltaNSW+betaPodeltaNSW*EXP(-betaNSW*tblData[[#This Row],[Day '# NSW]])),"")</f>
        <v>527.03245692038445</v>
      </c>
      <c r="AK71" s="12" t="str">
        <f>IF(AND(ISNUMBER(tblData[NSW]),tblData[Date]&gt;StartDt2NSW),(tblData[[#This Row],[NSW LogiP(t)]]-tblData[[#This Row],[NSW]])^2,"")</f>
        <v/>
      </c>
      <c r="AL71" s="12">
        <f>IF(AND(tblData[Date]&gt;StartDt2NSW,ISNUMBER(tblData[Day'# Aust])),tblData[NSW LogiP(t)]/$AG$9,"")</f>
        <v>652.26789222819855</v>
      </c>
      <c r="AM71" s="11">
        <f>IF(AND(tblData[Date]&gt;StartDt2Italy,ISNUMBER(tblData[Days'# Italy])),betaItaly/(deltaItaly+betaPodeltaItaly*EXP(-betaItaly*tblData[Days'# Italy])),"")</f>
        <v>47490.636390873209</v>
      </c>
      <c r="AN71" s="11" t="str">
        <f>IF(AND(tblData[Date]&gt;StartDt2Italy,ISNUMBER(tblData[Italy])),(tblData[[#This Row],[Italy LogiP(t)]]-tblData[[#This Row],[Italy]])^2,"")</f>
        <v/>
      </c>
      <c r="AO71" s="44">
        <f>IF(AND(tblData[Date]&gt;StartDt2Italy,ISNUMBER(tblData[Days'# Italy])),tblData[[#This Row],[Italy LogiP(t)]]/$AM$9,"")</f>
        <v>7856.1846800451958</v>
      </c>
      <c r="AP71" s="21">
        <f>IF(ISNUMBER(tblData[[#This Row],[Days'# US]]),betaUS/(deltaUS+betaPodeltaUS*EXP(-betaUS*tblData[Days'# US])),"")</f>
        <v>37586.83978427235</v>
      </c>
      <c r="AQ71" s="11" t="str">
        <f>IF(ISNUMBER(tblData[US]),(tblData[[#This Row],[US LogiP(t)]]-tblData[US])^2,"")</f>
        <v/>
      </c>
      <c r="AR71" s="21">
        <f>IF(ISNUMBER(tblData[[#This Row],[Days'# US]]),tblData[[#This Row],[US LogiP(t)]]/$AP$9,"")</f>
        <v>1141.6668321834684</v>
      </c>
      <c r="AS71" s="21">
        <f>IF(tblData[Date]&gt;=StartDt2Korea,betaSKorea/(deltaSKorea+betaPodeltaSKorea*EXP(-betaSKorea*(tblData[Date]-StartDt2Korea))),"")</f>
        <v>8307.8652020988084</v>
      </c>
      <c r="AT71" s="21" t="str">
        <f>IF(AND(tblData[Date]&gt;=StartDt2Korea,ISNUMBER(tblData[SKorea])),(tblData[[#This Row],[SKorea LogiP(t)]]-tblData[[#This Row],[SKorea]])^2,"")</f>
        <v/>
      </c>
      <c r="AU71" s="21">
        <f>IF(tblData[Date]&gt;=StartDt2Korea,tblData[[#This Row],[SKorea LogiP(t)]]/$AS$9,"")</f>
        <v>1616.3161871787565</v>
      </c>
      <c r="AV71" s="11">
        <f>IF(ISNUMBER(tblData[Days'# UK]),betaUK/(deltaUK+betaPodeltaUK*EXP(-betaUK*tblData[Days'# UK])),"")</f>
        <v>6140.2199410227176</v>
      </c>
      <c r="AW71" s="21" t="str">
        <f>IF(ISNUMBER(tblData[UK]),(tblData[[#This Row],[UK LogiP(t)]]-tblData[[#This Row],[UK]])^2,"")</f>
        <v/>
      </c>
      <c r="AX71" s="21">
        <f>IF(ISNUMBER(tblData[Days'# UK]),tblData[[#This Row],[UK LogiP(t)]]/$AV$9,"")</f>
        <v>924.17518678848853</v>
      </c>
      <c r="AY71" s="11">
        <f>IF(ISNUMBER(tblData[Days'# China]),betaChina/(deltaChina+betaPodeltaChina*EXP(-betaChina*tblData[Days'# China])),"")</f>
        <v>80944.538618127248</v>
      </c>
      <c r="AZ71" s="11" t="str">
        <f>IF(ISNUMBER(tblData[China]),(tblData[[#This Row],[China LogiP(t)]]-tblData[[#This Row],[China]])^2,"")</f>
        <v/>
      </c>
      <c r="BA71" s="11">
        <f>tblData[[#This Row],[China LogiP(t)]]/$AY$9</f>
        <v>562.37894466718831</v>
      </c>
      <c r="BB71" s="11"/>
      <c r="BC71" s="11"/>
      <c r="BD71" s="11" t="str">
        <f>IF(ISNUMBER(tblData[[#This Row],[NSW Number of Tests]]),tblData[[#This Row],[NSW Number of Tests]]-BB70,"")</f>
        <v/>
      </c>
      <c r="BE71" s="11" t="str">
        <f>IF(ISNUMBER(tblData[[#This Row],[NSW Under Investigation'']]),tblData[[#This Row],[NSW Under Investigation'']]-BC70,"")</f>
        <v/>
      </c>
      <c r="BF71" s="11">
        <f t="shared" si="6"/>
        <v>16</v>
      </c>
      <c r="BG71" s="11">
        <f>IF(ISNUMBER(tblData[[#This Row],[NSW Test Day Number]]),betaTest/(deltaTest+betaPodeltaTest*EXP(-betaTest*tblData[[#This Row],[NSW Test Day Number]])),"")</f>
        <v>59222.742484940776</v>
      </c>
      <c r="BH71" s="11" t="str">
        <f>IF(ISNUMBER(tblData[[#This Row],[NSW Number of Tests]]),(tblData[[#This Row],[NSW Number of Tests]]-tblData[[#This Row],[NSW Test Logi]])^2,"")</f>
        <v/>
      </c>
      <c r="BY71"/>
      <c r="BZ71"/>
      <c r="CJ71" s="26"/>
      <c r="CK71" s="26"/>
    </row>
    <row r="72" spans="2:173" x14ac:dyDescent="0.25">
      <c r="B72" s="1">
        <f t="shared" si="10"/>
        <v>43913</v>
      </c>
      <c r="D72" s="26"/>
      <c r="L72" s="12" t="str">
        <f>IF(ISNUMBER(tblData[[#This Row],[NSW]]),tblData[[#This Row],[New South Wales]]/$L$9,"")</f>
        <v/>
      </c>
      <c r="M72" s="26"/>
      <c r="N72" s="49" t="str">
        <f>IF(ISNUMBER(tblData[Italy]),tblData[Italy]/$N$9,"")</f>
        <v/>
      </c>
      <c r="O72" s="26"/>
      <c r="P72" s="49" t="str">
        <f>IF(ISNUMBER(tblData[US]),tblData[US]/$P$9,"")</f>
        <v/>
      </c>
      <c r="Q72" s="49"/>
      <c r="R72" s="19" t="str">
        <f>IF(ISNUMBER(tblData[SKorea]),tblData[SKorea]/$R$9,"")</f>
        <v/>
      </c>
      <c r="S72" s="49"/>
      <c r="T72" s="12" t="str">
        <f>IF(ISNUMBER(tblData[UK]),tblData[UK]/$T$9,"")</f>
        <v/>
      </c>
      <c r="U72" s="26"/>
      <c r="V72" s="21" t="str">
        <f>IF(ISNUMBER(tblData[China]),tblData[China]/$V$9,"")</f>
        <v/>
      </c>
      <c r="W72" s="26">
        <f>IF(tblData[[#This Row],[Date]]&lt;ItalyStart,"",tblData[[#This Row],[Date]]-ItalyStart)</f>
        <v>53</v>
      </c>
      <c r="X72" s="26">
        <f t="shared" si="7"/>
        <v>43</v>
      </c>
      <c r="Y72" s="26">
        <f t="shared" si="3"/>
        <v>61</v>
      </c>
      <c r="Z72" s="26">
        <f>IF(tblData[[#This Row],[Date]]&lt;StartDt2Korea,"",tblData[[#This Row],[Date]]-StartDt2Korea)</f>
        <v>33</v>
      </c>
      <c r="AA72" s="26">
        <f>IF(tblData[[#This Row],[Date]]&lt;UKStart,"",tblData[[#This Row],[Date]]-UKStart)</f>
        <v>53</v>
      </c>
      <c r="AB72">
        <f>IF(tblData[Date]&gt;=StartDt2Au,tblData[Date]-StartDt2Au,"")</f>
        <v>58</v>
      </c>
      <c r="AC72" s="26" t="str">
        <f>IF(tblData[New South Wales]&gt;0,SUM(tblData[[#This Row],[Australian Capital Territory]:[Western Australia]]),"")</f>
        <v/>
      </c>
      <c r="AD72" s="12" t="str">
        <f>IF(ISNUMBER(tblData[Au]),tblData[Au]/$AA$9,"")</f>
        <v/>
      </c>
      <c r="AE72" s="19">
        <f>IF(ISNUMBER(tblData[[#This Row],[Day'# Aust]]),betaAu/(deltaAu+betaPodeltaAu*EXP(-betaAu*tblData[[#This Row],[Day'# Aust]])),"")</f>
        <v>1613.4270362398358</v>
      </c>
      <c r="AF72" s="72">
        <f>IF(ISNUMBER(tblData[Day'# Aust]),tblData[Au LogiP(t)]/$AD$9,"")</f>
        <v>636.1090664878709</v>
      </c>
      <c r="AG72" s="11" t="str">
        <f>IF(AND(tblData[Date]&gt;=StartDt2Au,ISNUMBER(tblData[NSW])),(tblData[[#This Row],[Au LogiP(t)]]-tblData[[#This Row],[Au]])^2,"")</f>
        <v/>
      </c>
      <c r="AH72">
        <f>IF(tblData[Date]&gt;StartDt2NSW,tblData[Date]-StartDt2NSW,"")</f>
        <v>58</v>
      </c>
      <c r="AI72" t="str">
        <f t="shared" si="9"/>
        <v/>
      </c>
      <c r="AJ72" s="11">
        <f>IF(tblData[Date]&gt;StartDt2NSW,betaNSW/(deltaNSW+betaPodeltaNSW*EXP(-betaNSW*tblData[[#This Row],[Day '# NSW]])),"")</f>
        <v>621.73791714203844</v>
      </c>
      <c r="AK72" s="12" t="str">
        <f>IF(AND(ISNUMBER(tblData[NSW]),tblData[Date]&gt;StartDt2NSW),(tblData[[#This Row],[NSW LogiP(t)]]-tblData[[#This Row],[NSW]])^2,"")</f>
        <v/>
      </c>
      <c r="AL72" s="12">
        <f>IF(AND(tblData[Date]&gt;StartDt2NSW,ISNUMBER(tblData[Day'# Aust])),tblData[NSW LogiP(t)]/$AG$9,"")</f>
        <v>769.47762022529503</v>
      </c>
      <c r="AM72" s="11">
        <f>IF(AND(tblData[Date]&gt;StartDt2Italy,ISNUMBER(tblData[Days'# Italy])),betaItaly/(deltaItaly+betaPodeltaItaly*EXP(-betaItaly*tblData[Days'# Italy])),"")</f>
        <v>49097.030014106153</v>
      </c>
      <c r="AN72" s="11" t="str">
        <f>IF(AND(tblData[Date]&gt;StartDt2Italy,ISNUMBER(tblData[Italy])),(tblData[[#This Row],[Italy LogiP(t)]]-tblData[[#This Row],[Italy]])^2,"")</f>
        <v/>
      </c>
      <c r="AO72" s="44">
        <f>IF(AND(tblData[Date]&gt;StartDt2Italy,ISNUMBER(tblData[Days'# Italy])),tblData[[#This Row],[Italy LogiP(t)]]/$AM$9,"")</f>
        <v>8121.9239063864607</v>
      </c>
      <c r="AP72" s="21">
        <f>IF(ISNUMBER(tblData[[#This Row],[Days'# US]]),betaUS/(deltaUS+betaPodeltaUS*EXP(-betaUS*tblData[Days'# US])),"")</f>
        <v>53213.085129360283</v>
      </c>
      <c r="AQ72" s="11" t="str">
        <f>IF(ISNUMBER(tblData[US]),(tblData[[#This Row],[US LogiP(t)]]-tblData[US])^2,"")</f>
        <v/>
      </c>
      <c r="AR72" s="21">
        <f>IF(ISNUMBER(tblData[[#This Row],[Days'# US]]),tblData[[#This Row],[US LogiP(t)]]/$AP$9,"")</f>
        <v>1616.3001380011358</v>
      </c>
      <c r="AS72" s="21">
        <f>IF(tblData[Date]&gt;=StartDt2Korea,betaSKorea/(deltaSKorea+betaPodeltaSKorea*EXP(-betaSKorea*(tblData[Date]-StartDt2Korea))),"")</f>
        <v>8311.0712172065305</v>
      </c>
      <c r="AT72" s="21" t="str">
        <f>IF(AND(tblData[Date]&gt;=StartDt2Korea,ISNUMBER(tblData[SKorea])),(tblData[[#This Row],[SKorea LogiP(t)]]-tblData[[#This Row],[SKorea]])^2,"")</f>
        <v/>
      </c>
      <c r="AU72" s="21">
        <f>IF(tblData[Date]&gt;=StartDt2Korea,tblData[[#This Row],[SKorea LogiP(t)]]/$AS$9,"")</f>
        <v>1616.9399255265625</v>
      </c>
      <c r="AV72" s="11">
        <f>IF(ISNUMBER(tblData[Days'# UK]),betaUK/(deltaUK+betaPodeltaUK*EXP(-betaUK*tblData[Days'# UK])),"")</f>
        <v>7732.6289153719144</v>
      </c>
      <c r="AW72" s="21" t="str">
        <f>IF(ISNUMBER(tblData[UK]),(tblData[[#This Row],[UK LogiP(t)]]-tblData[[#This Row],[UK]])^2,"")</f>
        <v/>
      </c>
      <c r="AX72" s="21">
        <f>IF(ISNUMBER(tblData[Days'# UK]),tblData[[#This Row],[UK LogiP(t)]]/$AV$9,"")</f>
        <v>1163.8514321751827</v>
      </c>
      <c r="AY72" s="11">
        <f>IF(ISNUMBER(tblData[Days'# China]),betaChina/(deltaChina+betaPodeltaChina*EXP(-betaChina*tblData[Days'# China])),"")</f>
        <v>80945.893667815282</v>
      </c>
      <c r="AZ72" s="11" t="str">
        <f>IF(ISNUMBER(tblData[China]),(tblData[[#This Row],[China LogiP(t)]]-tblData[[#This Row],[China]])^2,"")</f>
        <v/>
      </c>
      <c r="BA72" s="11">
        <f>tblData[[#This Row],[China LogiP(t)]]/$AY$9</f>
        <v>562.38835915550999</v>
      </c>
      <c r="BB72" s="11"/>
      <c r="BC72" s="11"/>
      <c r="BD72" s="11" t="str">
        <f>IF(ISNUMBER(tblData[[#This Row],[NSW Number of Tests]]),tblData[[#This Row],[NSW Number of Tests]]-BB71,"")</f>
        <v/>
      </c>
      <c r="BE72" s="11" t="str">
        <f>IF(ISNUMBER(tblData[[#This Row],[NSW Under Investigation'']]),tblData[[#This Row],[NSW Under Investigation'']]-BC71,"")</f>
        <v/>
      </c>
      <c r="BF72" s="11">
        <f t="shared" si="6"/>
        <v>17</v>
      </c>
      <c r="BG72" s="11">
        <f>IF(ISNUMBER(tblData[[#This Row],[NSW Test Day Number]]),betaTest/(deltaTest+betaPodeltaTest*EXP(-betaTest*tblData[[#This Row],[NSW Test Day Number]])),"")</f>
        <v>67563.340223320425</v>
      </c>
      <c r="BH72" s="11" t="str">
        <f>IF(ISNUMBER(tblData[[#This Row],[NSW Number of Tests]]),(tblData[[#This Row],[NSW Number of Tests]]-tblData[[#This Row],[NSW Test Logi]])^2,"")</f>
        <v/>
      </c>
      <c r="BY72"/>
      <c r="BZ72"/>
      <c r="CJ72" s="26"/>
      <c r="CK72" s="26"/>
    </row>
    <row r="73" spans="2:173" x14ac:dyDescent="0.25">
      <c r="B73" s="1">
        <f t="shared" si="10"/>
        <v>43914</v>
      </c>
      <c r="D73" s="26"/>
      <c r="L73" s="12" t="str">
        <f>IF(ISNUMBER(tblData[[#This Row],[NSW]]),tblData[[#This Row],[New South Wales]]/$L$9,"")</f>
        <v/>
      </c>
      <c r="M73" s="26"/>
      <c r="N73" s="49" t="str">
        <f>IF(ISNUMBER(tblData[Italy]),tblData[Italy]/$N$9,"")</f>
        <v/>
      </c>
      <c r="O73" s="26"/>
      <c r="P73" s="49" t="str">
        <f>IF(ISNUMBER(tblData[US]),tblData[US]/$P$9,"")</f>
        <v/>
      </c>
      <c r="Q73" s="49"/>
      <c r="R73" s="19" t="str">
        <f>IF(ISNUMBER(tblData[SKorea]),tblData[SKorea]/$R$9,"")</f>
        <v/>
      </c>
      <c r="S73" s="49"/>
      <c r="T73" s="12" t="str">
        <f>IF(ISNUMBER(tblData[UK]),tblData[UK]/$T$9,"")</f>
        <v/>
      </c>
      <c r="U73" s="26"/>
      <c r="V73" s="21" t="str">
        <f>IF(ISNUMBER(tblData[China]),tblData[China]/$V$9,"")</f>
        <v/>
      </c>
      <c r="W73" s="26">
        <f>IF(tblData[[#This Row],[Date]]&lt;ItalyStart,"",tblData[[#This Row],[Date]]-ItalyStart)</f>
        <v>54</v>
      </c>
      <c r="X73" s="26">
        <f t="shared" si="7"/>
        <v>44</v>
      </c>
      <c r="Y73" s="26">
        <f t="shared" si="3"/>
        <v>62</v>
      </c>
      <c r="Z73" s="26">
        <f>IF(tblData[[#This Row],[Date]]&lt;StartDt2Korea,"",tblData[[#This Row],[Date]]-StartDt2Korea)</f>
        <v>34</v>
      </c>
      <c r="AA73" s="26">
        <f>IF(tblData[[#This Row],[Date]]&lt;UKStart,"",tblData[[#This Row],[Date]]-UKStart)</f>
        <v>54</v>
      </c>
      <c r="AB73">
        <f>IF(tblData[Date]&gt;=StartDt2Au,tblData[Date]-StartDt2Au,"")</f>
        <v>59</v>
      </c>
      <c r="AC73" s="26" t="str">
        <f>IF(tblData[New South Wales]&gt;0,SUM(tblData[[#This Row],[Australian Capital Territory]:[Western Australia]]),"")</f>
        <v/>
      </c>
      <c r="AD73" s="12" t="str">
        <f>IF(ISNUMBER(tblData[Au]),tblData[Au]/$AA$9,"")</f>
        <v/>
      </c>
      <c r="AE73" s="19">
        <f>IF(ISNUMBER(tblData[[#This Row],[Day'# Aust]]),betaAu/(deltaAu+betaPodeltaAu*EXP(-betaAu*tblData[[#This Row],[Day'# Aust]])),"")</f>
        <v>1983.470388514397</v>
      </c>
      <c r="AF73" s="72">
        <f>IF(ISNUMBER(tblData[Day'# Aust]),tblData[Au LogiP(t)]/$AD$9,"")</f>
        <v>782.00220332534184</v>
      </c>
      <c r="AG73" s="11" t="str">
        <f>IF(AND(tblData[Date]&gt;=StartDt2Au,ISNUMBER(tblData[NSW])),(tblData[[#This Row],[Au LogiP(t)]]-tblData[[#This Row],[Au]])^2,"")</f>
        <v/>
      </c>
      <c r="AH73">
        <f>IF(tblData[Date]&gt;StartDt2NSW,tblData[Date]-StartDt2NSW,"")</f>
        <v>59</v>
      </c>
      <c r="AI73" t="str">
        <f t="shared" si="9"/>
        <v/>
      </c>
      <c r="AJ73" s="11">
        <f>IF(tblData[Date]&gt;StartDt2NSW,betaNSW/(deltaNSW+betaPodeltaNSW*EXP(-betaNSW*tblData[[#This Row],[Day '# NSW]])),"")</f>
        <v>727.82547716130034</v>
      </c>
      <c r="AK73" s="12" t="str">
        <f>IF(AND(ISNUMBER(tblData[NSW]),tblData[Date]&gt;StartDt2NSW),(tblData[[#This Row],[NSW LogiP(t)]]-tblData[[#This Row],[NSW]])^2,"")</f>
        <v/>
      </c>
      <c r="AL73" s="12">
        <f>IF(AND(tblData[Date]&gt;StartDt2NSW,ISNUMBER(tblData[Day'# Aust])),tblData[NSW LogiP(t)]/$AG$9,"")</f>
        <v>900.7741053976489</v>
      </c>
      <c r="AM73" s="11">
        <f>IF(AND(tblData[Date]&gt;StartDt2Italy,ISNUMBER(tblData[Days'# Italy])),betaItaly/(deltaItaly+betaPodeltaItaly*EXP(-betaItaly*tblData[Days'# Italy])),"")</f>
        <v>50411.545147286291</v>
      </c>
      <c r="AN73" s="11" t="str">
        <f>IF(AND(tblData[Date]&gt;StartDt2Italy,ISNUMBER(tblData[Italy])),(tblData[[#This Row],[Italy LogiP(t)]]-tblData[[#This Row],[Italy]])^2,"")</f>
        <v/>
      </c>
      <c r="AO73" s="44">
        <f>IF(AND(tblData[Date]&gt;StartDt2Italy,ISNUMBER(tblData[Days'# Italy])),tblData[[#This Row],[Italy LogiP(t)]]/$AM$9,"")</f>
        <v>8339.3788498405775</v>
      </c>
      <c r="AP73" s="21">
        <f>IF(ISNUMBER(tblData[[#This Row],[Days'# US]]),betaUS/(deltaUS+betaPodeltaUS*EXP(-betaUS*tblData[Days'# US])),"")</f>
        <v>75334.333338487297</v>
      </c>
      <c r="AQ73" s="11" t="str">
        <f>IF(ISNUMBER(tblData[US]),(tblData[[#This Row],[US LogiP(t)]]-tblData[US])^2,"")</f>
        <v/>
      </c>
      <c r="AR73" s="21">
        <f>IF(ISNUMBER(tblData[[#This Row],[Days'# US]]),tblData[[#This Row],[US LogiP(t)]]/$AP$9,"")</f>
        <v>2288.2133797583178</v>
      </c>
      <c r="AS73" s="21">
        <f>IF(tblData[Date]&gt;=StartDt2Korea,betaSKorea/(deltaSKorea+betaPodeltaSKorea*EXP(-betaSKorea*(tblData[Date]-StartDt2Korea))),"")</f>
        <v>8313.3876587281302</v>
      </c>
      <c r="AT73" s="21" t="str">
        <f>IF(AND(tblData[Date]&gt;=StartDt2Korea,ISNUMBER(tblData[SKorea])),(tblData[[#This Row],[SKorea LogiP(t)]]-tblData[[#This Row],[SKorea]])^2,"")</f>
        <v/>
      </c>
      <c r="AU73" s="21">
        <f>IF(tblData[Date]&gt;=StartDt2Korea,tblData[[#This Row],[SKorea LogiP(t)]]/$AS$9,"")</f>
        <v>1617.3905950832939</v>
      </c>
      <c r="AV73" s="11">
        <f>IF(ISNUMBER(tblData[Days'# UK]),betaUK/(deltaUK+betaPodeltaUK*EXP(-betaUK*tblData[Days'# UK])),"")</f>
        <v>9737.9969169416108</v>
      </c>
      <c r="AW73" s="21" t="str">
        <f>IF(ISNUMBER(tblData[UK]),(tblData[[#This Row],[UK LogiP(t)]]-tblData[[#This Row],[UK]])^2,"")</f>
        <v/>
      </c>
      <c r="AX73" s="21">
        <f>IF(ISNUMBER(tblData[Days'# UK]),tblData[[#This Row],[UK LogiP(t)]]/$AV$9,"")</f>
        <v>1465.6828592627348</v>
      </c>
      <c r="AY73" s="11">
        <f>IF(ISNUMBER(tblData[Days'# China]),betaChina/(deltaChina+betaPodeltaChina*EXP(-betaChina*tblData[Days'# China])),"")</f>
        <v>80946.978825461061</v>
      </c>
      <c r="AZ73" s="11" t="str">
        <f>IF(ISNUMBER(tblData[China]),(tblData[[#This Row],[China LogiP(t)]]-tblData[[#This Row],[China]])^2,"")</f>
        <v/>
      </c>
      <c r="BA73" s="11">
        <f>tblData[[#This Row],[China LogiP(t)]]/$AY$9</f>
        <v>562.39589851297683</v>
      </c>
      <c r="BB73" s="11"/>
      <c r="BC73" s="11"/>
      <c r="BD73" s="11" t="str">
        <f>IF(ISNUMBER(tblData[[#This Row],[NSW Number of Tests]]),tblData[[#This Row],[NSW Number of Tests]]-BB72,"")</f>
        <v/>
      </c>
      <c r="BE73" s="11" t="str">
        <f>IF(ISNUMBER(tblData[[#This Row],[NSW Under Investigation'']]),tblData[[#This Row],[NSW Under Investigation'']]-BC72,"")</f>
        <v/>
      </c>
      <c r="BF73" s="11">
        <f t="shared" si="6"/>
        <v>18</v>
      </c>
      <c r="BG73" s="11">
        <f>IF(ISNUMBER(tblData[[#This Row],[NSW Test Day Number]]),betaTest/(deltaTest+betaPodeltaTest*EXP(-betaTest*tblData[[#This Row],[NSW Test Day Number]])),"")</f>
        <v>76690.720598271175</v>
      </c>
      <c r="BH73" s="11" t="str">
        <f>IF(ISNUMBER(tblData[[#This Row],[NSW Number of Tests]]),(tblData[[#This Row],[NSW Number of Tests]]-tblData[[#This Row],[NSW Test Logi]])^2,"")</f>
        <v/>
      </c>
      <c r="BY73"/>
      <c r="BZ73"/>
      <c r="CJ73" s="26"/>
      <c r="CK73" s="26"/>
    </row>
    <row r="74" spans="2:173" x14ac:dyDescent="0.25">
      <c r="B74" s="1">
        <f t="shared" si="10"/>
        <v>43915</v>
      </c>
      <c r="D74" s="26"/>
      <c r="L74" s="12" t="str">
        <f>IF(ISNUMBER(tblData[[#This Row],[NSW]]),tblData[[#This Row],[New South Wales]]/$L$9,"")</f>
        <v/>
      </c>
      <c r="M74" s="26"/>
      <c r="N74" s="49" t="str">
        <f>IF(ISNUMBER(tblData[Italy]),tblData[Italy]/$N$9,"")</f>
        <v/>
      </c>
      <c r="O74" s="26"/>
      <c r="P74" s="49" t="str">
        <f>IF(ISNUMBER(tblData[US]),tblData[US]/$P$9,"")</f>
        <v/>
      </c>
      <c r="Q74" s="49"/>
      <c r="R74" s="19" t="str">
        <f>IF(ISNUMBER(tblData[SKorea]),tblData[SKorea]/$R$9,"")</f>
        <v/>
      </c>
      <c r="S74" s="49"/>
      <c r="T74" s="12" t="str">
        <f>IF(ISNUMBER(tblData[UK]),tblData[UK]/$T$9,"")</f>
        <v/>
      </c>
      <c r="U74" s="26"/>
      <c r="V74" s="21" t="str">
        <f>IF(ISNUMBER(tblData[China]),tblData[China]/$V$9,"")</f>
        <v/>
      </c>
      <c r="W74" s="26">
        <f>IF(tblData[[#This Row],[Date]]&lt;ItalyStart,"",tblData[[#This Row],[Date]]-ItalyStart)</f>
        <v>55</v>
      </c>
      <c r="X74" s="26">
        <f t="shared" si="7"/>
        <v>45</v>
      </c>
      <c r="Y74" s="26">
        <f t="shared" si="3"/>
        <v>63</v>
      </c>
      <c r="Z74" s="26">
        <f>IF(tblData[[#This Row],[Date]]&lt;StartDt2Korea,"",tblData[[#This Row],[Date]]-StartDt2Korea)</f>
        <v>35</v>
      </c>
      <c r="AA74" s="26">
        <f>IF(tblData[[#This Row],[Date]]&lt;UKStart,"",tblData[[#This Row],[Date]]-UKStart)</f>
        <v>55</v>
      </c>
      <c r="AB74">
        <f>IF(tblData[Date]&gt;=StartDt2Au,tblData[Date]-StartDt2Au,"")</f>
        <v>60</v>
      </c>
      <c r="AC74" s="26" t="str">
        <f>IF(tblData[New South Wales]&gt;0,SUM(tblData[[#This Row],[Australian Capital Territory]:[Western Australia]]),"")</f>
        <v/>
      </c>
      <c r="AD74" s="12" t="str">
        <f>IF(ISNUMBER(tblData[Au]),tblData[Au]/$AA$9,"")</f>
        <v/>
      </c>
      <c r="AE74" s="19">
        <f>IF(ISNUMBER(tblData[[#This Row],[Day'# Aust]]),betaAu/(deltaAu+betaPodeltaAu*EXP(-betaAu*tblData[[#This Row],[Day'# Aust]])),"")</f>
        <v>2438.3830670590628</v>
      </c>
      <c r="AF74" s="72">
        <f>IF(ISNUMBER(tblData[Day'# Aust]),tblData[Au LogiP(t)]/$AD$9,"")</f>
        <v>961.35588513604432</v>
      </c>
      <c r="AG74" s="11" t="str">
        <f>IF(AND(tblData[Date]&gt;=StartDt2Au,ISNUMBER(tblData[NSW])),(tblData[[#This Row],[Au LogiP(t)]]-tblData[[#This Row],[Au]])^2,"")</f>
        <v/>
      </c>
      <c r="AH74">
        <f>IF(tblData[Date]&gt;StartDt2NSW,tblData[Date]-StartDt2NSW,"")</f>
        <v>60</v>
      </c>
      <c r="AI74" t="str">
        <f t="shared" si="9"/>
        <v/>
      </c>
      <c r="AJ74" s="11">
        <f>IF(tblData[Date]&gt;StartDt2NSW,betaNSW/(deltaNSW+betaPodeltaNSW*EXP(-betaNSW*tblData[[#This Row],[Day '# NSW]])),"")</f>
        <v>844.74351659708771</v>
      </c>
      <c r="AK74" s="12" t="str">
        <f>IF(AND(ISNUMBER(tblData[NSW]),tblData[Date]&gt;StartDt2NSW),(tblData[[#This Row],[NSW LogiP(t)]]-tblData[[#This Row],[NSW]])^2,"")</f>
        <v/>
      </c>
      <c r="AL74" s="12">
        <f>IF(AND(tblData[Date]&gt;StartDt2NSW,ISNUMBER(tblData[Day'# Aust])),tblData[NSW LogiP(t)]/$AG$9,"")</f>
        <v>1045.4746492538213</v>
      </c>
      <c r="AM74" s="11">
        <f>IF(AND(tblData[Date]&gt;StartDt2Italy,ISNUMBER(tblData[Days'# Italy])),betaItaly/(deltaItaly+betaPodeltaItaly*EXP(-betaItaly*tblData[Days'# Italy])),"")</f>
        <v>51473.948547111104</v>
      </c>
      <c r="AN74" s="11" t="str">
        <f>IF(AND(tblData[Date]&gt;StartDt2Italy,ISNUMBER(tblData[Italy])),(tblData[[#This Row],[Italy LogiP(t)]]-tblData[[#This Row],[Italy]])^2,"")</f>
        <v/>
      </c>
      <c r="AO74" s="44">
        <f>IF(AND(tblData[Date]&gt;StartDt2Italy,ISNUMBER(tblData[Days'# Italy])),tblData[[#This Row],[Italy LogiP(t)]]/$AM$9,"")</f>
        <v>8515.1279647826468</v>
      </c>
      <c r="AP74" s="21">
        <f>IF(ISNUMBER(tblData[[#This Row],[Days'# US]]),betaUS/(deltaUS+betaPodeltaUS*EXP(-betaUS*tblData[Days'# US])),"")</f>
        <v>106648.79971269514</v>
      </c>
      <c r="AQ74" s="11" t="str">
        <f>IF(ISNUMBER(tblData[US]),(tblData[[#This Row],[US LogiP(t)]]-tblData[US])^2,"")</f>
        <v/>
      </c>
      <c r="AR74" s="21">
        <f>IF(ISNUMBER(tblData[[#This Row],[Days'# US]]),tblData[[#This Row],[US LogiP(t)]]/$AP$9,"")</f>
        <v>3239.3624476806749</v>
      </c>
      <c r="AS74" s="21">
        <f>IF(tblData[Date]&gt;=StartDt2Korea,betaSKorea/(deltaSKorea+betaPodeltaSKorea*EXP(-betaSKorea*(tblData[Date]-StartDt2Korea))),"")</f>
        <v>8315.0610479391216</v>
      </c>
      <c r="AT74" s="21" t="str">
        <f>IF(AND(tblData[Date]&gt;=StartDt2Korea,ISNUMBER(tblData[SKorea])),(tblData[[#This Row],[SKorea LogiP(t)]]-tblData[[#This Row],[SKorea]])^2,"")</f>
        <v/>
      </c>
      <c r="AU74" s="21">
        <f>IF(tblData[Date]&gt;=StartDt2Korea,tblData[[#This Row],[SKorea LogiP(t)]]/$AS$9,"")</f>
        <v>1617.7161571865997</v>
      </c>
      <c r="AV74" s="11">
        <f>IF(ISNUMBER(tblData[Days'# UK]),betaUK/(deltaUK+betaPodeltaUK*EXP(-betaUK*tblData[Days'# UK])),"")</f>
        <v>12263.406289824465</v>
      </c>
      <c r="AW74" s="21" t="str">
        <f>IF(ISNUMBER(tblData[UK]),(tblData[[#This Row],[UK LogiP(t)]]-tblData[[#This Row],[UK]])^2,"")</f>
        <v/>
      </c>
      <c r="AX74" s="21">
        <f>IF(ISNUMBER(tblData[Days'# UK]),tblData[[#This Row],[UK LogiP(t)]]/$AV$9,"")</f>
        <v>1845.7866179747839</v>
      </c>
      <c r="AY74" s="11">
        <f>IF(ISNUMBER(tblData[Days'# China]),betaChina/(deltaChina+betaPodeltaChina*EXP(-betaChina*tblData[Days'# China])),"")</f>
        <v>80947.847841597948</v>
      </c>
      <c r="AZ74" s="11" t="str">
        <f>IF(ISNUMBER(tblData[China]),(tblData[[#This Row],[China LogiP(t)]]-tblData[[#This Row],[China]])^2,"")</f>
        <v/>
      </c>
      <c r="BA74" s="11">
        <f>tblData[[#This Row],[China LogiP(t)]]/$AY$9</f>
        <v>562.40193618255046</v>
      </c>
      <c r="BB74" s="11"/>
      <c r="BC74" s="11"/>
      <c r="BD74" s="11" t="str">
        <f>IF(ISNUMBER(tblData[[#This Row],[NSW Number of Tests]]),tblData[[#This Row],[NSW Number of Tests]]-BB73,"")</f>
        <v/>
      </c>
      <c r="BE74" s="11" t="str">
        <f>IF(ISNUMBER(tblData[[#This Row],[NSW Under Investigation'']]),tblData[[#This Row],[NSW Under Investigation'']]-BC73,"")</f>
        <v/>
      </c>
      <c r="BF74" s="11">
        <f t="shared" si="6"/>
        <v>19</v>
      </c>
      <c r="BG74" s="11">
        <f>IF(ISNUMBER(tblData[[#This Row],[NSW Test Day Number]]),betaTest/(deltaTest+betaPodeltaTest*EXP(-betaTest*tblData[[#This Row],[NSW Test Day Number]])),"")</f>
        <v>86574.414084765027</v>
      </c>
      <c r="BH74" s="11" t="str">
        <f>IF(ISNUMBER(tblData[[#This Row],[NSW Number of Tests]]),(tblData[[#This Row],[NSW Number of Tests]]-tblData[[#This Row],[NSW Test Logi]])^2,"")</f>
        <v/>
      </c>
      <c r="BY74"/>
      <c r="BZ74"/>
      <c r="CJ74" s="26"/>
      <c r="CK74" s="26"/>
    </row>
    <row r="75" spans="2:173" x14ac:dyDescent="0.25">
      <c r="B75" s="1">
        <f t="shared" si="10"/>
        <v>43916</v>
      </c>
      <c r="D75" s="26"/>
      <c r="L75" s="12" t="str">
        <f>IF(ISNUMBER(tblData[[#This Row],[NSW]]),tblData[[#This Row],[New South Wales]]/$L$9,"")</f>
        <v/>
      </c>
      <c r="M75" s="26"/>
      <c r="N75" s="49" t="str">
        <f>IF(ISNUMBER(tblData[Italy]),tblData[Italy]/$N$9,"")</f>
        <v/>
      </c>
      <c r="O75" s="26"/>
      <c r="P75" s="49" t="str">
        <f>IF(ISNUMBER(tblData[US]),tblData[US]/$P$9,"")</f>
        <v/>
      </c>
      <c r="Q75" s="49"/>
      <c r="R75" s="19" t="str">
        <f>IF(ISNUMBER(tblData[SKorea]),tblData[SKorea]/$R$9,"")</f>
        <v/>
      </c>
      <c r="S75" s="49"/>
      <c r="T75" s="12" t="str">
        <f>IF(ISNUMBER(tblData[UK]),tblData[UK]/$T$9,"")</f>
        <v/>
      </c>
      <c r="U75" s="26"/>
      <c r="V75" s="21" t="str">
        <f>IF(ISNUMBER(tblData[China]),tblData[China]/$V$9,"")</f>
        <v/>
      </c>
      <c r="W75" s="26">
        <f>IF(tblData[[#This Row],[Date]]&lt;ItalyStart,"",tblData[[#This Row],[Date]]-ItalyStart)</f>
        <v>56</v>
      </c>
      <c r="X75" s="26">
        <f t="shared" si="7"/>
        <v>46</v>
      </c>
      <c r="Y75" s="26">
        <f t="shared" si="3"/>
        <v>64</v>
      </c>
      <c r="Z75" s="26">
        <f>IF(tblData[[#This Row],[Date]]&lt;StartDt2Korea,"",tblData[[#This Row],[Date]]-StartDt2Korea)</f>
        <v>36</v>
      </c>
      <c r="AA75" s="26">
        <f>IF(tblData[[#This Row],[Date]]&lt;UKStart,"",tblData[[#This Row],[Date]]-UKStart)</f>
        <v>56</v>
      </c>
      <c r="AB75">
        <f>IF(tblData[Date]&gt;=StartDt2Au,tblData[Date]-StartDt2Au,"")</f>
        <v>61</v>
      </c>
      <c r="AC75" s="26" t="str">
        <f>IF(tblData[New South Wales]&gt;0,SUM(tblData[[#This Row],[Australian Capital Territory]:[Western Australia]]),"")</f>
        <v/>
      </c>
      <c r="AD75" s="12" t="str">
        <f>IF(ISNUMBER(tblData[Au]),tblData[Au]/$AA$9,"")</f>
        <v/>
      </c>
      <c r="AE75" s="19">
        <f>IF(ISNUMBER(tblData[[#This Row],[Day'# Aust]]),betaAu/(deltaAu+betaPodeltaAu*EXP(-betaAu*tblData[[#This Row],[Day'# Aust]])),"")</f>
        <v>2997.62931267772</v>
      </c>
      <c r="AF75" s="72">
        <f>IF(ISNUMBER(tblData[Day'# Aust]),tblData[Au LogiP(t)]/$AD$9,"")</f>
        <v>1181.8440753342218</v>
      </c>
      <c r="AG75" s="11" t="str">
        <f>IF(AND(tblData[Date]&gt;=StartDt2Au,ISNUMBER(tblData[NSW])),(tblData[[#This Row],[Au LogiP(t)]]-tblData[[#This Row],[Au]])^2,"")</f>
        <v/>
      </c>
      <c r="AH75">
        <f>IF(tblData[Date]&gt;StartDt2NSW,tblData[Date]-StartDt2NSW,"")</f>
        <v>61</v>
      </c>
      <c r="AI75" t="str">
        <f t="shared" si="9"/>
        <v/>
      </c>
      <c r="AJ75" s="11">
        <f>IF(tblData[Date]&gt;StartDt2NSW,betaNSW/(deltaNSW+betaPodeltaNSW*EXP(-betaNSW*tblData[[#This Row],[Day '# NSW]])),"")</f>
        <v>971.30764324261759</v>
      </c>
      <c r="AK75" s="12" t="str">
        <f>IF(AND(ISNUMBER(tblData[NSW]),tblData[Date]&gt;StartDt2NSW),(tblData[[#This Row],[NSW LogiP(t)]]-tblData[[#This Row],[NSW]])^2,"")</f>
        <v/>
      </c>
      <c r="AL75" s="12">
        <f>IF(AND(tblData[Date]&gt;StartDt2NSW,ISNUMBER(tblData[Day'# Aust])),tblData[NSW LogiP(t)]/$AG$9,"")</f>
        <v>1202.1134198547247</v>
      </c>
      <c r="AM75" s="11">
        <f>IF(AND(tblData[Date]&gt;StartDt2Italy,ISNUMBER(tblData[Days'# Italy])),betaItaly/(deltaItaly+betaPodeltaItaly*EXP(-betaItaly*tblData[Days'# Italy])),"")</f>
        <v>52324.013459571506</v>
      </c>
      <c r="AN75" s="11" t="str">
        <f>IF(AND(tblData[Date]&gt;StartDt2Italy,ISNUMBER(tblData[Italy])),(tblData[[#This Row],[Italy LogiP(t)]]-tblData[[#This Row],[Italy]])^2,"")</f>
        <v/>
      </c>
      <c r="AO75" s="44">
        <f>IF(AND(tblData[Date]&gt;StartDt2Italy,ISNUMBER(tblData[Days'# Italy])),tblData[[#This Row],[Italy LogiP(t)]]/$AM$9,"")</f>
        <v>8655.7507790854434</v>
      </c>
      <c r="AP75" s="21">
        <f>IF(ISNUMBER(tblData[[#This Row],[Days'# US]]),betaUS/(deltaUS+betaPodeltaUS*EXP(-betaUS*tblData[Days'# US])),"")</f>
        <v>150974.19855374246</v>
      </c>
      <c r="AQ75" s="11" t="str">
        <f>IF(ISNUMBER(tblData[US]),(tblData[[#This Row],[US LogiP(t)]]-tblData[US])^2,"")</f>
        <v/>
      </c>
      <c r="AR75" s="21">
        <f>IF(ISNUMBER(tblData[[#This Row],[Days'# US]]),tblData[[#This Row],[US LogiP(t)]]/$AP$9,"")</f>
        <v>4585.7070185616276</v>
      </c>
      <c r="AS75" s="21">
        <f>IF(tblData[Date]&gt;=StartDt2Korea,betaSKorea/(deltaSKorea+betaPodeltaSKorea*EXP(-betaSKorea*(tblData[Date]-StartDt2Korea))),"")</f>
        <v>8316.2697372591083</v>
      </c>
      <c r="AT75" s="21" t="str">
        <f>IF(AND(tblData[Date]&gt;=StartDt2Korea,ISNUMBER(tblData[SKorea])),(tblData[[#This Row],[SKorea LogiP(t)]]-tblData[[#This Row],[SKorea]])^2,"")</f>
        <v/>
      </c>
      <c r="AU75" s="21">
        <f>IF(tblData[Date]&gt;=StartDt2Korea,tblData[[#This Row],[SKorea LogiP(t)]]/$AS$9,"")</f>
        <v>1617.9513107507994</v>
      </c>
      <c r="AV75" s="11">
        <f>IF(ISNUMBER(tblData[Days'# UK]),betaUK/(deltaUK+betaPodeltaUK*EXP(-betaUK*tblData[Days'# UK])),"")</f>
        <v>15443.700378994063</v>
      </c>
      <c r="AW75" s="21" t="str">
        <f>IF(ISNUMBER(tblData[UK]),(tblData[[#This Row],[UK LogiP(t)]]-tblData[[#This Row],[UK]])^2,"")</f>
        <v/>
      </c>
      <c r="AX75" s="21">
        <f>IF(ISNUMBER(tblData[Days'# UK]),tblData[[#This Row],[UK LogiP(t)]]/$AV$9,"")</f>
        <v>2324.458214779359</v>
      </c>
      <c r="AY75" s="11">
        <f>IF(ISNUMBER(tblData[Days'# China]),betaChina/(deltaChina+betaPodeltaChina*EXP(-betaChina*tblData[Days'# China])),"")</f>
        <v>80948.543763907132</v>
      </c>
      <c r="AZ75" s="11" t="str">
        <f>IF(ISNUMBER(tblData[China]),(tblData[[#This Row],[China LogiP(t)]]-tblData[[#This Row],[China]])^2,"")</f>
        <v/>
      </c>
      <c r="BA75" s="11">
        <f>tblData[[#This Row],[China LogiP(t)]]/$AY$9</f>
        <v>562.40677124691047</v>
      </c>
      <c r="BB75" s="11"/>
      <c r="BC75" s="11"/>
      <c r="BD75" s="11" t="str">
        <f>IF(ISNUMBER(tblData[[#This Row],[NSW Number of Tests]]),tblData[[#This Row],[NSW Number of Tests]]-BB74,"")</f>
        <v/>
      </c>
      <c r="BE75" s="11" t="str">
        <f>IF(ISNUMBER(tblData[[#This Row],[NSW Under Investigation'']]),tblData[[#This Row],[NSW Under Investigation'']]-BC74,"")</f>
        <v/>
      </c>
      <c r="BF75" s="11">
        <f t="shared" si="6"/>
        <v>20</v>
      </c>
      <c r="BG75" s="11">
        <f>IF(ISNUMBER(tblData[[#This Row],[NSW Test Day Number]]),betaTest/(deltaTest+betaPodeltaTest*EXP(-betaTest*tblData[[#This Row],[NSW Test Day Number]])),"")</f>
        <v>97155.726134002703</v>
      </c>
      <c r="BH75" s="11" t="str">
        <f>IF(ISNUMBER(tblData[[#This Row],[NSW Number of Tests]]),(tblData[[#This Row],[NSW Number of Tests]]-tblData[[#This Row],[NSW Test Logi]])^2,"")</f>
        <v/>
      </c>
      <c r="BY75"/>
      <c r="BZ75"/>
      <c r="CJ75" s="26"/>
      <c r="CK75" s="26"/>
    </row>
    <row r="76" spans="2:173" x14ac:dyDescent="0.25">
      <c r="B76" s="1">
        <f t="shared" si="10"/>
        <v>43917</v>
      </c>
      <c r="D76" s="26"/>
      <c r="L76" s="12" t="str">
        <f>IF(ISNUMBER(tblData[[#This Row],[NSW]]),tblData[[#This Row],[New South Wales]]/$L$9,"")</f>
        <v/>
      </c>
      <c r="M76" s="26"/>
      <c r="N76" s="49" t="str">
        <f>IF(ISNUMBER(tblData[Italy]),tblData[Italy]/$N$9,"")</f>
        <v/>
      </c>
      <c r="O76" s="26"/>
      <c r="P76" s="49" t="str">
        <f>IF(ISNUMBER(tblData[US]),tblData[US]/$P$9,"")</f>
        <v/>
      </c>
      <c r="Q76" s="49"/>
      <c r="R76" s="19" t="str">
        <f>IF(ISNUMBER(tblData[SKorea]),tblData[SKorea]/$R$9,"")</f>
        <v/>
      </c>
      <c r="S76" s="49"/>
      <c r="T76" s="12" t="str">
        <f>IF(ISNUMBER(tblData[UK]),tblData[UK]/$T$9,"")</f>
        <v/>
      </c>
      <c r="U76" s="26"/>
      <c r="V76" s="21" t="str">
        <f>IF(ISNUMBER(tblData[China]),tblData[China]/$V$9,"")</f>
        <v/>
      </c>
      <c r="W76" s="26">
        <f>IF(tblData[[#This Row],[Date]]&lt;ItalyStart,"",tblData[[#This Row],[Date]]-ItalyStart)</f>
        <v>57</v>
      </c>
      <c r="X76" s="26">
        <f t="shared" si="7"/>
        <v>47</v>
      </c>
      <c r="Y76" s="26">
        <f t="shared" si="3"/>
        <v>65</v>
      </c>
      <c r="Z76" s="26">
        <f>IF(tblData[[#This Row],[Date]]&lt;StartDt2Korea,"",tblData[[#This Row],[Date]]-StartDt2Korea)</f>
        <v>37</v>
      </c>
      <c r="AA76" s="26">
        <f>IF(tblData[[#This Row],[Date]]&lt;UKStart,"",tblData[[#This Row],[Date]]-UKStart)</f>
        <v>57</v>
      </c>
      <c r="AB76">
        <f>IF(tblData[Date]&gt;=StartDt2Au,tblData[Date]-StartDt2Au,"")</f>
        <v>62</v>
      </c>
      <c r="AC76" s="26" t="str">
        <f>IF(tblData[New South Wales]&gt;0,SUM(tblData[[#This Row],[Australian Capital Territory]:[Western Australia]]),"")</f>
        <v/>
      </c>
      <c r="AD76" s="12" t="str">
        <f>IF(ISNUMBER(tblData[Au]),tblData[Au]/$AA$9,"")</f>
        <v/>
      </c>
      <c r="AE76" s="19">
        <f>IF(ISNUMBER(tblData[[#This Row],[Day'# Aust]]),betaAu/(deltaAu+betaPodeltaAu*EXP(-betaAu*tblData[[#This Row],[Day'# Aust]])),"")</f>
        <v>3685.1371041348948</v>
      </c>
      <c r="AF76" s="72">
        <f>IF(ISNUMBER(tblData[Day'# Aust]),tblData[Au LogiP(t)]/$AD$9,"")</f>
        <v>1452.9006087899759</v>
      </c>
      <c r="AG76" s="11" t="str">
        <f>IF(AND(tblData[Date]&gt;=StartDt2Au,ISNUMBER(tblData[NSW])),(tblData[[#This Row],[Au LogiP(t)]]-tblData[[#This Row],[Au]])^2,"")</f>
        <v/>
      </c>
      <c r="AH76">
        <f>IF(tblData[Date]&gt;StartDt2NSW,tblData[Date]-StartDt2NSW,"")</f>
        <v>62</v>
      </c>
      <c r="AI76" t="str">
        <f t="shared" si="9"/>
        <v/>
      </c>
      <c r="AJ76" s="11">
        <f>IF(tblData[Date]&gt;StartDt2NSW,betaNSW/(deltaNSW+betaPodeltaNSW*EXP(-betaNSW*tblData[[#This Row],[Day '# NSW]])),"")</f>
        <v>1105.6817008259102</v>
      </c>
      <c r="AK76" s="12" t="str">
        <f>IF(AND(ISNUMBER(tblData[NSW]),tblData[Date]&gt;StartDt2NSW),(tblData[[#This Row],[NSW LogiP(t)]]-tblData[[#This Row],[NSW]])^2,"")</f>
        <v/>
      </c>
      <c r="AL76" s="12">
        <f>IF(AND(tblData[Date]&gt;StartDt2NSW,ISNUMBER(tblData[Day'# Aust])),tblData[NSW LogiP(t)]/$AG$9,"")</f>
        <v>1368.4179465667205</v>
      </c>
      <c r="AM76" s="11">
        <f>IF(AND(tblData[Date]&gt;StartDt2Italy,ISNUMBER(tblData[Days'# Italy])),betaItaly/(deltaItaly+betaPodeltaItaly*EXP(-betaItaly*tblData[Days'# Italy])),"")</f>
        <v>52998.730489911883</v>
      </c>
      <c r="AN76" s="11" t="str">
        <f>IF(AND(tblData[Date]&gt;StartDt2Italy,ISNUMBER(tblData[Italy])),(tblData[[#This Row],[Italy LogiP(t)]]-tblData[[#This Row],[Italy]])^2,"")</f>
        <v/>
      </c>
      <c r="AO76" s="44">
        <f>IF(AND(tblData[Date]&gt;StartDt2Italy,ISNUMBER(tblData[Days'# Italy])),tblData[[#This Row],[Italy LogiP(t)]]/$AM$9,"")</f>
        <v>8767.3664995718591</v>
      </c>
      <c r="AP76" s="21">
        <f>IF(ISNUMBER(tblData[[#This Row],[Days'# US]]),betaUS/(deltaUS+betaPodeltaUS*EXP(-betaUS*tblData[Days'# US])),"")</f>
        <v>213710.80305058759</v>
      </c>
      <c r="AQ76" s="11" t="str">
        <f>IF(ISNUMBER(tblData[US]),(tblData[[#This Row],[US LogiP(t)]]-tblData[US])^2,"")</f>
        <v/>
      </c>
      <c r="AR76" s="21">
        <f>IF(ISNUMBER(tblData[[#This Row],[Days'# US]]),tblData[[#This Row],[US LogiP(t)]]/$AP$9,"")</f>
        <v>6491.2755880115774</v>
      </c>
      <c r="AS76" s="21">
        <f>IF(tblData[Date]&gt;=StartDt2Korea,betaSKorea/(deltaSKorea+betaPodeltaSKorea*EXP(-betaSKorea*(tblData[Date]-StartDt2Korea))),"")</f>
        <v>8317.1426896931807</v>
      </c>
      <c r="AT76" s="21" t="str">
        <f>IF(AND(tblData[Date]&gt;=StartDt2Korea,ISNUMBER(tblData[SKorea])),(tblData[[#This Row],[SKorea LogiP(t)]]-tblData[[#This Row],[SKorea]])^2,"")</f>
        <v/>
      </c>
      <c r="AU76" s="21">
        <f>IF(tblData[Date]&gt;=StartDt2Korea,tblData[[#This Row],[SKorea LogiP(t)]]/$AS$9,"")</f>
        <v>1618.1211458547045</v>
      </c>
      <c r="AV76" s="11">
        <f>IF(ISNUMBER(tblData[Days'# UK]),betaUK/(deltaUK+betaPodeltaUK*EXP(-betaUK*tblData[Days'# UK])),"")</f>
        <v>19448.67703674324</v>
      </c>
      <c r="AW76" s="21" t="str">
        <f>IF(ISNUMBER(tblData[UK]),(tblData[[#This Row],[UK LogiP(t)]]-tblData[[#This Row],[UK]])^2,"")</f>
        <v/>
      </c>
      <c r="AX76" s="21">
        <f>IF(ISNUMBER(tblData[Days'# UK]),tblData[[#This Row],[UK LogiP(t)]]/$AV$9,"")</f>
        <v>2927.2542198590068</v>
      </c>
      <c r="AY76" s="11">
        <f>IF(ISNUMBER(tblData[Days'# China]),betaChina/(deltaChina+betaPodeltaChina*EXP(-betaChina*tblData[Days'# China])),"")</f>
        <v>80949.10106770719</v>
      </c>
      <c r="AZ76" s="11" t="str">
        <f>IF(ISNUMBER(tblData[China]),(tblData[[#This Row],[China LogiP(t)]]-tblData[[#This Row],[China]])^2,"")</f>
        <v/>
      </c>
      <c r="BA76" s="11">
        <f>tblData[[#This Row],[China LogiP(t)]]/$AY$9</f>
        <v>562.41064323047203</v>
      </c>
      <c r="BB76" s="11"/>
      <c r="BC76" s="11"/>
      <c r="BD76" s="11" t="str">
        <f>IF(ISNUMBER(tblData[[#This Row],[NSW Number of Tests]]),tblData[[#This Row],[NSW Number of Tests]]-BB75,"")</f>
        <v/>
      </c>
      <c r="BE76" s="11" t="str">
        <f>IF(ISNUMBER(tblData[[#This Row],[NSW Under Investigation'']]),tblData[[#This Row],[NSW Under Investigation'']]-BC75,"")</f>
        <v/>
      </c>
      <c r="BF76" s="11">
        <f t="shared" si="6"/>
        <v>21</v>
      </c>
      <c r="BG76" s="11">
        <f>IF(ISNUMBER(tblData[[#This Row],[NSW Test Day Number]]),betaTest/(deltaTest+betaPodeltaTest*EXP(-betaTest*tblData[[#This Row],[NSW Test Day Number]])),"")</f>
        <v>108346.48269569721</v>
      </c>
      <c r="BH76" s="11" t="str">
        <f>IF(ISNUMBER(tblData[[#This Row],[NSW Number of Tests]]),(tblData[[#This Row],[NSW Number of Tests]]-tblData[[#This Row],[NSW Test Logi]])^2,"")</f>
        <v/>
      </c>
      <c r="BY76"/>
      <c r="BZ76"/>
      <c r="CJ76" s="26"/>
      <c r="CK76" s="26"/>
    </row>
    <row r="77" spans="2:173" s="55" customFormat="1" x14ac:dyDescent="0.25">
      <c r="B77" s="54">
        <f t="shared" si="10"/>
        <v>43918</v>
      </c>
      <c r="L77" s="12" t="str">
        <f>IF(ISNUMBER(tblData[[#This Row],[NSW]]),tblData[[#This Row],[New South Wales]]/$L$9,"")</f>
        <v/>
      </c>
      <c r="N77" s="56" t="str">
        <f>IF(ISNUMBER(tblData[Italy]),tblData[Italy]/$N$9,"")</f>
        <v/>
      </c>
      <c r="P77" s="56" t="str">
        <f>IF(ISNUMBER(tblData[US]),tblData[US]/$P$9,"")</f>
        <v/>
      </c>
      <c r="Q77" s="56"/>
      <c r="R77" s="19" t="str">
        <f>IF(ISNUMBER(tblData[SKorea]),tblData[SKorea]/$R$9,"")</f>
        <v/>
      </c>
      <c r="S77" s="56"/>
      <c r="T77" s="12" t="str">
        <f>IF(ISNUMBER(tblData[UK]),tblData[UK]/$T$9,"")</f>
        <v/>
      </c>
      <c r="V77" s="61" t="str">
        <f>IF(ISNUMBER(tblData[China]),tblData[China]/$V$9,"")</f>
        <v/>
      </c>
      <c r="W77" s="26">
        <f>IF(tblData[[#This Row],[Date]]&lt;ItalyStart,"",tblData[[#This Row],[Date]]-ItalyStart)</f>
        <v>58</v>
      </c>
      <c r="X77" s="26">
        <f t="shared" si="7"/>
        <v>48</v>
      </c>
      <c r="Y77" s="55">
        <f t="shared" ref="Y77:Y107" si="11">Y76+1</f>
        <v>66</v>
      </c>
      <c r="Z77" s="55">
        <f>IF(tblData[[#This Row],[Date]]&lt;StartDt2Korea,"",tblData[[#This Row],[Date]]-StartDt2Korea)</f>
        <v>38</v>
      </c>
      <c r="AA77" s="55">
        <f>IF(tblData[[#This Row],[Date]]&lt;UKStart,"",tblData[[#This Row],[Date]]-UKStart)</f>
        <v>58</v>
      </c>
      <c r="AB77" s="55">
        <f>IF(tblData[Date]&gt;=StartDt2Au,tblData[Date]-StartDt2Au,"")</f>
        <v>63</v>
      </c>
      <c r="AC77" s="55" t="str">
        <f>IF(tblData[New South Wales]&gt;0,SUM(tblData[[#This Row],[Australian Capital Territory]:[Western Australia]]),"")</f>
        <v/>
      </c>
      <c r="AD77" s="57" t="str">
        <f>IF(ISNUMBER(tblData[Au]),tblData[Au]/$AA$9,"")</f>
        <v/>
      </c>
      <c r="AE77" s="58">
        <f>IF(ISNUMBER(tblData[[#This Row],[Day'# Aust]]),betaAu/(deltaAu+betaPodeltaAu*EXP(-betaAu*tblData[[#This Row],[Day'# Aust]])),"")</f>
        <v>4530.3216940457305</v>
      </c>
      <c r="AF77" s="72">
        <f>IF(ISNUMBER(tblData[Day'# Aust]),tblData[Au LogiP(t)]/$AD$9,"")</f>
        <v>1786.1227306598844</v>
      </c>
      <c r="AG77" s="59" t="str">
        <f>IF(AND(tblData[Date]&gt;=StartDt2Au,ISNUMBER(tblData[NSW])),(tblData[[#This Row],[Au LogiP(t)]]-tblData[[#This Row],[Au]])^2,"")</f>
        <v/>
      </c>
      <c r="AH77" s="55">
        <f>IF(tblData[Date]&gt;StartDt2NSW,tblData[Date]-StartDt2NSW,"")</f>
        <v>63</v>
      </c>
      <c r="AI77" s="55" t="str">
        <f t="shared" si="9"/>
        <v/>
      </c>
      <c r="AJ77" s="11">
        <f>IF(tblData[Date]&gt;StartDt2NSW,betaNSW/(deltaNSW+betaPodeltaNSW*EXP(-betaNSW*tblData[[#This Row],[Day '# NSW]])),"")</f>
        <v>1245.4412245919254</v>
      </c>
      <c r="AK77" s="12" t="str">
        <f>IF(AND(ISNUMBER(tblData[NSW]),tblData[Date]&gt;StartDt2NSW),(tblData[[#This Row],[NSW LogiP(t)]]-tblData[[#This Row],[NSW]])^2,"")</f>
        <v/>
      </c>
      <c r="AL77" s="57">
        <f>IF(AND(tblData[Date]&gt;StartDt2NSW,ISNUMBER(tblData[Day'# Aust])),tblData[NSW LogiP(t)]/$AG$9,"")</f>
        <v>1541.3876541979275</v>
      </c>
      <c r="AM77" s="59">
        <f>IF(AND(tblData[Date]&gt;StartDt2Italy,ISNUMBER(tblData[Days'# Italy])),betaItaly/(deltaItaly+betaPodeltaItaly*EXP(-betaItaly*tblData[Days'# Italy])),"")</f>
        <v>53530.858884956549</v>
      </c>
      <c r="AN77" s="11" t="str">
        <f>IF(AND(tblData[Date]&gt;StartDt2Italy,ISNUMBER(tblData[Italy])),(tblData[[#This Row],[Italy LogiP(t)]]-tblData[[#This Row],[Italy]])^2,"")</f>
        <v/>
      </c>
      <c r="AO77" s="60">
        <f>IF(AND(tblData[Date]&gt;StartDt2Italy,ISNUMBER(tblData[Days'# Italy])),tblData[[#This Row],[Italy LogiP(t)]]/$AM$9,"")</f>
        <v>8855.3943564857818</v>
      </c>
      <c r="AP77" s="61">
        <f>IF(ISNUMBER(tblData[[#This Row],[Days'# US]]),betaUS/(deltaUS+betaPodeltaUS*EXP(-betaUS*tblData[Days'# US])),"")</f>
        <v>302494.61217138683</v>
      </c>
      <c r="AQ77" s="11" t="str">
        <f>IF(ISNUMBER(tblData[US]),(tblData[[#This Row],[US LogiP(t)]]-tblData[US])^2,"")</f>
        <v/>
      </c>
      <c r="AR77" s="61">
        <f>IF(ISNUMBER(tblData[[#This Row],[Days'# US]]),tblData[[#This Row],[US LogiP(t)]]/$AP$9,"")</f>
        <v>9188.0048339360455</v>
      </c>
      <c r="AS77" s="61">
        <f>IF(tblData[Date]&gt;=StartDt2Korea,betaSKorea/(deltaSKorea+betaPodeltaSKorea*EXP(-betaSKorea*(tblData[Date]-StartDt2Korea))),"")</f>
        <v>8317.7731188177695</v>
      </c>
      <c r="AT77" s="61" t="str">
        <f>IF(AND(tblData[Date]&gt;=StartDt2Korea,ISNUMBER(tblData[SKorea])),(tblData[[#This Row],[SKorea LogiP(t)]]-tblData[[#This Row],[SKorea]])^2,"")</f>
        <v/>
      </c>
      <c r="AU77" s="61">
        <f>IF(tblData[Date]&gt;=StartDt2Korea,tblData[[#This Row],[SKorea LogiP(t)]]/$AS$9,"")</f>
        <v>1618.2437974353638</v>
      </c>
      <c r="AV77" s="11">
        <f>IF(ISNUMBER(tblData[Days'# UK]),betaUK/(deltaUK+betaPodeltaUK*EXP(-betaUK*tblData[Days'# UK])),"")</f>
        <v>24492.144074832446</v>
      </c>
      <c r="AW77" s="61" t="str">
        <f>IF(ISNUMBER(tblData[UK]),(tblData[[#This Row],[UK LogiP(t)]]-tblData[[#This Row],[UK]])^2,"")</f>
        <v/>
      </c>
      <c r="AX77" s="61">
        <f>IF(ISNUMBER(tblData[Days'# UK]),tblData[[#This Row],[UK LogiP(t)]]/$AV$9,"")</f>
        <v>3686.3552189693628</v>
      </c>
      <c r="AY77" s="59">
        <f>IF(ISNUMBER(tblData[Days'# China]),betaChina/(deltaChina+betaPodeltaChina*EXP(-betaChina*tblData[Days'# China])),"")</f>
        <v>80949.547362593323</v>
      </c>
      <c r="AZ77" s="59" t="str">
        <f>IF(ISNUMBER(tblData[China]),(tblData[[#This Row],[China LogiP(t)]]-tblData[[#This Row],[China]])^2,"")</f>
        <v/>
      </c>
      <c r="BA77" s="59">
        <f>tblData[[#This Row],[China LogiP(t)]]/$AY$9</f>
        <v>562.41374395661569</v>
      </c>
      <c r="BB77" s="59"/>
      <c r="BC77" s="59"/>
      <c r="BD77" s="59" t="str">
        <f>IF(ISNUMBER(tblData[[#This Row],[NSW Number of Tests]]),tblData[[#This Row],[NSW Number of Tests]]-BB76,"")</f>
        <v/>
      </c>
      <c r="BE77" s="59" t="str">
        <f>IF(ISNUMBER(tblData[[#This Row],[NSW Under Investigation'']]),tblData[[#This Row],[NSW Under Investigation'']]-BC76,"")</f>
        <v/>
      </c>
      <c r="BF77" s="11">
        <f t="shared" si="6"/>
        <v>22</v>
      </c>
      <c r="BG77" s="11">
        <f>IF(ISNUMBER(tblData[[#This Row],[NSW Test Day Number]]),betaTest/(deltaTest+betaPodeltaTest*EXP(-betaTest*tblData[[#This Row],[NSW Test Day Number]])),"")</f>
        <v>120030.05711722217</v>
      </c>
      <c r="BH77" s="59" t="str">
        <f>IF(ISNUMBER(tblData[[#This Row],[NSW Number of Tests]]),(tblData[[#This Row],[NSW Number of Tests]]-tblData[[#This Row],[NSW Test Logi]])^2,"")</f>
        <v/>
      </c>
      <c r="BK77"/>
      <c r="BL77" s="26"/>
      <c r="BM77"/>
      <c r="BN77" s="26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 s="26"/>
      <c r="CK77" s="26"/>
      <c r="CL77"/>
      <c r="CM77"/>
      <c r="CN77"/>
      <c r="CO77"/>
      <c r="CP77"/>
      <c r="CQ77"/>
      <c r="CR77"/>
      <c r="CS77"/>
      <c r="CT77"/>
      <c r="CU77"/>
      <c r="CV77"/>
      <c r="DE77"/>
      <c r="DF77" s="82"/>
      <c r="DG77" s="27"/>
      <c r="DH77" s="27"/>
      <c r="DI77"/>
      <c r="DJ77"/>
      <c r="DK77"/>
      <c r="DL77"/>
      <c r="DM77"/>
      <c r="DN77"/>
      <c r="DO77"/>
      <c r="DP77"/>
      <c r="DQ77"/>
      <c r="DR77" s="27"/>
      <c r="DS77"/>
      <c r="DT77"/>
      <c r="DU77"/>
      <c r="DV77" s="2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</row>
    <row r="78" spans="2:173" x14ac:dyDescent="0.25">
      <c r="B78" s="1">
        <f t="shared" si="10"/>
        <v>43919</v>
      </c>
      <c r="D78" s="26"/>
      <c r="L78" s="12" t="str">
        <f>IF(ISNUMBER(tblData[[#This Row],[NSW]]),tblData[[#This Row],[New South Wales]]/$L$9,"")</f>
        <v/>
      </c>
      <c r="M78" s="26"/>
      <c r="N78" s="49" t="str">
        <f>IF(ISNUMBER(tblData[Italy]),tblData[Italy]/$N$9,"")</f>
        <v/>
      </c>
      <c r="O78" s="26"/>
      <c r="P78" s="49" t="str">
        <f>IF(ISNUMBER(tblData[US]),tblData[US]/$P$9,"")</f>
        <v/>
      </c>
      <c r="Q78" s="49"/>
      <c r="R78" s="19" t="str">
        <f>IF(ISNUMBER(tblData[SKorea]),tblData[SKorea]/$R$9,"")</f>
        <v/>
      </c>
      <c r="S78" s="49"/>
      <c r="T78" s="12" t="str">
        <f>IF(ISNUMBER(tblData[UK]),tblData[UK]/$T$9,"")</f>
        <v/>
      </c>
      <c r="U78" s="26"/>
      <c r="V78" s="21" t="str">
        <f>IF(ISNUMBER(tblData[China]),tblData[China]/$V$9,"")</f>
        <v/>
      </c>
      <c r="W78" s="26">
        <f>IF(tblData[[#This Row],[Date]]&lt;ItalyStart,"",tblData[[#This Row],[Date]]-ItalyStart)</f>
        <v>59</v>
      </c>
      <c r="X78" s="26">
        <f t="shared" si="7"/>
        <v>49</v>
      </c>
      <c r="Y78" s="26">
        <f t="shared" si="11"/>
        <v>67</v>
      </c>
      <c r="Z78" s="26">
        <f>IF(tblData[[#This Row],[Date]]&lt;StartDt2Korea,"",tblData[[#This Row],[Date]]-StartDt2Korea)</f>
        <v>39</v>
      </c>
      <c r="AA78" s="26">
        <f>IF(tblData[[#This Row],[Date]]&lt;UKStart,"",tblData[[#This Row],[Date]]-UKStart)</f>
        <v>59</v>
      </c>
      <c r="AB78">
        <f>IF(tblData[Date]&gt;=StartDt2Au,tblData[Date]-StartDt2Au,"")</f>
        <v>64</v>
      </c>
      <c r="AC78" s="26" t="str">
        <f>IF(tblData[New South Wales]&gt;0,SUM(tblData[[#This Row],[Australian Capital Territory]:[Western Australia]]),"")</f>
        <v/>
      </c>
      <c r="AD78" s="12" t="str">
        <f>IF(ISNUMBER(tblData[Au]),tblData[Au]/$AA$9,"")</f>
        <v/>
      </c>
      <c r="AE78" s="19">
        <f>IF(ISNUMBER(tblData[[#This Row],[Day'# Aust]]),betaAu/(deltaAu+betaPodeltaAu*EXP(-betaAu*tblData[[#This Row],[Day'# Aust]])),"")</f>
        <v>5569.3437732259736</v>
      </c>
      <c r="AF78" s="72">
        <f>IF(ISNUMBER(tblData[Day'# Aust]),tblData[Au LogiP(t)]/$AD$9,"")</f>
        <v>2195.7671397358358</v>
      </c>
      <c r="AG78" s="11" t="str">
        <f>IF(AND(tblData[Date]&gt;=StartDt2Au,ISNUMBER(tblData[NSW])),(tblData[[#This Row],[Au LogiP(t)]]-tblData[[#This Row],[Au]])^2,"")</f>
        <v/>
      </c>
      <c r="AH78">
        <f>IF(tblData[Date]&gt;StartDt2NSW,tblData[Date]-StartDt2NSW,"")</f>
        <v>64</v>
      </c>
      <c r="AI78" t="str">
        <f t="shared" si="9"/>
        <v/>
      </c>
      <c r="AJ78" s="11">
        <f>IF(tblData[Date]&gt;StartDt2NSW,betaNSW/(deltaNSW+betaPodeltaNSW*EXP(-betaNSW*tblData[[#This Row],[Day '# NSW]])),"")</f>
        <v>1387.7245881911435</v>
      </c>
      <c r="AK78" s="12" t="str">
        <f>IF(AND(ISNUMBER(tblData[NSW]),tblData[Date]&gt;StartDt2NSW),(tblData[[#This Row],[NSW LogiP(t)]]-tblData[[#This Row],[NSW]])^2,"")</f>
        <v/>
      </c>
      <c r="AL78" s="12">
        <f>IF(AND(tblData[Date]&gt;StartDt2NSW,ISNUMBER(tblData[Day'# Aust])),tblData[NSW LogiP(t)]/$AG$9,"")</f>
        <v>1717.480925979138</v>
      </c>
      <c r="AM78" s="11">
        <f>IF(AND(tblData[Date]&gt;StartDt2Italy,ISNUMBER(tblData[Days'# Italy])),betaItaly/(deltaItaly+betaPodeltaItaly*EXP(-betaItaly*tblData[Days'# Italy])),"")</f>
        <v>53948.421208807427</v>
      </c>
      <c r="AN78" s="11" t="str">
        <f>IF(AND(tblData[Date]&gt;StartDt2Italy,ISNUMBER(tblData[Italy])),(tblData[[#This Row],[Italy LogiP(t)]]-tblData[[#This Row],[Italy]])^2,"")</f>
        <v/>
      </c>
      <c r="AO78" s="44">
        <f>IF(AND(tblData[Date]&gt;StartDt2Italy,ISNUMBER(tblData[Days'# Italy])),tblData[[#This Row],[Italy LogiP(t)]]/$AM$9,"")</f>
        <v>8924.4700097282766</v>
      </c>
      <c r="AP78" s="21">
        <f>IF(ISNUMBER(tblData[[#This Row],[Days'# US]]),betaUS/(deltaUS+betaPodeltaUS*EXP(-betaUS*tblData[Days'# US])),"")</f>
        <v>428117.23747618735</v>
      </c>
      <c r="AQ78" s="11" t="str">
        <f>IF(ISNUMBER(tblData[US]),(tblData[[#This Row],[US LogiP(t)]]-tblData[US])^2,"")</f>
        <v/>
      </c>
      <c r="AR78" s="21">
        <f>IF(ISNUMBER(tblData[[#This Row],[Days'# US]]),tblData[[#This Row],[US LogiP(t)]]/$AP$9,"")</f>
        <v>13003.680360408853</v>
      </c>
      <c r="AS78" s="21">
        <f>IF(tblData[Date]&gt;=StartDt2Korea,betaSKorea/(deltaSKorea+betaPodeltaSKorea*EXP(-betaSKorea*(tblData[Date]-StartDt2Korea))),"")</f>
        <v>8318.2283794963259</v>
      </c>
      <c r="AT78" s="21" t="str">
        <f>IF(AND(tblData[Date]&gt;=StartDt2Korea,ISNUMBER(tblData[SKorea])),(tblData[[#This Row],[SKorea LogiP(t)]]-tblData[[#This Row],[SKorea]])^2,"")</f>
        <v/>
      </c>
      <c r="AU78" s="21">
        <f>IF(tblData[Date]&gt;=StartDt2Korea,tblData[[#This Row],[SKorea LogiP(t)]]/$AS$9,"")</f>
        <v>1618.3323695518145</v>
      </c>
      <c r="AV78" s="11">
        <f>IF(ISNUMBER(tblData[Days'# UK]),betaUK/(deltaUK+betaPodeltaUK*EXP(-betaUK*tblData[Days'# UK])),"")</f>
        <v>30843.317398371841</v>
      </c>
      <c r="AW78" s="21" t="str">
        <f>IF(ISNUMBER(tblData[UK]),(tblData[[#This Row],[UK LogiP(t)]]-tblData[[#This Row],[UK]])^2,"")</f>
        <v/>
      </c>
      <c r="AX78" s="21">
        <f>IF(ISNUMBER(tblData[Days'# UK]),tblData[[#This Row],[UK LogiP(t)]]/$AV$9,"")</f>
        <v>4642.2813664015412</v>
      </c>
      <c r="AY78" s="11">
        <f>IF(ISNUMBER(tblData[Days'# China]),betaChina/(deltaChina+betaPodeltaChina*EXP(-betaChina*tblData[Days'# China])),"")</f>
        <v>80949.90475946285</v>
      </c>
      <c r="AZ78" s="11" t="str">
        <f>IF(ISNUMBER(tblData[China]),(tblData[[#This Row],[China LogiP(t)]]-tblData[[#This Row],[China]])^2,"")</f>
        <v/>
      </c>
      <c r="BA78" s="11">
        <f>tblData[[#This Row],[China LogiP(t)]]/$AY$9</f>
        <v>562.41622704537917</v>
      </c>
      <c r="BB78" s="11"/>
      <c r="BC78" s="11"/>
      <c r="BD78" s="11" t="str">
        <f>IF(ISNUMBER(tblData[[#This Row],[NSW Number of Tests]]),tblData[[#This Row],[NSW Number of Tests]]-BB77,"")</f>
        <v/>
      </c>
      <c r="BE78" s="11" t="str">
        <f>IF(ISNUMBER(tblData[[#This Row],[NSW Under Investigation'']]),tblData[[#This Row],[NSW Under Investigation'']]-BC77,"")</f>
        <v/>
      </c>
      <c r="BF78" s="11">
        <f t="shared" si="6"/>
        <v>23</v>
      </c>
      <c r="BG78" s="11">
        <f>IF(ISNUMBER(tblData[[#This Row],[NSW Test Day Number]]),betaTest/(deltaTest+betaPodeltaTest*EXP(-betaTest*tblData[[#This Row],[NSW Test Day Number]])),"")</f>
        <v>132064.97818109719</v>
      </c>
      <c r="BH78" s="11" t="str">
        <f>IF(ISNUMBER(tblData[[#This Row],[NSW Number of Tests]]),(tblData[[#This Row],[NSW Number of Tests]]-tblData[[#This Row],[NSW Test Logi]])^2,"")</f>
        <v/>
      </c>
      <c r="BY78"/>
      <c r="BZ78"/>
      <c r="CJ78" s="26"/>
      <c r="CK78" s="26"/>
    </row>
    <row r="79" spans="2:173" x14ac:dyDescent="0.25">
      <c r="B79" s="1">
        <f t="shared" si="10"/>
        <v>43920</v>
      </c>
      <c r="D79" s="26"/>
      <c r="L79" s="12" t="str">
        <f>IF(ISNUMBER(tblData[[#This Row],[NSW]]),tblData[[#This Row],[New South Wales]]/$L$9,"")</f>
        <v/>
      </c>
      <c r="M79" s="26"/>
      <c r="N79" s="49" t="str">
        <f>IF(ISNUMBER(tblData[Italy]),tblData[Italy]/$N$9,"")</f>
        <v/>
      </c>
      <c r="O79" s="26"/>
      <c r="P79" s="49" t="str">
        <f>IF(ISNUMBER(tblData[US]),tblData[US]/$P$9,"")</f>
        <v/>
      </c>
      <c r="Q79" s="49"/>
      <c r="R79" s="19" t="str">
        <f>IF(ISNUMBER(tblData[SKorea]),tblData[SKorea]/$R$9,"")</f>
        <v/>
      </c>
      <c r="S79" s="49"/>
      <c r="T79" s="12" t="str">
        <f>IF(ISNUMBER(tblData[UK]),tblData[UK]/$T$9,"")</f>
        <v/>
      </c>
      <c r="U79" s="26"/>
      <c r="V79" s="21" t="str">
        <f>IF(ISNUMBER(tblData[China]),tblData[China]/$V$9,"")</f>
        <v/>
      </c>
      <c r="W79" s="26">
        <f>IF(tblData[[#This Row],[Date]]&lt;ItalyStart,"",tblData[[#This Row],[Date]]-ItalyStart)</f>
        <v>60</v>
      </c>
      <c r="X79" s="26">
        <f t="shared" si="7"/>
        <v>50</v>
      </c>
      <c r="Y79" s="26">
        <f t="shared" si="11"/>
        <v>68</v>
      </c>
      <c r="Z79" s="26">
        <f>IF(tblData[[#This Row],[Date]]&lt;StartDt2Korea,"",tblData[[#This Row],[Date]]-StartDt2Korea)</f>
        <v>40</v>
      </c>
      <c r="AA79" s="26">
        <f>IF(tblData[[#This Row],[Date]]&lt;UKStart,"",tblData[[#This Row],[Date]]-UKStart)</f>
        <v>60</v>
      </c>
      <c r="AB79">
        <f>IF(tblData[Date]&gt;=StartDt2Au,tblData[Date]-StartDt2Au,"")</f>
        <v>65</v>
      </c>
      <c r="AC79" s="26" t="str">
        <f>IF(tblData[New South Wales]&gt;0,SUM(tblData[[#This Row],[Australian Capital Territory]:[Western Australia]]),"")</f>
        <v/>
      </c>
      <c r="AD79" s="12" t="str">
        <f>IF(ISNUMBER(tblData[Au]),tblData[Au]/$AA$9,"")</f>
        <v/>
      </c>
      <c r="AE79" s="19">
        <f>IF(ISNUMBER(tblData[[#This Row],[Day'# Aust]]),betaAu/(deltaAu+betaPodeltaAu*EXP(-betaAu*tblData[[#This Row],[Day'# Aust]])),"")</f>
        <v>6846.6560131223268</v>
      </c>
      <c r="AF79" s="72">
        <f>IF(ISNUMBER(tblData[Day'# Aust]),tblData[Au LogiP(t)]/$AD$9,"")</f>
        <v>2699.3597276148585</v>
      </c>
      <c r="AG79" s="11" t="str">
        <f>IF(AND(tblData[Date]&gt;=StartDt2Au,ISNUMBER(tblData[NSW])),(tblData[[#This Row],[Au LogiP(t)]]-tblData[[#This Row],[Au]])^2,"")</f>
        <v/>
      </c>
      <c r="AH79">
        <f>IF(tblData[Date]&gt;StartDt2NSW,tblData[Date]-StartDt2NSW,"")</f>
        <v>65</v>
      </c>
      <c r="AI79" t="str">
        <f t="shared" si="9"/>
        <v/>
      </c>
      <c r="AJ79" s="11">
        <f>IF(tblData[Date]&gt;StartDt2NSW,betaNSW/(deltaNSW+betaPodeltaNSW*EXP(-betaNSW*tblData[[#This Row],[Day '# NSW]])),"")</f>
        <v>1529.4564714665146</v>
      </c>
      <c r="AK79" s="12" t="str">
        <f>IF(AND(ISNUMBER(tblData[NSW]),tblData[Date]&gt;StartDt2NSW),(tblData[[#This Row],[NSW LogiP(t)]]-tblData[[#This Row],[NSW]])^2,"")</f>
        <v/>
      </c>
      <c r="AL79" s="12">
        <f>IF(AND(tblData[Date]&gt;StartDt2NSW,ISNUMBER(tblData[Day'# Aust])),tblData[NSW LogiP(t)]/$AG$9,"")</f>
        <v>1892.8916726070725</v>
      </c>
      <c r="AM79" s="11">
        <f>IF(AND(tblData[Date]&gt;StartDt2Italy,ISNUMBER(tblData[Days'# Italy])),betaItaly/(deltaItaly+betaPodeltaItaly*EXP(-betaItaly*tblData[Days'# Italy])),"")</f>
        <v>54274.788655892196</v>
      </c>
      <c r="AN79" s="11" t="str">
        <f>IF(AND(tblData[Date]&gt;StartDt2Italy,ISNUMBER(tblData[Italy])),(tblData[[#This Row],[Italy LogiP(t)]]-tblData[[#This Row],[Italy]])^2,"")</f>
        <v/>
      </c>
      <c r="AO79" s="44">
        <f>IF(AND(tblData[Date]&gt;StartDt2Italy,ISNUMBER(tblData[Days'# Italy])),tblData[[#This Row],[Italy LogiP(t)]]/$AM$9,"")</f>
        <v>8978.4596618514806</v>
      </c>
      <c r="AP79" s="21">
        <f>IF(ISNUMBER(tblData[[#This Row],[Days'# US]]),betaUS/(deltaUS+betaPodeltaUS*EXP(-betaUS*tblData[Days'# US])),"")</f>
        <v>605818.55370782095</v>
      </c>
      <c r="AQ79" s="11" t="str">
        <f>IF(ISNUMBER(tblData[US]),(tblData[[#This Row],[US LogiP(t)]]-tblData[US])^2,"")</f>
        <v/>
      </c>
      <c r="AR79" s="21">
        <f>IF(ISNUMBER(tblData[[#This Row],[Days'# US]]),tblData[[#This Row],[US LogiP(t)]]/$AP$9,"")</f>
        <v>18401.199809806461</v>
      </c>
      <c r="AS79" s="21">
        <f>IF(tblData[Date]&gt;=StartDt2Korea,betaSKorea/(deltaSKorea+betaPodeltaSKorea*EXP(-betaSKorea*(tblData[Date]-StartDt2Korea))),"")</f>
        <v>8318.5571313878427</v>
      </c>
      <c r="AT79" s="21" t="str">
        <f>IF(AND(tblData[Date]&gt;=StartDt2Korea,ISNUMBER(tblData[SKorea])),(tblData[[#This Row],[SKorea LogiP(t)]]-tblData[[#This Row],[SKorea]])^2,"")</f>
        <v/>
      </c>
      <c r="AU79" s="21">
        <f>IF(tblData[Date]&gt;=StartDt2Korea,tblData[[#This Row],[SKorea LogiP(t)]]/$AS$9,"")</f>
        <v>1618.3963290637828</v>
      </c>
      <c r="AV79" s="11">
        <f>IF(ISNUMBER(tblData[Days'# UK]),betaUK/(deltaUK+betaPodeltaUK*EXP(-betaUK*tblData[Days'# UK])),"")</f>
        <v>38841.165972572817</v>
      </c>
      <c r="AW79" s="21" t="str">
        <f>IF(ISNUMBER(tblData[UK]),(tblData[[#This Row],[UK LogiP(t)]]-tblData[[#This Row],[UK]])^2,"")</f>
        <v/>
      </c>
      <c r="AX79" s="21">
        <f>IF(ISNUMBER(tblData[Days'# UK]),tblData[[#This Row],[UK LogiP(t)]]/$AV$9,"")</f>
        <v>5846.0514708869378</v>
      </c>
      <c r="AY79" s="11">
        <f>IF(ISNUMBER(tblData[Days'# China]),betaChina/(deltaChina+betaPodeltaChina*EXP(-betaChina*tblData[Days'# China])),"")</f>
        <v>80950.190965452857</v>
      </c>
      <c r="AZ79" s="11" t="str">
        <f>IF(ISNUMBER(tblData[China]),(tblData[[#This Row],[China LogiP(t)]]-tblData[[#This Row],[China]])^2,"")</f>
        <v/>
      </c>
      <c r="BA79" s="11">
        <f>tblData[[#This Row],[China LogiP(t)]]/$AY$9</f>
        <v>562.41821552076453</v>
      </c>
      <c r="BB79" s="11"/>
      <c r="BC79" s="11"/>
      <c r="BD79" s="11" t="str">
        <f>IF(ISNUMBER(tblData[[#This Row],[NSW Number of Tests]]),tblData[[#This Row],[NSW Number of Tests]]-BB78,"")</f>
        <v/>
      </c>
      <c r="BE79" s="11" t="str">
        <f>IF(ISNUMBER(tblData[[#This Row],[NSW Under Investigation'']]),tblData[[#This Row],[NSW Under Investigation'']]-BC78,"")</f>
        <v/>
      </c>
      <c r="BF79" s="11">
        <f t="shared" si="6"/>
        <v>24</v>
      </c>
      <c r="BG79" s="11">
        <f>IF(ISNUMBER(tblData[[#This Row],[NSW Test Day Number]]),betaTest/(deltaTest+betaPodeltaTest*EXP(-betaTest*tblData[[#This Row],[NSW Test Day Number]])),"")</f>
        <v>144291.06090658344</v>
      </c>
      <c r="BH79" s="11" t="str">
        <f>IF(ISNUMBER(tblData[[#This Row],[NSW Number of Tests]]),(tblData[[#This Row],[NSW Number of Tests]]-tblData[[#This Row],[NSW Test Logi]])^2,"")</f>
        <v/>
      </c>
      <c r="BK79" s="55"/>
      <c r="BL79" s="55"/>
      <c r="BM79" s="55"/>
      <c r="BN79" s="55"/>
      <c r="BO79" s="55"/>
      <c r="BP79" s="55"/>
      <c r="BQ79" s="55"/>
      <c r="BR79" s="55"/>
      <c r="BS79" s="55"/>
      <c r="BT79" s="55"/>
      <c r="BU79" s="55"/>
      <c r="BV79" s="55"/>
      <c r="BW79" s="55"/>
      <c r="BX79" s="5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55"/>
      <c r="CO79" s="55"/>
      <c r="CP79" s="55"/>
      <c r="CQ79" s="55"/>
      <c r="CR79" s="55"/>
      <c r="CS79" s="55"/>
      <c r="CT79" s="55"/>
      <c r="CU79" s="55"/>
      <c r="CV79" s="55"/>
    </row>
    <row r="80" spans="2:173" x14ac:dyDescent="0.25">
      <c r="B80" s="1">
        <f t="shared" si="10"/>
        <v>43921</v>
      </c>
      <c r="D80" s="26"/>
      <c r="L80" s="12" t="str">
        <f>IF(ISNUMBER(tblData[[#This Row],[NSW]]),tblData[[#This Row],[New South Wales]]/$L$9,"")</f>
        <v/>
      </c>
      <c r="M80" s="26"/>
      <c r="N80" s="49" t="str">
        <f>IF(ISNUMBER(tblData[Italy]),tblData[Italy]/$N$9,"")</f>
        <v/>
      </c>
      <c r="O80" s="26"/>
      <c r="P80" s="49" t="str">
        <f>IF(ISNUMBER(tblData[US]),tblData[US]/$P$9,"")</f>
        <v/>
      </c>
      <c r="Q80" s="49"/>
      <c r="R80" s="19" t="str">
        <f>IF(ISNUMBER(tblData[SKorea]),tblData[SKorea]/$R$9,"")</f>
        <v/>
      </c>
      <c r="S80" s="49"/>
      <c r="T80" s="12" t="str">
        <f>IF(ISNUMBER(tblData[UK]),tblData[UK]/$T$9,"")</f>
        <v/>
      </c>
      <c r="U80" s="26"/>
      <c r="V80" s="21" t="str">
        <f>IF(ISNUMBER(tblData[China]),tblData[China]/$V$9,"")</f>
        <v/>
      </c>
      <c r="W80" s="26">
        <f>IF(tblData[[#This Row],[Date]]&lt;ItalyStart,"",tblData[[#This Row],[Date]]-ItalyStart)</f>
        <v>61</v>
      </c>
      <c r="X80" s="26">
        <f t="shared" si="7"/>
        <v>51</v>
      </c>
      <c r="Y80" s="26">
        <f t="shared" si="11"/>
        <v>69</v>
      </c>
      <c r="Z80" s="26">
        <f>IF(tblData[[#This Row],[Date]]&lt;StartDt2Korea,"",tblData[[#This Row],[Date]]-StartDt2Korea)</f>
        <v>41</v>
      </c>
      <c r="AA80" s="26">
        <f>IF(tblData[[#This Row],[Date]]&lt;UKStart,"",tblData[[#This Row],[Date]]-UKStart)</f>
        <v>61</v>
      </c>
      <c r="AB80">
        <f>IF(tblData[Date]&gt;=StartDt2Au,tblData[Date]-StartDt2Au,"")</f>
        <v>66</v>
      </c>
      <c r="AC80" s="26" t="str">
        <f>IF(tblData[New South Wales]&gt;0,SUM(tblData[[#This Row],[Australian Capital Territory]:[Western Australia]]),"")</f>
        <v/>
      </c>
      <c r="AD80" s="12" t="str">
        <f>IF(ISNUMBER(tblData[Au]),tblData[Au]/$AA$9,"")</f>
        <v/>
      </c>
      <c r="AE80" s="19">
        <f>IF(ISNUMBER(tblData[[#This Row],[Day'# Aust]]),betaAu/(deltaAu+betaPodeltaAu*EXP(-betaAu*tblData[[#This Row],[Day'# Aust]])),"")</f>
        <v>8416.9040312082616</v>
      </c>
      <c r="AF80" s="72">
        <f>IF(ISNUMBER(tblData[Day'# Aust]),tblData[Au LogiP(t)]/$AD$9,"")</f>
        <v>3318.4450525186335</v>
      </c>
      <c r="AG80" s="11" t="str">
        <f>IF(AND(tblData[Date]&gt;=StartDt2Au,ISNUMBER(tblData[NSW])),(tblData[[#This Row],[Au LogiP(t)]]-tblData[[#This Row],[Au]])^2,"")</f>
        <v/>
      </c>
      <c r="AH80">
        <f>IF(tblData[Date]&gt;StartDt2NSW,tblData[Date]-StartDt2NSW,"")</f>
        <v>66</v>
      </c>
      <c r="AI80" t="str">
        <f t="shared" si="9"/>
        <v/>
      </c>
      <c r="AJ80" s="11">
        <f>IF(tblData[Date]&gt;StartDt2NSW,betaNSW/(deltaNSW+betaPodeltaNSW*EXP(-betaNSW*tblData[[#This Row],[Day '# NSW]])),"")</f>
        <v>1667.608728381223</v>
      </c>
      <c r="AK80" s="12" t="str">
        <f>IF(AND(ISNUMBER(tblData[NSW]),tblData[Date]&gt;StartDt2NSW),(tblData[[#This Row],[NSW LogiP(t)]]-tblData[[#This Row],[NSW]])^2,"")</f>
        <v/>
      </c>
      <c r="AL80" s="12">
        <f>IF(AND(tblData[Date]&gt;StartDt2NSW,ISNUMBER(tblData[Day'# Aust])),tblData[NSW LogiP(t)]/$AG$9,"")</f>
        <v>2063.8721885906225</v>
      </c>
      <c r="AM80" s="11">
        <f>IF(AND(tblData[Date]&gt;StartDt2Italy,ISNUMBER(tblData[Days'# Italy])),betaItaly/(deltaItaly+betaPodeltaItaly*EXP(-betaItaly*tblData[Days'# Italy])),"")</f>
        <v>54529.08958122175</v>
      </c>
      <c r="AN80" s="11" t="str">
        <f>IF(AND(tblData[Date]&gt;StartDt2Italy,ISNUMBER(tblData[Italy])),(tblData[[#This Row],[Italy LogiP(t)]]-tblData[[#This Row],[Italy]])^2,"")</f>
        <v/>
      </c>
      <c r="AO80" s="44">
        <f>IF(AND(tblData[Date]&gt;StartDt2Italy,ISNUMBER(tblData[Days'# Italy])),tblData[[#This Row],[Italy LogiP(t)]]/$AM$9,"")</f>
        <v>9020.5276395734909</v>
      </c>
      <c r="AP80" s="21">
        <f>IF(ISNUMBER(tblData[[#This Row],[Days'# US]]),betaUS/(deltaUS+betaPodeltaUS*EXP(-betaUS*tblData[Days'# US])),"")</f>
        <v>857097.42604827695</v>
      </c>
      <c r="AQ80" s="11" t="str">
        <f>IF(ISNUMBER(tblData[US]),(tblData[[#This Row],[US LogiP(t)]]-tblData[US])^2,"")</f>
        <v/>
      </c>
      <c r="AR80" s="21">
        <f>IF(ISNUMBER(tblData[[#This Row],[Days'# US]]),tblData[[#This Row],[US LogiP(t)]]/$AP$9,"")</f>
        <v>26033.57209292673</v>
      </c>
      <c r="AS80" s="21">
        <f>IF(tblData[Date]&gt;=StartDt2Korea,betaSKorea/(deltaSKorea+betaPodeltaSKorea*EXP(-betaSKorea*(tblData[Date]-StartDt2Korea))),"")</f>
        <v>8318.7945227994569</v>
      </c>
      <c r="AT80" s="21" t="str">
        <f>IF(AND(tblData[Date]&gt;=StartDt2Korea,ISNUMBER(tblData[SKorea])),(tblData[[#This Row],[SKorea LogiP(t)]]-tblData[[#This Row],[SKorea]])^2,"")</f>
        <v/>
      </c>
      <c r="AU80" s="21">
        <f>IF(tblData[Date]&gt;=StartDt2Korea,tblData[[#This Row],[SKorea LogiP(t)]]/$AS$9,"")</f>
        <v>1618.4425141633185</v>
      </c>
      <c r="AV80" s="11">
        <f>IF(ISNUMBER(tblData[Days'# UK]),betaUK/(deltaUK+betaPodeltaUK*EXP(-betaUK*tblData[Days'# UK])),"")</f>
        <v>48912.462457189715</v>
      </c>
      <c r="AW80" s="21" t="str">
        <f>IF(ISNUMBER(tblData[UK]),(tblData[[#This Row],[UK LogiP(t)]]-tblData[[#This Row],[UK]])^2,"")</f>
        <v/>
      </c>
      <c r="AX80" s="21">
        <f>IF(ISNUMBER(tblData[Days'# UK]),tblData[[#This Row],[UK LogiP(t)]]/$AV$9,"")</f>
        <v>7361.8998279936359</v>
      </c>
      <c r="AY80" s="11">
        <f>IF(ISNUMBER(tblData[Days'# China]),betaChina/(deltaChina+betaPodeltaChina*EXP(-betaChina*tblData[Days'# China])),"")</f>
        <v>80950.42016091026</v>
      </c>
      <c r="AZ80" s="11" t="str">
        <f>IF(ISNUMBER(tblData[China]),(tblData[[#This Row],[China LogiP(t)]]-tblData[[#This Row],[China]])^2,"")</f>
        <v/>
      </c>
      <c r="BA80" s="11">
        <f>tblData[[#This Row],[China LogiP(t)]]/$AY$9</f>
        <v>562.41980790366836</v>
      </c>
      <c r="BB80" s="11"/>
      <c r="BC80" s="11"/>
      <c r="BD80" s="11" t="str">
        <f>IF(ISNUMBER(tblData[[#This Row],[NSW Number of Tests]]),tblData[[#This Row],[NSW Number of Tests]]-BB79,"")</f>
        <v/>
      </c>
      <c r="BE80" s="11" t="str">
        <f>IF(ISNUMBER(tblData[[#This Row],[NSW Under Investigation'']]),tblData[[#This Row],[NSW Under Investigation'']]-BC79,"")</f>
        <v/>
      </c>
      <c r="BF80" s="11">
        <f t="shared" si="6"/>
        <v>25</v>
      </c>
      <c r="BG80" s="11">
        <f>IF(ISNUMBER(tblData[[#This Row],[NSW Test Day Number]]),betaTest/(deltaTest+betaPodeltaTest*EXP(-betaTest*tblData[[#This Row],[NSW Test Day Number]])),"")</f>
        <v>156537.58880360742</v>
      </c>
      <c r="BH80" s="11" t="str">
        <f>IF(ISNUMBER(tblData[[#This Row],[NSW Number of Tests]]),(tblData[[#This Row],[NSW Number of Tests]]-tblData[[#This Row],[NSW Test Logi]])^2,"")</f>
        <v/>
      </c>
      <c r="BY80"/>
      <c r="BZ80"/>
      <c r="CJ80" s="26"/>
      <c r="CK80" s="26"/>
    </row>
    <row r="81" spans="2:173" x14ac:dyDescent="0.25">
      <c r="B81" s="1">
        <f>B80+7</f>
        <v>43928</v>
      </c>
      <c r="D81" s="26"/>
      <c r="L81" s="12" t="str">
        <f>IF(ISNUMBER(tblData[[#This Row],[NSW]]),tblData[[#This Row],[New South Wales]]/$L$9,"")</f>
        <v/>
      </c>
      <c r="M81" s="26"/>
      <c r="N81" s="49" t="str">
        <f>IF(ISNUMBER(tblData[Italy]),tblData[Italy]/$N$9,"")</f>
        <v/>
      </c>
      <c r="O81" s="26"/>
      <c r="P81" s="49" t="str">
        <f>IF(ISNUMBER(tblData[US]),tblData[US]/$P$9,"")</f>
        <v/>
      </c>
      <c r="Q81" s="49"/>
      <c r="R81" s="19" t="str">
        <f>IF(ISNUMBER(tblData[SKorea]),tblData[SKorea]/$R$9,"")</f>
        <v/>
      </c>
      <c r="S81" s="49"/>
      <c r="T81" s="12" t="str">
        <f>IF(ISNUMBER(tblData[UK]),tblData[UK]/$T$9,"")</f>
        <v/>
      </c>
      <c r="U81" s="26"/>
      <c r="V81" s="21" t="str">
        <f>IF(ISNUMBER(tblData[China]),tblData[China]/$V$9,"")</f>
        <v/>
      </c>
      <c r="W81" s="26">
        <f>IF(tblData[[#This Row],[Date]]&lt;ItalyStart,"",tblData[[#This Row],[Date]]-ItalyStart)</f>
        <v>68</v>
      </c>
      <c r="X81" s="26">
        <f t="shared" si="7"/>
        <v>58</v>
      </c>
      <c r="Y81" s="26">
        <f t="shared" si="11"/>
        <v>70</v>
      </c>
      <c r="Z81" s="26">
        <f>IF(tblData[[#This Row],[Date]]&lt;StartDt2Korea,"",tblData[[#This Row],[Date]]-StartDt2Korea)</f>
        <v>48</v>
      </c>
      <c r="AA81" s="26">
        <f>IF(tblData[[#This Row],[Date]]&lt;UKStart,"",tblData[[#This Row],[Date]]-UKStart)</f>
        <v>68</v>
      </c>
      <c r="AB81">
        <f>IF(tblData[Date]&gt;=StartDt2Au,tblData[Date]-StartDt2Au,"")</f>
        <v>73</v>
      </c>
      <c r="AC81" s="26" t="str">
        <f>IF(tblData[New South Wales]&gt;0,SUM(tblData[[#This Row],[Australian Capital Territory]:[Western Australia]]),"")</f>
        <v/>
      </c>
      <c r="AD81" s="12" t="str">
        <f>IF(ISNUMBER(tblData[Au]),tblData[Au]/$AA$9,"")</f>
        <v/>
      </c>
      <c r="AE81" s="19">
        <f>IF(ISNUMBER(tblData[[#This Row],[Day'# Aust]]),betaAu/(deltaAu+betaPodeltaAu*EXP(-betaAu*tblData[[#This Row],[Day'# Aust]])),"")</f>
        <v>35713.724435947617</v>
      </c>
      <c r="AF81" s="72">
        <f>IF(ISNUMBER(tblData[Day'# Aust]),tblData[Au LogiP(t)]/$AD$9,"")</f>
        <v>14080.478014488101</v>
      </c>
      <c r="AG81" s="11" t="str">
        <f>IF(AND(tblData[Date]&gt;=StartDt2Au,ISNUMBER(tblData[NSW])),(tblData[[#This Row],[Au LogiP(t)]]-tblData[[#This Row],[Au]])^2,"")</f>
        <v/>
      </c>
      <c r="AH81">
        <f>IF(tblData[Date]&gt;StartDt2NSW,tblData[Date]-StartDt2NSW,"")</f>
        <v>73</v>
      </c>
      <c r="AI81" t="str">
        <f t="shared" si="9"/>
        <v/>
      </c>
      <c r="AJ81" s="11">
        <f>IF(tblData[Date]&gt;StartDt2NSW,betaNSW/(deltaNSW+betaPodeltaNSW*EXP(-betaNSW*tblData[[#This Row],[Day '# NSW]])),"")</f>
        <v>2376.629085670912</v>
      </c>
      <c r="AK81" s="12" t="str">
        <f>IF(AND(ISNUMBER(tblData[NSW]),tblData[Date]&gt;StartDt2NSW),(tblData[[#This Row],[NSW LogiP(t)]]-tblData[[#This Row],[NSW]])^2,"")</f>
        <v/>
      </c>
      <c r="AL81" s="12">
        <f>IF(AND(tblData[Date]&gt;StartDt2NSW,ISNUMBER(tblData[Day'# Aust])),tblData[NSW LogiP(t)]/$AG$9,"")</f>
        <v>2941.3726307808315</v>
      </c>
      <c r="AM81" s="11">
        <f>IF(AND(tblData[Date]&gt;StartDt2Italy,ISNUMBER(tblData[Days'# Italy])),betaItaly/(deltaItaly+betaPodeltaItaly*EXP(-betaItaly*tblData[Days'# Italy])),"")</f>
        <v>55259.311641700675</v>
      </c>
      <c r="AN81" s="11" t="str">
        <f>IF(AND(tblData[Date]&gt;StartDt2Italy,ISNUMBER(tblData[Italy])),(tblData[[#This Row],[Italy LogiP(t)]]-tblData[[#This Row],[Italy]])^2,"")</f>
        <v/>
      </c>
      <c r="AO81" s="44">
        <f>IF(AND(tblData[Date]&gt;StartDt2Italy,ISNUMBER(tblData[Days'# Italy])),tblData[[#This Row],[Italy LogiP(t)]]/$AM$9,"")</f>
        <v>9141.3253336146699</v>
      </c>
      <c r="AP81" s="21">
        <f>IF(ISNUMBER(tblData[[#This Row],[Days'# US]]),betaUS/(deltaUS+betaPodeltaUS*EXP(-betaUS*tblData[Days'# US])),"")</f>
        <v>9529027.5170660485</v>
      </c>
      <c r="AQ81" s="11" t="str">
        <f>IF(ISNUMBER(tblData[US]),(tblData[[#This Row],[US LogiP(t)]]-tblData[US])^2,"")</f>
        <v/>
      </c>
      <c r="AR81" s="21">
        <f>IF(ISNUMBER(tblData[[#This Row],[Days'# US]]),tblData[[#This Row],[US LogiP(t)]]/$AP$9,"")</f>
        <v>289435.73659390328</v>
      </c>
      <c r="AS81" s="21">
        <f>IF(tblData[Date]&gt;=StartDt2Korea,betaSKorea/(deltaSKorea+betaPodeltaSKorea*EXP(-betaSKorea*(tblData[Date]-StartDt2Korea))),"")</f>
        <v>8319.3481622337331</v>
      </c>
      <c r="AT81" s="21" t="str">
        <f>IF(AND(tblData[Date]&gt;=StartDt2Korea,ISNUMBER(tblData[SKorea])),(tblData[[#This Row],[SKorea LogiP(t)]]-tblData[[#This Row],[SKorea]])^2,"")</f>
        <v/>
      </c>
      <c r="AU81" s="21">
        <f>IF(tblData[Date]&gt;=StartDt2Korea,tblData[[#This Row],[SKorea LogiP(t)]]/$AS$9,"")</f>
        <v>1618.5502261155125</v>
      </c>
      <c r="AV81" s="11">
        <f>IF(ISNUMBER(tblData[Days'# UK]),betaUK/(deltaUK+betaPodeltaUK*EXP(-betaUK*tblData[Days'# UK])),"")</f>
        <v>245511.99014775181</v>
      </c>
      <c r="AW81" s="21" t="str">
        <f>IF(ISNUMBER(tblData[UK]),(tblData[[#This Row],[UK LogiP(t)]]-tblData[[#This Row],[UK]])^2,"")</f>
        <v/>
      </c>
      <c r="AX81" s="21">
        <f>IF(ISNUMBER(tblData[Days'# UK]),tblData[[#This Row],[UK LogiP(t)]]/$AV$9,"")</f>
        <v>36952.436807307618</v>
      </c>
      <c r="AY81" s="11">
        <f>IF(ISNUMBER(tblData[Days'# China]),betaChina/(deltaChina+betaPodeltaChina*EXP(-betaChina*tblData[Days'# China])),"")</f>
        <v>80950.603701761647</v>
      </c>
      <c r="AZ81" s="11" t="str">
        <f>IF(ISNUMBER(tblData[China]),(tblData[[#This Row],[China LogiP(t)]]-tblData[[#This Row],[China]])^2,"")</f>
        <v/>
      </c>
      <c r="BA81" s="11">
        <f>tblData[[#This Row],[China LogiP(t)]]/$AY$9</f>
        <v>562.4210830917425</v>
      </c>
      <c r="BB81" s="11"/>
      <c r="BC81" s="11"/>
      <c r="BD81" s="11" t="str">
        <f>IF(ISNUMBER(tblData[[#This Row],[NSW Number of Tests]]),tblData[[#This Row],[NSW Number of Tests]]-BB80,"")</f>
        <v/>
      </c>
      <c r="BE81" s="11" t="str">
        <f>IF(ISNUMBER(tblData[[#This Row],[NSW Under Investigation'']]),tblData[[#This Row],[NSW Under Investigation'']]-BC80,"")</f>
        <v/>
      </c>
      <c r="BF81" s="11">
        <f t="shared" si="6"/>
        <v>26</v>
      </c>
      <c r="BG81" s="11">
        <f>IF(ISNUMBER(tblData[[#This Row],[NSW Test Day Number]]),betaTest/(deltaTest+betaPodeltaTest*EXP(-betaTest*tblData[[#This Row],[NSW Test Day Number]])),"")</f>
        <v>168632.70443547162</v>
      </c>
      <c r="BH81" s="11" t="str">
        <f>IF(ISNUMBER(tblData[[#This Row],[NSW Number of Tests]]),(tblData[[#This Row],[NSW Number of Tests]]-tblData[[#This Row],[NSW Test Logi]])^2,"")</f>
        <v/>
      </c>
      <c r="BY81"/>
      <c r="BZ81"/>
      <c r="CJ81" s="26"/>
      <c r="CK81" s="26"/>
    </row>
    <row r="82" spans="2:173" x14ac:dyDescent="0.25">
      <c r="B82" s="27">
        <f t="shared" ref="B82:B117" si="12">B81+7</f>
        <v>43935</v>
      </c>
      <c r="D82" s="26"/>
      <c r="L82" s="12" t="str">
        <f>IF(ISNUMBER(tblData[[#This Row],[NSW]]),tblData[[#This Row],[New South Wales]]/$L$9,"")</f>
        <v/>
      </c>
      <c r="M82" s="26"/>
      <c r="N82" s="49" t="str">
        <f>IF(ISNUMBER(tblData[Italy]),tblData[Italy]/$N$9,"")</f>
        <v/>
      </c>
      <c r="O82" s="26"/>
      <c r="P82" s="49" t="str">
        <f>IF(ISNUMBER(tblData[US]),tblData[US]/$P$9,"")</f>
        <v/>
      </c>
      <c r="Q82" s="49"/>
      <c r="R82" s="19" t="str">
        <f>IF(ISNUMBER(tblData[SKorea]),tblData[SKorea]/$R$9,"")</f>
        <v/>
      </c>
      <c r="S82" s="49"/>
      <c r="T82" s="12" t="str">
        <f>IF(ISNUMBER(tblData[UK]),tblData[UK]/$T$9,"")</f>
        <v/>
      </c>
      <c r="U82" s="26"/>
      <c r="V82" s="21" t="str">
        <f>IF(ISNUMBER(tblData[China]),tblData[China]/$V$9,"")</f>
        <v/>
      </c>
      <c r="W82" s="26">
        <f>IF(tblData[[#This Row],[Date]]&lt;ItalyStart,"",tblData[[#This Row],[Date]]-ItalyStart)</f>
        <v>75</v>
      </c>
      <c r="X82" s="26">
        <f t="shared" si="7"/>
        <v>65</v>
      </c>
      <c r="Y82" s="26">
        <f t="shared" si="11"/>
        <v>71</v>
      </c>
      <c r="Z82" s="26">
        <f>IF(tblData[[#This Row],[Date]]&lt;StartDt2Korea,"",tblData[[#This Row],[Date]]-StartDt2Korea)</f>
        <v>55</v>
      </c>
      <c r="AA82" s="26">
        <f>IF(tblData[[#This Row],[Date]]&lt;UKStart,"",tblData[[#This Row],[Date]]-UKStart)</f>
        <v>75</v>
      </c>
      <c r="AB82">
        <f>IF(tblData[Date]&gt;=StartDt2Au,tblData[Date]-StartDt2Au,"")</f>
        <v>80</v>
      </c>
      <c r="AC82" s="26" t="str">
        <f>IF(tblData[New South Wales]&gt;0,SUM(tblData[[#This Row],[Australian Capital Territory]:[Western Australia]]),"")</f>
        <v/>
      </c>
      <c r="AD82" s="12" t="str">
        <f>IF(ISNUMBER(tblData[Au]),tblData[Au]/$AA$9,"")</f>
        <v/>
      </c>
      <c r="AE82" s="19">
        <f>IF(ISNUMBER(tblData[[#This Row],[Day'# Aust]]),betaAu/(deltaAu+betaPodeltaAu*EXP(-betaAu*tblData[[#This Row],[Day'# Aust]])),"")</f>
        <v>151471.7882416833</v>
      </c>
      <c r="AF82" s="72">
        <f>IF(ISNUMBER(tblData[Day'# Aust]),tblData[Au LogiP(t)]/$AD$9,"")</f>
        <v>59719.203690933333</v>
      </c>
      <c r="AG82" s="11" t="str">
        <f>IF(AND(tblData[Date]&gt;=StartDt2Au,ISNUMBER(tblData[NSW])),(tblData[[#This Row],[Au LogiP(t)]]-tblData[[#This Row],[Au]])^2,"")</f>
        <v/>
      </c>
      <c r="AH82">
        <f>IF(tblData[Date]&gt;StartDt2NSW,tblData[Date]-StartDt2NSW,"")</f>
        <v>80</v>
      </c>
      <c r="AI82" t="str">
        <f t="shared" si="9"/>
        <v/>
      </c>
      <c r="AJ82" s="11">
        <f>IF(tblData[Date]&gt;StartDt2NSW,betaNSW/(deltaNSW+betaPodeltaNSW*EXP(-betaNSW*tblData[[#This Row],[Day '# NSW]])),"")</f>
        <v>2635.527206981646</v>
      </c>
      <c r="AK82" s="12" t="str">
        <f>IF(AND(ISNUMBER(tblData[NSW]),tblData[Date]&gt;StartDt2NSW),(tblData[[#This Row],[NSW LogiP(t)]]-tblData[[#This Row],[NSW]])^2,"")</f>
        <v/>
      </c>
      <c r="AL82" s="12">
        <f>IF(AND(tblData[Date]&gt;StartDt2NSW,ISNUMBER(tblData[Day'# Aust])),tblData[NSW LogiP(t)]/$AG$9,"")</f>
        <v>3261.7910977495617</v>
      </c>
      <c r="AM82" s="11">
        <f>IF(AND(tblData[Date]&gt;StartDt2Italy,ISNUMBER(tblData[Days'# Italy])),betaItaly/(deltaItaly+betaPodeltaItaly*EXP(-betaItaly*tblData[Days'# Italy])),"")</f>
        <v>55379.293423101735</v>
      </c>
      <c r="AN82" s="11" t="str">
        <f>IF(AND(tblData[Date]&gt;StartDt2Italy,ISNUMBER(tblData[Italy])),(tblData[[#This Row],[Italy LogiP(t)]]-tblData[[#This Row],[Italy]])^2,"")</f>
        <v/>
      </c>
      <c r="AO82" s="44">
        <f>IF(AND(tblData[Date]&gt;StartDt2Italy,ISNUMBER(tblData[Days'# Italy])),tblData[[#This Row],[Italy LogiP(t)]]/$AM$9,"")</f>
        <v>9161.1734364105432</v>
      </c>
      <c r="AP82" s="21">
        <f>IF(ISNUMBER(tblData[[#This Row],[Days'# US]]),betaUS/(deltaUS+betaPodeltaUS*EXP(-betaUS*tblData[Days'# US])),"")</f>
        <v>84552257.339601904</v>
      </c>
      <c r="AQ82" s="11" t="str">
        <f>IF(ISNUMBER(tblData[US]),(tblData[[#This Row],[US LogiP(t)]]-tblData[US])^2,"")</f>
        <v/>
      </c>
      <c r="AR82" s="21">
        <f>IF(ISNUMBER(tblData[[#This Row],[Days'# US]]),tblData[[#This Row],[US LogiP(t)]]/$AP$9,"")</f>
        <v>2568199.6237219297</v>
      </c>
      <c r="AS82" s="21">
        <f>IF(tblData[Date]&gt;=StartDt2Korea,betaSKorea/(deltaSKorea+betaPodeltaSKorea*EXP(-betaSKorea*(tblData[Date]-StartDt2Korea))),"")</f>
        <v>8319.4048160504972</v>
      </c>
      <c r="AT82" s="21" t="str">
        <f>IF(AND(tblData[Date]&gt;=StartDt2Korea,ISNUMBER(tblData[SKorea])),(tblData[[#This Row],[SKorea LogiP(t)]]-tblData[[#This Row],[SKorea]])^2,"")</f>
        <v/>
      </c>
      <c r="AU82" s="21">
        <f>IF(tblData[Date]&gt;=StartDt2Korea,tblData[[#This Row],[SKorea LogiP(t)]]/$AS$9,"")</f>
        <v>1618.5612482588517</v>
      </c>
      <c r="AV82" s="85">
        <f>IF(ISNUMBER(tblData[Days'# UK]),betaUK/(deltaUK+betaPodeltaUK*EXP(-betaUK*tblData[Days'# UK])),"")</f>
        <v>1228117.3123781206</v>
      </c>
      <c r="AW82" s="85" t="str">
        <f>IF(ISNUMBER(tblData[UK]),(tblData[[#This Row],[UK LogiP(t)]]-tblData[[#This Row],[UK]])^2,"")</f>
        <v/>
      </c>
      <c r="AX82" s="85">
        <f>IF(ISNUMBER(tblData[Days'# UK]),tblData[[#This Row],[UK LogiP(t)]]/$AV$9,"")</f>
        <v>184846.07350664068</v>
      </c>
      <c r="AY82" s="11">
        <f>IF(ISNUMBER(tblData[Days'# China]),betaChina/(deltaChina+betaPodeltaChina*EXP(-betaChina*tblData[Days'# China])),"")</f>
        <v>80950.750682030339</v>
      </c>
      <c r="AZ82" s="11" t="str">
        <f>IF(ISNUMBER(tblData[China]),(tblData[[#This Row],[China LogiP(t)]]-tblData[[#This Row],[China]])^2,"")</f>
        <v/>
      </c>
      <c r="BA82" s="11">
        <f>tblData[[#This Row],[China LogiP(t)]]/$AY$9</f>
        <v>562.42210426759698</v>
      </c>
      <c r="BB82" s="11"/>
      <c r="BC82" s="11"/>
      <c r="BD82" s="11" t="str">
        <f>IF(ISNUMBER(tblData[[#This Row],[NSW Number of Tests]]),tblData[[#This Row],[NSW Number of Tests]]-BB81,"")</f>
        <v/>
      </c>
      <c r="BE82" s="11" t="str">
        <f>IF(ISNUMBER(tblData[[#This Row],[NSW Under Investigation'']]),tblData[[#This Row],[NSW Under Investigation'']]-BC81,"")</f>
        <v/>
      </c>
      <c r="BF82" s="11">
        <f t="shared" si="6"/>
        <v>27</v>
      </c>
      <c r="BG82" s="11">
        <f>IF(ISNUMBER(tblData[[#This Row],[NSW Test Day Number]]),betaTest/(deltaTest+betaPodeltaTest*EXP(-betaTest*tblData[[#This Row],[NSW Test Day Number]])),"")</f>
        <v>180412.93314116794</v>
      </c>
      <c r="BH82" s="11" t="str">
        <f>IF(ISNUMBER(tblData[[#This Row],[NSW Number of Tests]]),(tblData[[#This Row],[NSW Number of Tests]]-tblData[[#This Row],[NSW Test Logi]])^2,"")</f>
        <v/>
      </c>
      <c r="BY82"/>
      <c r="BZ82"/>
      <c r="CJ82" s="26"/>
      <c r="CK82" s="26"/>
    </row>
    <row r="83" spans="2:173" x14ac:dyDescent="0.25">
      <c r="B83" s="27">
        <f t="shared" si="12"/>
        <v>43942</v>
      </c>
      <c r="D83" s="26"/>
      <c r="L83" s="12" t="str">
        <f>IF(ISNUMBER(tblData[[#This Row],[NSW]]),tblData[[#This Row],[New South Wales]]/$L$9,"")</f>
        <v/>
      </c>
      <c r="M83" s="26"/>
      <c r="N83" s="49" t="str">
        <f>IF(ISNUMBER(tblData[Italy]),tblData[Italy]/$N$9,"")</f>
        <v/>
      </c>
      <c r="O83" s="26"/>
      <c r="P83" s="49" t="str">
        <f>IF(ISNUMBER(tblData[US]),tblData[US]/$P$9,"")</f>
        <v/>
      </c>
      <c r="Q83" s="49"/>
      <c r="R83" s="19" t="str">
        <f>IF(ISNUMBER(tblData[SKorea]),tblData[SKorea]/$R$9,"")</f>
        <v/>
      </c>
      <c r="S83" s="49"/>
      <c r="T83" s="12" t="str">
        <f>IF(ISNUMBER(tblData[UK]),tblData[UK]/$T$9,"")</f>
        <v/>
      </c>
      <c r="U83" s="26"/>
      <c r="V83" s="21" t="str">
        <f>IF(ISNUMBER(tblData[China]),tblData[China]/$V$9,"")</f>
        <v/>
      </c>
      <c r="W83" s="26">
        <f>IF(tblData[[#This Row],[Date]]&lt;ItalyStart,"",tblData[[#This Row],[Date]]-ItalyStart)</f>
        <v>82</v>
      </c>
      <c r="X83" s="26">
        <f t="shared" si="7"/>
        <v>72</v>
      </c>
      <c r="Y83" s="26">
        <f t="shared" si="11"/>
        <v>72</v>
      </c>
      <c r="Z83" s="26">
        <f>IF(tblData[[#This Row],[Date]]&lt;StartDt2Korea,"",tblData[[#This Row],[Date]]-StartDt2Korea)</f>
        <v>62</v>
      </c>
      <c r="AA83" s="26">
        <f>IF(tblData[[#This Row],[Date]]&lt;UKStart,"",tblData[[#This Row],[Date]]-UKStart)</f>
        <v>82</v>
      </c>
      <c r="AB83">
        <f>IF(tblData[Date]&gt;=StartDt2Au,tblData[Date]-StartDt2Au,"")</f>
        <v>87</v>
      </c>
      <c r="AC83" s="26" t="str">
        <f>IF(tblData[New South Wales]&gt;0,SUM(tblData[[#This Row],[Australian Capital Territory]:[Western Australia]]),"")</f>
        <v/>
      </c>
      <c r="AD83" s="12" t="str">
        <f>IF(ISNUMBER(tblData[Au]),tblData[Au]/$AA$9,"")</f>
        <v/>
      </c>
      <c r="AE83" s="19">
        <f>IF(ISNUMBER(tblData[[#This Row],[Day'# Aust]]),betaAu/(deltaAu+betaPodeltaAu*EXP(-betaAu*tblData[[#This Row],[Day'# Aust]])),"")</f>
        <v>641268.34407251305</v>
      </c>
      <c r="AF83" s="72">
        <f>IF(ISNUMBER(tblData[Day'# Aust]),tblData[Au LogiP(t)]/$AD$9,"")</f>
        <v>252826.18832696462</v>
      </c>
      <c r="AG83" s="11" t="str">
        <f>IF(AND(tblData[Date]&gt;=StartDt2Au,ISNUMBER(tblData[NSW])),(tblData[[#This Row],[Au LogiP(t)]]-tblData[[#This Row],[Au]])^2,"")</f>
        <v/>
      </c>
      <c r="AH83">
        <f>IF(tblData[Date]&gt;StartDt2NSW,tblData[Date]-StartDt2NSW,"")</f>
        <v>87</v>
      </c>
      <c r="AI83" t="str">
        <f t="shared" si="9"/>
        <v/>
      </c>
      <c r="AJ83" s="11">
        <f>IF(tblData[Date]&gt;StartDt2NSW,betaNSW/(deltaNSW+betaPodeltaNSW*EXP(-betaNSW*tblData[[#This Row],[Day '# NSW]])),"")</f>
        <v>2703.5731867554682</v>
      </c>
      <c r="AK83" s="12" t="str">
        <f>IF(AND(ISNUMBER(tblData[NSW]),tblData[Date]&gt;StartDt2NSW),(tblData[[#This Row],[NSW LogiP(t)]]-tblData[[#This Row],[NSW]])^2,"")</f>
        <v/>
      </c>
      <c r="AL83" s="12">
        <f>IF(AND(tblData[Date]&gt;StartDt2NSW,ISNUMBER(tblData[Day'# Aust])),tblData[NSW LogiP(t)]/$AG$9,"")</f>
        <v>3346.0064192518171</v>
      </c>
      <c r="AM83" s="11">
        <f>IF(AND(tblData[Date]&gt;StartDt2Italy,ISNUMBER(tblData[Days'# Italy])),betaItaly/(deltaItaly+betaPodeltaItaly*EXP(-betaItaly*tblData[Days'# Italy])),"")</f>
        <v>55398.753789969967</v>
      </c>
      <c r="AN83" s="11" t="str">
        <f>IF(AND(tblData[Date]&gt;StartDt2Italy,ISNUMBER(tblData[Italy])),(tblData[[#This Row],[Italy LogiP(t)]]-tblData[[#This Row],[Italy]])^2,"")</f>
        <v/>
      </c>
      <c r="AO83" s="44">
        <f>IF(AND(tblData[Date]&gt;StartDt2Italy,ISNUMBER(tblData[Days'# Italy])),tblData[[#This Row],[Italy LogiP(t)]]/$AM$9,"")</f>
        <v>9164.392686512816</v>
      </c>
      <c r="AP83" s="21">
        <f>IF(ISNUMBER(tblData[[#This Row],[Days'# US]]),betaUS/(deltaUS+betaPodeltaUS*EXP(-betaUS*tblData[Days'# US])),"")</f>
        <v>273145599.91484112</v>
      </c>
      <c r="AQ83" s="11" t="str">
        <f>IF(ISNUMBER(tblData[US]),(tblData[[#This Row],[US LogiP(t)]]-tblData[US])^2,"")</f>
        <v/>
      </c>
      <c r="AR83" s="21">
        <f>IF(ISNUMBER(tblData[[#This Row],[Days'# US]]),tblData[[#This Row],[US LogiP(t)]]/$AP$9,"")</f>
        <v>8296554.6869443115</v>
      </c>
      <c r="AS83" s="21">
        <f>IF(tblData[Date]&gt;=StartDt2Korea,betaSKorea/(deltaSKorea+betaPodeltaSKorea*EXP(-betaSKorea*(tblData[Date]-StartDt2Korea))),"")</f>
        <v>8319.4106130428954</v>
      </c>
      <c r="AT83" s="21" t="str">
        <f>IF(AND(tblData[Date]&gt;=StartDt2Korea,ISNUMBER(tblData[SKorea])),(tblData[[#This Row],[SKorea LogiP(t)]]-tblData[[#This Row],[SKorea]])^2,"")</f>
        <v/>
      </c>
      <c r="AU83" s="21">
        <f>IF(tblData[Date]&gt;=StartDt2Korea,tblData[[#This Row],[SKorea LogiP(t)]]/$AS$9,"")</f>
        <v>1618.5623760783844</v>
      </c>
      <c r="AV83" s="85">
        <f>IF(ISNUMBER(tblData[Days'# UK]),betaUK/(deltaUK+betaPodeltaUK*EXP(-betaUK*tblData[Days'# UK])),"")</f>
        <v>6040252.2645190861</v>
      </c>
      <c r="AW83" s="85" t="str">
        <f>IF(ISNUMBER(tblData[UK]),(tblData[[#This Row],[UK LogiP(t)]]-tblData[[#This Row],[UK]])^2,"")</f>
        <v/>
      </c>
      <c r="AX83" s="85">
        <f>IF(ISNUMBER(tblData[Days'# UK]),tblData[[#This Row],[UK LogiP(t)]]/$AV$9,"")</f>
        <v>909128.87786259572</v>
      </c>
      <c r="AY83" s="11">
        <f>IF(ISNUMBER(tblData[Days'# China]),betaChina/(deltaChina+betaPodeltaChina*EXP(-betaChina*tblData[Days'# China])),"")</f>
        <v>80950.868384338275</v>
      </c>
      <c r="AZ83" s="11" t="str">
        <f>IF(ISNUMBER(tblData[China]),(tblData[[#This Row],[China LogiP(t)]]-tblData[[#This Row],[China]])^2,"")</f>
        <v/>
      </c>
      <c r="BA83" s="11">
        <f>tblData[[#This Row],[China LogiP(t)]]/$AY$9</f>
        <v>562.42292202875603</v>
      </c>
      <c r="BB83" s="11"/>
      <c r="BC83" s="11"/>
      <c r="BD83" s="11" t="str">
        <f>IF(ISNUMBER(tblData[[#This Row],[NSW Number of Tests]]),tblData[[#This Row],[NSW Number of Tests]]-BB82,"")</f>
        <v/>
      </c>
      <c r="BE83" s="11" t="str">
        <f>IF(ISNUMBER(tblData[[#This Row],[NSW Under Investigation'']]),tblData[[#This Row],[NSW Under Investigation'']]-BC82,"")</f>
        <v/>
      </c>
      <c r="BF83" s="11">
        <f t="shared" si="6"/>
        <v>28</v>
      </c>
      <c r="BG83" s="11">
        <f>IF(ISNUMBER(tblData[[#This Row],[NSW Test Day Number]]),betaTest/(deltaTest+betaPodeltaTest*EXP(-betaTest*tblData[[#This Row],[NSW Test Day Number]])),"")</f>
        <v>191731.73865460593</v>
      </c>
      <c r="BH83" s="11" t="str">
        <f>IF(ISNUMBER(tblData[[#This Row],[NSW Number of Tests]]),(tblData[[#This Row],[NSW Number of Tests]]-tblData[[#This Row],[NSW Test Logi]])^2,"")</f>
        <v/>
      </c>
      <c r="BY83"/>
      <c r="BZ83"/>
      <c r="CJ83" s="26"/>
      <c r="CK83" s="26"/>
    </row>
    <row r="84" spans="2:173" x14ac:dyDescent="0.25">
      <c r="B84" s="27">
        <f t="shared" si="12"/>
        <v>43949</v>
      </c>
      <c r="D84" s="26"/>
      <c r="L84" s="12" t="str">
        <f>IF(ISNUMBER(tblData[[#This Row],[NSW]]),tblData[[#This Row],[New South Wales]]/$L$9,"")</f>
        <v/>
      </c>
      <c r="M84" s="26"/>
      <c r="N84" s="49" t="str">
        <f>IF(ISNUMBER(tblData[Italy]),tblData[Italy]/$N$9,"")</f>
        <v/>
      </c>
      <c r="O84" s="26"/>
      <c r="P84" s="49" t="str">
        <f>IF(ISNUMBER(tblData[US]),tblData[US]/$P$9,"")</f>
        <v/>
      </c>
      <c r="Q84" s="49"/>
      <c r="R84" s="19" t="str">
        <f>IF(ISNUMBER(tblData[SKorea]),tblData[SKorea]/$R$9,"")</f>
        <v/>
      </c>
      <c r="S84" s="49"/>
      <c r="T84" s="12" t="str">
        <f>IF(ISNUMBER(tblData[UK]),tblData[UK]/$T$9,"")</f>
        <v/>
      </c>
      <c r="U84" s="26"/>
      <c r="V84" s="21" t="str">
        <f>IF(ISNUMBER(tblData[China]),tblData[China]/$V$9,"")</f>
        <v/>
      </c>
      <c r="W84" s="26">
        <f>IF(tblData[[#This Row],[Date]]&lt;ItalyStart,"",tblData[[#This Row],[Date]]-ItalyStart)</f>
        <v>89</v>
      </c>
      <c r="X84" s="26">
        <f t="shared" si="7"/>
        <v>79</v>
      </c>
      <c r="Y84" s="26">
        <f t="shared" si="11"/>
        <v>73</v>
      </c>
      <c r="Z84" s="26">
        <f>IF(tblData[[#This Row],[Date]]&lt;StartDt2Korea,"",tblData[[#This Row],[Date]]-StartDt2Korea)</f>
        <v>69</v>
      </c>
      <c r="AA84" s="26">
        <f>IF(tblData[[#This Row],[Date]]&lt;UKStart,"",tblData[[#This Row],[Date]]-UKStart)</f>
        <v>89</v>
      </c>
      <c r="AB84">
        <f>IF(tblData[Date]&gt;=StartDt2Au,tblData[Date]-StartDt2Au,"")</f>
        <v>94</v>
      </c>
      <c r="AC84" s="26" t="str">
        <f>IF(tblData[New South Wales]&gt;0,SUM(tblData[[#This Row],[Australian Capital Territory]:[Western Australia]]),"")</f>
        <v/>
      </c>
      <c r="AD84" s="12" t="str">
        <f>IF(ISNUMBER(tblData[Au]),tblData[Au]/$AA$9,"")</f>
        <v/>
      </c>
      <c r="AE84" s="44">
        <f>IF(ISNUMBER(tblData[[#This Row],[Day'# Aust]]),betaAu/(deltaAu+betaPodeltaAu*EXP(-betaAu*tblData[[#This Row],[Day'# Aust]])),"")</f>
        <v>2694182.7025668412</v>
      </c>
      <c r="AF84" s="73">
        <f>IF(ISNUMBER(tblData[Day'# Aust]),tblData[Au LogiP(t)]/$AD$9,"")</f>
        <v>1062207.3421253909</v>
      </c>
      <c r="AG84" s="11" t="str">
        <f>IF(AND(tblData[Date]&gt;=StartDt2Au,ISNUMBER(tblData[NSW])),(tblData[[#This Row],[Au LogiP(t)]]-tblData[[#This Row],[Au]])^2,"")</f>
        <v/>
      </c>
      <c r="AH84">
        <f>IF(tblData[Date]&gt;StartDt2NSW,tblData[Date]-StartDt2NSW,"")</f>
        <v>94</v>
      </c>
      <c r="AI84" t="str">
        <f t="shared" si="9"/>
        <v/>
      </c>
      <c r="AJ84" s="11">
        <f>IF(tblData[Date]&gt;StartDt2NSW,betaNSW/(deltaNSW+betaPodeltaNSW*EXP(-betaNSW*tblData[[#This Row],[Day '# NSW]])),"")</f>
        <v>2719.7975776207636</v>
      </c>
      <c r="AK84" s="12" t="str">
        <f>IF(AND(ISNUMBER(tblData[NSW]),tblData[Date]&gt;StartDt2NSW),(tblData[[#This Row],[NSW LogiP(t)]]-tblData[[#This Row],[NSW]])^2,"")</f>
        <v/>
      </c>
      <c r="AL84" s="44">
        <f>IF(AND(tblData[Date]&gt;StartDt2NSW,ISNUMBER(tblData[Day'# Aust])),tblData[NSW LogiP(t)]/$AG$9,"")</f>
        <v>3366.0861109167863</v>
      </c>
      <c r="AM84" s="11">
        <f>IF(AND(tblData[Date]&gt;StartDt2Italy,ISNUMBER(tblData[Days'# Italy])),betaItaly/(deltaItaly+betaPodeltaItaly*EXP(-betaItaly*tblData[Days'# Italy])),"")</f>
        <v>55401.903492160403</v>
      </c>
      <c r="AN84" s="11" t="str">
        <f>IF(AND(tblData[Date]&gt;StartDt2Italy,ISNUMBER(tblData[Italy])),(tblData[[#This Row],[Italy LogiP(t)]]-tblData[[#This Row],[Italy]])^2,"")</f>
        <v/>
      </c>
      <c r="AO84" s="44">
        <f>IF(AND(tblData[Date]&gt;StartDt2Italy,ISNUMBER(tblData[Days'# Italy])),tblData[[#This Row],[Italy LogiP(t)]]/$AM$9,"")</f>
        <v>9164.9137290587933</v>
      </c>
      <c r="AP84" s="21">
        <f>IF(ISNUMBER(tblData[[#This Row],[Days'# US]]),betaUS/(deltaUS+betaPodeltaUS*EXP(-betaUS*tblData[Days'# US])),"")</f>
        <v>339567679.96191072</v>
      </c>
      <c r="AQ84" s="11" t="str">
        <f>IF(ISNUMBER(tblData[US]),(tblData[[#This Row],[US LogiP(t)]]-tblData[US])^2,"")</f>
        <v/>
      </c>
      <c r="AR84" s="21">
        <f>IF(ISNUMBER(tblData[[#This Row],[Days'# US]]),tblData[[#This Row],[US LogiP(t)]]/$AP$9,"")</f>
        <v>10314066.298710763</v>
      </c>
      <c r="AS84" s="21">
        <f>IF(tblData[Date]&gt;=StartDt2Korea,betaSKorea/(deltaSKorea+betaPodeltaSKorea*EXP(-betaSKorea*(tblData[Date]-StartDt2Korea))),"")</f>
        <v>8319.4112062049517</v>
      </c>
      <c r="AT84" s="21" t="str">
        <f>IF(AND(tblData[Date]&gt;=StartDt2Korea,ISNUMBER(tblData[SKorea])),(tblData[[#This Row],[SKorea LogiP(t)]]-tblData[[#This Row],[SKorea]])^2,"")</f>
        <v/>
      </c>
      <c r="AU84" s="21">
        <f>IF(tblData[Date]&gt;=StartDt2Korea,tblData[[#This Row],[SKorea LogiP(t)]]/$AS$9,"")</f>
        <v>1618.5624914795626</v>
      </c>
      <c r="AV84" s="85">
        <f>IF(ISNUMBER(tblData[Days'# UK]),betaUK/(deltaUK+betaPodeltaUK*EXP(-betaUK*tblData[Days'# UK])),"")</f>
        <v>27451133.529155239</v>
      </c>
      <c r="AW84" s="85" t="str">
        <f>IF(ISNUMBER(tblData[UK]),(tblData[[#This Row],[UK LogiP(t)]]-tblData[[#This Row],[UK]])^2,"")</f>
        <v/>
      </c>
      <c r="AX84" s="85">
        <f>IF(ISNUMBER(tblData[Days'# UK]),tblData[[#This Row],[UK LogiP(t)]]/$AV$9,"")</f>
        <v>4131717.8701317338</v>
      </c>
      <c r="AY84" s="11">
        <f>IF(ISNUMBER(tblData[Days'# China]),betaChina/(deltaChina+betaPodeltaChina*EXP(-betaChina*tblData[Days'# China])),"")</f>
        <v>80950.962640692553</v>
      </c>
      <c r="AZ84" s="11" t="str">
        <f>IF(ISNUMBER(tblData[China]),(tblData[[#This Row],[China LogiP(t)]]-tblData[[#This Row],[China]])^2,"")</f>
        <v/>
      </c>
      <c r="BA84" s="11">
        <f>tblData[[#This Row],[China LogiP(t)]]/$AY$9</f>
        <v>562.42357689429673</v>
      </c>
      <c r="BB84" s="11"/>
      <c r="BC84" s="11"/>
      <c r="BD84" s="11" t="str">
        <f>IF(ISNUMBER(tblData[[#This Row],[NSW Number of Tests]]),tblData[[#This Row],[NSW Number of Tests]]-BB83,"")</f>
        <v/>
      </c>
      <c r="BE84" s="11" t="str">
        <f>IF(ISNUMBER(tblData[[#This Row],[NSW Under Investigation'']]),tblData[[#This Row],[NSW Under Investigation'']]-BC83,"")</f>
        <v/>
      </c>
      <c r="BF84" s="11">
        <f t="shared" si="6"/>
        <v>29</v>
      </c>
      <c r="BG84" s="11">
        <f>IF(ISNUMBER(tblData[[#This Row],[NSW Test Day Number]]),betaTest/(deltaTest+betaPodeltaTest*EXP(-betaTest*tblData[[#This Row],[NSW Test Day Number]])),"")</f>
        <v>202466.19675997517</v>
      </c>
      <c r="BH84" s="11" t="str">
        <f>IF(ISNUMBER(tblData[[#This Row],[NSW Number of Tests]]),(tblData[[#This Row],[NSW Number of Tests]]-tblData[[#This Row],[NSW Test Logi]])^2,"")</f>
        <v/>
      </c>
      <c r="BY84"/>
      <c r="BZ84"/>
      <c r="CJ84" s="26"/>
      <c r="CK84" s="26"/>
    </row>
    <row r="85" spans="2:173" x14ac:dyDescent="0.25">
      <c r="B85" s="27">
        <f t="shared" si="12"/>
        <v>43956</v>
      </c>
      <c r="D85" s="26"/>
      <c r="L85" s="12" t="str">
        <f>IF(ISNUMBER(tblData[[#This Row],[NSW]]),tblData[[#This Row],[New South Wales]]/$L$9,"")</f>
        <v/>
      </c>
      <c r="M85" s="26"/>
      <c r="N85" s="49" t="str">
        <f>IF(ISNUMBER(tblData[Italy]),tblData[Italy]/$N$9,"")</f>
        <v/>
      </c>
      <c r="O85" s="26"/>
      <c r="P85" s="49" t="str">
        <f>IF(ISNUMBER(tblData[US]),tblData[US]/$P$9,"")</f>
        <v/>
      </c>
      <c r="Q85" s="49"/>
      <c r="R85" s="19" t="str">
        <f>IF(ISNUMBER(tblData[SKorea]),tblData[SKorea]/$R$9,"")</f>
        <v/>
      </c>
      <c r="S85" s="49"/>
      <c r="T85" s="12" t="str">
        <f>IF(ISNUMBER(tblData[UK]),tblData[UK]/$T$9,"")</f>
        <v/>
      </c>
      <c r="U85" s="26"/>
      <c r="V85" s="21" t="str">
        <f>IF(ISNUMBER(tblData[China]),tblData[China]/$V$9,"")</f>
        <v/>
      </c>
      <c r="W85" s="26">
        <f>IF(tblData[[#This Row],[Date]]&lt;ItalyStart,"",tblData[[#This Row],[Date]]-ItalyStart)</f>
        <v>96</v>
      </c>
      <c r="X85" s="26">
        <f t="shared" si="7"/>
        <v>86</v>
      </c>
      <c r="Y85" s="26">
        <f t="shared" si="11"/>
        <v>74</v>
      </c>
      <c r="Z85" s="26">
        <f>IF(tblData[[#This Row],[Date]]&lt;StartDt2Korea,"",tblData[[#This Row],[Date]]-StartDt2Korea)</f>
        <v>76</v>
      </c>
      <c r="AA85" s="26">
        <f>IF(tblData[[#This Row],[Date]]&lt;UKStart,"",tblData[[#This Row],[Date]]-UKStart)</f>
        <v>96</v>
      </c>
      <c r="AB85">
        <f>IF(tblData[Date]&gt;=StartDt2Au,tblData[Date]-StartDt2Au,"")</f>
        <v>101</v>
      </c>
      <c r="AC85" s="26" t="str">
        <f>IF(tblData[New South Wales]&gt;0,SUM(tblData[[#This Row],[Australian Capital Territory]:[Western Australia]]),"")</f>
        <v/>
      </c>
      <c r="AD85" s="12" t="str">
        <f>IF(ISNUMBER(tblData[Au]),tblData[Au]/$AA$9,"")</f>
        <v/>
      </c>
      <c r="AE85" s="44">
        <f>IF(ISNUMBER(tblData[[#This Row],[Day'# Aust]]),betaAu/(deltaAu+betaPodeltaAu*EXP(-betaAu*tblData[[#This Row],[Day'# Aust]])),"")</f>
        <v>10968958.724669989</v>
      </c>
      <c r="AF85" s="73">
        <f>IF(ISNUMBER(tblData[Day'# Aust]),tblData[Au LogiP(t)]/$AD$9,"")</f>
        <v>4324617.0653958321</v>
      </c>
      <c r="AG85" s="11" t="str">
        <f>IF(AND(tblData[Date]&gt;=StartDt2Au,ISNUMBER(tblData[NSW])),(tblData[[#This Row],[Au LogiP(t)]]-tblData[[#This Row],[Au]])^2,"")</f>
        <v/>
      </c>
      <c r="AH85">
        <f>IF(tblData[Date]&gt;StartDt2NSW,tblData[Date]-StartDt2NSW,"")</f>
        <v>101</v>
      </c>
      <c r="AI85" t="str">
        <f t="shared" si="9"/>
        <v/>
      </c>
      <c r="AJ85" s="11">
        <f>IF(tblData[Date]&gt;StartDt2NSW,betaNSW/(deltaNSW+betaPodeltaNSW*EXP(-betaNSW*tblData[[#This Row],[Day '# NSW]])),"")</f>
        <v>2723.5738758040625</v>
      </c>
      <c r="AK85" s="12" t="str">
        <f>IF(AND(ISNUMBER(tblData[NSW]),tblData[Date]&gt;StartDt2NSW),(tblData[[#This Row],[NSW LogiP(t)]]-tblData[[#This Row],[NSW]])^2,"")</f>
        <v/>
      </c>
      <c r="AL85" s="44">
        <f>IF(AND(tblData[Date]&gt;StartDt2NSW,ISNUMBER(tblData[Day'# Aust])),tblData[NSW LogiP(t)]/$AG$9,"")</f>
        <v>3370.7597472822554</v>
      </c>
      <c r="AM85" s="11">
        <f>IF(AND(tblData[Date]&gt;StartDt2Italy,ISNUMBER(tblData[Days'# Italy])),betaItaly/(deltaItaly+betaPodeltaItaly*EXP(-betaItaly*tblData[Days'# Italy])),"")</f>
        <v>55402.413103838349</v>
      </c>
      <c r="AN85" s="11" t="str">
        <f>IF(AND(tblData[Date]&gt;StartDt2Italy,ISNUMBER(tblData[Italy])),(tblData[[#This Row],[Italy LogiP(t)]]-tblData[[#This Row],[Italy]])^2,"")</f>
        <v/>
      </c>
      <c r="AO85" s="44">
        <f>IF(AND(tblData[Date]&gt;StartDt2Italy,ISNUMBER(tblData[Days'# Italy])),tblData[[#This Row],[Italy LogiP(t)]]/$AM$9,"")</f>
        <v>9164.9980320658979</v>
      </c>
      <c r="AP85" s="21">
        <f>IF(ISNUMBER(tblData[[#This Row],[Days'# US]]),betaUS/(deltaUS+betaPodeltaUS*EXP(-betaUS*tblData[Days'# US])),"")</f>
        <v>346966992.9476319</v>
      </c>
      <c r="AQ85" s="11" t="str">
        <f>IF(ISNUMBER(tblData[US]),(tblData[[#This Row],[US LogiP(t)]]-tblData[US])^2,"")</f>
        <v/>
      </c>
      <c r="AR85" s="21">
        <f>IF(ISNUMBER(tblData[[#This Row],[Days'# US]]),tblData[[#This Row],[US LogiP(t)]]/$AP$9,"")</f>
        <v>10538813.850386472</v>
      </c>
      <c r="AS85" s="21">
        <f>IF(tblData[Date]&gt;=StartDt2Korea,betaSKorea/(deltaSKorea+betaPodeltaSKorea*EXP(-betaSKorea*(tblData[Date]-StartDt2Korea))),"")</f>
        <v>8319.4112668986636</v>
      </c>
      <c r="AT85" s="21" t="str">
        <f>IF(AND(tblData[Date]&gt;=StartDt2Korea,ISNUMBER(tblData[SKorea])),(tblData[[#This Row],[SKorea LogiP(t)]]-tblData[[#This Row],[SKorea]])^2,"")</f>
        <v/>
      </c>
      <c r="AU85" s="21">
        <f>IF(tblData[Date]&gt;=StartDt2Korea,tblData[[#This Row],[SKorea LogiP(t)]]/$AS$9,"")</f>
        <v>1618.5625032876778</v>
      </c>
      <c r="AV85" s="85">
        <f>IF(ISNUMBER(tblData[Days'# UK]),betaUK/(deltaUK+betaPodeltaUK*EXP(-betaUK*tblData[Days'# UK])),"")</f>
        <v>93242903.840694353</v>
      </c>
      <c r="AW85" s="85" t="str">
        <f>IF(ISNUMBER(tblData[UK]),(tblData[[#This Row],[UK LogiP(t)]]-tblData[[#This Row],[UK]])^2,"")</f>
        <v/>
      </c>
      <c r="AX85" s="85">
        <f>IF(ISNUMBER(tblData[Days'# UK]),tblData[[#This Row],[UK LogiP(t)]]/$AV$9,"")</f>
        <v>14034151.691856464</v>
      </c>
      <c r="AY85" s="11">
        <f>IF(ISNUMBER(tblData[Days'# China]),betaChina/(deltaChina+betaPodeltaChina*EXP(-betaChina*tblData[Days'# China])),"")</f>
        <v>80951.038121418809</v>
      </c>
      <c r="AZ85" s="11" t="str">
        <f>IF(ISNUMBER(tblData[China]),(tblData[[#This Row],[China LogiP(t)]]-tblData[[#This Row],[China]])^2,"")</f>
        <v/>
      </c>
      <c r="BA85" s="11">
        <f>tblData[[#This Row],[China LogiP(t)]]/$AY$9</f>
        <v>562.42410131227359</v>
      </c>
      <c r="BB85" s="11"/>
      <c r="BC85" s="11"/>
      <c r="BD85" s="11" t="str">
        <f>IF(ISNUMBER(tblData[[#This Row],[NSW Number of Tests]]),tblData[[#This Row],[NSW Number of Tests]]-BB84,"")</f>
        <v/>
      </c>
      <c r="BE85" s="11" t="str">
        <f>IF(ISNUMBER(tblData[[#This Row],[NSW Under Investigation'']]),tblData[[#This Row],[NSW Under Investigation'']]-BC84,"")</f>
        <v/>
      </c>
      <c r="BF85" s="11">
        <f t="shared" si="6"/>
        <v>30</v>
      </c>
      <c r="BG85" s="11">
        <f>IF(ISNUMBER(tblData[[#This Row],[NSW Test Day Number]]),betaTest/(deltaTest+betaPodeltaTest*EXP(-betaTest*tblData[[#This Row],[NSW Test Day Number]])),"")</f>
        <v>212521.22015931713</v>
      </c>
      <c r="BH85" s="11" t="str">
        <f>IF(ISNUMBER(tblData[[#This Row],[NSW Number of Tests]]),(tblData[[#This Row],[NSW Number of Tests]]-tblData[[#This Row],[NSW Test Logi]])^2,"")</f>
        <v/>
      </c>
      <c r="BY85"/>
      <c r="BZ85"/>
      <c r="CJ85" s="26"/>
      <c r="CK85" s="26"/>
    </row>
    <row r="86" spans="2:173" x14ac:dyDescent="0.25">
      <c r="B86" s="27">
        <f t="shared" si="12"/>
        <v>43963</v>
      </c>
      <c r="D86" s="26"/>
      <c r="L86" s="12" t="str">
        <f>IF(ISNUMBER(tblData[[#This Row],[NSW]]),tblData[[#This Row],[New South Wales]]/$L$9,"")</f>
        <v/>
      </c>
      <c r="M86" s="26"/>
      <c r="N86" s="49" t="str">
        <f>IF(ISNUMBER(tblData[Italy]),tblData[Italy]/$N$9,"")</f>
        <v/>
      </c>
      <c r="O86" s="26"/>
      <c r="P86" s="49" t="str">
        <f>IF(ISNUMBER(tblData[US]),tblData[US]/$P$9,"")</f>
        <v/>
      </c>
      <c r="Q86" s="49"/>
      <c r="R86" s="19" t="str">
        <f>IF(ISNUMBER(tblData[SKorea]),tblData[SKorea]/$R$9,"")</f>
        <v/>
      </c>
      <c r="S86" s="49"/>
      <c r="T86" s="12" t="str">
        <f>IF(ISNUMBER(tblData[UK]),tblData[UK]/$T$9,"")</f>
        <v/>
      </c>
      <c r="U86" s="26"/>
      <c r="V86" s="21" t="str">
        <f>IF(ISNUMBER(tblData[China]),tblData[China]/$V$9,"")</f>
        <v/>
      </c>
      <c r="W86" s="26">
        <f>IF(tblData[[#This Row],[Date]]&lt;ItalyStart,"",tblData[[#This Row],[Date]]-ItalyStart)</f>
        <v>103</v>
      </c>
      <c r="X86" s="26">
        <f t="shared" si="7"/>
        <v>93</v>
      </c>
      <c r="Y86" s="26">
        <f t="shared" si="11"/>
        <v>75</v>
      </c>
      <c r="Z86" s="26">
        <f>IF(tblData[[#This Row],[Date]]&lt;StartDt2Korea,"",tblData[[#This Row],[Date]]-StartDt2Korea)</f>
        <v>83</v>
      </c>
      <c r="AA86" s="26">
        <f>IF(tblData[[#This Row],[Date]]&lt;UKStart,"",tblData[[#This Row],[Date]]-UKStart)</f>
        <v>103</v>
      </c>
      <c r="AB86">
        <f>IF(tblData[Date]&gt;=StartDt2Au,tblData[Date]-StartDt2Au,"")</f>
        <v>108</v>
      </c>
      <c r="AC86" s="26" t="str">
        <f>IF(tblData[New South Wales]&gt;0,SUM(tblData[[#This Row],[Australian Capital Territory]:[Western Australia]]),"")</f>
        <v/>
      </c>
      <c r="AD86" s="12" t="str">
        <f>IF(ISNUMBER(tblData[Au]),tblData[Au]/$AA$9,"")</f>
        <v/>
      </c>
      <c r="AE86" s="44">
        <f>IF(ISNUMBER(tblData[[#This Row],[Day'# Aust]]),betaAu/(deltaAu+betaPodeltaAu*EXP(-betaAu*tblData[[#This Row],[Day'# Aust]])),"")</f>
        <v>39706743.682226188</v>
      </c>
      <c r="AF86" s="73">
        <f>IF(ISNUMBER(tblData[Day'# Aust]),tblData[Au LogiP(t)]/$AD$9,"")</f>
        <v>15654764.107485486</v>
      </c>
      <c r="AG86" s="11" t="str">
        <f>IF(AND(tblData[Date]&gt;=StartDt2Au,ISNUMBER(tblData[NSW])),(tblData[[#This Row],[Au LogiP(t)]]-tblData[[#This Row],[Au]])^2,"")</f>
        <v/>
      </c>
      <c r="AH86">
        <f>IF(tblData[Date]&gt;StartDt2NSW,tblData[Date]-StartDt2NSW,"")</f>
        <v>108</v>
      </c>
      <c r="AI86" t="str">
        <f t="shared" si="9"/>
        <v/>
      </c>
      <c r="AJ86" s="11">
        <f>IF(tblData[Date]&gt;StartDt2NSW,betaNSW/(deltaNSW+betaPodeltaNSW*EXP(-betaNSW*tblData[[#This Row],[Day '# NSW]])),"")</f>
        <v>2724.4478629559617</v>
      </c>
      <c r="AK86" s="12" t="str">
        <f>IF(AND(ISNUMBER(tblData[NSW]),tblData[Date]&gt;StartDt2NSW),(tblData[[#This Row],[NSW LogiP(t)]]-tblData[[#This Row],[NSW]])^2,"")</f>
        <v/>
      </c>
      <c r="AL86" s="44">
        <f>IF(AND(tblData[Date]&gt;StartDt2NSW,ISNUMBER(tblData[Day'# Aust])),tblData[NSW LogiP(t)]/$AG$9,"")</f>
        <v>3371.8414145494571</v>
      </c>
      <c r="AM86" s="11">
        <f>IF(AND(tblData[Date]&gt;StartDt2Italy,ISNUMBER(tblData[Days'# Italy])),betaItaly/(deltaItaly+betaPodeltaItaly*EXP(-betaItaly*tblData[Days'# Italy])),"")</f>
        <v>55402.495552802851</v>
      </c>
      <c r="AN86" s="11" t="str">
        <f>IF(AND(tblData[Date]&gt;StartDt2Italy,ISNUMBER(tblData[Italy])),(tblData[[#This Row],[Italy LogiP(t)]]-tblData[[#This Row],[Italy]])^2,"")</f>
        <v/>
      </c>
      <c r="AO86" s="44">
        <f>IF(AND(tblData[Date]&gt;StartDt2Italy,ISNUMBER(tblData[Days'# Italy])),tblData[[#This Row],[Italy LogiP(t)]]/$AM$9,"")</f>
        <v>9165.0116712659801</v>
      </c>
      <c r="AP86" s="21">
        <f>IF(ISNUMBER(tblData[[#This Row],[Days'# US]]),betaUS/(deltaUS+betaPodeltaUS*EXP(-betaUS*tblData[Days'# US])),"")</f>
        <v>347631300.05092919</v>
      </c>
      <c r="AQ86" s="11" t="str">
        <f>IF(ISNUMBER(tblData[US]),(tblData[[#This Row],[US LogiP(t)]]-tblData[US])^2,"")</f>
        <v/>
      </c>
      <c r="AR86" s="21">
        <f>IF(ISNUMBER(tblData[[#This Row],[Days'# US]]),tblData[[#This Row],[US LogiP(t)]]/$AP$9,"")</f>
        <v>10558991.587875744</v>
      </c>
      <c r="AS86" s="21">
        <f>IF(tblData[Date]&gt;=StartDt2Korea,betaSKorea/(deltaSKorea+betaPodeltaSKorea*EXP(-betaSKorea*(tblData[Date]-StartDt2Korea))),"")</f>
        <v>8319.4112731089826</v>
      </c>
      <c r="AT86" s="21" t="str">
        <f>IF(AND(tblData[Date]&gt;=StartDt2Korea,ISNUMBER(tblData[SKorea])),(tblData[[#This Row],[SKorea LogiP(t)]]-tblData[[#This Row],[SKorea]])^2,"")</f>
        <v/>
      </c>
      <c r="AU86" s="21">
        <f>IF(tblData[Date]&gt;=StartDt2Korea,tblData[[#This Row],[SKorea LogiP(t)]]/$AS$9,"")</f>
        <v>1618.5625044959111</v>
      </c>
      <c r="AV86" s="85">
        <f>IF(ISNUMBER(tblData[Days'# UK]),betaUK/(deltaUK+betaPodeltaUK*EXP(-betaUK*tblData[Days'# UK])),"")</f>
        <v>178310636.08909133</v>
      </c>
      <c r="AW86" s="85" t="str">
        <f>IF(ISNUMBER(tblData[UK]),(tblData[[#This Row],[UK LogiP(t)]]-tblData[[#This Row],[UK]])^2,"")</f>
        <v/>
      </c>
      <c r="AX86" s="85">
        <f>IF(ISNUMBER(tblData[Days'# UK]),tblData[[#This Row],[UK LogiP(t)]]/$AV$9,"")</f>
        <v>26837844.083246738</v>
      </c>
      <c r="AY86" s="11">
        <f>IF(ISNUMBER(tblData[Days'# China]),betaChina/(deltaChina+betaPodeltaChina*EXP(-betaChina*tblData[Days'# China])),"")</f>
        <v>80951.098566549539</v>
      </c>
      <c r="AZ86" s="11" t="str">
        <f>IF(ISNUMBER(tblData[China]),(tblData[[#This Row],[China LogiP(t)]]-tblData[[#This Row],[China]])^2,"")</f>
        <v/>
      </c>
      <c r="BA86" s="11">
        <f>tblData[[#This Row],[China LogiP(t)]]/$AY$9</f>
        <v>562.42452126733679</v>
      </c>
      <c r="BB86" s="11"/>
      <c r="BC86" s="11"/>
      <c r="BD86" s="11" t="str">
        <f>IF(ISNUMBER(tblData[[#This Row],[NSW Number of Tests]]),tblData[[#This Row],[NSW Number of Tests]]-BB85,"")</f>
        <v/>
      </c>
      <c r="BE86" s="11" t="str">
        <f>IF(ISNUMBER(tblData[[#This Row],[NSW Under Investigation'']]),tblData[[#This Row],[NSW Under Investigation'']]-BC85,"")</f>
        <v/>
      </c>
      <c r="BF86" s="11">
        <f t="shared" si="6"/>
        <v>31</v>
      </c>
      <c r="BG86" s="11">
        <f>IF(ISNUMBER(tblData[[#This Row],[NSW Test Day Number]]),betaTest/(deltaTest+betaPodeltaTest*EXP(-betaTest*tblData[[#This Row],[NSW Test Day Number]])),"")</f>
        <v>221831.18028052556</v>
      </c>
      <c r="BH86" s="11" t="str">
        <f>IF(ISNUMBER(tblData[[#This Row],[NSW Number of Tests]]),(tblData[[#This Row],[NSW Number of Tests]]-tblData[[#This Row],[NSW Test Logi]])^2,"")</f>
        <v/>
      </c>
      <c r="BY86"/>
      <c r="BZ86"/>
      <c r="CJ86" s="26"/>
      <c r="CK86" s="26"/>
    </row>
    <row r="87" spans="2:173" x14ac:dyDescent="0.25">
      <c r="B87" s="27">
        <f t="shared" si="12"/>
        <v>43970</v>
      </c>
      <c r="D87" s="26"/>
      <c r="L87" s="12" t="str">
        <f>IF(ISNUMBER(tblData[[#This Row],[NSW]]),tblData[[#This Row],[New South Wales]]/$L$9,"")</f>
        <v/>
      </c>
      <c r="M87" s="26"/>
      <c r="N87" s="49" t="str">
        <f>IF(ISNUMBER(tblData[Italy]),tblData[Italy]/$N$9,"")</f>
        <v/>
      </c>
      <c r="O87" s="26"/>
      <c r="P87" s="49" t="str">
        <f>IF(ISNUMBER(tblData[US]),tblData[US]/$P$9,"")</f>
        <v/>
      </c>
      <c r="Q87" s="49"/>
      <c r="R87" s="19" t="str">
        <f>IF(ISNUMBER(tblData[SKorea]),tblData[SKorea]/$R$9,"")</f>
        <v/>
      </c>
      <c r="S87" s="49"/>
      <c r="T87" s="12" t="str">
        <f>IF(ISNUMBER(tblData[UK]),tblData[UK]/$T$9,"")</f>
        <v/>
      </c>
      <c r="U87" s="26"/>
      <c r="V87" s="21" t="str">
        <f>IF(ISNUMBER(tblData[China]),tblData[China]/$V$9,"")</f>
        <v/>
      </c>
      <c r="W87" s="26">
        <f>IF(tblData[[#This Row],[Date]]&lt;ItalyStart,"",tblData[[#This Row],[Date]]-ItalyStart)</f>
        <v>110</v>
      </c>
      <c r="X87" s="26">
        <f t="shared" si="7"/>
        <v>100</v>
      </c>
      <c r="Y87" s="26">
        <f t="shared" si="11"/>
        <v>76</v>
      </c>
      <c r="Z87" s="26">
        <f>IF(tblData[[#This Row],[Date]]&lt;StartDt2Korea,"",tblData[[#This Row],[Date]]-StartDt2Korea)</f>
        <v>90</v>
      </c>
      <c r="AA87" s="26">
        <f>IF(tblData[[#This Row],[Date]]&lt;UKStart,"",tblData[[#This Row],[Date]]-UKStart)</f>
        <v>110</v>
      </c>
      <c r="AB87">
        <f>IF(tblData[Date]&gt;=StartDt2Au,tblData[Date]-StartDt2Au,"")</f>
        <v>115</v>
      </c>
      <c r="AC87" s="26" t="str">
        <f>IF(tblData[New South Wales]&gt;0,SUM(tblData[[#This Row],[Australian Capital Territory]:[Western Australia]]),"")</f>
        <v/>
      </c>
      <c r="AD87" s="12" t="str">
        <f>IF(ISNUMBER(tblData[Au]),tblData[Au]/$AA$9,"")</f>
        <v/>
      </c>
      <c r="AE87" s="44">
        <f>IF(ISNUMBER(tblData[[#This Row],[Day'# Aust]]),betaAu/(deltaAu+betaPodeltaAu*EXP(-betaAu*tblData[[#This Row],[Day'# Aust]])),"")</f>
        <v>103774051.74900539</v>
      </c>
      <c r="AF87" s="73">
        <f>IF(ISNUMBER(tblData[Day'# Aust]),tblData[Au LogiP(t)]/$AD$9,"")</f>
        <v>40913914.11015825</v>
      </c>
      <c r="AG87" s="11" t="str">
        <f>IF(AND(tblData[Date]&gt;=StartDt2Au,ISNUMBER(tblData[NSW])),(tblData[[#This Row],[Au LogiP(t)]]-tblData[[#This Row],[Au]])^2,"")</f>
        <v/>
      </c>
      <c r="AH87">
        <f>IF(tblData[Date]&gt;StartDt2NSW,tblData[Date]-StartDt2NSW,"")</f>
        <v>115</v>
      </c>
      <c r="AI87" t="str">
        <f t="shared" si="9"/>
        <v/>
      </c>
      <c r="AJ87" s="11">
        <f>IF(tblData[Date]&gt;StartDt2NSW,betaNSW/(deltaNSW+betaPodeltaNSW*EXP(-betaNSW*tblData[[#This Row],[Day '# NSW]])),"")</f>
        <v>2724.6498732218747</v>
      </c>
      <c r="AK87" s="12" t="str">
        <f>IF(AND(ISNUMBER(tblData[NSW]),tblData[Date]&gt;StartDt2NSW),(tblData[[#This Row],[NSW LogiP(t)]]-tblData[[#This Row],[NSW]])^2,"")</f>
        <v/>
      </c>
      <c r="AL87" s="44">
        <f>IF(AND(tblData[Date]&gt;StartDt2NSW,ISNUMBER(tblData[Day'# Aust])),tblData[NSW LogiP(t)]/$AG$9,"")</f>
        <v>3372.0914272547952</v>
      </c>
      <c r="AM87" s="11">
        <f>IF(AND(tblData[Date]&gt;StartDt2Italy,ISNUMBER(tblData[Days'# Italy])),betaItaly/(deltaItaly+betaPodeltaItaly*EXP(-betaItaly*tblData[Days'# Italy])),"")</f>
        <v>55402.508891921934</v>
      </c>
      <c r="AN87" s="11" t="str">
        <f>IF(AND(tblData[Date]&gt;StartDt2Italy,ISNUMBER(tblData[Italy])),(tblData[[#This Row],[Italy LogiP(t)]]-tblData[[#This Row],[Italy]])^2,"")</f>
        <v/>
      </c>
      <c r="AO87" s="44">
        <f>IF(AND(tblData[Date]&gt;StartDt2Italy,ISNUMBER(tblData[Days'# Italy])),tblData[[#This Row],[Italy LogiP(t)]]/$AM$9,"")</f>
        <v>9165.0138779027184</v>
      </c>
      <c r="AP87" s="21">
        <f>IF(ISNUMBER(tblData[[#This Row],[Days'# US]]),betaUS/(deltaUS+betaPodeltaUS*EXP(-betaUS*tblData[Days'# US])),"")</f>
        <v>347689679.16584677</v>
      </c>
      <c r="AQ87" s="11" t="str">
        <f>IF(ISNUMBER(tblData[US]),(tblData[[#This Row],[US LogiP(t)]]-tblData[US])^2,"")</f>
        <v/>
      </c>
      <c r="AR87" s="21">
        <f>IF(ISNUMBER(tblData[[#This Row],[Days'# US]]),tblData[[#This Row],[US LogiP(t)]]/$AP$9,"")</f>
        <v>10560764.801574374</v>
      </c>
      <c r="AS87" s="21">
        <f>IF(tblData[Date]&gt;=StartDt2Korea,betaSKorea/(deltaSKorea+betaPodeltaSKorea*EXP(-betaSKorea*(tblData[Date]-StartDt2Korea))),"")</f>
        <v>8319.4112737444375</v>
      </c>
      <c r="AT87" s="21" t="str">
        <f>IF(AND(tblData[Date]&gt;=StartDt2Korea,ISNUMBER(tblData[SKorea])),(tblData[[#This Row],[SKorea LogiP(t)]]-tblData[[#This Row],[SKorea]])^2,"")</f>
        <v/>
      </c>
      <c r="AU87" s="21">
        <f>IF(tblData[Date]&gt;=StartDt2Korea,tblData[[#This Row],[SKorea LogiP(t)]]/$AS$9,"")</f>
        <v>1618.5625046195405</v>
      </c>
      <c r="AV87" s="85">
        <f>IF(ISNUMBER(tblData[Days'# UK]),betaUK/(deltaUK+betaPodeltaUK*EXP(-betaUK*tblData[Days'# UK])),"")</f>
        <v>217878183.02053303</v>
      </c>
      <c r="AW87" s="85" t="str">
        <f>IF(ISNUMBER(tblData[UK]),(tblData[[#This Row],[UK LogiP(t)]]-tblData[[#This Row],[UK]])^2,"")</f>
        <v/>
      </c>
      <c r="AX87" s="85">
        <f>IF(ISNUMBER(tblData[Days'# UK]),tblData[[#This Row],[UK LogiP(t)]]/$AV$9,"")</f>
        <v>32793224.416094676</v>
      </c>
      <c r="AY87" s="11">
        <f>IF(ISNUMBER(tblData[Days'# China]),betaChina/(deltaChina+betaPodeltaChina*EXP(-betaChina*tblData[Days'# China])),"")</f>
        <v>80951.146971126276</v>
      </c>
      <c r="AZ87" s="11" t="str">
        <f>IF(ISNUMBER(tblData[China]),(tblData[[#This Row],[China LogiP(t)]]-tblData[[#This Row],[China]])^2,"")</f>
        <v/>
      </c>
      <c r="BA87" s="11">
        <f>tblData[[#This Row],[China LogiP(t)]]/$AY$9</f>
        <v>562.42485756815756</v>
      </c>
      <c r="BB87" s="11"/>
      <c r="BC87" s="11"/>
      <c r="BD87" s="11" t="str">
        <f>IF(ISNUMBER(tblData[[#This Row],[NSW Number of Tests]]),tblData[[#This Row],[NSW Number of Tests]]-BB86,"")</f>
        <v/>
      </c>
      <c r="BE87" s="11" t="str">
        <f>IF(ISNUMBER(tblData[[#This Row],[NSW Under Investigation'']]),tblData[[#This Row],[NSW Under Investigation'']]-BC86,"")</f>
        <v/>
      </c>
      <c r="BF87" s="11">
        <f t="shared" si="6"/>
        <v>32</v>
      </c>
      <c r="BG87" s="11">
        <f>IF(ISNUMBER(tblData[[#This Row],[NSW Test Day Number]]),betaTest/(deltaTest+betaPodeltaTest*EXP(-betaTest*tblData[[#This Row],[NSW Test Day Number]])),"")</f>
        <v>230359.15016001387</v>
      </c>
      <c r="BH87" s="11" t="str">
        <f>IF(ISNUMBER(tblData[[#This Row],[NSW Number of Tests]]),(tblData[[#This Row],[NSW Number of Tests]]-tblData[[#This Row],[NSW Test Logi]])^2,"")</f>
        <v/>
      </c>
      <c r="BY87"/>
      <c r="BZ87"/>
      <c r="CJ87" s="26"/>
      <c r="CK87" s="26"/>
    </row>
    <row r="88" spans="2:173" x14ac:dyDescent="0.25">
      <c r="B88" s="27">
        <f t="shared" si="12"/>
        <v>43977</v>
      </c>
      <c r="D88" s="26"/>
      <c r="L88" s="12" t="str">
        <f>IF(ISNUMBER(tblData[[#This Row],[NSW]]),tblData[[#This Row],[New South Wales]]/$L$9,"")</f>
        <v/>
      </c>
      <c r="M88" s="26"/>
      <c r="N88" s="49" t="str">
        <f>IF(ISNUMBER(tblData[Italy]),tblData[Italy]/$N$9,"")</f>
        <v/>
      </c>
      <c r="O88" s="26"/>
      <c r="P88" s="49" t="str">
        <f>IF(ISNUMBER(tblData[US]),tblData[US]/$P$9,"")</f>
        <v/>
      </c>
      <c r="Q88" s="49"/>
      <c r="R88" s="19" t="str">
        <f>IF(ISNUMBER(tblData[SKorea]),tblData[SKorea]/$R$9,"")</f>
        <v/>
      </c>
      <c r="S88" s="49"/>
      <c r="T88" s="12" t="str">
        <f>IF(ISNUMBER(tblData[UK]),tblData[UK]/$T$9,"")</f>
        <v/>
      </c>
      <c r="U88" s="26"/>
      <c r="V88" s="21" t="str">
        <f>IF(ISNUMBER(tblData[China]),tblData[China]/$V$9,"")</f>
        <v/>
      </c>
      <c r="W88" s="26">
        <f>IF(tblData[[#This Row],[Date]]&lt;ItalyStart,"",tblData[[#This Row],[Date]]-ItalyStart)</f>
        <v>117</v>
      </c>
      <c r="X88" s="26">
        <f t="shared" si="7"/>
        <v>107</v>
      </c>
      <c r="Y88" s="26">
        <f t="shared" si="11"/>
        <v>77</v>
      </c>
      <c r="Z88" s="26">
        <f>IF(tblData[[#This Row],[Date]]&lt;StartDt2Korea,"",tblData[[#This Row],[Date]]-StartDt2Korea)</f>
        <v>97</v>
      </c>
      <c r="AA88" s="26">
        <f>IF(tblData[[#This Row],[Date]]&lt;UKStart,"",tblData[[#This Row],[Date]]-UKStart)</f>
        <v>117</v>
      </c>
      <c r="AB88">
        <f>IF(tblData[Date]&gt;=StartDt2Au,tblData[Date]-StartDt2Au,"")</f>
        <v>122</v>
      </c>
      <c r="AC88" s="26" t="str">
        <f>IF(tblData[New South Wales]&gt;0,SUM(tblData[[#This Row],[Australian Capital Territory]:[Western Australia]]),"")</f>
        <v/>
      </c>
      <c r="AD88" s="12" t="str">
        <f>IF(ISNUMBER(tblData[Au]),tblData[Au]/$AA$9,"")</f>
        <v/>
      </c>
      <c r="AE88" s="44">
        <f>IF(ISNUMBER(tblData[[#This Row],[Day'# Aust]]),betaAu/(deltaAu+betaPodeltaAu*EXP(-betaAu*tblData[[#This Row],[Day'# Aust]])),"")</f>
        <v>167436220.81893587</v>
      </c>
      <c r="AF88" s="73">
        <f>IF(ISNUMBER(tblData[Day'# Aust]),tblData[Au LogiP(t)]/$AD$9,"")</f>
        <v>66013334.181886084</v>
      </c>
      <c r="AG88" s="11" t="str">
        <f>IF(AND(tblData[Date]&gt;=StartDt2Au,ISNUMBER(tblData[NSW])),(tblData[[#This Row],[Au LogiP(t)]]-tblData[[#This Row],[Au]])^2,"")</f>
        <v/>
      </c>
      <c r="AH88">
        <f>IF(tblData[Date]&gt;StartDt2NSW,tblData[Date]-StartDt2NSW,"")</f>
        <v>122</v>
      </c>
      <c r="AI88" t="str">
        <f t="shared" si="9"/>
        <v/>
      </c>
      <c r="AJ88" s="11">
        <f>IF(tblData[Date]&gt;StartDt2NSW,betaNSW/(deltaNSW+betaPodeltaNSW*EXP(-betaNSW*tblData[[#This Row],[Day '# NSW]])),"")</f>
        <v>2724.696550973732</v>
      </c>
      <c r="AK88" s="12" t="str">
        <f>IF(AND(ISNUMBER(tblData[NSW]),tblData[Date]&gt;StartDt2NSW),(tblData[[#This Row],[NSW LogiP(t)]]-tblData[[#This Row],[NSW]])^2,"")</f>
        <v/>
      </c>
      <c r="AL88" s="44">
        <f>IF(AND(tblData[Date]&gt;StartDt2NSW,ISNUMBER(tblData[Day'# Aust])),tblData[NSW LogiP(t)]/$AG$9,"")</f>
        <v>3372.1491967496681</v>
      </c>
      <c r="AM88" s="11">
        <f>IF(AND(tblData[Date]&gt;StartDt2Italy,ISNUMBER(tblData[Days'# Italy])),betaItaly/(deltaItaly+betaPodeltaItaly*EXP(-betaItaly*tblData[Days'# Italy])),"")</f>
        <v>55402.51105000652</v>
      </c>
      <c r="AN88" s="11" t="str">
        <f>IF(AND(tblData[Date]&gt;StartDt2Italy,ISNUMBER(tblData[Italy])),(tblData[[#This Row],[Italy LogiP(t)]]-tblData[[#This Row],[Italy]])^2,"")</f>
        <v/>
      </c>
      <c r="AO88" s="44">
        <f>IF(AND(tblData[Date]&gt;StartDt2Italy,ISNUMBER(tblData[Days'# Italy])),tblData[[#This Row],[Italy LogiP(t)]]/$AM$9,"")</f>
        <v>9165.0142349059588</v>
      </c>
      <c r="AP88" s="21">
        <f>IF(ISNUMBER(tblData[[#This Row],[Days'# US]]),betaUS/(deltaUS+betaPodeltaUS*EXP(-betaUS*tblData[Days'# US])),"")</f>
        <v>347694799.77705127</v>
      </c>
      <c r="AQ88" s="11" t="str">
        <f>IF(ISNUMBER(tblData[US]),(tblData[[#This Row],[US LogiP(t)]]-tblData[US])^2,"")</f>
        <v/>
      </c>
      <c r="AR88" s="21">
        <f>IF(ISNUMBER(tblData[[#This Row],[Days'# US]]),tblData[[#This Row],[US LogiP(t)]]/$AP$9,"")</f>
        <v>10560920.335585911</v>
      </c>
      <c r="AS88" s="21">
        <f>IF(tblData[Date]&gt;=StartDt2Korea,betaSKorea/(deltaSKorea+betaPodeltaSKorea*EXP(-betaSKorea*(tblData[Date]-StartDt2Korea))),"")</f>
        <v>8319.4112738094591</v>
      </c>
      <c r="AT88" s="21" t="str">
        <f>IF(AND(tblData[Date]&gt;=StartDt2Korea,ISNUMBER(tblData[SKorea])),(tblData[[#This Row],[SKorea LogiP(t)]]-tblData[[#This Row],[SKorea]])^2,"")</f>
        <v/>
      </c>
      <c r="AU88" s="21">
        <f>IF(tblData[Date]&gt;=StartDt2Korea,tblData[[#This Row],[SKorea LogiP(t)]]/$AS$9,"")</f>
        <v>1618.5625046321907</v>
      </c>
      <c r="AV88" s="85">
        <f>IF(ISNUMBER(tblData[Days'# UK]),betaUK/(deltaUK+betaPodeltaUK*EXP(-betaUK*tblData[Days'# UK])),"")</f>
        <v>227946845.41919371</v>
      </c>
      <c r="AW88" s="85" t="str">
        <f>IF(ISNUMBER(tblData[UK]),(tblData[[#This Row],[UK LogiP(t)]]-tblData[[#This Row],[UK]])^2,"")</f>
        <v/>
      </c>
      <c r="AX88" s="85">
        <f>IF(ISNUMBER(tblData[Days'# UK]),tblData[[#This Row],[UK LogiP(t)]]/$AV$9,"")</f>
        <v>34308676.31234102</v>
      </c>
      <c r="AY88" s="11">
        <f>IF(ISNUMBER(tblData[Days'# China]),betaChina/(deltaChina+betaPodeltaChina*EXP(-betaChina*tblData[Days'# China])),"")</f>
        <v>80951.185733593898</v>
      </c>
      <c r="AZ88" s="11" t="str">
        <f>IF(ISNUMBER(tblData[China]),(tblData[[#This Row],[China LogiP(t)]]-tblData[[#This Row],[China]])^2,"")</f>
        <v/>
      </c>
      <c r="BA88" s="11">
        <f>tblData[[#This Row],[China LogiP(t)]]/$AY$9</f>
        <v>562.42512687842861</v>
      </c>
      <c r="BB88" s="11"/>
      <c r="BC88" s="11"/>
      <c r="BD88" s="11" t="str">
        <f>IF(ISNUMBER(tblData[[#This Row],[NSW Number of Tests]]),tblData[[#This Row],[NSW Number of Tests]]-BB87,"")</f>
        <v/>
      </c>
      <c r="BE88" s="11" t="str">
        <f>IF(ISNUMBER(tblData[[#This Row],[NSW Under Investigation'']]),tblData[[#This Row],[NSW Under Investigation'']]-BC87,"")</f>
        <v/>
      </c>
      <c r="BF88" s="11">
        <f t="shared" si="6"/>
        <v>33</v>
      </c>
      <c r="BG88" s="11">
        <f>IF(ISNUMBER(tblData[[#This Row],[NSW Test Day Number]]),betaTest/(deltaTest+betaPodeltaTest*EXP(-betaTest*tblData[[#This Row],[NSW Test Day Number]])),"")</f>
        <v>238094.26328236688</v>
      </c>
      <c r="BH88" s="11" t="str">
        <f>IF(ISNUMBER(tblData[[#This Row],[NSW Number of Tests]]),(tblData[[#This Row],[NSW Number of Tests]]-tblData[[#This Row],[NSW Test Logi]])^2,"")</f>
        <v/>
      </c>
      <c r="BY88"/>
      <c r="BZ88"/>
      <c r="CJ88" s="26"/>
      <c r="CK88" s="26"/>
      <c r="DE88" s="26"/>
      <c r="DI88" s="26"/>
      <c r="DJ88" s="26"/>
      <c r="DK88" s="26"/>
      <c r="DL88" s="26"/>
      <c r="DM88" s="26"/>
      <c r="DN88" s="26"/>
      <c r="DO88" s="26"/>
      <c r="DP88" s="26"/>
      <c r="DQ88" s="26"/>
      <c r="DS88" s="26"/>
      <c r="DT88" s="26"/>
      <c r="DU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</row>
    <row r="89" spans="2:173" x14ac:dyDescent="0.25">
      <c r="B89" s="27">
        <f t="shared" si="12"/>
        <v>43984</v>
      </c>
      <c r="D89" s="26"/>
      <c r="L89" s="12" t="str">
        <f>IF(ISNUMBER(tblData[[#This Row],[NSW]]),tblData[[#This Row],[New South Wales]]/$L$9,"")</f>
        <v/>
      </c>
      <c r="M89" s="26"/>
      <c r="N89" s="49" t="str">
        <f>IF(ISNUMBER(tblData[Italy]),tblData[Italy]/$N$9,"")</f>
        <v/>
      </c>
      <c r="O89" s="26"/>
      <c r="P89" s="49" t="str">
        <f>IF(ISNUMBER(tblData[US]),tblData[US]/$P$9,"")</f>
        <v/>
      </c>
      <c r="Q89" s="49"/>
      <c r="R89" s="19" t="str">
        <f>IF(ISNUMBER(tblData[SKorea]),tblData[SKorea]/$R$9,"")</f>
        <v/>
      </c>
      <c r="S89" s="49"/>
      <c r="T89" s="12" t="str">
        <f>IF(ISNUMBER(tblData[UK]),tblData[UK]/$T$9,"")</f>
        <v/>
      </c>
      <c r="U89" s="26"/>
      <c r="V89" s="21" t="str">
        <f>IF(ISNUMBER(tblData[China]),tblData[China]/$V$9,"")</f>
        <v/>
      </c>
      <c r="W89" s="26">
        <f>IF(tblData[[#This Row],[Date]]&lt;ItalyStart,"",tblData[[#This Row],[Date]]-ItalyStart)</f>
        <v>124</v>
      </c>
      <c r="X89" s="26">
        <f t="shared" si="7"/>
        <v>114</v>
      </c>
      <c r="Y89" s="26">
        <f t="shared" si="11"/>
        <v>78</v>
      </c>
      <c r="Z89" s="26">
        <f>IF(tblData[[#This Row],[Date]]&lt;StartDt2Korea,"",tblData[[#This Row],[Date]]-StartDt2Korea)</f>
        <v>104</v>
      </c>
      <c r="AA89" s="26">
        <f>IF(tblData[[#This Row],[Date]]&lt;UKStart,"",tblData[[#This Row],[Date]]-UKStart)</f>
        <v>124</v>
      </c>
      <c r="AB89">
        <f>IF(tblData[Date]&gt;=StartDt2Au,tblData[Date]-StartDt2Au,"")</f>
        <v>129</v>
      </c>
      <c r="AC89" s="26" t="str">
        <f>IF(tblData[New South Wales]&gt;0,SUM(tblData[[#This Row],[Australian Capital Territory]:[Western Australia]]),"")</f>
        <v/>
      </c>
      <c r="AD89" s="12" t="str">
        <f>IF(ISNUMBER(tblData[Au]),tblData[Au]/$AA$9,"")</f>
        <v/>
      </c>
      <c r="AE89" s="44">
        <f>IF(ISNUMBER(tblData[[#This Row],[Day'# Aust]]),betaAu/(deltaAu+betaPodeltaAu*EXP(-betaAu*tblData[[#This Row],[Day'# Aust]])),"")</f>
        <v>195731440.09650806</v>
      </c>
      <c r="AF89" s="73">
        <f>IF(ISNUMBER(tblData[Day'# Aust]),tblData[Au LogiP(t)]/$AD$9,"")</f>
        <v>77168995.464638099</v>
      </c>
      <c r="AG89" s="11" t="str">
        <f>IF(AND(tblData[Date]&gt;=StartDt2Au,ISNUMBER(tblData[NSW])),(tblData[[#This Row],[Au LogiP(t)]]-tblData[[#This Row],[Au]])^2,"")</f>
        <v/>
      </c>
      <c r="AH89">
        <f>IF(tblData[Date]&gt;StartDt2NSW,tblData[Date]-StartDt2NSW,"")</f>
        <v>129</v>
      </c>
      <c r="AI89" t="str">
        <f t="shared" si="9"/>
        <v/>
      </c>
      <c r="AJ89" s="11">
        <f>IF(tblData[Date]&gt;StartDt2NSW,betaNSW/(deltaNSW+betaPodeltaNSW*EXP(-betaNSW*tblData[[#This Row],[Day '# NSW]])),"")</f>
        <v>2724.7073358691987</v>
      </c>
      <c r="AK89" s="12" t="str">
        <f>IF(AND(ISNUMBER(tblData[NSW]),tblData[Date]&gt;StartDt2NSW),(tblData[[#This Row],[NSW LogiP(t)]]-tblData[[#This Row],[NSW]])^2,"")</f>
        <v/>
      </c>
      <c r="AL89" s="44">
        <f>IF(AND(tblData[Date]&gt;StartDt2NSW,ISNUMBER(tblData[Day'# Aust])),tblData[NSW LogiP(t)]/$AG$9,"")</f>
        <v>3372.1625443925723</v>
      </c>
      <c r="AM89" s="11">
        <f>IF(AND(tblData[Date]&gt;StartDt2Italy,ISNUMBER(tblData[Days'# Italy])),betaItaly/(deltaItaly+betaPodeltaItaly*EXP(-betaItaly*tblData[Days'# Italy])),"")</f>
        <v>55402.511399154617</v>
      </c>
      <c r="AN89" s="11" t="str">
        <f>IF(AND(tblData[Date]&gt;StartDt2Italy,ISNUMBER(tblData[Italy])),(tblData[[#This Row],[Italy LogiP(t)]]-tblData[[#This Row],[Italy]])^2,"")</f>
        <v/>
      </c>
      <c r="AO89" s="44">
        <f>IF(AND(tblData[Date]&gt;StartDt2Italy,ISNUMBER(tblData[Days'# Italy])),tblData[[#This Row],[Italy LogiP(t)]]/$AM$9,"")</f>
        <v>9165.014292664122</v>
      </c>
      <c r="AP89" s="21">
        <f>IF(ISNUMBER(tblData[[#This Row],[Days'# US]]),betaUS/(deltaUS+betaPodeltaUS*EXP(-betaUS*tblData[Days'# US])),"")</f>
        <v>347695248.84672982</v>
      </c>
      <c r="AQ89" s="11" t="str">
        <f>IF(ISNUMBER(tblData[US]),(tblData[[#This Row],[US LogiP(t)]]-tblData[US])^2,"")</f>
        <v/>
      </c>
      <c r="AR89" s="21">
        <f>IF(ISNUMBER(tblData[[#This Row],[Days'# US]]),tblData[[#This Row],[US LogiP(t)]]/$AP$9,"")</f>
        <v>10560933.975678036</v>
      </c>
      <c r="AS89" s="21">
        <f>IF(tblData[Date]&gt;=StartDt2Korea,betaSKorea/(deltaSKorea+betaPodeltaSKorea*EXP(-betaSKorea*(tblData[Date]-StartDt2Korea))),"")</f>
        <v>8319.4112738161111</v>
      </c>
      <c r="AT89" s="21" t="str">
        <f>IF(AND(tblData[Date]&gt;=StartDt2Korea,ISNUMBER(tblData[SKorea])),(tblData[[#This Row],[SKorea LogiP(t)]]-tblData[[#This Row],[SKorea]])^2,"")</f>
        <v/>
      </c>
      <c r="AU89" s="21">
        <f>IF(tblData[Date]&gt;=StartDt2Korea,tblData[[#This Row],[SKorea LogiP(t)]]/$AS$9,"")</f>
        <v>1618.5625046334847</v>
      </c>
      <c r="AV89" s="85">
        <f>IF(ISNUMBER(tblData[Days'# UK]),betaUK/(deltaUK+betaPodeltaUK*EXP(-betaUK*tblData[Days'# UK])),"")</f>
        <v>230063165.93632889</v>
      </c>
      <c r="AW89" s="85" t="str">
        <f>IF(ISNUMBER(tblData[UK]),(tblData[[#This Row],[UK LogiP(t)]]-tblData[[#This Row],[UK]])^2,"")</f>
        <v/>
      </c>
      <c r="AX89" s="85">
        <f>IF(ISNUMBER(tblData[Days'# UK]),tblData[[#This Row],[UK LogiP(t)]]/$AV$9,"")</f>
        <v>34627207.395594351</v>
      </c>
      <c r="AY89" s="11">
        <f>IF(ISNUMBER(tblData[Days'# China]),betaChina/(deltaChina+betaPodeltaChina*EXP(-betaChina*tblData[Days'# China])),"")</f>
        <v>80951.216774637418</v>
      </c>
      <c r="AZ89" s="11" t="str">
        <f>IF(ISNUMBER(tblData[China]),(tblData[[#This Row],[China LogiP(t)]]-tblData[[#This Row],[China]])^2,"")</f>
        <v/>
      </c>
      <c r="BA89" s="11">
        <f>tblData[[#This Row],[China LogiP(t)]]/$AY$9</f>
        <v>562.42534254250677</v>
      </c>
      <c r="BB89" s="11"/>
      <c r="BC89" s="11"/>
      <c r="BD89" s="11" t="str">
        <f>IF(ISNUMBER(tblData[[#This Row],[NSW Number of Tests]]),tblData[[#This Row],[NSW Number of Tests]]-BB88,"")</f>
        <v/>
      </c>
      <c r="BE89" s="11" t="str">
        <f>IF(ISNUMBER(tblData[[#This Row],[NSW Under Investigation'']]),tblData[[#This Row],[NSW Under Investigation'']]-BC88,"")</f>
        <v/>
      </c>
      <c r="BF89" s="11">
        <f t="shared" si="6"/>
        <v>34</v>
      </c>
      <c r="BG89" s="11">
        <f>IF(ISNUMBER(tblData[[#This Row],[NSW Test Day Number]]),betaTest/(deltaTest+betaPodeltaTest*EXP(-betaTest*tblData[[#This Row],[NSW Test Day Number]])),"")</f>
        <v>245047.81528302477</v>
      </c>
      <c r="BH89" s="11" t="str">
        <f>IF(ISNUMBER(tblData[[#This Row],[NSW Number of Tests]]),(tblData[[#This Row],[NSW Number of Tests]]-tblData[[#This Row],[NSW Test Logi]])^2,"")</f>
        <v/>
      </c>
      <c r="BY89"/>
      <c r="BZ89"/>
      <c r="CJ89" s="26"/>
      <c r="CK89" s="26"/>
      <c r="DE89" s="26"/>
      <c r="DI89" s="26"/>
      <c r="DJ89" s="26"/>
      <c r="DK89" s="26"/>
      <c r="DL89" s="26"/>
      <c r="DM89" s="26"/>
      <c r="DN89" s="26"/>
      <c r="DO89" s="26"/>
      <c r="DP89" s="26"/>
      <c r="DQ89" s="26"/>
      <c r="DS89" s="26"/>
      <c r="DT89" s="26"/>
      <c r="DU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</row>
    <row r="90" spans="2:173" x14ac:dyDescent="0.25">
      <c r="B90" s="27">
        <f t="shared" si="12"/>
        <v>43991</v>
      </c>
      <c r="D90" s="26"/>
      <c r="L90" s="12" t="str">
        <f>IF(ISNUMBER(tblData[[#This Row],[NSW]]),tblData[[#This Row],[New South Wales]]/$L$9,"")</f>
        <v/>
      </c>
      <c r="M90" s="26"/>
      <c r="N90" s="49" t="str">
        <f>IF(ISNUMBER(tblData[Italy]),tblData[Italy]/$N$9,"")</f>
        <v/>
      </c>
      <c r="O90" s="26"/>
      <c r="P90" s="49" t="str">
        <f>IF(ISNUMBER(tblData[US]),tblData[US]/$P$9,"")</f>
        <v/>
      </c>
      <c r="Q90" s="49"/>
      <c r="R90" s="19" t="str">
        <f>IF(ISNUMBER(tblData[SKorea]),tblData[SKorea]/$R$9,"")</f>
        <v/>
      </c>
      <c r="S90" s="49"/>
      <c r="T90" s="12" t="str">
        <f>IF(ISNUMBER(tblData[UK]),tblData[UK]/$T$9,"")</f>
        <v/>
      </c>
      <c r="U90" s="26"/>
      <c r="V90" s="21" t="str">
        <f>IF(ISNUMBER(tblData[China]),tblData[China]/$V$9,"")</f>
        <v/>
      </c>
      <c r="W90" s="26">
        <f>IF(tblData[[#This Row],[Date]]&lt;ItalyStart,"",tblData[[#This Row],[Date]]-ItalyStart)</f>
        <v>131</v>
      </c>
      <c r="X90" s="26">
        <f t="shared" si="7"/>
        <v>121</v>
      </c>
      <c r="Y90" s="26">
        <f t="shared" si="11"/>
        <v>79</v>
      </c>
      <c r="Z90" s="26">
        <f>IF(tblData[[#This Row],[Date]]&lt;StartDt2Korea,"",tblData[[#This Row],[Date]]-StartDt2Korea)</f>
        <v>111</v>
      </c>
      <c r="AA90" s="26">
        <f>IF(tblData[[#This Row],[Date]]&lt;UKStart,"",tblData[[#This Row],[Date]]-UKStart)</f>
        <v>131</v>
      </c>
      <c r="AB90">
        <f>IF(tblData[Date]&gt;=StartDt2Au,tblData[Date]-StartDt2Au,"")</f>
        <v>136</v>
      </c>
      <c r="AC90" s="26" t="str">
        <f>IF(tblData[New South Wales]&gt;0,SUM(tblData[[#This Row],[Australian Capital Territory]:[Western Australia]]),"")</f>
        <v/>
      </c>
      <c r="AD90" s="12" t="str">
        <f>IF(ISNUMBER(tblData[Au]),tblData[Au]/$AA$9,"")</f>
        <v/>
      </c>
      <c r="AE90" s="44">
        <f>IF(ISNUMBER(tblData[[#This Row],[Day'# Aust]]),betaAu/(deltaAu+betaPodeltaAu*EXP(-betaAu*tblData[[#This Row],[Day'# Aust]])),"")</f>
        <v>203849127.47743252</v>
      </c>
      <c r="AF90" s="73">
        <f>IF(ISNUMBER(tblData[Day'# Aust]),tblData[Au LogiP(t)]/$AD$9,"")</f>
        <v>80369471.486134887</v>
      </c>
      <c r="AG90" s="11" t="str">
        <f>IF(AND(tblData[Date]&gt;=StartDt2Au,ISNUMBER(tblData[NSW])),(tblData[[#This Row],[Au LogiP(t)]]-tblData[[#This Row],[Au]])^2,"")</f>
        <v/>
      </c>
      <c r="AH90">
        <f>IF(tblData[Date]&gt;StartDt2NSW,tblData[Date]-StartDt2NSW,"")</f>
        <v>136</v>
      </c>
      <c r="AI90" t="str">
        <f t="shared" si="9"/>
        <v/>
      </c>
      <c r="AJ90" s="11">
        <f>IF(tblData[Date]&gt;StartDt2NSW,betaNSW/(deltaNSW+betaPodeltaNSW*EXP(-betaNSW*tblData[[#This Row],[Day '# NSW]])),"")</f>
        <v>2724.7098276790944</v>
      </c>
      <c r="AK90" s="12" t="str">
        <f>IF(AND(ISNUMBER(tblData[NSW]),tblData[Date]&gt;StartDt2NSW),(tblData[[#This Row],[NSW LogiP(t)]]-tblData[[#This Row],[NSW]])^2,"")</f>
        <v/>
      </c>
      <c r="AL90" s="44">
        <f>IF(AND(tblData[Date]&gt;StartDt2NSW,ISNUMBER(tblData[Day'# Aust])),tblData[NSW LogiP(t)]/$AG$9,"")</f>
        <v>3372.1656283157108</v>
      </c>
      <c r="AM90" s="11">
        <f>IF(AND(tblData[Date]&gt;StartDt2Italy,ISNUMBER(tblData[Days'# Italy])),betaItaly/(deltaItaly+betaPodeltaItaly*EXP(-betaItaly*tblData[Days'# Italy])),"")</f>
        <v>55402.511455641928</v>
      </c>
      <c r="AN90" s="11" t="str">
        <f>IF(AND(tblData[Date]&gt;StartDt2Italy,ISNUMBER(tblData[Italy])),(tblData[[#This Row],[Italy LogiP(t)]]-tblData[[#This Row],[Italy]])^2,"")</f>
        <v/>
      </c>
      <c r="AO90" s="44">
        <f>IF(AND(tblData[Date]&gt;StartDt2Italy,ISNUMBER(tblData[Days'# Italy])),tblData[[#This Row],[Italy LogiP(t)]]/$AM$9,"")</f>
        <v>9165.0143020085907</v>
      </c>
      <c r="AP90" s="21">
        <f>IF(ISNUMBER(tblData[[#This Row],[Days'# US]]),betaUS/(deltaUS+betaPodeltaUS*EXP(-betaUS*tblData[Days'# US])),"")</f>
        <v>347695288.22887015</v>
      </c>
      <c r="AQ90" s="11" t="str">
        <f>IF(ISNUMBER(tblData[US]),(tblData[[#This Row],[US LogiP(t)]]-tblData[US])^2,"")</f>
        <v/>
      </c>
      <c r="AR90" s="21">
        <f>IF(ISNUMBER(tblData[[#This Row],[Days'# US]]),tblData[[#This Row],[US LogiP(t)]]/$AP$9,"")</f>
        <v>10560935.171875525</v>
      </c>
      <c r="AS90" s="21">
        <f>IF(tblData[Date]&gt;=StartDt2Korea,betaSKorea/(deltaSKorea+betaPodeltaSKorea*EXP(-betaSKorea*(tblData[Date]-StartDt2Korea))),"")</f>
        <v>8319.4112738167914</v>
      </c>
      <c r="AT90" s="21" t="str">
        <f>IF(AND(tblData[Date]&gt;=StartDt2Korea,ISNUMBER(tblData[SKorea])),(tblData[[#This Row],[SKorea LogiP(t)]]-tblData[[#This Row],[SKorea]])^2,"")</f>
        <v/>
      </c>
      <c r="AU90" s="21">
        <f>IF(tblData[Date]&gt;=StartDt2Korea,tblData[[#This Row],[SKorea LogiP(t)]]/$AS$9,"")</f>
        <v>1618.5625046336172</v>
      </c>
      <c r="AV90" s="85">
        <f>IF(ISNUMBER(tblData[Days'# UK]),betaUK/(deltaUK+betaPodeltaUK*EXP(-betaUK*tblData[Days'# UK])),"")</f>
        <v>230489131.63032266</v>
      </c>
      <c r="AW90" s="85" t="str">
        <f>IF(ISNUMBER(tblData[UK]),(tblData[[#This Row],[UK LogiP(t)]]-tblData[[#This Row],[UK]])^2,"")</f>
        <v/>
      </c>
      <c r="AX90" s="85">
        <f>IF(ISNUMBER(tblData[Days'# UK]),tblData[[#This Row],[UK LogiP(t)]]/$AV$9,"")</f>
        <v>34691320.233341761</v>
      </c>
      <c r="AY90" s="11">
        <f>IF(ISNUMBER(tblData[Days'# China]),betaChina/(deltaChina+betaPodeltaChina*EXP(-betaChina*tblData[Days'# China])),"")</f>
        <v>80951.241632348421</v>
      </c>
      <c r="AZ90" s="11" t="str">
        <f>IF(ISNUMBER(tblData[China]),(tblData[[#This Row],[China LogiP(t)]]-tblData[[#This Row],[China]])^2,"")</f>
        <v/>
      </c>
      <c r="BA90" s="11">
        <f>tblData[[#This Row],[China LogiP(t)]]/$AY$9</f>
        <v>562.42551524660166</v>
      </c>
      <c r="BB90" s="11"/>
      <c r="BC90" s="11"/>
      <c r="BD90" s="11" t="str">
        <f>IF(ISNUMBER(tblData[[#This Row],[NSW Number of Tests]]),tblData[[#This Row],[NSW Number of Tests]]-BB89,"")</f>
        <v/>
      </c>
      <c r="BE90" s="11" t="str">
        <f>IF(ISNUMBER(tblData[[#This Row],[NSW Under Investigation'']]),tblData[[#This Row],[NSW Under Investigation'']]-BC89,"")</f>
        <v/>
      </c>
      <c r="BF90" s="11">
        <f t="shared" si="6"/>
        <v>35</v>
      </c>
      <c r="BG90" s="11">
        <f>IF(ISNUMBER(tblData[[#This Row],[NSW Test Day Number]]),betaTest/(deltaTest+betaPodeltaTest*EXP(-betaTest*tblData[[#This Row],[NSW Test Day Number]])),"")</f>
        <v>251248.73822939911</v>
      </c>
      <c r="BH90" s="11" t="str">
        <f>IF(ISNUMBER(tblData[[#This Row],[NSW Number of Tests]]),(tblData[[#This Row],[NSW Number of Tests]]-tblData[[#This Row],[NSW Test Logi]])^2,"")</f>
        <v/>
      </c>
      <c r="BY90"/>
      <c r="BZ90"/>
      <c r="CJ90" s="26"/>
      <c r="CK90" s="26"/>
      <c r="DE90" s="26"/>
      <c r="DI90" s="26"/>
      <c r="DJ90" s="26"/>
      <c r="DK90" s="26"/>
      <c r="DL90" s="26"/>
      <c r="DM90" s="26"/>
      <c r="DN90" s="26"/>
      <c r="DO90" s="26"/>
      <c r="DP90" s="26"/>
      <c r="DQ90" s="26"/>
      <c r="DS90" s="26"/>
      <c r="DT90" s="26"/>
      <c r="DU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</row>
    <row r="91" spans="2:173" x14ac:dyDescent="0.25">
      <c r="B91" s="27">
        <f t="shared" si="12"/>
        <v>43998</v>
      </c>
      <c r="D91" s="26"/>
      <c r="L91" s="12" t="str">
        <f>IF(ISNUMBER(tblData[[#This Row],[NSW]]),tblData[[#This Row],[New South Wales]]/$L$9,"")</f>
        <v/>
      </c>
      <c r="M91" s="26"/>
      <c r="N91" s="49" t="str">
        <f>IF(ISNUMBER(tblData[Italy]),tblData[Italy]/$N$9,"")</f>
        <v/>
      </c>
      <c r="O91" s="26"/>
      <c r="P91" s="49" t="str">
        <f>IF(ISNUMBER(tblData[US]),tblData[US]/$P$9,"")</f>
        <v/>
      </c>
      <c r="Q91" s="49"/>
      <c r="R91" s="19" t="str">
        <f>IF(ISNUMBER(tblData[SKorea]),tblData[SKorea]/$R$9,"")</f>
        <v/>
      </c>
      <c r="S91" s="49"/>
      <c r="T91" s="12" t="str">
        <f>IF(ISNUMBER(tblData[UK]),tblData[UK]/$T$9,"")</f>
        <v/>
      </c>
      <c r="U91" s="26"/>
      <c r="V91" s="21" t="str">
        <f>IF(ISNUMBER(tblData[China]),tblData[China]/$V$9,"")</f>
        <v/>
      </c>
      <c r="W91" s="26">
        <f>IF(tblData[[#This Row],[Date]]&lt;ItalyStart,"",tblData[[#This Row],[Date]]-ItalyStart)</f>
        <v>138</v>
      </c>
      <c r="X91" s="26">
        <f t="shared" si="7"/>
        <v>128</v>
      </c>
      <c r="Y91" s="26">
        <f t="shared" si="11"/>
        <v>80</v>
      </c>
      <c r="Z91" s="26">
        <f>IF(tblData[[#This Row],[Date]]&lt;StartDt2Korea,"",tblData[[#This Row],[Date]]-StartDt2Korea)</f>
        <v>118</v>
      </c>
      <c r="AA91" s="26">
        <f>IF(tblData[[#This Row],[Date]]&lt;UKStart,"",tblData[[#This Row],[Date]]-UKStart)</f>
        <v>138</v>
      </c>
      <c r="AB91">
        <f>IF(tblData[Date]&gt;=StartDt2Au,tblData[Date]-StartDt2Au,"")</f>
        <v>143</v>
      </c>
      <c r="AC91" s="26" t="str">
        <f>IF(tblData[New South Wales]&gt;0,SUM(tblData[[#This Row],[Australian Capital Territory]:[Western Australia]]),"")</f>
        <v/>
      </c>
      <c r="AD91" s="12" t="str">
        <f>IF(ISNUMBER(tblData[Au]),tblData[Au]/$AA$9,"")</f>
        <v/>
      </c>
      <c r="AE91" s="44">
        <f>IF(ISNUMBER(tblData[[#This Row],[Day'# Aust]]),betaAu/(deltaAu+betaPodeltaAu*EXP(-betaAu*tblData[[#This Row],[Day'# Aust]])),"")</f>
        <v>205861024.15917319</v>
      </c>
      <c r="AF91" s="73">
        <f>IF(ISNUMBER(tblData[Day'# Aust]),tblData[Au LogiP(t)]/$AD$9,"")</f>
        <v>81162681.027903005</v>
      </c>
      <c r="AG91" s="11" t="str">
        <f>IF(AND(tblData[Date]&gt;=StartDt2Au,ISNUMBER(tblData[NSW])),(tblData[[#This Row],[Au LogiP(t)]]-tblData[[#This Row],[Au]])^2,"")</f>
        <v/>
      </c>
      <c r="AH91">
        <f>IF(tblData[Date]&gt;StartDt2NSW,tblData[Date]-StartDt2NSW,"")</f>
        <v>143</v>
      </c>
      <c r="AI91" t="str">
        <f t="shared" si="9"/>
        <v/>
      </c>
      <c r="AJ91" s="11">
        <f>IF(tblData[Date]&gt;StartDt2NSW,betaNSW/(deltaNSW+betaPodeltaNSW*EXP(-betaNSW*tblData[[#This Row],[Day '# NSW]])),"")</f>
        <v>2724.7104034003246</v>
      </c>
      <c r="AK91" s="12" t="str">
        <f>IF(AND(ISNUMBER(tblData[NSW]),tblData[Date]&gt;StartDt2NSW),(tblData[[#This Row],[NSW LogiP(t)]]-tblData[[#This Row],[NSW]])^2,"")</f>
        <v/>
      </c>
      <c r="AL91" s="44">
        <f>IF(AND(tblData[Date]&gt;StartDt2NSW,ISNUMBER(tblData[Day'# Aust])),tblData[NSW LogiP(t)]/$AG$9,"")</f>
        <v>3372.1663408419859</v>
      </c>
      <c r="AM91" s="11">
        <f>IF(AND(tblData[Date]&gt;StartDt2Italy,ISNUMBER(tblData[Days'# Italy])),betaItaly/(deltaItaly+betaPodeltaItaly*EXP(-betaItaly*tblData[Days'# Italy])),"")</f>
        <v>55402.511464780786</v>
      </c>
      <c r="AN91" s="11" t="str">
        <f>IF(AND(tblData[Date]&gt;StartDt2Italy,ISNUMBER(tblData[Italy])),(tblData[[#This Row],[Italy LogiP(t)]]-tblData[[#This Row],[Italy]])^2,"")</f>
        <v/>
      </c>
      <c r="AO91" s="44">
        <f>IF(AND(tblData[Date]&gt;StartDt2Italy,ISNUMBER(tblData[Days'# Italy])),tblData[[#This Row],[Italy LogiP(t)]]/$AM$9,"")</f>
        <v>9165.0143035203946</v>
      </c>
      <c r="AP91" s="21">
        <f>IF(ISNUMBER(tblData[[#This Row],[Days'# US]]),betaUS/(deltaUS+betaPodeltaUS*EXP(-betaUS*tblData[Days'# US])),"")</f>
        <v>347695291.68256801</v>
      </c>
      <c r="AQ91" s="11" t="str">
        <f>IF(ISNUMBER(tblData[US]),(tblData[[#This Row],[US LogiP(t)]]-tblData[US])^2,"")</f>
        <v/>
      </c>
      <c r="AR91" s="21">
        <f>IF(ISNUMBER(tblData[[#This Row],[Days'# US]]),tblData[[#This Row],[US LogiP(t)]]/$AP$9,"")</f>
        <v>10560935.276778527</v>
      </c>
      <c r="AS91" s="21">
        <f>IF(tblData[Date]&gt;=StartDt2Korea,betaSKorea/(deltaSKorea+betaPodeltaSKorea*EXP(-betaSKorea*(tblData[Date]-StartDt2Korea))),"")</f>
        <v>8319.4112738168606</v>
      </c>
      <c r="AT91" s="21" t="str">
        <f>IF(AND(tblData[Date]&gt;=StartDt2Korea,ISNUMBER(tblData[SKorea])),(tblData[[#This Row],[SKorea LogiP(t)]]-tblData[[#This Row],[SKorea]])^2,"")</f>
        <v/>
      </c>
      <c r="AU91" s="21">
        <f>IF(tblData[Date]&gt;=StartDt2Korea,tblData[[#This Row],[SKorea LogiP(t)]]/$AS$9,"")</f>
        <v>1618.5625046336306</v>
      </c>
      <c r="AV91" s="85">
        <f>IF(ISNUMBER(tblData[Days'# UK]),betaUK/(deltaUK+betaPodeltaUK*EXP(-betaUK*tblData[Days'# UK])),"")</f>
        <v>230574111.17328754</v>
      </c>
      <c r="AW91" s="85" t="str">
        <f>IF(ISNUMBER(tblData[UK]),(tblData[[#This Row],[UK LogiP(t)]]-tblData[[#This Row],[UK]])^2,"")</f>
        <v/>
      </c>
      <c r="AX91" s="85">
        <f>IF(ISNUMBER(tblData[Days'# UK]),tblData[[#This Row],[UK LogiP(t)]]/$AV$9,"")</f>
        <v>34704110.652210645</v>
      </c>
      <c r="AY91" s="11">
        <f>IF(ISNUMBER(tblData[Days'# China]),betaChina/(deltaChina+betaPodeltaChina*EXP(-betaChina*tblData[Days'# China])),"")</f>
        <v>80951.261538435341</v>
      </c>
      <c r="AZ91" s="11" t="str">
        <f>IF(ISNUMBER(tblData[China]),(tblData[[#This Row],[China LogiP(t)]]-tblData[[#This Row],[China]])^2,"")</f>
        <v/>
      </c>
      <c r="BA91" s="11">
        <f>tblData[[#This Row],[China LogiP(t)]]/$AY$9</f>
        <v>562.42565354826286</v>
      </c>
      <c r="BB91" s="11"/>
      <c r="BC91" s="11"/>
      <c r="BD91" s="11" t="str">
        <f>IF(ISNUMBER(tblData[[#This Row],[NSW Number of Tests]]),tblData[[#This Row],[NSW Number of Tests]]-BB90,"")</f>
        <v/>
      </c>
      <c r="BE91" s="11" t="str">
        <f>IF(ISNUMBER(tblData[[#This Row],[NSW Under Investigation'']]),tblData[[#This Row],[NSW Under Investigation'']]-BC90,"")</f>
        <v/>
      </c>
      <c r="BF91" s="11">
        <f t="shared" si="6"/>
        <v>36</v>
      </c>
      <c r="BG91" s="11">
        <f>IF(ISNUMBER(tblData[[#This Row],[NSW Test Day Number]]),betaTest/(deltaTest+betaPodeltaTest*EXP(-betaTest*tblData[[#This Row],[NSW Test Day Number]])),"")</f>
        <v>256738.98661071045</v>
      </c>
      <c r="BH91" s="11" t="str">
        <f>IF(ISNUMBER(tblData[[#This Row],[NSW Number of Tests]]),(tblData[[#This Row],[NSW Number of Tests]]-tblData[[#This Row],[NSW Test Logi]])^2,"")</f>
        <v/>
      </c>
      <c r="BY91"/>
      <c r="BZ91"/>
      <c r="CJ91" s="26"/>
      <c r="CK91" s="26"/>
      <c r="DE91" s="26"/>
      <c r="DI91" s="26"/>
      <c r="DJ91" s="26"/>
      <c r="DK91" s="26"/>
      <c r="DL91" s="26"/>
      <c r="DM91" s="26"/>
      <c r="DN91" s="26"/>
      <c r="DO91" s="26"/>
      <c r="DP91" s="26"/>
      <c r="DQ91" s="26"/>
      <c r="DS91" s="26"/>
      <c r="DT91" s="26"/>
      <c r="DU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</row>
    <row r="92" spans="2:173" x14ac:dyDescent="0.25">
      <c r="B92" s="27">
        <f t="shared" si="12"/>
        <v>44005</v>
      </c>
      <c r="D92" s="26"/>
      <c r="L92" s="12" t="str">
        <f>IF(ISNUMBER(tblData[[#This Row],[NSW]]),tblData[[#This Row],[New South Wales]]/$L$9,"")</f>
        <v/>
      </c>
      <c r="M92" s="26"/>
      <c r="N92" s="49" t="str">
        <f>IF(ISNUMBER(tblData[Italy]),tblData[Italy]/$N$9,"")</f>
        <v/>
      </c>
      <c r="O92" s="26"/>
      <c r="P92" s="49" t="str">
        <f>IF(ISNUMBER(tblData[US]),tblData[US]/$P$9,"")</f>
        <v/>
      </c>
      <c r="Q92" s="49"/>
      <c r="R92" s="19" t="str">
        <f>IF(ISNUMBER(tblData[SKorea]),tblData[SKorea]/$R$9,"")</f>
        <v/>
      </c>
      <c r="S92" s="49"/>
      <c r="T92" s="12" t="str">
        <f>IF(ISNUMBER(tblData[UK]),tblData[UK]/$T$9,"")</f>
        <v/>
      </c>
      <c r="U92" s="26"/>
      <c r="V92" s="21" t="str">
        <f>IF(ISNUMBER(tblData[China]),tblData[China]/$V$9,"")</f>
        <v/>
      </c>
      <c r="W92" s="26">
        <f>IF(tblData[[#This Row],[Date]]&lt;ItalyStart,"",tblData[[#This Row],[Date]]-ItalyStart)</f>
        <v>145</v>
      </c>
      <c r="X92" s="26">
        <f t="shared" si="7"/>
        <v>135</v>
      </c>
      <c r="Y92" s="26">
        <f t="shared" si="11"/>
        <v>81</v>
      </c>
      <c r="Z92" s="26">
        <f>IF(tblData[[#This Row],[Date]]&lt;StartDt2Korea,"",tblData[[#This Row],[Date]]-StartDt2Korea)</f>
        <v>125</v>
      </c>
      <c r="AA92" s="26">
        <f>IF(tblData[[#This Row],[Date]]&lt;UKStart,"",tblData[[#This Row],[Date]]-UKStart)</f>
        <v>145</v>
      </c>
      <c r="AB92">
        <f>IF(tblData[Date]&gt;=StartDt2Au,tblData[Date]-StartDt2Au,"")</f>
        <v>150</v>
      </c>
      <c r="AC92" s="26" t="str">
        <f>IF(tblData[New South Wales]&gt;0,SUM(tblData[[#This Row],[Australian Capital Territory]:[Western Australia]]),"")</f>
        <v/>
      </c>
      <c r="AD92" s="12" t="str">
        <f>IF(ISNUMBER(tblData[Au]),tblData[Au]/$AA$9,"")</f>
        <v/>
      </c>
      <c r="AE92" s="44">
        <f>IF(ISNUMBER(tblData[[#This Row],[Day'# Aust]]),betaAu/(deltaAu+betaPodeltaAu*EXP(-betaAu*tblData[[#This Row],[Day'# Aust]])),"")</f>
        <v>206340914.47154781</v>
      </c>
      <c r="AF92" s="73">
        <f>IF(ISNUMBER(tblData[Day'# Aust]),tblData[Au LogiP(t)]/$AD$9,"")</f>
        <v>81351882.38114959</v>
      </c>
      <c r="AG92" s="11" t="str">
        <f>IF(AND(tblData[Date]&gt;=StartDt2Au,ISNUMBER(tblData[NSW])),(tblData[[#This Row],[Au LogiP(t)]]-tblData[[#This Row],[Au]])^2,"")</f>
        <v/>
      </c>
      <c r="AH92">
        <f>IF(tblData[Date]&gt;StartDt2NSW,tblData[Date]-StartDt2NSW,"")</f>
        <v>150</v>
      </c>
      <c r="AI92" t="str">
        <f t="shared" si="9"/>
        <v/>
      </c>
      <c r="AJ92" s="11">
        <f>IF(tblData[Date]&gt;StartDt2NSW,betaNSW/(deltaNSW+betaPodeltaNSW*EXP(-betaNSW*tblData[[#This Row],[Day '# NSW]])),"")</f>
        <v>2724.7105364179552</v>
      </c>
      <c r="AK92" s="12" t="str">
        <f>IF(AND(ISNUMBER(tblData[NSW]),tblData[Date]&gt;StartDt2NSW),(tblData[[#This Row],[NSW LogiP(t)]]-tblData[[#This Row],[NSW]])^2,"")</f>
        <v/>
      </c>
      <c r="AL92" s="44">
        <f>IF(AND(tblData[Date]&gt;StartDt2NSW,ISNUMBER(tblData[Day'# Aust])),tblData[NSW LogiP(t)]/$AG$9,"")</f>
        <v>3372.166505467766</v>
      </c>
      <c r="AM92" s="11">
        <f>IF(AND(tblData[Date]&gt;StartDt2Italy,ISNUMBER(tblData[Days'# Italy])),betaItaly/(deltaItaly+betaPodeltaItaly*EXP(-betaItaly*tblData[Days'# Italy])),"")</f>
        <v>55402.511466259326</v>
      </c>
      <c r="AN92" s="11" t="str">
        <f>IF(AND(tblData[Date]&gt;StartDt2Italy,ISNUMBER(tblData[Italy])),(tblData[[#This Row],[Italy LogiP(t)]]-tblData[[#This Row],[Italy]])^2,"")</f>
        <v/>
      </c>
      <c r="AO92" s="44">
        <f>IF(AND(tblData[Date]&gt;StartDt2Italy,ISNUMBER(tblData[Days'# Italy])),tblData[[#This Row],[Italy LogiP(t)]]/$AM$9,"")</f>
        <v>9165.0143037649832</v>
      </c>
      <c r="AP92" s="21">
        <f>IF(ISNUMBER(tblData[[#This Row],[Days'# US]]),betaUS/(deltaUS+betaPodeltaUS*EXP(-betaUS*tblData[Days'# US])),"")</f>
        <v>347695291.98544717</v>
      </c>
      <c r="AQ92" s="11" t="str">
        <f>IF(ISNUMBER(tblData[US]),(tblData[[#This Row],[US LogiP(t)]]-tblData[US])^2,"")</f>
        <v/>
      </c>
      <c r="AR92" s="21">
        <f>IF(ISNUMBER(tblData[[#This Row],[Days'# US]]),tblData[[#This Row],[US LogiP(t)]]/$AP$9,"")</f>
        <v>10560935.285978211</v>
      </c>
      <c r="AS92" s="21">
        <f>IF(tblData[Date]&gt;=StartDt2Korea,betaSKorea/(deltaSKorea+betaPodeltaSKorea*EXP(-betaSKorea*(tblData[Date]-StartDt2Korea))),"")</f>
        <v>8319.4112738168678</v>
      </c>
      <c r="AT92" s="21" t="str">
        <f>IF(AND(tblData[Date]&gt;=StartDt2Korea,ISNUMBER(tblData[SKorea])),(tblData[[#This Row],[SKorea LogiP(t)]]-tblData[[#This Row],[SKorea]])^2,"")</f>
        <v/>
      </c>
      <c r="AU92" s="21">
        <f>IF(tblData[Date]&gt;=StartDt2Korea,tblData[[#This Row],[SKorea LogiP(t)]]/$AS$9,"")</f>
        <v>1618.562504633632</v>
      </c>
      <c r="AV92" s="85">
        <f>IF(ISNUMBER(tblData[Days'# UK]),betaUK/(deltaUK+betaPodeltaUK*EXP(-betaUK*tblData[Days'# UK])),"")</f>
        <v>230591034.3805289</v>
      </c>
      <c r="AW92" s="85" t="str">
        <f>IF(ISNUMBER(tblData[UK]),(tblData[[#This Row],[UK LogiP(t)]]-tblData[[#This Row],[UK]])^2,"")</f>
        <v/>
      </c>
      <c r="AX92" s="85">
        <f>IF(ISNUMBER(tblData[Days'# UK]),tblData[[#This Row],[UK LogiP(t)]]/$AV$9,"")</f>
        <v>34706657.7935775</v>
      </c>
      <c r="AY92" s="11">
        <f>IF(ISNUMBER(tblData[Days'# China]),betaChina/(deltaChina+betaPodeltaChina*EXP(-betaChina*tblData[Days'# China])),"")</f>
        <v>80951.277479253622</v>
      </c>
      <c r="AZ92" s="11" t="str">
        <f>IF(ISNUMBER(tblData[China]),(tblData[[#This Row],[China LogiP(t)]]-tblData[[#This Row],[China]])^2,"")</f>
        <v/>
      </c>
      <c r="BA92" s="11">
        <f>tblData[[#This Row],[China LogiP(t)]]/$AY$9</f>
        <v>562.42576430039901</v>
      </c>
      <c r="BB92" s="11"/>
      <c r="BC92" s="11"/>
      <c r="BD92" s="11" t="str">
        <f>IF(ISNUMBER(tblData[[#This Row],[NSW Number of Tests]]),tblData[[#This Row],[NSW Number of Tests]]-BB91,"")</f>
        <v/>
      </c>
      <c r="BE92" s="11" t="str">
        <f>IF(ISNUMBER(tblData[[#This Row],[NSW Under Investigation'']]),tblData[[#This Row],[NSW Under Investigation'']]-BC91,"")</f>
        <v/>
      </c>
      <c r="BF92" s="11">
        <f t="shared" si="6"/>
        <v>37</v>
      </c>
      <c r="BG92" s="11">
        <f>IF(ISNUMBER(tblData[[#This Row],[NSW Test Day Number]]),betaTest/(deltaTest+betaPodeltaTest*EXP(-betaTest*tblData[[#This Row],[NSW Test Day Number]])),"")</f>
        <v>261569.23467269019</v>
      </c>
      <c r="BH92" s="11" t="str">
        <f>IF(ISNUMBER(tblData[[#This Row],[NSW Number of Tests]]),(tblData[[#This Row],[NSW Number of Tests]]-tblData[[#This Row],[NSW Test Logi]])^2,"")</f>
        <v/>
      </c>
      <c r="BY92"/>
      <c r="BZ92"/>
      <c r="CJ92" s="26"/>
      <c r="CK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</row>
    <row r="93" spans="2:173" x14ac:dyDescent="0.25">
      <c r="B93" s="27">
        <f t="shared" si="12"/>
        <v>44012</v>
      </c>
      <c r="D93" s="26"/>
      <c r="L93" s="12" t="str">
        <f>IF(ISNUMBER(tblData[[#This Row],[NSW]]),tblData[[#This Row],[New South Wales]]/$L$9,"")</f>
        <v/>
      </c>
      <c r="M93" s="26"/>
      <c r="N93" s="49" t="str">
        <f>IF(ISNUMBER(tblData[Italy]),tblData[Italy]/$N$9,"")</f>
        <v/>
      </c>
      <c r="O93" s="26"/>
      <c r="P93" s="49" t="str">
        <f>IF(ISNUMBER(tblData[US]),tblData[US]/$P$9,"")</f>
        <v/>
      </c>
      <c r="Q93" s="49"/>
      <c r="R93" s="19" t="str">
        <f>IF(ISNUMBER(tblData[SKorea]),tblData[SKorea]/$R$9,"")</f>
        <v/>
      </c>
      <c r="S93" s="49"/>
      <c r="T93" s="12" t="str">
        <f>IF(ISNUMBER(tblData[UK]),tblData[UK]/$T$9,"")</f>
        <v/>
      </c>
      <c r="U93" s="26"/>
      <c r="V93" s="21" t="str">
        <f>IF(ISNUMBER(tblData[China]),tblData[China]/$V$9,"")</f>
        <v/>
      </c>
      <c r="W93" s="26">
        <f>IF(tblData[[#This Row],[Date]]&lt;ItalyStart,"",tblData[[#This Row],[Date]]-ItalyStart)</f>
        <v>152</v>
      </c>
      <c r="X93" s="26">
        <f t="shared" ref="X93:X117" si="13">IF($B93&lt;BM$14+18,"",$B93-BM$14-18)</f>
        <v>142</v>
      </c>
      <c r="Y93" s="26">
        <f t="shared" si="11"/>
        <v>82</v>
      </c>
      <c r="Z93" s="26">
        <f>IF(tblData[[#This Row],[Date]]&lt;StartDt2Korea,"",tblData[[#This Row],[Date]]-StartDt2Korea)</f>
        <v>132</v>
      </c>
      <c r="AA93" s="26">
        <f>IF(tblData[[#This Row],[Date]]&lt;UKStart,"",tblData[[#This Row],[Date]]-UKStart)</f>
        <v>152</v>
      </c>
      <c r="AB93">
        <f>IF(tblData[Date]&gt;=StartDt2Au,tblData[Date]-StartDt2Au,"")</f>
        <v>157</v>
      </c>
      <c r="AC93" s="26" t="str">
        <f>IF(tblData[New South Wales]&gt;0,SUM(tblData[[#This Row],[Australian Capital Territory]:[Western Australia]]),"")</f>
        <v/>
      </c>
      <c r="AD93" s="12" t="str">
        <f>IF(ISNUMBER(tblData[Au]),tblData[Au]/$AA$9,"")</f>
        <v/>
      </c>
      <c r="AE93" s="44">
        <f>IF(ISNUMBER(tblData[[#This Row],[Day'# Aust]]),betaAu/(deltaAu+betaPodeltaAu*EXP(-betaAu*tblData[[#This Row],[Day'# Aust]])),"")</f>
        <v>206454324.55045971</v>
      </c>
      <c r="AF93" s="73">
        <f>IF(ISNUMBER(tblData[Day'# Aust]),tblData[Au LogiP(t)]/$AD$9,"")</f>
        <v>81396595.391286746</v>
      </c>
      <c r="AG93" s="11" t="str">
        <f>IF(AND(tblData[Date]&gt;=StartDt2Au,ISNUMBER(tblData[NSW])),(tblData[[#This Row],[Au LogiP(t)]]-tblData[[#This Row],[Au]])^2,"")</f>
        <v/>
      </c>
      <c r="AH93">
        <f>IF(tblData[Date]&gt;StartDt2NSW,tblData[Date]-StartDt2NSW,"")</f>
        <v>157</v>
      </c>
      <c r="AI93" t="str">
        <f t="shared" si="9"/>
        <v/>
      </c>
      <c r="AJ93" s="11">
        <f>IF(tblData[Date]&gt;StartDt2NSW,betaNSW/(deltaNSW+betaPodeltaNSW*EXP(-betaNSW*tblData[[#This Row],[Day '# NSW]])),"")</f>
        <v>2724.7105671510353</v>
      </c>
      <c r="AK93" s="12" t="str">
        <f>IF(AND(ISNUMBER(tblData[NSW]),tblData[Date]&gt;StartDt2NSW),(tblData[[#This Row],[NSW LogiP(t)]]-tblData[[#This Row],[NSW]])^2,"")</f>
        <v/>
      </c>
      <c r="AL93" s="44">
        <f>IF(AND(tblData[Date]&gt;StartDt2NSW,ISNUMBER(tblData[Day'# Aust])),tblData[NSW LogiP(t)]/$AG$9,"")</f>
        <v>3372.1665435037562</v>
      </c>
      <c r="AM93" s="11">
        <f>IF(AND(tblData[Date]&gt;StartDt2Italy,ISNUMBER(tblData[Days'# Italy])),betaItaly/(deltaItaly+betaPodeltaItaly*EXP(-betaItaly*tblData[Days'# Italy])),"")</f>
        <v>55402.51146649853</v>
      </c>
      <c r="AN93" s="11" t="str">
        <f>IF(AND(tblData[Date]&gt;StartDt2Italy,ISNUMBER(tblData[Italy])),(tblData[[#This Row],[Italy LogiP(t)]]-tblData[[#This Row],[Italy]])^2,"")</f>
        <v/>
      </c>
      <c r="AO93" s="44">
        <f>IF(AND(tblData[Date]&gt;StartDt2Italy,ISNUMBER(tblData[Days'# Italy])),tblData[[#This Row],[Italy LogiP(t)]]/$AM$9,"")</f>
        <v>9165.0143038045535</v>
      </c>
      <c r="AP93" s="21">
        <f>IF(ISNUMBER(tblData[[#This Row],[Days'# US]]),betaUS/(deltaUS+betaPodeltaUS*EXP(-betaUS*tblData[Days'# US])),"")</f>
        <v>347695292.01200873</v>
      </c>
      <c r="AQ93" s="11" t="str">
        <f>IF(ISNUMBER(tblData[US]),(tblData[[#This Row],[US LogiP(t)]]-tblData[US])^2,"")</f>
        <v/>
      </c>
      <c r="AR93" s="21">
        <f>IF(ISNUMBER(tblData[[#This Row],[Days'# US]]),tblData[[#This Row],[US LogiP(t)]]/$AP$9,"")</f>
        <v>10560935.286784995</v>
      </c>
      <c r="AS93" s="21">
        <f>IF(tblData[Date]&gt;=StartDt2Korea,betaSKorea/(deltaSKorea+betaPodeltaSKorea*EXP(-betaSKorea*(tblData[Date]-StartDt2Korea))),"")</f>
        <v>8319.4112738168697</v>
      </c>
      <c r="AT93" s="21" t="str">
        <f>IF(AND(tblData[Date]&gt;=StartDt2Korea,ISNUMBER(tblData[SKorea])),(tblData[[#This Row],[SKorea LogiP(t)]]-tblData[[#This Row],[SKorea]])^2,"")</f>
        <v/>
      </c>
      <c r="AU93" s="21">
        <f>IF(tblData[Date]&gt;=StartDt2Korea,tblData[[#This Row],[SKorea LogiP(t)]]/$AS$9,"")</f>
        <v>1618.5625046336322</v>
      </c>
      <c r="AV93" s="85">
        <f>IF(ISNUMBER(tblData[Days'# UK]),betaUK/(deltaUK+betaPodeltaUK*EXP(-betaUK*tblData[Days'# UK])),"")</f>
        <v>230594403.35102955</v>
      </c>
      <c r="AW93" s="85" t="str">
        <f>IF(ISNUMBER(tblData[UK]),(tblData[[#This Row],[UK LogiP(t)]]-tblData[[#This Row],[UK]])^2,"")</f>
        <v/>
      </c>
      <c r="AX93" s="85">
        <f>IF(ISNUMBER(tblData[Days'# UK]),tblData[[#This Row],[UK LogiP(t)]]/$AV$9,"")</f>
        <v>34707164.863189273</v>
      </c>
      <c r="AY93" s="11">
        <f>IF(ISNUMBER(tblData[Days'# China]),betaChina/(deltaChina+betaPodeltaChina*EXP(-betaChina*tblData[Days'# China])),"")</f>
        <v>80951.290244678836</v>
      </c>
      <c r="AZ93" s="11" t="str">
        <f>IF(ISNUMBER(tblData[China]),(tblData[[#This Row],[China LogiP(t)]]-tblData[[#This Row],[China]])^2,"")</f>
        <v/>
      </c>
      <c r="BA93" s="11">
        <f>tblData[[#This Row],[China LogiP(t)]]/$AY$9</f>
        <v>562.42585299083419</v>
      </c>
      <c r="BB93" s="11"/>
      <c r="BC93" s="11"/>
      <c r="BD93" s="11" t="str">
        <f>IF(ISNUMBER(tblData[[#This Row],[NSW Number of Tests]]),tblData[[#This Row],[NSW Number of Tests]]-BB92,"")</f>
        <v/>
      </c>
      <c r="BE93" s="11" t="str">
        <f>IF(ISNUMBER(tblData[[#This Row],[NSW Under Investigation'']]),tblData[[#This Row],[NSW Under Investigation'']]-BC92,"")</f>
        <v/>
      </c>
      <c r="BF93" s="11">
        <f t="shared" si="6"/>
        <v>38</v>
      </c>
      <c r="BG93" s="11">
        <f>IF(ISNUMBER(tblData[[#This Row],[NSW Test Day Number]]),betaTest/(deltaTest+betaPodeltaTest*EXP(-betaTest*tblData[[#This Row],[NSW Test Day Number]])),"")</f>
        <v>265795.13559729984</v>
      </c>
      <c r="BH93" s="11" t="str">
        <f>IF(ISNUMBER(tblData[[#This Row],[NSW Number of Tests]]),(tblData[[#This Row],[NSW Number of Tests]]-tblData[[#This Row],[NSW Test Logi]])^2,"")</f>
        <v/>
      </c>
      <c r="BY93"/>
      <c r="BZ93"/>
      <c r="CJ93" s="26"/>
      <c r="CK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</row>
    <row r="94" spans="2:173" x14ac:dyDescent="0.25">
      <c r="B94" s="27">
        <f t="shared" si="12"/>
        <v>44019</v>
      </c>
      <c r="D94" s="26"/>
      <c r="L94" s="12" t="str">
        <f>IF(ISNUMBER(tblData[[#This Row],[NSW]]),tblData[[#This Row],[New South Wales]]/$L$9,"")</f>
        <v/>
      </c>
      <c r="M94" s="26"/>
      <c r="N94" s="49" t="str">
        <f>IF(ISNUMBER(tblData[Italy]),tblData[Italy]/$N$9,"")</f>
        <v/>
      </c>
      <c r="O94" s="26"/>
      <c r="P94" s="49" t="str">
        <f>IF(ISNUMBER(tblData[US]),tblData[US]/$P$9,"")</f>
        <v/>
      </c>
      <c r="Q94" s="49"/>
      <c r="R94" s="19" t="str">
        <f>IF(ISNUMBER(tblData[SKorea]),tblData[SKorea]/$R$9,"")</f>
        <v/>
      </c>
      <c r="S94" s="49"/>
      <c r="T94" s="12" t="str">
        <f>IF(ISNUMBER(tblData[UK]),tblData[UK]/$T$9,"")</f>
        <v/>
      </c>
      <c r="U94" s="26"/>
      <c r="V94" s="21" t="str">
        <f>IF(ISNUMBER(tblData[China]),tblData[China]/$V$9,"")</f>
        <v/>
      </c>
      <c r="W94" s="26">
        <f>IF(tblData[[#This Row],[Date]]&lt;ItalyStart,"",tblData[[#This Row],[Date]]-ItalyStart)</f>
        <v>159</v>
      </c>
      <c r="X94" s="26">
        <f t="shared" si="13"/>
        <v>149</v>
      </c>
      <c r="Y94" s="26">
        <f t="shared" si="11"/>
        <v>83</v>
      </c>
      <c r="Z94" s="26">
        <f>IF(tblData[[#This Row],[Date]]&lt;StartDt2Korea,"",tblData[[#This Row],[Date]]-StartDt2Korea)</f>
        <v>139</v>
      </c>
      <c r="AA94" s="26">
        <f>IF(tblData[[#This Row],[Date]]&lt;UKStart,"",tblData[[#This Row],[Date]]-UKStart)</f>
        <v>159</v>
      </c>
      <c r="AB94">
        <f>IF(tblData[Date]&gt;=StartDt2Au,tblData[Date]-StartDt2Au,"")</f>
        <v>164</v>
      </c>
      <c r="AC94" s="26" t="str">
        <f>IF(tblData[New South Wales]&gt;0,SUM(tblData[[#This Row],[Australian Capital Territory]:[Western Australia]]),"")</f>
        <v/>
      </c>
      <c r="AD94" s="12" t="str">
        <f>IF(ISNUMBER(tblData[Au]),tblData[Au]/$AA$9,"")</f>
        <v/>
      </c>
      <c r="AE94" s="44">
        <f>IF(ISNUMBER(tblData[[#This Row],[Day'# Aust]]),betaAu/(deltaAu+betaPodeltaAu*EXP(-betaAu*tblData[[#This Row],[Day'# Aust]])),"")</f>
        <v>206481067.31820562</v>
      </c>
      <c r="AF94" s="73">
        <f>IF(ISNUMBER(tblData[Day'# Aust]),tblData[Au LogiP(t)]/$AD$9,"")</f>
        <v>81407138.983679876</v>
      </c>
      <c r="AG94" s="11" t="str">
        <f>IF(AND(tblData[Date]&gt;=StartDt2Au,ISNUMBER(tblData[NSW])),(tblData[[#This Row],[Au LogiP(t)]]-tblData[[#This Row],[Au]])^2,"")</f>
        <v/>
      </c>
      <c r="AH94">
        <f>IF(tblData[Date]&gt;StartDt2NSW,tblData[Date]-StartDt2NSW,"")</f>
        <v>164</v>
      </c>
      <c r="AI94" t="str">
        <f t="shared" si="9"/>
        <v/>
      </c>
      <c r="AJ94" s="11">
        <f>IF(tblData[Date]&gt;StartDt2NSW,betaNSW/(deltaNSW+betaPodeltaNSW*EXP(-betaNSW*tblData[[#This Row],[Day '# NSW]])),"")</f>
        <v>2724.7105742517647</v>
      </c>
      <c r="AK94" s="12" t="str">
        <f>IF(AND(ISNUMBER(tblData[NSW]),tblData[Date]&gt;StartDt2NSW),(tblData[[#This Row],[NSW LogiP(t)]]-tblData[[#This Row],[NSW]])^2,"")</f>
        <v/>
      </c>
      <c r="AL94" s="44">
        <f>IF(AND(tblData[Date]&gt;StartDt2NSW,ISNUMBER(tblData[Day'# Aust])),tblData[NSW LogiP(t)]/$AG$9,"")</f>
        <v>3372.1665522917879</v>
      </c>
      <c r="AM94" s="11">
        <f>IF(AND(tblData[Date]&gt;StartDt2Italy,ISNUMBER(tblData[Days'# Italy])),betaItaly/(deltaItaly+betaPodeltaItaly*EXP(-betaItaly*tblData[Days'# Italy])),"")</f>
        <v>55402.511466537231</v>
      </c>
      <c r="AN94" s="11" t="str">
        <f>IF(AND(tblData[Date]&gt;StartDt2Italy,ISNUMBER(tblData[Italy])),(tblData[[#This Row],[Italy LogiP(t)]]-tblData[[#This Row],[Italy]])^2,"")</f>
        <v/>
      </c>
      <c r="AO94" s="44">
        <f>IF(AND(tblData[Date]&gt;StartDt2Italy,ISNUMBER(tblData[Days'# Italy])),tblData[[#This Row],[Italy LogiP(t)]]/$AM$9,"")</f>
        <v>9165.0143038109563</v>
      </c>
      <c r="AP94" s="21">
        <f>IF(ISNUMBER(tblData[[#This Row],[Days'# US]]),betaUS/(deltaUS+betaPodeltaUS*EXP(-betaUS*tblData[Days'# US])),"")</f>
        <v>347695292.01433814</v>
      </c>
      <c r="AQ94" s="11" t="str">
        <f>IF(ISNUMBER(tblData[US]),(tblData[[#This Row],[US LogiP(t)]]-tblData[US])^2,"")</f>
        <v/>
      </c>
      <c r="AR94" s="21">
        <f>IF(ISNUMBER(tblData[[#This Row],[Days'# US]]),tblData[[#This Row],[US LogiP(t)]]/$AP$9,"")</f>
        <v>10560935.28685575</v>
      </c>
      <c r="AS94" s="21">
        <f>IF(tblData[Date]&gt;=StartDt2Korea,betaSKorea/(deltaSKorea+betaPodeltaSKorea*EXP(-betaSKorea*(tblData[Date]-StartDt2Korea))),"")</f>
        <v>8319.4112738168697</v>
      </c>
      <c r="AT94" s="21" t="str">
        <f>IF(AND(tblData[Date]&gt;=StartDt2Korea,ISNUMBER(tblData[SKorea])),(tblData[[#This Row],[SKorea LogiP(t)]]-tblData[[#This Row],[SKorea]])^2,"")</f>
        <v/>
      </c>
      <c r="AU94" s="21">
        <f>IF(tblData[Date]&gt;=StartDt2Korea,tblData[[#This Row],[SKorea LogiP(t)]]/$AS$9,"")</f>
        <v>1618.5625046336322</v>
      </c>
      <c r="AV94" s="85">
        <f>IF(ISNUMBER(tblData[Days'# UK]),betaUK/(deltaUK+betaPodeltaUK*EXP(-betaUK*tblData[Days'# UK])),"")</f>
        <v>230595073.97818068</v>
      </c>
      <c r="AW94" s="85" t="str">
        <f>IF(ISNUMBER(tblData[UK]),(tblData[[#This Row],[UK LogiP(t)]]-tblData[[#This Row],[UK]])^2,"")</f>
        <v/>
      </c>
      <c r="AX94" s="85">
        <f>IF(ISNUMBER(tblData[Days'# UK]),tblData[[#This Row],[UK LogiP(t)]]/$AV$9,"")</f>
        <v>34707265.800448626</v>
      </c>
      <c r="AY94" s="11">
        <f>IF(ISNUMBER(tblData[Days'# China]),betaChina/(deltaChina+betaPodeltaChina*EXP(-betaChina*tblData[Days'# China])),"")</f>
        <v>80951.300467245033</v>
      </c>
      <c r="AZ94" s="11" t="str">
        <f>IF(ISNUMBER(tblData[China]),(tblData[[#This Row],[China LogiP(t)]]-tblData[[#This Row],[China]])^2,"")</f>
        <v/>
      </c>
      <c r="BA94" s="11">
        <f>tblData[[#This Row],[China LogiP(t)]]/$AY$9</f>
        <v>562.42592401422985</v>
      </c>
      <c r="BB94" s="11"/>
      <c r="BC94" s="11"/>
      <c r="BD94" s="11" t="str">
        <f>IF(ISNUMBER(tblData[[#This Row],[NSW Number of Tests]]),tblData[[#This Row],[NSW Number of Tests]]-BB93,"")</f>
        <v/>
      </c>
      <c r="BE94" s="11" t="str">
        <f>IF(ISNUMBER(tblData[[#This Row],[NSW Under Investigation'']]),tblData[[#This Row],[NSW Under Investigation'']]-BC93,"")</f>
        <v/>
      </c>
      <c r="BF94" s="11">
        <f t="shared" si="6"/>
        <v>39</v>
      </c>
      <c r="BG94" s="11">
        <f>IF(ISNUMBER(tblData[[#This Row],[NSW Test Day Number]]),betaTest/(deltaTest+betaPodeltaTest*EXP(-betaTest*tblData[[#This Row],[NSW Test Day Number]])),"")</f>
        <v>269474.26115389238</v>
      </c>
      <c r="BH94" s="11" t="str">
        <f>IF(ISNUMBER(tblData[[#This Row],[NSW Number of Tests]]),(tblData[[#This Row],[NSW Number of Tests]]-tblData[[#This Row],[NSW Test Logi]])^2,"")</f>
        <v/>
      </c>
      <c r="BY94"/>
      <c r="BZ94"/>
      <c r="CJ94" s="26"/>
      <c r="CK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</row>
    <row r="95" spans="2:173" x14ac:dyDescent="0.25">
      <c r="B95" s="27">
        <f t="shared" si="12"/>
        <v>44026</v>
      </c>
      <c r="D95" s="26"/>
      <c r="L95" s="12" t="str">
        <f>IF(ISNUMBER(tblData[[#This Row],[NSW]]),tblData[[#This Row],[New South Wales]]/$L$9,"")</f>
        <v/>
      </c>
      <c r="M95" s="26"/>
      <c r="N95" s="49" t="str">
        <f>IF(ISNUMBER(tblData[Italy]),tblData[Italy]/$N$9,"")</f>
        <v/>
      </c>
      <c r="O95" s="26"/>
      <c r="P95" s="49" t="str">
        <f>IF(ISNUMBER(tblData[US]),tblData[US]/$P$9,"")</f>
        <v/>
      </c>
      <c r="Q95" s="49"/>
      <c r="R95" s="19" t="str">
        <f>IF(ISNUMBER(tblData[SKorea]),tblData[SKorea]/$R$9,"")</f>
        <v/>
      </c>
      <c r="S95" s="49"/>
      <c r="T95" s="12" t="str">
        <f>IF(ISNUMBER(tblData[UK]),tblData[UK]/$T$9,"")</f>
        <v/>
      </c>
      <c r="U95" s="26"/>
      <c r="V95" s="21" t="str">
        <f>IF(ISNUMBER(tblData[China]),tblData[China]/$V$9,"")</f>
        <v/>
      </c>
      <c r="W95" s="26">
        <f>IF(tblData[[#This Row],[Date]]&lt;ItalyStart,"",tblData[[#This Row],[Date]]-ItalyStart)</f>
        <v>166</v>
      </c>
      <c r="X95" s="26">
        <f t="shared" si="13"/>
        <v>156</v>
      </c>
      <c r="Y95" s="26">
        <f t="shared" si="11"/>
        <v>84</v>
      </c>
      <c r="Z95" s="26">
        <f>IF(tblData[[#This Row],[Date]]&lt;StartDt2Korea,"",tblData[[#This Row],[Date]]-StartDt2Korea)</f>
        <v>146</v>
      </c>
      <c r="AA95" s="26">
        <f>IF(tblData[[#This Row],[Date]]&lt;UKStart,"",tblData[[#This Row],[Date]]-UKStart)</f>
        <v>166</v>
      </c>
      <c r="AB95">
        <f>IF(tblData[Date]&gt;=StartDt2Au,tblData[Date]-StartDt2Au,"")</f>
        <v>171</v>
      </c>
      <c r="AC95" s="26" t="str">
        <f>IF(tblData[New South Wales]&gt;0,SUM(tblData[[#This Row],[Australian Capital Territory]:[Western Australia]]),"")</f>
        <v/>
      </c>
      <c r="AD95" s="12" t="str">
        <f>IF(ISNUMBER(tblData[Au]),tblData[Au]/$AA$9,"")</f>
        <v/>
      </c>
      <c r="AE95" s="44">
        <f>IF(ISNUMBER(tblData[[#This Row],[Day'# Aust]]),betaAu/(deltaAu+betaPodeltaAu*EXP(-betaAu*tblData[[#This Row],[Day'# Aust]])),"")</f>
        <v>206487370.14940006</v>
      </c>
      <c r="AF95" s="73">
        <f>IF(ISNUMBER(tblData[Day'# Aust]),tblData[Au LogiP(t)]/$AD$9,"")</f>
        <v>81409623.935262606</v>
      </c>
      <c r="AG95" s="11" t="str">
        <f>IF(AND(tblData[Date]&gt;=StartDt2Au,ISNUMBER(tblData[NSW])),(tblData[[#This Row],[Au LogiP(t)]]-tblData[[#This Row],[Au]])^2,"")</f>
        <v/>
      </c>
      <c r="AH95">
        <f>IF(tblData[Date]&gt;StartDt2NSW,tblData[Date]-StartDt2NSW,"")</f>
        <v>171</v>
      </c>
      <c r="AI95" t="str">
        <f t="shared" si="9"/>
        <v/>
      </c>
      <c r="AJ95" s="11">
        <f>IF(tblData[Date]&gt;StartDt2NSW,betaNSW/(deltaNSW+betaPodeltaNSW*EXP(-betaNSW*tblData[[#This Row],[Day '# NSW]])),"")</f>
        <v>2724.7105758923531</v>
      </c>
      <c r="AK95" s="12" t="str">
        <f>IF(AND(ISNUMBER(tblData[NSW]),tblData[Date]&gt;StartDt2NSW),(tblData[[#This Row],[NSW LogiP(t)]]-tblData[[#This Row],[NSW]])^2,"")</f>
        <v/>
      </c>
      <c r="AL95" s="44">
        <f>IF(AND(tblData[Date]&gt;StartDt2NSW,ISNUMBER(tblData[Day'# Aust])),tblData[NSW LogiP(t)]/$AG$9,"")</f>
        <v>3372.1665543222189</v>
      </c>
      <c r="AM95" s="11">
        <f>IF(AND(tblData[Date]&gt;StartDt2Italy,ISNUMBER(tblData[Days'# Italy])),betaItaly/(deltaItaly+betaPodeltaItaly*EXP(-betaItaly*tblData[Days'# Italy])),"")</f>
        <v>55402.511466543496</v>
      </c>
      <c r="AN95" s="11" t="str">
        <f>IF(AND(tblData[Date]&gt;StartDt2Italy,ISNUMBER(tblData[Italy])),(tblData[[#This Row],[Italy LogiP(t)]]-tblData[[#This Row],[Italy]])^2,"")</f>
        <v/>
      </c>
      <c r="AO95" s="44">
        <f>IF(AND(tblData[Date]&gt;StartDt2Italy,ISNUMBER(tblData[Days'# Italy])),tblData[[#This Row],[Italy LogiP(t)]]/$AM$9,"")</f>
        <v>9165.0143038119932</v>
      </c>
      <c r="AP95" s="21">
        <f>IF(ISNUMBER(tblData[[#This Row],[Days'# US]]),betaUS/(deltaUS+betaPodeltaUS*EXP(-betaUS*tblData[Days'# US])),"")</f>
        <v>347695292.0145424</v>
      </c>
      <c r="AQ95" s="11" t="str">
        <f>IF(ISNUMBER(tblData[US]),(tblData[[#This Row],[US LogiP(t)]]-tblData[US])^2,"")</f>
        <v/>
      </c>
      <c r="AR95" s="21">
        <f>IF(ISNUMBER(tblData[[#This Row],[Days'# US]]),tblData[[#This Row],[US LogiP(t)]]/$AP$9,"")</f>
        <v>10560935.286861954</v>
      </c>
      <c r="AS95" s="21">
        <f>IF(tblData[Date]&gt;=StartDt2Korea,betaSKorea/(deltaSKorea+betaPodeltaSKorea*EXP(-betaSKorea*(tblData[Date]-StartDt2Korea))),"")</f>
        <v>8319.4112738168697</v>
      </c>
      <c r="AT95" s="21" t="str">
        <f>IF(AND(tblData[Date]&gt;=StartDt2Korea,ISNUMBER(tblData[SKorea])),(tblData[[#This Row],[SKorea LogiP(t)]]-tblData[[#This Row],[SKorea]])^2,"")</f>
        <v/>
      </c>
      <c r="AU95" s="21">
        <f>IF(tblData[Date]&gt;=StartDt2Korea,tblData[[#This Row],[SKorea LogiP(t)]]/$AS$9,"")</f>
        <v>1618.5625046336322</v>
      </c>
      <c r="AV95" s="85">
        <f>IF(ISNUMBER(tblData[Days'# UK]),betaUK/(deltaUK+betaPodeltaUK*EXP(-betaUK*tblData[Days'# UK])),"")</f>
        <v>230595207.47132504</v>
      </c>
      <c r="AW95" s="85" t="str">
        <f>IF(ISNUMBER(tblData[UK]),(tblData[[#This Row],[UK LogiP(t)]]-tblData[[#This Row],[UK]])^2,"")</f>
        <v/>
      </c>
      <c r="AX95" s="85">
        <f>IF(ISNUMBER(tblData[Days'# UK]),tblData[[#This Row],[UK LogiP(t)]]/$AV$9,"")</f>
        <v>34707285.892734051</v>
      </c>
      <c r="AY95" s="11">
        <f>IF(ISNUMBER(tblData[Days'# China]),betaChina/(deltaChina+betaPodeltaChina*EXP(-betaChina*tblData[Days'# China])),"")</f>
        <v>80951.308653486529</v>
      </c>
      <c r="AZ95" s="11" t="str">
        <f>IF(ISNUMBER(tblData[China]),(tblData[[#This Row],[China LogiP(t)]]-tblData[[#This Row],[China]])^2,"")</f>
        <v/>
      </c>
      <c r="BA95" s="11">
        <f>tblData[[#This Row],[China LogiP(t)]]/$AY$9</f>
        <v>562.42598088983789</v>
      </c>
      <c r="BB95" s="11"/>
      <c r="BC95" s="11"/>
      <c r="BD95" s="11" t="str">
        <f>IF(ISNUMBER(tblData[[#This Row],[NSW Number of Tests]]),tblData[[#This Row],[NSW Number of Tests]]-BB94,"")</f>
        <v/>
      </c>
      <c r="BE95" s="11" t="str">
        <f>IF(ISNUMBER(tblData[[#This Row],[NSW Under Investigation'']]),tblData[[#This Row],[NSW Under Investigation'']]-BC94,"")</f>
        <v/>
      </c>
      <c r="BF95" s="11">
        <f t="shared" si="6"/>
        <v>40</v>
      </c>
      <c r="BG95" s="11">
        <f>IF(ISNUMBER(tblData[[#This Row],[NSW Test Day Number]]),betaTest/(deltaTest+betaPodeltaTest*EXP(-betaTest*tblData[[#This Row],[NSW Test Day Number]])),"")</f>
        <v>272663.73934651189</v>
      </c>
      <c r="BH95" s="11" t="str">
        <f>IF(ISNUMBER(tblData[[#This Row],[NSW Number of Tests]]),(tblData[[#This Row],[NSW Number of Tests]]-tblData[[#This Row],[NSW Test Logi]])^2,"")</f>
        <v/>
      </c>
      <c r="BY95"/>
      <c r="BZ95"/>
      <c r="CJ95" s="26"/>
      <c r="CK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</row>
    <row r="96" spans="2:173" x14ac:dyDescent="0.25">
      <c r="B96" s="27">
        <f t="shared" si="12"/>
        <v>44033</v>
      </c>
      <c r="D96" s="26"/>
      <c r="L96" s="12" t="str">
        <f>IF(ISNUMBER(tblData[[#This Row],[NSW]]),tblData[[#This Row],[New South Wales]]/$L$9,"")</f>
        <v/>
      </c>
      <c r="M96" s="26"/>
      <c r="N96" s="49" t="str">
        <f>IF(ISNUMBER(tblData[Italy]),tblData[Italy]/$N$9,"")</f>
        <v/>
      </c>
      <c r="O96" s="26"/>
      <c r="P96" s="49" t="str">
        <f>IF(ISNUMBER(tblData[US]),tblData[US]/$P$9,"")</f>
        <v/>
      </c>
      <c r="Q96" s="49"/>
      <c r="R96" s="19" t="str">
        <f>IF(ISNUMBER(tblData[SKorea]),tblData[SKorea]/$R$9,"")</f>
        <v/>
      </c>
      <c r="S96" s="49"/>
      <c r="T96" s="12" t="str">
        <f>IF(ISNUMBER(tblData[UK]),tblData[UK]/$T$9,"")</f>
        <v/>
      </c>
      <c r="U96" s="26"/>
      <c r="V96" s="21" t="str">
        <f>IF(ISNUMBER(tblData[China]),tblData[China]/$V$9,"")</f>
        <v/>
      </c>
      <c r="W96" s="26">
        <f>IF(tblData[[#This Row],[Date]]&lt;ItalyStart,"",tblData[[#This Row],[Date]]-ItalyStart)</f>
        <v>173</v>
      </c>
      <c r="X96" s="26">
        <f t="shared" si="13"/>
        <v>163</v>
      </c>
      <c r="Y96" s="26">
        <f t="shared" si="11"/>
        <v>85</v>
      </c>
      <c r="Z96" s="26">
        <f>IF(tblData[[#This Row],[Date]]&lt;StartDt2Korea,"",tblData[[#This Row],[Date]]-StartDt2Korea)</f>
        <v>153</v>
      </c>
      <c r="AA96" s="26">
        <f>IF(tblData[[#This Row],[Date]]&lt;UKStart,"",tblData[[#This Row],[Date]]-UKStart)</f>
        <v>173</v>
      </c>
      <c r="AB96">
        <f>IF(tblData[Date]&gt;=StartDt2Au,tblData[Date]-StartDt2Au,"")</f>
        <v>178</v>
      </c>
      <c r="AC96" s="26" t="str">
        <f>IF(tblData[New South Wales]&gt;0,SUM(tblData[[#This Row],[Australian Capital Territory]:[Western Australia]]),"")</f>
        <v/>
      </c>
      <c r="AD96" s="12" t="str">
        <f>IF(ISNUMBER(tblData[Au]),tblData[Au]/$AA$9,"")</f>
        <v/>
      </c>
      <c r="AE96" s="44">
        <f>IF(ISNUMBER(tblData[[#This Row],[Day'# Aust]]),betaAu/(deltaAu+betaPodeltaAu*EXP(-betaAu*tblData[[#This Row],[Day'# Aust]])),"")</f>
        <v>206488855.44149899</v>
      </c>
      <c r="AF96" s="73">
        <f>IF(ISNUMBER(tblData[Day'# Aust]),tblData[Au LogiP(t)]/$AD$9,"")</f>
        <v>81410209.525902465</v>
      </c>
      <c r="AG96" s="11" t="str">
        <f>IF(AND(tblData[Date]&gt;=StartDt2Au,ISNUMBER(tblData[NSW])),(tblData[[#This Row],[Au LogiP(t)]]-tblData[[#This Row],[Au]])^2,"")</f>
        <v/>
      </c>
      <c r="AH96">
        <f>IF(tblData[Date]&gt;StartDt2NSW,tblData[Date]-StartDt2NSW,"")</f>
        <v>178</v>
      </c>
      <c r="AI96" t="str">
        <f t="shared" ref="AI96:AI117" si="14">IF(E96&gt;0,E96,"")</f>
        <v/>
      </c>
      <c r="AJ96" s="11">
        <f>IF(tblData[Date]&gt;StartDt2NSW,betaNSW/(deltaNSW+betaPodeltaNSW*EXP(-betaNSW*tblData[[#This Row],[Day '# NSW]])),"")</f>
        <v>2724.7105762714036</v>
      </c>
      <c r="AK96" s="12" t="str">
        <f>IF(AND(ISNUMBER(tblData[NSW]),tblData[Date]&gt;StartDt2NSW),(tblData[[#This Row],[NSW LogiP(t)]]-tblData[[#This Row],[NSW]])^2,"")</f>
        <v/>
      </c>
      <c r="AL96" s="44">
        <f>IF(AND(tblData[Date]&gt;StartDt2NSW,ISNUMBER(tblData[Day'# Aust])),tblData[NSW LogiP(t)]/$AG$9,"")</f>
        <v>3372.1665547913408</v>
      </c>
      <c r="AM96" s="11">
        <f>IF(AND(tblData[Date]&gt;StartDt2Italy,ISNUMBER(tblData[Days'# Italy])),betaItaly/(deltaItaly+betaPodeltaItaly*EXP(-betaItaly*tblData[Days'# Italy])),"")</f>
        <v>55402.511466544507</v>
      </c>
      <c r="AN96" s="11" t="str">
        <f>IF(AND(tblData[Date]&gt;StartDt2Italy,ISNUMBER(tblData[Italy])),(tblData[[#This Row],[Italy LogiP(t)]]-tblData[[#This Row],[Italy]])^2,"")</f>
        <v/>
      </c>
      <c r="AO96" s="44">
        <f>IF(AND(tblData[Date]&gt;StartDt2Italy,ISNUMBER(tblData[Days'# Italy])),tblData[[#This Row],[Italy LogiP(t)]]/$AM$9,"")</f>
        <v>9165.0143038121605</v>
      </c>
      <c r="AP96" s="21">
        <f>IF(ISNUMBER(tblData[[#This Row],[Days'# US]]),betaUS/(deltaUS+betaPodeltaUS*EXP(-betaUS*tblData[Days'# US])),"")</f>
        <v>347695292.01456028</v>
      </c>
      <c r="AQ96" s="11" t="str">
        <f>IF(ISNUMBER(tblData[US]),(tblData[[#This Row],[US LogiP(t)]]-tblData[US])^2,"")</f>
        <v/>
      </c>
      <c r="AR96" s="21">
        <f>IF(ISNUMBER(tblData[[#This Row],[Days'# US]]),tblData[[#This Row],[US LogiP(t)]]/$AP$9,"")</f>
        <v>10560935.286862496</v>
      </c>
      <c r="AS96" s="21">
        <f>IF(tblData[Date]&gt;=StartDt2Korea,betaSKorea/(deltaSKorea+betaPodeltaSKorea*EXP(-betaSKorea*(tblData[Date]-StartDt2Korea))),"")</f>
        <v>8319.4112738168697</v>
      </c>
      <c r="AT96" s="21" t="str">
        <f>IF(AND(tblData[Date]&gt;=StartDt2Korea,ISNUMBER(tblData[SKorea])),(tblData[[#This Row],[SKorea LogiP(t)]]-tblData[[#This Row],[SKorea]])^2,"")</f>
        <v/>
      </c>
      <c r="AU96" s="21">
        <f>IF(tblData[Date]&gt;=StartDt2Korea,tblData[[#This Row],[SKorea LogiP(t)]]/$AS$9,"")</f>
        <v>1618.5625046336322</v>
      </c>
      <c r="AV96" s="85">
        <f>IF(ISNUMBER(tblData[Days'# UK]),betaUK/(deltaUK+betaPodeltaUK*EXP(-betaUK*tblData[Days'# UK])),"")</f>
        <v>230595234.04401866</v>
      </c>
      <c r="AW96" s="85" t="str">
        <f>IF(ISNUMBER(tblData[UK]),(tblData[[#This Row],[UK LogiP(t)]]-tblData[[#This Row],[UK]])^2,"")</f>
        <v/>
      </c>
      <c r="AX96" s="85">
        <f>IF(ISNUMBER(tblData[Days'# UK]),tblData[[#This Row],[UK LogiP(t)]]/$AV$9,"")</f>
        <v>34707289.892236404</v>
      </c>
      <c r="AY96" s="11">
        <f>IF(ISNUMBER(tblData[Days'# China]),betaChina/(deltaChina+betaPodeltaChina*EXP(-betaChina*tblData[Days'# China])),"")</f>
        <v>80951.315209036809</v>
      </c>
      <c r="AZ96" s="11" t="str">
        <f>IF(ISNUMBER(tblData[China]),(tblData[[#This Row],[China LogiP(t)]]-tblData[[#This Row],[China]])^2,"")</f>
        <v/>
      </c>
      <c r="BA96" s="11">
        <f>tblData[[#This Row],[China LogiP(t)]]/$AY$9</f>
        <v>562.426026435881</v>
      </c>
      <c r="BB96" s="11"/>
      <c r="BC96" s="11"/>
      <c r="BD96" s="11" t="str">
        <f>IF(ISNUMBER(tblData[[#This Row],[NSW Number of Tests]]),tblData[[#This Row],[NSW Number of Tests]]-BB95,"")</f>
        <v/>
      </c>
      <c r="BE96" s="11" t="str">
        <f>IF(ISNUMBER(tblData[[#This Row],[NSW Under Investigation'']]),tblData[[#This Row],[NSW Under Investigation'']]-BC95,"")</f>
        <v/>
      </c>
      <c r="BF96" s="11">
        <f t="shared" si="6"/>
        <v>41</v>
      </c>
      <c r="BG96" s="11">
        <f>IF(ISNUMBER(tblData[[#This Row],[NSW Test Day Number]]),betaTest/(deltaTest+betaPodeltaTest*EXP(-betaTest*tblData[[#This Row],[NSW Test Day Number]])),"")</f>
        <v>275418.54007533938</v>
      </c>
      <c r="BH96" s="11" t="str">
        <f>IF(ISNUMBER(tblData[[#This Row],[NSW Number of Tests]]),(tblData[[#This Row],[NSW Number of Tests]]-tblData[[#This Row],[NSW Test Logi]])^2,"")</f>
        <v/>
      </c>
      <c r="BY96"/>
      <c r="BZ96"/>
      <c r="CJ96" s="26"/>
      <c r="CK96" s="26"/>
    </row>
    <row r="97" spans="2:173" x14ac:dyDescent="0.25">
      <c r="B97" s="27">
        <f t="shared" si="12"/>
        <v>44040</v>
      </c>
      <c r="D97" s="26"/>
      <c r="L97" s="12" t="str">
        <f>IF(ISNUMBER(tblData[[#This Row],[NSW]]),tblData[[#This Row],[New South Wales]]/$L$9,"")</f>
        <v/>
      </c>
      <c r="M97" s="26"/>
      <c r="N97" s="49" t="str">
        <f>IF(ISNUMBER(tblData[Italy]),tblData[Italy]/$N$9,"")</f>
        <v/>
      </c>
      <c r="O97" s="26"/>
      <c r="P97" s="49" t="str">
        <f>IF(ISNUMBER(tblData[US]),tblData[US]/$P$9,"")</f>
        <v/>
      </c>
      <c r="Q97" s="49"/>
      <c r="R97" s="19" t="str">
        <f>IF(ISNUMBER(tblData[SKorea]),tblData[SKorea]/$R$9,"")</f>
        <v/>
      </c>
      <c r="S97" s="49"/>
      <c r="T97" s="12" t="str">
        <f>IF(ISNUMBER(tblData[UK]),tblData[UK]/$T$9,"")</f>
        <v/>
      </c>
      <c r="U97" s="26"/>
      <c r="V97" s="21" t="str">
        <f>IF(ISNUMBER(tblData[China]),tblData[China]/$V$9,"")</f>
        <v/>
      </c>
      <c r="W97" s="26">
        <f>IF(tblData[[#This Row],[Date]]&lt;ItalyStart,"",tblData[[#This Row],[Date]]-ItalyStart)</f>
        <v>180</v>
      </c>
      <c r="X97" s="26">
        <f t="shared" si="13"/>
        <v>170</v>
      </c>
      <c r="Y97" s="26">
        <f t="shared" si="11"/>
        <v>86</v>
      </c>
      <c r="Z97" s="26">
        <f>IF(tblData[[#This Row],[Date]]&lt;StartDt2Korea,"",tblData[[#This Row],[Date]]-StartDt2Korea)</f>
        <v>160</v>
      </c>
      <c r="AA97" s="26">
        <f>IF(tblData[[#This Row],[Date]]&lt;UKStart,"",tblData[[#This Row],[Date]]-UKStart)</f>
        <v>180</v>
      </c>
      <c r="AB97">
        <f>IF(tblData[Date]&gt;=StartDt2Au,tblData[Date]-StartDt2Au,"")</f>
        <v>185</v>
      </c>
      <c r="AC97" s="26" t="str">
        <f>IF(tblData[New South Wales]&gt;0,SUM(tblData[[#This Row],[Australian Capital Territory]:[Western Australia]]),"")</f>
        <v/>
      </c>
      <c r="AD97" s="12" t="str">
        <f>IF(ISNUMBER(tblData[Au]),tblData[Au]/$AA$9,"")</f>
        <v/>
      </c>
      <c r="AE97" s="44">
        <f>IF(ISNUMBER(tblData[[#This Row],[Day'# Aust]]),betaAu/(deltaAu+betaPodeltaAu*EXP(-betaAu*tblData[[#This Row],[Day'# Aust]])),"")</f>
        <v>206489205.44754419</v>
      </c>
      <c r="AF97" s="73">
        <f>IF(ISNUMBER(tblData[Day'# Aust]),tblData[Au LogiP(t)]/$AD$9,"")</f>
        <v>81410347.519139007</v>
      </c>
      <c r="AG97" s="11" t="str">
        <f>IF(AND(tblData[Date]&gt;=StartDt2Au,ISNUMBER(tblData[NSW])),(tblData[[#This Row],[Au LogiP(t)]]-tblData[[#This Row],[Au]])^2,"")</f>
        <v/>
      </c>
      <c r="AH97">
        <f>IF(tblData[Date]&gt;StartDt2NSW,tblData[Date]-StartDt2NSW,"")</f>
        <v>185</v>
      </c>
      <c r="AI97" t="str">
        <f t="shared" si="14"/>
        <v/>
      </c>
      <c r="AJ97" s="11">
        <f>IF(tblData[Date]&gt;StartDt2NSW,betaNSW/(deltaNSW+betaPodeltaNSW*EXP(-betaNSW*tblData[[#This Row],[Day '# NSW]])),"")</f>
        <v>2724.7105763589811</v>
      </c>
      <c r="AK97" s="12" t="str">
        <f>IF(AND(ISNUMBER(tblData[NSW]),tblData[Date]&gt;StartDt2NSW),(tblData[[#This Row],[NSW LogiP(t)]]-tblData[[#This Row],[NSW]])^2,"")</f>
        <v/>
      </c>
      <c r="AL97" s="44">
        <f>IF(AND(tblData[Date]&gt;StartDt2NSW,ISNUMBER(tblData[Day'# Aust])),tblData[NSW LogiP(t)]/$AG$9,"")</f>
        <v>3372.1665548997289</v>
      </c>
      <c r="AM97" s="11">
        <f>IF(AND(tblData[Date]&gt;StartDt2Italy,ISNUMBER(tblData[Days'# Italy])),betaItaly/(deltaItaly+betaPodeltaItaly*EXP(-betaItaly*tblData[Days'# Italy])),"")</f>
        <v>55402.511466544674</v>
      </c>
      <c r="AN97" s="11" t="str">
        <f>IF(AND(tblData[Date]&gt;StartDt2Italy,ISNUMBER(tblData[Italy])),(tblData[[#This Row],[Italy LogiP(t)]]-tblData[[#This Row],[Italy]])^2,"")</f>
        <v/>
      </c>
      <c r="AO97" s="44">
        <f>IF(AND(tblData[Date]&gt;StartDt2Italy,ISNUMBER(tblData[Days'# Italy])),tblData[[#This Row],[Italy LogiP(t)]]/$AM$9,"")</f>
        <v>9165.0143038121878</v>
      </c>
      <c r="AP97" s="21">
        <f>IF(ISNUMBER(tblData[[#This Row],[Days'# US]]),betaUS/(deltaUS+betaPodeltaUS*EXP(-betaUS*tblData[Days'# US])),"")</f>
        <v>347695292.01456189</v>
      </c>
      <c r="AQ97" s="11" t="str">
        <f>IF(ISNUMBER(tblData[US]),(tblData[[#This Row],[US LogiP(t)]]-tblData[US])^2,"")</f>
        <v/>
      </c>
      <c r="AR97" s="21">
        <f>IF(ISNUMBER(tblData[[#This Row],[Days'# US]]),tblData[[#This Row],[US LogiP(t)]]/$AP$9,"")</f>
        <v>10560935.286862545</v>
      </c>
      <c r="AS97" s="21">
        <f>IF(tblData[Date]&gt;=StartDt2Korea,betaSKorea/(deltaSKorea+betaPodeltaSKorea*EXP(-betaSKorea*(tblData[Date]-StartDt2Korea))),"")</f>
        <v>8319.4112738168697</v>
      </c>
      <c r="AT97" s="21" t="str">
        <f>IF(AND(tblData[Date]&gt;=StartDt2Korea,ISNUMBER(tblData[SKorea])),(tblData[[#This Row],[SKorea LogiP(t)]]-tblData[[#This Row],[SKorea]])^2,"")</f>
        <v/>
      </c>
      <c r="AU97" s="21">
        <f>IF(tblData[Date]&gt;=StartDt2Korea,tblData[[#This Row],[SKorea LogiP(t)]]/$AS$9,"")</f>
        <v>1618.5625046336322</v>
      </c>
      <c r="AV97" s="85">
        <f>IF(ISNUMBER(tblData[Days'# UK]),betaUK/(deltaUK+betaPodeltaUK*EXP(-betaUK*tblData[Days'# UK])),"")</f>
        <v>230595239.3334862</v>
      </c>
      <c r="AW97" s="85" t="str">
        <f>IF(ISNUMBER(tblData[UK]),(tblData[[#This Row],[UK LogiP(t)]]-tblData[[#This Row],[UK]])^2,"")</f>
        <v/>
      </c>
      <c r="AX97" s="85">
        <f>IF(ISNUMBER(tblData[Days'# UK]),tblData[[#This Row],[UK LogiP(t)]]/$AV$9,"")</f>
        <v>34707290.688363366</v>
      </c>
      <c r="AY97" s="11">
        <f>IF(ISNUMBER(tblData[Days'# China]),betaChina/(deltaChina+betaPodeltaChina*EXP(-betaChina*tblData[Days'# China])),"")</f>
        <v>80951.320458727772</v>
      </c>
      <c r="AZ97" s="11" t="str">
        <f>IF(ISNUMBER(tblData[China]),(tblData[[#This Row],[China LogiP(t)]]-tblData[[#This Row],[China]])^2,"")</f>
        <v/>
      </c>
      <c r="BA97" s="11">
        <f>tblData[[#This Row],[China LogiP(t)]]/$AY$9</f>
        <v>562.42606290919616</v>
      </c>
      <c r="BB97" s="11"/>
      <c r="BC97" s="11"/>
      <c r="BD97" s="11" t="str">
        <f>IF(ISNUMBER(tblData[[#This Row],[NSW Number of Tests]]),tblData[[#This Row],[NSW Number of Tests]]-BB96,"")</f>
        <v/>
      </c>
      <c r="BE97" s="11" t="str">
        <f>IF(ISNUMBER(tblData[[#This Row],[NSW Under Investigation'']]),tblData[[#This Row],[NSW Under Investigation'']]-BC96,"")</f>
        <v/>
      </c>
      <c r="BF97" s="11"/>
      <c r="BG97" s="11" t="str">
        <f>IF(ISNUMBER(tblData[[#This Row],[NSW Test Day Number]]),betaTest/(deltaTest+betaPodeltaTest*EXP(-betaTest*tblData[[#This Row],[NSW Test Day Number]])),"")</f>
        <v/>
      </c>
      <c r="BH97" s="11" t="str">
        <f>IF(ISNUMBER(tblData[[#This Row],[NSW Number of Tests]]),(tblData[[#This Row],[NSW Number of Tests]]-tblData[[#This Row],[NSW Test Logi]])^2,"")</f>
        <v/>
      </c>
      <c r="BY97"/>
      <c r="BZ97"/>
      <c r="CJ97" s="26"/>
      <c r="CK97" s="26"/>
    </row>
    <row r="98" spans="2:173" x14ac:dyDescent="0.25">
      <c r="B98" s="27">
        <f t="shared" si="12"/>
        <v>44047</v>
      </c>
      <c r="D98" s="26"/>
      <c r="L98" s="12" t="str">
        <f>IF(ISNUMBER(tblData[[#This Row],[NSW]]),tblData[[#This Row],[New South Wales]]/$L$9,"")</f>
        <v/>
      </c>
      <c r="M98" s="26"/>
      <c r="N98" s="49" t="str">
        <f>IF(ISNUMBER(tblData[Italy]),tblData[Italy]/$N$9,"")</f>
        <v/>
      </c>
      <c r="O98" s="26"/>
      <c r="P98" s="49" t="str">
        <f>IF(ISNUMBER(tblData[US]),tblData[US]/$P$9,"")</f>
        <v/>
      </c>
      <c r="Q98" s="49"/>
      <c r="R98" s="19" t="str">
        <f>IF(ISNUMBER(tblData[SKorea]),tblData[SKorea]/$R$9,"")</f>
        <v/>
      </c>
      <c r="S98" s="49"/>
      <c r="T98" s="12" t="str">
        <f>IF(ISNUMBER(tblData[UK]),tblData[UK]/$T$9,"")</f>
        <v/>
      </c>
      <c r="U98" s="26"/>
      <c r="V98" s="21" t="str">
        <f>IF(ISNUMBER(tblData[China]),tblData[China]/$V$9,"")</f>
        <v/>
      </c>
      <c r="W98" s="26">
        <f>IF(tblData[[#This Row],[Date]]&lt;ItalyStart,"",tblData[[#This Row],[Date]]-ItalyStart)</f>
        <v>187</v>
      </c>
      <c r="X98" s="26">
        <f t="shared" si="13"/>
        <v>177</v>
      </c>
      <c r="Y98" s="26">
        <f t="shared" si="11"/>
        <v>87</v>
      </c>
      <c r="Z98" s="26">
        <f>IF(tblData[[#This Row],[Date]]&lt;StartDt2Korea,"",tblData[[#This Row],[Date]]-StartDt2Korea)</f>
        <v>167</v>
      </c>
      <c r="AA98" s="26">
        <f>IF(tblData[[#This Row],[Date]]&lt;UKStart,"",tblData[[#This Row],[Date]]-UKStart)</f>
        <v>187</v>
      </c>
      <c r="AB98">
        <f>IF(tblData[Date]&gt;=StartDt2Au,tblData[Date]-StartDt2Au,"")</f>
        <v>192</v>
      </c>
      <c r="AC98" s="26" t="str">
        <f>IF(tblData[New South Wales]&gt;0,SUM(tblData[[#This Row],[Australian Capital Territory]:[Western Australia]]),"")</f>
        <v/>
      </c>
      <c r="AD98" s="12" t="str">
        <f>IF(ISNUMBER(tblData[Au]),tblData[Au]/$AA$9,"")</f>
        <v/>
      </c>
      <c r="AE98" s="44">
        <f>IF(ISNUMBER(tblData[[#This Row],[Day'# Aust]]),betaAu/(deltaAu+betaPodeltaAu*EXP(-betaAu*tblData[[#This Row],[Day'# Aust]])),"")</f>
        <v>206489287.92519251</v>
      </c>
      <c r="AF98" s="73">
        <f>IF(ISNUMBER(tblData[Day'# Aust]),tblData[Au LogiP(t)]/$AD$9,"")</f>
        <v>81410380.036742032</v>
      </c>
      <c r="AG98" s="11" t="str">
        <f>IF(AND(tblData[Date]&gt;=StartDt2Au,ISNUMBER(tblData[NSW])),(tblData[[#This Row],[Au LogiP(t)]]-tblData[[#This Row],[Au]])^2,"")</f>
        <v/>
      </c>
      <c r="AH98">
        <f>IF(tblData[Date]&gt;StartDt2NSW,tblData[Date]-StartDt2NSW,"")</f>
        <v>192</v>
      </c>
      <c r="AI98" t="str">
        <f t="shared" si="14"/>
        <v/>
      </c>
      <c r="AJ98" s="11">
        <f>IF(tblData[Date]&gt;StartDt2NSW,betaNSW/(deltaNSW+betaPodeltaNSW*EXP(-betaNSW*tblData[[#This Row],[Day '# NSW]])),"")</f>
        <v>2724.7105763792151</v>
      </c>
      <c r="AK98" s="12" t="str">
        <f>IF(AND(ISNUMBER(tblData[NSW]),tblData[Date]&gt;StartDt2NSW),(tblData[[#This Row],[NSW LogiP(t)]]-tblData[[#This Row],[NSW]])^2,"")</f>
        <v/>
      </c>
      <c r="AL98" s="44">
        <f>IF(AND(tblData[Date]&gt;StartDt2NSW,ISNUMBER(tblData[Day'# Aust])),tblData[NSW LogiP(t)]/$AG$9,"")</f>
        <v>3372.1665549247709</v>
      </c>
      <c r="AM98" s="11">
        <f>IF(AND(tblData[Date]&gt;StartDt2Italy,ISNUMBER(tblData[Days'# Italy])),betaItaly/(deltaItaly+betaPodeltaItaly*EXP(-betaItaly*tblData[Days'# Italy])),"")</f>
        <v>55402.511466544696</v>
      </c>
      <c r="AN98" s="11" t="str">
        <f>IF(AND(tblData[Date]&gt;StartDt2Italy,ISNUMBER(tblData[Italy])),(tblData[[#This Row],[Italy LogiP(t)]]-tblData[[#This Row],[Italy]])^2,"")</f>
        <v/>
      </c>
      <c r="AO98" s="44">
        <f>IF(AND(tblData[Date]&gt;StartDt2Italy,ISNUMBER(tblData[Days'# Italy])),tblData[[#This Row],[Italy LogiP(t)]]/$AM$9,"")</f>
        <v>9165.0143038121914</v>
      </c>
      <c r="AP98" s="21">
        <f>IF(ISNUMBER(tblData[[#This Row],[Days'# US]]),betaUS/(deltaUS+betaPodeltaUS*EXP(-betaUS*tblData[Days'# US])),"")</f>
        <v>347695292.01456201</v>
      </c>
      <c r="AQ98" s="11" t="str">
        <f>IF(ISNUMBER(tblData[US]),(tblData[[#This Row],[US LogiP(t)]]-tblData[US])^2,"")</f>
        <v/>
      </c>
      <c r="AR98" s="21">
        <f>IF(ISNUMBER(tblData[[#This Row],[Days'# US]]),tblData[[#This Row],[US LogiP(t)]]/$AP$9,"")</f>
        <v>10560935.286862548</v>
      </c>
      <c r="AS98" s="21">
        <f>IF(tblData[Date]&gt;=StartDt2Korea,betaSKorea/(deltaSKorea+betaPodeltaSKorea*EXP(-betaSKorea*(tblData[Date]-StartDt2Korea))),"")</f>
        <v>8319.4112738168697</v>
      </c>
      <c r="AT98" s="21" t="str">
        <f>IF(AND(tblData[Date]&gt;=StartDt2Korea,ISNUMBER(tblData[SKorea])),(tblData[[#This Row],[SKorea LogiP(t)]]-tblData[[#This Row],[SKorea]])^2,"")</f>
        <v/>
      </c>
      <c r="AU98" s="21">
        <f>IF(tblData[Date]&gt;=StartDt2Korea,tblData[[#This Row],[SKorea LogiP(t)]]/$AS$9,"")</f>
        <v>1618.5625046336322</v>
      </c>
      <c r="AV98" s="85">
        <f>IF(ISNUMBER(tblData[Days'# UK]),betaUK/(deltaUK+betaPodeltaUK*EXP(-betaUK*tblData[Days'# UK])),"")</f>
        <v>230595240.38638902</v>
      </c>
      <c r="AW98" s="85" t="str">
        <f>IF(ISNUMBER(tblData[UK]),(tblData[[#This Row],[UK LogiP(t)]]-tblData[[#This Row],[UK]])^2,"")</f>
        <v/>
      </c>
      <c r="AX98" s="85">
        <f>IF(ISNUMBER(tblData[Days'# UK]),tblData[[#This Row],[UK LogiP(t)]]/$AV$9,"")</f>
        <v>34707290.846837603</v>
      </c>
      <c r="AY98" s="11">
        <f>IF(ISNUMBER(tblData[Days'# China]),betaChina/(deltaChina+betaPodeltaChina*EXP(-betaChina*tblData[Days'# China])),"")</f>
        <v>80951.32466268522</v>
      </c>
      <c r="AZ98" s="11" t="str">
        <f>IF(ISNUMBER(tblData[China]),(tblData[[#This Row],[China LogiP(t)]]-tblData[[#This Row],[China]])^2,"")</f>
        <v/>
      </c>
      <c r="BA98" s="11">
        <f>tblData[[#This Row],[China LogiP(t)]]/$AY$9</f>
        <v>562.4260921170611</v>
      </c>
      <c r="BB98" s="11"/>
      <c r="BC98" s="11"/>
      <c r="BD98" s="11" t="str">
        <f>IF(ISNUMBER(tblData[[#This Row],[NSW Number of Tests]]),tblData[[#This Row],[NSW Number of Tests]]-BB97,"")</f>
        <v/>
      </c>
      <c r="BE98" s="11" t="str">
        <f>IF(ISNUMBER(tblData[[#This Row],[NSW Under Investigation'']]),tblData[[#This Row],[NSW Under Investigation'']]-BC97,"")</f>
        <v/>
      </c>
      <c r="BF98" s="11"/>
      <c r="BG98" s="11" t="str">
        <f>IF(ISNUMBER(tblData[[#This Row],[NSW Test Day Number]]),betaTest/(deltaTest+betaPodeltaTest*EXP(-betaTest*tblData[[#This Row],[NSW Test Day Number]])),"")</f>
        <v/>
      </c>
      <c r="BH98" s="11" t="str">
        <f>IF(ISNUMBER(tblData[[#This Row],[NSW Number of Tests]]),(tblData[[#This Row],[NSW Number of Tests]]-tblData[[#This Row],[NSW Test Logi]])^2,"")</f>
        <v/>
      </c>
      <c r="BY98"/>
      <c r="BZ98"/>
      <c r="CJ98" s="26"/>
      <c r="CK98" s="26"/>
      <c r="DE98" s="26"/>
      <c r="DI98" s="26"/>
      <c r="DJ98" s="26"/>
      <c r="DK98" s="26"/>
      <c r="DL98" s="26"/>
      <c r="DM98" s="26"/>
      <c r="DN98" s="26"/>
      <c r="DO98" s="26"/>
      <c r="DP98" s="26"/>
      <c r="DQ98" s="26"/>
      <c r="DS98" s="26"/>
      <c r="DT98" s="26"/>
      <c r="DU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</row>
    <row r="99" spans="2:173" x14ac:dyDescent="0.25">
      <c r="B99" s="27">
        <f t="shared" si="12"/>
        <v>44054</v>
      </c>
      <c r="D99" s="26"/>
      <c r="L99" s="12" t="str">
        <f>IF(ISNUMBER(tblData[[#This Row],[NSW]]),tblData[[#This Row],[New South Wales]]/$L$9,"")</f>
        <v/>
      </c>
      <c r="M99" s="26"/>
      <c r="N99" s="49" t="str">
        <f>IF(ISNUMBER(tblData[Italy]),tblData[Italy]/$N$9,"")</f>
        <v/>
      </c>
      <c r="O99" s="26"/>
      <c r="P99" s="49" t="str">
        <f>IF(ISNUMBER(tblData[US]),tblData[US]/$P$9,"")</f>
        <v/>
      </c>
      <c r="Q99" s="49"/>
      <c r="R99" s="19" t="str">
        <f>IF(ISNUMBER(tblData[SKorea]),tblData[SKorea]/$R$9,"")</f>
        <v/>
      </c>
      <c r="S99" s="49"/>
      <c r="T99" s="12" t="str">
        <f>IF(ISNUMBER(tblData[UK]),tblData[UK]/$T$9,"")</f>
        <v/>
      </c>
      <c r="U99" s="26"/>
      <c r="V99" s="21" t="str">
        <f>IF(ISNUMBER(tblData[China]),tblData[China]/$V$9,"")</f>
        <v/>
      </c>
      <c r="W99" s="26">
        <f>IF(tblData[[#This Row],[Date]]&lt;ItalyStart,"",tblData[[#This Row],[Date]]-ItalyStart)</f>
        <v>194</v>
      </c>
      <c r="X99" s="26">
        <f t="shared" si="13"/>
        <v>184</v>
      </c>
      <c r="Y99" s="26">
        <f t="shared" si="11"/>
        <v>88</v>
      </c>
      <c r="Z99" s="26">
        <f>IF(tblData[[#This Row],[Date]]&lt;StartDt2Korea,"",tblData[[#This Row],[Date]]-StartDt2Korea)</f>
        <v>174</v>
      </c>
      <c r="AA99" s="26">
        <f>IF(tblData[[#This Row],[Date]]&lt;UKStart,"",tblData[[#This Row],[Date]]-UKStart)</f>
        <v>194</v>
      </c>
      <c r="AB99">
        <f>IF(tblData[Date]&gt;=StartDt2Au,tblData[Date]-StartDt2Au,"")</f>
        <v>199</v>
      </c>
      <c r="AC99" s="26" t="str">
        <f>IF(tblData[New South Wales]&gt;0,SUM(tblData[[#This Row],[Australian Capital Territory]:[Western Australia]]),"")</f>
        <v/>
      </c>
      <c r="AD99" s="12" t="str">
        <f>IF(ISNUMBER(tblData[Au]),tblData[Au]/$AA$9,"")</f>
        <v/>
      </c>
      <c r="AE99" s="44">
        <f>IF(ISNUMBER(tblData[[#This Row],[Day'# Aust]]),betaAu/(deltaAu+betaPodeltaAu*EXP(-betaAu*tblData[[#This Row],[Day'# Aust]])),"")</f>
        <v>206489307.36071849</v>
      </c>
      <c r="AF99" s="73">
        <f>IF(ISNUMBER(tblData[Day'# Aust]),tblData[Au LogiP(t)]/$AD$9,"")</f>
        <v>81410387.699384362</v>
      </c>
      <c r="AG99" s="11" t="str">
        <f>IF(AND(tblData[Date]&gt;=StartDt2Au,ISNUMBER(tblData[NSW])),(tblData[[#This Row],[Au LogiP(t)]]-tblData[[#This Row],[Au]])^2,"")</f>
        <v/>
      </c>
      <c r="AH99">
        <f>IF(tblData[Date]&gt;StartDt2NSW,tblData[Date]-StartDt2NSW,"")</f>
        <v>199</v>
      </c>
      <c r="AI99" t="str">
        <f t="shared" si="14"/>
        <v/>
      </c>
      <c r="AJ99" s="11">
        <f>IF(tblData[Date]&gt;StartDt2NSW,betaNSW/(deltaNSW+betaPodeltaNSW*EXP(-betaNSW*tblData[[#This Row],[Day '# NSW]])),"")</f>
        <v>2724.7105763838908</v>
      </c>
      <c r="AK99" s="12" t="str">
        <f>IF(AND(ISNUMBER(tblData[NSW]),tblData[Date]&gt;StartDt2NSW),(tblData[[#This Row],[NSW LogiP(t)]]-tblData[[#This Row],[NSW]])^2,"")</f>
        <v/>
      </c>
      <c r="AL99" s="44">
        <f>IF(AND(tblData[Date]&gt;StartDt2NSW,ISNUMBER(tblData[Day'# Aust])),tblData[NSW LogiP(t)]/$AG$9,"")</f>
        <v>3372.1665549305576</v>
      </c>
      <c r="AM99" s="11">
        <f>IF(AND(tblData[Date]&gt;StartDt2Italy,ISNUMBER(tblData[Days'# Italy])),betaItaly/(deltaItaly+betaPodeltaItaly*EXP(-betaItaly*tblData[Days'# Italy])),"")</f>
        <v>55402.511466544704</v>
      </c>
      <c r="AN99" s="11" t="str">
        <f>IF(AND(tblData[Date]&gt;StartDt2Italy,ISNUMBER(tblData[Italy])),(tblData[[#This Row],[Italy LogiP(t)]]-tblData[[#This Row],[Italy]])^2,"")</f>
        <v/>
      </c>
      <c r="AO99" s="44">
        <f>IF(AND(tblData[Date]&gt;StartDt2Italy,ISNUMBER(tblData[Days'# Italy])),tblData[[#This Row],[Italy LogiP(t)]]/$AM$9,"")</f>
        <v>9165.0143038121932</v>
      </c>
      <c r="AP99" s="21">
        <f>IF(ISNUMBER(tblData[[#This Row],[Days'# US]]),betaUS/(deltaUS+betaPodeltaUS*EXP(-betaUS*tblData[Days'# US])),"")</f>
        <v>347695292.01456201</v>
      </c>
      <c r="AQ99" s="11" t="str">
        <f>IF(ISNUMBER(tblData[US]),(tblData[[#This Row],[US LogiP(t)]]-tblData[US])^2,"")</f>
        <v/>
      </c>
      <c r="AR99" s="21">
        <f>IF(ISNUMBER(tblData[[#This Row],[Days'# US]]),tblData[[#This Row],[US LogiP(t)]]/$AP$9,"")</f>
        <v>10560935.286862548</v>
      </c>
      <c r="AS99" s="21">
        <f>IF(tblData[Date]&gt;=StartDt2Korea,betaSKorea/(deltaSKorea+betaPodeltaSKorea*EXP(-betaSKorea*(tblData[Date]-StartDt2Korea))),"")</f>
        <v>8319.4112738168697</v>
      </c>
      <c r="AT99" s="21" t="str">
        <f>IF(AND(tblData[Date]&gt;=StartDt2Korea,ISNUMBER(tblData[SKorea])),(tblData[[#This Row],[SKorea LogiP(t)]]-tblData[[#This Row],[SKorea]])^2,"")</f>
        <v/>
      </c>
      <c r="AU99" s="21">
        <f>IF(tblData[Date]&gt;=StartDt2Korea,tblData[[#This Row],[SKorea LogiP(t)]]/$AS$9,"")</f>
        <v>1618.5625046336322</v>
      </c>
      <c r="AV99" s="85">
        <f>IF(ISNUMBER(tblData[Days'# UK]),betaUK/(deltaUK+betaPodeltaUK*EXP(-betaUK*tblData[Days'# UK])),"")</f>
        <v>230595240.59597614</v>
      </c>
      <c r="AW99" s="85" t="str">
        <f>IF(ISNUMBER(tblData[UK]),(tblData[[#This Row],[UK LogiP(t)]]-tblData[[#This Row],[UK]])^2,"")</f>
        <v/>
      </c>
      <c r="AX99" s="85">
        <f>IF(ISNUMBER(tblData[Days'# UK]),tblData[[#This Row],[UK LogiP(t)]]/$AV$9,"")</f>
        <v>34707290.878382921</v>
      </c>
      <c r="AY99" s="11">
        <f>IF(ISNUMBER(tblData[Days'# China]),betaChina/(deltaChina+betaPodeltaChina*EXP(-betaChina*tblData[Days'# China])),"")</f>
        <v>80951.328029218188</v>
      </c>
      <c r="AZ99" s="11" t="str">
        <f>IF(ISNUMBER(tblData[China]),(tblData[[#This Row],[China LogiP(t)]]-tblData[[#This Row],[China]])^2,"")</f>
        <v/>
      </c>
      <c r="BA99" s="11">
        <f>tblData[[#This Row],[China LogiP(t)]]/$AY$9</f>
        <v>562.4261155067461</v>
      </c>
      <c r="BB99" s="11"/>
      <c r="BC99" s="11"/>
      <c r="BD99" s="11" t="str">
        <f>IF(ISNUMBER(tblData[[#This Row],[NSW Number of Tests]]),tblData[[#This Row],[NSW Number of Tests]]-BB98,"")</f>
        <v/>
      </c>
      <c r="BE99" s="11" t="str">
        <f>IF(ISNUMBER(tblData[[#This Row],[NSW Under Investigation'']]),tblData[[#This Row],[NSW Under Investigation'']]-BC98,"")</f>
        <v/>
      </c>
      <c r="BF99" s="11"/>
      <c r="BG99" s="11" t="str">
        <f>IF(ISNUMBER(tblData[[#This Row],[NSW Test Day Number]]),betaTest/(deltaTest+betaPodeltaTest*EXP(-betaTest*tblData[[#This Row],[NSW Test Day Number]])),"")</f>
        <v/>
      </c>
      <c r="BH99" s="11" t="str">
        <f>IF(ISNUMBER(tblData[[#This Row],[NSW Number of Tests]]),(tblData[[#This Row],[NSW Number of Tests]]-tblData[[#This Row],[NSW Test Logi]])^2,"")</f>
        <v/>
      </c>
      <c r="BY99"/>
      <c r="BZ99"/>
      <c r="CJ99" s="26"/>
      <c r="CK99" s="26"/>
      <c r="DE99" s="26"/>
      <c r="DI99" s="26"/>
      <c r="DJ99" s="26"/>
      <c r="DK99" s="26"/>
      <c r="DL99" s="26"/>
      <c r="DM99" s="26"/>
      <c r="DN99" s="26"/>
      <c r="DO99" s="26"/>
      <c r="DP99" s="26"/>
      <c r="DQ99" s="26"/>
      <c r="DS99" s="26"/>
      <c r="DT99" s="26"/>
      <c r="DU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</row>
    <row r="100" spans="2:173" x14ac:dyDescent="0.25">
      <c r="B100" s="27">
        <f t="shared" si="12"/>
        <v>44061</v>
      </c>
      <c r="D100" s="26"/>
      <c r="L100" s="12" t="str">
        <f>IF(ISNUMBER(tblData[[#This Row],[NSW]]),tblData[[#This Row],[New South Wales]]/$L$9,"")</f>
        <v/>
      </c>
      <c r="M100" s="26"/>
      <c r="N100" s="49" t="str">
        <f>IF(ISNUMBER(tblData[Italy]),tblData[Italy]/$N$9,"")</f>
        <v/>
      </c>
      <c r="O100" s="26"/>
      <c r="P100" s="49" t="str">
        <f>IF(ISNUMBER(tblData[US]),tblData[US]/$P$9,"")</f>
        <v/>
      </c>
      <c r="Q100" s="49"/>
      <c r="R100" s="19" t="str">
        <f>IF(ISNUMBER(tblData[SKorea]),tblData[SKorea]/$R$9,"")</f>
        <v/>
      </c>
      <c r="S100" s="49"/>
      <c r="T100" s="12" t="str">
        <f>IF(ISNUMBER(tblData[UK]),tblData[UK]/$T$9,"")</f>
        <v/>
      </c>
      <c r="U100" s="26"/>
      <c r="V100" s="21" t="str">
        <f>IF(ISNUMBER(tblData[China]),tblData[China]/$V$9,"")</f>
        <v/>
      </c>
      <c r="W100" s="26">
        <f>IF(tblData[[#This Row],[Date]]&lt;ItalyStart,"",tblData[[#This Row],[Date]]-ItalyStart)</f>
        <v>201</v>
      </c>
      <c r="X100" s="26">
        <f t="shared" si="13"/>
        <v>191</v>
      </c>
      <c r="Y100" s="26">
        <f t="shared" si="11"/>
        <v>89</v>
      </c>
      <c r="Z100" s="26">
        <f>IF(tblData[[#This Row],[Date]]&lt;StartDt2Korea,"",tblData[[#This Row],[Date]]-StartDt2Korea)</f>
        <v>181</v>
      </c>
      <c r="AA100" s="26">
        <f>IF(tblData[[#This Row],[Date]]&lt;UKStart,"",tblData[[#This Row],[Date]]-UKStart)</f>
        <v>201</v>
      </c>
      <c r="AB100">
        <f>IF(tblData[Date]&gt;=StartDt2Au,tblData[Date]-StartDt2Au,"")</f>
        <v>206</v>
      </c>
      <c r="AC100" s="26" t="str">
        <f>IF(tblData[New South Wales]&gt;0,SUM(tblData[[#This Row],[Australian Capital Territory]:[Western Australia]]),"")</f>
        <v/>
      </c>
      <c r="AD100" s="12" t="str">
        <f>IF(ISNUMBER(tblData[Au]),tblData[Au]/$AA$9,"")</f>
        <v/>
      </c>
      <c r="AE100" s="44">
        <f>IF(ISNUMBER(tblData[[#This Row],[Day'# Aust]]),betaAu/(deltaAu+betaPodeltaAu*EXP(-betaAu*tblData[[#This Row],[Day'# Aust]])),"")</f>
        <v>206489311.94062024</v>
      </c>
      <c r="AF100" s="73">
        <f>IF(ISNUMBER(tblData[Day'# Aust]),tblData[Au LogiP(t)]/$AD$9,"")</f>
        <v>81410389.505054504</v>
      </c>
      <c r="AG100" s="11" t="str">
        <f>IF(AND(tblData[Date]&gt;=StartDt2Au,ISNUMBER(tblData[NSW])),(tblData[[#This Row],[Au LogiP(t)]]-tblData[[#This Row],[Au]])^2,"")</f>
        <v/>
      </c>
      <c r="AH100">
        <f>IF(tblData[Date]&gt;StartDt2NSW,tblData[Date]-StartDt2NSW,"")</f>
        <v>206</v>
      </c>
      <c r="AI100" t="str">
        <f t="shared" si="14"/>
        <v/>
      </c>
      <c r="AJ100" s="11">
        <f>IF(tblData[Date]&gt;StartDt2NSW,betaNSW/(deltaNSW+betaPodeltaNSW*EXP(-betaNSW*tblData[[#This Row],[Day '# NSW]])),"")</f>
        <v>2724.7105763849709</v>
      </c>
      <c r="AK100" s="12" t="str">
        <f>IF(AND(ISNUMBER(tblData[NSW]),tblData[Date]&gt;StartDt2NSW),(tblData[[#This Row],[NSW LogiP(t)]]-tblData[[#This Row],[NSW]])^2,"")</f>
        <v/>
      </c>
      <c r="AL100" s="44">
        <f>IF(AND(tblData[Date]&gt;StartDt2NSW,ISNUMBER(tblData[Day'# Aust])),tblData[NSW LogiP(t)]/$AG$9,"")</f>
        <v>3372.1665549318946</v>
      </c>
      <c r="AM100" s="11">
        <f>IF(AND(tblData[Date]&gt;StartDt2Italy,ISNUMBER(tblData[Days'# Italy])),betaItaly/(deltaItaly+betaPodeltaItaly*EXP(-betaItaly*tblData[Days'# Italy])),"")</f>
        <v>55402.511466544704</v>
      </c>
      <c r="AN100" s="11" t="str">
        <f>IF(AND(tblData[Date]&gt;StartDt2Italy,ISNUMBER(tblData[Italy])),(tblData[[#This Row],[Italy LogiP(t)]]-tblData[[#This Row],[Italy]])^2,"")</f>
        <v/>
      </c>
      <c r="AO100" s="44">
        <f>IF(AND(tblData[Date]&gt;StartDt2Italy,ISNUMBER(tblData[Days'# Italy])),tblData[[#This Row],[Italy LogiP(t)]]/$AM$9,"")</f>
        <v>9165.0143038121932</v>
      </c>
      <c r="AP100" s="21">
        <f>IF(ISNUMBER(tblData[[#This Row],[Days'# US]]),betaUS/(deltaUS+betaPodeltaUS*EXP(-betaUS*tblData[Days'# US])),"")</f>
        <v>347695292.01456201</v>
      </c>
      <c r="AQ100" s="11" t="str">
        <f>IF(ISNUMBER(tblData[US]),(tblData[[#This Row],[US LogiP(t)]]-tblData[US])^2,"")</f>
        <v/>
      </c>
      <c r="AR100" s="21">
        <f>IF(ISNUMBER(tblData[[#This Row],[Days'# US]]),tblData[[#This Row],[US LogiP(t)]]/$AP$9,"")</f>
        <v>10560935.286862548</v>
      </c>
      <c r="AS100" s="21">
        <f>IF(tblData[Date]&gt;=StartDt2Korea,betaSKorea/(deltaSKorea+betaPodeltaSKorea*EXP(-betaSKorea*(tblData[Date]-StartDt2Korea))),"")</f>
        <v>8319.4112738168697</v>
      </c>
      <c r="AT100" s="21" t="str">
        <f>IF(AND(tblData[Date]&gt;=StartDt2Korea,ISNUMBER(tblData[SKorea])),(tblData[[#This Row],[SKorea LogiP(t)]]-tblData[[#This Row],[SKorea]])^2,"")</f>
        <v/>
      </c>
      <c r="AU100" s="21">
        <f>IF(tblData[Date]&gt;=StartDt2Korea,tblData[[#This Row],[SKorea LogiP(t)]]/$AS$9,"")</f>
        <v>1618.5625046336322</v>
      </c>
      <c r="AV100" s="85">
        <f>IF(ISNUMBER(tblData[Days'# UK]),betaUK/(deltaUK+betaPodeltaUK*EXP(-betaUK*tblData[Days'# UK])),"")</f>
        <v>230595240.63769579</v>
      </c>
      <c r="AW100" s="85" t="str">
        <f>IF(ISNUMBER(tblData[UK]),(tblData[[#This Row],[UK LogiP(t)]]-tblData[[#This Row],[UK]])^2,"")</f>
        <v/>
      </c>
      <c r="AX100" s="85">
        <f>IF(ISNUMBER(tblData[Days'# UK]),tblData[[#This Row],[UK LogiP(t)]]/$AV$9,"")</f>
        <v>34707290.884662218</v>
      </c>
      <c r="AY100" s="11">
        <f>IF(ISNUMBER(tblData[Days'# China]),betaChina/(deltaChina+betaPodeltaChina*EXP(-betaChina*tblData[Days'# China])),"")</f>
        <v>80951.330725140855</v>
      </c>
      <c r="AZ100" s="11" t="str">
        <f>IF(ISNUMBER(tblData[China]),(tblData[[#This Row],[China LogiP(t)]]-tblData[[#This Row],[China]])^2,"")</f>
        <v/>
      </c>
      <c r="BA100" s="11">
        <f>tblData[[#This Row],[China LogiP(t)]]/$AY$9</f>
        <v>562.42613423722707</v>
      </c>
      <c r="BB100" s="11"/>
      <c r="BC100" s="11"/>
      <c r="BD100" s="11" t="str">
        <f>IF(ISNUMBER(tblData[[#This Row],[NSW Number of Tests]]),tblData[[#This Row],[NSW Number of Tests]]-BB99,"")</f>
        <v/>
      </c>
      <c r="BE100" s="11" t="str">
        <f>IF(ISNUMBER(tblData[[#This Row],[NSW Under Investigation'']]),tblData[[#This Row],[NSW Under Investigation'']]-BC99,"")</f>
        <v/>
      </c>
      <c r="BF100" s="11"/>
      <c r="BG100" s="11" t="str">
        <f>IF(ISNUMBER(tblData[[#This Row],[NSW Test Day Number]]),betaTest/(deltaTest+betaPodeltaTest*EXP(-betaTest*tblData[[#This Row],[NSW Test Day Number]])),"")</f>
        <v/>
      </c>
      <c r="BH100" s="11" t="str">
        <f>IF(ISNUMBER(tblData[[#This Row],[NSW Number of Tests]]),(tblData[[#This Row],[NSW Number of Tests]]-tblData[[#This Row],[NSW Test Logi]])^2,"")</f>
        <v/>
      </c>
      <c r="BY100"/>
      <c r="BZ100"/>
      <c r="CJ100" s="26"/>
      <c r="CK100" s="26"/>
      <c r="DE100" s="26"/>
      <c r="DI100" s="26"/>
      <c r="DJ100" s="26"/>
      <c r="DK100" s="26"/>
      <c r="DL100" s="26"/>
      <c r="DM100" s="26"/>
      <c r="DN100" s="26"/>
      <c r="DO100" s="26"/>
      <c r="DP100" s="26"/>
      <c r="DQ100" s="26"/>
      <c r="DS100" s="26"/>
      <c r="DT100" s="26"/>
      <c r="DU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</row>
    <row r="101" spans="2:173" x14ac:dyDescent="0.25">
      <c r="B101" s="27">
        <f t="shared" si="12"/>
        <v>44068</v>
      </c>
      <c r="D101" s="26"/>
      <c r="L101" s="12" t="str">
        <f>IF(ISNUMBER(tblData[[#This Row],[NSW]]),tblData[[#This Row],[New South Wales]]/$L$9,"")</f>
        <v/>
      </c>
      <c r="M101" s="26"/>
      <c r="N101" s="49" t="str">
        <f>IF(ISNUMBER(tblData[Italy]),tblData[Italy]/$N$9,"")</f>
        <v/>
      </c>
      <c r="O101" s="26"/>
      <c r="P101" s="49" t="str">
        <f>IF(ISNUMBER(tblData[US]),tblData[US]/$P$9,"")</f>
        <v/>
      </c>
      <c r="Q101" s="49"/>
      <c r="R101" s="19" t="str">
        <f>IF(ISNUMBER(tblData[SKorea]),tblData[SKorea]/$R$9,"")</f>
        <v/>
      </c>
      <c r="S101" s="49"/>
      <c r="T101" s="12" t="str">
        <f>IF(ISNUMBER(tblData[UK]),tblData[UK]/$T$9,"")</f>
        <v/>
      </c>
      <c r="U101" s="26"/>
      <c r="V101" s="21" t="str">
        <f>IF(ISNUMBER(tblData[China]),tblData[China]/$V$9,"")</f>
        <v/>
      </c>
      <c r="W101" s="26">
        <f>IF(tblData[[#This Row],[Date]]&lt;ItalyStart,"",tblData[[#This Row],[Date]]-ItalyStart)</f>
        <v>208</v>
      </c>
      <c r="X101" s="26">
        <f t="shared" si="13"/>
        <v>198</v>
      </c>
      <c r="Y101" s="26">
        <f t="shared" si="11"/>
        <v>90</v>
      </c>
      <c r="Z101" s="26">
        <f>IF(tblData[[#This Row],[Date]]&lt;StartDt2Korea,"",tblData[[#This Row],[Date]]-StartDt2Korea)</f>
        <v>188</v>
      </c>
      <c r="AA101" s="26">
        <f>IF(tblData[[#This Row],[Date]]&lt;UKStart,"",tblData[[#This Row],[Date]]-UKStart)</f>
        <v>208</v>
      </c>
      <c r="AB101">
        <f>IF(tblData[Date]&gt;=StartDt2Au,tblData[Date]-StartDt2Au,"")</f>
        <v>213</v>
      </c>
      <c r="AC101" s="26" t="str">
        <f>IF(tblData[New South Wales]&gt;0,SUM(tblData[[#This Row],[Australian Capital Territory]:[Western Australia]]),"")</f>
        <v/>
      </c>
      <c r="AD101" s="12" t="str">
        <f>IF(ISNUMBER(tblData[Au]),tblData[Au]/$AA$9,"")</f>
        <v/>
      </c>
      <c r="AE101" s="44">
        <f>IF(ISNUMBER(tblData[[#This Row],[Day'# Aust]]),betaAu/(deltaAu+betaPodeltaAu*EXP(-betaAu*tblData[[#This Row],[Day'# Aust]])),"")</f>
        <v>206489313.01985517</v>
      </c>
      <c r="AF101" s="73">
        <f>IF(ISNUMBER(tblData[Day'# Aust]),tblData[Au LogiP(t)]/$AD$9,"")</f>
        <v>81410389.930553213</v>
      </c>
      <c r="AG101" s="11" t="str">
        <f>IF(AND(tblData[Date]&gt;=StartDt2Au,ISNUMBER(tblData[NSW])),(tblData[[#This Row],[Au LogiP(t)]]-tblData[[#This Row],[Au]])^2,"")</f>
        <v/>
      </c>
      <c r="AH101">
        <f>IF(tblData[Date]&gt;StartDt2NSW,tblData[Date]-StartDt2NSW,"")</f>
        <v>213</v>
      </c>
      <c r="AI101" t="str">
        <f t="shared" si="14"/>
        <v/>
      </c>
      <c r="AJ101" s="11">
        <f>IF(tblData[Date]&gt;StartDt2NSW,betaNSW/(deltaNSW+betaPodeltaNSW*EXP(-betaNSW*tblData[[#This Row],[Day '# NSW]])),"")</f>
        <v>2724.7105763852201</v>
      </c>
      <c r="AK101" s="12" t="str">
        <f>IF(AND(ISNUMBER(tblData[NSW]),tblData[Date]&gt;StartDt2NSW),(tblData[[#This Row],[NSW LogiP(t)]]-tblData[[#This Row],[NSW]])^2,"")</f>
        <v/>
      </c>
      <c r="AL101" s="44">
        <f>IF(AND(tblData[Date]&gt;StartDt2NSW,ISNUMBER(tblData[Day'# Aust])),tblData[NSW LogiP(t)]/$AG$9,"")</f>
        <v>3372.1665549322029</v>
      </c>
      <c r="AM101" s="11">
        <f>IF(AND(tblData[Date]&gt;StartDt2Italy,ISNUMBER(tblData[Days'# Italy])),betaItaly/(deltaItaly+betaPodeltaItaly*EXP(-betaItaly*tblData[Days'# Italy])),"")</f>
        <v>55402.511466544704</v>
      </c>
      <c r="AN101" s="11" t="str">
        <f>IF(AND(tblData[Date]&gt;StartDt2Italy,ISNUMBER(tblData[Italy])),(tblData[[#This Row],[Italy LogiP(t)]]-tblData[[#This Row],[Italy]])^2,"")</f>
        <v/>
      </c>
      <c r="AO101" s="44">
        <f>IF(AND(tblData[Date]&gt;StartDt2Italy,ISNUMBER(tblData[Days'# Italy])),tblData[[#This Row],[Italy LogiP(t)]]/$AM$9,"")</f>
        <v>9165.0143038121932</v>
      </c>
      <c r="AP101" s="21">
        <f>IF(ISNUMBER(tblData[[#This Row],[Days'# US]]),betaUS/(deltaUS+betaPodeltaUS*EXP(-betaUS*tblData[Days'# US])),"")</f>
        <v>347695292.01456201</v>
      </c>
      <c r="AQ101" s="11" t="str">
        <f>IF(ISNUMBER(tblData[US]),(tblData[[#This Row],[US LogiP(t)]]-tblData[US])^2,"")</f>
        <v/>
      </c>
      <c r="AR101" s="21">
        <f>IF(ISNUMBER(tblData[[#This Row],[Days'# US]]),tblData[[#This Row],[US LogiP(t)]]/$AP$9,"")</f>
        <v>10560935.286862548</v>
      </c>
      <c r="AS101" s="21">
        <f>IF(tblData[Date]&gt;=StartDt2Korea,betaSKorea/(deltaSKorea+betaPodeltaSKorea*EXP(-betaSKorea*(tblData[Date]-StartDt2Korea))),"")</f>
        <v>8319.4112738168697</v>
      </c>
      <c r="AT101" s="21" t="str">
        <f>IF(AND(tblData[Date]&gt;=StartDt2Korea,ISNUMBER(tblData[SKorea])),(tblData[[#This Row],[SKorea LogiP(t)]]-tblData[[#This Row],[SKorea]])^2,"")</f>
        <v/>
      </c>
      <c r="AU101" s="21">
        <f>IF(tblData[Date]&gt;=StartDt2Korea,tblData[[#This Row],[SKorea LogiP(t)]]/$AS$9,"")</f>
        <v>1618.5625046336322</v>
      </c>
      <c r="AV101" s="85">
        <f>IF(ISNUMBER(tblData[Days'# UK]),betaUK/(deltaUK+betaPodeltaUK*EXP(-betaUK*tblData[Days'# UK])),"")</f>
        <v>230595240.64600042</v>
      </c>
      <c r="AW101" s="85" t="str">
        <f>IF(ISNUMBER(tblData[UK]),(tblData[[#This Row],[UK LogiP(t)]]-tblData[[#This Row],[UK]])^2,"")</f>
        <v/>
      </c>
      <c r="AX101" s="85">
        <f>IF(ISNUMBER(tblData[Days'# UK]),tblData[[#This Row],[UK LogiP(t)]]/$AV$9,"")</f>
        <v>34707290.885912165</v>
      </c>
      <c r="AY101" s="11">
        <f>IF(ISNUMBER(tblData[Days'# China]),betaChina/(deltaChina+betaPodeltaChina*EXP(-betaChina*tblData[Days'# China])),"")</f>
        <v>80951.332884038115</v>
      </c>
      <c r="AZ101" s="11" t="str">
        <f>IF(ISNUMBER(tblData[China]),(tblData[[#This Row],[China LogiP(t)]]-tblData[[#This Row],[China]])^2,"")</f>
        <v/>
      </c>
      <c r="BA101" s="11">
        <f>tblData[[#This Row],[China LogiP(t)]]/$AY$9</f>
        <v>562.4261492366129</v>
      </c>
      <c r="BB101" s="11"/>
      <c r="BC101" s="11"/>
      <c r="BD101" s="11" t="str">
        <f>IF(ISNUMBER(tblData[[#This Row],[NSW Number of Tests]]),tblData[[#This Row],[NSW Number of Tests]]-BB100,"")</f>
        <v/>
      </c>
      <c r="BE101" s="11" t="str">
        <f>IF(ISNUMBER(tblData[[#This Row],[NSW Under Investigation'']]),tblData[[#This Row],[NSW Under Investigation'']]-BC100,"")</f>
        <v/>
      </c>
      <c r="BF101" s="11"/>
      <c r="BG101" s="11" t="str">
        <f>IF(ISNUMBER(tblData[[#This Row],[NSW Test Day Number]]),betaTest/(deltaTest+betaPodeltaTest*EXP(-betaTest*tblData[[#This Row],[NSW Test Day Number]])),"")</f>
        <v/>
      </c>
      <c r="BH101" s="11" t="str">
        <f>IF(ISNUMBER(tblData[[#This Row],[NSW Number of Tests]]),(tblData[[#This Row],[NSW Number of Tests]]-tblData[[#This Row],[NSW Test Logi]])^2,"")</f>
        <v/>
      </c>
      <c r="BY101"/>
      <c r="BZ101"/>
      <c r="CJ101" s="26"/>
      <c r="CK101" s="26"/>
      <c r="DE101" s="26"/>
      <c r="DI101" s="26"/>
      <c r="DJ101" s="26"/>
      <c r="DK101" s="26"/>
      <c r="DL101" s="26"/>
      <c r="DM101" s="26"/>
      <c r="DN101" s="26"/>
      <c r="DO101" s="26"/>
      <c r="DP101" s="26"/>
      <c r="DQ101" s="26"/>
      <c r="DS101" s="26"/>
      <c r="DT101" s="26"/>
      <c r="DU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</row>
    <row r="102" spans="2:173" x14ac:dyDescent="0.25">
      <c r="B102" s="27">
        <f t="shared" si="12"/>
        <v>44075</v>
      </c>
      <c r="D102" s="26"/>
      <c r="L102" s="12" t="str">
        <f>IF(ISNUMBER(tblData[[#This Row],[NSW]]),tblData[[#This Row],[New South Wales]]/$L$9,"")</f>
        <v/>
      </c>
      <c r="M102" s="26"/>
      <c r="N102" s="49" t="str">
        <f>IF(ISNUMBER(tblData[Italy]),tblData[Italy]/$N$9,"")</f>
        <v/>
      </c>
      <c r="O102" s="26"/>
      <c r="P102" s="49" t="str">
        <f>IF(ISNUMBER(tblData[US]),tblData[US]/$P$9,"")</f>
        <v/>
      </c>
      <c r="Q102" s="49"/>
      <c r="R102" s="19" t="str">
        <f>IF(ISNUMBER(tblData[SKorea]),tblData[SKorea]/$R$9,"")</f>
        <v/>
      </c>
      <c r="S102" s="49"/>
      <c r="T102" s="12" t="str">
        <f>IF(ISNUMBER(tblData[UK]),tblData[UK]/$T$9,"")</f>
        <v/>
      </c>
      <c r="U102" s="26"/>
      <c r="V102" s="21" t="str">
        <f>IF(ISNUMBER(tblData[China]),tblData[China]/$V$9,"")</f>
        <v/>
      </c>
      <c r="W102" s="26">
        <f>IF(tblData[[#This Row],[Date]]&lt;ItalyStart,"",tblData[[#This Row],[Date]]-ItalyStart)</f>
        <v>215</v>
      </c>
      <c r="X102" s="26">
        <f t="shared" si="13"/>
        <v>205</v>
      </c>
      <c r="Y102" s="26">
        <f t="shared" si="11"/>
        <v>91</v>
      </c>
      <c r="Z102" s="26">
        <f>IF(tblData[[#This Row],[Date]]&lt;StartDt2Korea,"",tblData[[#This Row],[Date]]-StartDt2Korea)</f>
        <v>195</v>
      </c>
      <c r="AA102" s="26">
        <f>IF(tblData[[#This Row],[Date]]&lt;UKStart,"",tblData[[#This Row],[Date]]-UKStart)</f>
        <v>215</v>
      </c>
      <c r="AB102">
        <f>IF(tblData[Date]&gt;=StartDt2Au,tblData[Date]-StartDt2Au,"")</f>
        <v>220</v>
      </c>
      <c r="AC102" s="26" t="str">
        <f>IF(tblData[New South Wales]&gt;0,SUM(tblData[[#This Row],[Australian Capital Territory]:[Western Australia]]),"")</f>
        <v/>
      </c>
      <c r="AD102" s="12" t="str">
        <f>IF(ISNUMBER(tblData[Au]),tblData[Au]/$AA$9,"")</f>
        <v/>
      </c>
      <c r="AE102" s="44">
        <f>IF(ISNUMBER(tblData[[#This Row],[Day'# Aust]]),betaAu/(deltaAu+betaPodeltaAu*EXP(-betaAu*tblData[[#This Row],[Day'# Aust]])),"")</f>
        <v>206489313.27417243</v>
      </c>
      <c r="AF102" s="73">
        <f>IF(ISNUMBER(tblData[Day'# Aust]),tblData[Au LogiP(t)]/$AD$9,"")</f>
        <v>81410390.030820221</v>
      </c>
      <c r="AG102" s="11" t="str">
        <f>IF(AND(tblData[Date]&gt;=StartDt2Au,ISNUMBER(tblData[NSW])),(tblData[[#This Row],[Au LogiP(t)]]-tblData[[#This Row],[Au]])^2,"")</f>
        <v/>
      </c>
      <c r="AH102">
        <f>IF(tblData[Date]&gt;StartDt2NSW,tblData[Date]-StartDt2NSW,"")</f>
        <v>220</v>
      </c>
      <c r="AI102" t="str">
        <f t="shared" si="14"/>
        <v/>
      </c>
      <c r="AJ102" s="11">
        <f>IF(tblData[Date]&gt;StartDt2NSW,betaNSW/(deltaNSW+betaPodeltaNSW*EXP(-betaNSW*tblData[[#This Row],[Day '# NSW]])),"")</f>
        <v>2724.7105763852778</v>
      </c>
      <c r="AK102" s="12" t="str">
        <f>IF(AND(ISNUMBER(tblData[NSW]),tblData[Date]&gt;StartDt2NSW),(tblData[[#This Row],[NSW LogiP(t)]]-tblData[[#This Row],[NSW]])^2,"")</f>
        <v/>
      </c>
      <c r="AL102" s="44">
        <f>IF(AND(tblData[Date]&gt;StartDt2NSW,ISNUMBER(tblData[Day'# Aust])),tblData[NSW LogiP(t)]/$AG$9,"")</f>
        <v>3372.1665549322743</v>
      </c>
      <c r="AM102" s="11">
        <f>IF(AND(tblData[Date]&gt;StartDt2Italy,ISNUMBER(tblData[Days'# Italy])),betaItaly/(deltaItaly+betaPodeltaItaly*EXP(-betaItaly*tblData[Days'# Italy])),"")</f>
        <v>55402.511466544704</v>
      </c>
      <c r="AN102" s="11" t="str">
        <f>IF(AND(tblData[Date]&gt;StartDt2Italy,ISNUMBER(tblData[Italy])),(tblData[[#This Row],[Italy LogiP(t)]]-tblData[[#This Row],[Italy]])^2,"")</f>
        <v/>
      </c>
      <c r="AO102" s="44">
        <f>IF(AND(tblData[Date]&gt;StartDt2Italy,ISNUMBER(tblData[Days'# Italy])),tblData[[#This Row],[Italy LogiP(t)]]/$AM$9,"")</f>
        <v>9165.0143038121932</v>
      </c>
      <c r="AP102" s="21">
        <f>IF(ISNUMBER(tblData[[#This Row],[Days'# US]]),betaUS/(deltaUS+betaPodeltaUS*EXP(-betaUS*tblData[Days'# US])),"")</f>
        <v>347695292.01456201</v>
      </c>
      <c r="AQ102" s="11" t="str">
        <f>IF(ISNUMBER(tblData[US]),(tblData[[#This Row],[US LogiP(t)]]-tblData[US])^2,"")</f>
        <v/>
      </c>
      <c r="AR102" s="21">
        <f>IF(ISNUMBER(tblData[[#This Row],[Days'# US]]),tblData[[#This Row],[US LogiP(t)]]/$AP$9,"")</f>
        <v>10560935.286862548</v>
      </c>
      <c r="AS102" s="21">
        <f>IF(tblData[Date]&gt;=StartDt2Korea,betaSKorea/(deltaSKorea+betaPodeltaSKorea*EXP(-betaSKorea*(tblData[Date]-StartDt2Korea))),"")</f>
        <v>8319.4112738168697</v>
      </c>
      <c r="AT102" s="21" t="str">
        <f>IF(AND(tblData[Date]&gt;=StartDt2Korea,ISNUMBER(tblData[SKorea])),(tblData[[#This Row],[SKorea LogiP(t)]]-tblData[[#This Row],[SKorea]])^2,"")</f>
        <v/>
      </c>
      <c r="AU102" s="21">
        <f>IF(tblData[Date]&gt;=StartDt2Korea,tblData[[#This Row],[SKorea LogiP(t)]]/$AS$9,"")</f>
        <v>1618.5625046336322</v>
      </c>
      <c r="AV102" s="85">
        <f>IF(ISNUMBER(tblData[Days'# UK]),betaUK/(deltaUK+betaPodeltaUK*EXP(-betaUK*tblData[Days'# UK])),"")</f>
        <v>230595240.64765349</v>
      </c>
      <c r="AW102" s="85" t="str">
        <f>IF(ISNUMBER(tblData[UK]),(tblData[[#This Row],[UK LogiP(t)]]-tblData[[#This Row],[UK]])^2,"")</f>
        <v/>
      </c>
      <c r="AX102" s="85">
        <f>IF(ISNUMBER(tblData[Days'# UK]),tblData[[#This Row],[UK LogiP(t)]]/$AV$9,"")</f>
        <v>34707290.88616097</v>
      </c>
      <c r="AY102" s="11">
        <f>IF(ISNUMBER(tblData[Days'# China]),betaChina/(deltaChina+betaPodeltaChina*EXP(-betaChina*tblData[Days'# China])),"")</f>
        <v>80951.334612884937</v>
      </c>
      <c r="AZ102" s="11" t="str">
        <f>IF(ISNUMBER(tblData[China]),(tblData[[#This Row],[China LogiP(t)]]-tblData[[#This Row],[China]])^2,"")</f>
        <v/>
      </c>
      <c r="BA102" s="11">
        <f>tblData[[#This Row],[China LogiP(t)]]/$AY$9</f>
        <v>562.42616124813424</v>
      </c>
      <c r="BB102" s="11"/>
      <c r="BC102" s="11"/>
      <c r="BD102" s="11" t="str">
        <f>IF(ISNUMBER(tblData[[#This Row],[NSW Number of Tests]]),tblData[[#This Row],[NSW Number of Tests]]-BB101,"")</f>
        <v/>
      </c>
      <c r="BE102" s="11" t="str">
        <f>IF(ISNUMBER(tblData[[#This Row],[NSW Under Investigation'']]),tblData[[#This Row],[NSW Under Investigation'']]-BC101,"")</f>
        <v/>
      </c>
      <c r="BF102" s="11"/>
      <c r="BG102" s="11" t="str">
        <f>IF(ISNUMBER(tblData[[#This Row],[NSW Test Day Number]]),betaTest/(deltaTest+betaPodeltaTest*EXP(-betaTest*tblData[[#This Row],[NSW Test Day Number]])),"")</f>
        <v/>
      </c>
      <c r="BH102" s="11" t="str">
        <f>IF(ISNUMBER(tblData[[#This Row],[NSW Number of Tests]]),(tblData[[#This Row],[NSW Number of Tests]]-tblData[[#This Row],[NSW Test Logi]])^2,"")</f>
        <v/>
      </c>
      <c r="BY102"/>
      <c r="BZ102"/>
      <c r="CJ102" s="26"/>
      <c r="CK102" s="26"/>
      <c r="DE102" s="26"/>
      <c r="DI102" s="26"/>
      <c r="DJ102" s="26"/>
      <c r="DK102" s="26"/>
      <c r="DL102" s="26"/>
      <c r="DM102" s="26"/>
      <c r="DN102" s="26"/>
      <c r="DO102" s="26"/>
      <c r="DP102" s="26"/>
      <c r="DQ102" s="26"/>
      <c r="DS102" s="26"/>
      <c r="DT102" s="26"/>
      <c r="DU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</row>
    <row r="103" spans="2:173" x14ac:dyDescent="0.25">
      <c r="B103" s="27">
        <f t="shared" si="12"/>
        <v>44082</v>
      </c>
      <c r="D103" s="26"/>
      <c r="L103" s="12" t="str">
        <f>IF(ISNUMBER(tblData[[#This Row],[NSW]]),tblData[[#This Row],[New South Wales]]/$L$9,"")</f>
        <v/>
      </c>
      <c r="M103" s="26"/>
      <c r="N103" s="49" t="str">
        <f>IF(ISNUMBER(tblData[Italy]),tblData[Italy]/$N$9,"")</f>
        <v/>
      </c>
      <c r="O103" s="26"/>
      <c r="P103" s="49" t="str">
        <f>IF(ISNUMBER(tblData[US]),tblData[US]/$P$9,"")</f>
        <v/>
      </c>
      <c r="Q103" s="49"/>
      <c r="R103" s="19" t="str">
        <f>IF(ISNUMBER(tblData[SKorea]),tblData[SKorea]/$R$9,"")</f>
        <v/>
      </c>
      <c r="S103" s="49"/>
      <c r="T103" s="12" t="str">
        <f>IF(ISNUMBER(tblData[UK]),tblData[UK]/$T$9,"")</f>
        <v/>
      </c>
      <c r="U103" s="26"/>
      <c r="V103" s="21" t="str">
        <f>IF(ISNUMBER(tblData[China]),tblData[China]/$V$9,"")</f>
        <v/>
      </c>
      <c r="W103" s="26">
        <f>IF(tblData[[#This Row],[Date]]&lt;ItalyStart,"",tblData[[#This Row],[Date]]-ItalyStart)</f>
        <v>222</v>
      </c>
      <c r="X103" s="26">
        <f t="shared" si="13"/>
        <v>212</v>
      </c>
      <c r="Y103" s="26">
        <f t="shared" si="11"/>
        <v>92</v>
      </c>
      <c r="Z103" s="26">
        <f>IF(tblData[[#This Row],[Date]]&lt;StartDt2Korea,"",tblData[[#This Row],[Date]]-StartDt2Korea)</f>
        <v>202</v>
      </c>
      <c r="AA103" s="26">
        <f>IF(tblData[[#This Row],[Date]]&lt;UKStart,"",tblData[[#This Row],[Date]]-UKStart)</f>
        <v>222</v>
      </c>
      <c r="AB103">
        <f>IF(tblData[Date]&gt;=StartDt2Au,tblData[Date]-StartDt2Au,"")</f>
        <v>227</v>
      </c>
      <c r="AC103" s="26" t="str">
        <f>IF(tblData[New South Wales]&gt;0,SUM(tblData[[#This Row],[Australian Capital Territory]:[Western Australia]]),"")</f>
        <v/>
      </c>
      <c r="AD103" s="12" t="str">
        <f>IF(ISNUMBER(tblData[Au]),tblData[Au]/$AA$9,"")</f>
        <v/>
      </c>
      <c r="AE103" s="44">
        <f>IF(ISNUMBER(tblData[[#This Row],[Day'# Aust]]),betaAu/(deltaAu+betaPodeltaAu*EXP(-betaAu*tblData[[#This Row],[Day'# Aust]])),"")</f>
        <v>206489313.33410123</v>
      </c>
      <c r="AF103" s="73">
        <f>IF(ISNUMBER(tblData[Day'# Aust]),tblData[Au LogiP(t)]/$AD$9,"")</f>
        <v>81410390.05444774</v>
      </c>
      <c r="AG103" s="11" t="str">
        <f>IF(AND(tblData[Date]&gt;=StartDt2Au,ISNUMBER(tblData[NSW])),(tblData[[#This Row],[Au LogiP(t)]]-tblData[[#This Row],[Au]])^2,"")</f>
        <v/>
      </c>
      <c r="AH103">
        <f>IF(tblData[Date]&gt;StartDt2NSW,tblData[Date]-StartDt2NSW,"")</f>
        <v>227</v>
      </c>
      <c r="AI103" t="str">
        <f t="shared" si="14"/>
        <v/>
      </c>
      <c r="AJ103" s="11">
        <f>IF(tblData[Date]&gt;StartDt2NSW,betaNSW/(deltaNSW+betaPodeltaNSW*EXP(-betaNSW*tblData[[#This Row],[Day '# NSW]])),"")</f>
        <v>2724.7105763852915</v>
      </c>
      <c r="AK103" s="12" t="str">
        <f>IF(AND(ISNUMBER(tblData[NSW]),tblData[Date]&gt;StartDt2NSW),(tblData[[#This Row],[NSW LogiP(t)]]-tblData[[#This Row],[NSW]])^2,"")</f>
        <v/>
      </c>
      <c r="AL103" s="44">
        <f>IF(AND(tblData[Date]&gt;StartDt2NSW,ISNUMBER(tblData[Day'# Aust])),tblData[NSW LogiP(t)]/$AG$9,"")</f>
        <v>3372.1665549322911</v>
      </c>
      <c r="AM103" s="11">
        <f>IF(AND(tblData[Date]&gt;StartDt2Italy,ISNUMBER(tblData[Days'# Italy])),betaItaly/(deltaItaly+betaPodeltaItaly*EXP(-betaItaly*tblData[Days'# Italy])),"")</f>
        <v>55402.511466544704</v>
      </c>
      <c r="AN103" s="11" t="str">
        <f>IF(AND(tblData[Date]&gt;StartDt2Italy,ISNUMBER(tblData[Italy])),(tblData[[#This Row],[Italy LogiP(t)]]-tblData[[#This Row],[Italy]])^2,"")</f>
        <v/>
      </c>
      <c r="AO103" s="44">
        <f>IF(AND(tblData[Date]&gt;StartDt2Italy,ISNUMBER(tblData[Days'# Italy])),tblData[[#This Row],[Italy LogiP(t)]]/$AM$9,"")</f>
        <v>9165.0143038121932</v>
      </c>
      <c r="AP103" s="21">
        <f>IF(ISNUMBER(tblData[[#This Row],[Days'# US]]),betaUS/(deltaUS+betaPodeltaUS*EXP(-betaUS*tblData[Days'# US])),"")</f>
        <v>347695292.01456201</v>
      </c>
      <c r="AQ103" s="11" t="str">
        <f>IF(ISNUMBER(tblData[US]),(tblData[[#This Row],[US LogiP(t)]]-tblData[US])^2,"")</f>
        <v/>
      </c>
      <c r="AR103" s="21">
        <f>IF(ISNUMBER(tblData[[#This Row],[Days'# US]]),tblData[[#This Row],[US LogiP(t)]]/$AP$9,"")</f>
        <v>10560935.286862548</v>
      </c>
      <c r="AS103" s="21">
        <f>IF(tblData[Date]&gt;=StartDt2Korea,betaSKorea/(deltaSKorea+betaPodeltaSKorea*EXP(-betaSKorea*(tblData[Date]-StartDt2Korea))),"")</f>
        <v>8319.4112738168697</v>
      </c>
      <c r="AT103" s="21" t="str">
        <f>IF(AND(tblData[Date]&gt;=StartDt2Korea,ISNUMBER(tblData[SKorea])),(tblData[[#This Row],[SKorea LogiP(t)]]-tblData[[#This Row],[SKorea]])^2,"")</f>
        <v/>
      </c>
      <c r="AU103" s="21">
        <f>IF(tblData[Date]&gt;=StartDt2Korea,tblData[[#This Row],[SKorea LogiP(t)]]/$AS$9,"")</f>
        <v>1618.5625046336322</v>
      </c>
      <c r="AV103" s="85">
        <f>IF(ISNUMBER(tblData[Days'# UK]),betaUK/(deltaUK+betaPodeltaUK*EXP(-betaUK*tblData[Days'# UK])),"")</f>
        <v>230595240.64798254</v>
      </c>
      <c r="AW103" s="85" t="str">
        <f>IF(ISNUMBER(tblData[UK]),(tblData[[#This Row],[UK LogiP(t)]]-tblData[[#This Row],[UK]])^2,"")</f>
        <v/>
      </c>
      <c r="AX103" s="85">
        <f>IF(ISNUMBER(tblData[Days'# UK]),tblData[[#This Row],[UK LogiP(t)]]/$AV$9,"")</f>
        <v>34707290.886210494</v>
      </c>
      <c r="AY103" s="11">
        <f>IF(ISNUMBER(tblData[Days'# China]),betaChina/(deltaChina+betaPodeltaChina*EXP(-betaChina*tblData[Days'# China])),"")</f>
        <v>80951.335997346992</v>
      </c>
      <c r="AZ103" s="11" t="str">
        <f>IF(ISNUMBER(tblData[China]),(tblData[[#This Row],[China LogiP(t)]]-tblData[[#This Row],[China]])^2,"")</f>
        <v/>
      </c>
      <c r="BA103" s="11">
        <f>tblData[[#This Row],[China LogiP(t)]]/$AY$9</f>
        <v>562.42617086697101</v>
      </c>
      <c r="BB103" s="11"/>
      <c r="BC103" s="11"/>
      <c r="BD103" s="11" t="str">
        <f>IF(ISNUMBER(tblData[[#This Row],[NSW Number of Tests]]),tblData[[#This Row],[NSW Number of Tests]]-BB102,"")</f>
        <v/>
      </c>
      <c r="BE103" s="11" t="str">
        <f>IF(ISNUMBER(tblData[[#This Row],[NSW Under Investigation'']]),tblData[[#This Row],[NSW Under Investigation'']]-BC102,"")</f>
        <v/>
      </c>
      <c r="BF103" s="11"/>
      <c r="BG103" s="11" t="str">
        <f>IF(ISNUMBER(tblData[[#This Row],[NSW Test Day Number]]),betaTest/(deltaTest+betaPodeltaTest*EXP(-betaTest*tblData[[#This Row],[NSW Test Day Number]])),"")</f>
        <v/>
      </c>
      <c r="BH103" s="11" t="str">
        <f>IF(ISNUMBER(tblData[[#This Row],[NSW Number of Tests]]),(tblData[[#This Row],[NSW Number of Tests]]-tblData[[#This Row],[NSW Test Logi]])^2,"")</f>
        <v/>
      </c>
      <c r="BY103"/>
      <c r="BZ103"/>
      <c r="CJ103" s="26"/>
      <c r="CK103" s="26"/>
      <c r="DE103" s="26"/>
      <c r="DI103" s="26"/>
      <c r="DJ103" s="26"/>
      <c r="DK103" s="26"/>
      <c r="DL103" s="26"/>
      <c r="DM103" s="26"/>
      <c r="DN103" s="26"/>
      <c r="DO103" s="26"/>
      <c r="DP103" s="26"/>
      <c r="DQ103" s="26"/>
      <c r="DS103" s="26"/>
      <c r="DT103" s="26"/>
      <c r="DU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</row>
    <row r="104" spans="2:173" x14ac:dyDescent="0.25">
      <c r="B104" s="27">
        <f t="shared" si="12"/>
        <v>44089</v>
      </c>
      <c r="D104" s="26"/>
      <c r="L104" s="12" t="str">
        <f>IF(ISNUMBER(tblData[[#This Row],[NSW]]),tblData[[#This Row],[New South Wales]]/$L$9,"")</f>
        <v/>
      </c>
      <c r="M104" s="26"/>
      <c r="N104" s="49" t="str">
        <f>IF(ISNUMBER(tblData[Italy]),tblData[Italy]/$N$9,"")</f>
        <v/>
      </c>
      <c r="O104" s="26"/>
      <c r="P104" s="49" t="str">
        <f>IF(ISNUMBER(tblData[US]),tblData[US]/$P$9,"")</f>
        <v/>
      </c>
      <c r="Q104" s="49"/>
      <c r="R104" s="19" t="str">
        <f>IF(ISNUMBER(tblData[SKorea]),tblData[SKorea]/$R$9,"")</f>
        <v/>
      </c>
      <c r="S104" s="49"/>
      <c r="T104" s="12" t="str">
        <f>IF(ISNUMBER(tblData[UK]),tblData[UK]/$T$9,"")</f>
        <v/>
      </c>
      <c r="U104" s="26"/>
      <c r="V104" s="21" t="str">
        <f>IF(ISNUMBER(tblData[China]),tblData[China]/$V$9,"")</f>
        <v/>
      </c>
      <c r="W104" s="26">
        <f>IF(tblData[[#This Row],[Date]]&lt;ItalyStart,"",tblData[[#This Row],[Date]]-ItalyStart)</f>
        <v>229</v>
      </c>
      <c r="X104" s="26">
        <f t="shared" si="13"/>
        <v>219</v>
      </c>
      <c r="Y104" s="26">
        <f t="shared" si="11"/>
        <v>93</v>
      </c>
      <c r="Z104" s="26">
        <f>IF(tblData[[#This Row],[Date]]&lt;StartDt2Korea,"",tblData[[#This Row],[Date]]-StartDt2Korea)</f>
        <v>209</v>
      </c>
      <c r="AA104" s="26">
        <f>IF(tblData[[#This Row],[Date]]&lt;UKStart,"",tblData[[#This Row],[Date]]-UKStart)</f>
        <v>229</v>
      </c>
      <c r="AB104">
        <f>IF(tblData[Date]&gt;=StartDt2Au,tblData[Date]-StartDt2Au,"")</f>
        <v>234</v>
      </c>
      <c r="AC104" s="26" t="str">
        <f>IF(tblData[New South Wales]&gt;0,SUM(tblData[[#This Row],[Australian Capital Territory]:[Western Australia]]),"")</f>
        <v/>
      </c>
      <c r="AD104" s="12" t="str">
        <f>IF(ISNUMBER(tblData[Au]),tblData[Au]/$AA$9,"")</f>
        <v/>
      </c>
      <c r="AE104" s="44">
        <f>IF(ISNUMBER(tblData[[#This Row],[Day'# Aust]]),betaAu/(deltaAu+betaPodeltaAu*EXP(-betaAu*tblData[[#This Row],[Day'# Aust]])),"")</f>
        <v>206489313.34822321</v>
      </c>
      <c r="AF104" s="73">
        <f>IF(ISNUMBER(tblData[Day'# Aust]),tblData[Au LogiP(t)]/$AD$9,"")</f>
        <v>81410390.060015455</v>
      </c>
      <c r="AG104" s="11" t="str">
        <f>IF(AND(tblData[Date]&gt;=StartDt2Au,ISNUMBER(tblData[NSW])),(tblData[[#This Row],[Au LogiP(t)]]-tblData[[#This Row],[Au]])^2,"")</f>
        <v/>
      </c>
      <c r="AH104">
        <f>IF(tblData[Date]&gt;StartDt2NSW,tblData[Date]-StartDt2NSW,"")</f>
        <v>234</v>
      </c>
      <c r="AI104" t="str">
        <f t="shared" si="14"/>
        <v/>
      </c>
      <c r="AJ104" s="11">
        <f>IF(tblData[Date]&gt;StartDt2NSW,betaNSW/(deltaNSW+betaPodeltaNSW*EXP(-betaNSW*tblData[[#This Row],[Day '# NSW]])),"")</f>
        <v>2724.7105763852942</v>
      </c>
      <c r="AK104" s="12" t="str">
        <f>IF(AND(ISNUMBER(tblData[NSW]),tblData[Date]&gt;StartDt2NSW),(tblData[[#This Row],[NSW LogiP(t)]]-tblData[[#This Row],[NSW]])^2,"")</f>
        <v/>
      </c>
      <c r="AL104" s="44">
        <f>IF(AND(tblData[Date]&gt;StartDt2NSW,ISNUMBER(tblData[Day'# Aust])),tblData[NSW LogiP(t)]/$AG$9,"")</f>
        <v>3372.1665549322947</v>
      </c>
      <c r="AM104" s="11">
        <f>IF(AND(tblData[Date]&gt;StartDt2Italy,ISNUMBER(tblData[Days'# Italy])),betaItaly/(deltaItaly+betaPodeltaItaly*EXP(-betaItaly*tblData[Days'# Italy])),"")</f>
        <v>55402.511466544704</v>
      </c>
      <c r="AN104" s="11" t="str">
        <f>IF(AND(tblData[Date]&gt;StartDt2Italy,ISNUMBER(tblData[Italy])),(tblData[[#This Row],[Italy LogiP(t)]]-tblData[[#This Row],[Italy]])^2,"")</f>
        <v/>
      </c>
      <c r="AO104" s="44">
        <f>IF(AND(tblData[Date]&gt;StartDt2Italy,ISNUMBER(tblData[Days'# Italy])),tblData[[#This Row],[Italy LogiP(t)]]/$AM$9,"")</f>
        <v>9165.0143038121932</v>
      </c>
      <c r="AP104" s="21">
        <f>IF(ISNUMBER(tblData[[#This Row],[Days'# US]]),betaUS/(deltaUS+betaPodeltaUS*EXP(-betaUS*tblData[Days'# US])),"")</f>
        <v>347695292.01456201</v>
      </c>
      <c r="AQ104" s="11" t="str">
        <f>IF(ISNUMBER(tblData[US]),(tblData[[#This Row],[US LogiP(t)]]-tblData[US])^2,"")</f>
        <v/>
      </c>
      <c r="AR104" s="21">
        <f>IF(ISNUMBER(tblData[[#This Row],[Days'# US]]),tblData[[#This Row],[US LogiP(t)]]/$AP$9,"")</f>
        <v>10560935.286862548</v>
      </c>
      <c r="AS104" s="21">
        <f>IF(tblData[Date]&gt;=StartDt2Korea,betaSKorea/(deltaSKorea+betaPodeltaSKorea*EXP(-betaSKorea*(tblData[Date]-StartDt2Korea))),"")</f>
        <v>8319.4112738168697</v>
      </c>
      <c r="AT104" s="21" t="str">
        <f>IF(AND(tblData[Date]&gt;=StartDt2Korea,ISNUMBER(tblData[SKorea])),(tblData[[#This Row],[SKorea LogiP(t)]]-tblData[[#This Row],[SKorea]])^2,"")</f>
        <v/>
      </c>
      <c r="AU104" s="21">
        <f>IF(tblData[Date]&gt;=StartDt2Korea,tblData[[#This Row],[SKorea LogiP(t)]]/$AS$9,"")</f>
        <v>1618.5625046336322</v>
      </c>
      <c r="AV104" s="85">
        <f>IF(ISNUMBER(tblData[Days'# UK]),betaUK/(deltaUK+betaPodeltaUK*EXP(-betaUK*tblData[Days'# UK])),"")</f>
        <v>230595240.64804804</v>
      </c>
      <c r="AW104" s="85" t="str">
        <f>IF(ISNUMBER(tblData[UK]),(tblData[[#This Row],[UK LogiP(t)]]-tblData[[#This Row],[UK]])^2,"")</f>
        <v/>
      </c>
      <c r="AX104" s="85">
        <f>IF(ISNUMBER(tblData[Days'# UK]),tblData[[#This Row],[UK LogiP(t)]]/$AV$9,"")</f>
        <v>34707290.886220358</v>
      </c>
      <c r="AY104" s="11">
        <f>IF(ISNUMBER(tblData[Days'# China]),betaChina/(deltaChina+betaPodeltaChina*EXP(-betaChina*tblData[Days'# China])),"")</f>
        <v>80951.337106025399</v>
      </c>
      <c r="AZ104" s="11" t="str">
        <f>IF(ISNUMBER(tblData[China]),(tblData[[#This Row],[China LogiP(t)]]-tblData[[#This Row],[China]])^2,"")</f>
        <v/>
      </c>
      <c r="BA104" s="11">
        <f>tblData[[#This Row],[China LogiP(t)]]/$AY$9</f>
        <v>562.42617856974391</v>
      </c>
      <c r="BB104" s="11"/>
      <c r="BC104" s="11"/>
      <c r="BD104" s="11" t="str">
        <f>IF(ISNUMBER(tblData[[#This Row],[NSW Number of Tests]]),tblData[[#This Row],[NSW Number of Tests]]-BB103,"")</f>
        <v/>
      </c>
      <c r="BE104" s="11" t="str">
        <f>IF(ISNUMBER(tblData[[#This Row],[NSW Under Investigation'']]),tblData[[#This Row],[NSW Under Investigation'']]-BC103,"")</f>
        <v/>
      </c>
      <c r="BF104" s="11"/>
      <c r="BG104" s="11" t="str">
        <f>IF(ISNUMBER(tblData[[#This Row],[NSW Test Day Number]]),betaTest/(deltaTest+betaPodeltaTest*EXP(-betaTest*tblData[[#This Row],[NSW Test Day Number]])),"")</f>
        <v/>
      </c>
      <c r="BH104" s="11" t="str">
        <f>IF(ISNUMBER(tblData[[#This Row],[NSW Number of Tests]]),(tblData[[#This Row],[NSW Number of Tests]]-tblData[[#This Row],[NSW Test Logi]])^2,"")</f>
        <v/>
      </c>
      <c r="BY104"/>
      <c r="BZ104"/>
      <c r="CJ104" s="26"/>
      <c r="CK104" s="26"/>
      <c r="DE104" s="26"/>
      <c r="DI104" s="26"/>
      <c r="DJ104" s="26"/>
      <c r="DK104" s="26"/>
      <c r="DL104" s="26"/>
      <c r="DM104" s="26"/>
      <c r="DN104" s="26"/>
      <c r="DO104" s="26"/>
      <c r="DP104" s="26"/>
      <c r="DQ104" s="26"/>
      <c r="DS104" s="26"/>
      <c r="DT104" s="26"/>
      <c r="DU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</row>
    <row r="105" spans="2:173" x14ac:dyDescent="0.25">
      <c r="B105" s="27">
        <f t="shared" si="12"/>
        <v>44096</v>
      </c>
      <c r="D105" s="26"/>
      <c r="L105" s="12" t="str">
        <f>IF(ISNUMBER(tblData[[#This Row],[NSW]]),tblData[[#This Row],[New South Wales]]/$L$9,"")</f>
        <v/>
      </c>
      <c r="M105" s="26"/>
      <c r="N105" s="49" t="str">
        <f>IF(ISNUMBER(tblData[Italy]),tblData[Italy]/$N$9,"")</f>
        <v/>
      </c>
      <c r="O105" s="26"/>
      <c r="P105" s="49" t="str">
        <f>IF(ISNUMBER(tblData[US]),tblData[US]/$P$9,"")</f>
        <v/>
      </c>
      <c r="Q105" s="49"/>
      <c r="R105" s="19" t="str">
        <f>IF(ISNUMBER(tblData[SKorea]),tblData[SKorea]/$R$9,"")</f>
        <v/>
      </c>
      <c r="S105" s="49"/>
      <c r="T105" s="12" t="str">
        <f>IF(ISNUMBER(tblData[UK]),tblData[UK]/$T$9,"")</f>
        <v/>
      </c>
      <c r="U105" s="26"/>
      <c r="V105" s="21" t="str">
        <f>IF(ISNUMBER(tblData[China]),tblData[China]/$V$9,"")</f>
        <v/>
      </c>
      <c r="W105" s="26">
        <f>IF(tblData[[#This Row],[Date]]&lt;ItalyStart,"",tblData[[#This Row],[Date]]-ItalyStart)</f>
        <v>236</v>
      </c>
      <c r="X105" s="26">
        <f t="shared" si="13"/>
        <v>226</v>
      </c>
      <c r="Y105" s="26">
        <f t="shared" si="11"/>
        <v>94</v>
      </c>
      <c r="Z105" s="26">
        <f>IF(tblData[[#This Row],[Date]]&lt;StartDt2Korea,"",tblData[[#This Row],[Date]]-StartDt2Korea)</f>
        <v>216</v>
      </c>
      <c r="AA105" s="26">
        <f>IF(tblData[[#This Row],[Date]]&lt;UKStart,"",tblData[[#This Row],[Date]]-UKStart)</f>
        <v>236</v>
      </c>
      <c r="AB105">
        <f>IF(tblData[Date]&gt;=StartDt2Au,tblData[Date]-StartDt2Au,"")</f>
        <v>241</v>
      </c>
      <c r="AC105" s="26" t="str">
        <f>IF(tblData[New South Wales]&gt;0,SUM(tblData[[#This Row],[Australian Capital Territory]:[Western Australia]]),"")</f>
        <v/>
      </c>
      <c r="AD105" s="12" t="str">
        <f>IF(ISNUMBER(tblData[Au]),tblData[Au]/$AA$9,"")</f>
        <v/>
      </c>
      <c r="AE105" s="44">
        <f>IF(ISNUMBER(tblData[[#This Row],[Day'# Aust]]),betaAu/(deltaAu+betaPodeltaAu*EXP(-betaAu*tblData[[#This Row],[Day'# Aust]])),"")</f>
        <v>206489313.35155097</v>
      </c>
      <c r="AF105" s="73">
        <f>IF(ISNUMBER(tblData[Day'# Aust]),tblData[Au LogiP(t)]/$AD$9,"")</f>
        <v>81410390.061327457</v>
      </c>
      <c r="AG105" s="11" t="str">
        <f>IF(AND(tblData[Date]&gt;=StartDt2Au,ISNUMBER(tblData[NSW])),(tblData[[#This Row],[Au LogiP(t)]]-tblData[[#This Row],[Au]])^2,"")</f>
        <v/>
      </c>
      <c r="AH105">
        <f>IF(tblData[Date]&gt;StartDt2NSW,tblData[Date]-StartDt2NSW,"")</f>
        <v>241</v>
      </c>
      <c r="AI105" t="str">
        <f t="shared" si="14"/>
        <v/>
      </c>
      <c r="AJ105" s="11">
        <f>IF(tblData[Date]&gt;StartDt2NSW,betaNSW/(deltaNSW+betaPodeltaNSW*EXP(-betaNSW*tblData[[#This Row],[Day '# NSW]])),"")</f>
        <v>2724.7105763852951</v>
      </c>
      <c r="AK105" s="12" t="str">
        <f>IF(AND(ISNUMBER(tblData[NSW]),tblData[Date]&gt;StartDt2NSW),(tblData[[#This Row],[NSW LogiP(t)]]-tblData[[#This Row],[NSW]])^2,"")</f>
        <v/>
      </c>
      <c r="AL105" s="44">
        <f>IF(AND(tblData[Date]&gt;StartDt2NSW,ISNUMBER(tblData[Day'# Aust])),tblData[NSW LogiP(t)]/$AG$9,"")</f>
        <v>3372.1665549322956</v>
      </c>
      <c r="AM105" s="11">
        <f>IF(AND(tblData[Date]&gt;StartDt2Italy,ISNUMBER(tblData[Days'# Italy])),betaItaly/(deltaItaly+betaPodeltaItaly*EXP(-betaItaly*tblData[Days'# Italy])),"")</f>
        <v>55402.511466544704</v>
      </c>
      <c r="AN105" s="11" t="str">
        <f>IF(AND(tblData[Date]&gt;StartDt2Italy,ISNUMBER(tblData[Italy])),(tblData[[#This Row],[Italy LogiP(t)]]-tblData[[#This Row],[Italy]])^2,"")</f>
        <v/>
      </c>
      <c r="AO105" s="44">
        <f>IF(AND(tblData[Date]&gt;StartDt2Italy,ISNUMBER(tblData[Days'# Italy])),tblData[[#This Row],[Italy LogiP(t)]]/$AM$9,"")</f>
        <v>9165.0143038121932</v>
      </c>
      <c r="AP105" s="21">
        <f>IF(ISNUMBER(tblData[[#This Row],[Days'# US]]),betaUS/(deltaUS+betaPodeltaUS*EXP(-betaUS*tblData[Days'# US])),"")</f>
        <v>347695292.01456201</v>
      </c>
      <c r="AQ105" s="11" t="str">
        <f>IF(ISNUMBER(tblData[US]),(tblData[[#This Row],[US LogiP(t)]]-tblData[US])^2,"")</f>
        <v/>
      </c>
      <c r="AR105" s="21">
        <f>IF(ISNUMBER(tblData[[#This Row],[Days'# US]]),tblData[[#This Row],[US LogiP(t)]]/$AP$9,"")</f>
        <v>10560935.286862548</v>
      </c>
      <c r="AS105" s="21">
        <f>IF(tblData[Date]&gt;=StartDt2Korea,betaSKorea/(deltaSKorea+betaPodeltaSKorea*EXP(-betaSKorea*(tblData[Date]-StartDt2Korea))),"")</f>
        <v>8319.4112738168697</v>
      </c>
      <c r="AT105" s="21" t="str">
        <f>IF(AND(tblData[Date]&gt;=StartDt2Korea,ISNUMBER(tblData[SKorea])),(tblData[[#This Row],[SKorea LogiP(t)]]-tblData[[#This Row],[SKorea]])^2,"")</f>
        <v/>
      </c>
      <c r="AU105" s="21">
        <f>IF(tblData[Date]&gt;=StartDt2Korea,tblData[[#This Row],[SKorea LogiP(t)]]/$AS$9,"")</f>
        <v>1618.5625046336322</v>
      </c>
      <c r="AV105" s="85">
        <f>IF(ISNUMBER(tblData[Days'# UK]),betaUK/(deltaUK+betaPodeltaUK*EXP(-betaUK*tblData[Days'# UK])),"")</f>
        <v>230595240.64806107</v>
      </c>
      <c r="AW105" s="85" t="str">
        <f>IF(ISNUMBER(tblData[UK]),(tblData[[#This Row],[UK LogiP(t)]]-tblData[[#This Row],[UK]])^2,"")</f>
        <v/>
      </c>
      <c r="AX105" s="85">
        <f>IF(ISNUMBER(tblData[Days'# UK]),tblData[[#This Row],[UK LogiP(t)]]/$AV$9,"")</f>
        <v>34707290.886222318</v>
      </c>
      <c r="AY105" s="11">
        <f>IF(ISNUMBER(tblData[Days'# China]),betaChina/(deltaChina+betaPodeltaChina*EXP(-betaChina*tblData[Days'# China])),"")</f>
        <v>80951.337993856025</v>
      </c>
      <c r="AZ105" s="11" t="str">
        <f>IF(ISNUMBER(tblData[China]),(tblData[[#This Row],[China LogiP(t)]]-tblData[[#This Row],[China]])^2,"")</f>
        <v/>
      </c>
      <c r="BA105" s="11">
        <f>tblData[[#This Row],[China LogiP(t)]]/$AY$9</f>
        <v>562.42618473813104</v>
      </c>
      <c r="BB105" s="11"/>
      <c r="BC105" s="11"/>
      <c r="BD105" s="11" t="str">
        <f>IF(ISNUMBER(tblData[[#This Row],[NSW Number of Tests]]),tblData[[#This Row],[NSW Number of Tests]]-BB104,"")</f>
        <v/>
      </c>
      <c r="BE105" s="11" t="str">
        <f>IF(ISNUMBER(tblData[[#This Row],[NSW Under Investigation'']]),tblData[[#This Row],[NSW Under Investigation'']]-BC104,"")</f>
        <v/>
      </c>
      <c r="BF105" s="11"/>
      <c r="BG105" s="11" t="str">
        <f>IF(ISNUMBER(tblData[[#This Row],[NSW Test Day Number]]),betaTest/(deltaTest+betaPodeltaTest*EXP(-betaTest*tblData[[#This Row],[NSW Test Day Number]])),"")</f>
        <v/>
      </c>
      <c r="BH105" s="11" t="str">
        <f>IF(ISNUMBER(tblData[[#This Row],[NSW Number of Tests]]),(tblData[[#This Row],[NSW Number of Tests]]-tblData[[#This Row],[NSW Test Logi]])^2,"")</f>
        <v/>
      </c>
      <c r="BY105"/>
      <c r="BZ105"/>
      <c r="CJ105" s="26"/>
      <c r="CK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</row>
    <row r="106" spans="2:173" x14ac:dyDescent="0.25">
      <c r="B106" s="27">
        <f t="shared" si="12"/>
        <v>44103</v>
      </c>
      <c r="D106" s="26"/>
      <c r="L106" s="12" t="str">
        <f>IF(ISNUMBER(tblData[[#This Row],[NSW]]),tblData[[#This Row],[New South Wales]]/$L$9,"")</f>
        <v/>
      </c>
      <c r="M106" s="26"/>
      <c r="N106" s="49" t="str">
        <f>IF(ISNUMBER(tblData[Italy]),tblData[Italy]/$N$9,"")</f>
        <v/>
      </c>
      <c r="O106" s="26"/>
      <c r="P106" s="49" t="str">
        <f>IF(ISNUMBER(tblData[US]),tblData[US]/$P$9,"")</f>
        <v/>
      </c>
      <c r="Q106" s="49"/>
      <c r="R106" s="19" t="str">
        <f>IF(ISNUMBER(tblData[SKorea]),tblData[SKorea]/$R$9,"")</f>
        <v/>
      </c>
      <c r="S106" s="49"/>
      <c r="T106" s="12" t="str">
        <f>IF(ISNUMBER(tblData[UK]),tblData[UK]/$T$9,"")</f>
        <v/>
      </c>
      <c r="U106" s="26"/>
      <c r="V106" s="21" t="str">
        <f>IF(ISNUMBER(tblData[China]),tblData[China]/$V$9,"")</f>
        <v/>
      </c>
      <c r="W106" s="26">
        <f>IF(tblData[[#This Row],[Date]]&lt;ItalyStart,"",tblData[[#This Row],[Date]]-ItalyStart)</f>
        <v>243</v>
      </c>
      <c r="X106" s="26">
        <f t="shared" si="13"/>
        <v>233</v>
      </c>
      <c r="Y106" s="26">
        <f t="shared" si="11"/>
        <v>95</v>
      </c>
      <c r="Z106" s="26">
        <f>IF(tblData[[#This Row],[Date]]&lt;StartDt2Korea,"",tblData[[#This Row],[Date]]-StartDt2Korea)</f>
        <v>223</v>
      </c>
      <c r="AA106" s="26">
        <f>IF(tblData[[#This Row],[Date]]&lt;UKStart,"",tblData[[#This Row],[Date]]-UKStart)</f>
        <v>243</v>
      </c>
      <c r="AB106">
        <f>IF(tblData[Date]&gt;=StartDt2Au,tblData[Date]-StartDt2Au,"")</f>
        <v>248</v>
      </c>
      <c r="AC106" s="26" t="str">
        <f>IF(tblData[New South Wales]&gt;0,SUM(tblData[[#This Row],[Australian Capital Territory]:[Western Australia]]),"")</f>
        <v/>
      </c>
      <c r="AD106" s="12" t="str">
        <f>IF(ISNUMBER(tblData[Au]),tblData[Au]/$AA$9,"")</f>
        <v/>
      </c>
      <c r="AE106" s="44">
        <f>IF(ISNUMBER(tblData[[#This Row],[Day'# Aust]]),betaAu/(deltaAu+betaPodeltaAu*EXP(-betaAu*tblData[[#This Row],[Day'# Aust]])),"")</f>
        <v>206489313.35233516</v>
      </c>
      <c r="AF106" s="73">
        <f>IF(ISNUMBER(tblData[Day'# Aust]),tblData[Au LogiP(t)]/$AD$9,"")</f>
        <v>81410390.061636627</v>
      </c>
      <c r="AG106" s="11" t="str">
        <f>IF(AND(tblData[Date]&gt;=StartDt2Au,ISNUMBER(tblData[NSW])),(tblData[[#This Row],[Au LogiP(t)]]-tblData[[#This Row],[Au]])^2,"")</f>
        <v/>
      </c>
      <c r="AH106">
        <f>IF(tblData[Date]&gt;StartDt2NSW,tblData[Date]-StartDt2NSW,"")</f>
        <v>248</v>
      </c>
      <c r="AI106" t="str">
        <f t="shared" si="14"/>
        <v/>
      </c>
      <c r="AJ106" s="11">
        <f>IF(tblData[Date]&gt;StartDt2NSW,betaNSW/(deltaNSW+betaPodeltaNSW*EXP(-betaNSW*tblData[[#This Row],[Day '# NSW]])),"")</f>
        <v>2724.7105763852951</v>
      </c>
      <c r="AK106" s="12" t="str">
        <f>IF(AND(ISNUMBER(tblData[NSW]),tblData[Date]&gt;StartDt2NSW),(tblData[[#This Row],[NSW LogiP(t)]]-tblData[[#This Row],[NSW]])^2,"")</f>
        <v/>
      </c>
      <c r="AL106" s="44">
        <f>IF(AND(tblData[Date]&gt;StartDt2NSW,ISNUMBER(tblData[Day'# Aust])),tblData[NSW LogiP(t)]/$AG$9,"")</f>
        <v>3372.1665549322956</v>
      </c>
      <c r="AM106" s="11">
        <f>IF(AND(tblData[Date]&gt;StartDt2Italy,ISNUMBER(tblData[Days'# Italy])),betaItaly/(deltaItaly+betaPodeltaItaly*EXP(-betaItaly*tblData[Days'# Italy])),"")</f>
        <v>55402.511466544704</v>
      </c>
      <c r="AN106" s="11" t="str">
        <f>IF(AND(tblData[Date]&gt;StartDt2Italy,ISNUMBER(tblData[Italy])),(tblData[[#This Row],[Italy LogiP(t)]]-tblData[[#This Row],[Italy]])^2,"")</f>
        <v/>
      </c>
      <c r="AO106" s="44">
        <f>IF(AND(tblData[Date]&gt;StartDt2Italy,ISNUMBER(tblData[Days'# Italy])),tblData[[#This Row],[Italy LogiP(t)]]/$AM$9,"")</f>
        <v>9165.0143038121932</v>
      </c>
      <c r="AP106" s="21">
        <f>IF(ISNUMBER(tblData[[#This Row],[Days'# US]]),betaUS/(deltaUS+betaPodeltaUS*EXP(-betaUS*tblData[Days'# US])),"")</f>
        <v>347695292.01456201</v>
      </c>
      <c r="AQ106" s="11" t="str">
        <f>IF(ISNUMBER(tblData[US]),(tblData[[#This Row],[US LogiP(t)]]-tblData[US])^2,"")</f>
        <v/>
      </c>
      <c r="AR106" s="21">
        <f>IF(ISNUMBER(tblData[[#This Row],[Days'# US]]),tblData[[#This Row],[US LogiP(t)]]/$AP$9,"")</f>
        <v>10560935.286862548</v>
      </c>
      <c r="AS106" s="21">
        <f>IF(tblData[Date]&gt;=StartDt2Korea,betaSKorea/(deltaSKorea+betaPodeltaSKorea*EXP(-betaSKorea*(tblData[Date]-StartDt2Korea))),"")</f>
        <v>8319.4112738168697</v>
      </c>
      <c r="AT106" s="21" t="str">
        <f>IF(AND(tblData[Date]&gt;=StartDt2Korea,ISNUMBER(tblData[SKorea])),(tblData[[#This Row],[SKorea LogiP(t)]]-tblData[[#This Row],[SKorea]])^2,"")</f>
        <v/>
      </c>
      <c r="AU106" s="21">
        <f>IF(tblData[Date]&gt;=StartDt2Korea,tblData[[#This Row],[SKorea LogiP(t)]]/$AS$9,"")</f>
        <v>1618.5625046336322</v>
      </c>
      <c r="AV106" s="85">
        <f>IF(ISNUMBER(tblData[Days'# UK]),betaUK/(deltaUK+betaPodeltaUK*EXP(-betaUK*tblData[Days'# UK])),"")</f>
        <v>230595240.64806363</v>
      </c>
      <c r="AW106" s="85" t="str">
        <f>IF(ISNUMBER(tblData[UK]),(tblData[[#This Row],[UK LogiP(t)]]-tblData[[#This Row],[UK]])^2,"")</f>
        <v/>
      </c>
      <c r="AX106" s="85">
        <f>IF(ISNUMBER(tblData[Days'# UK]),tblData[[#This Row],[UK LogiP(t)]]/$AV$9,"")</f>
        <v>34707290.886222698</v>
      </c>
      <c r="AY106" s="11">
        <f>IF(ISNUMBER(tblData[Days'# China]),betaChina/(deltaChina+betaPodeltaChina*EXP(-betaChina*tblData[Days'# China])),"")</f>
        <v>80951.338704831564</v>
      </c>
      <c r="AZ106" s="11" t="str">
        <f>IF(ISNUMBER(tblData[China]),(tblData[[#This Row],[China LogiP(t)]]-tblData[[#This Row],[China]])^2,"")</f>
        <v/>
      </c>
      <c r="BA106" s="11">
        <f>tblData[[#This Row],[China LogiP(t)]]/$AY$9</f>
        <v>562.42618967778083</v>
      </c>
      <c r="BB106" s="11"/>
      <c r="BC106" s="11"/>
      <c r="BD106" s="11" t="str">
        <f>IF(ISNUMBER(tblData[[#This Row],[NSW Number of Tests]]),tblData[[#This Row],[NSW Number of Tests]]-BB105,"")</f>
        <v/>
      </c>
      <c r="BE106" s="11" t="str">
        <f>IF(ISNUMBER(tblData[[#This Row],[NSW Under Investigation'']]),tblData[[#This Row],[NSW Under Investigation'']]-BC105,"")</f>
        <v/>
      </c>
      <c r="BF106" s="11"/>
      <c r="BG106" s="11" t="str">
        <f>IF(ISNUMBER(tblData[[#This Row],[NSW Test Day Number]]),betaTest/(deltaTest+betaPodeltaTest*EXP(-betaTest*tblData[[#This Row],[NSW Test Day Number]])),"")</f>
        <v/>
      </c>
      <c r="BH106" s="11" t="str">
        <f>IF(ISNUMBER(tblData[[#This Row],[NSW Number of Tests]]),(tblData[[#This Row],[NSW Number of Tests]]-tblData[[#This Row],[NSW Test Logi]])^2,"")</f>
        <v/>
      </c>
      <c r="BY106"/>
      <c r="BZ106"/>
      <c r="CJ106" s="26"/>
      <c r="CK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</row>
    <row r="107" spans="2:173" x14ac:dyDescent="0.25">
      <c r="B107" s="27">
        <f t="shared" si="12"/>
        <v>44110</v>
      </c>
      <c r="D107" s="26"/>
      <c r="L107" s="12" t="str">
        <f>IF(ISNUMBER(tblData[[#This Row],[NSW]]),tblData[[#This Row],[New South Wales]]/$L$9,"")</f>
        <v/>
      </c>
      <c r="M107" s="26"/>
      <c r="N107" s="49" t="str">
        <f>IF(ISNUMBER(tblData[Italy]),tblData[Italy]/$N$9,"")</f>
        <v/>
      </c>
      <c r="O107" s="26"/>
      <c r="P107" s="49" t="str">
        <f>IF(ISNUMBER(tblData[US]),tblData[US]/$P$9,"")</f>
        <v/>
      </c>
      <c r="Q107" s="49"/>
      <c r="R107" s="19" t="str">
        <f>IF(ISNUMBER(tblData[SKorea]),tblData[SKorea]/$R$9,"")</f>
        <v/>
      </c>
      <c r="S107" s="49"/>
      <c r="T107" s="12" t="str">
        <f>IF(ISNUMBER(tblData[UK]),tblData[UK]/$T$9,"")</f>
        <v/>
      </c>
      <c r="U107" s="26"/>
      <c r="V107" s="21" t="str">
        <f>IF(ISNUMBER(tblData[China]),tblData[China]/$V$9,"")</f>
        <v/>
      </c>
      <c r="W107" s="26">
        <f>IF(tblData[[#This Row],[Date]]&lt;ItalyStart,"",tblData[[#This Row],[Date]]-ItalyStart)</f>
        <v>250</v>
      </c>
      <c r="X107" s="26">
        <f t="shared" si="13"/>
        <v>240</v>
      </c>
      <c r="Y107" s="26">
        <f t="shared" si="11"/>
        <v>96</v>
      </c>
      <c r="Z107" s="26">
        <f>IF(tblData[[#This Row],[Date]]&lt;StartDt2Korea,"",tblData[[#This Row],[Date]]-StartDt2Korea)</f>
        <v>230</v>
      </c>
      <c r="AA107" s="26">
        <f>IF(tblData[[#This Row],[Date]]&lt;UKStart,"",tblData[[#This Row],[Date]]-UKStart)</f>
        <v>250</v>
      </c>
      <c r="AB107">
        <f>IF(tblData[Date]&gt;=StartDt2Au,tblData[Date]-StartDt2Au,"")</f>
        <v>255</v>
      </c>
      <c r="AC107" s="26" t="str">
        <f>IF(tblData[New South Wales]&gt;0,SUM(tblData[[#This Row],[Australian Capital Territory]:[Western Australia]]),"")</f>
        <v/>
      </c>
      <c r="AD107" s="12" t="str">
        <f>IF(ISNUMBER(tblData[Au]),tblData[Au]/$AA$9,"")</f>
        <v/>
      </c>
      <c r="AE107" s="44">
        <f>IF(ISNUMBER(tblData[[#This Row],[Day'# Aust]]),betaAu/(deltaAu+betaPodeltaAu*EXP(-betaAu*tblData[[#This Row],[Day'# Aust]])),"")</f>
        <v>206489313.35251996</v>
      </c>
      <c r="AF107" s="73">
        <f>IF(ISNUMBER(tblData[Day'# Aust]),tblData[Au LogiP(t)]/$AD$9,"")</f>
        <v>81410390.061709493</v>
      </c>
      <c r="AG107" s="11" t="str">
        <f>IF(AND(tblData[Date]&gt;=StartDt2Au,ISNUMBER(tblData[NSW])),(tblData[[#This Row],[Au LogiP(t)]]-tblData[[#This Row],[Au]])^2,"")</f>
        <v/>
      </c>
      <c r="AH107">
        <f>IF(tblData[Date]&gt;StartDt2NSW,tblData[Date]-StartDt2NSW,"")</f>
        <v>255</v>
      </c>
      <c r="AI107" s="26" t="str">
        <f t="shared" si="14"/>
        <v/>
      </c>
      <c r="AJ107" s="11">
        <f>IF(tblData[Date]&gt;StartDt2NSW,betaNSW/(deltaNSW+betaPodeltaNSW*EXP(-betaNSW*tblData[[#This Row],[Day '# NSW]])),"")</f>
        <v>2724.7105763852951</v>
      </c>
      <c r="AK107" s="12" t="str">
        <f>IF(AND(ISNUMBER(tblData[NSW]),tblData[Date]&gt;StartDt2NSW),(tblData[[#This Row],[NSW LogiP(t)]]-tblData[[#This Row],[NSW]])^2,"")</f>
        <v/>
      </c>
      <c r="AL107" s="44">
        <f>IF(AND(tblData[Date]&gt;StartDt2NSW,ISNUMBER(tblData[Day'# Aust])),tblData[NSW LogiP(t)]/$AG$9,"")</f>
        <v>3372.1665549322956</v>
      </c>
      <c r="AM107" s="11">
        <f>IF(AND(tblData[Date]&gt;StartDt2Italy,ISNUMBER(tblData[Days'# Italy])),betaItaly/(deltaItaly+betaPodeltaItaly*EXP(-betaItaly*tblData[Days'# Italy])),"")</f>
        <v>55402.511466544704</v>
      </c>
      <c r="AN107" s="11" t="str">
        <f>IF(AND(tblData[Date]&gt;StartDt2Italy,ISNUMBER(tblData[Italy])),(tblData[[#This Row],[Italy LogiP(t)]]-tblData[[#This Row],[Italy]])^2,"")</f>
        <v/>
      </c>
      <c r="AO107" s="44">
        <f>IF(AND(tblData[Date]&gt;StartDt2Italy,ISNUMBER(tblData[Days'# Italy])),tblData[[#This Row],[Italy LogiP(t)]]/$AM$9,"")</f>
        <v>9165.0143038121932</v>
      </c>
      <c r="AP107" s="21">
        <f>IF(ISNUMBER(tblData[[#This Row],[Days'# US]]),betaUS/(deltaUS+betaPodeltaUS*EXP(-betaUS*tblData[Days'# US])),"")</f>
        <v>347695292.01456201</v>
      </c>
      <c r="AQ107" s="11" t="str">
        <f>IF(ISNUMBER(tblData[US]),(tblData[[#This Row],[US LogiP(t)]]-tblData[US])^2,"")</f>
        <v/>
      </c>
      <c r="AR107" s="21">
        <f>IF(ISNUMBER(tblData[[#This Row],[Days'# US]]),tblData[[#This Row],[US LogiP(t)]]/$AP$9,"")</f>
        <v>10560935.286862548</v>
      </c>
      <c r="AS107" s="21">
        <f>IF(tblData[Date]&gt;=StartDt2Korea,betaSKorea/(deltaSKorea+betaPodeltaSKorea*EXP(-betaSKorea*(tblData[Date]-StartDt2Korea))),"")</f>
        <v>8319.4112738168697</v>
      </c>
      <c r="AT107" s="21" t="str">
        <f>IF(AND(tblData[Date]&gt;=StartDt2Korea,ISNUMBER(tblData[SKorea])),(tblData[[#This Row],[SKorea LogiP(t)]]-tblData[[#This Row],[SKorea]])^2,"")</f>
        <v/>
      </c>
      <c r="AU107" s="21">
        <f>IF(tblData[Date]&gt;=StartDt2Korea,tblData[[#This Row],[SKorea LogiP(t)]]/$AS$9,"")</f>
        <v>1618.5625046336322</v>
      </c>
      <c r="AV107" s="85">
        <f>IF(ISNUMBER(tblData[Days'# UK]),betaUK/(deltaUK+betaPodeltaUK*EXP(-betaUK*tblData[Days'# UK])),"")</f>
        <v>230595240.64806417</v>
      </c>
      <c r="AW107" s="85" t="str">
        <f>IF(ISNUMBER(tblData[UK]),(tblData[[#This Row],[UK LogiP(t)]]-tblData[[#This Row],[UK]])^2,"")</f>
        <v/>
      </c>
      <c r="AX107" s="85">
        <f>IF(ISNUMBER(tblData[Days'# UK]),tblData[[#This Row],[UK LogiP(t)]]/$AV$9,"")</f>
        <v>34707290.88622278</v>
      </c>
      <c r="AY107" s="11">
        <f>IF(ISNUMBER(tblData[Days'# China]),betaChina/(deltaChina+betaPodeltaChina*EXP(-betaChina*tblData[Days'# China])),"")</f>
        <v>80951.339274181373</v>
      </c>
      <c r="AZ107" s="11" t="str">
        <f>IF(ISNUMBER(tblData[China]),(tblData[[#This Row],[China LogiP(t)]]-tblData[[#This Row],[China]])^2,"")</f>
        <v/>
      </c>
      <c r="BA107" s="11">
        <f>tblData[[#This Row],[China LogiP(t)]]/$AY$9</f>
        <v>562.42619363345648</v>
      </c>
      <c r="BB107" s="11"/>
      <c r="BC107" s="11"/>
      <c r="BD107" s="11" t="str">
        <f>IF(ISNUMBER(tblData[[#This Row],[NSW Number of Tests]]),tblData[[#This Row],[NSW Number of Tests]]-BB106,"")</f>
        <v/>
      </c>
      <c r="BE107" s="11" t="str">
        <f>IF(ISNUMBER(tblData[[#This Row],[NSW Under Investigation'']]),tblData[[#This Row],[NSW Under Investigation'']]-BC106,"")</f>
        <v/>
      </c>
      <c r="BF107" s="11"/>
      <c r="BG107" s="11" t="str">
        <f>IF(ISNUMBER(tblData[[#This Row],[NSW Test Day Number]]),betaTest/(deltaTest+betaPodeltaTest*EXP(-betaTest*tblData[[#This Row],[NSW Test Day Number]])),"")</f>
        <v/>
      </c>
      <c r="BH107" s="11" t="str">
        <f>IF(ISNUMBER(tblData[[#This Row],[NSW Number of Tests]]),(tblData[[#This Row],[NSW Number of Tests]]-tblData[[#This Row],[NSW Test Logi]])^2,"")</f>
        <v/>
      </c>
      <c r="BY107"/>
      <c r="BZ107"/>
      <c r="CJ107" s="26"/>
      <c r="CK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</row>
    <row r="108" spans="2:173" s="26" customFormat="1" x14ac:dyDescent="0.25">
      <c r="B108" s="27">
        <f t="shared" si="12"/>
        <v>44117</v>
      </c>
      <c r="L108" s="12" t="str">
        <f>IF(ISNUMBER(tblData[[#This Row],[NSW]]),tblData[[#This Row],[New South Wales]]/$L$9,"")</f>
        <v/>
      </c>
      <c r="N108" s="49" t="str">
        <f>IF(ISNUMBER(tblData[Italy]),tblData[Italy]/$N$9,"")</f>
        <v/>
      </c>
      <c r="P108" s="49" t="str">
        <f>IF(ISNUMBER(tblData[US]),tblData[US]/$P$9,"")</f>
        <v/>
      </c>
      <c r="Q108" s="49"/>
      <c r="R108" s="19" t="str">
        <f>IF(ISNUMBER(tblData[SKorea]),tblData[SKorea]/$R$9,"")</f>
        <v/>
      </c>
      <c r="S108" s="49"/>
      <c r="T108" s="12" t="str">
        <f>IF(ISNUMBER(tblData[UK]),tblData[UK]/$T$9,"")</f>
        <v/>
      </c>
      <c r="V108" s="21" t="str">
        <f>IF(ISNUMBER(tblData[China]),tblData[China]/$V$9,"")</f>
        <v/>
      </c>
      <c r="W108" s="26">
        <f>IF(tblData[[#This Row],[Date]]&lt;ItalyStart,"",tblData[[#This Row],[Date]]-ItalyStart)</f>
        <v>257</v>
      </c>
      <c r="X108" s="26">
        <f t="shared" si="13"/>
        <v>247</v>
      </c>
      <c r="Y108" s="26">
        <f t="shared" ref="Y108" si="15">Y107+1</f>
        <v>97</v>
      </c>
      <c r="Z108" s="26">
        <f>IF(tblData[[#This Row],[Date]]&lt;StartDt2Korea,"",tblData[[#This Row],[Date]]-StartDt2Korea)</f>
        <v>237</v>
      </c>
      <c r="AA108" s="26">
        <f>IF(tblData[[#This Row],[Date]]&lt;UKStart,"",tblData[[#This Row],[Date]]-UKStart)</f>
        <v>257</v>
      </c>
      <c r="AB108" s="26">
        <f>IF(tblData[Date]&gt;=StartDt2Au,tblData[Date]-StartDt2Au,"")</f>
        <v>262</v>
      </c>
      <c r="AC108" s="26" t="str">
        <f>IF(tblData[New South Wales]&gt;0,SUM(tblData[[#This Row],[Australian Capital Territory]:[Western Australia]]),"")</f>
        <v/>
      </c>
      <c r="AD108" s="12" t="str">
        <f>IF(ISNUMBER(tblData[Au]),tblData[Au]/$AA$9,"")</f>
        <v/>
      </c>
      <c r="AE108" s="44">
        <f>IF(ISNUMBER(tblData[[#This Row],[Day'# Aust]]),betaAu/(deltaAu+betaPodeltaAu*EXP(-betaAu*tblData[[#This Row],[Day'# Aust]])),"")</f>
        <v>206489313.3525635</v>
      </c>
      <c r="AF108" s="73">
        <f>IF(ISNUMBER(tblData[Day'# Aust]),tblData[Au LogiP(t)]/$AD$9,"")</f>
        <v>81410390.06172666</v>
      </c>
      <c r="AG108" s="11" t="str">
        <f>IF(AND(tblData[Date]&gt;=StartDt2Au,ISNUMBER(tblData[NSW])),(tblData[[#This Row],[Au LogiP(t)]]-tblData[[#This Row],[Au]])^2,"")</f>
        <v/>
      </c>
      <c r="AH108" s="26">
        <f>IF(tblData[Date]&gt;StartDt2NSW,tblData[Date]-StartDt2NSW,"")</f>
        <v>262</v>
      </c>
      <c r="AI108" s="26" t="str">
        <f t="shared" si="14"/>
        <v/>
      </c>
      <c r="AJ108" s="11">
        <f>IF(tblData[Date]&gt;StartDt2NSW,betaNSW/(deltaNSW+betaPodeltaNSW*EXP(-betaNSW*tblData[[#This Row],[Day '# NSW]])),"")</f>
        <v>2724.7105763852951</v>
      </c>
      <c r="AK108" s="12" t="str">
        <f>IF(AND(ISNUMBER(tblData[NSW]),tblData[Date]&gt;StartDt2NSW),(tblData[[#This Row],[NSW LogiP(t)]]-tblData[[#This Row],[NSW]])^2,"")</f>
        <v/>
      </c>
      <c r="AL108" s="44">
        <f>IF(AND(tblData[Date]&gt;StartDt2NSW,ISNUMBER(tblData[Day'# Aust])),tblData[NSW LogiP(t)]/$AG$9,"")</f>
        <v>3372.1665549322956</v>
      </c>
      <c r="AM108" s="11">
        <f>IF(AND(tblData[Date]&gt;StartDt2Italy,ISNUMBER(tblData[Days'# Italy])),betaItaly/(deltaItaly+betaPodeltaItaly*EXP(-betaItaly*tblData[Days'# Italy])),"")</f>
        <v>55402.511466544704</v>
      </c>
      <c r="AN108" s="11" t="str">
        <f>IF(AND(tblData[Date]&gt;StartDt2Italy,ISNUMBER(tblData[Italy])),(tblData[[#This Row],[Italy LogiP(t)]]-tblData[[#This Row],[Italy]])^2,"")</f>
        <v/>
      </c>
      <c r="AO108" s="44">
        <f>IF(AND(tblData[Date]&gt;StartDt2Italy,ISNUMBER(tblData[Days'# Italy])),tblData[[#This Row],[Italy LogiP(t)]]/$AM$9,"")</f>
        <v>9165.0143038121932</v>
      </c>
      <c r="AP108" s="21">
        <f>IF(ISNUMBER(tblData[[#This Row],[Days'# US]]),betaUS/(deltaUS+betaPodeltaUS*EXP(-betaUS*tblData[Days'# US])),"")</f>
        <v>347695292.01456201</v>
      </c>
      <c r="AQ108" s="11" t="str">
        <f>IF(ISNUMBER(tblData[US]),(tblData[[#This Row],[US LogiP(t)]]-tblData[US])^2,"")</f>
        <v/>
      </c>
      <c r="AR108" s="21">
        <f>IF(ISNUMBER(tblData[[#This Row],[Days'# US]]),tblData[[#This Row],[US LogiP(t)]]/$AP$9,"")</f>
        <v>10560935.286862548</v>
      </c>
      <c r="AS108" s="21">
        <f>IF(tblData[Date]&gt;=StartDt2Korea,betaSKorea/(deltaSKorea+betaPodeltaSKorea*EXP(-betaSKorea*(tblData[Date]-StartDt2Korea))),"")</f>
        <v>8319.4112738168697</v>
      </c>
      <c r="AT108" s="21" t="str">
        <f>IF(AND(tblData[Date]&gt;=StartDt2Korea,ISNUMBER(tblData[SKorea])),(tblData[[#This Row],[SKorea LogiP(t)]]-tblData[[#This Row],[SKorea]])^2,"")</f>
        <v/>
      </c>
      <c r="AU108" s="21">
        <f>IF(tblData[Date]&gt;=StartDt2Korea,tblData[[#This Row],[SKorea LogiP(t)]]/$AS$9,"")</f>
        <v>1618.5625046336322</v>
      </c>
      <c r="AV108" s="85">
        <f>IF(ISNUMBER(tblData[Days'# UK]),betaUK/(deltaUK+betaPodeltaUK*EXP(-betaUK*tblData[Days'# UK])),"")</f>
        <v>230595240.64806426</v>
      </c>
      <c r="AW108" s="85" t="str">
        <f>IF(ISNUMBER(tblData[UK]),(tblData[[#This Row],[UK LogiP(t)]]-tblData[[#This Row],[UK]])^2,"")</f>
        <v/>
      </c>
      <c r="AX108" s="85">
        <f>IF(ISNUMBER(tblData[Days'# UK]),tblData[[#This Row],[UK LogiP(t)]]/$AV$9,"")</f>
        <v>34707290.886222795</v>
      </c>
      <c r="AY108" s="11">
        <f>IF(ISNUMBER(tblData[Days'# China]),betaChina/(deltaChina+betaPodeltaChina*EXP(-betaChina*tblData[Days'# China])),"")</f>
        <v>80951.339730117208</v>
      </c>
      <c r="AZ108" s="11" t="str">
        <f>IF(ISNUMBER(tblData[China]),(tblData[[#This Row],[China LogiP(t)]]-tblData[[#This Row],[China]])^2,"")</f>
        <v/>
      </c>
      <c r="BA108" s="11">
        <f>tblData[[#This Row],[China LogiP(t)]]/$AY$9</f>
        <v>562.42619680116513</v>
      </c>
      <c r="BB108" s="11"/>
      <c r="BC108" s="11"/>
      <c r="BD108" s="11" t="str">
        <f>IF(ISNUMBER(tblData[[#This Row],[NSW Number of Tests]]),tblData[[#This Row],[NSW Number of Tests]]-BB107,"")</f>
        <v/>
      </c>
      <c r="BE108" s="11" t="str">
        <f>IF(ISNUMBER(tblData[[#This Row],[NSW Under Investigation'']]),tblData[[#This Row],[NSW Under Investigation'']]-BC107,"")</f>
        <v/>
      </c>
      <c r="BF108" s="11"/>
      <c r="BG108" s="11" t="str">
        <f>IF(ISNUMBER(tblData[[#This Row],[NSW Test Day Number]]),betaTest/(deltaTest+betaPodeltaTest*EXP(-betaTest*tblData[[#This Row],[NSW Test Day Number]])),"")</f>
        <v/>
      </c>
      <c r="BH108" s="11" t="str">
        <f>IF(ISNUMBER(tblData[[#This Row],[NSW Number of Tests]]),(tblData[[#This Row],[NSW Number of Tests]]-tblData[[#This Row],[NSW Test Logi]])^2,"")</f>
        <v/>
      </c>
      <c r="BK108"/>
      <c r="BM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L108"/>
      <c r="CM108"/>
      <c r="CN108"/>
      <c r="CO108"/>
      <c r="CP108"/>
      <c r="CQ108"/>
      <c r="CR108"/>
      <c r="CS108"/>
      <c r="CT108"/>
      <c r="CU108"/>
      <c r="CV108"/>
      <c r="DE108"/>
      <c r="DF108" s="82"/>
      <c r="DG108" s="27"/>
      <c r="DH108" s="27"/>
      <c r="DI108"/>
      <c r="DJ108"/>
      <c r="DK108"/>
      <c r="DL108"/>
      <c r="DM108"/>
      <c r="DN108"/>
      <c r="DO108"/>
      <c r="DP108"/>
      <c r="DQ108"/>
      <c r="DR108" s="27"/>
      <c r="DS108"/>
      <c r="DT108"/>
      <c r="DU108"/>
      <c r="DV108" s="27"/>
      <c r="DW108"/>
      <c r="DX108"/>
      <c r="DY108"/>
      <c r="DZ108"/>
      <c r="EA108"/>
      <c r="EB108"/>
      <c r="EC108"/>
      <c r="ED108"/>
      <c r="EE108"/>
      <c r="EF108"/>
      <c r="EG108"/>
    </row>
    <row r="109" spans="2:173" s="26" customFormat="1" x14ac:dyDescent="0.25">
      <c r="B109" s="27">
        <f t="shared" si="12"/>
        <v>44124</v>
      </c>
      <c r="L109" s="12" t="str">
        <f>IF(ISNUMBER(tblData[[#This Row],[NSW]]),tblData[[#This Row],[New South Wales]]/$L$9,"")</f>
        <v/>
      </c>
      <c r="N109" s="49" t="str">
        <f>IF(ISNUMBER(tblData[Italy]),tblData[Italy]/$N$9,"")</f>
        <v/>
      </c>
      <c r="P109" s="49" t="str">
        <f>IF(ISNUMBER(tblData[US]),tblData[US]/$P$9,"")</f>
        <v/>
      </c>
      <c r="Q109" s="49"/>
      <c r="R109" s="19" t="str">
        <f>IF(ISNUMBER(tblData[SKorea]),tblData[SKorea]/$R$9,"")</f>
        <v/>
      </c>
      <c r="S109" s="49"/>
      <c r="T109" s="12" t="str">
        <f>IF(ISNUMBER(tblData[UK]),tblData[UK]/$T$9,"")</f>
        <v/>
      </c>
      <c r="V109" s="21" t="str">
        <f>IF(ISNUMBER(tblData[China]),tblData[China]/$V$9,"")</f>
        <v/>
      </c>
      <c r="W109" s="26">
        <f>IF(tblData[[#This Row],[Date]]&lt;ItalyStart,"",tblData[[#This Row],[Date]]-ItalyStart)</f>
        <v>264</v>
      </c>
      <c r="X109" s="26">
        <f t="shared" si="13"/>
        <v>254</v>
      </c>
      <c r="Y109" s="26">
        <f t="shared" ref="Y109" si="16">Y108+1</f>
        <v>98</v>
      </c>
      <c r="Z109" s="26">
        <f>IF(tblData[[#This Row],[Date]]&lt;StartDt2Korea,"",tblData[[#This Row],[Date]]-StartDt2Korea)</f>
        <v>244</v>
      </c>
      <c r="AA109" s="26">
        <f>IF(tblData[[#This Row],[Date]]&lt;UKStart,"",tblData[[#This Row],[Date]]-UKStart)</f>
        <v>264</v>
      </c>
      <c r="AB109" s="26">
        <f>IF(tblData[Date]&gt;=StartDt2Au,tblData[Date]-StartDt2Au,"")</f>
        <v>269</v>
      </c>
      <c r="AC109" s="26" t="str">
        <f>IF(tblData[New South Wales]&gt;0,SUM(tblData[[#This Row],[Australian Capital Territory]:[Western Australia]]),"")</f>
        <v/>
      </c>
      <c r="AD109" s="12" t="str">
        <f>IF(ISNUMBER(tblData[Au]),tblData[Au]/$AA$9,"")</f>
        <v/>
      </c>
      <c r="AE109" s="44">
        <f>IF(ISNUMBER(tblData[[#This Row],[Day'# Aust]]),betaAu/(deltaAu+betaPodeltaAu*EXP(-betaAu*tblData[[#This Row],[Day'# Aust]])),"")</f>
        <v>206489313.35257375</v>
      </c>
      <c r="AF109" s="73">
        <f>IF(ISNUMBER(tblData[Day'# Aust]),tblData[Au LogiP(t)]/$AD$9,"")</f>
        <v>81410390.061730698</v>
      </c>
      <c r="AG109" s="11" t="str">
        <f>IF(AND(tblData[Date]&gt;=StartDt2Au,ISNUMBER(tblData[NSW])),(tblData[[#This Row],[Au LogiP(t)]]-tblData[[#This Row],[Au]])^2,"")</f>
        <v/>
      </c>
      <c r="AH109" s="26">
        <f>IF(tblData[Date]&gt;StartDt2NSW,tblData[Date]-StartDt2NSW,"")</f>
        <v>269</v>
      </c>
      <c r="AI109" s="26" t="str">
        <f t="shared" si="14"/>
        <v/>
      </c>
      <c r="AJ109" s="11">
        <f>IF(tblData[Date]&gt;StartDt2NSW,betaNSW/(deltaNSW+betaPodeltaNSW*EXP(-betaNSW*tblData[[#This Row],[Day '# NSW]])),"")</f>
        <v>2724.7105763852951</v>
      </c>
      <c r="AK109" s="12" t="str">
        <f>IF(AND(ISNUMBER(tblData[NSW]),tblData[Date]&gt;StartDt2NSW),(tblData[[#This Row],[NSW LogiP(t)]]-tblData[[#This Row],[NSW]])^2,"")</f>
        <v/>
      </c>
      <c r="AL109" s="44">
        <f>IF(AND(tblData[Date]&gt;StartDt2NSW,ISNUMBER(tblData[Day'# Aust])),tblData[NSW LogiP(t)]/$AG$9,"")</f>
        <v>3372.1665549322956</v>
      </c>
      <c r="AM109" s="11">
        <f>IF(AND(tblData[Date]&gt;StartDt2Italy,ISNUMBER(tblData[Days'# Italy])),betaItaly/(deltaItaly+betaPodeltaItaly*EXP(-betaItaly*tblData[Days'# Italy])),"")</f>
        <v>55402.511466544704</v>
      </c>
      <c r="AN109" s="11" t="str">
        <f>IF(AND(tblData[Date]&gt;StartDt2Italy,ISNUMBER(tblData[Italy])),(tblData[[#This Row],[Italy LogiP(t)]]-tblData[[#This Row],[Italy]])^2,"")</f>
        <v/>
      </c>
      <c r="AO109" s="44">
        <f>IF(AND(tblData[Date]&gt;StartDt2Italy,ISNUMBER(tblData[Days'# Italy])),tblData[[#This Row],[Italy LogiP(t)]]/$AM$9,"")</f>
        <v>9165.0143038121932</v>
      </c>
      <c r="AP109" s="21">
        <f>IF(ISNUMBER(tblData[[#This Row],[Days'# US]]),betaUS/(deltaUS+betaPodeltaUS*EXP(-betaUS*tblData[Days'# US])),"")</f>
        <v>347695292.01456201</v>
      </c>
      <c r="AQ109" s="11" t="str">
        <f>IF(ISNUMBER(tblData[US]),(tblData[[#This Row],[US LogiP(t)]]-tblData[US])^2,"")</f>
        <v/>
      </c>
      <c r="AR109" s="21">
        <f>IF(ISNUMBER(tblData[[#This Row],[Days'# US]]),tblData[[#This Row],[US LogiP(t)]]/$AP$9,"")</f>
        <v>10560935.286862548</v>
      </c>
      <c r="AS109" s="21">
        <f>IF(tblData[Date]&gt;=StartDt2Korea,betaSKorea/(deltaSKorea+betaPodeltaSKorea*EXP(-betaSKorea*(tblData[Date]-StartDt2Korea))),"")</f>
        <v>8319.4112738168697</v>
      </c>
      <c r="AT109" s="21" t="str">
        <f>IF(AND(tblData[Date]&gt;=StartDt2Korea,ISNUMBER(tblData[SKorea])),(tblData[[#This Row],[SKorea LogiP(t)]]-tblData[[#This Row],[SKorea]])^2,"")</f>
        <v/>
      </c>
      <c r="AU109" s="21">
        <f>IF(tblData[Date]&gt;=StartDt2Korea,tblData[[#This Row],[SKorea LogiP(t)]]/$AS$9,"")</f>
        <v>1618.5625046336322</v>
      </c>
      <c r="AV109" s="85">
        <f>IF(ISNUMBER(tblData[Days'# UK]),betaUK/(deltaUK+betaPodeltaUK*EXP(-betaUK*tblData[Days'# UK])),"")</f>
        <v>230595240.64806432</v>
      </c>
      <c r="AW109" s="85" t="str">
        <f>IF(ISNUMBER(tblData[UK]),(tblData[[#This Row],[UK LogiP(t)]]-tblData[[#This Row],[UK]])^2,"")</f>
        <v/>
      </c>
      <c r="AX109" s="85">
        <f>IF(ISNUMBER(tblData[Days'# UK]),tblData[[#This Row],[UK LogiP(t)]]/$AV$9,"")</f>
        <v>34707290.886222802</v>
      </c>
      <c r="AY109" s="11">
        <f>IF(ISNUMBER(tblData[Days'# China]),betaChina/(deltaChina+betaPodeltaChina*EXP(-betaChina*tblData[Days'# China])),"")</f>
        <v>80951.340095230989</v>
      </c>
      <c r="AZ109" s="11" t="str">
        <f>IF(ISNUMBER(tblData[China]),(tblData[[#This Row],[China LogiP(t)]]-tblData[[#This Row],[China]])^2,"")</f>
        <v/>
      </c>
      <c r="BA109" s="11">
        <f>tblData[[#This Row],[China LogiP(t)]]/$AY$9</f>
        <v>562.42619933786875</v>
      </c>
      <c r="BB109" s="11"/>
      <c r="BC109" s="11"/>
      <c r="BD109" s="11" t="str">
        <f>IF(ISNUMBER(tblData[[#This Row],[NSW Number of Tests]]),tblData[[#This Row],[NSW Number of Tests]]-BB108,"")</f>
        <v/>
      </c>
      <c r="BE109" s="11" t="str">
        <f>IF(ISNUMBER(tblData[[#This Row],[NSW Under Investigation'']]),tblData[[#This Row],[NSW Under Investigation'']]-BC108,"")</f>
        <v/>
      </c>
      <c r="BF109" s="11"/>
      <c r="BG109" s="11" t="str">
        <f>IF(ISNUMBER(tblData[[#This Row],[NSW Test Day Number]]),betaTest/(deltaTest+betaPodeltaTest*EXP(-betaTest*tblData[[#This Row],[NSW Test Day Number]])),"")</f>
        <v/>
      </c>
      <c r="BH109" s="11" t="str">
        <f>IF(ISNUMBER(tblData[[#This Row],[NSW Number of Tests]]),(tblData[[#This Row],[NSW Number of Tests]]-tblData[[#This Row],[NSW Test Logi]])^2,"")</f>
        <v/>
      </c>
      <c r="BK109"/>
      <c r="BM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L109"/>
      <c r="CM109"/>
      <c r="CN109"/>
      <c r="CO109"/>
      <c r="CP109"/>
      <c r="CQ109"/>
      <c r="CR109"/>
      <c r="CS109"/>
      <c r="CT109"/>
      <c r="CU109"/>
      <c r="CV109"/>
      <c r="DE109"/>
      <c r="DF109" s="82"/>
      <c r="DG109" s="27"/>
      <c r="DH109" s="27"/>
      <c r="DI109"/>
      <c r="DJ109"/>
      <c r="DK109"/>
      <c r="DL109"/>
      <c r="DM109"/>
      <c r="DN109"/>
      <c r="DO109"/>
      <c r="DP109"/>
      <c r="DQ109"/>
      <c r="DR109" s="27"/>
      <c r="DS109"/>
      <c r="DT109"/>
      <c r="DU109"/>
      <c r="DV109" s="27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</row>
    <row r="110" spans="2:173" s="26" customFormat="1" x14ac:dyDescent="0.25">
      <c r="B110" s="27">
        <f t="shared" si="12"/>
        <v>44131</v>
      </c>
      <c r="L110" s="12" t="str">
        <f>IF(ISNUMBER(tblData[[#This Row],[NSW]]),tblData[[#This Row],[New South Wales]]/$L$9,"")</f>
        <v/>
      </c>
      <c r="N110" s="49" t="str">
        <f>IF(ISNUMBER(tblData[Italy]),tblData[Italy]/$N$9,"")</f>
        <v/>
      </c>
      <c r="P110" s="49" t="str">
        <f>IF(ISNUMBER(tblData[US]),tblData[US]/$P$9,"")</f>
        <v/>
      </c>
      <c r="Q110" s="49"/>
      <c r="R110" s="19" t="str">
        <f>IF(ISNUMBER(tblData[SKorea]),tblData[SKorea]/$R$9,"")</f>
        <v/>
      </c>
      <c r="S110" s="49"/>
      <c r="T110" s="12" t="str">
        <f>IF(ISNUMBER(tblData[UK]),tblData[UK]/$T$9,"")</f>
        <v/>
      </c>
      <c r="V110" s="21" t="str">
        <f>IF(ISNUMBER(tblData[China]),tblData[China]/$V$9,"")</f>
        <v/>
      </c>
      <c r="W110" s="26">
        <f>IF(tblData[[#This Row],[Date]]&lt;ItalyStart,"",tblData[[#This Row],[Date]]-ItalyStart)</f>
        <v>271</v>
      </c>
      <c r="X110" s="26">
        <f t="shared" si="13"/>
        <v>261</v>
      </c>
      <c r="Y110" s="26">
        <f t="shared" ref="Y110" si="17">Y109+1</f>
        <v>99</v>
      </c>
      <c r="Z110" s="26">
        <f>IF(tblData[[#This Row],[Date]]&lt;StartDt2Korea,"",tblData[[#This Row],[Date]]-StartDt2Korea)</f>
        <v>251</v>
      </c>
      <c r="AA110" s="26">
        <f>IF(tblData[[#This Row],[Date]]&lt;UKStart,"",tblData[[#This Row],[Date]]-UKStart)</f>
        <v>271</v>
      </c>
      <c r="AB110" s="26">
        <f>IF(tblData[Date]&gt;=StartDt2Au,tblData[Date]-StartDt2Au,"")</f>
        <v>276</v>
      </c>
      <c r="AC110" s="26" t="str">
        <f>IF(tblData[New South Wales]&gt;0,SUM(tblData[[#This Row],[Australian Capital Territory]:[Western Australia]]),"")</f>
        <v/>
      </c>
      <c r="AD110" s="12" t="str">
        <f>IF(ISNUMBER(tblData[Au]),tblData[Au]/$AA$9,"")</f>
        <v/>
      </c>
      <c r="AE110" s="44">
        <f>IF(ISNUMBER(tblData[[#This Row],[Day'# Aust]]),betaAu/(deltaAu+betaPodeltaAu*EXP(-betaAu*tblData[[#This Row],[Day'# Aust]])),"")</f>
        <v>206489313.3525762</v>
      </c>
      <c r="AF110" s="73">
        <f>IF(ISNUMBER(tblData[Day'# Aust]),tblData[Au LogiP(t)]/$AD$9,"")</f>
        <v>81410390.061731666</v>
      </c>
      <c r="AG110" s="11" t="str">
        <f>IF(AND(tblData[Date]&gt;=StartDt2Au,ISNUMBER(tblData[NSW])),(tblData[[#This Row],[Au LogiP(t)]]-tblData[[#This Row],[Au]])^2,"")</f>
        <v/>
      </c>
      <c r="AH110" s="26">
        <f>IF(tblData[Date]&gt;StartDt2NSW,tblData[Date]-StartDt2NSW,"")</f>
        <v>276</v>
      </c>
      <c r="AI110" s="26" t="str">
        <f t="shared" si="14"/>
        <v/>
      </c>
      <c r="AJ110" s="11">
        <f>IF(tblData[Date]&gt;StartDt2NSW,betaNSW/(deltaNSW+betaPodeltaNSW*EXP(-betaNSW*tblData[[#This Row],[Day '# NSW]])),"")</f>
        <v>2724.7105763852951</v>
      </c>
      <c r="AK110" s="12" t="str">
        <f>IF(AND(ISNUMBER(tblData[NSW]),tblData[Date]&gt;StartDt2NSW),(tblData[[#This Row],[NSW LogiP(t)]]-tblData[[#This Row],[NSW]])^2,"")</f>
        <v/>
      </c>
      <c r="AL110" s="44">
        <f>IF(AND(tblData[Date]&gt;StartDt2NSW,ISNUMBER(tblData[Day'# Aust])),tblData[NSW LogiP(t)]/$AG$9,"")</f>
        <v>3372.1665549322956</v>
      </c>
      <c r="AM110" s="11">
        <f>IF(AND(tblData[Date]&gt;StartDt2Italy,ISNUMBER(tblData[Days'# Italy])),betaItaly/(deltaItaly+betaPodeltaItaly*EXP(-betaItaly*tblData[Days'# Italy])),"")</f>
        <v>55402.511466544704</v>
      </c>
      <c r="AN110" s="11" t="str">
        <f>IF(AND(tblData[Date]&gt;StartDt2Italy,ISNUMBER(tblData[Italy])),(tblData[[#This Row],[Italy LogiP(t)]]-tblData[[#This Row],[Italy]])^2,"")</f>
        <v/>
      </c>
      <c r="AO110" s="44">
        <f>IF(AND(tblData[Date]&gt;StartDt2Italy,ISNUMBER(tblData[Days'# Italy])),tblData[[#This Row],[Italy LogiP(t)]]/$AM$9,"")</f>
        <v>9165.0143038121932</v>
      </c>
      <c r="AP110" s="21">
        <f>IF(ISNUMBER(tblData[[#This Row],[Days'# US]]),betaUS/(deltaUS+betaPodeltaUS*EXP(-betaUS*tblData[Days'# US])),"")</f>
        <v>347695292.01456201</v>
      </c>
      <c r="AQ110" s="11" t="str">
        <f>IF(ISNUMBER(tblData[US]),(tblData[[#This Row],[US LogiP(t)]]-tblData[US])^2,"")</f>
        <v/>
      </c>
      <c r="AR110" s="21">
        <f>IF(ISNUMBER(tblData[[#This Row],[Days'# US]]),tblData[[#This Row],[US LogiP(t)]]/$AP$9,"")</f>
        <v>10560935.286862548</v>
      </c>
      <c r="AS110" s="21">
        <f>IF(tblData[Date]&gt;=StartDt2Korea,betaSKorea/(deltaSKorea+betaPodeltaSKorea*EXP(-betaSKorea*(tblData[Date]-StartDt2Korea))),"")</f>
        <v>8319.4112738168697</v>
      </c>
      <c r="AT110" s="21" t="str">
        <f>IF(AND(tblData[Date]&gt;=StartDt2Korea,ISNUMBER(tblData[SKorea])),(tblData[[#This Row],[SKorea LogiP(t)]]-tblData[[#This Row],[SKorea]])^2,"")</f>
        <v/>
      </c>
      <c r="AU110" s="21">
        <f>IF(tblData[Date]&gt;=StartDt2Korea,tblData[[#This Row],[SKorea LogiP(t)]]/$AS$9,"")</f>
        <v>1618.5625046336322</v>
      </c>
      <c r="AV110" s="85">
        <f>IF(ISNUMBER(tblData[Days'# UK]),betaUK/(deltaUK+betaPodeltaUK*EXP(-betaUK*tblData[Days'# UK])),"")</f>
        <v>230595240.64806432</v>
      </c>
      <c r="AW110" s="85" t="str">
        <f>IF(ISNUMBER(tblData[UK]),(tblData[[#This Row],[UK LogiP(t)]]-tblData[[#This Row],[UK]])^2,"")</f>
        <v/>
      </c>
      <c r="AX110" s="85">
        <f>IF(ISNUMBER(tblData[Days'# UK]),tblData[[#This Row],[UK LogiP(t)]]/$AV$9,"")</f>
        <v>34707290.886222802</v>
      </c>
      <c r="AY110" s="11">
        <f>IF(ISNUMBER(tblData[Days'# China]),betaChina/(deltaChina+betaPodeltaChina*EXP(-betaChina*tblData[Days'# China])),"")</f>
        <v>80951.340387614429</v>
      </c>
      <c r="AZ110" s="11" t="str">
        <f>IF(ISNUMBER(tblData[China]),(tblData[[#This Row],[China LogiP(t)]]-tblData[[#This Row],[China]])^2,"")</f>
        <v/>
      </c>
      <c r="BA110" s="11">
        <f>tblData[[#This Row],[China LogiP(t)]]/$AY$9</f>
        <v>562.42620136926325</v>
      </c>
      <c r="BB110" s="11"/>
      <c r="BC110" s="11"/>
      <c r="BD110" s="11" t="str">
        <f>IF(ISNUMBER(tblData[[#This Row],[NSW Number of Tests]]),tblData[[#This Row],[NSW Number of Tests]]-BB109,"")</f>
        <v/>
      </c>
      <c r="BE110" s="11" t="str">
        <f>IF(ISNUMBER(tblData[[#This Row],[NSW Under Investigation'']]),tblData[[#This Row],[NSW Under Investigation'']]-BC109,"")</f>
        <v/>
      </c>
      <c r="BF110" s="11"/>
      <c r="BG110" s="11" t="str">
        <f>IF(ISNUMBER(tblData[[#This Row],[NSW Test Day Number]]),betaTest/(deltaTest+betaPodeltaTest*EXP(-betaTest*tblData[[#This Row],[NSW Test Day Number]])),"")</f>
        <v/>
      </c>
      <c r="BH110" s="11" t="str">
        <f>IF(ISNUMBER(tblData[[#This Row],[NSW Number of Tests]]),(tblData[[#This Row],[NSW Number of Tests]]-tblData[[#This Row],[NSW Test Logi]])^2,"")</f>
        <v/>
      </c>
      <c r="DE110"/>
      <c r="DF110" s="82"/>
      <c r="DG110" s="27"/>
      <c r="DH110" s="27"/>
      <c r="DI110"/>
      <c r="DJ110"/>
      <c r="DK110"/>
      <c r="DL110"/>
      <c r="DM110"/>
      <c r="DN110"/>
      <c r="DO110"/>
      <c r="DP110"/>
      <c r="DQ110"/>
      <c r="DR110" s="27"/>
      <c r="DS110"/>
      <c r="DT110"/>
      <c r="DU110"/>
      <c r="DV110" s="27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</row>
    <row r="111" spans="2:173" s="26" customFormat="1" x14ac:dyDescent="0.25">
      <c r="B111" s="27">
        <f t="shared" si="12"/>
        <v>44138</v>
      </c>
      <c r="L111" s="12" t="str">
        <f>IF(ISNUMBER(tblData[[#This Row],[NSW]]),tblData[[#This Row],[New South Wales]]/$L$9,"")</f>
        <v/>
      </c>
      <c r="N111" s="49" t="str">
        <f>IF(ISNUMBER(tblData[Italy]),tblData[Italy]/$N$9,"")</f>
        <v/>
      </c>
      <c r="P111" s="49" t="str">
        <f>IF(ISNUMBER(tblData[US]),tblData[US]/$P$9,"")</f>
        <v/>
      </c>
      <c r="Q111" s="49"/>
      <c r="R111" s="19" t="str">
        <f>IF(ISNUMBER(tblData[SKorea]),tblData[SKorea]/$R$9,"")</f>
        <v/>
      </c>
      <c r="S111" s="49"/>
      <c r="T111" s="12" t="str">
        <f>IF(ISNUMBER(tblData[UK]),tblData[UK]/$T$9,"")</f>
        <v/>
      </c>
      <c r="V111" s="21" t="str">
        <f>IF(ISNUMBER(tblData[China]),tblData[China]/$V$9,"")</f>
        <v/>
      </c>
      <c r="W111" s="26">
        <f>IF(tblData[[#This Row],[Date]]&lt;ItalyStart,"",tblData[[#This Row],[Date]]-ItalyStart)</f>
        <v>278</v>
      </c>
      <c r="X111" s="26">
        <f t="shared" si="13"/>
        <v>268</v>
      </c>
      <c r="Y111" s="26">
        <f t="shared" ref="Y111" si="18">Y110+1</f>
        <v>100</v>
      </c>
      <c r="Z111" s="26">
        <f>IF(tblData[[#This Row],[Date]]&lt;StartDt2Korea,"",tblData[[#This Row],[Date]]-StartDt2Korea)</f>
        <v>258</v>
      </c>
      <c r="AA111" s="26">
        <f>IF(tblData[[#This Row],[Date]]&lt;UKStart,"",tblData[[#This Row],[Date]]-UKStart)</f>
        <v>278</v>
      </c>
      <c r="AB111" s="26">
        <f>IF(tblData[Date]&gt;=StartDt2Au,tblData[Date]-StartDt2Au,"")</f>
        <v>283</v>
      </c>
      <c r="AC111" s="26" t="str">
        <f>IF(tblData[New South Wales]&gt;0,SUM(tblData[[#This Row],[Australian Capital Territory]:[Western Australia]]),"")</f>
        <v/>
      </c>
      <c r="AD111" s="12" t="str">
        <f>IF(ISNUMBER(tblData[Au]),tblData[Au]/$AA$9,"")</f>
        <v/>
      </c>
      <c r="AE111" s="44">
        <f>IF(ISNUMBER(tblData[[#This Row],[Day'# Aust]]),betaAu/(deltaAu+betaPodeltaAu*EXP(-betaAu*tblData[[#This Row],[Day'# Aust]])),"")</f>
        <v>206489313.35257673</v>
      </c>
      <c r="AF111" s="73">
        <f>IF(ISNUMBER(tblData[Day'# Aust]),tblData[Au LogiP(t)]/$AD$9,"")</f>
        <v>81410390.061731875</v>
      </c>
      <c r="AG111" s="11" t="str">
        <f>IF(AND(tblData[Date]&gt;=StartDt2Au,ISNUMBER(tblData[NSW])),(tblData[[#This Row],[Au LogiP(t)]]-tblData[[#This Row],[Au]])^2,"")</f>
        <v/>
      </c>
      <c r="AH111" s="26">
        <f>IF(tblData[Date]&gt;StartDt2NSW,tblData[Date]-StartDt2NSW,"")</f>
        <v>283</v>
      </c>
      <c r="AI111" s="26" t="str">
        <f t="shared" si="14"/>
        <v/>
      </c>
      <c r="AJ111" s="11">
        <f>IF(tblData[Date]&gt;StartDt2NSW,betaNSW/(deltaNSW+betaPodeltaNSW*EXP(-betaNSW*tblData[[#This Row],[Day '# NSW]])),"")</f>
        <v>2724.7105763852951</v>
      </c>
      <c r="AK111" s="12" t="str">
        <f>IF(AND(ISNUMBER(tblData[NSW]),tblData[Date]&gt;StartDt2NSW),(tblData[[#This Row],[NSW LogiP(t)]]-tblData[[#This Row],[NSW]])^2,"")</f>
        <v/>
      </c>
      <c r="AL111" s="44">
        <f>IF(AND(tblData[Date]&gt;StartDt2NSW,ISNUMBER(tblData[Day'# Aust])),tblData[NSW LogiP(t)]/$AG$9,"")</f>
        <v>3372.1665549322956</v>
      </c>
      <c r="AM111" s="11">
        <f>IF(AND(tblData[Date]&gt;StartDt2Italy,ISNUMBER(tblData[Days'# Italy])),betaItaly/(deltaItaly+betaPodeltaItaly*EXP(-betaItaly*tblData[Days'# Italy])),"")</f>
        <v>55402.511466544704</v>
      </c>
      <c r="AN111" s="11" t="str">
        <f>IF(AND(tblData[Date]&gt;StartDt2Italy,ISNUMBER(tblData[Italy])),(tblData[[#This Row],[Italy LogiP(t)]]-tblData[[#This Row],[Italy]])^2,"")</f>
        <v/>
      </c>
      <c r="AO111" s="44">
        <f>IF(AND(tblData[Date]&gt;StartDt2Italy,ISNUMBER(tblData[Days'# Italy])),tblData[[#This Row],[Italy LogiP(t)]]/$AM$9,"")</f>
        <v>9165.0143038121932</v>
      </c>
      <c r="AP111" s="21">
        <f>IF(ISNUMBER(tblData[[#This Row],[Days'# US]]),betaUS/(deltaUS+betaPodeltaUS*EXP(-betaUS*tblData[Days'# US])),"")</f>
        <v>347695292.01456201</v>
      </c>
      <c r="AQ111" s="11" t="str">
        <f>IF(ISNUMBER(tblData[US]),(tblData[[#This Row],[US LogiP(t)]]-tblData[US])^2,"")</f>
        <v/>
      </c>
      <c r="AR111" s="21">
        <f>IF(ISNUMBER(tblData[[#This Row],[Days'# US]]),tblData[[#This Row],[US LogiP(t)]]/$AP$9,"")</f>
        <v>10560935.286862548</v>
      </c>
      <c r="AS111" s="21">
        <f>IF(tblData[Date]&gt;=StartDt2Korea,betaSKorea/(deltaSKorea+betaPodeltaSKorea*EXP(-betaSKorea*(tblData[Date]-StartDt2Korea))),"")</f>
        <v>8319.4112738168697</v>
      </c>
      <c r="AT111" s="21" t="str">
        <f>IF(AND(tblData[Date]&gt;=StartDt2Korea,ISNUMBER(tblData[SKorea])),(tblData[[#This Row],[SKorea LogiP(t)]]-tblData[[#This Row],[SKorea]])^2,"")</f>
        <v/>
      </c>
      <c r="AU111" s="21">
        <f>IF(tblData[Date]&gt;=StartDt2Korea,tblData[[#This Row],[SKorea LogiP(t)]]/$AS$9,"")</f>
        <v>1618.5625046336322</v>
      </c>
      <c r="AV111" s="85">
        <f>IF(ISNUMBER(tblData[Days'# UK]),betaUK/(deltaUK+betaPodeltaUK*EXP(-betaUK*tblData[Days'# UK])),"")</f>
        <v>230595240.64806432</v>
      </c>
      <c r="AW111" s="85" t="str">
        <f>IF(ISNUMBER(tblData[UK]),(tblData[[#This Row],[UK LogiP(t)]]-tblData[[#This Row],[UK]])^2,"")</f>
        <v/>
      </c>
      <c r="AX111" s="85">
        <f>IF(ISNUMBER(tblData[Days'# UK]),tblData[[#This Row],[UK LogiP(t)]]/$AV$9,"")</f>
        <v>34707290.886222802</v>
      </c>
      <c r="AY111" s="11">
        <f>IF(ISNUMBER(tblData[Days'# China]),betaChina/(deltaChina+betaPodeltaChina*EXP(-betaChina*tblData[Days'# China])),"")</f>
        <v>80951.340621755327</v>
      </c>
      <c r="AZ111" s="11" t="str">
        <f>IF(ISNUMBER(tblData[China]),(tblData[[#This Row],[China LogiP(t)]]-tblData[[#This Row],[China]])^2,"")</f>
        <v/>
      </c>
      <c r="BA111" s="11">
        <f>tblData[[#This Row],[China LogiP(t)]]/$AY$9</f>
        <v>562.4262029960056</v>
      </c>
      <c r="BB111" s="11"/>
      <c r="BC111" s="11"/>
      <c r="BD111" s="11" t="str">
        <f>IF(ISNUMBER(tblData[[#This Row],[NSW Number of Tests]]),tblData[[#This Row],[NSW Number of Tests]]-BB110,"")</f>
        <v/>
      </c>
      <c r="BE111" s="11" t="str">
        <f>IF(ISNUMBER(tblData[[#This Row],[NSW Under Investigation'']]),tblData[[#This Row],[NSW Under Investigation'']]-BC110,"")</f>
        <v/>
      </c>
      <c r="BF111" s="11"/>
      <c r="BG111" s="11" t="str">
        <f>IF(ISNUMBER(tblData[[#This Row],[NSW Test Day Number]]),betaTest/(deltaTest+betaPodeltaTest*EXP(-betaTest*tblData[[#This Row],[NSW Test Day Number]])),"")</f>
        <v/>
      </c>
      <c r="BH111" s="11" t="str">
        <f>IF(ISNUMBER(tblData[[#This Row],[NSW Number of Tests]]),(tblData[[#This Row],[NSW Number of Tests]]-tblData[[#This Row],[NSW Test Logi]])^2,"")</f>
        <v/>
      </c>
      <c r="DE111"/>
      <c r="DF111" s="82"/>
      <c r="DG111" s="27"/>
      <c r="DH111" s="27"/>
      <c r="DI111"/>
      <c r="DJ111"/>
      <c r="DK111"/>
      <c r="DL111"/>
      <c r="DM111"/>
      <c r="DN111"/>
      <c r="DO111"/>
      <c r="DP111"/>
      <c r="DQ111"/>
      <c r="DR111" s="27"/>
      <c r="DS111"/>
      <c r="DT111"/>
      <c r="DU111"/>
      <c r="DV111" s="27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</row>
    <row r="112" spans="2:173" x14ac:dyDescent="0.25">
      <c r="B112" s="27">
        <f t="shared" si="12"/>
        <v>44145</v>
      </c>
      <c r="L112" s="12" t="str">
        <f>IF(ISNUMBER(tblData[[#This Row],[NSW]]),tblData[[#This Row],[New South Wales]]/$L$9,"")</f>
        <v/>
      </c>
      <c r="N112" s="49" t="str">
        <f>IF(ISNUMBER(tblData[Italy]),tblData[Italy]/$N$9,"")</f>
        <v/>
      </c>
      <c r="P112" s="49" t="str">
        <f>IF(ISNUMBER(tblData[US]),tblData[US]/$P$9,"")</f>
        <v/>
      </c>
      <c r="Q112" s="49"/>
      <c r="R112" s="19" t="str">
        <f>IF(ISNUMBER(tblData[SKorea]),tblData[SKorea]/$R$9,"")</f>
        <v/>
      </c>
      <c r="S112" s="49"/>
      <c r="T112" s="12" t="str">
        <f>IF(ISNUMBER(tblData[UK]),tblData[UK]/$T$9,"")</f>
        <v/>
      </c>
      <c r="V112" s="21" t="str">
        <f>IF(ISNUMBER(tblData[China]),tblData[China]/$V$9,"")</f>
        <v/>
      </c>
      <c r="W112" s="26">
        <f>IF(tblData[[#This Row],[Date]]&lt;ItalyStart,"",tblData[[#This Row],[Date]]-ItalyStart)</f>
        <v>285</v>
      </c>
      <c r="X112" s="26">
        <f t="shared" si="13"/>
        <v>275</v>
      </c>
      <c r="Y112" s="26">
        <f t="shared" ref="Y112" si="19">Y111+1</f>
        <v>101</v>
      </c>
      <c r="Z112" s="26">
        <f>IF(tblData[[#This Row],[Date]]&lt;StartDt2Korea,"",tblData[[#This Row],[Date]]-StartDt2Korea)</f>
        <v>265</v>
      </c>
      <c r="AA112" s="26">
        <f>IF(tblData[[#This Row],[Date]]&lt;UKStart,"",tblData[[#This Row],[Date]]-UKStart)</f>
        <v>285</v>
      </c>
      <c r="AB112">
        <f>IF(tblData[Date]&gt;=StartDt2Au,tblData[Date]-StartDt2Au,"")</f>
        <v>290</v>
      </c>
      <c r="AC112" s="26" t="str">
        <f>IF(tblData[New South Wales]&gt;0,SUM(tblData[[#This Row],[Australian Capital Territory]:[Western Australia]]),"")</f>
        <v/>
      </c>
      <c r="AD112" s="12" t="str">
        <f>IF(ISNUMBER(tblData[Au]),tblData[Au]/$AA$9,"")</f>
        <v/>
      </c>
      <c r="AE112" s="44">
        <f>IF(ISNUMBER(tblData[[#This Row],[Day'# Aust]]),betaAu/(deltaAu+betaPodeltaAu*EXP(-betaAu*tblData[[#This Row],[Day'# Aust]])),"")</f>
        <v>206489313.35257688</v>
      </c>
      <c r="AF112" s="73">
        <f>IF(ISNUMBER(tblData[Day'# Aust]),tblData[Au LogiP(t)]/$AD$9,"")</f>
        <v>81410390.061731935</v>
      </c>
      <c r="AG112" s="11" t="str">
        <f>IF(AND(tblData[Date]&gt;=StartDt2Au,ISNUMBER(tblData[NSW])),(tblData[[#This Row],[Au LogiP(t)]]-tblData[[#This Row],[Au]])^2,"")</f>
        <v/>
      </c>
      <c r="AH112">
        <f>IF(tblData[Date]&gt;StartDt2NSW,tblData[Date]-StartDt2NSW,"")</f>
        <v>290</v>
      </c>
      <c r="AI112" s="26" t="str">
        <f t="shared" si="14"/>
        <v/>
      </c>
      <c r="AJ112" s="11">
        <f>IF(tblData[Date]&gt;StartDt2NSW,betaNSW/(deltaNSW+betaPodeltaNSW*EXP(-betaNSW*tblData[[#This Row],[Day '# NSW]])),"")</f>
        <v>2724.7105763852951</v>
      </c>
      <c r="AK112" s="12" t="str">
        <f>IF(AND(ISNUMBER(tblData[NSW]),tblData[Date]&gt;StartDt2NSW),(tblData[[#This Row],[NSW LogiP(t)]]-tblData[[#This Row],[NSW]])^2,"")</f>
        <v/>
      </c>
      <c r="AL112" s="44">
        <f>IF(AND(tblData[Date]&gt;StartDt2NSW,ISNUMBER(tblData[Day'# Aust])),tblData[NSW LogiP(t)]/$AG$9,"")</f>
        <v>3372.1665549322956</v>
      </c>
      <c r="AM112" s="11">
        <f>IF(AND(tblData[Date]&gt;StartDt2Italy,ISNUMBER(tblData[Days'# Italy])),betaItaly/(deltaItaly+betaPodeltaItaly*EXP(-betaItaly*tblData[Days'# Italy])),"")</f>
        <v>55402.511466544704</v>
      </c>
      <c r="AN112" s="11" t="str">
        <f>IF(AND(tblData[Date]&gt;StartDt2Italy,ISNUMBER(tblData[Italy])),(tblData[[#This Row],[Italy LogiP(t)]]-tblData[[#This Row],[Italy]])^2,"")</f>
        <v/>
      </c>
      <c r="AO112" s="44">
        <f>IF(AND(tblData[Date]&gt;StartDt2Italy,ISNUMBER(tblData[Days'# Italy])),tblData[[#This Row],[Italy LogiP(t)]]/$AM$9,"")</f>
        <v>9165.0143038121932</v>
      </c>
      <c r="AP112" s="21">
        <f>IF(ISNUMBER(tblData[[#This Row],[Days'# US]]),betaUS/(deltaUS+betaPodeltaUS*EXP(-betaUS*tblData[Days'# US])),"")</f>
        <v>347695292.01456201</v>
      </c>
      <c r="AQ112" s="11" t="str">
        <f>IF(ISNUMBER(tblData[US]),(tblData[[#This Row],[US LogiP(t)]]-tblData[US])^2,"")</f>
        <v/>
      </c>
      <c r="AR112" s="21">
        <f>IF(ISNUMBER(tblData[[#This Row],[Days'# US]]),tblData[[#This Row],[US LogiP(t)]]/$AP$9,"")</f>
        <v>10560935.286862548</v>
      </c>
      <c r="AS112" s="21">
        <f>IF(tblData[Date]&gt;=StartDt2Korea,betaSKorea/(deltaSKorea+betaPodeltaSKorea*EXP(-betaSKorea*(tblData[Date]-StartDt2Korea))),"")</f>
        <v>8319.4112738168697</v>
      </c>
      <c r="AT112" s="21" t="str">
        <f>IF(AND(tblData[Date]&gt;=StartDt2Korea,ISNUMBER(tblData[SKorea])),(tblData[[#This Row],[SKorea LogiP(t)]]-tblData[[#This Row],[SKorea]])^2,"")</f>
        <v/>
      </c>
      <c r="AU112" s="21">
        <f>IF(tblData[Date]&gt;=StartDt2Korea,tblData[[#This Row],[SKorea LogiP(t)]]/$AS$9,"")</f>
        <v>1618.5625046336322</v>
      </c>
      <c r="AV112" s="85">
        <f>IF(ISNUMBER(tblData[Days'# UK]),betaUK/(deltaUK+betaPodeltaUK*EXP(-betaUK*tblData[Days'# UK])),"")</f>
        <v>230595240.64806432</v>
      </c>
      <c r="AW112" s="85" t="str">
        <f>IF(ISNUMBER(tblData[UK]),(tblData[[#This Row],[UK LogiP(t)]]-tblData[[#This Row],[UK]])^2,"")</f>
        <v/>
      </c>
      <c r="AX112" s="85">
        <f>IF(ISNUMBER(tblData[Days'# UK]),tblData[[#This Row],[UK LogiP(t)]]/$AV$9,"")</f>
        <v>34707290.886222802</v>
      </c>
      <c r="AY112" s="11">
        <f>IF(ISNUMBER(tblData[Days'# China]),betaChina/(deltaChina+betaPodeltaChina*EXP(-betaChina*tblData[Days'# China])),"")</f>
        <v>80951.340809255562</v>
      </c>
      <c r="AZ112" s="11" t="str">
        <f>IF(ISNUMBER(tblData[China]),(tblData[[#This Row],[China LogiP(t)]]-tblData[[#This Row],[China]])^2,"")</f>
        <v/>
      </c>
      <c r="BA112" s="11">
        <f>tblData[[#This Row],[China LogiP(t)]]/$AY$9</f>
        <v>562.42620429870226</v>
      </c>
      <c r="BB112" s="11"/>
      <c r="BC112" s="11"/>
      <c r="BD112" s="11" t="str">
        <f>IF(ISNUMBER(tblData[[#This Row],[NSW Number of Tests]]),tblData[[#This Row],[NSW Number of Tests]]-BB111,"")</f>
        <v/>
      </c>
      <c r="BE112" s="11" t="str">
        <f>IF(ISNUMBER(tblData[[#This Row],[NSW Under Investigation'']]),tblData[[#This Row],[NSW Under Investigation'']]-BC111,"")</f>
        <v/>
      </c>
      <c r="BF112" s="11"/>
      <c r="BG112" s="11" t="str">
        <f>IF(ISNUMBER(tblData[[#This Row],[NSW Test Day Number]]),betaTest/(deltaTest+betaPodeltaTest*EXP(-betaTest*tblData[[#This Row],[NSW Test Day Number]])),"")</f>
        <v/>
      </c>
      <c r="BH112" s="11" t="str">
        <f>IF(ISNUMBER(tblData[[#This Row],[NSW Number of Tests]]),(tblData[[#This Row],[NSW Number of Tests]]-tblData[[#This Row],[NSW Test Logi]])^2,"")</f>
        <v/>
      </c>
      <c r="BK112" s="26"/>
      <c r="BM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</row>
    <row r="113" spans="2:173" x14ac:dyDescent="0.25">
      <c r="B113" s="27">
        <f t="shared" si="12"/>
        <v>44152</v>
      </c>
      <c r="L113" s="12" t="str">
        <f>IF(ISNUMBER(tblData[[#This Row],[NSW]]),tblData[[#This Row],[New South Wales]]/$L$9,"")</f>
        <v/>
      </c>
      <c r="N113" s="49" t="str">
        <f>IF(ISNUMBER(tblData[Italy]),tblData[Italy]/$N$9,"")</f>
        <v/>
      </c>
      <c r="P113" s="49" t="str">
        <f>IF(ISNUMBER(tblData[US]),tblData[US]/$P$9,"")</f>
        <v/>
      </c>
      <c r="Q113" s="49"/>
      <c r="R113" s="19" t="str">
        <f>IF(ISNUMBER(tblData[SKorea]),tblData[SKorea]/$R$9,"")</f>
        <v/>
      </c>
      <c r="S113" s="49"/>
      <c r="T113" s="12" t="str">
        <f>IF(ISNUMBER(tblData[UK]),tblData[UK]/$T$9,"")</f>
        <v/>
      </c>
      <c r="V113" s="21" t="str">
        <f>IF(ISNUMBER(tblData[China]),tblData[China]/$V$9,"")</f>
        <v/>
      </c>
      <c r="W113" s="26">
        <f>IF(tblData[[#This Row],[Date]]&lt;ItalyStart,"",tblData[[#This Row],[Date]]-ItalyStart)</f>
        <v>292</v>
      </c>
      <c r="X113" s="26">
        <f t="shared" si="13"/>
        <v>282</v>
      </c>
      <c r="Y113" s="26">
        <f t="shared" ref="Y113" si="20">Y112+1</f>
        <v>102</v>
      </c>
      <c r="Z113" s="26">
        <f>IF(tblData[[#This Row],[Date]]&lt;StartDt2Korea,"",tblData[[#This Row],[Date]]-StartDt2Korea)</f>
        <v>272</v>
      </c>
      <c r="AA113" s="26">
        <f>IF(tblData[[#This Row],[Date]]&lt;UKStart,"",tblData[[#This Row],[Date]]-UKStart)</f>
        <v>292</v>
      </c>
      <c r="AB113">
        <f>IF(tblData[Date]&gt;=StartDt2Au,tblData[Date]-StartDt2Au,"")</f>
        <v>297</v>
      </c>
      <c r="AC113" s="26" t="str">
        <f>IF(tblData[New South Wales]&gt;0,SUM(tblData[[#This Row],[Australian Capital Territory]:[Western Australia]]),"")</f>
        <v/>
      </c>
      <c r="AD113" s="12" t="str">
        <f>IF(ISNUMBER(tblData[Au]),tblData[Au]/$AA$9,"")</f>
        <v/>
      </c>
      <c r="AE113" s="44">
        <f>IF(ISNUMBER(tblData[[#This Row],[Day'# Aust]]),betaAu/(deltaAu+betaPodeltaAu*EXP(-betaAu*tblData[[#This Row],[Day'# Aust]])),"")</f>
        <v>206489313.35257691</v>
      </c>
      <c r="AF113" s="73">
        <f>IF(ISNUMBER(tblData[Day'# Aust]),tblData[Au LogiP(t)]/$AD$9,"")</f>
        <v>81410390.061731949</v>
      </c>
      <c r="AG113" s="11" t="str">
        <f>IF(AND(tblData[Date]&gt;=StartDt2Au,ISNUMBER(tblData[NSW])),(tblData[[#This Row],[Au LogiP(t)]]-tblData[[#This Row],[Au]])^2,"")</f>
        <v/>
      </c>
      <c r="AH113">
        <f>IF(tblData[Date]&gt;StartDt2NSW,tblData[Date]-StartDt2NSW,"")</f>
        <v>297</v>
      </c>
      <c r="AI113" s="26" t="str">
        <f t="shared" si="14"/>
        <v/>
      </c>
      <c r="AJ113" s="11">
        <f>IF(tblData[Date]&gt;StartDt2NSW,betaNSW/(deltaNSW+betaPodeltaNSW*EXP(-betaNSW*tblData[[#This Row],[Day '# NSW]])),"")</f>
        <v>2724.7105763852951</v>
      </c>
      <c r="AK113" s="12" t="str">
        <f>IF(AND(ISNUMBER(tblData[NSW]),tblData[Date]&gt;StartDt2NSW),(tblData[[#This Row],[NSW LogiP(t)]]-tblData[[#This Row],[NSW]])^2,"")</f>
        <v/>
      </c>
      <c r="AL113" s="44">
        <f>IF(AND(tblData[Date]&gt;StartDt2NSW,ISNUMBER(tblData[Day'# Aust])),tblData[NSW LogiP(t)]/$AG$9,"")</f>
        <v>3372.1665549322956</v>
      </c>
      <c r="AM113" s="11">
        <f>IF(AND(tblData[Date]&gt;StartDt2Italy,ISNUMBER(tblData[Days'# Italy])),betaItaly/(deltaItaly+betaPodeltaItaly*EXP(-betaItaly*tblData[Days'# Italy])),"")</f>
        <v>55402.511466544704</v>
      </c>
      <c r="AN113" s="11" t="str">
        <f>IF(AND(tblData[Date]&gt;StartDt2Italy,ISNUMBER(tblData[Italy])),(tblData[[#This Row],[Italy LogiP(t)]]-tblData[[#This Row],[Italy]])^2,"")</f>
        <v/>
      </c>
      <c r="AO113" s="44">
        <f>IF(AND(tblData[Date]&gt;StartDt2Italy,ISNUMBER(tblData[Days'# Italy])),tblData[[#This Row],[Italy LogiP(t)]]/$AM$9,"")</f>
        <v>9165.0143038121932</v>
      </c>
      <c r="AP113" s="21">
        <f>IF(ISNUMBER(tblData[[#This Row],[Days'# US]]),betaUS/(deltaUS+betaPodeltaUS*EXP(-betaUS*tblData[Days'# US])),"")</f>
        <v>347695292.01456201</v>
      </c>
      <c r="AQ113" s="11" t="str">
        <f>IF(ISNUMBER(tblData[US]),(tblData[[#This Row],[US LogiP(t)]]-tblData[US])^2,"")</f>
        <v/>
      </c>
      <c r="AR113" s="21">
        <f>IF(ISNUMBER(tblData[[#This Row],[Days'# US]]),tblData[[#This Row],[US LogiP(t)]]/$AP$9,"")</f>
        <v>10560935.286862548</v>
      </c>
      <c r="AS113" s="21">
        <f>IF(tblData[Date]&gt;=StartDt2Korea,betaSKorea/(deltaSKorea+betaPodeltaSKorea*EXP(-betaSKorea*(tblData[Date]-StartDt2Korea))),"")</f>
        <v>8319.4112738168697</v>
      </c>
      <c r="AT113" s="21" t="str">
        <f>IF(AND(tblData[Date]&gt;=StartDt2Korea,ISNUMBER(tblData[SKorea])),(tblData[[#This Row],[SKorea LogiP(t)]]-tblData[[#This Row],[SKorea]])^2,"")</f>
        <v/>
      </c>
      <c r="AU113" s="21">
        <f>IF(tblData[Date]&gt;=StartDt2Korea,tblData[[#This Row],[SKorea LogiP(t)]]/$AS$9,"")</f>
        <v>1618.5625046336322</v>
      </c>
      <c r="AV113" s="85">
        <f>IF(ISNUMBER(tblData[Days'# UK]),betaUK/(deltaUK+betaPodeltaUK*EXP(-betaUK*tblData[Days'# UK])),"")</f>
        <v>230595240.64806432</v>
      </c>
      <c r="AW113" s="85" t="str">
        <f>IF(ISNUMBER(tblData[UK]),(tblData[[#This Row],[UK LogiP(t)]]-tblData[[#This Row],[UK]])^2,"")</f>
        <v/>
      </c>
      <c r="AX113" s="85">
        <f>IF(ISNUMBER(tblData[Days'# UK]),tblData[[#This Row],[UK LogiP(t)]]/$AV$9,"")</f>
        <v>34707290.886222802</v>
      </c>
      <c r="AY113" s="11">
        <f>IF(ISNUMBER(tblData[Days'# China]),betaChina/(deltaChina+betaPodeltaChina*EXP(-betaChina*tblData[Days'# China])),"")</f>
        <v>80951.340959405905</v>
      </c>
      <c r="AZ113" s="11" t="str">
        <f>IF(ISNUMBER(tblData[China]),(tblData[[#This Row],[China LogiP(t)]]-tblData[[#This Row],[China]])^2,"")</f>
        <v/>
      </c>
      <c r="BA113" s="11">
        <f>tblData[[#This Row],[China LogiP(t)]]/$AY$9</f>
        <v>562.42620534190291</v>
      </c>
      <c r="BB113" s="11"/>
      <c r="BC113" s="11"/>
      <c r="BD113" s="11" t="str">
        <f>IF(ISNUMBER(tblData[[#This Row],[NSW Number of Tests]]),tblData[[#This Row],[NSW Number of Tests]]-BB112,"")</f>
        <v/>
      </c>
      <c r="BE113" s="11" t="str">
        <f>IF(ISNUMBER(tblData[[#This Row],[NSW Under Investigation'']]),tblData[[#This Row],[NSW Under Investigation'']]-BC112,"")</f>
        <v/>
      </c>
      <c r="BF113" s="11"/>
      <c r="BG113" s="11" t="str">
        <f>IF(ISNUMBER(tblData[[#This Row],[NSW Test Day Number]]),betaTest/(deltaTest+betaPodeltaTest*EXP(-betaTest*tblData[[#This Row],[NSW Test Day Number]])),"")</f>
        <v/>
      </c>
      <c r="BH113" s="11" t="str">
        <f>IF(ISNUMBER(tblData[[#This Row],[NSW Number of Tests]]),(tblData[[#This Row],[NSW Number of Tests]]-tblData[[#This Row],[NSW Test Logi]])^2,"")</f>
        <v/>
      </c>
      <c r="BK113" s="26"/>
      <c r="BM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</row>
    <row r="114" spans="2:173" x14ac:dyDescent="0.25">
      <c r="B114" s="27">
        <f t="shared" si="12"/>
        <v>44159</v>
      </c>
      <c r="L114" s="12" t="str">
        <f>IF(ISNUMBER(tblData[[#This Row],[NSW]]),tblData[[#This Row],[New South Wales]]/$L$9,"")</f>
        <v/>
      </c>
      <c r="N114" s="49" t="str">
        <f>IF(ISNUMBER(tblData[Italy]),tblData[Italy]/$N$9,"")</f>
        <v/>
      </c>
      <c r="P114" s="49" t="str">
        <f>IF(ISNUMBER(tblData[US]),tblData[US]/$P$9,"")</f>
        <v/>
      </c>
      <c r="Q114" s="49"/>
      <c r="R114" s="19" t="str">
        <f>IF(ISNUMBER(tblData[SKorea]),tblData[SKorea]/$R$9,"")</f>
        <v/>
      </c>
      <c r="S114" s="49"/>
      <c r="T114" s="12" t="str">
        <f>IF(ISNUMBER(tblData[UK]),tblData[UK]/$T$9,"")</f>
        <v/>
      </c>
      <c r="V114" s="21" t="str">
        <f>IF(ISNUMBER(tblData[China]),tblData[China]/$V$9,"")</f>
        <v/>
      </c>
      <c r="W114" s="26">
        <f>IF(tblData[[#This Row],[Date]]&lt;ItalyStart,"",tblData[[#This Row],[Date]]-ItalyStart)</f>
        <v>299</v>
      </c>
      <c r="X114" s="26">
        <f t="shared" si="13"/>
        <v>289</v>
      </c>
      <c r="Y114" s="26">
        <f t="shared" ref="Y114" si="21">Y113+1</f>
        <v>103</v>
      </c>
      <c r="Z114" s="26">
        <f>IF(tblData[[#This Row],[Date]]&lt;StartDt2Korea,"",tblData[[#This Row],[Date]]-StartDt2Korea)</f>
        <v>279</v>
      </c>
      <c r="AA114" s="26">
        <f>IF(tblData[[#This Row],[Date]]&lt;UKStart,"",tblData[[#This Row],[Date]]-UKStart)</f>
        <v>299</v>
      </c>
      <c r="AB114">
        <f>IF(tblData[Date]&gt;=StartDt2Au,tblData[Date]-StartDt2Au,"")</f>
        <v>304</v>
      </c>
      <c r="AC114" s="26" t="str">
        <f>IF(tblData[New South Wales]&gt;0,SUM(tblData[[#This Row],[Australian Capital Territory]:[Western Australia]]),"")</f>
        <v/>
      </c>
      <c r="AD114" s="12" t="str">
        <f>IF(ISNUMBER(tblData[Au]),tblData[Au]/$AA$9,"")</f>
        <v/>
      </c>
      <c r="AE114" s="44">
        <f>IF(ISNUMBER(tblData[[#This Row],[Day'# Aust]]),betaAu/(deltaAu+betaPodeltaAu*EXP(-betaAu*tblData[[#This Row],[Day'# Aust]])),"")</f>
        <v>206489313.35257691</v>
      </c>
      <c r="AF114" s="73">
        <f>IF(ISNUMBER(tblData[Day'# Aust]),tblData[Au LogiP(t)]/$AD$9,"")</f>
        <v>81410390.061731949</v>
      </c>
      <c r="AG114" s="11" t="str">
        <f>IF(AND(tblData[Date]&gt;=StartDt2Au,ISNUMBER(tblData[NSW])),(tblData[[#This Row],[Au LogiP(t)]]-tblData[[#This Row],[Au]])^2,"")</f>
        <v/>
      </c>
      <c r="AH114">
        <f>IF(tblData[Date]&gt;StartDt2NSW,tblData[Date]-StartDt2NSW,"")</f>
        <v>304</v>
      </c>
      <c r="AI114" s="26" t="str">
        <f t="shared" si="14"/>
        <v/>
      </c>
      <c r="AJ114" s="11">
        <f>IF(tblData[Date]&gt;StartDt2NSW,betaNSW/(deltaNSW+betaPodeltaNSW*EXP(-betaNSW*tblData[[#This Row],[Day '# NSW]])),"")</f>
        <v>2724.7105763852951</v>
      </c>
      <c r="AK114" s="12" t="str">
        <f>IF(AND(ISNUMBER(tblData[NSW]),tblData[Date]&gt;StartDt2NSW),(tblData[[#This Row],[NSW LogiP(t)]]-tblData[[#This Row],[NSW]])^2,"")</f>
        <v/>
      </c>
      <c r="AL114" s="44">
        <f>IF(AND(tblData[Date]&gt;StartDt2NSW,ISNUMBER(tblData[Day'# Aust])),tblData[NSW LogiP(t)]/$AG$9,"")</f>
        <v>3372.1665549322956</v>
      </c>
      <c r="AM114" s="11">
        <f>IF(AND(tblData[Date]&gt;StartDt2Italy,ISNUMBER(tblData[Days'# Italy])),betaItaly/(deltaItaly+betaPodeltaItaly*EXP(-betaItaly*tblData[Days'# Italy])),"")</f>
        <v>55402.511466544704</v>
      </c>
      <c r="AN114" s="11" t="str">
        <f>IF(AND(tblData[Date]&gt;StartDt2Italy,ISNUMBER(tblData[Italy])),(tblData[[#This Row],[Italy LogiP(t)]]-tblData[[#This Row],[Italy]])^2,"")</f>
        <v/>
      </c>
      <c r="AO114" s="44">
        <f>IF(AND(tblData[Date]&gt;StartDt2Italy,ISNUMBER(tblData[Days'# Italy])),tblData[[#This Row],[Italy LogiP(t)]]/$AM$9,"")</f>
        <v>9165.0143038121932</v>
      </c>
      <c r="AP114" s="21">
        <f>IF(ISNUMBER(tblData[[#This Row],[Days'# US]]),betaUS/(deltaUS+betaPodeltaUS*EXP(-betaUS*tblData[Days'# US])),"")</f>
        <v>347695292.01456201</v>
      </c>
      <c r="AQ114" s="11" t="str">
        <f>IF(ISNUMBER(tblData[US]),(tblData[[#This Row],[US LogiP(t)]]-tblData[US])^2,"")</f>
        <v/>
      </c>
      <c r="AR114" s="21">
        <f>IF(ISNUMBER(tblData[[#This Row],[Days'# US]]),tblData[[#This Row],[US LogiP(t)]]/$AP$9,"")</f>
        <v>10560935.286862548</v>
      </c>
      <c r="AS114" s="21">
        <f>IF(tblData[Date]&gt;=StartDt2Korea,betaSKorea/(deltaSKorea+betaPodeltaSKorea*EXP(-betaSKorea*(tblData[Date]-StartDt2Korea))),"")</f>
        <v>8319.4112738168697</v>
      </c>
      <c r="AT114" s="21" t="str">
        <f>IF(AND(tblData[Date]&gt;=StartDt2Korea,ISNUMBER(tblData[SKorea])),(tblData[[#This Row],[SKorea LogiP(t)]]-tblData[[#This Row],[SKorea]])^2,"")</f>
        <v/>
      </c>
      <c r="AU114" s="21">
        <f>IF(tblData[Date]&gt;=StartDt2Korea,tblData[[#This Row],[SKorea LogiP(t)]]/$AS$9,"")</f>
        <v>1618.5625046336322</v>
      </c>
      <c r="AV114" s="85">
        <f>IF(ISNUMBER(tblData[Days'# UK]),betaUK/(deltaUK+betaPodeltaUK*EXP(-betaUK*tblData[Days'# UK])),"")</f>
        <v>230595240.64806432</v>
      </c>
      <c r="AW114" s="85" t="str">
        <f>IF(ISNUMBER(tblData[UK]),(tblData[[#This Row],[UK LogiP(t)]]-tblData[[#This Row],[UK]])^2,"")</f>
        <v/>
      </c>
      <c r="AX114" s="85">
        <f>IF(ISNUMBER(tblData[Days'# UK]),tblData[[#This Row],[UK LogiP(t)]]/$AV$9,"")</f>
        <v>34707290.886222802</v>
      </c>
      <c r="AY114" s="11">
        <f>IF(ISNUMBER(tblData[Days'# China]),betaChina/(deltaChina+betaPodeltaChina*EXP(-betaChina*tblData[Days'# China])),"")</f>
        <v>80951.34107964643</v>
      </c>
      <c r="AZ114" s="11" t="str">
        <f>IF(ISNUMBER(tblData[China]),(tblData[[#This Row],[China LogiP(t)]]-tblData[[#This Row],[China]])^2,"")</f>
        <v/>
      </c>
      <c r="BA114" s="11">
        <f>tblData[[#This Row],[China LogiP(t)]]/$AY$9</f>
        <v>562.42620617729892</v>
      </c>
      <c r="BB114" s="11"/>
      <c r="BC114" s="11"/>
      <c r="BD114" s="11" t="str">
        <f>IF(ISNUMBER(tblData[[#This Row],[NSW Number of Tests]]),tblData[[#This Row],[NSW Number of Tests]]-BB113,"")</f>
        <v/>
      </c>
      <c r="BE114" s="11" t="str">
        <f>IF(ISNUMBER(tblData[[#This Row],[NSW Under Investigation'']]),tblData[[#This Row],[NSW Under Investigation'']]-BC113,"")</f>
        <v/>
      </c>
      <c r="BF114" s="11"/>
      <c r="BG114" s="11" t="str">
        <f>IF(ISNUMBER(tblData[[#This Row],[NSW Test Day Number]]),betaTest/(deltaTest+betaPodeltaTest*EXP(-betaTest*tblData[[#This Row],[NSW Test Day Number]])),"")</f>
        <v/>
      </c>
      <c r="BH114" s="11" t="str">
        <f>IF(ISNUMBER(tblData[[#This Row],[NSW Number of Tests]]),(tblData[[#This Row],[NSW Number of Tests]]-tblData[[#This Row],[NSW Test Logi]])^2,"")</f>
        <v/>
      </c>
      <c r="BY114"/>
      <c r="BZ114"/>
      <c r="CJ114" s="26"/>
      <c r="CK114" s="26"/>
    </row>
    <row r="115" spans="2:173" x14ac:dyDescent="0.25">
      <c r="B115" s="27">
        <f t="shared" si="12"/>
        <v>44166</v>
      </c>
      <c r="L115" s="12" t="str">
        <f>IF(ISNUMBER(tblData[[#This Row],[NSW]]),tblData[[#This Row],[New South Wales]]/$L$9,"")</f>
        <v/>
      </c>
      <c r="N115" s="49" t="str">
        <f>IF(ISNUMBER(tblData[Italy]),tblData[Italy]/$N$9,"")</f>
        <v/>
      </c>
      <c r="P115" s="49" t="str">
        <f>IF(ISNUMBER(tblData[US]),tblData[US]/$P$9,"")</f>
        <v/>
      </c>
      <c r="Q115" s="49"/>
      <c r="R115" s="19" t="str">
        <f>IF(ISNUMBER(tblData[SKorea]),tblData[SKorea]/$R$9,"")</f>
        <v/>
      </c>
      <c r="S115" s="49"/>
      <c r="T115" s="12" t="str">
        <f>IF(ISNUMBER(tblData[UK]),tblData[UK]/$T$9,"")</f>
        <v/>
      </c>
      <c r="V115" s="21" t="str">
        <f>IF(ISNUMBER(tblData[China]),tblData[China]/$V$9,"")</f>
        <v/>
      </c>
      <c r="W115" s="26">
        <f>IF(tblData[[#This Row],[Date]]&lt;ItalyStart,"",tblData[[#This Row],[Date]]-ItalyStart)</f>
        <v>306</v>
      </c>
      <c r="X115" s="26">
        <f t="shared" si="13"/>
        <v>296</v>
      </c>
      <c r="Y115" s="26">
        <f t="shared" ref="Y115" si="22">Y114+1</f>
        <v>104</v>
      </c>
      <c r="Z115" s="26">
        <f>IF(tblData[[#This Row],[Date]]&lt;StartDt2Korea,"",tblData[[#This Row],[Date]]-StartDt2Korea)</f>
        <v>286</v>
      </c>
      <c r="AA115" s="26">
        <f>IF(tblData[[#This Row],[Date]]&lt;UKStart,"",tblData[[#This Row],[Date]]-UKStart)</f>
        <v>306</v>
      </c>
      <c r="AB115" s="26">
        <f>IF(tblData[Date]&gt;=StartDt2Au,tblData[Date]-StartDt2Au,"")</f>
        <v>311</v>
      </c>
      <c r="AC115" s="26" t="str">
        <f>IF(tblData[New South Wales]&gt;0,SUM(tblData[[#This Row],[Australian Capital Territory]:[Western Australia]]),"")</f>
        <v/>
      </c>
      <c r="AD115" s="12" t="str">
        <f>IF(ISNUMBER(tblData[Au]),tblData[Au]/$AA$9,"")</f>
        <v/>
      </c>
      <c r="AE115" s="44">
        <f>IF(ISNUMBER(tblData[[#This Row],[Day'# Aust]]),betaAu/(deltaAu+betaPodeltaAu*EXP(-betaAu*tblData[[#This Row],[Day'# Aust]])),"")</f>
        <v>206489313.35257691</v>
      </c>
      <c r="AF115" s="73">
        <f>IF(ISNUMBER(tblData[Day'# Aust]),tblData[Au LogiP(t)]/$AD$9,"")</f>
        <v>81410390.061731949</v>
      </c>
      <c r="AG115" s="11" t="str">
        <f>IF(AND(tblData[Date]&gt;=StartDt2Au,ISNUMBER(tblData[NSW])),(tblData[[#This Row],[Au LogiP(t)]]-tblData[[#This Row],[Au]])^2,"")</f>
        <v/>
      </c>
      <c r="AH115" s="26">
        <f>IF(tblData[Date]&gt;StartDt2NSW,tblData[Date]-StartDt2NSW,"")</f>
        <v>311</v>
      </c>
      <c r="AI115" s="26" t="str">
        <f t="shared" si="14"/>
        <v/>
      </c>
      <c r="AJ115" s="11">
        <f>IF(tblData[Date]&gt;StartDt2NSW,betaNSW/(deltaNSW+betaPodeltaNSW*EXP(-betaNSW*tblData[[#This Row],[Day '# NSW]])),"")</f>
        <v>2724.7105763852951</v>
      </c>
      <c r="AK115" s="12" t="str">
        <f>IF(AND(ISNUMBER(tblData[NSW]),tblData[Date]&gt;StartDt2NSW),(tblData[[#This Row],[NSW LogiP(t)]]-tblData[[#This Row],[NSW]])^2,"")</f>
        <v/>
      </c>
      <c r="AL115" s="44">
        <f>IF(AND(tblData[Date]&gt;StartDt2NSW,ISNUMBER(tblData[Day'# Aust])),tblData[NSW LogiP(t)]/$AG$9,"")</f>
        <v>3372.1665549322956</v>
      </c>
      <c r="AM115" s="11">
        <f>IF(AND(tblData[Date]&gt;StartDt2Italy,ISNUMBER(tblData[Days'# Italy])),betaItaly/(deltaItaly+betaPodeltaItaly*EXP(-betaItaly*tblData[Days'# Italy])),"")</f>
        <v>55402.511466544704</v>
      </c>
      <c r="AN115" s="11" t="str">
        <f>IF(AND(tblData[Date]&gt;StartDt2Italy,ISNUMBER(tblData[Italy])),(tblData[[#This Row],[Italy LogiP(t)]]-tblData[[#This Row],[Italy]])^2,"")</f>
        <v/>
      </c>
      <c r="AO115" s="44">
        <f>IF(AND(tblData[Date]&gt;StartDt2Italy,ISNUMBER(tblData[Days'# Italy])),tblData[[#This Row],[Italy LogiP(t)]]/$AM$9,"")</f>
        <v>9165.0143038121932</v>
      </c>
      <c r="AP115" s="21">
        <f>IF(ISNUMBER(tblData[[#This Row],[Days'# US]]),betaUS/(deltaUS+betaPodeltaUS*EXP(-betaUS*tblData[Days'# US])),"")</f>
        <v>347695292.01456201</v>
      </c>
      <c r="AQ115" s="11" t="str">
        <f>IF(ISNUMBER(tblData[US]),(tblData[[#This Row],[US LogiP(t)]]-tblData[US])^2,"")</f>
        <v/>
      </c>
      <c r="AR115" s="21">
        <f>IF(ISNUMBER(tblData[[#This Row],[Days'# US]]),tblData[[#This Row],[US LogiP(t)]]/$AP$9,"")</f>
        <v>10560935.286862548</v>
      </c>
      <c r="AS115" s="21">
        <f>IF(tblData[Date]&gt;=StartDt2Korea,betaSKorea/(deltaSKorea+betaPodeltaSKorea*EXP(-betaSKorea*(tblData[Date]-StartDt2Korea))),"")</f>
        <v>8319.4112738168697</v>
      </c>
      <c r="AT115" s="21" t="str">
        <f>IF(AND(tblData[Date]&gt;=StartDt2Korea,ISNUMBER(tblData[SKorea])),(tblData[[#This Row],[SKorea LogiP(t)]]-tblData[[#This Row],[SKorea]])^2,"")</f>
        <v/>
      </c>
      <c r="AU115" s="21">
        <f>IF(tblData[Date]&gt;=StartDt2Korea,tblData[[#This Row],[SKorea LogiP(t)]]/$AS$9,"")</f>
        <v>1618.5625046336322</v>
      </c>
      <c r="AV115" s="85">
        <f>IF(ISNUMBER(tblData[Days'# UK]),betaUK/(deltaUK+betaPodeltaUK*EXP(-betaUK*tblData[Days'# UK])),"")</f>
        <v>230595240.64806432</v>
      </c>
      <c r="AW115" s="85" t="str">
        <f>IF(ISNUMBER(tblData[UK]),(tblData[[#This Row],[UK LogiP(t)]]-tblData[[#This Row],[UK]])^2,"")</f>
        <v/>
      </c>
      <c r="AX115" s="85">
        <f>IF(ISNUMBER(tblData[Days'# UK]),tblData[[#This Row],[UK LogiP(t)]]/$AV$9,"")</f>
        <v>34707290.886222802</v>
      </c>
      <c r="AY115" s="11">
        <f>IF(ISNUMBER(tblData[Days'# China]),betaChina/(deltaChina+betaPodeltaChina*EXP(-betaChina*tblData[Days'# China])),"")</f>
        <v>80951.341175935129</v>
      </c>
      <c r="AZ115" s="11" t="str">
        <f>IF(ISNUMBER(tblData[China]),(tblData[[#This Row],[China LogiP(t)]]-tblData[[#This Row],[China]])^2,"")</f>
        <v/>
      </c>
      <c r="BA115" s="11">
        <f>tblData[[#This Row],[China LogiP(t)]]/$AY$9</f>
        <v>562.42620684628457</v>
      </c>
      <c r="BB115" s="11"/>
      <c r="BC115" s="11"/>
      <c r="BD115" s="11" t="str">
        <f>IF(ISNUMBER(tblData[[#This Row],[NSW Number of Tests]]),tblData[[#This Row],[NSW Number of Tests]]-BB114,"")</f>
        <v/>
      </c>
      <c r="BE115" s="11" t="str">
        <f>IF(ISNUMBER(tblData[[#This Row],[NSW Under Investigation'']]),tblData[[#This Row],[NSW Under Investigation'']]-BC114,"")</f>
        <v/>
      </c>
      <c r="BF115" s="11"/>
      <c r="BG115" s="11" t="str">
        <f>IF(ISNUMBER(tblData[[#This Row],[NSW Test Day Number]]),betaTest/(deltaTest+betaPodeltaTest*EXP(-betaTest*tblData[[#This Row],[NSW Test Day Number]])),"")</f>
        <v/>
      </c>
      <c r="BH115" s="11" t="str">
        <f>IF(ISNUMBER(tblData[[#This Row],[NSW Number of Tests]]),(tblData[[#This Row],[NSW Number of Tests]]-tblData[[#This Row],[NSW Test Logi]])^2,"")</f>
        <v/>
      </c>
      <c r="BY115"/>
      <c r="BZ115"/>
      <c r="CJ115" s="26"/>
      <c r="CK115" s="26"/>
    </row>
    <row r="116" spans="2:173" x14ac:dyDescent="0.25">
      <c r="B116" s="27">
        <f t="shared" si="12"/>
        <v>44173</v>
      </c>
      <c r="L116" s="12" t="str">
        <f>IF(ISNUMBER(tblData[[#This Row],[NSW]]),tblData[[#This Row],[New South Wales]]/$L$9,"")</f>
        <v/>
      </c>
      <c r="N116" s="49" t="str">
        <f>IF(ISNUMBER(tblData[Italy]),tblData[Italy]/$N$9,"")</f>
        <v/>
      </c>
      <c r="P116" s="49" t="str">
        <f>IF(ISNUMBER(tblData[US]),tblData[US]/$P$9,"")</f>
        <v/>
      </c>
      <c r="Q116" s="49"/>
      <c r="R116" s="19" t="str">
        <f>IF(ISNUMBER(tblData[SKorea]),tblData[SKorea]/$R$9,"")</f>
        <v/>
      </c>
      <c r="S116" s="49"/>
      <c r="T116" s="12" t="str">
        <f>IF(ISNUMBER(tblData[UK]),tblData[UK]/$T$9,"")</f>
        <v/>
      </c>
      <c r="V116" s="21" t="str">
        <f>IF(ISNUMBER(tblData[China]),tblData[China]/$V$9,"")</f>
        <v/>
      </c>
      <c r="W116" s="26">
        <f>IF(tblData[[#This Row],[Date]]&lt;ItalyStart,"",tblData[[#This Row],[Date]]-ItalyStart)</f>
        <v>313</v>
      </c>
      <c r="X116" s="26">
        <f t="shared" si="13"/>
        <v>303</v>
      </c>
      <c r="Y116" s="26">
        <f t="shared" ref="Y116" si="23">Y115+1</f>
        <v>105</v>
      </c>
      <c r="Z116" s="26">
        <f>IF(tblData[[#This Row],[Date]]&lt;StartDt2Korea,"",tblData[[#This Row],[Date]]-StartDt2Korea)</f>
        <v>293</v>
      </c>
      <c r="AA116" s="26">
        <f>IF(tblData[[#This Row],[Date]]&lt;UKStart,"",tblData[[#This Row],[Date]]-UKStart)</f>
        <v>313</v>
      </c>
      <c r="AB116" s="26">
        <f>IF(tblData[Date]&gt;=StartDt2Au,tblData[Date]-StartDt2Au,"")</f>
        <v>318</v>
      </c>
      <c r="AC116" s="26" t="str">
        <f>IF(tblData[New South Wales]&gt;0,SUM(tblData[[#This Row],[Australian Capital Territory]:[Western Australia]]),"")</f>
        <v/>
      </c>
      <c r="AD116" s="12" t="str">
        <f>IF(ISNUMBER(tblData[Au]),tblData[Au]/$AA$9,"")</f>
        <v/>
      </c>
      <c r="AE116" s="44">
        <f>IF(ISNUMBER(tblData[[#This Row],[Day'# Aust]]),betaAu/(deltaAu+betaPodeltaAu*EXP(-betaAu*tblData[[#This Row],[Day'# Aust]])),"")</f>
        <v>206489313.35257691</v>
      </c>
      <c r="AF116" s="73">
        <f>IF(ISNUMBER(tblData[Day'# Aust]),tblData[Au LogiP(t)]/$AD$9,"")</f>
        <v>81410390.061731949</v>
      </c>
      <c r="AG116" s="11" t="str">
        <f>IF(AND(tblData[Date]&gt;=StartDt2Au,ISNUMBER(tblData[NSW])),(tblData[[#This Row],[Au LogiP(t)]]-tblData[[#This Row],[Au]])^2,"")</f>
        <v/>
      </c>
      <c r="AH116" s="26">
        <f>IF(tblData[Date]&gt;StartDt2NSW,tblData[Date]-StartDt2NSW,"")</f>
        <v>318</v>
      </c>
      <c r="AI116" s="26" t="str">
        <f t="shared" si="14"/>
        <v/>
      </c>
      <c r="AJ116" s="11">
        <f>IF(tblData[Date]&gt;StartDt2NSW,betaNSW/(deltaNSW+betaPodeltaNSW*EXP(-betaNSW*tblData[[#This Row],[Day '# NSW]])),"")</f>
        <v>2724.7105763852951</v>
      </c>
      <c r="AK116" s="12" t="str">
        <f>IF(AND(ISNUMBER(tblData[NSW]),tblData[Date]&gt;StartDt2NSW),(tblData[[#This Row],[NSW LogiP(t)]]-tblData[[#This Row],[NSW]])^2,"")</f>
        <v/>
      </c>
      <c r="AL116" s="44">
        <f>IF(AND(tblData[Date]&gt;StartDt2NSW,ISNUMBER(tblData[Day'# Aust])),tblData[NSW LogiP(t)]/$AG$9,"")</f>
        <v>3372.1665549322956</v>
      </c>
      <c r="AM116" s="11">
        <f>IF(AND(tblData[Date]&gt;StartDt2Italy,ISNUMBER(tblData[Days'# Italy])),betaItaly/(deltaItaly+betaPodeltaItaly*EXP(-betaItaly*tblData[Days'# Italy])),"")</f>
        <v>55402.511466544704</v>
      </c>
      <c r="AN116" s="11" t="str">
        <f>IF(AND(tblData[Date]&gt;StartDt2Italy,ISNUMBER(tblData[Italy])),(tblData[[#This Row],[Italy LogiP(t)]]-tblData[[#This Row],[Italy]])^2,"")</f>
        <v/>
      </c>
      <c r="AO116" s="44">
        <f>IF(AND(tblData[Date]&gt;StartDt2Italy,ISNUMBER(tblData[Days'# Italy])),tblData[[#This Row],[Italy LogiP(t)]]/$AM$9,"")</f>
        <v>9165.0143038121932</v>
      </c>
      <c r="AP116" s="21">
        <f>IF(ISNUMBER(tblData[[#This Row],[Days'# US]]),betaUS/(deltaUS+betaPodeltaUS*EXP(-betaUS*tblData[Days'# US])),"")</f>
        <v>347695292.01456201</v>
      </c>
      <c r="AQ116" s="11" t="str">
        <f>IF(ISNUMBER(tblData[US]),(tblData[[#This Row],[US LogiP(t)]]-tblData[US])^2,"")</f>
        <v/>
      </c>
      <c r="AR116" s="21">
        <f>IF(ISNUMBER(tblData[[#This Row],[Days'# US]]),tblData[[#This Row],[US LogiP(t)]]/$AP$9,"")</f>
        <v>10560935.286862548</v>
      </c>
      <c r="AS116" s="21">
        <f>IF(tblData[Date]&gt;=StartDt2Korea,betaSKorea/(deltaSKorea+betaPodeltaSKorea*EXP(-betaSKorea*(tblData[Date]-StartDt2Korea))),"")</f>
        <v>8319.4112738168697</v>
      </c>
      <c r="AT116" s="21" t="str">
        <f>IF(AND(tblData[Date]&gt;=StartDt2Korea,ISNUMBER(tblData[SKorea])),(tblData[[#This Row],[SKorea LogiP(t)]]-tblData[[#This Row],[SKorea]])^2,"")</f>
        <v/>
      </c>
      <c r="AU116" s="21">
        <f>IF(tblData[Date]&gt;=StartDt2Korea,tblData[[#This Row],[SKorea LogiP(t)]]/$AS$9,"")</f>
        <v>1618.5625046336322</v>
      </c>
      <c r="AV116" s="85">
        <f>IF(ISNUMBER(tblData[Days'# UK]),betaUK/(deltaUK+betaPodeltaUK*EXP(-betaUK*tblData[Days'# UK])),"")</f>
        <v>230595240.64806432</v>
      </c>
      <c r="AW116" s="85" t="str">
        <f>IF(ISNUMBER(tblData[UK]),(tblData[[#This Row],[UK LogiP(t)]]-tblData[[#This Row],[UK]])^2,"")</f>
        <v/>
      </c>
      <c r="AX116" s="85">
        <f>IF(ISNUMBER(tblData[Days'# UK]),tblData[[#This Row],[UK LogiP(t)]]/$AV$9,"")</f>
        <v>34707290.886222802</v>
      </c>
      <c r="AY116" s="11">
        <f>IF(ISNUMBER(tblData[Days'# China]),betaChina/(deltaChina+betaPodeltaChina*EXP(-betaChina*tblData[Days'# China])),"")</f>
        <v>80951.341253043225</v>
      </c>
      <c r="AZ116" s="11" t="str">
        <f>IF(ISNUMBER(tblData[China]),(tblData[[#This Row],[China LogiP(t)]]-tblData[[#This Row],[China]])^2,"")</f>
        <v/>
      </c>
      <c r="BA116" s="11">
        <f>tblData[[#This Row],[China LogiP(t)]]/$AY$9</f>
        <v>562.42620738200901</v>
      </c>
      <c r="BB116" s="11"/>
      <c r="BC116" s="11"/>
      <c r="BD116" s="11" t="str">
        <f>IF(ISNUMBER(tblData[[#This Row],[NSW Number of Tests]]),tblData[[#This Row],[NSW Number of Tests]]-BB115,"")</f>
        <v/>
      </c>
      <c r="BE116" s="11" t="str">
        <f>IF(ISNUMBER(tblData[[#This Row],[NSW Under Investigation'']]),tblData[[#This Row],[NSW Under Investigation'']]-BC115,"")</f>
        <v/>
      </c>
      <c r="BF116" s="11"/>
      <c r="BG116" s="11" t="str">
        <f>IF(ISNUMBER(tblData[[#This Row],[NSW Test Day Number]]),betaTest/(deltaTest+betaPodeltaTest*EXP(-betaTest*tblData[[#This Row],[NSW Test Day Number]])),"")</f>
        <v/>
      </c>
      <c r="BH116" s="11" t="str">
        <f>IF(ISNUMBER(tblData[[#This Row],[NSW Number of Tests]]),(tblData[[#This Row],[NSW Number of Tests]]-tblData[[#This Row],[NSW Test Logi]])^2,"")</f>
        <v/>
      </c>
      <c r="BY116"/>
      <c r="BZ116"/>
      <c r="CJ116" s="26"/>
      <c r="CK116" s="26"/>
    </row>
    <row r="117" spans="2:173" x14ac:dyDescent="0.25">
      <c r="B117" s="27">
        <f t="shared" si="12"/>
        <v>44180</v>
      </c>
      <c r="L117" s="12" t="str">
        <f>IF(ISNUMBER(tblData[[#This Row],[NSW]]),tblData[[#This Row],[New South Wales]]/$L$9,"")</f>
        <v/>
      </c>
      <c r="N117" s="49" t="str">
        <f>IF(ISNUMBER(tblData[Italy]),tblData[Italy]/$N$9,"")</f>
        <v/>
      </c>
      <c r="P117" s="49" t="str">
        <f>IF(ISNUMBER(tblData[US]),tblData[US]/$P$9,"")</f>
        <v/>
      </c>
      <c r="Q117" s="49"/>
      <c r="R117" s="19" t="str">
        <f>IF(ISNUMBER(tblData[SKorea]),tblData[SKorea]/$R$9,"")</f>
        <v/>
      </c>
      <c r="S117" s="49"/>
      <c r="T117" s="12" t="str">
        <f>IF(ISNUMBER(tblData[UK]),tblData[UK]/$T$9,"")</f>
        <v/>
      </c>
      <c r="V117" s="21" t="str">
        <f>IF(ISNUMBER(tblData[China]),tblData[China]/$V$9,"")</f>
        <v/>
      </c>
      <c r="W117" s="26">
        <f>IF(tblData[[#This Row],[Date]]&lt;ItalyStart,"",tblData[[#This Row],[Date]]-ItalyStart)</f>
        <v>320</v>
      </c>
      <c r="X117" s="26">
        <f t="shared" si="13"/>
        <v>310</v>
      </c>
      <c r="Y117" s="26">
        <f t="shared" ref="Y117" si="24">Y116+1</f>
        <v>106</v>
      </c>
      <c r="Z117" s="26">
        <f>IF(tblData[[#This Row],[Date]]&lt;StartDt2Korea,"",tblData[[#This Row],[Date]]-StartDt2Korea)</f>
        <v>300</v>
      </c>
      <c r="AA117" s="26">
        <f>IF(tblData[[#This Row],[Date]]&lt;UKStart,"",tblData[[#This Row],[Date]]-UKStart)</f>
        <v>320</v>
      </c>
      <c r="AB117" s="26">
        <f>IF(tblData[Date]&gt;=StartDt2Au,tblData[Date]-StartDt2Au,"")</f>
        <v>325</v>
      </c>
      <c r="AC117" s="26" t="str">
        <f>IF(tblData[New South Wales]&gt;0,SUM(tblData[[#This Row],[Australian Capital Territory]:[Western Australia]]),"")</f>
        <v/>
      </c>
      <c r="AD117" s="12" t="str">
        <f>IF(ISNUMBER(tblData[Au]),tblData[Au]/$AA$9,"")</f>
        <v/>
      </c>
      <c r="AE117" s="44">
        <f>IF(ISNUMBER(tblData[[#This Row],[Day'# Aust]]),betaAu/(deltaAu+betaPodeltaAu*EXP(-betaAu*tblData[[#This Row],[Day'# Aust]])),"")</f>
        <v>206489313.35257691</v>
      </c>
      <c r="AF117" s="73">
        <f>IF(ISNUMBER(tblData[Day'# Aust]),tblData[Au LogiP(t)]/$AD$9,"")</f>
        <v>81410390.061731949</v>
      </c>
      <c r="AG117" s="11" t="str">
        <f>IF(AND(tblData[Date]&gt;=StartDt2Au,ISNUMBER(tblData[NSW])),(tblData[[#This Row],[Au LogiP(t)]]-tblData[[#This Row],[Au]])^2,"")</f>
        <v/>
      </c>
      <c r="AH117" s="26">
        <f>IF(tblData[Date]&gt;StartDt2NSW,tblData[Date]-StartDt2NSW,"")</f>
        <v>325</v>
      </c>
      <c r="AI117" s="26" t="str">
        <f t="shared" si="14"/>
        <v/>
      </c>
      <c r="AJ117" s="11">
        <f>IF(tblData[Date]&gt;StartDt2NSW,betaNSW/(deltaNSW+betaPodeltaNSW*EXP(-betaNSW*tblData[[#This Row],[Day '# NSW]])),"")</f>
        <v>2724.7105763852951</v>
      </c>
      <c r="AK117" s="12" t="str">
        <f>IF(AND(ISNUMBER(tblData[NSW]),tblData[Date]&gt;StartDt2NSW),(tblData[[#This Row],[NSW LogiP(t)]]-tblData[[#This Row],[NSW]])^2,"")</f>
        <v/>
      </c>
      <c r="AL117" s="44">
        <f>IF(AND(tblData[Date]&gt;StartDt2NSW,ISNUMBER(tblData[Day'# Aust])),tblData[NSW LogiP(t)]/$AG$9,"")</f>
        <v>3372.1665549322956</v>
      </c>
      <c r="AM117" s="11">
        <f>IF(AND(tblData[Date]&gt;StartDt2Italy,ISNUMBER(tblData[Days'# Italy])),betaItaly/(deltaItaly+betaPodeltaItaly*EXP(-betaItaly*tblData[Days'# Italy])),"")</f>
        <v>55402.511466544704</v>
      </c>
      <c r="AN117" s="11" t="str">
        <f>IF(AND(tblData[Date]&gt;StartDt2Italy,ISNUMBER(tblData[Italy])),(tblData[[#This Row],[Italy LogiP(t)]]-tblData[[#This Row],[Italy]])^2,"")</f>
        <v/>
      </c>
      <c r="AO117" s="44">
        <f>IF(AND(tblData[Date]&gt;StartDt2Italy,ISNUMBER(tblData[Days'# Italy])),tblData[[#This Row],[Italy LogiP(t)]]/$AM$9,"")</f>
        <v>9165.0143038121932</v>
      </c>
      <c r="AP117" s="21">
        <f>IF(ISNUMBER(tblData[[#This Row],[Days'# US]]),betaUS/(deltaUS+betaPodeltaUS*EXP(-betaUS*tblData[Days'# US])),"")</f>
        <v>347695292.01456201</v>
      </c>
      <c r="AQ117" s="11" t="str">
        <f>IF(ISNUMBER(tblData[US]),(tblData[[#This Row],[US LogiP(t)]]-tblData[US])^2,"")</f>
        <v/>
      </c>
      <c r="AR117" s="21">
        <f>IF(ISNUMBER(tblData[[#This Row],[Days'# US]]),tblData[[#This Row],[US LogiP(t)]]/$AP$9,"")</f>
        <v>10560935.286862548</v>
      </c>
      <c r="AS117" s="21">
        <f>IF(tblData[Date]&gt;=StartDt2Korea,betaSKorea/(deltaSKorea+betaPodeltaSKorea*EXP(-betaSKorea*(tblData[Date]-StartDt2Korea))),"")</f>
        <v>8319.4112738168697</v>
      </c>
      <c r="AT117" s="21" t="str">
        <f>IF(AND(tblData[Date]&gt;=StartDt2Korea,ISNUMBER(tblData[SKorea])),(tblData[[#This Row],[SKorea LogiP(t)]]-tblData[[#This Row],[SKorea]])^2,"")</f>
        <v/>
      </c>
      <c r="AU117" s="21">
        <f>IF(tblData[Date]&gt;=StartDt2Korea,tblData[[#This Row],[SKorea LogiP(t)]]/$AS$9,"")</f>
        <v>1618.5625046336322</v>
      </c>
      <c r="AV117" s="85">
        <f>IF(ISNUMBER(tblData[Days'# UK]),betaUK/(deltaUK+betaPodeltaUK*EXP(-betaUK*tblData[Days'# UK])),"")</f>
        <v>230595240.64806432</v>
      </c>
      <c r="AW117" s="85" t="str">
        <f>IF(ISNUMBER(tblData[UK]),(tblData[[#This Row],[UK LogiP(t)]]-tblData[[#This Row],[UK]])^2,"")</f>
        <v/>
      </c>
      <c r="AX117" s="85">
        <f>IF(ISNUMBER(tblData[Days'# UK]),tblData[[#This Row],[UK LogiP(t)]]/$AV$9,"")</f>
        <v>34707290.886222802</v>
      </c>
      <c r="AY117" s="11">
        <f>IF(ISNUMBER(tblData[Days'# China]),betaChina/(deltaChina+betaPodeltaChina*EXP(-betaChina*tblData[Days'# China])),"")</f>
        <v>80951.34131479144</v>
      </c>
      <c r="AZ117" s="11" t="str">
        <f>IF(ISNUMBER(tblData[China]),(tblData[[#This Row],[China LogiP(t)]]-tblData[[#This Row],[China]])^2,"")</f>
        <v/>
      </c>
      <c r="BA117" s="11">
        <f>tblData[[#This Row],[China LogiP(t)]]/$AY$9</f>
        <v>562.42620781101755</v>
      </c>
      <c r="BB117" s="11"/>
      <c r="BC117" s="11"/>
      <c r="BD117" s="11" t="str">
        <f>IF(ISNUMBER(tblData[[#This Row],[NSW Number of Tests]]),tblData[[#This Row],[NSW Number of Tests]]-BB116,"")</f>
        <v/>
      </c>
      <c r="BE117" s="11" t="str">
        <f>IF(ISNUMBER(tblData[[#This Row],[NSW Under Investigation'']]),tblData[[#This Row],[NSW Under Investigation'']]-BC116,"")</f>
        <v/>
      </c>
      <c r="BF117" s="11"/>
      <c r="BG117" s="11" t="str">
        <f>IF(ISNUMBER(tblData[[#This Row],[NSW Test Day Number]]),betaTest/(deltaTest+betaPodeltaTest*EXP(-betaTest*tblData[[#This Row],[NSW Test Day Number]])),"")</f>
        <v/>
      </c>
      <c r="BH117" s="11" t="str">
        <f>IF(ISNUMBER(tblData[[#This Row],[NSW Number of Tests]]),(tblData[[#This Row],[NSW Number of Tests]]-tblData[[#This Row],[NSW Test Logi]])^2,"")</f>
        <v/>
      </c>
      <c r="BY117"/>
      <c r="BZ117"/>
      <c r="CJ117" s="26"/>
      <c r="CK117" s="26"/>
    </row>
    <row r="118" spans="2:173" s="26" customFormat="1" x14ac:dyDescent="0.25">
      <c r="B118" s="27"/>
      <c r="T118" s="11"/>
      <c r="W118" s="11"/>
      <c r="X118" s="11"/>
      <c r="Y118" s="21"/>
      <c r="Z118" s="11"/>
      <c r="AA118" s="11"/>
      <c r="AB118" s="11"/>
      <c r="AC118" s="11"/>
      <c r="AD118" s="11"/>
      <c r="AE118" s="11"/>
      <c r="AF118" s="11"/>
      <c r="AG118" s="11"/>
      <c r="AH118" s="11"/>
      <c r="BE118"/>
      <c r="BF118"/>
      <c r="BG118"/>
      <c r="BH118"/>
      <c r="BI118"/>
      <c r="BJ118"/>
      <c r="BK118"/>
      <c r="BM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F118"/>
      <c r="CG118"/>
      <c r="CH118"/>
      <c r="CI118"/>
      <c r="CJ118"/>
      <c r="CK118"/>
      <c r="CL118"/>
      <c r="CM118"/>
      <c r="CN118"/>
      <c r="CO118"/>
      <c r="CP118"/>
      <c r="DE118"/>
      <c r="DF118" s="82"/>
      <c r="DG118" s="27"/>
      <c r="DH118" s="27"/>
      <c r="DI118"/>
      <c r="DJ118"/>
      <c r="DK118"/>
      <c r="DL118"/>
      <c r="DM118"/>
      <c r="DN118"/>
      <c r="DO118"/>
      <c r="DP118"/>
      <c r="DQ118"/>
      <c r="DR118" s="27"/>
      <c r="DS118"/>
      <c r="DT118"/>
      <c r="DU118"/>
      <c r="DV118" s="27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</row>
    <row r="119" spans="2:173" s="26" customFormat="1" x14ac:dyDescent="0.25">
      <c r="B119" s="27"/>
      <c r="T119" s="11"/>
      <c r="W119" s="11"/>
      <c r="X119" s="11"/>
      <c r="Y119" s="21"/>
      <c r="Z119" s="11"/>
      <c r="AA119" s="11"/>
      <c r="AB119" s="11"/>
      <c r="AC119" s="11"/>
      <c r="AD119" s="11"/>
      <c r="AE119" s="11"/>
      <c r="AF119" s="11"/>
      <c r="AG119" s="11" t="str">
        <f>Cengnotation(AP117,3)</f>
        <v>348 M</v>
      </c>
      <c r="AH119" s="11"/>
      <c r="BE119"/>
      <c r="BF119"/>
      <c r="BG119"/>
      <c r="BH119"/>
      <c r="BI119"/>
      <c r="BJ119"/>
      <c r="BK119"/>
      <c r="BM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F119"/>
      <c r="CG119"/>
      <c r="CH119"/>
      <c r="CI119"/>
      <c r="CJ119"/>
      <c r="CK119"/>
      <c r="CL119"/>
      <c r="CM119"/>
      <c r="CN119"/>
      <c r="CO119"/>
      <c r="CP119"/>
      <c r="DE119"/>
      <c r="DF119" s="82"/>
      <c r="DG119" s="27"/>
      <c r="DH119" s="27"/>
      <c r="DI119"/>
      <c r="DJ119"/>
      <c r="DK119"/>
      <c r="DL119"/>
      <c r="DM119"/>
      <c r="DN119"/>
      <c r="DO119"/>
      <c r="DP119"/>
      <c r="DQ119"/>
      <c r="DR119" s="27"/>
      <c r="DS119"/>
      <c r="DT119"/>
      <c r="DU119"/>
      <c r="DV119" s="27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</row>
    <row r="120" spans="2:173" s="26" customFormat="1" x14ac:dyDescent="0.25">
      <c r="B120" s="27"/>
      <c r="T120" s="11"/>
      <c r="W120" s="11"/>
      <c r="X120" s="11"/>
      <c r="Y120" s="21"/>
      <c r="Z120" s="11"/>
      <c r="AA120" s="11"/>
      <c r="AB120" s="11"/>
      <c r="AC120" s="11"/>
      <c r="AD120" s="11"/>
      <c r="AE120" s="11"/>
      <c r="AF120" s="11"/>
      <c r="AG120" s="11"/>
      <c r="AH120" s="11"/>
      <c r="DE120"/>
      <c r="DF120" s="82"/>
      <c r="DG120" s="27"/>
      <c r="DH120" s="27"/>
      <c r="DI120"/>
      <c r="DJ120"/>
      <c r="DK120"/>
      <c r="DL120"/>
      <c r="DM120"/>
      <c r="DN120"/>
      <c r="DO120"/>
      <c r="DP120"/>
      <c r="DQ120"/>
      <c r="DR120" s="27"/>
      <c r="DS120"/>
      <c r="DT120"/>
      <c r="DU120"/>
      <c r="DV120" s="27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</row>
    <row r="121" spans="2:173" s="26" customFormat="1" x14ac:dyDescent="0.25">
      <c r="B121" s="27"/>
      <c r="T121" s="11"/>
      <c r="W121" s="11"/>
      <c r="X121" s="11"/>
      <c r="Y121" s="21"/>
      <c r="Z121" s="11"/>
      <c r="AA121" s="11"/>
      <c r="AB121" s="11"/>
      <c r="AC121" s="11"/>
      <c r="AD121" s="11"/>
      <c r="AE121" s="11"/>
      <c r="AF121" s="11"/>
      <c r="AG121" s="11"/>
      <c r="AH121" s="11"/>
      <c r="DE121"/>
      <c r="DF121" s="82"/>
      <c r="DG121" s="27"/>
      <c r="DH121" s="27"/>
      <c r="DI121"/>
      <c r="DJ121"/>
      <c r="DK121"/>
      <c r="DL121"/>
      <c r="DM121"/>
      <c r="DN121"/>
      <c r="DO121"/>
      <c r="DP121"/>
      <c r="DQ121"/>
      <c r="DR121" s="27"/>
      <c r="DS121"/>
      <c r="DT121"/>
      <c r="DU121"/>
      <c r="DV121" s="27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</row>
    <row r="122" spans="2:173" s="26" customFormat="1" x14ac:dyDescent="0.25">
      <c r="B122" s="27"/>
      <c r="T122" s="11"/>
      <c r="W122" s="11"/>
      <c r="X122" s="11"/>
      <c r="Y122" s="21"/>
      <c r="Z122" s="11"/>
      <c r="AA122" s="11"/>
      <c r="AB122" s="11"/>
      <c r="AC122" s="11"/>
      <c r="AD122" s="11"/>
      <c r="AE122" s="11"/>
      <c r="AF122" s="11"/>
      <c r="AG122" s="11"/>
      <c r="AH122" s="11"/>
      <c r="DE122"/>
      <c r="DF122" s="82"/>
      <c r="DG122" s="27"/>
      <c r="DH122" s="27"/>
      <c r="DI122"/>
      <c r="DJ122"/>
      <c r="DK122"/>
      <c r="DL122"/>
      <c r="DM122"/>
      <c r="DN122"/>
      <c r="DO122"/>
      <c r="DP122"/>
      <c r="DQ122"/>
      <c r="DR122" s="27"/>
      <c r="DS122"/>
      <c r="DT122"/>
      <c r="DU122"/>
      <c r="DV122" s="27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</row>
    <row r="123" spans="2:173" s="26" customFormat="1" x14ac:dyDescent="0.25">
      <c r="B123" s="27"/>
      <c r="T123" s="11"/>
      <c r="V123" s="26">
        <f>709/2.54</f>
        <v>279.1338582677165</v>
      </c>
      <c r="W123" s="11">
        <f>2626/6.64</f>
        <v>395.48192771084337</v>
      </c>
      <c r="X123" s="11"/>
      <c r="Y123" s="21"/>
      <c r="Z123" s="11"/>
      <c r="AA123" s="11"/>
      <c r="AB123" s="11"/>
      <c r="AC123" s="11"/>
      <c r="AD123" s="11"/>
      <c r="AE123" s="11"/>
      <c r="AF123" s="11"/>
      <c r="AG123" s="11"/>
      <c r="AH123" s="11"/>
      <c r="DE123"/>
      <c r="DF123" s="82"/>
      <c r="DG123" s="27"/>
      <c r="DH123" s="27"/>
      <c r="DI123"/>
      <c r="DJ123"/>
      <c r="DK123"/>
      <c r="DL123"/>
      <c r="DM123"/>
      <c r="DN123"/>
      <c r="DO123"/>
      <c r="DP123"/>
      <c r="DQ123"/>
      <c r="DR123" s="27"/>
      <c r="DS123"/>
      <c r="DT123"/>
      <c r="DU123"/>
      <c r="DV123" s="27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</row>
    <row r="124" spans="2:173" s="26" customFormat="1" x14ac:dyDescent="0.25">
      <c r="B124" s="27"/>
      <c r="T124" s="11"/>
      <c r="W124" s="11"/>
      <c r="X124" s="11"/>
      <c r="Y124" s="21"/>
      <c r="Z124" s="11"/>
      <c r="AA124" s="11"/>
      <c r="AB124" s="11"/>
      <c r="AC124" s="11"/>
      <c r="AD124" s="11"/>
      <c r="AE124" s="11"/>
      <c r="AF124" s="11"/>
      <c r="AG124" s="11"/>
      <c r="AH124" s="11"/>
      <c r="DE124"/>
      <c r="DF124" s="82"/>
      <c r="DG124" s="27"/>
      <c r="DH124" s="27"/>
      <c r="DI124"/>
      <c r="DJ124"/>
      <c r="DK124"/>
      <c r="DL124"/>
      <c r="DM124"/>
      <c r="DN124"/>
      <c r="DO124"/>
      <c r="DP124"/>
      <c r="DQ124"/>
      <c r="DR124" s="27"/>
      <c r="DS124"/>
      <c r="DT124"/>
      <c r="DU124"/>
      <c r="DV124" s="27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</row>
    <row r="125" spans="2:173" x14ac:dyDescent="0.25">
      <c r="B125" t="s">
        <v>242</v>
      </c>
      <c r="BE125" s="26"/>
      <c r="BF125" s="26"/>
      <c r="BG125" s="26"/>
      <c r="BH125" s="26"/>
      <c r="BI125" s="26"/>
      <c r="BJ125" s="26"/>
      <c r="BK125" s="26"/>
      <c r="BM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</row>
    <row r="126" spans="2:173" x14ac:dyDescent="0.25">
      <c r="B126" s="15" t="s">
        <v>243</v>
      </c>
      <c r="BE126" s="26"/>
      <c r="BF126" s="26"/>
      <c r="BG126" s="26"/>
      <c r="BH126" s="26"/>
      <c r="BI126" s="26"/>
      <c r="BJ126" s="26"/>
      <c r="BK126" s="26"/>
      <c r="BM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</row>
    <row r="129" spans="2:4" x14ac:dyDescent="0.25">
      <c r="B129" s="13" t="s">
        <v>218</v>
      </c>
      <c r="C129" s="16" t="s">
        <v>219</v>
      </c>
      <c r="D129" s="36"/>
    </row>
  </sheetData>
  <sortState ref="DE11:EH51">
    <sortCondition ref="DI11:DI51"/>
    <sortCondition ref="DR11:DR51"/>
    <sortCondition ref="DF11:DF51"/>
  </sortState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CH10" workbookViewId="0">
      <selection activeCell="DC10" sqref="DC10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494</v>
      </c>
      <c r="B7" s="32" t="s">
        <v>495</v>
      </c>
      <c r="C7" s="32" t="s">
        <v>496</v>
      </c>
      <c r="D7" s="32" t="s">
        <v>497</v>
      </c>
    </row>
    <row r="8" spans="1:7" ht="30" x14ac:dyDescent="0.25">
      <c r="C8" t="s">
        <v>831</v>
      </c>
      <c r="D8" t="s">
        <v>832</v>
      </c>
      <c r="E8" s="14" t="s">
        <v>817</v>
      </c>
      <c r="F8" t="s">
        <v>499</v>
      </c>
      <c r="G8" s="33" t="s">
        <v>818</v>
      </c>
    </row>
    <row r="9" spans="1:7" ht="30" x14ac:dyDescent="0.25">
      <c r="E9" s="14" t="s">
        <v>817</v>
      </c>
      <c r="F9" t="s">
        <v>819</v>
      </c>
      <c r="G9" s="33" t="s">
        <v>820</v>
      </c>
    </row>
    <row r="10" spans="1:7" ht="30" x14ac:dyDescent="0.25">
      <c r="E10" s="14" t="s">
        <v>817</v>
      </c>
      <c r="F10" t="s">
        <v>504</v>
      </c>
      <c r="G10" s="33" t="s">
        <v>821</v>
      </c>
    </row>
    <row r="11" spans="1:7" ht="30" x14ac:dyDescent="0.25">
      <c r="E11" s="14" t="s">
        <v>817</v>
      </c>
      <c r="F11" t="s">
        <v>822</v>
      </c>
      <c r="G11" s="33" t="s">
        <v>823</v>
      </c>
    </row>
    <row r="12" spans="1:7" ht="30" x14ac:dyDescent="0.25">
      <c r="E12" s="14" t="s">
        <v>817</v>
      </c>
      <c r="F12" t="s">
        <v>502</v>
      </c>
      <c r="G12" s="33" t="s">
        <v>824</v>
      </c>
    </row>
    <row r="13" spans="1:7" ht="30" x14ac:dyDescent="0.25">
      <c r="E13" s="14" t="s">
        <v>817</v>
      </c>
      <c r="F13" t="s">
        <v>825</v>
      </c>
      <c r="G13" s="33" t="s">
        <v>826</v>
      </c>
    </row>
    <row r="14" spans="1:7" ht="30" x14ac:dyDescent="0.25">
      <c r="E14" s="14" t="s">
        <v>817</v>
      </c>
      <c r="F14" t="s">
        <v>827</v>
      </c>
      <c r="G14" s="33" t="s">
        <v>828</v>
      </c>
    </row>
    <row r="15" spans="1:7" ht="30" x14ac:dyDescent="0.25">
      <c r="E15" s="14" t="s">
        <v>817</v>
      </c>
      <c r="F15" t="s">
        <v>829</v>
      </c>
      <c r="G15" s="33" t="s">
        <v>830</v>
      </c>
    </row>
    <row r="17" spans="3:7" ht="75" x14ac:dyDescent="0.25">
      <c r="C17" s="14" t="s">
        <v>835</v>
      </c>
      <c r="D17" t="s">
        <v>506</v>
      </c>
      <c r="E17" s="14" t="s">
        <v>512</v>
      </c>
      <c r="F17" t="s">
        <v>504</v>
      </c>
      <c r="G17" s="33" t="s">
        <v>833</v>
      </c>
    </row>
    <row r="18" spans="3:7" ht="45" x14ac:dyDescent="0.25">
      <c r="E18" s="14" t="s">
        <v>512</v>
      </c>
      <c r="F18" t="s">
        <v>505</v>
      </c>
      <c r="G18" s="33" t="s">
        <v>834</v>
      </c>
    </row>
    <row r="20" spans="3:7" ht="75" x14ac:dyDescent="0.25">
      <c r="C20" s="14" t="s">
        <v>835</v>
      </c>
      <c r="D20" t="s">
        <v>508</v>
      </c>
      <c r="E20" s="14" t="s">
        <v>513</v>
      </c>
      <c r="F20" t="s">
        <v>504</v>
      </c>
      <c r="G20" s="33" t="s">
        <v>833</v>
      </c>
    </row>
    <row r="21" spans="3:7" ht="30" x14ac:dyDescent="0.25">
      <c r="E21" s="14" t="s">
        <v>513</v>
      </c>
      <c r="F21" t="s">
        <v>507</v>
      </c>
      <c r="G21" s="33" t="s">
        <v>836</v>
      </c>
    </row>
    <row r="23" spans="3:7" ht="75" x14ac:dyDescent="0.25">
      <c r="C23" s="14" t="s">
        <v>839</v>
      </c>
      <c r="D23" t="s">
        <v>498</v>
      </c>
      <c r="E23" s="14" t="s">
        <v>514</v>
      </c>
      <c r="F23" t="s">
        <v>502</v>
      </c>
      <c r="G23" s="33" t="s">
        <v>837</v>
      </c>
    </row>
    <row r="24" spans="3:7" ht="30" x14ac:dyDescent="0.25">
      <c r="E24" s="14" t="s">
        <v>514</v>
      </c>
      <c r="F24" t="s">
        <v>503</v>
      </c>
      <c r="G24" s="33" t="s">
        <v>838</v>
      </c>
    </row>
    <row r="26" spans="3:7" ht="75" x14ac:dyDescent="0.25">
      <c r="C26" s="14" t="s">
        <v>839</v>
      </c>
      <c r="D26" t="s">
        <v>498</v>
      </c>
      <c r="E26" s="14" t="s">
        <v>515</v>
      </c>
      <c r="F26" t="s">
        <v>502</v>
      </c>
      <c r="G26" s="33" t="s">
        <v>837</v>
      </c>
    </row>
    <row r="27" spans="3:7" ht="30" x14ac:dyDescent="0.25">
      <c r="E27" s="14" t="s">
        <v>515</v>
      </c>
      <c r="F27" t="s">
        <v>503</v>
      </c>
      <c r="G27" s="33" t="s">
        <v>838</v>
      </c>
    </row>
    <row r="29" spans="3:7" ht="75" x14ac:dyDescent="0.25">
      <c r="C29" s="14" t="s">
        <v>841</v>
      </c>
      <c r="D29" t="s">
        <v>501</v>
      </c>
      <c r="E29" s="14" t="s">
        <v>516</v>
      </c>
      <c r="F29" t="s">
        <v>499</v>
      </c>
      <c r="G29" s="33" t="s">
        <v>818</v>
      </c>
    </row>
    <row r="30" spans="3:7" ht="45" x14ac:dyDescent="0.25">
      <c r="E30" s="14" t="s">
        <v>516</v>
      </c>
      <c r="F30" t="s">
        <v>500</v>
      </c>
      <c r="G30" s="33" t="s">
        <v>840</v>
      </c>
    </row>
    <row r="32" spans="3:7" ht="75" x14ac:dyDescent="0.25">
      <c r="C32" s="14" t="s">
        <v>841</v>
      </c>
      <c r="D32" t="s">
        <v>501</v>
      </c>
      <c r="E32" s="14" t="s">
        <v>517</v>
      </c>
      <c r="F32" t="s">
        <v>499</v>
      </c>
      <c r="G32" s="33" t="s">
        <v>818</v>
      </c>
    </row>
    <row r="33" spans="3:7" ht="30" x14ac:dyDescent="0.25">
      <c r="E33" s="14" t="s">
        <v>517</v>
      </c>
      <c r="F33" t="s">
        <v>500</v>
      </c>
      <c r="G33" s="33" t="s">
        <v>840</v>
      </c>
    </row>
    <row r="35" spans="3:7" ht="75" x14ac:dyDescent="0.25">
      <c r="C35" s="14" t="s">
        <v>847</v>
      </c>
      <c r="D35" t="s">
        <v>848</v>
      </c>
      <c r="E35" s="14" t="s">
        <v>842</v>
      </c>
      <c r="F35" t="s">
        <v>843</v>
      </c>
      <c r="G35" s="33" t="s">
        <v>844</v>
      </c>
    </row>
    <row r="36" spans="3:7" ht="30" x14ac:dyDescent="0.25">
      <c r="E36" s="14" t="s">
        <v>842</v>
      </c>
      <c r="F36" t="s">
        <v>845</v>
      </c>
      <c r="G36" s="33" t="s">
        <v>846</v>
      </c>
    </row>
    <row r="38" spans="3:7" ht="45" x14ac:dyDescent="0.25">
      <c r="C38" t="s">
        <v>510</v>
      </c>
      <c r="D38" t="s">
        <v>511</v>
      </c>
      <c r="E38" s="14" t="s">
        <v>518</v>
      </c>
      <c r="F38" t="s">
        <v>499</v>
      </c>
      <c r="G38" s="33" t="s">
        <v>818</v>
      </c>
    </row>
    <row r="39" spans="3:7" ht="45" x14ac:dyDescent="0.25">
      <c r="E39" s="14" t="s">
        <v>518</v>
      </c>
      <c r="F39" t="s">
        <v>509</v>
      </c>
      <c r="G39" s="33" t="s">
        <v>849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519</v>
      </c>
      <c r="B1" s="26" t="s">
        <v>520</v>
      </c>
      <c r="C1" s="26" t="s">
        <v>521</v>
      </c>
      <c r="D1" s="26" t="s">
        <v>522</v>
      </c>
      <c r="E1" s="26" t="s">
        <v>523</v>
      </c>
      <c r="F1" s="26" t="s">
        <v>524</v>
      </c>
      <c r="G1" s="26"/>
      <c r="H1" s="26"/>
      <c r="I1" s="26"/>
      <c r="J1" s="26"/>
      <c r="K1" s="26"/>
      <c r="L1" s="26"/>
    </row>
    <row r="2" spans="1:12" x14ac:dyDescent="0.25">
      <c r="A2" s="26" t="s">
        <v>525</v>
      </c>
      <c r="B2" s="26" t="s">
        <v>526</v>
      </c>
      <c r="C2" s="26" t="s">
        <v>527</v>
      </c>
      <c r="D2" s="26" t="s">
        <v>528</v>
      </c>
      <c r="E2" s="26" t="s">
        <v>529</v>
      </c>
      <c r="F2" s="26" t="s">
        <v>530</v>
      </c>
      <c r="G2" s="26"/>
      <c r="H2" s="26"/>
      <c r="I2" s="26"/>
      <c r="J2" s="26"/>
      <c r="K2" s="26"/>
      <c r="L2" s="26"/>
    </row>
    <row r="3" spans="1:12" x14ac:dyDescent="0.25">
      <c r="A3" s="26" t="s">
        <v>531</v>
      </c>
      <c r="B3" s="26" t="s">
        <v>532</v>
      </c>
      <c r="C3" s="26" t="s">
        <v>527</v>
      </c>
      <c r="D3" s="26" t="s">
        <v>533</v>
      </c>
      <c r="E3" s="26" t="s">
        <v>534</v>
      </c>
      <c r="F3" s="26" t="s">
        <v>535</v>
      </c>
      <c r="G3" s="26" t="s">
        <v>536</v>
      </c>
      <c r="H3" s="26"/>
      <c r="I3" s="26"/>
      <c r="J3" s="26"/>
      <c r="K3" s="26"/>
      <c r="L3" s="26"/>
    </row>
    <row r="4" spans="1:12" x14ac:dyDescent="0.25">
      <c r="A4" s="26" t="s">
        <v>537</v>
      </c>
      <c r="B4" s="26" t="s">
        <v>538</v>
      </c>
      <c r="C4" s="26" t="s">
        <v>539</v>
      </c>
      <c r="D4" s="26" t="s">
        <v>540</v>
      </c>
      <c r="E4" s="26" t="s">
        <v>541</v>
      </c>
      <c r="F4" s="26" t="s">
        <v>538</v>
      </c>
      <c r="G4" s="26"/>
      <c r="H4" s="26"/>
      <c r="I4" s="26"/>
      <c r="J4" s="26"/>
      <c r="K4" s="26"/>
      <c r="L4" s="26"/>
    </row>
    <row r="5" spans="1:12" x14ac:dyDescent="0.25">
      <c r="A5" s="26" t="s">
        <v>542</v>
      </c>
      <c r="B5" s="26" t="s">
        <v>543</v>
      </c>
      <c r="C5" s="26" t="s">
        <v>544</v>
      </c>
      <c r="D5" s="26" t="s">
        <v>545</v>
      </c>
      <c r="E5" s="26" t="s">
        <v>546</v>
      </c>
      <c r="F5" s="26" t="s">
        <v>547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548</v>
      </c>
      <c r="B6" s="26" t="s">
        <v>549</v>
      </c>
      <c r="C6" s="26" t="s">
        <v>550</v>
      </c>
      <c r="D6" s="26" t="s">
        <v>551</v>
      </c>
      <c r="E6" s="26" t="s">
        <v>552</v>
      </c>
      <c r="F6" s="26" t="s">
        <v>553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554</v>
      </c>
      <c r="B7" s="26" t="s">
        <v>555</v>
      </c>
      <c r="C7" s="26" t="s">
        <v>556</v>
      </c>
      <c r="D7" s="26" t="s">
        <v>557</v>
      </c>
      <c r="E7" s="26" t="s">
        <v>558</v>
      </c>
      <c r="F7" s="26" t="s">
        <v>559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560</v>
      </c>
      <c r="B8" s="26" t="s">
        <v>561</v>
      </c>
      <c r="C8" s="26" t="s">
        <v>562</v>
      </c>
      <c r="D8" s="26" t="s">
        <v>563</v>
      </c>
      <c r="E8" s="26" t="s">
        <v>564</v>
      </c>
      <c r="F8" s="26" t="s">
        <v>565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566</v>
      </c>
      <c r="B9" s="26" t="s">
        <v>567</v>
      </c>
      <c r="C9" s="26" t="s">
        <v>568</v>
      </c>
      <c r="D9" s="26" t="s">
        <v>569</v>
      </c>
      <c r="E9" s="26" t="s">
        <v>570</v>
      </c>
      <c r="F9" s="26" t="s">
        <v>571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572</v>
      </c>
      <c r="B10" s="26" t="s">
        <v>573</v>
      </c>
      <c r="C10" s="26" t="s">
        <v>574</v>
      </c>
      <c r="D10" s="26" t="s">
        <v>575</v>
      </c>
      <c r="E10" s="26" t="s">
        <v>576</v>
      </c>
      <c r="F10" s="26" t="s">
        <v>577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578</v>
      </c>
      <c r="B11" s="26" t="s">
        <v>579</v>
      </c>
      <c r="C11" s="26" t="s">
        <v>580</v>
      </c>
      <c r="D11" s="26" t="s">
        <v>581</v>
      </c>
      <c r="E11" s="26" t="s">
        <v>582</v>
      </c>
      <c r="F11" s="26" t="s">
        <v>583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584</v>
      </c>
      <c r="B12" s="26" t="s">
        <v>585</v>
      </c>
      <c r="C12" s="26" t="s">
        <v>586</v>
      </c>
      <c r="D12" s="26" t="s">
        <v>587</v>
      </c>
      <c r="E12" s="26" t="s">
        <v>588</v>
      </c>
      <c r="F12" s="26" t="s">
        <v>589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590</v>
      </c>
      <c r="B13" s="26" t="s">
        <v>591</v>
      </c>
      <c r="C13" s="26" t="s">
        <v>592</v>
      </c>
      <c r="D13" s="26" t="s">
        <v>593</v>
      </c>
      <c r="E13" s="26" t="s">
        <v>594</v>
      </c>
      <c r="F13" s="26" t="s">
        <v>595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596</v>
      </c>
      <c r="B16" s="26" t="s">
        <v>597</v>
      </c>
      <c r="C16" s="26" t="s">
        <v>598</v>
      </c>
      <c r="D16" s="26" t="s">
        <v>599</v>
      </c>
      <c r="E16" s="26" t="s">
        <v>600</v>
      </c>
      <c r="F16" s="26" t="s">
        <v>601</v>
      </c>
      <c r="G16" s="26"/>
      <c r="H16" s="26"/>
      <c r="I16" s="26"/>
      <c r="J16" s="26"/>
      <c r="K16" s="26"/>
      <c r="L16" s="26"/>
    </row>
    <row r="17" spans="1:12" x14ac:dyDescent="0.25">
      <c r="A17" s="26" t="s">
        <v>602</v>
      </c>
      <c r="B17" s="26" t="s">
        <v>603</v>
      </c>
      <c r="C17" s="26" t="s">
        <v>604</v>
      </c>
      <c r="D17" s="26" t="s">
        <v>605</v>
      </c>
      <c r="E17" s="26" t="s">
        <v>606</v>
      </c>
      <c r="F17" s="26" t="s">
        <v>607</v>
      </c>
      <c r="G17" s="26"/>
      <c r="H17" s="26"/>
      <c r="I17" s="26"/>
      <c r="J17" s="26"/>
      <c r="K17" s="26"/>
      <c r="L17" s="26"/>
    </row>
    <row r="18" spans="1:12" x14ac:dyDescent="0.25">
      <c r="A18" s="26" t="s">
        <v>608</v>
      </c>
      <c r="B18" s="26" t="s">
        <v>591</v>
      </c>
      <c r="C18" s="26" t="s">
        <v>609</v>
      </c>
      <c r="D18" s="26" t="s">
        <v>610</v>
      </c>
      <c r="E18" s="26" t="s">
        <v>611</v>
      </c>
      <c r="F18" s="26" t="s">
        <v>612</v>
      </c>
      <c r="G18" s="26"/>
      <c r="H18" s="26"/>
      <c r="I18" s="26"/>
      <c r="J18" s="26"/>
      <c r="K18" s="26"/>
      <c r="L18" s="26"/>
    </row>
    <row r="19" spans="1:12" x14ac:dyDescent="0.25">
      <c r="A19" s="26" t="s">
        <v>613</v>
      </c>
      <c r="B19" s="26" t="s">
        <v>614</v>
      </c>
      <c r="C19" s="26" t="s">
        <v>615</v>
      </c>
      <c r="D19" s="26" t="s">
        <v>616</v>
      </c>
      <c r="E19" s="26" t="s">
        <v>617</v>
      </c>
      <c r="F19" s="26" t="s">
        <v>618</v>
      </c>
      <c r="G19" s="26"/>
      <c r="H19" s="26"/>
      <c r="I19" s="26"/>
      <c r="J19" s="26"/>
      <c r="K19" s="26"/>
      <c r="L19" s="26"/>
    </row>
    <row r="20" spans="1:12" x14ac:dyDescent="0.25">
      <c r="A20" s="26" t="s">
        <v>619</v>
      </c>
      <c r="B20" s="26" t="s">
        <v>620</v>
      </c>
      <c r="C20" s="26" t="s">
        <v>621</v>
      </c>
      <c r="D20" s="26" t="s">
        <v>622</v>
      </c>
      <c r="E20" s="26" t="s">
        <v>623</v>
      </c>
      <c r="F20" s="26" t="s">
        <v>624</v>
      </c>
      <c r="G20" s="26"/>
      <c r="H20" s="26"/>
      <c r="I20" s="26"/>
      <c r="J20" s="26"/>
      <c r="K20" s="26"/>
      <c r="L20" s="26"/>
    </row>
    <row r="21" spans="1:12" x14ac:dyDescent="0.25">
      <c r="A21" s="26" t="s">
        <v>625</v>
      </c>
      <c r="B21" s="26" t="s">
        <v>626</v>
      </c>
      <c r="C21" s="26" t="s">
        <v>627</v>
      </c>
      <c r="D21" s="26" t="s">
        <v>628</v>
      </c>
      <c r="E21" s="26" t="s">
        <v>629</v>
      </c>
      <c r="F21" s="26" t="s">
        <v>630</v>
      </c>
      <c r="G21" s="26"/>
      <c r="H21" s="26"/>
      <c r="I21" s="26"/>
      <c r="J21" s="26"/>
      <c r="K21" s="26"/>
      <c r="L21" s="26"/>
    </row>
    <row r="22" spans="1:12" x14ac:dyDescent="0.25">
      <c r="A22" s="26" t="s">
        <v>631</v>
      </c>
      <c r="B22" s="26" t="s">
        <v>632</v>
      </c>
      <c r="C22" s="26" t="s">
        <v>633</v>
      </c>
      <c r="D22" s="26" t="s">
        <v>634</v>
      </c>
      <c r="E22" s="26" t="s">
        <v>635</v>
      </c>
      <c r="F22" s="26" t="s">
        <v>636</v>
      </c>
      <c r="G22" s="26"/>
      <c r="H22" s="26"/>
      <c r="I22" s="26"/>
      <c r="J22" s="26" t="s">
        <v>637</v>
      </c>
      <c r="K22" s="26">
        <v>13500</v>
      </c>
      <c r="L22" s="26"/>
    </row>
    <row r="23" spans="1:12" x14ac:dyDescent="0.25">
      <c r="A23" s="26" t="s">
        <v>638</v>
      </c>
      <c r="B23" s="26" t="s">
        <v>639</v>
      </c>
      <c r="C23" s="26" t="s">
        <v>640</v>
      </c>
      <c r="D23" s="26" t="s">
        <v>641</v>
      </c>
      <c r="E23" s="26" t="s">
        <v>642</v>
      </c>
      <c r="F23" s="26" t="s">
        <v>643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644</v>
      </c>
      <c r="B24" s="26" t="s">
        <v>645</v>
      </c>
      <c r="C24" s="26" t="s">
        <v>646</v>
      </c>
      <c r="D24" s="26" t="s">
        <v>647</v>
      </c>
      <c r="E24" s="26" t="s">
        <v>648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84"/>
  <sheetViews>
    <sheetView topLeftCell="D28" workbookViewId="0">
      <selection activeCell="D1" sqref="A1:XFD1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6" customFormat="1" x14ac:dyDescent="0.25">
      <c r="A1" s="78" t="s">
        <v>925</v>
      </c>
      <c r="B1" s="76" t="s">
        <v>926</v>
      </c>
      <c r="C1" s="76" t="s">
        <v>927</v>
      </c>
      <c r="D1" s="78" t="s">
        <v>928</v>
      </c>
      <c r="E1" s="79" t="s">
        <v>929</v>
      </c>
      <c r="F1" s="76" t="s">
        <v>861</v>
      </c>
      <c r="G1" s="76" t="s">
        <v>923</v>
      </c>
      <c r="H1" s="76" t="s">
        <v>924</v>
      </c>
      <c r="I1" s="78"/>
      <c r="M1" s="78"/>
      <c r="P1" s="78"/>
    </row>
    <row r="2" spans="1:16" x14ac:dyDescent="0.25">
      <c r="A2" s="33" t="s">
        <v>722</v>
      </c>
      <c r="B2" t="s">
        <v>491</v>
      </c>
      <c r="C2" t="s">
        <v>862</v>
      </c>
      <c r="D2" s="33" t="s">
        <v>863</v>
      </c>
      <c r="E2" s="50" t="s">
        <v>863</v>
      </c>
      <c r="I2" s="33"/>
      <c r="M2" s="33"/>
      <c r="P2" s="33"/>
    </row>
    <row r="3" spans="1:16" x14ac:dyDescent="0.25">
      <c r="A3" s="33" t="s">
        <v>722</v>
      </c>
      <c r="B3" t="s">
        <v>671</v>
      </c>
      <c r="C3" t="s">
        <v>723</v>
      </c>
      <c r="D3" s="33" t="s">
        <v>724</v>
      </c>
      <c r="E3" s="50" t="s">
        <v>724</v>
      </c>
      <c r="I3" s="33"/>
      <c r="M3" s="33"/>
      <c r="P3" s="33"/>
    </row>
    <row r="4" spans="1:16" x14ac:dyDescent="0.25">
      <c r="A4" s="33" t="s">
        <v>722</v>
      </c>
      <c r="B4" t="s">
        <v>672</v>
      </c>
      <c r="C4" t="s">
        <v>725</v>
      </c>
      <c r="D4" s="33" t="s">
        <v>864</v>
      </c>
      <c r="E4" s="50" t="s">
        <v>864</v>
      </c>
      <c r="I4" s="33"/>
      <c r="M4" s="33"/>
      <c r="P4" s="33"/>
    </row>
    <row r="5" spans="1:16" x14ac:dyDescent="0.25">
      <c r="A5" s="33" t="s">
        <v>722</v>
      </c>
      <c r="B5" t="s">
        <v>673</v>
      </c>
      <c r="C5" t="s">
        <v>726</v>
      </c>
      <c r="D5" s="33" t="s">
        <v>865</v>
      </c>
      <c r="E5" s="50" t="s">
        <v>865</v>
      </c>
      <c r="I5" s="33"/>
      <c r="M5" s="33"/>
      <c r="P5" s="33"/>
    </row>
    <row r="6" spans="1:16" x14ac:dyDescent="0.25">
      <c r="A6" s="33" t="s">
        <v>722</v>
      </c>
      <c r="B6" t="s">
        <v>674</v>
      </c>
      <c r="C6" t="s">
        <v>727</v>
      </c>
      <c r="D6" s="33" t="s">
        <v>866</v>
      </c>
      <c r="E6" s="50" t="s">
        <v>866</v>
      </c>
      <c r="I6" s="33"/>
      <c r="M6" s="33"/>
      <c r="P6" s="33"/>
    </row>
    <row r="7" spans="1:16" x14ac:dyDescent="0.25">
      <c r="A7" s="33" t="s">
        <v>722</v>
      </c>
      <c r="B7" t="s">
        <v>675</v>
      </c>
      <c r="C7" t="s">
        <v>728</v>
      </c>
      <c r="D7" s="33" t="s">
        <v>729</v>
      </c>
      <c r="E7" s="50" t="s">
        <v>729</v>
      </c>
      <c r="I7" s="33"/>
      <c r="M7" s="33"/>
      <c r="P7" s="33"/>
    </row>
    <row r="8" spans="1:16" x14ac:dyDescent="0.25">
      <c r="A8" s="33" t="s">
        <v>722</v>
      </c>
      <c r="B8" t="s">
        <v>676</v>
      </c>
      <c r="C8" t="s">
        <v>730</v>
      </c>
      <c r="D8" s="33" t="s">
        <v>867</v>
      </c>
      <c r="E8" s="50" t="s">
        <v>867</v>
      </c>
      <c r="I8" s="33"/>
      <c r="M8" s="33"/>
      <c r="P8" s="33"/>
    </row>
    <row r="9" spans="1:16" x14ac:dyDescent="0.25">
      <c r="A9" s="33" t="s">
        <v>722</v>
      </c>
      <c r="B9" t="s">
        <v>677</v>
      </c>
      <c r="C9" t="s">
        <v>731</v>
      </c>
      <c r="D9" s="33" t="s">
        <v>868</v>
      </c>
      <c r="E9" s="50" t="s">
        <v>868</v>
      </c>
      <c r="I9" s="33"/>
      <c r="M9" s="33"/>
      <c r="P9" s="33"/>
    </row>
    <row r="10" spans="1:16" x14ac:dyDescent="0.25">
      <c r="A10" s="33" t="s">
        <v>722</v>
      </c>
      <c r="B10" t="s">
        <v>678</v>
      </c>
      <c r="C10" t="s">
        <v>732</v>
      </c>
      <c r="D10" s="33" t="s">
        <v>869</v>
      </c>
      <c r="E10" s="50" t="s">
        <v>869</v>
      </c>
      <c r="I10" s="33"/>
      <c r="M10" s="33"/>
      <c r="P10" s="33"/>
    </row>
    <row r="11" spans="1:16" x14ac:dyDescent="0.25">
      <c r="A11" s="33" t="s">
        <v>722</v>
      </c>
      <c r="B11" t="s">
        <v>870</v>
      </c>
      <c r="C11" t="s">
        <v>871</v>
      </c>
      <c r="D11" s="33" t="s">
        <v>872</v>
      </c>
      <c r="E11" s="50" t="s">
        <v>872</v>
      </c>
      <c r="I11" s="33"/>
      <c r="M11" s="33"/>
      <c r="P11" s="33"/>
    </row>
    <row r="12" spans="1:16" x14ac:dyDescent="0.25">
      <c r="A12" s="33" t="s">
        <v>722</v>
      </c>
      <c r="B12" t="s">
        <v>679</v>
      </c>
      <c r="C12" t="s">
        <v>733</v>
      </c>
      <c r="D12" s="33" t="s">
        <v>873</v>
      </c>
      <c r="E12" s="50" t="s">
        <v>873</v>
      </c>
      <c r="I12" s="33"/>
      <c r="M12" s="33"/>
      <c r="P12" s="33"/>
    </row>
    <row r="13" spans="1:16" x14ac:dyDescent="0.25">
      <c r="A13" s="33" t="s">
        <v>722</v>
      </c>
      <c r="B13" t="s">
        <v>874</v>
      </c>
      <c r="C13" t="s">
        <v>875</v>
      </c>
      <c r="D13" s="33" t="s">
        <v>876</v>
      </c>
      <c r="E13" s="50" t="s">
        <v>876</v>
      </c>
      <c r="I13" s="33"/>
      <c r="M13" s="33"/>
      <c r="P13" s="33"/>
    </row>
    <row r="14" spans="1:16" x14ac:dyDescent="0.25">
      <c r="A14" s="33" t="s">
        <v>722</v>
      </c>
      <c r="B14" t="s">
        <v>680</v>
      </c>
      <c r="C14" t="s">
        <v>734</v>
      </c>
      <c r="D14" s="33" t="s">
        <v>877</v>
      </c>
      <c r="E14" s="50" t="s">
        <v>877</v>
      </c>
      <c r="I14" s="33"/>
      <c r="M14" s="33"/>
      <c r="P14" s="33"/>
    </row>
    <row r="15" spans="1:16" x14ac:dyDescent="0.25">
      <c r="A15" s="33" t="s">
        <v>722</v>
      </c>
      <c r="B15" t="s">
        <v>681</v>
      </c>
      <c r="C15" t="s">
        <v>735</v>
      </c>
      <c r="D15" s="33" t="s">
        <v>682</v>
      </c>
      <c r="E15" s="50" t="s">
        <v>682</v>
      </c>
      <c r="G15" s="33" t="s">
        <v>950</v>
      </c>
      <c r="H15" s="33" t="s">
        <v>930</v>
      </c>
      <c r="I15" s="33" t="s">
        <v>682</v>
      </c>
      <c r="J15" s="33" t="s">
        <v>951</v>
      </c>
      <c r="M15" s="33"/>
      <c r="P15" s="33"/>
    </row>
    <row r="16" spans="1:16" x14ac:dyDescent="0.25">
      <c r="A16" s="33" t="s">
        <v>722</v>
      </c>
      <c r="B16" t="s">
        <v>683</v>
      </c>
      <c r="C16" t="s">
        <v>736</v>
      </c>
      <c r="D16" s="33" t="s">
        <v>684</v>
      </c>
      <c r="E16" s="50" t="s">
        <v>684</v>
      </c>
      <c r="I16" s="33"/>
      <c r="M16" s="33"/>
      <c r="P16" s="33"/>
    </row>
    <row r="17" spans="1:16" x14ac:dyDescent="0.25">
      <c r="A17" s="33" t="s">
        <v>722</v>
      </c>
      <c r="B17" t="s">
        <v>685</v>
      </c>
      <c r="C17" t="s">
        <v>737</v>
      </c>
      <c r="D17" s="33" t="s">
        <v>686</v>
      </c>
      <c r="E17" s="50" t="s">
        <v>686</v>
      </c>
      <c r="G17" s="33" t="s">
        <v>932</v>
      </c>
      <c r="H17" s="33" t="s">
        <v>931</v>
      </c>
      <c r="I17" s="33" t="s">
        <v>686</v>
      </c>
      <c r="J17" s="33" t="s">
        <v>955</v>
      </c>
      <c r="M17" s="33"/>
      <c r="P17" s="33"/>
    </row>
    <row r="18" spans="1:16" x14ac:dyDescent="0.25">
      <c r="A18" s="33" t="s">
        <v>722</v>
      </c>
      <c r="B18" t="s">
        <v>878</v>
      </c>
      <c r="C18" t="s">
        <v>879</v>
      </c>
      <c r="D18" s="33" t="s">
        <v>687</v>
      </c>
      <c r="E18" s="50" t="s">
        <v>687</v>
      </c>
      <c r="I18" s="33"/>
      <c r="M18" s="33"/>
      <c r="P18" s="33"/>
    </row>
    <row r="19" spans="1:16" x14ac:dyDescent="0.25">
      <c r="A19" s="33" t="s">
        <v>722</v>
      </c>
      <c r="B19" t="s">
        <v>880</v>
      </c>
      <c r="C19" t="s">
        <v>881</v>
      </c>
      <c r="D19" s="33" t="s">
        <v>882</v>
      </c>
      <c r="E19" s="50" t="s">
        <v>882</v>
      </c>
      <c r="I19" s="33"/>
      <c r="M19" s="33"/>
      <c r="P19" s="33"/>
    </row>
    <row r="20" spans="1:16" x14ac:dyDescent="0.25">
      <c r="A20" s="33"/>
      <c r="B20" t="s">
        <v>883</v>
      </c>
      <c r="C20" t="s">
        <v>883</v>
      </c>
      <c r="D20" s="33" t="s">
        <v>884</v>
      </c>
      <c r="E20" s="50" t="s">
        <v>884</v>
      </c>
      <c r="I20" s="33"/>
      <c r="M20" s="33"/>
      <c r="P20" s="33"/>
    </row>
    <row r="21" spans="1:16" x14ac:dyDescent="0.25">
      <c r="A21" s="33" t="s">
        <v>722</v>
      </c>
      <c r="B21" t="s">
        <v>688</v>
      </c>
      <c r="C21" t="s">
        <v>738</v>
      </c>
      <c r="D21" s="33" t="s">
        <v>739</v>
      </c>
      <c r="E21" s="50" t="s">
        <v>739</v>
      </c>
      <c r="I21" s="33"/>
      <c r="M21" s="33"/>
      <c r="P21" s="33"/>
    </row>
    <row r="22" spans="1:16" x14ac:dyDescent="0.25">
      <c r="A22" s="33" t="s">
        <v>722</v>
      </c>
      <c r="B22" t="s">
        <v>689</v>
      </c>
      <c r="C22" t="s">
        <v>740</v>
      </c>
      <c r="D22" s="33" t="s">
        <v>885</v>
      </c>
      <c r="E22" s="50" t="s">
        <v>885</v>
      </c>
      <c r="I22" s="33"/>
      <c r="M22" s="33"/>
      <c r="P22" s="33"/>
    </row>
    <row r="23" spans="1:16" x14ac:dyDescent="0.25">
      <c r="A23" s="33" t="s">
        <v>722</v>
      </c>
      <c r="B23" t="s">
        <v>690</v>
      </c>
      <c r="C23" t="s">
        <v>741</v>
      </c>
      <c r="D23" s="33" t="s">
        <v>886</v>
      </c>
      <c r="E23" s="50" t="s">
        <v>886</v>
      </c>
      <c r="I23" s="33"/>
      <c r="M23" s="33"/>
      <c r="P23" s="33"/>
    </row>
    <row r="24" spans="1:16" x14ac:dyDescent="0.25">
      <c r="A24" s="33" t="s">
        <v>722</v>
      </c>
      <c r="B24" t="s">
        <v>691</v>
      </c>
      <c r="C24" t="s">
        <v>742</v>
      </c>
      <c r="D24" s="33" t="s">
        <v>887</v>
      </c>
      <c r="E24" s="50" t="s">
        <v>887</v>
      </c>
      <c r="I24" s="33"/>
      <c r="M24" s="33"/>
      <c r="P24" s="33"/>
    </row>
    <row r="25" spans="1:16" x14ac:dyDescent="0.25">
      <c r="A25" s="33" t="s">
        <v>722</v>
      </c>
      <c r="B25" t="s">
        <v>888</v>
      </c>
      <c r="C25" t="s">
        <v>889</v>
      </c>
      <c r="D25" s="33" t="s">
        <v>890</v>
      </c>
      <c r="E25" s="50" t="s">
        <v>890</v>
      </c>
      <c r="I25" s="33"/>
      <c r="M25" s="33"/>
      <c r="P25" s="33"/>
    </row>
    <row r="26" spans="1:16" x14ac:dyDescent="0.25">
      <c r="A26" s="33" t="s">
        <v>722</v>
      </c>
      <c r="B26" t="s">
        <v>692</v>
      </c>
      <c r="C26" t="s">
        <v>743</v>
      </c>
      <c r="D26" s="33" t="s">
        <v>891</v>
      </c>
      <c r="E26" s="50" t="s">
        <v>891</v>
      </c>
      <c r="I26" s="33"/>
      <c r="M26" s="33"/>
      <c r="P26" s="33"/>
    </row>
    <row r="27" spans="1:16" x14ac:dyDescent="0.25">
      <c r="A27" s="33" t="s">
        <v>722</v>
      </c>
      <c r="B27" t="s">
        <v>693</v>
      </c>
      <c r="C27" t="s">
        <v>744</v>
      </c>
      <c r="D27" s="33" t="s">
        <v>694</v>
      </c>
      <c r="E27" s="50" t="s">
        <v>694</v>
      </c>
      <c r="G27" s="33" t="s">
        <v>956</v>
      </c>
      <c r="H27" s="33" t="s">
        <v>944</v>
      </c>
      <c r="I27" s="33" t="s">
        <v>694</v>
      </c>
      <c r="J27" s="33" t="s">
        <v>958</v>
      </c>
      <c r="M27" s="33"/>
      <c r="P27" s="33"/>
    </row>
    <row r="28" spans="1:16" x14ac:dyDescent="0.25">
      <c r="A28" s="33" t="s">
        <v>722</v>
      </c>
      <c r="B28" t="s">
        <v>695</v>
      </c>
      <c r="C28" t="s">
        <v>745</v>
      </c>
      <c r="D28" s="33" t="s">
        <v>696</v>
      </c>
      <c r="E28" s="50" t="s">
        <v>696</v>
      </c>
      <c r="I28" s="33"/>
      <c r="M28" s="33"/>
      <c r="P28" s="33"/>
    </row>
    <row r="29" spans="1:16" x14ac:dyDescent="0.25">
      <c r="A29" s="33" t="s">
        <v>722</v>
      </c>
      <c r="B29" t="s">
        <v>697</v>
      </c>
      <c r="C29" t="s">
        <v>746</v>
      </c>
      <c r="D29" s="33" t="s">
        <v>698</v>
      </c>
      <c r="E29" s="50" t="s">
        <v>698</v>
      </c>
      <c r="G29" t="s">
        <v>945</v>
      </c>
      <c r="H29" t="s">
        <v>946</v>
      </c>
      <c r="I29" s="33"/>
      <c r="M29" s="33"/>
      <c r="P29" s="33"/>
    </row>
    <row r="30" spans="1:16" x14ac:dyDescent="0.25">
      <c r="A30" s="33" t="s">
        <v>722</v>
      </c>
      <c r="B30" t="s">
        <v>699</v>
      </c>
      <c r="C30" t="s">
        <v>747</v>
      </c>
      <c r="D30" s="33" t="s">
        <v>700</v>
      </c>
      <c r="E30" s="50" t="s">
        <v>700</v>
      </c>
      <c r="I30" s="33"/>
      <c r="M30" s="33"/>
      <c r="P30" s="33"/>
    </row>
    <row r="31" spans="1:16" x14ac:dyDescent="0.25">
      <c r="A31" s="33" t="s">
        <v>722</v>
      </c>
      <c r="B31" t="s">
        <v>892</v>
      </c>
      <c r="C31" t="s">
        <v>893</v>
      </c>
      <c r="D31" s="33" t="s">
        <v>894</v>
      </c>
      <c r="E31" s="50" t="s">
        <v>894</v>
      </c>
      <c r="I31" s="33"/>
      <c r="M31" s="33"/>
      <c r="P31" s="33"/>
    </row>
    <row r="32" spans="1:16" x14ac:dyDescent="0.25">
      <c r="A32" s="33" t="s">
        <v>722</v>
      </c>
      <c r="B32" t="s">
        <v>701</v>
      </c>
      <c r="C32" t="s">
        <v>748</v>
      </c>
      <c r="D32" s="33" t="s">
        <v>895</v>
      </c>
      <c r="E32" s="50" t="s">
        <v>895</v>
      </c>
      <c r="I32" s="33"/>
      <c r="M32" s="33"/>
      <c r="P32" s="33"/>
    </row>
    <row r="33" spans="1:16" x14ac:dyDescent="0.25">
      <c r="A33" s="33" t="s">
        <v>722</v>
      </c>
      <c r="B33" t="s">
        <v>702</v>
      </c>
      <c r="C33" t="s">
        <v>749</v>
      </c>
      <c r="D33" s="33" t="s">
        <v>896</v>
      </c>
      <c r="E33" s="50" t="s">
        <v>896</v>
      </c>
      <c r="I33" s="33"/>
      <c r="M33" s="33"/>
      <c r="P33" s="33"/>
    </row>
    <row r="34" spans="1:16" x14ac:dyDescent="0.25">
      <c r="A34" s="33" t="s">
        <v>722</v>
      </c>
      <c r="B34" t="s">
        <v>703</v>
      </c>
      <c r="C34" t="s">
        <v>750</v>
      </c>
      <c r="D34" s="33" t="s">
        <v>897</v>
      </c>
      <c r="E34" s="50" t="s">
        <v>897</v>
      </c>
      <c r="I34" s="33"/>
      <c r="M34" s="33"/>
      <c r="P34" s="33"/>
    </row>
    <row r="35" spans="1:16" x14ac:dyDescent="0.25">
      <c r="A35" s="33" t="s">
        <v>722</v>
      </c>
      <c r="B35" t="s">
        <v>898</v>
      </c>
      <c r="C35" t="s">
        <v>899</v>
      </c>
      <c r="D35" s="33" t="s">
        <v>900</v>
      </c>
      <c r="E35" s="50" t="s">
        <v>900</v>
      </c>
      <c r="I35" s="33"/>
      <c r="M35" s="33"/>
      <c r="P35" s="33"/>
    </row>
    <row r="36" spans="1:16" x14ac:dyDescent="0.25">
      <c r="A36" s="33" t="s">
        <v>722</v>
      </c>
      <c r="B36" t="s">
        <v>704</v>
      </c>
      <c r="C36" t="s">
        <v>751</v>
      </c>
      <c r="D36" s="33" t="s">
        <v>901</v>
      </c>
      <c r="E36" s="50" t="s">
        <v>901</v>
      </c>
      <c r="I36" s="33"/>
      <c r="M36" s="33"/>
      <c r="P36" s="33"/>
    </row>
    <row r="37" spans="1:16" x14ac:dyDescent="0.25">
      <c r="A37" s="33" t="s">
        <v>722</v>
      </c>
      <c r="B37" t="s">
        <v>902</v>
      </c>
      <c r="C37" t="s">
        <v>903</v>
      </c>
      <c r="D37" s="33" t="s">
        <v>904</v>
      </c>
      <c r="E37" s="50" t="s">
        <v>904</v>
      </c>
      <c r="I37" s="33"/>
      <c r="M37" s="33"/>
      <c r="P37" s="33"/>
    </row>
    <row r="38" spans="1:16" x14ac:dyDescent="0.25">
      <c r="A38" s="33" t="s">
        <v>722</v>
      </c>
      <c r="B38" t="s">
        <v>705</v>
      </c>
      <c r="C38" t="s">
        <v>752</v>
      </c>
      <c r="D38" s="33" t="s">
        <v>706</v>
      </c>
      <c r="E38" s="50" t="s">
        <v>706</v>
      </c>
      <c r="G38" s="33" t="s">
        <v>957</v>
      </c>
      <c r="H38" s="33" t="s">
        <v>947</v>
      </c>
      <c r="I38" s="33" t="s">
        <v>706</v>
      </c>
      <c r="J38" s="33" t="s">
        <v>959</v>
      </c>
      <c r="M38" s="33"/>
      <c r="P38" s="33"/>
    </row>
    <row r="39" spans="1:16" x14ac:dyDescent="0.25">
      <c r="A39" s="33" t="s">
        <v>722</v>
      </c>
      <c r="B39" t="s">
        <v>707</v>
      </c>
      <c r="C39" t="s">
        <v>753</v>
      </c>
      <c r="D39" s="33" t="s">
        <v>708</v>
      </c>
      <c r="E39" s="50" t="s">
        <v>708</v>
      </c>
      <c r="I39" s="33"/>
      <c r="M39" s="33"/>
      <c r="P39" s="33"/>
    </row>
    <row r="40" spans="1:16" x14ac:dyDescent="0.25">
      <c r="A40" s="33" t="s">
        <v>722</v>
      </c>
      <c r="B40" t="s">
        <v>709</v>
      </c>
      <c r="C40" t="s">
        <v>754</v>
      </c>
      <c r="D40" s="33" t="s">
        <v>710</v>
      </c>
      <c r="E40" s="50" t="s">
        <v>710</v>
      </c>
      <c r="G40" t="s">
        <v>948</v>
      </c>
      <c r="H40" t="s">
        <v>949</v>
      </c>
      <c r="I40" s="33"/>
      <c r="M40" s="33"/>
      <c r="P40" s="33"/>
    </row>
    <row r="41" spans="1:16" x14ac:dyDescent="0.25">
      <c r="A41" s="33" t="s">
        <v>722</v>
      </c>
      <c r="B41" t="s">
        <v>711</v>
      </c>
      <c r="C41" t="s">
        <v>755</v>
      </c>
      <c r="D41" s="33" t="s">
        <v>712</v>
      </c>
      <c r="E41" s="50" t="s">
        <v>712</v>
      </c>
      <c r="I41" s="33"/>
      <c r="M41" s="33"/>
      <c r="P41" s="33"/>
    </row>
    <row r="42" spans="1:16" x14ac:dyDescent="0.25">
      <c r="A42" s="33" t="s">
        <v>722</v>
      </c>
      <c r="B42" t="s">
        <v>905</v>
      </c>
      <c r="C42" t="s">
        <v>906</v>
      </c>
      <c r="D42" s="33" t="s">
        <v>907</v>
      </c>
      <c r="E42" s="50" t="s">
        <v>907</v>
      </c>
      <c r="I42" s="33"/>
      <c r="M42" s="33"/>
      <c r="P42" s="33"/>
    </row>
    <row r="43" spans="1:16" x14ac:dyDescent="0.25">
      <c r="A43" s="33" t="s">
        <v>722</v>
      </c>
      <c r="B43" t="s">
        <v>207</v>
      </c>
      <c r="C43" t="s">
        <v>756</v>
      </c>
      <c r="D43" s="33" t="s">
        <v>757</v>
      </c>
      <c r="E43" s="50" t="s">
        <v>757</v>
      </c>
      <c r="I43" s="33"/>
      <c r="M43" s="33"/>
      <c r="P43" s="33"/>
    </row>
    <row r="44" spans="1:16" x14ac:dyDescent="0.25">
      <c r="A44" s="33" t="s">
        <v>722</v>
      </c>
      <c r="B44" t="s">
        <v>713</v>
      </c>
      <c r="C44" t="s">
        <v>758</v>
      </c>
      <c r="D44" s="33" t="s">
        <v>908</v>
      </c>
      <c r="E44" s="50" t="s">
        <v>908</v>
      </c>
      <c r="I44" s="33"/>
      <c r="M44" s="33"/>
      <c r="P44" s="33"/>
    </row>
    <row r="45" spans="1:16" x14ac:dyDescent="0.25">
      <c r="A45" s="33" t="s">
        <v>722</v>
      </c>
      <c r="B45" t="s">
        <v>714</v>
      </c>
      <c r="C45" t="s">
        <v>759</v>
      </c>
      <c r="D45" s="33" t="s">
        <v>909</v>
      </c>
      <c r="E45" s="50" t="s">
        <v>909</v>
      </c>
      <c r="I45" s="33"/>
      <c r="M45" s="33"/>
      <c r="P45" s="33"/>
    </row>
    <row r="46" spans="1:16" x14ac:dyDescent="0.25">
      <c r="A46" s="33" t="s">
        <v>722</v>
      </c>
      <c r="B46" t="s">
        <v>715</v>
      </c>
      <c r="C46" t="s">
        <v>760</v>
      </c>
      <c r="D46" s="33" t="s">
        <v>910</v>
      </c>
      <c r="E46" s="50" t="s">
        <v>910</v>
      </c>
      <c r="I46" s="33"/>
      <c r="M46" s="33"/>
      <c r="P46" s="33"/>
    </row>
    <row r="47" spans="1:16" x14ac:dyDescent="0.25">
      <c r="A47" s="33" t="s">
        <v>722</v>
      </c>
      <c r="B47" t="s">
        <v>911</v>
      </c>
      <c r="C47" t="s">
        <v>912</v>
      </c>
      <c r="D47" s="33" t="s">
        <v>913</v>
      </c>
      <c r="E47" s="50" t="s">
        <v>913</v>
      </c>
      <c r="I47" s="33"/>
      <c r="M47" s="33"/>
      <c r="P47" s="33"/>
    </row>
    <row r="48" spans="1:16" x14ac:dyDescent="0.25">
      <c r="A48" s="33" t="s">
        <v>722</v>
      </c>
      <c r="B48" t="s">
        <v>914</v>
      </c>
      <c r="C48" t="s">
        <v>915</v>
      </c>
      <c r="D48" s="33" t="s">
        <v>916</v>
      </c>
      <c r="E48" s="50" t="s">
        <v>916</v>
      </c>
      <c r="I48" s="33"/>
      <c r="M48" s="33"/>
      <c r="P48" s="33"/>
    </row>
    <row r="49" spans="1:16" x14ac:dyDescent="0.25">
      <c r="A49" s="33" t="s">
        <v>722</v>
      </c>
      <c r="B49" t="s">
        <v>716</v>
      </c>
      <c r="C49" t="s">
        <v>761</v>
      </c>
      <c r="D49" s="33" t="s">
        <v>917</v>
      </c>
      <c r="E49" s="50" t="s">
        <v>917</v>
      </c>
      <c r="I49" s="33"/>
      <c r="M49" s="33"/>
      <c r="P49" s="33"/>
    </row>
    <row r="50" spans="1:16" x14ac:dyDescent="0.25">
      <c r="B50" t="s">
        <v>918</v>
      </c>
      <c r="C50" t="s">
        <v>918</v>
      </c>
      <c r="D50" s="33" t="s">
        <v>919</v>
      </c>
      <c r="E50" s="50" t="s">
        <v>919</v>
      </c>
      <c r="I50" s="33"/>
      <c r="M50" s="33"/>
      <c r="P50" s="33"/>
    </row>
    <row r="51" spans="1:16" x14ac:dyDescent="0.25">
      <c r="A51" s="33" t="s">
        <v>722</v>
      </c>
      <c r="B51" t="s">
        <v>717</v>
      </c>
      <c r="C51" t="s">
        <v>762</v>
      </c>
      <c r="D51" s="33" t="s">
        <v>935</v>
      </c>
      <c r="E51" s="50" t="s">
        <v>935</v>
      </c>
      <c r="G51" s="33" t="s">
        <v>941</v>
      </c>
      <c r="H51" s="33" t="s">
        <v>940</v>
      </c>
      <c r="I51" s="33" t="s">
        <v>935</v>
      </c>
      <c r="J51" s="33" t="s">
        <v>960</v>
      </c>
      <c r="M51" s="33"/>
      <c r="P51" s="33"/>
    </row>
    <row r="52" spans="1:16" x14ac:dyDescent="0.25">
      <c r="A52" s="33" t="s">
        <v>722</v>
      </c>
      <c r="B52" t="s">
        <v>718</v>
      </c>
      <c r="C52" t="s">
        <v>763</v>
      </c>
      <c r="D52" s="33" t="s">
        <v>936</v>
      </c>
      <c r="E52" s="50" t="s">
        <v>936</v>
      </c>
      <c r="G52" s="26"/>
      <c r="H52" s="26"/>
      <c r="I52" s="33"/>
      <c r="M52" s="33"/>
      <c r="P52" s="33"/>
    </row>
    <row r="53" spans="1:16" x14ac:dyDescent="0.25">
      <c r="A53" s="33" t="s">
        <v>722</v>
      </c>
      <c r="B53" t="s">
        <v>719</v>
      </c>
      <c r="C53" t="s">
        <v>764</v>
      </c>
      <c r="D53" s="33" t="s">
        <v>937</v>
      </c>
      <c r="E53" s="50" t="s">
        <v>937</v>
      </c>
      <c r="G53" s="26"/>
      <c r="H53" s="26"/>
      <c r="I53" s="33"/>
      <c r="M53" s="33"/>
      <c r="P53" s="33"/>
    </row>
    <row r="54" spans="1:16" s="26" customFormat="1" x14ac:dyDescent="0.25">
      <c r="A54" s="33" t="s">
        <v>722</v>
      </c>
      <c r="B54" s="26" t="s">
        <v>720</v>
      </c>
      <c r="C54" s="26" t="s">
        <v>765</v>
      </c>
      <c r="D54" s="33" t="s">
        <v>938</v>
      </c>
      <c r="E54" s="50"/>
      <c r="G54" s="26" t="s">
        <v>942</v>
      </c>
      <c r="H54" s="26" t="s">
        <v>943</v>
      </c>
      <c r="I54" s="33"/>
      <c r="M54" s="33"/>
      <c r="P54" s="33"/>
    </row>
    <row r="55" spans="1:16" x14ac:dyDescent="0.25">
      <c r="A55" s="33" t="s">
        <v>722</v>
      </c>
      <c r="B55" t="s">
        <v>721</v>
      </c>
      <c r="C55" t="s">
        <v>766</v>
      </c>
      <c r="D55" s="33" t="s">
        <v>939</v>
      </c>
      <c r="E55" s="50" t="s">
        <v>939</v>
      </c>
      <c r="G55" s="26"/>
      <c r="H55" s="26"/>
      <c r="I55" s="33"/>
      <c r="M55" s="33"/>
      <c r="P55" s="33"/>
    </row>
    <row r="56" spans="1:16" x14ac:dyDescent="0.25">
      <c r="A56" s="33" t="s">
        <v>722</v>
      </c>
      <c r="B56" t="s">
        <v>920</v>
      </c>
      <c r="C56" t="s">
        <v>921</v>
      </c>
      <c r="D56" s="33" t="s">
        <v>922</v>
      </c>
      <c r="E56" s="50" t="s">
        <v>922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6" customFormat="1" x14ac:dyDescent="0.25">
      <c r="A59" s="76" t="s">
        <v>1042</v>
      </c>
      <c r="B59" s="76" t="s">
        <v>1041</v>
      </c>
      <c r="C59" s="77" t="s">
        <v>927</v>
      </c>
      <c r="D59" s="78" t="s">
        <v>928</v>
      </c>
      <c r="E59" s="78" t="s">
        <v>929</v>
      </c>
      <c r="H59" s="78"/>
    </row>
    <row r="60" spans="1:16" x14ac:dyDescent="0.25">
      <c r="A60" s="33" t="s">
        <v>1045</v>
      </c>
      <c r="B60" t="s">
        <v>1041</v>
      </c>
      <c r="C60" s="28" t="s">
        <v>1043</v>
      </c>
      <c r="D60" s="33" t="s">
        <v>1044</v>
      </c>
      <c r="E60" s="33" t="s">
        <v>1044</v>
      </c>
      <c r="H60" s="33"/>
    </row>
    <row r="61" spans="1:16" x14ac:dyDescent="0.25">
      <c r="A61" t="s">
        <v>722</v>
      </c>
      <c r="B61" t="s">
        <v>491</v>
      </c>
      <c r="C61" s="50" t="s">
        <v>1046</v>
      </c>
      <c r="D61" s="33" t="s">
        <v>1047</v>
      </c>
      <c r="E61" s="33" t="s">
        <v>1047</v>
      </c>
      <c r="H61" s="33"/>
    </row>
    <row r="62" spans="1:16" x14ac:dyDescent="0.25">
      <c r="A62" t="s">
        <v>722</v>
      </c>
      <c r="B62" t="s">
        <v>1048</v>
      </c>
      <c r="C62" s="28" t="s">
        <v>862</v>
      </c>
      <c r="D62" s="33" t="s">
        <v>863</v>
      </c>
      <c r="E62" s="33" t="s">
        <v>863</v>
      </c>
      <c r="H62" s="33"/>
    </row>
    <row r="63" spans="1:16" x14ac:dyDescent="0.25">
      <c r="A63" t="s">
        <v>722</v>
      </c>
      <c r="B63" t="s">
        <v>1051</v>
      </c>
      <c r="C63" s="28" t="s">
        <v>1049</v>
      </c>
      <c r="D63" s="33" t="s">
        <v>1050</v>
      </c>
      <c r="E63" s="33" t="s">
        <v>1050</v>
      </c>
      <c r="H63" s="33"/>
    </row>
    <row r="64" spans="1:16" x14ac:dyDescent="0.25">
      <c r="A64" t="s">
        <v>722</v>
      </c>
      <c r="B64" t="s">
        <v>1054</v>
      </c>
      <c r="C64" s="28" t="s">
        <v>1052</v>
      </c>
      <c r="D64" s="33" t="s">
        <v>1053</v>
      </c>
      <c r="E64" s="33" t="s">
        <v>1053</v>
      </c>
      <c r="H64" s="33"/>
    </row>
    <row r="65" spans="1:8" x14ac:dyDescent="0.25">
      <c r="A65" t="s">
        <v>722</v>
      </c>
      <c r="B65" t="s">
        <v>1057</v>
      </c>
      <c r="C65" s="28" t="s">
        <v>1055</v>
      </c>
      <c r="D65" s="33" t="s">
        <v>1056</v>
      </c>
      <c r="E65" s="33" t="s">
        <v>1056</v>
      </c>
      <c r="H65" s="33"/>
    </row>
    <row r="66" spans="1:8" x14ac:dyDescent="0.25">
      <c r="A66" t="s">
        <v>722</v>
      </c>
      <c r="B66" t="s">
        <v>1059</v>
      </c>
      <c r="C66" s="28" t="s">
        <v>1058</v>
      </c>
      <c r="D66" s="33" t="s">
        <v>712</v>
      </c>
      <c r="E66" s="33" t="s">
        <v>712</v>
      </c>
      <c r="H66" s="33"/>
    </row>
    <row r="67" spans="1:8" x14ac:dyDescent="0.25">
      <c r="A67" t="s">
        <v>722</v>
      </c>
      <c r="B67" t="s">
        <v>1062</v>
      </c>
      <c r="C67" s="28" t="s">
        <v>1060</v>
      </c>
      <c r="D67" s="33" t="s">
        <v>1061</v>
      </c>
      <c r="E67" s="33" t="s">
        <v>1061</v>
      </c>
    </row>
    <row r="68" spans="1:8" x14ac:dyDescent="0.25">
      <c r="A68" t="s">
        <v>722</v>
      </c>
      <c r="B68" t="s">
        <v>1065</v>
      </c>
      <c r="C68" s="28" t="s">
        <v>1063</v>
      </c>
      <c r="D68" s="33" t="s">
        <v>1064</v>
      </c>
      <c r="E68" s="33" t="s">
        <v>1064</v>
      </c>
    </row>
    <row r="69" spans="1:8" x14ac:dyDescent="0.25">
      <c r="A69" t="s">
        <v>722</v>
      </c>
      <c r="B69" t="s">
        <v>671</v>
      </c>
      <c r="C69" s="28" t="s">
        <v>1066</v>
      </c>
      <c r="D69" s="33" t="s">
        <v>1067</v>
      </c>
      <c r="E69" s="33" t="s">
        <v>1067</v>
      </c>
    </row>
    <row r="70" spans="1:8" x14ac:dyDescent="0.25">
      <c r="A70" t="s">
        <v>722</v>
      </c>
      <c r="B70" t="s">
        <v>1068</v>
      </c>
      <c r="C70" s="28" t="s">
        <v>723</v>
      </c>
      <c r="D70" s="33" t="s">
        <v>724</v>
      </c>
      <c r="E70" s="33" t="s">
        <v>724</v>
      </c>
    </row>
    <row r="71" spans="1:8" x14ac:dyDescent="0.25">
      <c r="A71" t="s">
        <v>722</v>
      </c>
      <c r="B71" t="s">
        <v>672</v>
      </c>
      <c r="C71" s="28" t="s">
        <v>1069</v>
      </c>
      <c r="D71" s="33" t="s">
        <v>1070</v>
      </c>
      <c r="E71" s="33" t="s">
        <v>1070</v>
      </c>
    </row>
    <row r="72" spans="1:8" x14ac:dyDescent="0.25">
      <c r="A72" t="s">
        <v>722</v>
      </c>
      <c r="B72" t="s">
        <v>673</v>
      </c>
      <c r="C72" s="28" t="s">
        <v>725</v>
      </c>
      <c r="D72" s="33" t="s">
        <v>1071</v>
      </c>
      <c r="E72" s="33" t="s">
        <v>1071</v>
      </c>
    </row>
    <row r="73" spans="1:8" x14ac:dyDescent="0.25">
      <c r="A73" t="s">
        <v>722</v>
      </c>
      <c r="B73" t="s">
        <v>674</v>
      </c>
      <c r="C73" s="28" t="s">
        <v>726</v>
      </c>
      <c r="D73" s="33" t="s">
        <v>1072</v>
      </c>
      <c r="E73" s="33" t="s">
        <v>1072</v>
      </c>
    </row>
    <row r="74" spans="1:8" x14ac:dyDescent="0.25">
      <c r="A74" t="s">
        <v>722</v>
      </c>
      <c r="B74" t="s">
        <v>675</v>
      </c>
      <c r="C74" s="28" t="s">
        <v>727</v>
      </c>
      <c r="D74" s="33" t="s">
        <v>1073</v>
      </c>
      <c r="E74" s="33" t="s">
        <v>1073</v>
      </c>
    </row>
    <row r="75" spans="1:8" x14ac:dyDescent="0.25">
      <c r="A75" t="s">
        <v>722</v>
      </c>
      <c r="B75" t="s">
        <v>1074</v>
      </c>
      <c r="C75" s="50" t="s">
        <v>728</v>
      </c>
      <c r="D75" s="33" t="s">
        <v>729</v>
      </c>
      <c r="E75" s="33" t="s">
        <v>729</v>
      </c>
    </row>
    <row r="76" spans="1:8" x14ac:dyDescent="0.25">
      <c r="A76" s="33" t="s">
        <v>722</v>
      </c>
      <c r="B76" t="s">
        <v>676</v>
      </c>
      <c r="C76" s="50" t="s">
        <v>1075</v>
      </c>
      <c r="D76" s="33" t="s">
        <v>1076</v>
      </c>
      <c r="E76" s="33" t="s">
        <v>1076</v>
      </c>
    </row>
    <row r="77" spans="1:8" x14ac:dyDescent="0.25">
      <c r="A77" s="33" t="s">
        <v>722</v>
      </c>
      <c r="B77" t="s">
        <v>677</v>
      </c>
      <c r="C77" s="50" t="s">
        <v>730</v>
      </c>
      <c r="D77" s="33" t="s">
        <v>1077</v>
      </c>
      <c r="E77" s="33" t="s">
        <v>1077</v>
      </c>
    </row>
    <row r="78" spans="1:8" x14ac:dyDescent="0.25">
      <c r="A78" s="33" t="s">
        <v>722</v>
      </c>
      <c r="B78" t="s">
        <v>678</v>
      </c>
      <c r="C78" s="50" t="s">
        <v>731</v>
      </c>
      <c r="D78" s="33" t="s">
        <v>1078</v>
      </c>
      <c r="E78" s="33" t="s">
        <v>1078</v>
      </c>
    </row>
    <row r="79" spans="1:8" x14ac:dyDescent="0.25">
      <c r="A79" s="33" t="s">
        <v>722</v>
      </c>
      <c r="B79" t="s">
        <v>870</v>
      </c>
      <c r="C79" s="50" t="s">
        <v>732</v>
      </c>
      <c r="D79" s="33" t="s">
        <v>1079</v>
      </c>
      <c r="E79" s="33" t="s">
        <v>1079</v>
      </c>
    </row>
    <row r="80" spans="1:8" x14ac:dyDescent="0.25">
      <c r="A80" s="33" t="s">
        <v>722</v>
      </c>
      <c r="B80" t="s">
        <v>679</v>
      </c>
      <c r="C80" s="50" t="s">
        <v>871</v>
      </c>
      <c r="D80" s="33" t="s">
        <v>872</v>
      </c>
      <c r="E80" s="33" t="s">
        <v>872</v>
      </c>
    </row>
    <row r="81" spans="1:5" x14ac:dyDescent="0.25">
      <c r="A81" s="33" t="s">
        <v>722</v>
      </c>
      <c r="B81" t="s">
        <v>874</v>
      </c>
      <c r="C81" s="50" t="s">
        <v>733</v>
      </c>
      <c r="D81" s="33" t="s">
        <v>1080</v>
      </c>
      <c r="E81" s="33" t="s">
        <v>1080</v>
      </c>
    </row>
    <row r="82" spans="1:5" x14ac:dyDescent="0.25">
      <c r="A82" s="33" t="s">
        <v>722</v>
      </c>
      <c r="B82" t="s">
        <v>1081</v>
      </c>
      <c r="C82" s="50" t="s">
        <v>875</v>
      </c>
      <c r="D82" s="33" t="s">
        <v>876</v>
      </c>
      <c r="E82" s="33" t="s">
        <v>876</v>
      </c>
    </row>
    <row r="83" spans="1:5" x14ac:dyDescent="0.25">
      <c r="A83" t="s">
        <v>722</v>
      </c>
      <c r="B83" t="s">
        <v>680</v>
      </c>
      <c r="C83" s="28" t="s">
        <v>1082</v>
      </c>
      <c r="D83" s="33" t="s">
        <v>1083</v>
      </c>
      <c r="E83" s="33" t="s">
        <v>1083</v>
      </c>
    </row>
    <row r="84" spans="1:5" x14ac:dyDescent="0.25">
      <c r="A84" t="s">
        <v>722</v>
      </c>
      <c r="B84" t="s">
        <v>681</v>
      </c>
      <c r="C84" s="28" t="s">
        <v>734</v>
      </c>
      <c r="D84" s="33" t="s">
        <v>1084</v>
      </c>
      <c r="E84" s="33" t="s">
        <v>1084</v>
      </c>
    </row>
    <row r="85" spans="1:5" x14ac:dyDescent="0.25">
      <c r="A85" t="s">
        <v>722</v>
      </c>
      <c r="B85" t="s">
        <v>683</v>
      </c>
      <c r="C85" s="28" t="s">
        <v>735</v>
      </c>
      <c r="D85" s="33" t="s">
        <v>951</v>
      </c>
      <c r="E85" s="33" t="s">
        <v>951</v>
      </c>
    </row>
    <row r="86" spans="1:5" x14ac:dyDescent="0.25">
      <c r="A86" t="s">
        <v>722</v>
      </c>
      <c r="B86" t="s">
        <v>685</v>
      </c>
      <c r="C86" s="28" t="s">
        <v>736</v>
      </c>
      <c r="D86" s="33" t="s">
        <v>684</v>
      </c>
      <c r="E86" s="33" t="s">
        <v>684</v>
      </c>
    </row>
    <row r="87" spans="1:5" x14ac:dyDescent="0.25">
      <c r="A87" t="s">
        <v>722</v>
      </c>
      <c r="B87" t="s">
        <v>878</v>
      </c>
      <c r="C87" s="28" t="s">
        <v>737</v>
      </c>
      <c r="D87" s="33" t="s">
        <v>955</v>
      </c>
      <c r="E87" s="33" t="s">
        <v>955</v>
      </c>
    </row>
    <row r="88" spans="1:5" x14ac:dyDescent="0.25">
      <c r="A88" t="s">
        <v>722</v>
      </c>
      <c r="B88" t="s">
        <v>1085</v>
      </c>
      <c r="C88" s="28" t="s">
        <v>879</v>
      </c>
      <c r="D88" s="33" t="s">
        <v>687</v>
      </c>
      <c r="E88" s="33" t="s">
        <v>687</v>
      </c>
    </row>
    <row r="89" spans="1:5" x14ac:dyDescent="0.25">
      <c r="A89" t="s">
        <v>722</v>
      </c>
      <c r="B89" t="s">
        <v>880</v>
      </c>
      <c r="C89" s="28" t="s">
        <v>1086</v>
      </c>
      <c r="D89" s="33" t="s">
        <v>1087</v>
      </c>
      <c r="E89" s="33" t="s">
        <v>1087</v>
      </c>
    </row>
    <row r="90" spans="1:5" x14ac:dyDescent="0.25">
      <c r="B90" t="s">
        <v>883</v>
      </c>
      <c r="C90" s="28" t="s">
        <v>881</v>
      </c>
      <c r="D90" s="33" t="s">
        <v>1088</v>
      </c>
      <c r="E90" s="33" t="s">
        <v>1088</v>
      </c>
    </row>
    <row r="91" spans="1:5" x14ac:dyDescent="0.25">
      <c r="A91" t="s">
        <v>722</v>
      </c>
      <c r="B91" t="s">
        <v>688</v>
      </c>
      <c r="C91" s="28" t="s">
        <v>883</v>
      </c>
      <c r="D91" s="33" t="s">
        <v>1089</v>
      </c>
      <c r="E91" s="33" t="s">
        <v>1089</v>
      </c>
    </row>
    <row r="92" spans="1:5" x14ac:dyDescent="0.25">
      <c r="A92" t="s">
        <v>722</v>
      </c>
      <c r="B92" t="s">
        <v>1090</v>
      </c>
      <c r="C92" s="28" t="s">
        <v>738</v>
      </c>
      <c r="D92" s="33" t="s">
        <v>739</v>
      </c>
      <c r="E92" s="33" t="s">
        <v>739</v>
      </c>
    </row>
    <row r="93" spans="1:5" x14ac:dyDescent="0.25">
      <c r="A93" t="s">
        <v>722</v>
      </c>
      <c r="B93" t="s">
        <v>689</v>
      </c>
      <c r="C93" s="28" t="s">
        <v>1091</v>
      </c>
      <c r="D93" s="33" t="s">
        <v>1092</v>
      </c>
      <c r="E93" s="33" t="s">
        <v>1092</v>
      </c>
    </row>
    <row r="94" spans="1:5" x14ac:dyDescent="0.25">
      <c r="A94" t="s">
        <v>722</v>
      </c>
      <c r="B94" t="s">
        <v>690</v>
      </c>
      <c r="C94" s="28" t="s">
        <v>740</v>
      </c>
      <c r="D94" s="33" t="s">
        <v>1093</v>
      </c>
      <c r="E94" s="33" t="s">
        <v>1093</v>
      </c>
    </row>
    <row r="95" spans="1:5" x14ac:dyDescent="0.25">
      <c r="A95" t="s">
        <v>722</v>
      </c>
      <c r="B95" t="s">
        <v>691</v>
      </c>
      <c r="C95" s="28" t="s">
        <v>741</v>
      </c>
      <c r="D95" s="33" t="s">
        <v>1094</v>
      </c>
      <c r="E95" s="33" t="s">
        <v>1094</v>
      </c>
    </row>
    <row r="96" spans="1:5" x14ac:dyDescent="0.25">
      <c r="A96" t="s">
        <v>722</v>
      </c>
      <c r="B96" t="s">
        <v>888</v>
      </c>
      <c r="C96" s="28" t="s">
        <v>742</v>
      </c>
      <c r="D96" s="33" t="s">
        <v>1095</v>
      </c>
      <c r="E96" s="33" t="s">
        <v>1095</v>
      </c>
    </row>
    <row r="97" spans="1:5" x14ac:dyDescent="0.25">
      <c r="A97" t="s">
        <v>722</v>
      </c>
      <c r="B97" t="s">
        <v>1096</v>
      </c>
      <c r="C97" s="28" t="s">
        <v>889</v>
      </c>
      <c r="D97" s="33" t="s">
        <v>890</v>
      </c>
      <c r="E97" s="33" t="s">
        <v>890</v>
      </c>
    </row>
    <row r="98" spans="1:5" x14ac:dyDescent="0.25">
      <c r="A98" t="s">
        <v>722</v>
      </c>
      <c r="B98" t="s">
        <v>692</v>
      </c>
      <c r="C98" s="28" t="s">
        <v>1097</v>
      </c>
      <c r="D98" s="33" t="s">
        <v>1098</v>
      </c>
      <c r="E98" s="33" t="s">
        <v>1098</v>
      </c>
    </row>
    <row r="99" spans="1:5" x14ac:dyDescent="0.25">
      <c r="A99" t="s">
        <v>722</v>
      </c>
      <c r="B99" t="s">
        <v>693</v>
      </c>
      <c r="C99" s="28" t="s">
        <v>743</v>
      </c>
      <c r="D99" s="33" t="s">
        <v>1099</v>
      </c>
      <c r="E99" s="33" t="s">
        <v>1099</v>
      </c>
    </row>
    <row r="100" spans="1:5" x14ac:dyDescent="0.25">
      <c r="A100" t="s">
        <v>722</v>
      </c>
      <c r="B100" t="s">
        <v>695</v>
      </c>
      <c r="C100" s="28" t="s">
        <v>744</v>
      </c>
      <c r="D100" s="33" t="s">
        <v>1100</v>
      </c>
      <c r="E100" s="33" t="s">
        <v>1100</v>
      </c>
    </row>
    <row r="101" spans="1:5" x14ac:dyDescent="0.25">
      <c r="A101" t="s">
        <v>722</v>
      </c>
      <c r="B101" t="s">
        <v>697</v>
      </c>
      <c r="C101" s="28" t="s">
        <v>745</v>
      </c>
      <c r="D101" s="33" t="s">
        <v>696</v>
      </c>
      <c r="E101" s="33" t="s">
        <v>696</v>
      </c>
    </row>
    <row r="102" spans="1:5" x14ac:dyDescent="0.25">
      <c r="A102" t="s">
        <v>722</v>
      </c>
      <c r="B102" t="s">
        <v>699</v>
      </c>
      <c r="C102" s="28" t="s">
        <v>746</v>
      </c>
      <c r="D102" s="33" t="s">
        <v>1101</v>
      </c>
      <c r="E102" s="33" t="s">
        <v>1101</v>
      </c>
    </row>
    <row r="103" spans="1:5" x14ac:dyDescent="0.25">
      <c r="A103" t="s">
        <v>722</v>
      </c>
      <c r="B103" t="s">
        <v>1102</v>
      </c>
      <c r="C103" s="28" t="s">
        <v>747</v>
      </c>
      <c r="D103" s="33" t="s">
        <v>700</v>
      </c>
      <c r="E103" s="33" t="s">
        <v>700</v>
      </c>
    </row>
    <row r="104" spans="1:5" x14ac:dyDescent="0.25">
      <c r="A104" t="s">
        <v>722</v>
      </c>
      <c r="B104" t="s">
        <v>892</v>
      </c>
      <c r="C104" s="28" t="s">
        <v>1103</v>
      </c>
      <c r="D104" s="33" t="s">
        <v>1104</v>
      </c>
      <c r="E104" s="33" t="s">
        <v>1104</v>
      </c>
    </row>
    <row r="105" spans="1:5" x14ac:dyDescent="0.25">
      <c r="A105" t="s">
        <v>722</v>
      </c>
      <c r="B105" t="s">
        <v>1106</v>
      </c>
      <c r="C105" s="28" t="s">
        <v>893</v>
      </c>
      <c r="D105" s="33" t="s">
        <v>1105</v>
      </c>
      <c r="E105" s="33" t="s">
        <v>1105</v>
      </c>
    </row>
    <row r="106" spans="1:5" x14ac:dyDescent="0.25">
      <c r="A106" t="s">
        <v>722</v>
      </c>
      <c r="B106" t="s">
        <v>1109</v>
      </c>
      <c r="C106" s="28" t="s">
        <v>1107</v>
      </c>
      <c r="D106" s="33" t="s">
        <v>1108</v>
      </c>
      <c r="E106" s="33" t="s">
        <v>1108</v>
      </c>
    </row>
    <row r="107" spans="1:5" x14ac:dyDescent="0.25">
      <c r="A107" t="s">
        <v>722</v>
      </c>
      <c r="B107" t="s">
        <v>1112</v>
      </c>
      <c r="C107" s="28" t="s">
        <v>1110</v>
      </c>
      <c r="D107" s="33" t="s">
        <v>1111</v>
      </c>
      <c r="E107" s="33" t="s">
        <v>1111</v>
      </c>
    </row>
    <row r="108" spans="1:5" x14ac:dyDescent="0.25">
      <c r="A108" t="s">
        <v>722</v>
      </c>
      <c r="B108" t="s">
        <v>701</v>
      </c>
      <c r="C108" s="28" t="s">
        <v>1113</v>
      </c>
      <c r="D108" s="33" t="s">
        <v>1114</v>
      </c>
      <c r="E108" s="33" t="s">
        <v>1114</v>
      </c>
    </row>
    <row r="109" spans="1:5" x14ac:dyDescent="0.25">
      <c r="A109" t="s">
        <v>722</v>
      </c>
      <c r="B109" t="s">
        <v>702</v>
      </c>
      <c r="C109" s="28" t="s">
        <v>748</v>
      </c>
      <c r="D109" s="33" t="s">
        <v>1115</v>
      </c>
      <c r="E109" s="33" t="s">
        <v>1115</v>
      </c>
    </row>
    <row r="110" spans="1:5" x14ac:dyDescent="0.25">
      <c r="A110" t="s">
        <v>722</v>
      </c>
      <c r="B110" t="s">
        <v>703</v>
      </c>
      <c r="C110" s="28" t="s">
        <v>749</v>
      </c>
      <c r="D110" s="33" t="s">
        <v>1116</v>
      </c>
      <c r="E110" s="33" t="s">
        <v>1116</v>
      </c>
    </row>
    <row r="111" spans="1:5" x14ac:dyDescent="0.25">
      <c r="A111" t="s">
        <v>722</v>
      </c>
      <c r="B111" t="s">
        <v>898</v>
      </c>
      <c r="C111" s="28" t="s">
        <v>750</v>
      </c>
      <c r="D111" s="33" t="s">
        <v>1117</v>
      </c>
      <c r="E111" s="33" t="s">
        <v>1117</v>
      </c>
    </row>
    <row r="112" spans="1:5" x14ac:dyDescent="0.25">
      <c r="A112" t="s">
        <v>722</v>
      </c>
      <c r="B112" t="s">
        <v>1118</v>
      </c>
      <c r="C112" s="28" t="s">
        <v>899</v>
      </c>
      <c r="D112" s="33" t="s">
        <v>900</v>
      </c>
      <c r="E112" s="33" t="s">
        <v>900</v>
      </c>
    </row>
    <row r="113" spans="1:5" x14ac:dyDescent="0.25">
      <c r="A113" t="s">
        <v>722</v>
      </c>
      <c r="B113" t="s">
        <v>704</v>
      </c>
      <c r="C113" s="28" t="s">
        <v>1119</v>
      </c>
      <c r="D113" s="33" t="s">
        <v>1120</v>
      </c>
      <c r="E113" s="33" t="s">
        <v>1120</v>
      </c>
    </row>
    <row r="114" spans="1:5" x14ac:dyDescent="0.25">
      <c r="A114" t="s">
        <v>722</v>
      </c>
      <c r="B114" t="s">
        <v>902</v>
      </c>
      <c r="C114" s="28" t="s">
        <v>751</v>
      </c>
      <c r="D114" s="33" t="s">
        <v>1121</v>
      </c>
      <c r="E114" s="33" t="s">
        <v>1121</v>
      </c>
    </row>
    <row r="115" spans="1:5" x14ac:dyDescent="0.25">
      <c r="A115" t="s">
        <v>722</v>
      </c>
      <c r="B115" t="s">
        <v>705</v>
      </c>
      <c r="C115" s="28" t="s">
        <v>903</v>
      </c>
      <c r="D115" s="33" t="s">
        <v>904</v>
      </c>
      <c r="E115" s="33" t="s">
        <v>904</v>
      </c>
    </row>
    <row r="116" spans="1:5" x14ac:dyDescent="0.25">
      <c r="A116" t="s">
        <v>722</v>
      </c>
      <c r="B116" t="s">
        <v>707</v>
      </c>
      <c r="C116" s="28" t="s">
        <v>752</v>
      </c>
      <c r="D116" s="33" t="s">
        <v>1122</v>
      </c>
      <c r="E116" s="33" t="s">
        <v>1122</v>
      </c>
    </row>
    <row r="117" spans="1:5" x14ac:dyDescent="0.25">
      <c r="A117" t="s">
        <v>722</v>
      </c>
      <c r="B117" t="s">
        <v>709</v>
      </c>
      <c r="C117" s="28" t="s">
        <v>753</v>
      </c>
      <c r="D117" s="33" t="s">
        <v>708</v>
      </c>
      <c r="E117" s="33" t="s">
        <v>708</v>
      </c>
    </row>
    <row r="118" spans="1:5" x14ac:dyDescent="0.25">
      <c r="A118" t="s">
        <v>722</v>
      </c>
      <c r="B118" t="s">
        <v>711</v>
      </c>
      <c r="C118" s="28" t="s">
        <v>754</v>
      </c>
      <c r="D118" s="33" t="s">
        <v>1123</v>
      </c>
      <c r="E118" s="33" t="s">
        <v>1123</v>
      </c>
    </row>
    <row r="119" spans="1:5" x14ac:dyDescent="0.25">
      <c r="A119" t="s">
        <v>722</v>
      </c>
      <c r="B119" t="s">
        <v>1124</v>
      </c>
      <c r="C119" s="28" t="s">
        <v>755</v>
      </c>
      <c r="D119" s="33" t="s">
        <v>712</v>
      </c>
      <c r="E119" s="33" t="s">
        <v>712</v>
      </c>
    </row>
    <row r="120" spans="1:5" x14ac:dyDescent="0.25">
      <c r="A120" t="s">
        <v>722</v>
      </c>
      <c r="B120" t="s">
        <v>1127</v>
      </c>
      <c r="C120" s="28" t="s">
        <v>1125</v>
      </c>
      <c r="D120" s="33" t="s">
        <v>1126</v>
      </c>
      <c r="E120" s="33" t="s">
        <v>1126</v>
      </c>
    </row>
    <row r="121" spans="1:5" x14ac:dyDescent="0.25">
      <c r="A121" t="s">
        <v>722</v>
      </c>
      <c r="B121" t="s">
        <v>905</v>
      </c>
      <c r="C121" s="28" t="s">
        <v>1128</v>
      </c>
      <c r="D121" s="33" t="s">
        <v>1129</v>
      </c>
      <c r="E121" s="33" t="s">
        <v>1129</v>
      </c>
    </row>
    <row r="122" spans="1:5" x14ac:dyDescent="0.25">
      <c r="A122" t="s">
        <v>722</v>
      </c>
      <c r="B122" t="s">
        <v>962</v>
      </c>
      <c r="C122" s="28" t="s">
        <v>906</v>
      </c>
      <c r="D122" s="33" t="s">
        <v>1130</v>
      </c>
      <c r="E122" s="33" t="s">
        <v>1130</v>
      </c>
    </row>
    <row r="123" spans="1:5" x14ac:dyDescent="0.25">
      <c r="B123" t="s">
        <v>1133</v>
      </c>
      <c r="C123" s="28" t="s">
        <v>1131</v>
      </c>
      <c r="D123" s="33" t="s">
        <v>1132</v>
      </c>
      <c r="E123" s="33" t="s">
        <v>1132</v>
      </c>
    </row>
    <row r="124" spans="1:5" x14ac:dyDescent="0.25">
      <c r="A124" t="s">
        <v>722</v>
      </c>
      <c r="B124" t="s">
        <v>207</v>
      </c>
      <c r="C124" s="28" t="s">
        <v>1133</v>
      </c>
      <c r="D124" s="33" t="s">
        <v>1134</v>
      </c>
      <c r="E124" s="33" t="s">
        <v>1134</v>
      </c>
    </row>
    <row r="125" spans="1:5" x14ac:dyDescent="0.25">
      <c r="A125" t="s">
        <v>722</v>
      </c>
      <c r="B125" t="s">
        <v>1135</v>
      </c>
      <c r="C125" s="28" t="s">
        <v>756</v>
      </c>
      <c r="D125" s="33" t="s">
        <v>757</v>
      </c>
      <c r="E125" s="33" t="s">
        <v>757</v>
      </c>
    </row>
    <row r="126" spans="1:5" x14ac:dyDescent="0.25">
      <c r="A126" t="s">
        <v>722</v>
      </c>
      <c r="B126" t="s">
        <v>713</v>
      </c>
      <c r="C126" s="28" t="s">
        <v>1136</v>
      </c>
      <c r="D126" s="33" t="s">
        <v>1137</v>
      </c>
      <c r="E126" s="33" t="s">
        <v>1137</v>
      </c>
    </row>
    <row r="127" spans="1:5" x14ac:dyDescent="0.25">
      <c r="A127" t="s">
        <v>722</v>
      </c>
      <c r="B127" t="s">
        <v>714</v>
      </c>
      <c r="C127" s="28" t="s">
        <v>758</v>
      </c>
      <c r="D127" s="33" t="s">
        <v>1138</v>
      </c>
      <c r="E127" s="33" t="s">
        <v>1138</v>
      </c>
    </row>
    <row r="128" spans="1:5" x14ac:dyDescent="0.25">
      <c r="A128" t="s">
        <v>722</v>
      </c>
      <c r="B128" t="s">
        <v>715</v>
      </c>
      <c r="C128" s="28" t="s">
        <v>759</v>
      </c>
      <c r="D128" s="33" t="s">
        <v>1139</v>
      </c>
      <c r="E128" s="33" t="s">
        <v>1139</v>
      </c>
    </row>
    <row r="129" spans="1:5" x14ac:dyDescent="0.25">
      <c r="A129" t="s">
        <v>722</v>
      </c>
      <c r="B129" t="s">
        <v>911</v>
      </c>
      <c r="C129" s="28" t="s">
        <v>760</v>
      </c>
      <c r="D129" s="33" t="s">
        <v>1140</v>
      </c>
      <c r="E129" s="33" t="s">
        <v>1140</v>
      </c>
    </row>
    <row r="130" spans="1:5" x14ac:dyDescent="0.25">
      <c r="A130" t="s">
        <v>722</v>
      </c>
      <c r="B130" t="s">
        <v>914</v>
      </c>
      <c r="C130" s="28" t="s">
        <v>912</v>
      </c>
      <c r="D130" s="33" t="s">
        <v>913</v>
      </c>
      <c r="E130" s="33" t="s">
        <v>913</v>
      </c>
    </row>
    <row r="131" spans="1:5" x14ac:dyDescent="0.25">
      <c r="A131" t="s">
        <v>722</v>
      </c>
      <c r="B131" t="s">
        <v>1141</v>
      </c>
      <c r="C131" s="28" t="s">
        <v>915</v>
      </c>
      <c r="D131" s="33" t="s">
        <v>916</v>
      </c>
      <c r="E131" s="33" t="s">
        <v>916</v>
      </c>
    </row>
    <row r="132" spans="1:5" x14ac:dyDescent="0.25">
      <c r="A132" t="s">
        <v>722</v>
      </c>
      <c r="B132" t="s">
        <v>716</v>
      </c>
      <c r="C132" s="28" t="s">
        <v>1142</v>
      </c>
      <c r="D132" s="33" t="s">
        <v>1143</v>
      </c>
      <c r="E132" s="33" t="s">
        <v>1143</v>
      </c>
    </row>
    <row r="133" spans="1:5" x14ac:dyDescent="0.25">
      <c r="A133" t="s">
        <v>722</v>
      </c>
      <c r="B133" t="s">
        <v>1145</v>
      </c>
      <c r="C133" s="28" t="s">
        <v>761</v>
      </c>
      <c r="D133" s="33" t="s">
        <v>1144</v>
      </c>
      <c r="E133" s="33" t="s">
        <v>1144</v>
      </c>
    </row>
    <row r="134" spans="1:5" x14ac:dyDescent="0.25">
      <c r="A134" t="s">
        <v>722</v>
      </c>
      <c r="B134" t="s">
        <v>1148</v>
      </c>
      <c r="C134" s="28" t="s">
        <v>1146</v>
      </c>
      <c r="D134" s="33" t="s">
        <v>1147</v>
      </c>
      <c r="E134" s="33" t="s">
        <v>1147</v>
      </c>
    </row>
    <row r="135" spans="1:5" x14ac:dyDescent="0.25">
      <c r="A135" t="s">
        <v>722</v>
      </c>
      <c r="B135" t="s">
        <v>1151</v>
      </c>
      <c r="C135" s="28" t="s">
        <v>1149</v>
      </c>
      <c r="D135" s="33" t="s">
        <v>1150</v>
      </c>
      <c r="E135" s="33" t="s">
        <v>1150</v>
      </c>
    </row>
    <row r="136" spans="1:5" x14ac:dyDescent="0.25">
      <c r="A136" t="s">
        <v>722</v>
      </c>
      <c r="B136" t="s">
        <v>1154</v>
      </c>
      <c r="C136" s="28" t="s">
        <v>1152</v>
      </c>
      <c r="D136" s="33" t="s">
        <v>1153</v>
      </c>
      <c r="E136" s="33" t="s">
        <v>1153</v>
      </c>
    </row>
    <row r="137" spans="1:5" x14ac:dyDescent="0.25">
      <c r="A137" t="s">
        <v>722</v>
      </c>
      <c r="B137" t="s">
        <v>1156</v>
      </c>
      <c r="C137" s="28" t="s">
        <v>1155</v>
      </c>
      <c r="D137" s="33" t="s">
        <v>1153</v>
      </c>
      <c r="E137" s="33" t="s">
        <v>1153</v>
      </c>
    </row>
    <row r="138" spans="1:5" x14ac:dyDescent="0.25">
      <c r="A138" t="s">
        <v>722</v>
      </c>
      <c r="B138" t="s">
        <v>1158</v>
      </c>
      <c r="C138" s="28" t="s">
        <v>1157</v>
      </c>
      <c r="D138" s="33" t="s">
        <v>1153</v>
      </c>
      <c r="E138" s="33" t="s">
        <v>1153</v>
      </c>
    </row>
    <row r="139" spans="1:5" x14ac:dyDescent="0.25">
      <c r="A139" t="s">
        <v>722</v>
      </c>
      <c r="B139" t="s">
        <v>1161</v>
      </c>
      <c r="C139" s="28" t="s">
        <v>1159</v>
      </c>
      <c r="D139" s="33" t="s">
        <v>1160</v>
      </c>
      <c r="E139" s="33" t="s">
        <v>1160</v>
      </c>
    </row>
    <row r="140" spans="1:5" x14ac:dyDescent="0.25">
      <c r="A140" t="s">
        <v>722</v>
      </c>
      <c r="B140" t="s">
        <v>1163</v>
      </c>
      <c r="C140" s="28" t="s">
        <v>1162</v>
      </c>
      <c r="D140" s="33" t="s">
        <v>724</v>
      </c>
      <c r="E140" s="33" t="s">
        <v>724</v>
      </c>
    </row>
    <row r="141" spans="1:5" x14ac:dyDescent="0.25">
      <c r="A141" t="s">
        <v>722</v>
      </c>
      <c r="B141" t="s">
        <v>1165</v>
      </c>
      <c r="C141" s="28" t="s">
        <v>1164</v>
      </c>
      <c r="D141" s="33" t="s">
        <v>729</v>
      </c>
      <c r="E141" s="33" t="s">
        <v>729</v>
      </c>
    </row>
    <row r="142" spans="1:5" x14ac:dyDescent="0.25">
      <c r="A142" t="s">
        <v>722</v>
      </c>
      <c r="B142" t="s">
        <v>1167</v>
      </c>
      <c r="C142" s="28" t="s">
        <v>1166</v>
      </c>
      <c r="D142" s="33" t="s">
        <v>739</v>
      </c>
      <c r="E142" s="33" t="s">
        <v>739</v>
      </c>
    </row>
    <row r="143" spans="1:5" x14ac:dyDescent="0.25">
      <c r="A143" t="s">
        <v>722</v>
      </c>
      <c r="B143" t="s">
        <v>1169</v>
      </c>
      <c r="C143" s="28" t="s">
        <v>1168</v>
      </c>
      <c r="D143" s="33" t="s">
        <v>739</v>
      </c>
      <c r="E143" s="33" t="s">
        <v>739</v>
      </c>
    </row>
    <row r="144" spans="1:5" x14ac:dyDescent="0.25">
      <c r="A144" t="s">
        <v>722</v>
      </c>
      <c r="B144" t="s">
        <v>1171</v>
      </c>
      <c r="C144" s="28" t="s">
        <v>1170</v>
      </c>
      <c r="D144" s="33" t="s">
        <v>890</v>
      </c>
      <c r="E144" s="33" t="s">
        <v>890</v>
      </c>
    </row>
    <row r="145" spans="1:5" x14ac:dyDescent="0.25">
      <c r="A145" t="s">
        <v>722</v>
      </c>
      <c r="B145" t="s">
        <v>1173</v>
      </c>
      <c r="C145" s="28" t="s">
        <v>1172</v>
      </c>
      <c r="D145" s="33" t="s">
        <v>1160</v>
      </c>
      <c r="E145" s="33" t="s">
        <v>1160</v>
      </c>
    </row>
    <row r="146" spans="1:5" x14ac:dyDescent="0.25">
      <c r="A146" t="s">
        <v>722</v>
      </c>
      <c r="B146" t="s">
        <v>1176</v>
      </c>
      <c r="C146" s="28" t="s">
        <v>1174</v>
      </c>
      <c r="D146" s="33" t="s">
        <v>1175</v>
      </c>
      <c r="E146" s="33" t="s">
        <v>1175</v>
      </c>
    </row>
    <row r="147" spans="1:5" x14ac:dyDescent="0.25">
      <c r="A147" t="s">
        <v>722</v>
      </c>
      <c r="B147" t="s">
        <v>1179</v>
      </c>
      <c r="C147" s="28" t="s">
        <v>1177</v>
      </c>
      <c r="D147" s="33" t="s">
        <v>1178</v>
      </c>
      <c r="E147" s="33" t="s">
        <v>1178</v>
      </c>
    </row>
    <row r="148" spans="1:5" x14ac:dyDescent="0.25">
      <c r="A148" t="s">
        <v>722</v>
      </c>
      <c r="B148" t="s">
        <v>1182</v>
      </c>
      <c r="C148" s="28" t="s">
        <v>1180</v>
      </c>
      <c r="D148" s="33" t="s">
        <v>1181</v>
      </c>
      <c r="E148" s="33" t="s">
        <v>1181</v>
      </c>
    </row>
    <row r="149" spans="1:5" x14ac:dyDescent="0.25">
      <c r="A149" t="s">
        <v>722</v>
      </c>
      <c r="B149" t="s">
        <v>1184</v>
      </c>
      <c r="C149" s="28" t="s">
        <v>1183</v>
      </c>
      <c r="D149" s="33" t="s">
        <v>1153</v>
      </c>
      <c r="E149" s="33" t="s">
        <v>1153</v>
      </c>
    </row>
    <row r="150" spans="1:5" x14ac:dyDescent="0.25">
      <c r="A150" t="s">
        <v>722</v>
      </c>
      <c r="B150" t="s">
        <v>1186</v>
      </c>
      <c r="C150" s="28" t="s">
        <v>1185</v>
      </c>
      <c r="D150" s="33" t="s">
        <v>1160</v>
      </c>
      <c r="E150" s="33" t="s">
        <v>1160</v>
      </c>
    </row>
    <row r="151" spans="1:5" x14ac:dyDescent="0.25">
      <c r="A151" t="s">
        <v>722</v>
      </c>
      <c r="B151" t="s">
        <v>1189</v>
      </c>
      <c r="C151" s="28" t="s">
        <v>1187</v>
      </c>
      <c r="D151" s="33" t="s">
        <v>1188</v>
      </c>
      <c r="E151" s="33" t="s">
        <v>1188</v>
      </c>
    </row>
    <row r="152" spans="1:5" x14ac:dyDescent="0.25">
      <c r="A152" t="s">
        <v>722</v>
      </c>
      <c r="B152" t="s">
        <v>1191</v>
      </c>
      <c r="C152" s="28" t="s">
        <v>1190</v>
      </c>
      <c r="D152" s="33" t="s">
        <v>1153</v>
      </c>
      <c r="E152" s="33" t="s">
        <v>1153</v>
      </c>
    </row>
    <row r="153" spans="1:5" x14ac:dyDescent="0.25">
      <c r="A153" t="s">
        <v>722</v>
      </c>
      <c r="B153" t="s">
        <v>1193</v>
      </c>
      <c r="C153" s="28" t="s">
        <v>1192</v>
      </c>
      <c r="D153" s="33" t="s">
        <v>900</v>
      </c>
      <c r="E153" s="33" t="s">
        <v>900</v>
      </c>
    </row>
    <row r="154" spans="1:5" x14ac:dyDescent="0.25">
      <c r="A154" t="s">
        <v>722</v>
      </c>
      <c r="B154" t="s">
        <v>1196</v>
      </c>
      <c r="C154" s="28" t="s">
        <v>1194</v>
      </c>
      <c r="D154" s="33" t="s">
        <v>1195</v>
      </c>
      <c r="E154" s="33" t="s">
        <v>1195</v>
      </c>
    </row>
    <row r="155" spans="1:5" x14ac:dyDescent="0.25">
      <c r="A155" t="s">
        <v>722</v>
      </c>
      <c r="B155" t="s">
        <v>1198</v>
      </c>
      <c r="C155" s="28" t="s">
        <v>1197</v>
      </c>
      <c r="D155" s="33" t="s">
        <v>1153</v>
      </c>
      <c r="E155" s="33" t="s">
        <v>1153</v>
      </c>
    </row>
    <row r="156" spans="1:5" x14ac:dyDescent="0.25">
      <c r="A156" t="s">
        <v>722</v>
      </c>
      <c r="B156" t="s">
        <v>1200</v>
      </c>
      <c r="C156" s="28" t="s">
        <v>1199</v>
      </c>
      <c r="D156" s="33" t="s">
        <v>1188</v>
      </c>
      <c r="E156" s="33" t="s">
        <v>1188</v>
      </c>
    </row>
    <row r="157" spans="1:5" x14ac:dyDescent="0.25">
      <c r="A157" t="s">
        <v>722</v>
      </c>
      <c r="B157" t="s">
        <v>1202</v>
      </c>
      <c r="C157" s="28" t="s">
        <v>1201</v>
      </c>
      <c r="D157" s="33" t="s">
        <v>1188</v>
      </c>
      <c r="E157" s="33" t="s">
        <v>1188</v>
      </c>
    </row>
    <row r="158" spans="1:5" x14ac:dyDescent="0.25">
      <c r="A158" t="s">
        <v>722</v>
      </c>
      <c r="B158" t="s">
        <v>1204</v>
      </c>
      <c r="C158" s="28" t="s">
        <v>1203</v>
      </c>
      <c r="D158" s="33" t="s">
        <v>1188</v>
      </c>
      <c r="E158" s="33" t="s">
        <v>1188</v>
      </c>
    </row>
    <row r="159" spans="1:5" x14ac:dyDescent="0.25">
      <c r="A159" t="s">
        <v>722</v>
      </c>
      <c r="B159" t="s">
        <v>1206</v>
      </c>
      <c r="C159" s="28" t="s">
        <v>1205</v>
      </c>
      <c r="D159" s="33" t="s">
        <v>1188</v>
      </c>
      <c r="E159" s="33" t="s">
        <v>1188</v>
      </c>
    </row>
    <row r="160" spans="1:5" x14ac:dyDescent="0.25">
      <c r="A160" t="s">
        <v>722</v>
      </c>
      <c r="B160" t="s">
        <v>1208</v>
      </c>
      <c r="C160" s="28" t="s">
        <v>1207</v>
      </c>
      <c r="D160" s="33" t="s">
        <v>1188</v>
      </c>
      <c r="E160" s="33" t="s">
        <v>1188</v>
      </c>
    </row>
    <row r="161" spans="1:5" x14ac:dyDescent="0.25">
      <c r="A161" t="s">
        <v>722</v>
      </c>
      <c r="B161" t="s">
        <v>1211</v>
      </c>
      <c r="C161" s="28" t="s">
        <v>1209</v>
      </c>
      <c r="D161" s="33" t="s">
        <v>1210</v>
      </c>
      <c r="E161" s="33" t="s">
        <v>1210</v>
      </c>
    </row>
    <row r="162" spans="1:5" x14ac:dyDescent="0.25">
      <c r="A162" t="s">
        <v>722</v>
      </c>
      <c r="B162" t="s">
        <v>1214</v>
      </c>
      <c r="C162" s="28" t="s">
        <v>1212</v>
      </c>
      <c r="D162" s="33" t="s">
        <v>1213</v>
      </c>
      <c r="E162" s="33" t="s">
        <v>1213</v>
      </c>
    </row>
    <row r="163" spans="1:5" x14ac:dyDescent="0.25">
      <c r="A163" t="s">
        <v>722</v>
      </c>
      <c r="B163" t="s">
        <v>1216</v>
      </c>
      <c r="C163" s="28" t="s">
        <v>1215</v>
      </c>
      <c r="D163" s="33" t="s">
        <v>1210</v>
      </c>
      <c r="E163" s="33" t="s">
        <v>1210</v>
      </c>
    </row>
    <row r="164" spans="1:5" x14ac:dyDescent="0.25">
      <c r="A164" t="s">
        <v>722</v>
      </c>
      <c r="B164" t="s">
        <v>1219</v>
      </c>
      <c r="C164" s="28" t="s">
        <v>1217</v>
      </c>
      <c r="D164" s="33" t="s">
        <v>1218</v>
      </c>
      <c r="E164" s="33" t="s">
        <v>1218</v>
      </c>
    </row>
    <row r="165" spans="1:5" x14ac:dyDescent="0.25">
      <c r="A165" t="s">
        <v>722</v>
      </c>
      <c r="B165" t="s">
        <v>1221</v>
      </c>
      <c r="C165" s="28" t="s">
        <v>1220</v>
      </c>
      <c r="D165" s="33" t="s">
        <v>1213</v>
      </c>
      <c r="E165" s="33" t="s">
        <v>1213</v>
      </c>
    </row>
    <row r="166" spans="1:5" x14ac:dyDescent="0.25">
      <c r="A166" t="s">
        <v>722</v>
      </c>
      <c r="B166" t="s">
        <v>1223</v>
      </c>
      <c r="C166" s="28" t="s">
        <v>1222</v>
      </c>
      <c r="D166" s="33" t="s">
        <v>1181</v>
      </c>
      <c r="E166" s="33" t="s">
        <v>1181</v>
      </c>
    </row>
    <row r="167" spans="1:5" x14ac:dyDescent="0.25">
      <c r="A167" t="s">
        <v>722</v>
      </c>
      <c r="B167" t="s">
        <v>1225</v>
      </c>
      <c r="C167" s="28" t="s">
        <v>1224</v>
      </c>
      <c r="D167" s="33" t="s">
        <v>1213</v>
      </c>
      <c r="E167" s="33" t="s">
        <v>1213</v>
      </c>
    </row>
    <row r="168" spans="1:5" x14ac:dyDescent="0.25">
      <c r="A168" t="s">
        <v>722</v>
      </c>
      <c r="B168" t="s">
        <v>1227</v>
      </c>
      <c r="C168" s="28" t="s">
        <v>1226</v>
      </c>
      <c r="D168" s="33" t="s">
        <v>1153</v>
      </c>
      <c r="E168" s="33" t="s">
        <v>1153</v>
      </c>
    </row>
    <row r="169" spans="1:5" x14ac:dyDescent="0.25">
      <c r="A169" t="s">
        <v>722</v>
      </c>
      <c r="B169" t="s">
        <v>1229</v>
      </c>
      <c r="C169" s="28" t="s">
        <v>1228</v>
      </c>
      <c r="D169" s="33" t="s">
        <v>1181</v>
      </c>
      <c r="E169" s="33" t="s">
        <v>1181</v>
      </c>
    </row>
    <row r="170" spans="1:5" x14ac:dyDescent="0.25">
      <c r="A170" t="s">
        <v>722</v>
      </c>
      <c r="B170" t="s">
        <v>1232</v>
      </c>
      <c r="C170" s="28" t="s">
        <v>1230</v>
      </c>
      <c r="D170" s="33" t="s">
        <v>1231</v>
      </c>
      <c r="E170" s="33" t="s">
        <v>1231</v>
      </c>
    </row>
    <row r="171" spans="1:5" x14ac:dyDescent="0.25">
      <c r="A171" t="s">
        <v>722</v>
      </c>
      <c r="B171" t="s">
        <v>1234</v>
      </c>
      <c r="C171" s="28" t="s">
        <v>1233</v>
      </c>
      <c r="D171" s="33" t="s">
        <v>1160</v>
      </c>
      <c r="E171" s="33" t="s">
        <v>1160</v>
      </c>
    </row>
    <row r="172" spans="1:5" x14ac:dyDescent="0.25">
      <c r="A172" t="s">
        <v>722</v>
      </c>
      <c r="B172" t="s">
        <v>1237</v>
      </c>
      <c r="C172" s="28" t="s">
        <v>1235</v>
      </c>
      <c r="D172" s="33" t="s">
        <v>1236</v>
      </c>
      <c r="E172" s="33" t="s">
        <v>1236</v>
      </c>
    </row>
    <row r="173" spans="1:5" x14ac:dyDescent="0.25">
      <c r="A173" t="s">
        <v>722</v>
      </c>
      <c r="B173" t="s">
        <v>1239</v>
      </c>
      <c r="C173" s="28" t="s">
        <v>1238</v>
      </c>
      <c r="D173" s="33" t="s">
        <v>1181</v>
      </c>
      <c r="E173" s="33" t="s">
        <v>1181</v>
      </c>
    </row>
    <row r="174" spans="1:5" x14ac:dyDescent="0.25">
      <c r="A174" t="s">
        <v>722</v>
      </c>
      <c r="B174" t="s">
        <v>1241</v>
      </c>
      <c r="C174" s="28" t="s">
        <v>1240</v>
      </c>
      <c r="D174" s="33" t="s">
        <v>1213</v>
      </c>
      <c r="E174" s="33" t="s">
        <v>1213</v>
      </c>
    </row>
    <row r="175" spans="1:5" x14ac:dyDescent="0.25">
      <c r="B175" t="s">
        <v>918</v>
      </c>
      <c r="C175" s="28" t="s">
        <v>1242</v>
      </c>
      <c r="D175" s="33" t="s">
        <v>1188</v>
      </c>
      <c r="E175" s="33" t="s">
        <v>1188</v>
      </c>
    </row>
    <row r="176" spans="1:5" x14ac:dyDescent="0.25">
      <c r="A176" t="s">
        <v>722</v>
      </c>
      <c r="B176" t="s">
        <v>717</v>
      </c>
      <c r="C176" s="28" t="s">
        <v>918</v>
      </c>
      <c r="D176" s="33" t="s">
        <v>919</v>
      </c>
      <c r="E176" s="33" t="s">
        <v>919</v>
      </c>
    </row>
    <row r="177" spans="1:5" x14ac:dyDescent="0.25">
      <c r="A177" t="s">
        <v>722</v>
      </c>
      <c r="B177" t="s">
        <v>718</v>
      </c>
      <c r="C177" s="28" t="s">
        <v>762</v>
      </c>
      <c r="D177" s="33" t="s">
        <v>1243</v>
      </c>
      <c r="E177" s="33" t="s">
        <v>1243</v>
      </c>
    </row>
    <row r="178" spans="1:5" x14ac:dyDescent="0.25">
      <c r="A178" t="s">
        <v>722</v>
      </c>
      <c r="B178" t="s">
        <v>719</v>
      </c>
      <c r="C178" s="28" t="s">
        <v>763</v>
      </c>
      <c r="D178" s="33" t="s">
        <v>1244</v>
      </c>
      <c r="E178" s="33" t="s">
        <v>1244</v>
      </c>
    </row>
    <row r="179" spans="1:5" x14ac:dyDescent="0.25">
      <c r="A179" t="s">
        <v>722</v>
      </c>
      <c r="B179" t="s">
        <v>720</v>
      </c>
      <c r="C179" s="28" t="s">
        <v>764</v>
      </c>
      <c r="D179" s="33" t="s">
        <v>1245</v>
      </c>
      <c r="E179" s="33" t="s">
        <v>1245</v>
      </c>
    </row>
    <row r="180" spans="1:5" x14ac:dyDescent="0.25">
      <c r="A180" t="s">
        <v>722</v>
      </c>
      <c r="B180" t="s">
        <v>721</v>
      </c>
      <c r="C180" s="28" t="s">
        <v>765</v>
      </c>
      <c r="D180" s="33" t="s">
        <v>1246</v>
      </c>
      <c r="E180" s="33" t="s">
        <v>1246</v>
      </c>
    </row>
    <row r="181" spans="1:5" x14ac:dyDescent="0.25">
      <c r="A181" t="s">
        <v>722</v>
      </c>
      <c r="B181" t="s">
        <v>1248</v>
      </c>
      <c r="C181" s="28" t="s">
        <v>766</v>
      </c>
      <c r="D181" s="33" t="s">
        <v>1247</v>
      </c>
      <c r="E181" s="33" t="s">
        <v>1247</v>
      </c>
    </row>
    <row r="182" spans="1:5" x14ac:dyDescent="0.25">
      <c r="A182" t="s">
        <v>722</v>
      </c>
      <c r="B182" t="s">
        <v>920</v>
      </c>
      <c r="C182" s="28" t="s">
        <v>1249</v>
      </c>
      <c r="D182" s="33" t="s">
        <v>1250</v>
      </c>
      <c r="E182" s="33" t="s">
        <v>1250</v>
      </c>
    </row>
    <row r="183" spans="1:5" x14ac:dyDescent="0.25">
      <c r="C183" s="28" t="s">
        <v>921</v>
      </c>
      <c r="D183" s="33" t="s">
        <v>1251</v>
      </c>
      <c r="E183" s="33" t="s">
        <v>1251</v>
      </c>
    </row>
    <row r="184" spans="1:5" x14ac:dyDescent="0.25">
      <c r="E184"/>
    </row>
  </sheetData>
  <autoFilter ref="A1:P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P478"/>
  <sheetViews>
    <sheetView topLeftCell="A28" workbookViewId="0">
      <selection activeCell="A204" sqref="A204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62" width="10.7109375" bestFit="1" customWidth="1"/>
    <col min="63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>
        <v>43909</v>
      </c>
      <c r="BK1" s="1">
        <v>43910</v>
      </c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 t="s">
        <v>1347</v>
      </c>
      <c r="BM2" s="1"/>
    </row>
    <row r="3" spans="1:120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 t="s">
        <v>1348</v>
      </c>
      <c r="BM3" s="1"/>
    </row>
    <row r="4" spans="1:120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 t="s">
        <v>1349</v>
      </c>
      <c r="BM4" s="1"/>
    </row>
    <row r="5" spans="1:120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>
        <v>1</v>
      </c>
      <c r="BG5">
        <v>1</v>
      </c>
      <c r="BH5">
        <v>1</v>
      </c>
      <c r="BI5">
        <v>1</v>
      </c>
      <c r="BJ5">
        <v>1</v>
      </c>
      <c r="BK5" t="s">
        <v>441</v>
      </c>
    </row>
    <row r="6" spans="1:120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 t="s">
        <v>1350</v>
      </c>
    </row>
    <row r="7" spans="1:120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 t="s">
        <v>1351</v>
      </c>
      <c r="BM7" s="1"/>
      <c r="BN7" s="1"/>
      <c r="BO7" s="1"/>
    </row>
    <row r="8" spans="1:120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 t="s">
        <v>1352</v>
      </c>
      <c r="BL8" s="1"/>
    </row>
    <row r="9" spans="1:120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 t="s">
        <v>1039</v>
      </c>
      <c r="BL9" s="1"/>
      <c r="BM9" s="26"/>
    </row>
    <row r="10" spans="1:120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 t="s">
        <v>1264</v>
      </c>
      <c r="BL10" s="1"/>
    </row>
    <row r="11" spans="1:120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 t="s">
        <v>650</v>
      </c>
      <c r="BL11" s="1"/>
    </row>
    <row r="12" spans="1:120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 t="s">
        <v>1353</v>
      </c>
      <c r="BL12" s="1"/>
    </row>
    <row r="13" spans="1:120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 t="s">
        <v>1354</v>
      </c>
      <c r="BL13" s="1"/>
    </row>
    <row r="14" spans="1:120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 t="s">
        <v>1355</v>
      </c>
      <c r="BL14" s="1"/>
    </row>
    <row r="15" spans="1:120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 t="s">
        <v>1356</v>
      </c>
      <c r="BL15" s="1"/>
    </row>
    <row r="16" spans="1:120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 t="s">
        <v>1357</v>
      </c>
      <c r="BL16" s="1"/>
    </row>
    <row r="17" spans="1:64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 t="s">
        <v>1358</v>
      </c>
      <c r="BL17" s="1"/>
    </row>
    <row r="18" spans="1:64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 t="s">
        <v>1359</v>
      </c>
      <c r="BL18" s="1"/>
    </row>
    <row r="19" spans="1:64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 t="s">
        <v>1360</v>
      </c>
      <c r="BL19" s="1"/>
    </row>
    <row r="20" spans="1:64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 t="s">
        <v>1361</v>
      </c>
      <c r="BL20" s="1"/>
    </row>
    <row r="21" spans="1:64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 t="s">
        <v>812</v>
      </c>
      <c r="BL21" s="1"/>
    </row>
    <row r="22" spans="1:64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 t="s">
        <v>1362</v>
      </c>
      <c r="BL22" s="1"/>
    </row>
    <row r="23" spans="1:64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 t="s">
        <v>1363</v>
      </c>
      <c r="BL23" s="1"/>
    </row>
    <row r="24" spans="1:64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 t="s">
        <v>445</v>
      </c>
      <c r="BL24" s="1"/>
    </row>
    <row r="25" spans="1:64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 t="s">
        <v>1364</v>
      </c>
      <c r="BL25" s="1"/>
    </row>
    <row r="26" spans="1:64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 t="s">
        <v>1365</v>
      </c>
      <c r="BL26" s="1"/>
    </row>
    <row r="27" spans="1:64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 t="s">
        <v>1366</v>
      </c>
      <c r="BL27" s="1"/>
    </row>
    <row r="28" spans="1:64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 t="s">
        <v>448</v>
      </c>
      <c r="BL28" s="1"/>
    </row>
    <row r="29" spans="1:64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 t="s">
        <v>1363</v>
      </c>
      <c r="BL29" s="1"/>
    </row>
    <row r="30" spans="1:64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 t="s">
        <v>1367</v>
      </c>
      <c r="BL30" s="1"/>
    </row>
    <row r="31" spans="1:64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 t="s">
        <v>1368</v>
      </c>
      <c r="BL31" s="1"/>
    </row>
    <row r="32" spans="1:64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 t="s">
        <v>1369</v>
      </c>
      <c r="BL32" s="1"/>
    </row>
    <row r="33" spans="1:64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 t="s">
        <v>1370</v>
      </c>
      <c r="BL33" s="1"/>
    </row>
    <row r="34" spans="1:64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 t="s">
        <v>1371</v>
      </c>
      <c r="BL34" s="1"/>
    </row>
    <row r="35" spans="1:64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 t="s">
        <v>1372</v>
      </c>
      <c r="BL35" s="1"/>
    </row>
    <row r="36" spans="1:64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 t="s">
        <v>1373</v>
      </c>
      <c r="BL36" s="1"/>
    </row>
    <row r="37" spans="1:64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 t="s">
        <v>1374</v>
      </c>
      <c r="BL37" s="1"/>
    </row>
    <row r="38" spans="1:64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 t="s">
        <v>1375</v>
      </c>
      <c r="BL38" s="1"/>
    </row>
    <row r="39" spans="1:64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 t="s">
        <v>1376</v>
      </c>
      <c r="BL39" s="1"/>
    </row>
    <row r="40" spans="1:64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 t="s">
        <v>1377</v>
      </c>
      <c r="BL40" s="1"/>
    </row>
    <row r="41" spans="1:64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 t="s">
        <v>1378</v>
      </c>
      <c r="BL41" s="1"/>
    </row>
    <row r="42" spans="1:64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 t="s">
        <v>1379</v>
      </c>
      <c r="BL42" s="1"/>
    </row>
    <row r="43" spans="1:64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 t="s">
        <v>1380</v>
      </c>
      <c r="BL43" s="1"/>
    </row>
    <row r="44" spans="1:64" x14ac:dyDescent="0.25">
      <c r="A44" s="26"/>
      <c r="B44" s="26" t="s">
        <v>88</v>
      </c>
      <c r="C44" s="26">
        <v>43.942399999999999</v>
      </c>
      <c r="D44" s="26">
        <v>12.457800000000001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1</v>
      </c>
      <c r="AR44" s="26">
        <v>1</v>
      </c>
      <c r="AS44" s="26">
        <v>8</v>
      </c>
      <c r="AT44" s="26">
        <v>10</v>
      </c>
      <c r="AU44" s="26">
        <v>16</v>
      </c>
      <c r="AV44" s="26">
        <v>21</v>
      </c>
      <c r="AW44" s="26">
        <v>21</v>
      </c>
      <c r="AX44" s="26">
        <v>23</v>
      </c>
      <c r="AY44" s="26">
        <v>36</v>
      </c>
      <c r="AZ44" s="26">
        <v>36</v>
      </c>
      <c r="BA44" s="26">
        <v>51</v>
      </c>
      <c r="BB44" s="26">
        <v>62</v>
      </c>
      <c r="BC44" s="26">
        <v>69</v>
      </c>
      <c r="BD44" s="26">
        <v>80</v>
      </c>
      <c r="BE44" s="26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 t="s">
        <v>1381</v>
      </c>
      <c r="BL44" s="1"/>
    </row>
    <row r="45" spans="1:64" x14ac:dyDescent="0.25">
      <c r="A45" s="26"/>
      <c r="B45" s="26" t="s">
        <v>89</v>
      </c>
      <c r="C45" s="26">
        <v>53.709800000000001</v>
      </c>
      <c r="D45" s="26">
        <v>27.953399999999998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1</v>
      </c>
      <c r="AQ45" s="26">
        <v>1</v>
      </c>
      <c r="AR45" s="26">
        <v>1</v>
      </c>
      <c r="AS45" s="26">
        <v>1</v>
      </c>
      <c r="AT45" s="26">
        <v>1</v>
      </c>
      <c r="AU45" s="26">
        <v>6</v>
      </c>
      <c r="AV45" s="26">
        <v>6</v>
      </c>
      <c r="AW45" s="26">
        <v>6</v>
      </c>
      <c r="AX45" s="26">
        <v>6</v>
      </c>
      <c r="AY45" s="26">
        <v>6</v>
      </c>
      <c r="AZ45" s="26">
        <v>6</v>
      </c>
      <c r="BA45" s="26">
        <v>9</v>
      </c>
      <c r="BB45" s="26">
        <v>9</v>
      </c>
      <c r="BC45" s="26">
        <v>12</v>
      </c>
      <c r="BD45" s="26">
        <v>27</v>
      </c>
      <c r="BE45" s="26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 t="s">
        <v>1382</v>
      </c>
      <c r="BL45" s="1"/>
    </row>
    <row r="46" spans="1:64" x14ac:dyDescent="0.25">
      <c r="A46" s="26"/>
      <c r="B46" s="26" t="s">
        <v>90</v>
      </c>
      <c r="C46" s="26">
        <v>64.963099999999997</v>
      </c>
      <c r="D46" s="26">
        <v>-19.020800000000001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3</v>
      </c>
      <c r="AS46" s="26">
        <v>6</v>
      </c>
      <c r="AT46" s="26">
        <v>11</v>
      </c>
      <c r="AU46" s="26">
        <v>26</v>
      </c>
      <c r="AV46" s="26">
        <v>34</v>
      </c>
      <c r="AW46" s="26">
        <v>43</v>
      </c>
      <c r="AX46" s="26">
        <v>50</v>
      </c>
      <c r="AY46" s="26">
        <v>50</v>
      </c>
      <c r="AZ46" s="26">
        <v>58</v>
      </c>
      <c r="BA46" s="26">
        <v>69</v>
      </c>
      <c r="BB46" s="26">
        <v>85</v>
      </c>
      <c r="BC46" s="26">
        <v>103</v>
      </c>
      <c r="BD46" s="26">
        <v>134</v>
      </c>
      <c r="BE46" s="2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 t="s">
        <v>1383</v>
      </c>
      <c r="BL46" s="1"/>
    </row>
    <row r="47" spans="1:64" x14ac:dyDescent="0.25">
      <c r="A47" s="26"/>
      <c r="B47" s="26" t="s">
        <v>91</v>
      </c>
      <c r="C47" s="26">
        <v>55.169400000000003</v>
      </c>
      <c r="D47" s="26">
        <v>23.8813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1</v>
      </c>
      <c r="AS47" s="26">
        <v>1</v>
      </c>
      <c r="AT47" s="26">
        <v>1</v>
      </c>
      <c r="AU47" s="26">
        <v>1</v>
      </c>
      <c r="AV47" s="26">
        <v>1</v>
      </c>
      <c r="AW47" s="26">
        <v>1</v>
      </c>
      <c r="AX47" s="26">
        <v>1</v>
      </c>
      <c r="AY47" s="26">
        <v>1</v>
      </c>
      <c r="AZ47" s="26">
        <v>1</v>
      </c>
      <c r="BA47" s="26">
        <v>1</v>
      </c>
      <c r="BB47" s="26">
        <v>3</v>
      </c>
      <c r="BC47" s="26">
        <v>3</v>
      </c>
      <c r="BD47" s="26">
        <v>6</v>
      </c>
      <c r="BE47" s="26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 t="s">
        <v>449</v>
      </c>
      <c r="BL47" s="1"/>
    </row>
    <row r="48" spans="1:64" x14ac:dyDescent="0.25">
      <c r="A48" s="26"/>
      <c r="B48" s="26" t="s">
        <v>92</v>
      </c>
      <c r="C48" s="26">
        <v>23.634499999999999</v>
      </c>
      <c r="D48" s="26">
        <v>-102.5528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4</v>
      </c>
      <c r="AR48" s="26">
        <v>5</v>
      </c>
      <c r="AS48" s="26">
        <v>5</v>
      </c>
      <c r="AT48" s="26">
        <v>5</v>
      </c>
      <c r="AU48" s="26">
        <v>5</v>
      </c>
      <c r="AV48" s="26">
        <v>5</v>
      </c>
      <c r="AW48" s="26">
        <v>6</v>
      </c>
      <c r="AX48" s="26">
        <v>6</v>
      </c>
      <c r="AY48" s="26">
        <v>7</v>
      </c>
      <c r="AZ48" s="26">
        <v>7</v>
      </c>
      <c r="BA48" s="26">
        <v>7</v>
      </c>
      <c r="BB48" s="26">
        <v>8</v>
      </c>
      <c r="BC48" s="26">
        <v>12</v>
      </c>
      <c r="BD48" s="26">
        <v>12</v>
      </c>
      <c r="BE48" s="26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 t="s">
        <v>854</v>
      </c>
      <c r="BL48" s="1"/>
    </row>
    <row r="49" spans="1:64" x14ac:dyDescent="0.25">
      <c r="A49" s="26"/>
      <c r="B49" s="26" t="s">
        <v>93</v>
      </c>
      <c r="C49" s="26">
        <v>-40.900599999999997</v>
      </c>
      <c r="D49" s="26">
        <v>174.886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1</v>
      </c>
      <c r="AR49" s="26">
        <v>1</v>
      </c>
      <c r="AS49" s="26">
        <v>1</v>
      </c>
      <c r="AT49" s="26">
        <v>1</v>
      </c>
      <c r="AU49" s="26">
        <v>3</v>
      </c>
      <c r="AV49" s="26">
        <v>3</v>
      </c>
      <c r="AW49" s="26">
        <v>4</v>
      </c>
      <c r="AX49" s="26">
        <v>5</v>
      </c>
      <c r="AY49" s="26">
        <v>5</v>
      </c>
      <c r="AZ49" s="26">
        <v>5</v>
      </c>
      <c r="BA49" s="26">
        <v>5</v>
      </c>
      <c r="BB49" s="26">
        <v>5</v>
      </c>
      <c r="BC49" s="26">
        <v>5</v>
      </c>
      <c r="BD49" s="26">
        <v>5</v>
      </c>
      <c r="BE49" s="26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 t="s">
        <v>810</v>
      </c>
      <c r="BL49" s="1"/>
    </row>
    <row r="50" spans="1:64" x14ac:dyDescent="0.25">
      <c r="A50" s="26"/>
      <c r="B50" s="26" t="s">
        <v>94</v>
      </c>
      <c r="C50" s="26">
        <v>9.0820000000000007</v>
      </c>
      <c r="D50" s="26">
        <v>8.6753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1</v>
      </c>
      <c r="AV50" s="26">
        <v>1</v>
      </c>
      <c r="AW50" s="26">
        <v>1</v>
      </c>
      <c r="AX50" s="26">
        <v>1</v>
      </c>
      <c r="AY50" s="26">
        <v>1</v>
      </c>
      <c r="AZ50" s="26">
        <v>2</v>
      </c>
      <c r="BA50" s="26">
        <v>2</v>
      </c>
      <c r="BB50" s="26">
        <v>2</v>
      </c>
      <c r="BC50" s="26">
        <v>2</v>
      </c>
      <c r="BD50" s="26">
        <v>2</v>
      </c>
      <c r="BE50" s="26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 t="s">
        <v>450</v>
      </c>
      <c r="BL50" s="1"/>
    </row>
    <row r="51" spans="1:64" x14ac:dyDescent="0.25">
      <c r="A51" s="26" t="s">
        <v>95</v>
      </c>
      <c r="B51" s="26" t="s">
        <v>48</v>
      </c>
      <c r="C51" s="26">
        <v>-31.950500000000002</v>
      </c>
      <c r="D51" s="26">
        <v>115.8605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2</v>
      </c>
      <c r="AR51" s="26">
        <v>2</v>
      </c>
      <c r="AS51" s="26">
        <v>2</v>
      </c>
      <c r="AT51" s="26">
        <v>2</v>
      </c>
      <c r="AU51" s="26">
        <v>2</v>
      </c>
      <c r="AV51" s="26">
        <v>3</v>
      </c>
      <c r="AW51" s="26">
        <v>3</v>
      </c>
      <c r="AX51" s="26">
        <v>3</v>
      </c>
      <c r="AY51" s="26">
        <v>3</v>
      </c>
      <c r="AZ51" s="26">
        <v>4</v>
      </c>
      <c r="BA51" s="26">
        <v>6</v>
      </c>
      <c r="BB51" s="26">
        <v>9</v>
      </c>
      <c r="BC51" s="26">
        <v>9</v>
      </c>
      <c r="BD51" s="26">
        <v>14</v>
      </c>
      <c r="BE51" s="26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 t="s">
        <v>1384</v>
      </c>
      <c r="BL51" s="1"/>
    </row>
    <row r="52" spans="1:64" x14ac:dyDescent="0.25">
      <c r="A52" s="26"/>
      <c r="B52" s="26" t="s">
        <v>1257</v>
      </c>
      <c r="C52" s="26">
        <v>53.142400000000002</v>
      </c>
      <c r="D52" s="26">
        <v>-7.6920999999999999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1</v>
      </c>
      <c r="AR52" s="26">
        <v>1</v>
      </c>
      <c r="AS52" s="26">
        <v>1</v>
      </c>
      <c r="AT52" s="26">
        <v>2</v>
      </c>
      <c r="AU52" s="26">
        <v>6</v>
      </c>
      <c r="AV52" s="26">
        <v>6</v>
      </c>
      <c r="AW52" s="26">
        <v>18</v>
      </c>
      <c r="AX52" s="26">
        <v>18</v>
      </c>
      <c r="AY52" s="26">
        <v>19</v>
      </c>
      <c r="AZ52" s="26">
        <v>21</v>
      </c>
      <c r="BA52" s="26">
        <v>34</v>
      </c>
      <c r="BB52" s="26">
        <v>43</v>
      </c>
      <c r="BC52" s="26">
        <v>43</v>
      </c>
      <c r="BD52" s="26">
        <v>90</v>
      </c>
      <c r="BE52" s="26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 t="s">
        <v>1385</v>
      </c>
      <c r="BL52" s="1"/>
    </row>
    <row r="53" spans="1:64" x14ac:dyDescent="0.25">
      <c r="A53" s="26"/>
      <c r="B53" s="26" t="s">
        <v>96</v>
      </c>
      <c r="C53" s="26">
        <v>49.815300000000001</v>
      </c>
      <c r="D53" s="26">
        <v>6.1295999999999999</v>
      </c>
      <c r="E53" s="26">
        <v>0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7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1</v>
      </c>
      <c r="AS53" s="26">
        <v>1</v>
      </c>
      <c r="AT53" s="26">
        <v>1</v>
      </c>
      <c r="AU53" s="26">
        <v>1</v>
      </c>
      <c r="AV53" s="26">
        <v>1</v>
      </c>
      <c r="AW53" s="26">
        <v>2</v>
      </c>
      <c r="AX53" s="26">
        <v>2</v>
      </c>
      <c r="AY53" s="26">
        <v>3</v>
      </c>
      <c r="AZ53" s="26">
        <v>3</v>
      </c>
      <c r="BA53" s="26">
        <v>5</v>
      </c>
      <c r="BB53" s="26">
        <v>7</v>
      </c>
      <c r="BC53" s="26">
        <v>19</v>
      </c>
      <c r="BD53" s="26">
        <v>34</v>
      </c>
      <c r="BE53" s="26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 t="s">
        <v>1386</v>
      </c>
      <c r="BL53" s="1"/>
    </row>
    <row r="54" spans="1:64" x14ac:dyDescent="0.25">
      <c r="A54" s="26"/>
      <c r="B54" s="26" t="s">
        <v>97</v>
      </c>
      <c r="C54" s="26">
        <v>43.7333</v>
      </c>
      <c r="D54" s="26">
        <v>7.4166999999999996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1</v>
      </c>
      <c r="AX54" s="26">
        <v>1</v>
      </c>
      <c r="AY54" s="26">
        <v>1</v>
      </c>
      <c r="AZ54" s="26">
        <v>1</v>
      </c>
      <c r="BA54" s="26">
        <v>1</v>
      </c>
      <c r="BB54" s="26">
        <v>1</v>
      </c>
      <c r="BC54" s="26">
        <v>2</v>
      </c>
      <c r="BD54" s="26">
        <v>2</v>
      </c>
      <c r="BE54" s="26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 t="s">
        <v>452</v>
      </c>
      <c r="BL54" s="1"/>
    </row>
    <row r="55" spans="1:64" x14ac:dyDescent="0.25">
      <c r="A55" s="26"/>
      <c r="B55" s="26" t="s">
        <v>98</v>
      </c>
      <c r="C55" s="26">
        <v>25.354800000000001</v>
      </c>
      <c r="D55" s="26">
        <v>51.183900000000001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3</v>
      </c>
      <c r="AS55" s="26">
        <v>3</v>
      </c>
      <c r="AT55" s="26">
        <v>7</v>
      </c>
      <c r="AU55" s="26">
        <v>8</v>
      </c>
      <c r="AV55" s="26">
        <v>8</v>
      </c>
      <c r="AW55" s="26">
        <v>8</v>
      </c>
      <c r="AX55" s="26">
        <v>8</v>
      </c>
      <c r="AY55" s="26">
        <v>15</v>
      </c>
      <c r="AZ55" s="26">
        <v>18</v>
      </c>
      <c r="BA55" s="26">
        <v>24</v>
      </c>
      <c r="BB55" s="26">
        <v>262</v>
      </c>
      <c r="BC55" s="26">
        <v>262</v>
      </c>
      <c r="BD55" s="26">
        <v>320</v>
      </c>
      <c r="BE55" s="26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 t="s">
        <v>1387</v>
      </c>
      <c r="BL55" s="1"/>
    </row>
    <row r="56" spans="1:64" x14ac:dyDescent="0.25">
      <c r="A56" s="26"/>
      <c r="B56" s="26" t="s">
        <v>99</v>
      </c>
      <c r="C56" s="26">
        <v>-1.8311999999999999</v>
      </c>
      <c r="D56" s="26">
        <v>-78.183400000000006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6</v>
      </c>
      <c r="AS56" s="26">
        <v>6</v>
      </c>
      <c r="AT56" s="26">
        <v>7</v>
      </c>
      <c r="AU56" s="26">
        <v>10</v>
      </c>
      <c r="AV56" s="26">
        <v>13</v>
      </c>
      <c r="AW56" s="26">
        <v>13</v>
      </c>
      <c r="AX56" s="26">
        <v>13</v>
      </c>
      <c r="AY56" s="26">
        <v>14</v>
      </c>
      <c r="AZ56" s="26">
        <v>15</v>
      </c>
      <c r="BA56" s="26">
        <v>15</v>
      </c>
      <c r="BB56" s="26">
        <v>17</v>
      </c>
      <c r="BC56" s="26">
        <v>17</v>
      </c>
      <c r="BD56" s="26">
        <v>17</v>
      </c>
      <c r="BE56" s="2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 t="s">
        <v>1388</v>
      </c>
      <c r="BL56" s="1"/>
    </row>
    <row r="57" spans="1:64" x14ac:dyDescent="0.25">
      <c r="A57" s="26"/>
      <c r="B57" s="26" t="s">
        <v>100</v>
      </c>
      <c r="C57" s="26">
        <v>40.143099999999997</v>
      </c>
      <c r="D57" s="26">
        <v>47.576900000000002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3</v>
      </c>
      <c r="AS57" s="26">
        <v>3</v>
      </c>
      <c r="AT57" s="26">
        <v>3</v>
      </c>
      <c r="AU57" s="26">
        <v>3</v>
      </c>
      <c r="AV57" s="26">
        <v>6</v>
      </c>
      <c r="AW57" s="26">
        <v>6</v>
      </c>
      <c r="AX57" s="26">
        <v>9</v>
      </c>
      <c r="AY57" s="26">
        <v>9</v>
      </c>
      <c r="AZ57" s="26">
        <v>9</v>
      </c>
      <c r="BA57" s="26">
        <v>11</v>
      </c>
      <c r="BB57" s="26">
        <v>11</v>
      </c>
      <c r="BC57" s="26">
        <v>11</v>
      </c>
      <c r="BD57" s="26">
        <v>15</v>
      </c>
      <c r="BE57" s="26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 t="s">
        <v>1389</v>
      </c>
    </row>
    <row r="58" spans="1:64" x14ac:dyDescent="0.25">
      <c r="A58" s="26"/>
      <c r="B58" s="26" t="s">
        <v>101</v>
      </c>
      <c r="C58" s="26">
        <v>40.069099999999999</v>
      </c>
      <c r="D58" s="26">
        <v>45.038200000000003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1</v>
      </c>
      <c r="AS58" s="26">
        <v>1</v>
      </c>
      <c r="AT58" s="26">
        <v>1</v>
      </c>
      <c r="AU58" s="26">
        <v>1</v>
      </c>
      <c r="AV58" s="26">
        <v>1</v>
      </c>
      <c r="AW58" s="26">
        <v>1</v>
      </c>
      <c r="AX58" s="26">
        <v>1</v>
      </c>
      <c r="AY58" s="26">
        <v>1</v>
      </c>
      <c r="AZ58" s="26">
        <v>1</v>
      </c>
      <c r="BA58" s="26">
        <v>1</v>
      </c>
      <c r="BB58" s="26">
        <v>1</v>
      </c>
      <c r="BC58" s="26">
        <v>4</v>
      </c>
      <c r="BD58" s="26">
        <v>8</v>
      </c>
      <c r="BE58" s="26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 t="s">
        <v>466</v>
      </c>
    </row>
    <row r="59" spans="1:64" x14ac:dyDescent="0.25">
      <c r="A59" s="26"/>
      <c r="B59" s="26" t="s">
        <v>102</v>
      </c>
      <c r="C59" s="26">
        <v>18.735700000000001</v>
      </c>
      <c r="D59" s="26">
        <v>-70.162700000000001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2</v>
      </c>
      <c r="AX59" s="26">
        <v>2</v>
      </c>
      <c r="AY59" s="26">
        <v>5</v>
      </c>
      <c r="AZ59" s="26">
        <v>5</v>
      </c>
      <c r="BA59" s="26">
        <v>5</v>
      </c>
      <c r="BB59" s="26">
        <v>5</v>
      </c>
      <c r="BC59" s="26">
        <v>5</v>
      </c>
      <c r="BD59" s="26">
        <v>5</v>
      </c>
      <c r="BE59" s="26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 t="s">
        <v>1390</v>
      </c>
    </row>
    <row r="60" spans="1:64" x14ac:dyDescent="0.25">
      <c r="A60" s="26"/>
      <c r="B60" s="26" t="s">
        <v>103</v>
      </c>
      <c r="C60" s="26">
        <v>-0.7893</v>
      </c>
      <c r="D60" s="26">
        <v>113.9213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2</v>
      </c>
      <c r="AT60" s="26">
        <v>2</v>
      </c>
      <c r="AU60" s="26">
        <v>2</v>
      </c>
      <c r="AV60" s="26">
        <v>2</v>
      </c>
      <c r="AW60" s="26">
        <v>4</v>
      </c>
      <c r="AX60" s="26">
        <v>4</v>
      </c>
      <c r="AY60" s="26">
        <v>6</v>
      </c>
      <c r="AZ60" s="26">
        <v>19</v>
      </c>
      <c r="BA60" s="26">
        <v>27</v>
      </c>
      <c r="BB60" s="26">
        <v>34</v>
      </c>
      <c r="BC60" s="26">
        <v>34</v>
      </c>
      <c r="BD60" s="26">
        <v>69</v>
      </c>
      <c r="BE60" s="26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 t="s">
        <v>1391</v>
      </c>
    </row>
    <row r="61" spans="1:64" x14ac:dyDescent="0.25">
      <c r="A61" s="26"/>
      <c r="B61" s="26" t="s">
        <v>104</v>
      </c>
      <c r="C61" s="26">
        <v>39.399900000000002</v>
      </c>
      <c r="D61" s="26">
        <v>-8.2245000000000008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5</v>
      </c>
      <c r="AV61" s="26">
        <v>8</v>
      </c>
      <c r="AW61" s="26">
        <v>13</v>
      </c>
      <c r="AX61" s="26">
        <v>20</v>
      </c>
      <c r="AY61" s="26">
        <v>30</v>
      </c>
      <c r="AZ61" s="26">
        <v>30</v>
      </c>
      <c r="BA61" s="26">
        <v>41</v>
      </c>
      <c r="BB61" s="26">
        <v>59</v>
      </c>
      <c r="BC61" s="26">
        <v>59</v>
      </c>
      <c r="BD61" s="26">
        <v>112</v>
      </c>
      <c r="BE61" s="26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 t="s">
        <v>1392</v>
      </c>
    </row>
    <row r="62" spans="1:64" x14ac:dyDescent="0.25">
      <c r="A62" s="26"/>
      <c r="B62" s="26" t="s">
        <v>105</v>
      </c>
      <c r="C62" s="26">
        <v>42.506300000000003</v>
      </c>
      <c r="D62" s="26">
        <v>1.5218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1</v>
      </c>
      <c r="AT62" s="26">
        <v>1</v>
      </c>
      <c r="AU62" s="26">
        <v>1</v>
      </c>
      <c r="AV62" s="26">
        <v>1</v>
      </c>
      <c r="AW62" s="26">
        <v>1</v>
      </c>
      <c r="AX62" s="26">
        <v>1</v>
      </c>
      <c r="AY62" s="26">
        <v>1</v>
      </c>
      <c r="AZ62" s="26">
        <v>1</v>
      </c>
      <c r="BA62" s="26">
        <v>1</v>
      </c>
      <c r="BB62" s="26">
        <v>1</v>
      </c>
      <c r="BC62" s="26">
        <v>1</v>
      </c>
      <c r="BD62" s="26">
        <v>1</v>
      </c>
      <c r="BE62" s="26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 t="s">
        <v>470</v>
      </c>
    </row>
    <row r="63" spans="1:64" x14ac:dyDescent="0.25">
      <c r="A63" s="26" t="s">
        <v>106</v>
      </c>
      <c r="B63" s="26" t="s">
        <v>48</v>
      </c>
      <c r="C63" s="26">
        <v>-41.454500000000003</v>
      </c>
      <c r="D63" s="26">
        <v>145.97069999999999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2</v>
      </c>
      <c r="AZ63" s="26">
        <v>2</v>
      </c>
      <c r="BA63" s="26">
        <v>2</v>
      </c>
      <c r="BB63" s="26">
        <v>3</v>
      </c>
      <c r="BC63" s="26">
        <v>3</v>
      </c>
      <c r="BD63" s="26">
        <v>5</v>
      </c>
      <c r="BE63" s="26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 t="s">
        <v>454</v>
      </c>
    </row>
    <row r="64" spans="1:64" x14ac:dyDescent="0.25">
      <c r="A64" s="26"/>
      <c r="B64" s="26" t="s">
        <v>107</v>
      </c>
      <c r="C64" s="26">
        <v>56.879600000000003</v>
      </c>
      <c r="D64" s="26">
        <v>24.603200000000001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6</v>
      </c>
      <c r="BA64" s="26">
        <v>8</v>
      </c>
      <c r="BB64" s="26">
        <v>10</v>
      </c>
      <c r="BC64" s="26">
        <v>10</v>
      </c>
      <c r="BD64" s="26">
        <v>17</v>
      </c>
      <c r="BE64" s="26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 t="s">
        <v>1258</v>
      </c>
    </row>
    <row r="65" spans="1:66" x14ac:dyDescent="0.25">
      <c r="A65" s="26"/>
      <c r="B65" s="26" t="s">
        <v>108</v>
      </c>
      <c r="C65" s="26">
        <v>31.791699999999999</v>
      </c>
      <c r="D65" s="26">
        <v>-7.0926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2</v>
      </c>
      <c r="AW65" s="26">
        <v>2</v>
      </c>
      <c r="AX65" s="26">
        <v>2</v>
      </c>
      <c r="AY65" s="26">
        <v>2</v>
      </c>
      <c r="AZ65" s="26">
        <v>2</v>
      </c>
      <c r="BA65" s="26">
        <v>3</v>
      </c>
      <c r="BB65" s="26">
        <v>5</v>
      </c>
      <c r="BC65" s="26">
        <v>6</v>
      </c>
      <c r="BD65" s="26">
        <v>7</v>
      </c>
      <c r="BE65" s="26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 t="s">
        <v>1268</v>
      </c>
    </row>
    <row r="66" spans="1:66" x14ac:dyDescent="0.25">
      <c r="A66" s="26"/>
      <c r="B66" s="26" t="s">
        <v>109</v>
      </c>
      <c r="C66" s="26">
        <v>24</v>
      </c>
      <c r="D66" s="26">
        <v>45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5</v>
      </c>
      <c r="AW66" s="26">
        <v>5</v>
      </c>
      <c r="AX66" s="26">
        <v>5</v>
      </c>
      <c r="AY66" s="26">
        <v>11</v>
      </c>
      <c r="AZ66" s="26">
        <v>15</v>
      </c>
      <c r="BA66" s="26">
        <v>20</v>
      </c>
      <c r="BB66" s="26">
        <v>21</v>
      </c>
      <c r="BC66" s="26">
        <v>45</v>
      </c>
      <c r="BD66" s="26">
        <v>86</v>
      </c>
      <c r="BE66" s="2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 t="s">
        <v>1393</v>
      </c>
    </row>
    <row r="67" spans="1:66" x14ac:dyDescent="0.25">
      <c r="A67" s="26"/>
      <c r="B67" s="26" t="s">
        <v>110</v>
      </c>
      <c r="C67" s="26">
        <v>14.497400000000001</v>
      </c>
      <c r="D67" s="26">
        <v>-14.452400000000001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2</v>
      </c>
      <c r="AU67" s="26">
        <v>4</v>
      </c>
      <c r="AV67" s="26">
        <v>4</v>
      </c>
      <c r="AW67" s="26">
        <v>4</v>
      </c>
      <c r="AX67" s="26">
        <v>4</v>
      </c>
      <c r="AY67" s="26">
        <v>4</v>
      </c>
      <c r="AZ67" s="26">
        <v>4</v>
      </c>
      <c r="BA67" s="26">
        <v>4</v>
      </c>
      <c r="BB67" s="26">
        <v>4</v>
      </c>
      <c r="BC67" s="26">
        <v>4</v>
      </c>
      <c r="BD67" s="26">
        <v>10</v>
      </c>
      <c r="BE67" s="26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 t="s">
        <v>1256</v>
      </c>
    </row>
    <row r="68" spans="1:66" x14ac:dyDescent="0.25">
      <c r="A68" s="26"/>
      <c r="B68" s="26" t="s">
        <v>111</v>
      </c>
      <c r="C68" s="26">
        <v>-38.4161</v>
      </c>
      <c r="D68" s="26">
        <v>-63.616700000000002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1</v>
      </c>
      <c r="AU68" s="26">
        <v>1</v>
      </c>
      <c r="AV68" s="26">
        <v>1</v>
      </c>
      <c r="AW68" s="26">
        <v>2</v>
      </c>
      <c r="AX68" s="26">
        <v>8</v>
      </c>
      <c r="AY68" s="26">
        <v>12</v>
      </c>
      <c r="AZ68" s="26">
        <v>12</v>
      </c>
      <c r="BA68" s="26">
        <v>17</v>
      </c>
      <c r="BB68" s="26">
        <v>19</v>
      </c>
      <c r="BC68" s="26">
        <v>19</v>
      </c>
      <c r="BD68" s="26">
        <v>31</v>
      </c>
      <c r="BE68" s="26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 t="s">
        <v>1369</v>
      </c>
    </row>
    <row r="69" spans="1:66" x14ac:dyDescent="0.25">
      <c r="A69" s="26"/>
      <c r="B69" s="26" t="s">
        <v>112</v>
      </c>
      <c r="C69" s="26">
        <v>-35.6751</v>
      </c>
      <c r="D69" s="26">
        <v>-71.543000000000006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4</v>
      </c>
      <c r="AW69" s="26">
        <v>4</v>
      </c>
      <c r="AX69" s="26">
        <v>4</v>
      </c>
      <c r="AY69" s="26">
        <v>8</v>
      </c>
      <c r="AZ69" s="26">
        <v>8</v>
      </c>
      <c r="BA69" s="26">
        <v>13</v>
      </c>
      <c r="BB69" s="26">
        <v>23</v>
      </c>
      <c r="BC69" s="26">
        <v>23</v>
      </c>
      <c r="BD69" s="26">
        <v>43</v>
      </c>
      <c r="BE69" s="26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 t="s">
        <v>1394</v>
      </c>
    </row>
    <row r="70" spans="1:66" x14ac:dyDescent="0.25">
      <c r="A70" s="26"/>
      <c r="B70" s="26" t="s">
        <v>113</v>
      </c>
      <c r="C70" s="26">
        <v>31.24</v>
      </c>
      <c r="D70" s="26">
        <v>36.51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1</v>
      </c>
      <c r="AW70" s="26">
        <v>1</v>
      </c>
      <c r="AX70" s="26">
        <v>1</v>
      </c>
      <c r="AY70" s="26">
        <v>1</v>
      </c>
      <c r="AZ70" s="26">
        <v>1</v>
      </c>
      <c r="BA70" s="26">
        <v>1</v>
      </c>
      <c r="BB70" s="26">
        <v>1</v>
      </c>
      <c r="BC70" s="26">
        <v>1</v>
      </c>
      <c r="BD70" s="26">
        <v>1</v>
      </c>
      <c r="BE70" s="26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 t="s">
        <v>1266</v>
      </c>
    </row>
    <row r="71" spans="1:66" x14ac:dyDescent="0.25">
      <c r="A71" s="26"/>
      <c r="B71" s="26" t="s">
        <v>114</v>
      </c>
      <c r="C71" s="26">
        <v>48.379399999999997</v>
      </c>
      <c r="D71" s="26">
        <v>31.165600000000001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3</v>
      </c>
      <c r="BE71" s="26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 t="s">
        <v>1260</v>
      </c>
    </row>
    <row r="72" spans="1:66" x14ac:dyDescent="0.25">
      <c r="A72" s="26"/>
      <c r="B72" s="26" t="s">
        <v>116</v>
      </c>
      <c r="C72" s="26">
        <v>47.162500000000001</v>
      </c>
      <c r="D72" s="26">
        <v>19.503299999999999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2</v>
      </c>
      <c r="AV72" s="26">
        <v>2</v>
      </c>
      <c r="AW72" s="26">
        <v>2</v>
      </c>
      <c r="AX72" s="26">
        <v>4</v>
      </c>
      <c r="AY72" s="26">
        <v>7</v>
      </c>
      <c r="AZ72" s="26">
        <v>9</v>
      </c>
      <c r="BA72" s="26">
        <v>9</v>
      </c>
      <c r="BB72" s="26">
        <v>13</v>
      </c>
      <c r="BC72" s="26">
        <v>13</v>
      </c>
      <c r="BD72" s="26">
        <v>19</v>
      </c>
      <c r="BE72" s="26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 t="s">
        <v>1266</v>
      </c>
    </row>
    <row r="73" spans="1:66" x14ac:dyDescent="0.25">
      <c r="A73" s="26" t="s">
        <v>117</v>
      </c>
      <c r="B73" s="26" t="s">
        <v>48</v>
      </c>
      <c r="C73" s="26">
        <v>-12.4634</v>
      </c>
      <c r="D73" s="26">
        <v>130.84559999999999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1</v>
      </c>
      <c r="AV73" s="26">
        <v>1</v>
      </c>
      <c r="AW73" s="26">
        <v>0</v>
      </c>
      <c r="AX73" s="26">
        <v>0</v>
      </c>
      <c r="AY73" s="26">
        <v>0</v>
      </c>
      <c r="AZ73" s="26">
        <v>0</v>
      </c>
      <c r="BA73" s="26">
        <v>1</v>
      </c>
      <c r="BB73" s="26">
        <v>1</v>
      </c>
      <c r="BC73" s="26">
        <v>1</v>
      </c>
      <c r="BD73" s="26">
        <v>1</v>
      </c>
      <c r="BE73" s="26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 t="s">
        <v>442</v>
      </c>
    </row>
    <row r="74" spans="1:66" x14ac:dyDescent="0.25">
      <c r="A74" s="26"/>
      <c r="B74" s="26" t="s">
        <v>119</v>
      </c>
      <c r="C74" s="26">
        <v>47.14</v>
      </c>
      <c r="D74" s="26">
        <v>9.5500000000000007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1</v>
      </c>
      <c r="AX74" s="26">
        <v>1</v>
      </c>
      <c r="AY74" s="26">
        <v>1</v>
      </c>
      <c r="AZ74" s="26">
        <v>1</v>
      </c>
      <c r="BA74" s="26">
        <v>1</v>
      </c>
      <c r="BB74" s="26">
        <v>1</v>
      </c>
      <c r="BC74" s="26">
        <v>1</v>
      </c>
      <c r="BD74" s="26">
        <v>1</v>
      </c>
      <c r="BE74" s="26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 t="s">
        <v>471</v>
      </c>
    </row>
    <row r="75" spans="1:66" x14ac:dyDescent="0.25">
      <c r="A75" s="26"/>
      <c r="B75" s="26" t="s">
        <v>120</v>
      </c>
      <c r="C75" s="26">
        <v>51.919400000000003</v>
      </c>
      <c r="D75" s="26">
        <v>19.145099999999999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5</v>
      </c>
      <c r="AX75" s="26">
        <v>5</v>
      </c>
      <c r="AY75" s="26">
        <v>11</v>
      </c>
      <c r="AZ75" s="26">
        <v>16</v>
      </c>
      <c r="BA75" s="26">
        <v>22</v>
      </c>
      <c r="BB75" s="26">
        <v>31</v>
      </c>
      <c r="BC75" s="26">
        <v>49</v>
      </c>
      <c r="BD75" s="26">
        <v>68</v>
      </c>
      <c r="BE75" s="26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 t="s">
        <v>1395</v>
      </c>
      <c r="BN75" s="1"/>
    </row>
    <row r="76" spans="1:66" x14ac:dyDescent="0.25">
      <c r="A76" s="26"/>
      <c r="B76" s="26" t="s">
        <v>121</v>
      </c>
      <c r="C76" s="26">
        <v>34</v>
      </c>
      <c r="D76" s="26">
        <v>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1</v>
      </c>
      <c r="AX76" s="26">
        <v>1</v>
      </c>
      <c r="AY76" s="26">
        <v>2</v>
      </c>
      <c r="AZ76" s="26">
        <v>2</v>
      </c>
      <c r="BA76" s="26">
        <v>5</v>
      </c>
      <c r="BB76" s="26">
        <v>7</v>
      </c>
      <c r="BC76" s="26">
        <v>7</v>
      </c>
      <c r="BD76" s="26">
        <v>16</v>
      </c>
      <c r="BE76" s="2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 t="s">
        <v>1396</v>
      </c>
      <c r="BN76" s="1"/>
    </row>
    <row r="77" spans="1:66" x14ac:dyDescent="0.25">
      <c r="A77" s="26"/>
      <c r="B77" s="26" t="s">
        <v>122</v>
      </c>
      <c r="C77" s="26">
        <v>43.915900000000001</v>
      </c>
      <c r="D77" s="26">
        <v>17.679099999999998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2</v>
      </c>
      <c r="AW77" s="26">
        <v>2</v>
      </c>
      <c r="AX77" s="26">
        <v>3</v>
      </c>
      <c r="AY77" s="26">
        <v>3</v>
      </c>
      <c r="AZ77" s="26">
        <v>3</v>
      </c>
      <c r="BA77" s="26">
        <v>5</v>
      </c>
      <c r="BB77" s="26">
        <v>7</v>
      </c>
      <c r="BC77" s="26">
        <v>11</v>
      </c>
      <c r="BD77" s="26">
        <v>13</v>
      </c>
      <c r="BE77" s="26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 t="s">
        <v>1397</v>
      </c>
      <c r="BN77" s="1"/>
    </row>
    <row r="78" spans="1:66" x14ac:dyDescent="0.25">
      <c r="A78" s="26"/>
      <c r="B78" s="26" t="s">
        <v>123</v>
      </c>
      <c r="C78" s="26">
        <v>46.151200000000003</v>
      </c>
      <c r="D78" s="26">
        <v>14.9955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7</v>
      </c>
      <c r="AX78" s="26">
        <v>7</v>
      </c>
      <c r="AY78" s="26">
        <v>16</v>
      </c>
      <c r="AZ78" s="26">
        <v>16</v>
      </c>
      <c r="BA78" s="26">
        <v>31</v>
      </c>
      <c r="BB78" s="26">
        <v>57</v>
      </c>
      <c r="BC78" s="26">
        <v>89</v>
      </c>
      <c r="BD78" s="26">
        <v>141</v>
      </c>
      <c r="BE78" s="26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 t="s">
        <v>1398</v>
      </c>
      <c r="BN78" s="1"/>
    </row>
    <row r="79" spans="1:66" x14ac:dyDescent="0.25">
      <c r="A79" s="26"/>
      <c r="B79" s="26" t="s">
        <v>124</v>
      </c>
      <c r="C79" s="26">
        <v>-30.5595</v>
      </c>
      <c r="D79" s="26">
        <v>22.9375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1</v>
      </c>
      <c r="AW79" s="26">
        <v>1</v>
      </c>
      <c r="AX79" s="26">
        <v>1</v>
      </c>
      <c r="AY79" s="26">
        <v>3</v>
      </c>
      <c r="AZ79" s="26">
        <v>3</v>
      </c>
      <c r="BA79" s="26">
        <v>7</v>
      </c>
      <c r="BB79" s="26">
        <v>13</v>
      </c>
      <c r="BC79" s="26">
        <v>17</v>
      </c>
      <c r="BD79" s="26">
        <v>24</v>
      </c>
      <c r="BE79" s="26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 t="s">
        <v>1253</v>
      </c>
      <c r="BN79" s="1"/>
    </row>
    <row r="80" spans="1:66" x14ac:dyDescent="0.25">
      <c r="A80" s="26"/>
      <c r="B80" s="26" t="s">
        <v>125</v>
      </c>
      <c r="C80" s="26">
        <v>27.514199999999999</v>
      </c>
      <c r="D80" s="26">
        <v>90.433599999999998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1</v>
      </c>
      <c r="AX80" s="26">
        <v>1</v>
      </c>
      <c r="AY80" s="26">
        <v>1</v>
      </c>
      <c r="AZ80" s="26">
        <v>1</v>
      </c>
      <c r="BA80" s="26">
        <v>1</v>
      </c>
      <c r="BB80" s="26">
        <v>1</v>
      </c>
      <c r="BC80" s="26">
        <v>1</v>
      </c>
      <c r="BD80" s="26">
        <v>1</v>
      </c>
      <c r="BE80" s="26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 t="s">
        <v>443</v>
      </c>
      <c r="BN80" s="1"/>
    </row>
    <row r="81" spans="1:66" x14ac:dyDescent="0.25">
      <c r="A81" s="26"/>
      <c r="B81" s="26" t="s">
        <v>126</v>
      </c>
      <c r="C81" s="26">
        <v>3.8479999999999999</v>
      </c>
      <c r="D81" s="26">
        <v>11.5021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2</v>
      </c>
      <c r="AZ81" s="26">
        <v>2</v>
      </c>
      <c r="BA81" s="26">
        <v>2</v>
      </c>
      <c r="BB81" s="26">
        <v>2</v>
      </c>
      <c r="BC81" s="26">
        <v>2</v>
      </c>
      <c r="BD81" s="26">
        <v>2</v>
      </c>
      <c r="BE81" s="26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 t="s">
        <v>651</v>
      </c>
      <c r="BN81" s="1"/>
    </row>
    <row r="82" spans="1:66" x14ac:dyDescent="0.25">
      <c r="A82" s="26"/>
      <c r="B82" s="26" t="s">
        <v>127</v>
      </c>
      <c r="C82" s="26">
        <v>4.5709</v>
      </c>
      <c r="D82" s="26">
        <v>-74.297300000000007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1</v>
      </c>
      <c r="AZ82" s="26">
        <v>1</v>
      </c>
      <c r="BA82" s="26">
        <v>3</v>
      </c>
      <c r="BB82" s="26">
        <v>9</v>
      </c>
      <c r="BC82" s="26">
        <v>9</v>
      </c>
      <c r="BD82" s="26">
        <v>13</v>
      </c>
      <c r="BE82" s="26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 t="s">
        <v>1369</v>
      </c>
      <c r="BN82" s="1"/>
    </row>
    <row r="83" spans="1:66" x14ac:dyDescent="0.25">
      <c r="A83" s="26"/>
      <c r="B83" s="26" t="s">
        <v>128</v>
      </c>
      <c r="C83" s="26">
        <v>9.7489000000000008</v>
      </c>
      <c r="D83" s="26">
        <v>-83.753399999999999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5</v>
      </c>
      <c r="AZ83" s="26">
        <v>9</v>
      </c>
      <c r="BA83" s="26">
        <v>9</v>
      </c>
      <c r="BB83" s="26">
        <v>13</v>
      </c>
      <c r="BC83" s="26">
        <v>22</v>
      </c>
      <c r="BD83" s="26">
        <v>23</v>
      </c>
      <c r="BE83" s="26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 t="s">
        <v>1397</v>
      </c>
      <c r="BN83" s="1"/>
    </row>
    <row r="84" spans="1:66" x14ac:dyDescent="0.25">
      <c r="A84" s="26"/>
      <c r="B84" s="26" t="s">
        <v>129</v>
      </c>
      <c r="C84" s="26">
        <v>-9.19</v>
      </c>
      <c r="D84" s="26">
        <v>-75.015199999999993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6</v>
      </c>
      <c r="AZ84" s="26">
        <v>7</v>
      </c>
      <c r="BA84" s="26">
        <v>11</v>
      </c>
      <c r="BB84" s="26">
        <v>11</v>
      </c>
      <c r="BC84" s="26">
        <v>15</v>
      </c>
      <c r="BD84" s="26">
        <v>28</v>
      </c>
      <c r="BE84" s="26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 t="s">
        <v>1399</v>
      </c>
      <c r="BN84" s="1"/>
    </row>
    <row r="85" spans="1:66" x14ac:dyDescent="0.25">
      <c r="A85" s="26"/>
      <c r="B85" s="26" t="s">
        <v>130</v>
      </c>
      <c r="C85" s="26">
        <v>44.016500000000001</v>
      </c>
      <c r="D85" s="26">
        <v>21.0059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1</v>
      </c>
      <c r="AZ85" s="26">
        <v>1</v>
      </c>
      <c r="BA85" s="26">
        <v>5</v>
      </c>
      <c r="BB85" s="26">
        <v>12</v>
      </c>
      <c r="BC85" s="26">
        <v>19</v>
      </c>
      <c r="BD85" s="26">
        <v>35</v>
      </c>
      <c r="BE85" s="26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 t="s">
        <v>1400</v>
      </c>
      <c r="BN85" s="1"/>
    </row>
    <row r="86" spans="1:66" x14ac:dyDescent="0.25">
      <c r="A86" s="26"/>
      <c r="B86" s="26" t="s">
        <v>131</v>
      </c>
      <c r="C86" s="26">
        <v>48.668999999999997</v>
      </c>
      <c r="D86" s="26">
        <v>19.699000000000002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3</v>
      </c>
      <c r="AZ86" s="26">
        <v>3</v>
      </c>
      <c r="BA86" s="26">
        <v>7</v>
      </c>
      <c r="BB86" s="26">
        <v>10</v>
      </c>
      <c r="BC86" s="26">
        <v>16</v>
      </c>
      <c r="BD86" s="26">
        <v>32</v>
      </c>
      <c r="BE86" s="2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 t="s">
        <v>1401</v>
      </c>
      <c r="BN86" s="1"/>
    </row>
    <row r="87" spans="1:66" x14ac:dyDescent="0.25">
      <c r="A87" s="26"/>
      <c r="B87" s="26" t="s">
        <v>132</v>
      </c>
      <c r="C87" s="26">
        <v>8.6195000000000004</v>
      </c>
      <c r="D87" s="26">
        <v>0.82479999999999998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1</v>
      </c>
      <c r="AZ87" s="26">
        <v>1</v>
      </c>
      <c r="BA87" s="26">
        <v>1</v>
      </c>
      <c r="BB87" s="26">
        <v>1</v>
      </c>
      <c r="BC87" s="26">
        <v>1</v>
      </c>
      <c r="BD87" s="26">
        <v>1</v>
      </c>
      <c r="BE87" s="26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 t="s">
        <v>444</v>
      </c>
      <c r="BN87" s="1"/>
    </row>
    <row r="88" spans="1:66" x14ac:dyDescent="0.25">
      <c r="A88" s="26"/>
      <c r="B88" s="26" t="s">
        <v>134</v>
      </c>
      <c r="C88" s="26">
        <v>35.9375</v>
      </c>
      <c r="D88" s="26">
        <v>14.375400000000001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3</v>
      </c>
      <c r="AY88" s="26">
        <v>3</v>
      </c>
      <c r="AZ88" s="26">
        <v>3</v>
      </c>
      <c r="BA88" s="26">
        <v>5</v>
      </c>
      <c r="BB88" s="26">
        <v>6</v>
      </c>
      <c r="BC88" s="26">
        <v>6</v>
      </c>
      <c r="BD88" s="26">
        <v>12</v>
      </c>
      <c r="BE88" s="26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 t="s">
        <v>1384</v>
      </c>
      <c r="BN88" s="1"/>
    </row>
    <row r="89" spans="1:66" x14ac:dyDescent="0.25">
      <c r="A89" s="26"/>
      <c r="B89" s="26" t="s">
        <v>135</v>
      </c>
      <c r="C89" s="26">
        <v>14.641500000000001</v>
      </c>
      <c r="D89" s="26">
        <v>-61.0242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2</v>
      </c>
      <c r="AY89" s="26">
        <v>2</v>
      </c>
      <c r="AZ89" s="26">
        <v>2</v>
      </c>
      <c r="BA89" s="26">
        <v>2</v>
      </c>
      <c r="BB89" s="26">
        <v>3</v>
      </c>
      <c r="BC89" s="26">
        <v>3</v>
      </c>
      <c r="BD89" s="26">
        <v>3</v>
      </c>
      <c r="BE89" s="26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 t="s">
        <v>1402</v>
      </c>
      <c r="BN89" s="1"/>
    </row>
    <row r="90" spans="1:66" x14ac:dyDescent="0.25">
      <c r="A90" s="26"/>
      <c r="B90" s="26" t="s">
        <v>136</v>
      </c>
      <c r="C90" s="26">
        <v>42.733899999999998</v>
      </c>
      <c r="D90" s="26">
        <v>25.485800000000001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4</v>
      </c>
      <c r="AZ90" s="26">
        <v>4</v>
      </c>
      <c r="BA90" s="26">
        <v>4</v>
      </c>
      <c r="BB90" s="26">
        <v>7</v>
      </c>
      <c r="BC90" s="26">
        <v>7</v>
      </c>
      <c r="BD90" s="26">
        <v>23</v>
      </c>
      <c r="BE90" s="26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 t="s">
        <v>1403</v>
      </c>
      <c r="BN90" s="1"/>
    </row>
    <row r="91" spans="1:66" x14ac:dyDescent="0.25">
      <c r="A91" s="26"/>
      <c r="B91" s="26" t="s">
        <v>137</v>
      </c>
      <c r="C91" s="26">
        <v>3.2027999999999999</v>
      </c>
      <c r="D91" s="26">
        <v>73.220699999999994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6</v>
      </c>
      <c r="BB91" s="26">
        <v>8</v>
      </c>
      <c r="BC91" s="26">
        <v>8</v>
      </c>
      <c r="BD91" s="26">
        <v>9</v>
      </c>
      <c r="BE91" s="26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 t="s">
        <v>809</v>
      </c>
      <c r="BN91" s="1"/>
    </row>
    <row r="92" spans="1:66" x14ac:dyDescent="0.25">
      <c r="A92" s="26"/>
      <c r="B92" s="26" t="s">
        <v>138</v>
      </c>
      <c r="C92" s="26">
        <v>23.684999999999999</v>
      </c>
      <c r="D92" s="26">
        <v>90.356300000000005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3</v>
      </c>
      <c r="AZ92" s="26">
        <v>3</v>
      </c>
      <c r="BA92" s="26">
        <v>3</v>
      </c>
      <c r="BB92" s="26">
        <v>3</v>
      </c>
      <c r="BC92" s="26">
        <v>3</v>
      </c>
      <c r="BD92" s="26">
        <v>3</v>
      </c>
      <c r="BE92" s="26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 t="s">
        <v>651</v>
      </c>
      <c r="BN92" s="1"/>
    </row>
    <row r="93" spans="1:66" x14ac:dyDescent="0.25">
      <c r="A93" s="26"/>
      <c r="B93" s="26" t="s">
        <v>140</v>
      </c>
      <c r="C93" s="26">
        <v>-23.442499999999999</v>
      </c>
      <c r="D93" s="26">
        <v>-58.443800000000003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1</v>
      </c>
      <c r="AZ93" s="26">
        <v>1</v>
      </c>
      <c r="BA93" s="26">
        <v>1</v>
      </c>
      <c r="BB93" s="26">
        <v>5</v>
      </c>
      <c r="BC93" s="26">
        <v>5</v>
      </c>
      <c r="BD93" s="26">
        <v>6</v>
      </c>
      <c r="BE93" s="26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 t="s">
        <v>809</v>
      </c>
      <c r="BN93" s="1"/>
    </row>
    <row r="94" spans="1:66" x14ac:dyDescent="0.25">
      <c r="A94" s="26" t="s">
        <v>141</v>
      </c>
      <c r="B94" s="26" t="s">
        <v>46</v>
      </c>
      <c r="C94" s="26">
        <v>51.253799999999998</v>
      </c>
      <c r="D94" s="26">
        <v>-85.3232</v>
      </c>
      <c r="E94" s="26">
        <v>0</v>
      </c>
      <c r="F94" s="26">
        <v>0</v>
      </c>
      <c r="G94" s="26">
        <v>0</v>
      </c>
      <c r="H94" s="26">
        <v>0</v>
      </c>
      <c r="I94" s="26">
        <v>1</v>
      </c>
      <c r="J94" s="26">
        <v>1</v>
      </c>
      <c r="K94" s="26">
        <v>1</v>
      </c>
      <c r="L94" s="26">
        <v>1</v>
      </c>
      <c r="M94" s="26">
        <v>1</v>
      </c>
      <c r="N94" s="26">
        <v>3</v>
      </c>
      <c r="O94" s="26">
        <v>3</v>
      </c>
      <c r="P94" s="26">
        <v>3</v>
      </c>
      <c r="Q94" s="26">
        <v>3</v>
      </c>
      <c r="R94" s="26">
        <v>3</v>
      </c>
      <c r="S94" s="26">
        <v>3</v>
      </c>
      <c r="T94" s="26">
        <v>3</v>
      </c>
      <c r="U94" s="26">
        <v>3</v>
      </c>
      <c r="V94" s="26">
        <v>3</v>
      </c>
      <c r="W94" s="26">
        <v>3</v>
      </c>
      <c r="X94" s="26">
        <v>3</v>
      </c>
      <c r="Y94" s="26">
        <v>3</v>
      </c>
      <c r="Z94" s="26">
        <v>3</v>
      </c>
      <c r="AA94" s="26">
        <v>3</v>
      </c>
      <c r="AB94" s="26">
        <v>3</v>
      </c>
      <c r="AC94" s="26">
        <v>3</v>
      </c>
      <c r="AD94" s="26">
        <v>3</v>
      </c>
      <c r="AE94" s="26">
        <v>3</v>
      </c>
      <c r="AF94" s="26">
        <v>3</v>
      </c>
      <c r="AG94" s="26">
        <v>3</v>
      </c>
      <c r="AH94" s="26">
        <v>3</v>
      </c>
      <c r="AI94" s="26">
        <v>3</v>
      </c>
      <c r="AJ94" s="26">
        <v>3</v>
      </c>
      <c r="AK94" s="26">
        <v>3</v>
      </c>
      <c r="AL94" s="26">
        <v>4</v>
      </c>
      <c r="AM94" s="26">
        <v>4</v>
      </c>
      <c r="AN94" s="26">
        <v>4</v>
      </c>
      <c r="AO94" s="26">
        <v>6</v>
      </c>
      <c r="AP94" s="26">
        <v>6</v>
      </c>
      <c r="AQ94" s="26">
        <v>11</v>
      </c>
      <c r="AR94" s="26">
        <v>15</v>
      </c>
      <c r="AS94" s="26">
        <v>18</v>
      </c>
      <c r="AT94" s="26">
        <v>20</v>
      </c>
      <c r="AU94" s="26">
        <v>20</v>
      </c>
      <c r="AV94" s="26">
        <v>22</v>
      </c>
      <c r="AW94" s="26">
        <v>25</v>
      </c>
      <c r="AX94" s="26">
        <v>28</v>
      </c>
      <c r="AY94" s="26">
        <v>29</v>
      </c>
      <c r="AZ94" s="26">
        <v>34</v>
      </c>
      <c r="BA94" s="26">
        <v>36</v>
      </c>
      <c r="BB94" s="26">
        <v>41</v>
      </c>
      <c r="BC94" s="26">
        <v>42</v>
      </c>
      <c r="BD94" s="26">
        <v>74</v>
      </c>
      <c r="BE94" s="26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 t="s">
        <v>1379</v>
      </c>
      <c r="BN94" s="1"/>
    </row>
    <row r="95" spans="1:66" x14ac:dyDescent="0.25">
      <c r="A95" s="26" t="s">
        <v>142</v>
      </c>
      <c r="B95" s="26" t="s">
        <v>46</v>
      </c>
      <c r="C95" s="26">
        <v>53.933300000000003</v>
      </c>
      <c r="D95" s="26">
        <v>-116.5765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1</v>
      </c>
      <c r="AX95" s="26">
        <v>2</v>
      </c>
      <c r="AY95" s="26">
        <v>4</v>
      </c>
      <c r="AZ95" s="26">
        <v>7</v>
      </c>
      <c r="BA95" s="26">
        <v>7</v>
      </c>
      <c r="BB95" s="26">
        <v>19</v>
      </c>
      <c r="BC95" s="26">
        <v>19</v>
      </c>
      <c r="BD95" s="26">
        <v>29</v>
      </c>
      <c r="BE95" s="26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 t="s">
        <v>465</v>
      </c>
      <c r="BN95" s="1"/>
    </row>
    <row r="96" spans="1:66" x14ac:dyDescent="0.25">
      <c r="A96" s="26" t="s">
        <v>143</v>
      </c>
      <c r="B96" s="26" t="s">
        <v>46</v>
      </c>
      <c r="C96" s="26">
        <v>52.939900000000002</v>
      </c>
      <c r="D96" s="26">
        <v>-73.549099999999996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1</v>
      </c>
      <c r="AQ96" s="26">
        <v>1</v>
      </c>
      <c r="AR96" s="26">
        <v>1</v>
      </c>
      <c r="AS96" s="26">
        <v>1</v>
      </c>
      <c r="AT96" s="26">
        <v>1</v>
      </c>
      <c r="AU96" s="26">
        <v>1</v>
      </c>
      <c r="AV96" s="26">
        <v>2</v>
      </c>
      <c r="AW96" s="26">
        <v>2</v>
      </c>
      <c r="AX96" s="26">
        <v>3</v>
      </c>
      <c r="AY96" s="26">
        <v>4</v>
      </c>
      <c r="AZ96" s="26">
        <v>4</v>
      </c>
      <c r="BA96" s="26">
        <v>4</v>
      </c>
      <c r="BB96" s="26">
        <v>8</v>
      </c>
      <c r="BC96" s="26">
        <v>9</v>
      </c>
      <c r="BD96" s="26">
        <v>17</v>
      </c>
      <c r="BE96" s="2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 t="s">
        <v>1404</v>
      </c>
      <c r="BN96" s="1"/>
    </row>
    <row r="97" spans="1:66" x14ac:dyDescent="0.25">
      <c r="A97" s="26"/>
      <c r="B97" s="26" t="s">
        <v>144</v>
      </c>
      <c r="C97" s="26">
        <v>41.153300000000002</v>
      </c>
      <c r="D97" s="26">
        <v>20.168299999999999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2</v>
      </c>
      <c r="BA97" s="26">
        <v>10</v>
      </c>
      <c r="BB97" s="26">
        <v>12</v>
      </c>
      <c r="BC97" s="26">
        <v>23</v>
      </c>
      <c r="BD97" s="26">
        <v>33</v>
      </c>
      <c r="BE97" s="26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 t="s">
        <v>1267</v>
      </c>
      <c r="BN97" s="1"/>
    </row>
    <row r="98" spans="1:66" x14ac:dyDescent="0.25">
      <c r="A98" s="26"/>
      <c r="B98" s="26" t="s">
        <v>145</v>
      </c>
      <c r="C98" s="26">
        <v>35.126399999999997</v>
      </c>
      <c r="D98" s="26">
        <v>33.429900000000004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3</v>
      </c>
      <c r="BB98" s="26">
        <v>6</v>
      </c>
      <c r="BC98" s="26">
        <v>6</v>
      </c>
      <c r="BD98" s="26">
        <v>14</v>
      </c>
      <c r="BE98" s="26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 t="s">
        <v>1377</v>
      </c>
      <c r="BN98" s="1"/>
    </row>
    <row r="99" spans="1:66" x14ac:dyDescent="0.25">
      <c r="A99" s="26"/>
      <c r="B99" s="26" t="s">
        <v>146</v>
      </c>
      <c r="C99" s="26">
        <v>4.5353000000000003</v>
      </c>
      <c r="D99" s="26">
        <v>114.7277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1</v>
      </c>
      <c r="BA99" s="26">
        <v>1</v>
      </c>
      <c r="BB99" s="26">
        <v>11</v>
      </c>
      <c r="BC99" s="26">
        <v>11</v>
      </c>
      <c r="BD99" s="26">
        <v>37</v>
      </c>
      <c r="BE99" s="26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 t="s">
        <v>1405</v>
      </c>
      <c r="BN99" s="1"/>
    </row>
    <row r="100" spans="1:66" x14ac:dyDescent="0.25">
      <c r="A100" s="26" t="s">
        <v>147</v>
      </c>
      <c r="B100" s="26" t="s">
        <v>37</v>
      </c>
      <c r="C100" s="26">
        <v>47.4009</v>
      </c>
      <c r="D100" s="26">
        <v>-121.4905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267</v>
      </c>
      <c r="BB100" s="26">
        <v>366</v>
      </c>
      <c r="BC100" s="26">
        <v>442</v>
      </c>
      <c r="BD100" s="26">
        <v>568</v>
      </c>
      <c r="BE100" s="26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 t="s">
        <v>1406</v>
      </c>
      <c r="BN100" s="1"/>
    </row>
    <row r="101" spans="1:66" x14ac:dyDescent="0.25">
      <c r="A101" s="26" t="s">
        <v>148</v>
      </c>
      <c r="B101" s="26" t="s">
        <v>37</v>
      </c>
      <c r="C101" s="26">
        <v>42.165700000000001</v>
      </c>
      <c r="D101" s="26">
        <v>-74.948099999999997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173</v>
      </c>
      <c r="BB101" s="26">
        <v>220</v>
      </c>
      <c r="BC101" s="26">
        <v>328</v>
      </c>
      <c r="BD101" s="26">
        <v>421</v>
      </c>
      <c r="BE101" s="26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 t="s">
        <v>1407</v>
      </c>
      <c r="BN101" s="1"/>
    </row>
    <row r="102" spans="1:66" x14ac:dyDescent="0.25">
      <c r="A102" s="26" t="s">
        <v>149</v>
      </c>
      <c r="B102" s="26" t="s">
        <v>37</v>
      </c>
      <c r="C102" s="26">
        <v>36.116199999999999</v>
      </c>
      <c r="D102" s="26">
        <v>-119.6816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144</v>
      </c>
      <c r="BB102" s="26">
        <v>177</v>
      </c>
      <c r="BC102" s="26">
        <v>221</v>
      </c>
      <c r="BD102" s="26">
        <v>282</v>
      </c>
      <c r="BE102" s="26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 t="s">
        <v>1408</v>
      </c>
      <c r="BN102" s="1"/>
    </row>
    <row r="103" spans="1:66" x14ac:dyDescent="0.25">
      <c r="A103" s="26" t="s">
        <v>150</v>
      </c>
      <c r="B103" s="26" t="s">
        <v>37</v>
      </c>
      <c r="C103" s="26">
        <v>42.230200000000004</v>
      </c>
      <c r="D103" s="26">
        <v>-71.530100000000004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92</v>
      </c>
      <c r="BB103" s="26">
        <v>95</v>
      </c>
      <c r="BC103" s="26">
        <v>108</v>
      </c>
      <c r="BD103" s="26">
        <v>123</v>
      </c>
      <c r="BE103" s="26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 t="s">
        <v>1409</v>
      </c>
      <c r="BN103" s="1"/>
    </row>
    <row r="104" spans="1:66" x14ac:dyDescent="0.25">
      <c r="A104" s="26" t="s">
        <v>151</v>
      </c>
      <c r="B104" s="26" t="s">
        <v>37</v>
      </c>
      <c r="C104" s="26">
        <v>35.4437</v>
      </c>
      <c r="D104" s="26">
        <v>139.63800000000001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36</v>
      </c>
      <c r="AM104" s="26">
        <v>36</v>
      </c>
      <c r="AN104" s="26">
        <v>42</v>
      </c>
      <c r="AO104" s="26">
        <v>42</v>
      </c>
      <c r="AP104" s="26">
        <v>44</v>
      </c>
      <c r="AQ104" s="26">
        <v>44</v>
      </c>
      <c r="AR104" s="26">
        <v>44</v>
      </c>
      <c r="AS104" s="26">
        <v>45</v>
      </c>
      <c r="AT104" s="26">
        <v>45</v>
      </c>
      <c r="AU104" s="26">
        <v>45</v>
      </c>
      <c r="AV104" s="26">
        <v>45</v>
      </c>
      <c r="AW104" s="26">
        <v>45</v>
      </c>
      <c r="AX104" s="26">
        <v>45</v>
      </c>
      <c r="AY104" s="26">
        <v>45</v>
      </c>
      <c r="AZ104" s="26">
        <v>45</v>
      </c>
      <c r="BA104" s="26">
        <v>46</v>
      </c>
      <c r="BB104" s="26">
        <v>46</v>
      </c>
      <c r="BC104" s="26">
        <v>46</v>
      </c>
      <c r="BD104" s="26">
        <v>46</v>
      </c>
      <c r="BE104" s="26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 t="s">
        <v>449</v>
      </c>
      <c r="BN104" s="1"/>
    </row>
    <row r="105" spans="1:66" x14ac:dyDescent="0.25">
      <c r="A105" s="26" t="s">
        <v>152</v>
      </c>
      <c r="B105" s="26" t="s">
        <v>37</v>
      </c>
      <c r="C105" s="26">
        <v>37.648899999999998</v>
      </c>
      <c r="D105" s="26">
        <v>-122.66549999999999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21</v>
      </c>
      <c r="AY105" s="26">
        <v>21</v>
      </c>
      <c r="AZ105" s="26">
        <v>21</v>
      </c>
      <c r="BA105" s="26">
        <v>21</v>
      </c>
      <c r="BB105" s="26">
        <v>21</v>
      </c>
      <c r="BC105" s="26">
        <v>21</v>
      </c>
      <c r="BD105" s="26">
        <v>21</v>
      </c>
      <c r="BE105" s="26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 t="s">
        <v>808</v>
      </c>
      <c r="BN105" s="1"/>
    </row>
    <row r="106" spans="1:66" x14ac:dyDescent="0.25">
      <c r="A106" s="26" t="s">
        <v>80</v>
      </c>
      <c r="B106" s="26" t="s">
        <v>37</v>
      </c>
      <c r="C106" s="26">
        <v>33.040599999999998</v>
      </c>
      <c r="D106" s="26">
        <v>-83.643100000000004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17</v>
      </c>
      <c r="BB106" s="26">
        <v>23</v>
      </c>
      <c r="BC106" s="26">
        <v>31</v>
      </c>
      <c r="BD106" s="26">
        <v>42</v>
      </c>
      <c r="BE106" s="2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 t="s">
        <v>1410</v>
      </c>
      <c r="BN106" s="1"/>
    </row>
    <row r="107" spans="1:66" x14ac:dyDescent="0.25">
      <c r="A107" s="26" t="s">
        <v>153</v>
      </c>
      <c r="B107" s="26" t="s">
        <v>37</v>
      </c>
      <c r="C107" s="26">
        <v>39.059800000000003</v>
      </c>
      <c r="D107" s="26">
        <v>-105.3111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15</v>
      </c>
      <c r="BB107" s="26">
        <v>34</v>
      </c>
      <c r="BC107" s="26">
        <v>45</v>
      </c>
      <c r="BD107" s="26">
        <v>49</v>
      </c>
      <c r="BE107" s="26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 t="s">
        <v>1411</v>
      </c>
      <c r="BN107" s="1"/>
    </row>
    <row r="108" spans="1:66" x14ac:dyDescent="0.25">
      <c r="A108" s="26" t="s">
        <v>154</v>
      </c>
      <c r="B108" s="26" t="s">
        <v>37</v>
      </c>
      <c r="C108" s="26">
        <v>27.766300000000001</v>
      </c>
      <c r="D108" s="26">
        <v>-81.686800000000005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28</v>
      </c>
      <c r="BC108" s="26">
        <v>35</v>
      </c>
      <c r="BD108" s="26">
        <v>50</v>
      </c>
      <c r="BE108" s="26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 t="s">
        <v>1412</v>
      </c>
      <c r="BN108" s="1"/>
    </row>
    <row r="109" spans="1:66" x14ac:dyDescent="0.25">
      <c r="A109" s="26" t="s">
        <v>155</v>
      </c>
      <c r="B109" s="26" t="s">
        <v>37</v>
      </c>
      <c r="C109" s="26">
        <v>40.298900000000003</v>
      </c>
      <c r="D109" s="26">
        <v>-74.521000000000001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23</v>
      </c>
      <c r="BC109" s="26">
        <v>29</v>
      </c>
      <c r="BD109" s="26">
        <v>29</v>
      </c>
      <c r="BE109" s="26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 t="s">
        <v>1413</v>
      </c>
      <c r="BN109" s="1"/>
    </row>
    <row r="110" spans="1:66" x14ac:dyDescent="0.25">
      <c r="A110" s="26" t="s">
        <v>156</v>
      </c>
      <c r="B110" s="26" t="s">
        <v>37</v>
      </c>
      <c r="C110" s="26">
        <v>44.572000000000003</v>
      </c>
      <c r="D110" s="26">
        <v>-122.07089999999999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19</v>
      </c>
      <c r="BC110" s="26">
        <v>24</v>
      </c>
      <c r="BD110" s="26">
        <v>30</v>
      </c>
      <c r="BE110" s="26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 t="s">
        <v>1414</v>
      </c>
      <c r="BN110" s="1"/>
    </row>
    <row r="111" spans="1:66" x14ac:dyDescent="0.25">
      <c r="A111" s="26" t="s">
        <v>157</v>
      </c>
      <c r="B111" s="26" t="s">
        <v>37</v>
      </c>
      <c r="C111" s="26">
        <v>31.054500000000001</v>
      </c>
      <c r="D111" s="26">
        <v>-97.563500000000005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13</v>
      </c>
      <c r="BB111" s="26">
        <v>21</v>
      </c>
      <c r="BC111" s="26">
        <v>27</v>
      </c>
      <c r="BD111" s="26">
        <v>43</v>
      </c>
      <c r="BE111" s="26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 t="s">
        <v>1415</v>
      </c>
      <c r="BN111" s="1"/>
    </row>
    <row r="112" spans="1:66" x14ac:dyDescent="0.25">
      <c r="A112" s="26" t="s">
        <v>158</v>
      </c>
      <c r="B112" s="26" t="s">
        <v>37</v>
      </c>
      <c r="C112" s="26">
        <v>40.349499999999999</v>
      </c>
      <c r="D112" s="26">
        <v>-88.986099999999993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12</v>
      </c>
      <c r="BB112" s="26">
        <v>25</v>
      </c>
      <c r="BC112" s="26">
        <v>32</v>
      </c>
      <c r="BD112" s="26">
        <v>46</v>
      </c>
      <c r="BE112" s="26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 t="s">
        <v>1416</v>
      </c>
      <c r="BN112" s="1"/>
    </row>
    <row r="113" spans="1:66" x14ac:dyDescent="0.25">
      <c r="A113" s="26" t="s">
        <v>159</v>
      </c>
      <c r="B113" s="26" t="s">
        <v>37</v>
      </c>
      <c r="C113" s="26">
        <v>40.590800000000002</v>
      </c>
      <c r="D113" s="26">
        <v>-77.209800000000001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16</v>
      </c>
      <c r="BC113" s="26">
        <v>22</v>
      </c>
      <c r="BD113" s="26">
        <v>41</v>
      </c>
      <c r="BE113" s="26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 t="s">
        <v>1417</v>
      </c>
      <c r="BN113" s="1"/>
    </row>
    <row r="114" spans="1:66" x14ac:dyDescent="0.25">
      <c r="A114" s="26" t="s">
        <v>160</v>
      </c>
      <c r="B114" s="26" t="s">
        <v>37</v>
      </c>
      <c r="C114" s="26">
        <v>42.011499999999998</v>
      </c>
      <c r="D114" s="26">
        <v>-93.210499999999996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8</v>
      </c>
      <c r="BB114" s="26">
        <v>13</v>
      </c>
      <c r="BC114" s="26">
        <v>16</v>
      </c>
      <c r="BD114" s="26">
        <v>17</v>
      </c>
      <c r="BE114" s="26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 t="s">
        <v>1418</v>
      </c>
      <c r="BN114" s="1"/>
    </row>
    <row r="115" spans="1:66" x14ac:dyDescent="0.25">
      <c r="A115" s="26" t="s">
        <v>161</v>
      </c>
      <c r="B115" s="26" t="s">
        <v>37</v>
      </c>
      <c r="C115" s="26">
        <v>39.063899999999997</v>
      </c>
      <c r="D115" s="26">
        <v>-76.802099999999996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9</v>
      </c>
      <c r="BC115" s="26">
        <v>12</v>
      </c>
      <c r="BD115" s="26">
        <v>18</v>
      </c>
      <c r="BE115" s="26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 t="s">
        <v>1419</v>
      </c>
      <c r="BN115" s="1"/>
    </row>
    <row r="116" spans="1:66" x14ac:dyDescent="0.25">
      <c r="A116" s="26" t="s">
        <v>162</v>
      </c>
      <c r="B116" s="26" t="s">
        <v>37</v>
      </c>
      <c r="C116" s="26">
        <v>35.630099999999999</v>
      </c>
      <c r="D116" s="26">
        <v>-79.806399999999996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7</v>
      </c>
      <c r="BB116" s="26">
        <v>7</v>
      </c>
      <c r="BC116" s="26">
        <v>15</v>
      </c>
      <c r="BD116" s="26">
        <v>17</v>
      </c>
      <c r="BE116" s="2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 t="s">
        <v>1420</v>
      </c>
      <c r="BN116" s="1"/>
    </row>
    <row r="117" spans="1:66" x14ac:dyDescent="0.25">
      <c r="A117" s="26" t="s">
        <v>163</v>
      </c>
      <c r="B117" s="26" t="s">
        <v>37</v>
      </c>
      <c r="C117" s="26">
        <v>33.856900000000003</v>
      </c>
      <c r="D117" s="26">
        <v>-80.944999999999993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10</v>
      </c>
      <c r="BC117" s="26">
        <v>12</v>
      </c>
      <c r="BD117" s="26">
        <v>13</v>
      </c>
      <c r="BE117" s="26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 t="s">
        <v>1421</v>
      </c>
      <c r="BN117" s="1"/>
    </row>
    <row r="118" spans="1:66" x14ac:dyDescent="0.25">
      <c r="A118" s="26" t="s">
        <v>164</v>
      </c>
      <c r="B118" s="26" t="s">
        <v>37</v>
      </c>
      <c r="C118" s="26">
        <v>35.747799999999998</v>
      </c>
      <c r="D118" s="26">
        <v>-86.692300000000003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9</v>
      </c>
      <c r="BC118" s="26">
        <v>18</v>
      </c>
      <c r="BD118" s="26">
        <v>26</v>
      </c>
      <c r="BE118" s="26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 t="s">
        <v>1422</v>
      </c>
      <c r="BN118" s="1"/>
    </row>
    <row r="119" spans="1:66" x14ac:dyDescent="0.25">
      <c r="A119" s="26" t="s">
        <v>165</v>
      </c>
      <c r="B119" s="26" t="s">
        <v>37</v>
      </c>
      <c r="C119" s="26">
        <v>37.769300000000001</v>
      </c>
      <c r="D119" s="26">
        <v>-78.17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17</v>
      </c>
      <c r="BD119" s="26">
        <v>30</v>
      </c>
      <c r="BE119" s="26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 t="s">
        <v>1423</v>
      </c>
      <c r="BN119" s="1"/>
    </row>
    <row r="120" spans="1:66" x14ac:dyDescent="0.25">
      <c r="A120" s="26" t="s">
        <v>166</v>
      </c>
      <c r="B120" s="26" t="s">
        <v>37</v>
      </c>
      <c r="C120" s="26">
        <v>33.729799999999997</v>
      </c>
      <c r="D120" s="26">
        <v>-111.4312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6</v>
      </c>
      <c r="BB120" s="26">
        <v>9</v>
      </c>
      <c r="BC120" s="26">
        <v>9</v>
      </c>
      <c r="BD120" s="26">
        <v>9</v>
      </c>
      <c r="BE120" s="26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 t="s">
        <v>1405</v>
      </c>
      <c r="BN120" s="1"/>
    </row>
    <row r="121" spans="1:66" x14ac:dyDescent="0.25">
      <c r="A121" s="26" t="s">
        <v>167</v>
      </c>
      <c r="B121" s="26" t="s">
        <v>37</v>
      </c>
      <c r="C121" s="26">
        <v>39.849400000000003</v>
      </c>
      <c r="D121" s="26">
        <v>-86.258300000000006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11</v>
      </c>
      <c r="BC121" s="26">
        <v>13</v>
      </c>
      <c r="BD121" s="26">
        <v>13</v>
      </c>
      <c r="BE121" s="26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 t="s">
        <v>1269</v>
      </c>
      <c r="BN121" s="1"/>
    </row>
    <row r="122" spans="1:66" x14ac:dyDescent="0.25">
      <c r="A122" s="26" t="s">
        <v>168</v>
      </c>
      <c r="B122" s="26" t="s">
        <v>37</v>
      </c>
      <c r="C122" s="26">
        <v>37.668100000000003</v>
      </c>
      <c r="D122" s="26">
        <v>-84.670100000000005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8</v>
      </c>
      <c r="BC122" s="26">
        <v>10</v>
      </c>
      <c r="BD122" s="26">
        <v>14</v>
      </c>
      <c r="BE122" s="26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 t="s">
        <v>1263</v>
      </c>
      <c r="BN122" s="1"/>
    </row>
    <row r="123" spans="1:66" x14ac:dyDescent="0.25">
      <c r="A123" s="26" t="s">
        <v>169</v>
      </c>
      <c r="B123" s="26" t="s">
        <v>37</v>
      </c>
      <c r="C123" s="26">
        <v>38.897399999999998</v>
      </c>
      <c r="D123" s="26">
        <v>-77.026799999999994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5</v>
      </c>
      <c r="BB123" s="26">
        <v>10</v>
      </c>
      <c r="BC123" s="26">
        <v>10</v>
      </c>
      <c r="BD123" s="26">
        <v>10</v>
      </c>
      <c r="BE123" s="26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 t="s">
        <v>1259</v>
      </c>
      <c r="BN123" s="1"/>
    </row>
    <row r="124" spans="1:66" x14ac:dyDescent="0.25">
      <c r="A124" s="26" t="s">
        <v>170</v>
      </c>
      <c r="B124" s="26" t="s">
        <v>37</v>
      </c>
      <c r="C124" s="26">
        <v>38.313499999999998</v>
      </c>
      <c r="D124" s="26">
        <v>-117.05540000000001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4</v>
      </c>
      <c r="BB124" s="26">
        <v>7</v>
      </c>
      <c r="BC124" s="26">
        <v>14</v>
      </c>
      <c r="BD124" s="26">
        <v>17</v>
      </c>
      <c r="BE124" s="26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 t="s">
        <v>1414</v>
      </c>
    </row>
    <row r="125" spans="1:66" x14ac:dyDescent="0.25">
      <c r="A125" s="26" t="s">
        <v>171</v>
      </c>
      <c r="B125" s="26" t="s">
        <v>37</v>
      </c>
      <c r="C125" s="26">
        <v>43.452500000000001</v>
      </c>
      <c r="D125" s="26">
        <v>-71.563900000000004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5</v>
      </c>
      <c r="BC125" s="26">
        <v>6</v>
      </c>
      <c r="BD125" s="26">
        <v>6</v>
      </c>
      <c r="BE125" s="26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 t="s">
        <v>1389</v>
      </c>
    </row>
    <row r="126" spans="1:66" x14ac:dyDescent="0.25">
      <c r="A126" s="26" t="s">
        <v>172</v>
      </c>
      <c r="B126" s="26" t="s">
        <v>37</v>
      </c>
      <c r="C126" s="26">
        <v>45.694499999999998</v>
      </c>
      <c r="D126" s="26">
        <v>-93.900199999999998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3</v>
      </c>
      <c r="BB126" s="26">
        <v>5</v>
      </c>
      <c r="BC126" s="26">
        <v>9</v>
      </c>
      <c r="BD126" s="26">
        <v>14</v>
      </c>
      <c r="BE126" s="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 t="s">
        <v>1424</v>
      </c>
    </row>
    <row r="127" spans="1:66" x14ac:dyDescent="0.25">
      <c r="A127" s="26" t="s">
        <v>173</v>
      </c>
      <c r="B127" s="26" t="s">
        <v>37</v>
      </c>
      <c r="C127" s="26">
        <v>41.125399999999999</v>
      </c>
      <c r="D127" s="26">
        <v>-98.268100000000004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10</v>
      </c>
      <c r="BD127" s="26">
        <v>13</v>
      </c>
      <c r="BE127" s="26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 t="s">
        <v>855</v>
      </c>
    </row>
    <row r="128" spans="1:66" x14ac:dyDescent="0.25">
      <c r="A128" s="26" t="s">
        <v>174</v>
      </c>
      <c r="B128" s="26" t="s">
        <v>37</v>
      </c>
      <c r="C128" s="26">
        <v>40.388800000000003</v>
      </c>
      <c r="D128" s="26">
        <v>-82.764899999999997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4</v>
      </c>
      <c r="BC128" s="26">
        <v>5</v>
      </c>
      <c r="BD128" s="26">
        <v>13</v>
      </c>
      <c r="BE128" s="26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 t="s">
        <v>1265</v>
      </c>
    </row>
    <row r="129" spans="1:63" x14ac:dyDescent="0.25">
      <c r="A129" s="26" t="s">
        <v>175</v>
      </c>
      <c r="B129" s="26" t="s">
        <v>37</v>
      </c>
      <c r="C129" s="26">
        <v>41.680900000000001</v>
      </c>
      <c r="D129" s="26">
        <v>-71.511799999999994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5</v>
      </c>
      <c r="BC129" s="26">
        <v>5</v>
      </c>
      <c r="BD129" s="26">
        <v>14</v>
      </c>
      <c r="BE129" s="26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 t="s">
        <v>1396</v>
      </c>
    </row>
    <row r="130" spans="1:63" x14ac:dyDescent="0.25">
      <c r="A130" s="26" t="s">
        <v>176</v>
      </c>
      <c r="B130" s="26" t="s">
        <v>37</v>
      </c>
      <c r="C130" s="26">
        <v>44.268500000000003</v>
      </c>
      <c r="D130" s="26">
        <v>-89.616500000000002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6</v>
      </c>
      <c r="BC130" s="26">
        <v>8</v>
      </c>
      <c r="BD130" s="26">
        <v>19</v>
      </c>
      <c r="BE130" s="26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 t="s">
        <v>1425</v>
      </c>
    </row>
    <row r="131" spans="1:63" x14ac:dyDescent="0.25">
      <c r="A131" s="26" t="s">
        <v>177</v>
      </c>
      <c r="B131" s="26" t="s">
        <v>37</v>
      </c>
      <c r="C131" s="26">
        <v>41.597799999999999</v>
      </c>
      <c r="D131" s="26">
        <v>-72.755399999999995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2</v>
      </c>
      <c r="BB131" s="26">
        <v>3</v>
      </c>
      <c r="BC131" s="26">
        <v>5</v>
      </c>
      <c r="BD131" s="26">
        <v>11</v>
      </c>
      <c r="BE131" s="26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 t="s">
        <v>1426</v>
      </c>
    </row>
    <row r="132" spans="1:63" x14ac:dyDescent="0.25">
      <c r="A132" s="26" t="s">
        <v>178</v>
      </c>
      <c r="B132" s="26" t="s">
        <v>37</v>
      </c>
      <c r="C132" s="26">
        <v>21.0943</v>
      </c>
      <c r="D132" s="26">
        <v>-157.4983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2</v>
      </c>
      <c r="BC132" s="26">
        <v>2</v>
      </c>
      <c r="BD132" s="26">
        <v>2</v>
      </c>
      <c r="BE132" s="26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 t="s">
        <v>472</v>
      </c>
    </row>
    <row r="133" spans="1:63" x14ac:dyDescent="0.25">
      <c r="A133" s="26" t="s">
        <v>179</v>
      </c>
      <c r="B133" s="26" t="s">
        <v>37</v>
      </c>
      <c r="C133" s="26">
        <v>35.565300000000001</v>
      </c>
      <c r="D133" s="26">
        <v>-96.928899999999999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 t="s">
        <v>449</v>
      </c>
    </row>
    <row r="134" spans="1:63" x14ac:dyDescent="0.25">
      <c r="A134" s="26" t="s">
        <v>180</v>
      </c>
      <c r="B134" s="26" t="s">
        <v>37</v>
      </c>
      <c r="C134" s="26">
        <v>40.15</v>
      </c>
      <c r="D134" s="26">
        <v>-111.86239999999999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3</v>
      </c>
      <c r="BC134" s="26">
        <v>5</v>
      </c>
      <c r="BD134" s="26">
        <v>9</v>
      </c>
      <c r="BE134" s="26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 t="s">
        <v>1405</v>
      </c>
    </row>
    <row r="135" spans="1:63" x14ac:dyDescent="0.25">
      <c r="A135" s="26"/>
      <c r="B135" s="26" t="s">
        <v>181</v>
      </c>
      <c r="C135" s="26">
        <v>12.238300000000001</v>
      </c>
      <c r="D135" s="26">
        <v>-1.5616000000000001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</v>
      </c>
      <c r="BB135" s="26">
        <v>2</v>
      </c>
      <c r="BC135" s="26">
        <v>2</v>
      </c>
      <c r="BD135" s="26">
        <v>2</v>
      </c>
      <c r="BE135" s="26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 t="s">
        <v>1427</v>
      </c>
    </row>
    <row r="136" spans="1:63" x14ac:dyDescent="0.25">
      <c r="A136" s="26"/>
      <c r="B136" s="26" t="s">
        <v>182</v>
      </c>
      <c r="C136" s="26">
        <v>41.902900000000002</v>
      </c>
      <c r="D136" s="26">
        <v>12.4534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1</v>
      </c>
      <c r="AX136" s="26">
        <v>1</v>
      </c>
      <c r="AY136" s="26">
        <v>1</v>
      </c>
      <c r="AZ136" s="26">
        <v>1</v>
      </c>
      <c r="BA136" s="26">
        <v>1</v>
      </c>
      <c r="BB136" s="26">
        <v>1</v>
      </c>
      <c r="BC136" s="26">
        <v>1</v>
      </c>
      <c r="BD136" s="26">
        <v>1</v>
      </c>
      <c r="BE136" s="2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 t="s">
        <v>441</v>
      </c>
    </row>
    <row r="137" spans="1:63" x14ac:dyDescent="0.25">
      <c r="A137" s="26"/>
      <c r="B137" s="26" t="s">
        <v>183</v>
      </c>
      <c r="C137" s="26">
        <v>46.862499999999997</v>
      </c>
      <c r="D137" s="26">
        <v>103.8467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 t="s">
        <v>455</v>
      </c>
    </row>
    <row r="138" spans="1:63" x14ac:dyDescent="0.25">
      <c r="A138" s="26"/>
      <c r="B138" s="26" t="s">
        <v>184</v>
      </c>
      <c r="C138" s="26">
        <v>8.5380000000000003</v>
      </c>
      <c r="D138" s="26">
        <v>-80.7821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8</v>
      </c>
      <c r="BC138" s="26">
        <v>11</v>
      </c>
      <c r="BD138" s="26">
        <v>27</v>
      </c>
      <c r="BE138" s="26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 t="s">
        <v>1401</v>
      </c>
    </row>
    <row r="139" spans="1:63" x14ac:dyDescent="0.25">
      <c r="A139" s="26" t="s">
        <v>185</v>
      </c>
      <c r="B139" s="26" t="s">
        <v>37</v>
      </c>
      <c r="C139" s="26">
        <v>38.526600000000002</v>
      </c>
      <c r="D139" s="26">
        <v>-96.726500000000001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1</v>
      </c>
      <c r="BC139" s="26">
        <v>1</v>
      </c>
      <c r="BD139" s="26">
        <v>5</v>
      </c>
      <c r="BE139" s="26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 t="s">
        <v>1389</v>
      </c>
    </row>
    <row r="140" spans="1:63" x14ac:dyDescent="0.25">
      <c r="A140" s="26" t="s">
        <v>186</v>
      </c>
      <c r="B140" s="26" t="s">
        <v>37</v>
      </c>
      <c r="C140" s="26">
        <v>31.169499999999999</v>
      </c>
      <c r="D140" s="26">
        <v>-91.867800000000003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6</v>
      </c>
      <c r="BC140" s="26">
        <v>19</v>
      </c>
      <c r="BD140" s="26">
        <v>36</v>
      </c>
      <c r="BE140" s="26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 t="s">
        <v>1428</v>
      </c>
    </row>
    <row r="141" spans="1:63" x14ac:dyDescent="0.25">
      <c r="A141" s="26" t="s">
        <v>187</v>
      </c>
      <c r="B141" s="26" t="s">
        <v>37</v>
      </c>
      <c r="C141" s="26">
        <v>38.456099999999999</v>
      </c>
      <c r="D141" s="26">
        <v>-92.288399999999996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1</v>
      </c>
      <c r="BC141" s="26">
        <v>1</v>
      </c>
      <c r="BD141" s="26">
        <v>2</v>
      </c>
      <c r="BE141" s="26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 t="s">
        <v>1429</v>
      </c>
    </row>
    <row r="142" spans="1:63" x14ac:dyDescent="0.25">
      <c r="A142" s="26" t="s">
        <v>188</v>
      </c>
      <c r="B142" s="26" t="s">
        <v>37</v>
      </c>
      <c r="C142" s="26">
        <v>44.045900000000003</v>
      </c>
      <c r="D142" s="26">
        <v>-72.710700000000003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2</v>
      </c>
      <c r="BD142" s="26">
        <v>2</v>
      </c>
      <c r="BE142" s="26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 t="s">
        <v>1260</v>
      </c>
    </row>
    <row r="143" spans="1:63" x14ac:dyDescent="0.25">
      <c r="A143" s="26" t="s">
        <v>189</v>
      </c>
      <c r="B143" s="26" t="s">
        <v>37</v>
      </c>
      <c r="C143" s="26">
        <v>61.370699999999999</v>
      </c>
      <c r="D143" s="26">
        <v>-152.40440000000001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1</v>
      </c>
      <c r="BE143" s="26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 t="s">
        <v>450</v>
      </c>
    </row>
    <row r="144" spans="1:63" x14ac:dyDescent="0.25">
      <c r="A144" s="26" t="s">
        <v>190</v>
      </c>
      <c r="B144" s="26" t="s">
        <v>37</v>
      </c>
      <c r="C144" s="26">
        <v>34.969700000000003</v>
      </c>
      <c r="D144" s="26">
        <v>-92.373099999999994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1</v>
      </c>
      <c r="BC144" s="26">
        <v>6</v>
      </c>
      <c r="BD144" s="26">
        <v>6</v>
      </c>
      <c r="BE144" s="26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 t="s">
        <v>1430</v>
      </c>
    </row>
    <row r="145" spans="1:63" x14ac:dyDescent="0.25">
      <c r="A145" s="26" t="s">
        <v>191</v>
      </c>
      <c r="B145" s="26" t="s">
        <v>37</v>
      </c>
      <c r="C145" s="26">
        <v>39.3185</v>
      </c>
      <c r="D145" s="26">
        <v>-75.507099999999994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1</v>
      </c>
      <c r="BD145" s="26">
        <v>4</v>
      </c>
      <c r="BE145" s="26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 t="s">
        <v>1256</v>
      </c>
    </row>
    <row r="146" spans="1:63" x14ac:dyDescent="0.25">
      <c r="A146" s="26" t="s">
        <v>192</v>
      </c>
      <c r="B146" s="26" t="s">
        <v>37</v>
      </c>
      <c r="C146" s="26">
        <v>44.240499999999997</v>
      </c>
      <c r="D146" s="26">
        <v>-114.47880000000001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1</v>
      </c>
      <c r="BE146" s="2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 t="s">
        <v>808</v>
      </c>
    </row>
    <row r="147" spans="1:63" x14ac:dyDescent="0.25">
      <c r="A147" s="26" t="s">
        <v>193</v>
      </c>
      <c r="B147" s="26" t="s">
        <v>37</v>
      </c>
      <c r="C147" s="26">
        <v>44.693899999999999</v>
      </c>
      <c r="D147" s="26">
        <v>-69.381900000000002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 t="s">
        <v>1431</v>
      </c>
    </row>
    <row r="148" spans="1:63" x14ac:dyDescent="0.25">
      <c r="A148" s="26" t="s">
        <v>194</v>
      </c>
      <c r="B148" s="26" t="s">
        <v>37</v>
      </c>
      <c r="C148" s="26">
        <v>43.326599999999999</v>
      </c>
      <c r="D148" s="26">
        <v>-84.536100000000005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2</v>
      </c>
      <c r="BC148" s="26">
        <v>2</v>
      </c>
      <c r="BD148" s="26">
        <v>16</v>
      </c>
      <c r="BE148" s="26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 t="s">
        <v>1432</v>
      </c>
    </row>
    <row r="149" spans="1:63" x14ac:dyDescent="0.25">
      <c r="A149" s="26" t="s">
        <v>195</v>
      </c>
      <c r="B149" s="26" t="s">
        <v>37</v>
      </c>
      <c r="C149" s="26">
        <v>32.741599999999998</v>
      </c>
      <c r="D149" s="26">
        <v>-89.678700000000006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1</v>
      </c>
      <c r="BD149" s="26">
        <v>1</v>
      </c>
      <c r="BE149" s="26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 t="s">
        <v>1433</v>
      </c>
    </row>
    <row r="150" spans="1:63" x14ac:dyDescent="0.25">
      <c r="A150" s="26" t="s">
        <v>196</v>
      </c>
      <c r="B150" s="26" t="s">
        <v>37</v>
      </c>
      <c r="C150" s="26">
        <v>46.921900000000001</v>
      </c>
      <c r="D150" s="26">
        <v>-110.45440000000001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1</v>
      </c>
      <c r="BC150" s="26">
        <v>1</v>
      </c>
      <c r="BD150" s="26">
        <v>1</v>
      </c>
      <c r="BE150" s="26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 t="s">
        <v>1270</v>
      </c>
    </row>
    <row r="151" spans="1:63" x14ac:dyDescent="0.25">
      <c r="A151" s="26" t="s">
        <v>197</v>
      </c>
      <c r="B151" s="26" t="s">
        <v>37</v>
      </c>
      <c r="C151" s="26">
        <v>34.840499999999999</v>
      </c>
      <c r="D151" s="26">
        <v>-106.24850000000001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3</v>
      </c>
      <c r="BC151" s="26">
        <v>5</v>
      </c>
      <c r="BD151" s="26">
        <v>10</v>
      </c>
      <c r="BE151" s="26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 t="s">
        <v>1375</v>
      </c>
    </row>
    <row r="152" spans="1:63" x14ac:dyDescent="0.25">
      <c r="A152" s="26" t="s">
        <v>198</v>
      </c>
      <c r="B152" s="26" t="s">
        <v>37</v>
      </c>
      <c r="C152" s="26">
        <v>47.5289</v>
      </c>
      <c r="D152" s="26">
        <v>-99.784000000000006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1</v>
      </c>
      <c r="BD152" s="26">
        <v>1</v>
      </c>
      <c r="BE152" s="26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 t="s">
        <v>1262</v>
      </c>
    </row>
    <row r="153" spans="1:63" x14ac:dyDescent="0.25">
      <c r="A153" s="26" t="s">
        <v>199</v>
      </c>
      <c r="B153" s="26" t="s">
        <v>37</v>
      </c>
      <c r="C153" s="26">
        <v>44.299799999999998</v>
      </c>
      <c r="D153" s="26">
        <v>-99.438800000000001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8</v>
      </c>
      <c r="BC153" s="26">
        <v>8</v>
      </c>
      <c r="BD153" s="26">
        <v>8</v>
      </c>
      <c r="BE153" s="26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 t="s">
        <v>456</v>
      </c>
    </row>
    <row r="154" spans="1:63" x14ac:dyDescent="0.25">
      <c r="A154" s="26" t="s">
        <v>200</v>
      </c>
      <c r="B154" s="26" t="s">
        <v>37</v>
      </c>
      <c r="C154" s="26">
        <v>38.491199999999999</v>
      </c>
      <c r="D154" s="26">
        <v>-80.954499999999996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 t="s">
        <v>447</v>
      </c>
    </row>
    <row r="155" spans="1:63" x14ac:dyDescent="0.25">
      <c r="A155" s="26" t="s">
        <v>201</v>
      </c>
      <c r="B155" s="26" t="s">
        <v>37</v>
      </c>
      <c r="C155" s="26">
        <v>42.756</v>
      </c>
      <c r="D155" s="26">
        <v>-107.30249999999999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1</v>
      </c>
      <c r="BD155" s="26">
        <v>1</v>
      </c>
      <c r="BE155" s="26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 t="s">
        <v>1262</v>
      </c>
    </row>
    <row r="156" spans="1:63" x14ac:dyDescent="0.25">
      <c r="A156" s="26" t="s">
        <v>16</v>
      </c>
      <c r="B156" s="26" t="s">
        <v>225</v>
      </c>
      <c r="C156" s="26">
        <v>30.9756</v>
      </c>
      <c r="D156" s="26">
        <v>112.27070000000001</v>
      </c>
      <c r="E156" s="26">
        <v>444</v>
      </c>
      <c r="F156" s="26">
        <v>444</v>
      </c>
      <c r="G156" s="26">
        <v>549</v>
      </c>
      <c r="H156" s="26">
        <v>761</v>
      </c>
      <c r="I156" s="26">
        <v>1058</v>
      </c>
      <c r="J156" s="26">
        <v>1423</v>
      </c>
      <c r="K156" s="26">
        <v>3554</v>
      </c>
      <c r="L156" s="26">
        <v>3554</v>
      </c>
      <c r="M156" s="26">
        <v>4903</v>
      </c>
      <c r="N156" s="26">
        <v>5806</v>
      </c>
      <c r="O156" s="26">
        <v>7153</v>
      </c>
      <c r="P156" s="26">
        <v>11177</v>
      </c>
      <c r="Q156" s="26">
        <v>13522</v>
      </c>
      <c r="R156" s="26">
        <v>16678</v>
      </c>
      <c r="S156" s="26">
        <v>19665</v>
      </c>
      <c r="T156" s="26">
        <v>22112</v>
      </c>
      <c r="U156" s="26">
        <v>24953</v>
      </c>
      <c r="V156" s="26">
        <v>27100</v>
      </c>
      <c r="W156" s="26">
        <v>29631</v>
      </c>
      <c r="X156" s="26">
        <v>31728</v>
      </c>
      <c r="Y156" s="26">
        <v>33366</v>
      </c>
      <c r="Z156" s="26">
        <v>33366</v>
      </c>
      <c r="AA156" s="26">
        <v>48206</v>
      </c>
      <c r="AB156" s="26">
        <v>54406</v>
      </c>
      <c r="AC156" s="26">
        <v>56249</v>
      </c>
      <c r="AD156" s="26">
        <v>58182</v>
      </c>
      <c r="AE156" s="26">
        <v>59989</v>
      </c>
      <c r="AF156" s="26">
        <v>61682</v>
      </c>
      <c r="AG156" s="26">
        <v>62031</v>
      </c>
      <c r="AH156" s="26">
        <v>62442</v>
      </c>
      <c r="AI156" s="26">
        <v>62662</v>
      </c>
      <c r="AJ156" s="26">
        <v>64084</v>
      </c>
      <c r="AK156" s="26">
        <v>64084</v>
      </c>
      <c r="AL156" s="26">
        <v>64287</v>
      </c>
      <c r="AM156" s="26">
        <v>64786</v>
      </c>
      <c r="AN156" s="26">
        <v>65187</v>
      </c>
      <c r="AO156" s="26">
        <v>65596</v>
      </c>
      <c r="AP156" s="26">
        <v>65914</v>
      </c>
      <c r="AQ156" s="26">
        <v>66337</v>
      </c>
      <c r="AR156" s="26">
        <v>66907</v>
      </c>
      <c r="AS156" s="26">
        <v>67103</v>
      </c>
      <c r="AT156" s="26">
        <v>67217</v>
      </c>
      <c r="AU156" s="26">
        <v>67332</v>
      </c>
      <c r="AV156" s="26">
        <v>67466</v>
      </c>
      <c r="AW156" s="26">
        <v>67592</v>
      </c>
      <c r="AX156" s="26">
        <v>67666</v>
      </c>
      <c r="AY156" s="26">
        <v>67707</v>
      </c>
      <c r="AZ156" s="26">
        <v>67743</v>
      </c>
      <c r="BA156" s="26">
        <v>67760</v>
      </c>
      <c r="BB156" s="26">
        <v>67773</v>
      </c>
      <c r="BC156" s="26">
        <v>67781</v>
      </c>
      <c r="BD156" s="26">
        <v>67786</v>
      </c>
      <c r="BE156" s="2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 t="s">
        <v>1271</v>
      </c>
    </row>
    <row r="157" spans="1:63" x14ac:dyDescent="0.25">
      <c r="A157" s="26"/>
      <c r="B157" s="26" t="s">
        <v>65</v>
      </c>
      <c r="C157" s="26">
        <v>32</v>
      </c>
      <c r="D157" s="26">
        <v>53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0</v>
      </c>
      <c r="AG157" s="26">
        <v>2</v>
      </c>
      <c r="AH157" s="26">
        <v>5</v>
      </c>
      <c r="AI157" s="26">
        <v>18</v>
      </c>
      <c r="AJ157" s="26">
        <v>28</v>
      </c>
      <c r="AK157" s="26">
        <v>43</v>
      </c>
      <c r="AL157" s="26">
        <v>61</v>
      </c>
      <c r="AM157" s="26">
        <v>95</v>
      </c>
      <c r="AN157" s="26">
        <v>139</v>
      </c>
      <c r="AO157" s="26">
        <v>245</v>
      </c>
      <c r="AP157" s="26">
        <v>388</v>
      </c>
      <c r="AQ157" s="26">
        <v>593</v>
      </c>
      <c r="AR157" s="26">
        <v>978</v>
      </c>
      <c r="AS157" s="26">
        <v>1501</v>
      </c>
      <c r="AT157" s="26">
        <v>2336</v>
      </c>
      <c r="AU157" s="26">
        <v>2922</v>
      </c>
      <c r="AV157" s="26">
        <v>3513</v>
      </c>
      <c r="AW157" s="26">
        <v>4747</v>
      </c>
      <c r="AX157" s="26">
        <v>5823</v>
      </c>
      <c r="AY157" s="26">
        <v>6566</v>
      </c>
      <c r="AZ157" s="26">
        <v>7161</v>
      </c>
      <c r="BA157" s="26">
        <v>8042</v>
      </c>
      <c r="BB157" s="26">
        <v>9000</v>
      </c>
      <c r="BC157" s="26">
        <v>10075</v>
      </c>
      <c r="BD157" s="26">
        <v>11364</v>
      </c>
      <c r="BE157" s="26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 t="s">
        <v>1434</v>
      </c>
    </row>
    <row r="158" spans="1:63" x14ac:dyDescent="0.25">
      <c r="A158" s="26"/>
      <c r="B158" s="26" t="s">
        <v>246</v>
      </c>
      <c r="C158" s="26">
        <v>36</v>
      </c>
      <c r="D158" s="26">
        <v>128</v>
      </c>
      <c r="E158" s="26">
        <v>1</v>
      </c>
      <c r="F158" s="26">
        <v>1</v>
      </c>
      <c r="G158" s="26">
        <v>2</v>
      </c>
      <c r="H158" s="26">
        <v>2</v>
      </c>
      <c r="I158" s="26">
        <v>3</v>
      </c>
      <c r="J158" s="26">
        <v>4</v>
      </c>
      <c r="K158" s="26">
        <v>4</v>
      </c>
      <c r="L158" s="26">
        <v>4</v>
      </c>
      <c r="M158" s="26">
        <v>4</v>
      </c>
      <c r="N158" s="26">
        <v>11</v>
      </c>
      <c r="O158" s="26">
        <v>12</v>
      </c>
      <c r="P158" s="26">
        <v>15</v>
      </c>
      <c r="Q158" s="26">
        <v>15</v>
      </c>
      <c r="R158" s="26">
        <v>16</v>
      </c>
      <c r="S158" s="26">
        <v>19</v>
      </c>
      <c r="T158" s="26">
        <v>23</v>
      </c>
      <c r="U158" s="26">
        <v>24</v>
      </c>
      <c r="V158" s="26">
        <v>24</v>
      </c>
      <c r="W158" s="26">
        <v>25</v>
      </c>
      <c r="X158" s="26">
        <v>27</v>
      </c>
      <c r="Y158" s="26">
        <v>28</v>
      </c>
      <c r="Z158" s="26">
        <v>28</v>
      </c>
      <c r="AA158" s="26">
        <v>28</v>
      </c>
      <c r="AB158" s="26">
        <v>28</v>
      </c>
      <c r="AC158" s="26">
        <v>28</v>
      </c>
      <c r="AD158" s="26">
        <v>29</v>
      </c>
      <c r="AE158" s="26">
        <v>30</v>
      </c>
      <c r="AF158" s="26">
        <v>31</v>
      </c>
      <c r="AG158" s="26">
        <v>31</v>
      </c>
      <c r="AH158" s="26">
        <v>104</v>
      </c>
      <c r="AI158" s="26">
        <v>204</v>
      </c>
      <c r="AJ158" s="26">
        <v>433</v>
      </c>
      <c r="AK158" s="26">
        <v>602</v>
      </c>
      <c r="AL158" s="26">
        <v>833</v>
      </c>
      <c r="AM158" s="26">
        <v>977</v>
      </c>
      <c r="AN158" s="26">
        <v>1261</v>
      </c>
      <c r="AO158" s="26">
        <v>1766</v>
      </c>
      <c r="AP158" s="26">
        <v>2337</v>
      </c>
      <c r="AQ158" s="26">
        <v>3150</v>
      </c>
      <c r="AR158" s="26">
        <v>3736</v>
      </c>
      <c r="AS158" s="26">
        <v>4335</v>
      </c>
      <c r="AT158" s="26">
        <v>5186</v>
      </c>
      <c r="AU158" s="26">
        <v>5621</v>
      </c>
      <c r="AV158" s="26">
        <v>6088</v>
      </c>
      <c r="AW158" s="26">
        <v>6593</v>
      </c>
      <c r="AX158" s="26">
        <v>7041</v>
      </c>
      <c r="AY158" s="26">
        <v>7314</v>
      </c>
      <c r="AZ158" s="26">
        <v>7478</v>
      </c>
      <c r="BA158" s="26">
        <v>7513</v>
      </c>
      <c r="BB158" s="26">
        <v>7755</v>
      </c>
      <c r="BC158" s="26">
        <v>7869</v>
      </c>
      <c r="BD158" s="26">
        <v>7979</v>
      </c>
      <c r="BE158" s="26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 t="s">
        <v>1435</v>
      </c>
    </row>
    <row r="159" spans="1:63" x14ac:dyDescent="0.25">
      <c r="A159" s="26" t="s">
        <v>42</v>
      </c>
      <c r="B159" s="26" t="s">
        <v>42</v>
      </c>
      <c r="C159" s="26">
        <v>46.227600000000002</v>
      </c>
      <c r="D159" s="26">
        <v>2.2136999999999998</v>
      </c>
      <c r="E159" s="26">
        <v>0</v>
      </c>
      <c r="F159" s="26">
        <v>0</v>
      </c>
      <c r="G159" s="26">
        <v>2</v>
      </c>
      <c r="H159" s="26">
        <v>3</v>
      </c>
      <c r="I159" s="26">
        <v>3</v>
      </c>
      <c r="J159" s="26">
        <v>3</v>
      </c>
      <c r="K159" s="26">
        <v>4</v>
      </c>
      <c r="L159" s="26">
        <v>5</v>
      </c>
      <c r="M159" s="26">
        <v>5</v>
      </c>
      <c r="N159" s="26">
        <v>5</v>
      </c>
      <c r="O159" s="26">
        <v>6</v>
      </c>
      <c r="P159" s="26">
        <v>6</v>
      </c>
      <c r="Q159" s="26">
        <v>6</v>
      </c>
      <c r="R159" s="26">
        <v>6</v>
      </c>
      <c r="S159" s="26">
        <v>6</v>
      </c>
      <c r="T159" s="26">
        <v>6</v>
      </c>
      <c r="U159" s="26">
        <v>6</v>
      </c>
      <c r="V159" s="26">
        <v>11</v>
      </c>
      <c r="W159" s="26">
        <v>11</v>
      </c>
      <c r="X159" s="26">
        <v>11</v>
      </c>
      <c r="Y159" s="26">
        <v>11</v>
      </c>
      <c r="Z159" s="26">
        <v>11</v>
      </c>
      <c r="AA159" s="26">
        <v>11</v>
      </c>
      <c r="AB159" s="26">
        <v>11</v>
      </c>
      <c r="AC159" s="26">
        <v>12</v>
      </c>
      <c r="AD159" s="26">
        <v>12</v>
      </c>
      <c r="AE159" s="26">
        <v>12</v>
      </c>
      <c r="AF159" s="26">
        <v>12</v>
      </c>
      <c r="AG159" s="26">
        <v>12</v>
      </c>
      <c r="AH159" s="26">
        <v>12</v>
      </c>
      <c r="AI159" s="26">
        <v>12</v>
      </c>
      <c r="AJ159" s="26">
        <v>12</v>
      </c>
      <c r="AK159" s="26">
        <v>12</v>
      </c>
      <c r="AL159" s="26">
        <v>12</v>
      </c>
      <c r="AM159" s="26">
        <v>14</v>
      </c>
      <c r="AN159" s="26">
        <v>18</v>
      </c>
      <c r="AO159" s="26">
        <v>38</v>
      </c>
      <c r="AP159" s="26">
        <v>57</v>
      </c>
      <c r="AQ159" s="26">
        <v>100</v>
      </c>
      <c r="AR159" s="26">
        <v>130</v>
      </c>
      <c r="AS159" s="26">
        <v>191</v>
      </c>
      <c r="AT159" s="26">
        <v>204</v>
      </c>
      <c r="AU159" s="26">
        <v>285</v>
      </c>
      <c r="AV159" s="26">
        <v>377</v>
      </c>
      <c r="AW159" s="26">
        <v>653</v>
      </c>
      <c r="AX159" s="26">
        <v>949</v>
      </c>
      <c r="AY159" s="26">
        <v>1126</v>
      </c>
      <c r="AZ159" s="26">
        <v>1209</v>
      </c>
      <c r="BA159" s="26">
        <v>1784</v>
      </c>
      <c r="BB159" s="26">
        <v>2281</v>
      </c>
      <c r="BC159" s="26">
        <v>2281</v>
      </c>
      <c r="BD159" s="26">
        <v>3661</v>
      </c>
      <c r="BE159" s="26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 t="s">
        <v>1436</v>
      </c>
    </row>
    <row r="160" spans="1:63" x14ac:dyDescent="0.25">
      <c r="A160" s="26" t="s">
        <v>9</v>
      </c>
      <c r="B160" s="26" t="s">
        <v>225</v>
      </c>
      <c r="C160" s="26">
        <v>23.341699999999999</v>
      </c>
      <c r="D160" s="26">
        <v>113.42440000000001</v>
      </c>
      <c r="E160" s="26">
        <v>26</v>
      </c>
      <c r="F160" s="26">
        <v>32</v>
      </c>
      <c r="G160" s="26">
        <v>53</v>
      </c>
      <c r="H160" s="26">
        <v>78</v>
      </c>
      <c r="I160" s="26">
        <v>111</v>
      </c>
      <c r="J160" s="26">
        <v>151</v>
      </c>
      <c r="K160" s="26">
        <v>207</v>
      </c>
      <c r="L160" s="26">
        <v>277</v>
      </c>
      <c r="M160" s="26">
        <v>354</v>
      </c>
      <c r="N160" s="26">
        <v>436</v>
      </c>
      <c r="O160" s="26">
        <v>535</v>
      </c>
      <c r="P160" s="26">
        <v>632</v>
      </c>
      <c r="Q160" s="26">
        <v>725</v>
      </c>
      <c r="R160" s="26">
        <v>813</v>
      </c>
      <c r="S160" s="26">
        <v>895</v>
      </c>
      <c r="T160" s="26">
        <v>970</v>
      </c>
      <c r="U160" s="26">
        <v>1034</v>
      </c>
      <c r="V160" s="26">
        <v>1095</v>
      </c>
      <c r="W160" s="26">
        <v>1131</v>
      </c>
      <c r="X160" s="26">
        <v>1159</v>
      </c>
      <c r="Y160" s="26">
        <v>1177</v>
      </c>
      <c r="Z160" s="26">
        <v>1219</v>
      </c>
      <c r="AA160" s="26">
        <v>1241</v>
      </c>
      <c r="AB160" s="26">
        <v>1261</v>
      </c>
      <c r="AC160" s="26">
        <v>1294</v>
      </c>
      <c r="AD160" s="26">
        <v>1316</v>
      </c>
      <c r="AE160" s="26">
        <v>1322</v>
      </c>
      <c r="AF160" s="26">
        <v>1328</v>
      </c>
      <c r="AG160" s="26">
        <v>1331</v>
      </c>
      <c r="AH160" s="26">
        <v>1332</v>
      </c>
      <c r="AI160" s="26">
        <v>1333</v>
      </c>
      <c r="AJ160" s="26">
        <v>1339</v>
      </c>
      <c r="AK160" s="26">
        <v>1342</v>
      </c>
      <c r="AL160" s="26">
        <v>1345</v>
      </c>
      <c r="AM160" s="26">
        <v>1347</v>
      </c>
      <c r="AN160" s="26">
        <v>1347</v>
      </c>
      <c r="AO160" s="26">
        <v>1347</v>
      </c>
      <c r="AP160" s="26">
        <v>1348</v>
      </c>
      <c r="AQ160" s="26">
        <v>1349</v>
      </c>
      <c r="AR160" s="26">
        <v>1349</v>
      </c>
      <c r="AS160" s="26">
        <v>1350</v>
      </c>
      <c r="AT160" s="26">
        <v>1350</v>
      </c>
      <c r="AU160" s="26">
        <v>1350</v>
      </c>
      <c r="AV160" s="26">
        <v>1351</v>
      </c>
      <c r="AW160" s="26">
        <v>1352</v>
      </c>
      <c r="AX160" s="26">
        <v>1352</v>
      </c>
      <c r="AY160" s="26">
        <v>1352</v>
      </c>
      <c r="AZ160" s="26">
        <v>1352</v>
      </c>
      <c r="BA160" s="26">
        <v>1353</v>
      </c>
      <c r="BB160" s="26">
        <v>1356</v>
      </c>
      <c r="BC160" s="26">
        <v>1356</v>
      </c>
      <c r="BD160" s="26">
        <v>1356</v>
      </c>
      <c r="BE160" s="26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 t="s">
        <v>1437</v>
      </c>
    </row>
    <row r="161" spans="1:63" x14ac:dyDescent="0.25">
      <c r="A161" s="26" t="s">
        <v>15</v>
      </c>
      <c r="B161" s="26" t="s">
        <v>225</v>
      </c>
      <c r="C161" s="26">
        <v>33.881999999999998</v>
      </c>
      <c r="D161" s="26">
        <v>113.614</v>
      </c>
      <c r="E161" s="26">
        <v>5</v>
      </c>
      <c r="F161" s="26">
        <v>5</v>
      </c>
      <c r="G161" s="26">
        <v>9</v>
      </c>
      <c r="H161" s="26">
        <v>32</v>
      </c>
      <c r="I161" s="26">
        <v>83</v>
      </c>
      <c r="J161" s="26">
        <v>128</v>
      </c>
      <c r="K161" s="26">
        <v>168</v>
      </c>
      <c r="L161" s="26">
        <v>206</v>
      </c>
      <c r="M161" s="26">
        <v>278</v>
      </c>
      <c r="N161" s="26">
        <v>352</v>
      </c>
      <c r="O161" s="26">
        <v>422</v>
      </c>
      <c r="P161" s="26">
        <v>493</v>
      </c>
      <c r="Q161" s="26">
        <v>566</v>
      </c>
      <c r="R161" s="26">
        <v>675</v>
      </c>
      <c r="S161" s="26">
        <v>764</v>
      </c>
      <c r="T161" s="26">
        <v>851</v>
      </c>
      <c r="U161" s="26">
        <v>914</v>
      </c>
      <c r="V161" s="26">
        <v>981</v>
      </c>
      <c r="W161" s="26">
        <v>1033</v>
      </c>
      <c r="X161" s="26">
        <v>1073</v>
      </c>
      <c r="Y161" s="26">
        <v>1105</v>
      </c>
      <c r="Z161" s="26">
        <v>1135</v>
      </c>
      <c r="AA161" s="26">
        <v>1169</v>
      </c>
      <c r="AB161" s="26">
        <v>1184</v>
      </c>
      <c r="AC161" s="26">
        <v>1212</v>
      </c>
      <c r="AD161" s="26">
        <v>1231</v>
      </c>
      <c r="AE161" s="26">
        <v>1246</v>
      </c>
      <c r="AF161" s="26">
        <v>1257</v>
      </c>
      <c r="AG161" s="26">
        <v>1262</v>
      </c>
      <c r="AH161" s="26">
        <v>1265</v>
      </c>
      <c r="AI161" s="26">
        <v>1267</v>
      </c>
      <c r="AJ161" s="26">
        <v>1270</v>
      </c>
      <c r="AK161" s="26">
        <v>1271</v>
      </c>
      <c r="AL161" s="26">
        <v>1271</v>
      </c>
      <c r="AM161" s="26">
        <v>1271</v>
      </c>
      <c r="AN161" s="26">
        <v>1271</v>
      </c>
      <c r="AO161" s="26">
        <v>1272</v>
      </c>
      <c r="AP161" s="26">
        <v>1272</v>
      </c>
      <c r="AQ161" s="26">
        <v>1272</v>
      </c>
      <c r="AR161" s="26">
        <v>1272</v>
      </c>
      <c r="AS161" s="26">
        <v>1272</v>
      </c>
      <c r="AT161" s="26">
        <v>1272</v>
      </c>
      <c r="AU161" s="26">
        <v>1272</v>
      </c>
      <c r="AV161" s="26">
        <v>1272</v>
      </c>
      <c r="AW161" s="26">
        <v>1272</v>
      </c>
      <c r="AX161" s="26">
        <v>1272</v>
      </c>
      <c r="AY161" s="26">
        <v>1272</v>
      </c>
      <c r="AZ161" s="26">
        <v>1272</v>
      </c>
      <c r="BA161" s="26">
        <v>1272</v>
      </c>
      <c r="BB161" s="26">
        <v>1273</v>
      </c>
      <c r="BC161" s="26">
        <v>1273</v>
      </c>
      <c r="BD161" s="26">
        <v>1273</v>
      </c>
      <c r="BE161" s="26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 t="s">
        <v>457</v>
      </c>
    </row>
    <row r="162" spans="1:63" x14ac:dyDescent="0.25">
      <c r="A162" s="26" t="s">
        <v>34</v>
      </c>
      <c r="B162" s="26" t="s">
        <v>225</v>
      </c>
      <c r="C162" s="26">
        <v>29.183199999999999</v>
      </c>
      <c r="D162" s="26">
        <v>120.0934</v>
      </c>
      <c r="E162" s="26">
        <v>10</v>
      </c>
      <c r="F162" s="26">
        <v>27</v>
      </c>
      <c r="G162" s="26">
        <v>43</v>
      </c>
      <c r="H162" s="26">
        <v>62</v>
      </c>
      <c r="I162" s="26">
        <v>104</v>
      </c>
      <c r="J162" s="26">
        <v>128</v>
      </c>
      <c r="K162" s="26">
        <v>173</v>
      </c>
      <c r="L162" s="26">
        <v>296</v>
      </c>
      <c r="M162" s="26">
        <v>428</v>
      </c>
      <c r="N162" s="26">
        <v>538</v>
      </c>
      <c r="O162" s="26">
        <v>599</v>
      </c>
      <c r="P162" s="26">
        <v>661</v>
      </c>
      <c r="Q162" s="26">
        <v>724</v>
      </c>
      <c r="R162" s="26">
        <v>829</v>
      </c>
      <c r="S162" s="26">
        <v>895</v>
      </c>
      <c r="T162" s="26">
        <v>954</v>
      </c>
      <c r="U162" s="26">
        <v>1006</v>
      </c>
      <c r="V162" s="26">
        <v>1048</v>
      </c>
      <c r="W162" s="26">
        <v>1075</v>
      </c>
      <c r="X162" s="26">
        <v>1092</v>
      </c>
      <c r="Y162" s="26">
        <v>1117</v>
      </c>
      <c r="Z162" s="26">
        <v>1131</v>
      </c>
      <c r="AA162" s="26">
        <v>1145</v>
      </c>
      <c r="AB162" s="26">
        <v>1155</v>
      </c>
      <c r="AC162" s="26">
        <v>1162</v>
      </c>
      <c r="AD162" s="26">
        <v>1167</v>
      </c>
      <c r="AE162" s="26">
        <v>1171</v>
      </c>
      <c r="AF162" s="26">
        <v>1172</v>
      </c>
      <c r="AG162" s="26">
        <v>1174</v>
      </c>
      <c r="AH162" s="26">
        <v>1175</v>
      </c>
      <c r="AI162" s="26">
        <v>1203</v>
      </c>
      <c r="AJ162" s="26">
        <v>1205</v>
      </c>
      <c r="AK162" s="26">
        <v>1205</v>
      </c>
      <c r="AL162" s="26">
        <v>1205</v>
      </c>
      <c r="AM162" s="26">
        <v>1205</v>
      </c>
      <c r="AN162" s="26">
        <v>1205</v>
      </c>
      <c r="AO162" s="26">
        <v>1205</v>
      </c>
      <c r="AP162" s="26">
        <v>1205</v>
      </c>
      <c r="AQ162" s="26">
        <v>1205</v>
      </c>
      <c r="AR162" s="26">
        <v>1205</v>
      </c>
      <c r="AS162" s="26">
        <v>1206</v>
      </c>
      <c r="AT162" s="26">
        <v>1213</v>
      </c>
      <c r="AU162" s="26">
        <v>1213</v>
      </c>
      <c r="AV162" s="26">
        <v>1215</v>
      </c>
      <c r="AW162" s="26">
        <v>1215</v>
      </c>
      <c r="AX162" s="26">
        <v>1215</v>
      </c>
      <c r="AY162" s="26">
        <v>1215</v>
      </c>
      <c r="AZ162" s="26">
        <v>1215</v>
      </c>
      <c r="BA162" s="26">
        <v>1215</v>
      </c>
      <c r="BB162" s="26">
        <v>1215</v>
      </c>
      <c r="BC162" s="26">
        <v>1215</v>
      </c>
      <c r="BD162" s="26">
        <v>1215</v>
      </c>
      <c r="BE162" s="26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 t="s">
        <v>1438</v>
      </c>
    </row>
    <row r="163" spans="1:63" x14ac:dyDescent="0.25">
      <c r="A163" s="26" t="s">
        <v>17</v>
      </c>
      <c r="B163" s="26" t="s">
        <v>225</v>
      </c>
      <c r="C163" s="26">
        <v>27.610399999999998</v>
      </c>
      <c r="D163" s="26">
        <v>111.7088</v>
      </c>
      <c r="E163" s="26">
        <v>4</v>
      </c>
      <c r="F163" s="26">
        <v>9</v>
      </c>
      <c r="G163" s="26">
        <v>24</v>
      </c>
      <c r="H163" s="26">
        <v>43</v>
      </c>
      <c r="I163" s="26">
        <v>69</v>
      </c>
      <c r="J163" s="26">
        <v>100</v>
      </c>
      <c r="K163" s="26">
        <v>143</v>
      </c>
      <c r="L163" s="26">
        <v>221</v>
      </c>
      <c r="M163" s="26">
        <v>277</v>
      </c>
      <c r="N163" s="26">
        <v>332</v>
      </c>
      <c r="O163" s="26">
        <v>389</v>
      </c>
      <c r="P163" s="26">
        <v>463</v>
      </c>
      <c r="Q163" s="26">
        <v>521</v>
      </c>
      <c r="R163" s="26">
        <v>593</v>
      </c>
      <c r="S163" s="26">
        <v>661</v>
      </c>
      <c r="T163" s="26">
        <v>711</v>
      </c>
      <c r="U163" s="26">
        <v>772</v>
      </c>
      <c r="V163" s="26">
        <v>803</v>
      </c>
      <c r="W163" s="26">
        <v>838</v>
      </c>
      <c r="X163" s="26">
        <v>879</v>
      </c>
      <c r="Y163" s="26">
        <v>912</v>
      </c>
      <c r="Z163" s="26">
        <v>946</v>
      </c>
      <c r="AA163" s="26">
        <v>968</v>
      </c>
      <c r="AB163" s="26">
        <v>988</v>
      </c>
      <c r="AC163" s="26">
        <v>1001</v>
      </c>
      <c r="AD163" s="26">
        <v>1004</v>
      </c>
      <c r="AE163" s="26">
        <v>1006</v>
      </c>
      <c r="AF163" s="26">
        <v>1007</v>
      </c>
      <c r="AG163" s="26">
        <v>1008</v>
      </c>
      <c r="AH163" s="26">
        <v>1010</v>
      </c>
      <c r="AI163" s="26">
        <v>1011</v>
      </c>
      <c r="AJ163" s="26">
        <v>1013</v>
      </c>
      <c r="AK163" s="26">
        <v>1016</v>
      </c>
      <c r="AL163" s="26">
        <v>1016</v>
      </c>
      <c r="AM163" s="26">
        <v>1016</v>
      </c>
      <c r="AN163" s="26">
        <v>1016</v>
      </c>
      <c r="AO163" s="26">
        <v>1017</v>
      </c>
      <c r="AP163" s="26">
        <v>1017</v>
      </c>
      <c r="AQ163" s="26">
        <v>1018</v>
      </c>
      <c r="AR163" s="26">
        <v>1018</v>
      </c>
      <c r="AS163" s="26">
        <v>1018</v>
      </c>
      <c r="AT163" s="26">
        <v>1018</v>
      </c>
      <c r="AU163" s="26">
        <v>1018</v>
      </c>
      <c r="AV163" s="26">
        <v>1018</v>
      </c>
      <c r="AW163" s="26">
        <v>1018</v>
      </c>
      <c r="AX163" s="26">
        <v>1018</v>
      </c>
      <c r="AY163" s="26">
        <v>1018</v>
      </c>
      <c r="AZ163" s="26">
        <v>1018</v>
      </c>
      <c r="BA163" s="26">
        <v>1018</v>
      </c>
      <c r="BB163" s="26">
        <v>1018</v>
      </c>
      <c r="BC163" s="26">
        <v>1018</v>
      </c>
      <c r="BD163" s="26">
        <v>1018</v>
      </c>
      <c r="BE163" s="26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 t="s">
        <v>458</v>
      </c>
    </row>
    <row r="164" spans="1:63" x14ac:dyDescent="0.25">
      <c r="A164" s="26" t="s">
        <v>4</v>
      </c>
      <c r="B164" s="26" t="s">
        <v>225</v>
      </c>
      <c r="C164" s="26">
        <v>31.825700000000001</v>
      </c>
      <c r="D164" s="26">
        <v>117.2264</v>
      </c>
      <c r="E164" s="26">
        <v>1</v>
      </c>
      <c r="F164" s="26">
        <v>9</v>
      </c>
      <c r="G164" s="26">
        <v>15</v>
      </c>
      <c r="H164" s="26">
        <v>39</v>
      </c>
      <c r="I164" s="26">
        <v>60</v>
      </c>
      <c r="J164" s="26">
        <v>70</v>
      </c>
      <c r="K164" s="26">
        <v>106</v>
      </c>
      <c r="L164" s="26">
        <v>152</v>
      </c>
      <c r="M164" s="26">
        <v>200</v>
      </c>
      <c r="N164" s="26">
        <v>237</v>
      </c>
      <c r="O164" s="26">
        <v>297</v>
      </c>
      <c r="P164" s="26">
        <v>340</v>
      </c>
      <c r="Q164" s="26">
        <v>408</v>
      </c>
      <c r="R164" s="26">
        <v>480</v>
      </c>
      <c r="S164" s="26">
        <v>530</v>
      </c>
      <c r="T164" s="26">
        <v>591</v>
      </c>
      <c r="U164" s="26">
        <v>665</v>
      </c>
      <c r="V164" s="26">
        <v>733</v>
      </c>
      <c r="W164" s="26">
        <v>779</v>
      </c>
      <c r="X164" s="26">
        <v>830</v>
      </c>
      <c r="Y164" s="26">
        <v>860</v>
      </c>
      <c r="Z164" s="26">
        <v>889</v>
      </c>
      <c r="AA164" s="26">
        <v>910</v>
      </c>
      <c r="AB164" s="26">
        <v>934</v>
      </c>
      <c r="AC164" s="26">
        <v>950</v>
      </c>
      <c r="AD164" s="26">
        <v>962</v>
      </c>
      <c r="AE164" s="26">
        <v>973</v>
      </c>
      <c r="AF164" s="26">
        <v>982</v>
      </c>
      <c r="AG164" s="26">
        <v>986</v>
      </c>
      <c r="AH164" s="26">
        <v>987</v>
      </c>
      <c r="AI164" s="26">
        <v>988</v>
      </c>
      <c r="AJ164" s="26">
        <v>989</v>
      </c>
      <c r="AK164" s="26">
        <v>989</v>
      </c>
      <c r="AL164" s="26">
        <v>989</v>
      </c>
      <c r="AM164" s="26">
        <v>989</v>
      </c>
      <c r="AN164" s="26">
        <v>989</v>
      </c>
      <c r="AO164" s="26">
        <v>989</v>
      </c>
      <c r="AP164" s="26">
        <v>990</v>
      </c>
      <c r="AQ164" s="26">
        <v>990</v>
      </c>
      <c r="AR164" s="26">
        <v>990</v>
      </c>
      <c r="AS164" s="26">
        <v>990</v>
      </c>
      <c r="AT164" s="26">
        <v>990</v>
      </c>
      <c r="AU164" s="26">
        <v>990</v>
      </c>
      <c r="AV164" s="26">
        <v>990</v>
      </c>
      <c r="AW164" s="26">
        <v>990</v>
      </c>
      <c r="AX164" s="26">
        <v>990</v>
      </c>
      <c r="AY164" s="26">
        <v>990</v>
      </c>
      <c r="AZ164" s="26">
        <v>990</v>
      </c>
      <c r="BA164" s="26">
        <v>990</v>
      </c>
      <c r="BB164" s="26">
        <v>990</v>
      </c>
      <c r="BC164" s="26">
        <v>990</v>
      </c>
      <c r="BD164" s="26">
        <v>990</v>
      </c>
      <c r="BE164" s="26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 t="s">
        <v>459</v>
      </c>
    </row>
    <row r="165" spans="1:63" x14ac:dyDescent="0.25">
      <c r="A165" s="26" t="s">
        <v>20</v>
      </c>
      <c r="B165" s="26" t="s">
        <v>225</v>
      </c>
      <c r="C165" s="26">
        <v>27.614000000000001</v>
      </c>
      <c r="D165" s="26">
        <v>115.7221</v>
      </c>
      <c r="E165" s="26">
        <v>2</v>
      </c>
      <c r="F165" s="26">
        <v>7</v>
      </c>
      <c r="G165" s="26">
        <v>18</v>
      </c>
      <c r="H165" s="26">
        <v>18</v>
      </c>
      <c r="I165" s="26">
        <v>36</v>
      </c>
      <c r="J165" s="26">
        <v>72</v>
      </c>
      <c r="K165" s="26">
        <v>109</v>
      </c>
      <c r="L165" s="26">
        <v>109</v>
      </c>
      <c r="M165" s="26">
        <v>162</v>
      </c>
      <c r="N165" s="26">
        <v>240</v>
      </c>
      <c r="O165" s="26">
        <v>286</v>
      </c>
      <c r="P165" s="26">
        <v>333</v>
      </c>
      <c r="Q165" s="26">
        <v>391</v>
      </c>
      <c r="R165" s="26">
        <v>476</v>
      </c>
      <c r="S165" s="26">
        <v>548</v>
      </c>
      <c r="T165" s="26">
        <v>600</v>
      </c>
      <c r="U165" s="26">
        <v>661</v>
      </c>
      <c r="V165" s="26">
        <v>698</v>
      </c>
      <c r="W165" s="26">
        <v>740</v>
      </c>
      <c r="X165" s="26">
        <v>771</v>
      </c>
      <c r="Y165" s="26">
        <v>804</v>
      </c>
      <c r="Z165" s="26">
        <v>844</v>
      </c>
      <c r="AA165" s="26">
        <v>872</v>
      </c>
      <c r="AB165" s="26">
        <v>900</v>
      </c>
      <c r="AC165" s="26">
        <v>913</v>
      </c>
      <c r="AD165" s="26">
        <v>925</v>
      </c>
      <c r="AE165" s="26">
        <v>930</v>
      </c>
      <c r="AF165" s="26">
        <v>933</v>
      </c>
      <c r="AG165" s="26">
        <v>934</v>
      </c>
      <c r="AH165" s="26">
        <v>934</v>
      </c>
      <c r="AI165" s="26">
        <v>934</v>
      </c>
      <c r="AJ165" s="26">
        <v>934</v>
      </c>
      <c r="AK165" s="26">
        <v>934</v>
      </c>
      <c r="AL165" s="26">
        <v>934</v>
      </c>
      <c r="AM165" s="26">
        <v>934</v>
      </c>
      <c r="AN165" s="26">
        <v>934</v>
      </c>
      <c r="AO165" s="26">
        <v>934</v>
      </c>
      <c r="AP165" s="26">
        <v>935</v>
      </c>
      <c r="AQ165" s="26">
        <v>935</v>
      </c>
      <c r="AR165" s="26">
        <v>935</v>
      </c>
      <c r="AS165" s="26">
        <v>935</v>
      </c>
      <c r="AT165" s="26">
        <v>935</v>
      </c>
      <c r="AU165" s="26">
        <v>935</v>
      </c>
      <c r="AV165" s="26">
        <v>935</v>
      </c>
      <c r="AW165" s="26">
        <v>935</v>
      </c>
      <c r="AX165" s="26">
        <v>935</v>
      </c>
      <c r="AY165" s="26">
        <v>935</v>
      </c>
      <c r="AZ165" s="26">
        <v>935</v>
      </c>
      <c r="BA165" s="26">
        <v>935</v>
      </c>
      <c r="BB165" s="26">
        <v>935</v>
      </c>
      <c r="BC165" s="26">
        <v>935</v>
      </c>
      <c r="BD165" s="26">
        <v>935</v>
      </c>
      <c r="BE165" s="26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 t="s">
        <v>460</v>
      </c>
    </row>
    <row r="166" spans="1:63" x14ac:dyDescent="0.25">
      <c r="A166" s="26" t="s">
        <v>26</v>
      </c>
      <c r="B166" s="26" t="s">
        <v>225</v>
      </c>
      <c r="C166" s="26">
        <v>36.342700000000001</v>
      </c>
      <c r="D166" s="26">
        <v>118.1498</v>
      </c>
      <c r="E166" s="26">
        <v>2</v>
      </c>
      <c r="F166" s="26">
        <v>6</v>
      </c>
      <c r="G166" s="26">
        <v>15</v>
      </c>
      <c r="H166" s="26">
        <v>27</v>
      </c>
      <c r="I166" s="26">
        <v>46</v>
      </c>
      <c r="J166" s="26">
        <v>75</v>
      </c>
      <c r="K166" s="26">
        <v>95</v>
      </c>
      <c r="L166" s="26">
        <v>130</v>
      </c>
      <c r="M166" s="26">
        <v>158</v>
      </c>
      <c r="N166" s="26">
        <v>184</v>
      </c>
      <c r="O166" s="26">
        <v>206</v>
      </c>
      <c r="P166" s="26">
        <v>230</v>
      </c>
      <c r="Q166" s="26">
        <v>259</v>
      </c>
      <c r="R166" s="26">
        <v>275</v>
      </c>
      <c r="S166" s="26">
        <v>307</v>
      </c>
      <c r="T166" s="26">
        <v>347</v>
      </c>
      <c r="U166" s="26">
        <v>386</v>
      </c>
      <c r="V166" s="26">
        <v>416</v>
      </c>
      <c r="W166" s="26">
        <v>444</v>
      </c>
      <c r="X166" s="26">
        <v>466</v>
      </c>
      <c r="Y166" s="26">
        <v>487</v>
      </c>
      <c r="Z166" s="26">
        <v>497</v>
      </c>
      <c r="AA166" s="26">
        <v>509</v>
      </c>
      <c r="AB166" s="26">
        <v>523</v>
      </c>
      <c r="AC166" s="26">
        <v>532</v>
      </c>
      <c r="AD166" s="26">
        <v>537</v>
      </c>
      <c r="AE166" s="26">
        <v>541</v>
      </c>
      <c r="AF166" s="26">
        <v>543</v>
      </c>
      <c r="AG166" s="26">
        <v>544</v>
      </c>
      <c r="AH166" s="26">
        <v>546</v>
      </c>
      <c r="AI166" s="26">
        <v>749</v>
      </c>
      <c r="AJ166" s="26">
        <v>750</v>
      </c>
      <c r="AK166" s="26">
        <v>754</v>
      </c>
      <c r="AL166" s="26">
        <v>755</v>
      </c>
      <c r="AM166" s="26">
        <v>756</v>
      </c>
      <c r="AN166" s="26">
        <v>756</v>
      </c>
      <c r="AO166" s="26">
        <v>756</v>
      </c>
      <c r="AP166" s="26">
        <v>756</v>
      </c>
      <c r="AQ166" s="26">
        <v>756</v>
      </c>
      <c r="AR166" s="26">
        <v>758</v>
      </c>
      <c r="AS166" s="26">
        <v>758</v>
      </c>
      <c r="AT166" s="26">
        <v>758</v>
      </c>
      <c r="AU166" s="26">
        <v>758</v>
      </c>
      <c r="AV166" s="26">
        <v>758</v>
      </c>
      <c r="AW166" s="26">
        <v>758</v>
      </c>
      <c r="AX166" s="26">
        <v>758</v>
      </c>
      <c r="AY166" s="26">
        <v>758</v>
      </c>
      <c r="AZ166" s="26">
        <v>758</v>
      </c>
      <c r="BA166" s="26">
        <v>758</v>
      </c>
      <c r="BB166" s="26">
        <v>760</v>
      </c>
      <c r="BC166" s="26">
        <v>760</v>
      </c>
      <c r="BD166" s="26">
        <v>760</v>
      </c>
      <c r="BE166" s="2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 t="s">
        <v>1439</v>
      </c>
    </row>
    <row r="167" spans="1:63" x14ac:dyDescent="0.25">
      <c r="A167" s="26" t="s">
        <v>151</v>
      </c>
      <c r="B167" s="26" t="s">
        <v>226</v>
      </c>
      <c r="C167" s="26">
        <v>35.4437</v>
      </c>
      <c r="D167" s="26">
        <v>139.63800000000001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61</v>
      </c>
      <c r="V167" s="26">
        <v>61</v>
      </c>
      <c r="W167" s="26">
        <v>64</v>
      </c>
      <c r="X167" s="26">
        <v>135</v>
      </c>
      <c r="Y167" s="26">
        <v>135</v>
      </c>
      <c r="Z167" s="26">
        <v>175</v>
      </c>
      <c r="AA167" s="26">
        <v>175</v>
      </c>
      <c r="AB167" s="26">
        <v>218</v>
      </c>
      <c r="AC167" s="26">
        <v>285</v>
      </c>
      <c r="AD167" s="26">
        <v>355</v>
      </c>
      <c r="AE167" s="26">
        <v>454</v>
      </c>
      <c r="AF167" s="26">
        <v>542</v>
      </c>
      <c r="AG167" s="26">
        <v>621</v>
      </c>
      <c r="AH167" s="26">
        <v>634</v>
      </c>
      <c r="AI167" s="26">
        <v>634</v>
      </c>
      <c r="AJ167" s="26">
        <v>634</v>
      </c>
      <c r="AK167" s="26">
        <v>691</v>
      </c>
      <c r="AL167" s="26">
        <v>691</v>
      </c>
      <c r="AM167" s="26">
        <v>691</v>
      </c>
      <c r="AN167" s="26">
        <v>705</v>
      </c>
      <c r="AO167" s="26">
        <v>705</v>
      </c>
      <c r="AP167" s="26">
        <v>705</v>
      </c>
      <c r="AQ167" s="26">
        <v>705</v>
      </c>
      <c r="AR167" s="26">
        <v>705</v>
      </c>
      <c r="AS167" s="26">
        <v>705</v>
      </c>
      <c r="AT167" s="26">
        <v>706</v>
      </c>
      <c r="AU167" s="26">
        <v>706</v>
      </c>
      <c r="AV167" s="26">
        <v>706</v>
      </c>
      <c r="AW167" s="26">
        <v>696</v>
      </c>
      <c r="AX167" s="26">
        <v>696</v>
      </c>
      <c r="AY167" s="26">
        <v>696</v>
      </c>
      <c r="AZ167" s="26">
        <v>696</v>
      </c>
      <c r="BA167" s="26">
        <v>696</v>
      </c>
      <c r="BB167" s="26">
        <v>696</v>
      </c>
      <c r="BC167" s="26">
        <v>696</v>
      </c>
      <c r="BD167" s="26">
        <v>696</v>
      </c>
      <c r="BE167" s="26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 t="s">
        <v>1272</v>
      </c>
    </row>
    <row r="168" spans="1:63" x14ac:dyDescent="0.25">
      <c r="A168" s="26" t="s">
        <v>19</v>
      </c>
      <c r="B168" s="26" t="s">
        <v>225</v>
      </c>
      <c r="C168" s="26">
        <v>32.9711</v>
      </c>
      <c r="D168" s="26">
        <v>119.455</v>
      </c>
      <c r="E168" s="26">
        <v>1</v>
      </c>
      <c r="F168" s="26">
        <v>5</v>
      </c>
      <c r="G168" s="26">
        <v>9</v>
      </c>
      <c r="H168" s="26">
        <v>18</v>
      </c>
      <c r="I168" s="26">
        <v>33</v>
      </c>
      <c r="J168" s="26">
        <v>47</v>
      </c>
      <c r="K168" s="26">
        <v>70</v>
      </c>
      <c r="L168" s="26">
        <v>99</v>
      </c>
      <c r="M168" s="26">
        <v>129</v>
      </c>
      <c r="N168" s="26">
        <v>168</v>
      </c>
      <c r="O168" s="26">
        <v>202</v>
      </c>
      <c r="P168" s="26">
        <v>236</v>
      </c>
      <c r="Q168" s="26">
        <v>271</v>
      </c>
      <c r="R168" s="26">
        <v>308</v>
      </c>
      <c r="S168" s="26">
        <v>341</v>
      </c>
      <c r="T168" s="26">
        <v>373</v>
      </c>
      <c r="U168" s="26">
        <v>408</v>
      </c>
      <c r="V168" s="26">
        <v>439</v>
      </c>
      <c r="W168" s="26">
        <v>468</v>
      </c>
      <c r="X168" s="26">
        <v>492</v>
      </c>
      <c r="Y168" s="26">
        <v>515</v>
      </c>
      <c r="Z168" s="26">
        <v>543</v>
      </c>
      <c r="AA168" s="26">
        <v>570</v>
      </c>
      <c r="AB168" s="26">
        <v>593</v>
      </c>
      <c r="AC168" s="26">
        <v>604</v>
      </c>
      <c r="AD168" s="26">
        <v>617</v>
      </c>
      <c r="AE168" s="26">
        <v>626</v>
      </c>
      <c r="AF168" s="26">
        <v>629</v>
      </c>
      <c r="AG168" s="26">
        <v>631</v>
      </c>
      <c r="AH168" s="26">
        <v>631</v>
      </c>
      <c r="AI168" s="26">
        <v>631</v>
      </c>
      <c r="AJ168" s="26">
        <v>631</v>
      </c>
      <c r="AK168" s="26">
        <v>631</v>
      </c>
      <c r="AL168" s="26">
        <v>631</v>
      </c>
      <c r="AM168" s="26">
        <v>631</v>
      </c>
      <c r="AN168" s="26">
        <v>631</v>
      </c>
      <c r="AO168" s="26">
        <v>631</v>
      </c>
      <c r="AP168" s="26">
        <v>631</v>
      </c>
      <c r="AQ168" s="26">
        <v>631</v>
      </c>
      <c r="AR168" s="26">
        <v>631</v>
      </c>
      <c r="AS168" s="26">
        <v>631</v>
      </c>
      <c r="AT168" s="26">
        <v>631</v>
      </c>
      <c r="AU168" s="26">
        <v>631</v>
      </c>
      <c r="AV168" s="26">
        <v>631</v>
      </c>
      <c r="AW168" s="26">
        <v>631</v>
      </c>
      <c r="AX168" s="26">
        <v>631</v>
      </c>
      <c r="AY168" s="26">
        <v>631</v>
      </c>
      <c r="AZ168" s="26">
        <v>631</v>
      </c>
      <c r="BA168" s="26">
        <v>631</v>
      </c>
      <c r="BB168" s="26">
        <v>631</v>
      </c>
      <c r="BC168" s="26">
        <v>631</v>
      </c>
      <c r="BD168" s="26">
        <v>631</v>
      </c>
      <c r="BE168" s="26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 t="s">
        <v>461</v>
      </c>
    </row>
    <row r="169" spans="1:63" x14ac:dyDescent="0.25">
      <c r="A169" s="26" t="s">
        <v>6</v>
      </c>
      <c r="B169" s="26" t="s">
        <v>225</v>
      </c>
      <c r="C169" s="26">
        <v>30.057200000000002</v>
      </c>
      <c r="D169" s="26">
        <v>107.874</v>
      </c>
      <c r="E169" s="26">
        <v>6</v>
      </c>
      <c r="F169" s="26">
        <v>9</v>
      </c>
      <c r="G169" s="26">
        <v>27</v>
      </c>
      <c r="H169" s="26">
        <v>57</v>
      </c>
      <c r="I169" s="26">
        <v>75</v>
      </c>
      <c r="J169" s="26">
        <v>110</v>
      </c>
      <c r="K169" s="26">
        <v>132</v>
      </c>
      <c r="L169" s="26">
        <v>147</v>
      </c>
      <c r="M169" s="26">
        <v>182</v>
      </c>
      <c r="N169" s="26">
        <v>211</v>
      </c>
      <c r="O169" s="26">
        <v>247</v>
      </c>
      <c r="P169" s="26">
        <v>300</v>
      </c>
      <c r="Q169" s="26">
        <v>337</v>
      </c>
      <c r="R169" s="26">
        <v>366</v>
      </c>
      <c r="S169" s="26">
        <v>389</v>
      </c>
      <c r="T169" s="26">
        <v>411</v>
      </c>
      <c r="U169" s="26">
        <v>426</v>
      </c>
      <c r="V169" s="26">
        <v>428</v>
      </c>
      <c r="W169" s="26">
        <v>468</v>
      </c>
      <c r="X169" s="26">
        <v>486</v>
      </c>
      <c r="Y169" s="26">
        <v>505</v>
      </c>
      <c r="Z169" s="26">
        <v>518</v>
      </c>
      <c r="AA169" s="26">
        <v>529</v>
      </c>
      <c r="AB169" s="26">
        <v>537</v>
      </c>
      <c r="AC169" s="26">
        <v>544</v>
      </c>
      <c r="AD169" s="26">
        <v>551</v>
      </c>
      <c r="AE169" s="26">
        <v>553</v>
      </c>
      <c r="AF169" s="26">
        <v>555</v>
      </c>
      <c r="AG169" s="26">
        <v>560</v>
      </c>
      <c r="AH169" s="26">
        <v>567</v>
      </c>
      <c r="AI169" s="26">
        <v>572</v>
      </c>
      <c r="AJ169" s="26">
        <v>573</v>
      </c>
      <c r="AK169" s="26">
        <v>575</v>
      </c>
      <c r="AL169" s="26">
        <v>576</v>
      </c>
      <c r="AM169" s="26">
        <v>576</v>
      </c>
      <c r="AN169" s="26">
        <v>576</v>
      </c>
      <c r="AO169" s="26">
        <v>576</v>
      </c>
      <c r="AP169" s="26">
        <v>576</v>
      </c>
      <c r="AQ169" s="26">
        <v>576</v>
      </c>
      <c r="AR169" s="26">
        <v>576</v>
      </c>
      <c r="AS169" s="26">
        <v>576</v>
      </c>
      <c r="AT169" s="26">
        <v>576</v>
      </c>
      <c r="AU169" s="26">
        <v>576</v>
      </c>
      <c r="AV169" s="26">
        <v>576</v>
      </c>
      <c r="AW169" s="26">
        <v>576</v>
      </c>
      <c r="AX169" s="26">
        <v>576</v>
      </c>
      <c r="AY169" s="26">
        <v>576</v>
      </c>
      <c r="AZ169" s="26">
        <v>576</v>
      </c>
      <c r="BA169" s="26">
        <v>576</v>
      </c>
      <c r="BB169" s="26">
        <v>576</v>
      </c>
      <c r="BC169" s="26">
        <v>576</v>
      </c>
      <c r="BD169" s="26">
        <v>576</v>
      </c>
      <c r="BE169" s="26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 t="s">
        <v>462</v>
      </c>
    </row>
    <row r="170" spans="1:63" x14ac:dyDescent="0.25">
      <c r="A170" s="26" t="s">
        <v>29</v>
      </c>
      <c r="B170" s="26" t="s">
        <v>225</v>
      </c>
      <c r="C170" s="26">
        <v>30.617100000000001</v>
      </c>
      <c r="D170" s="26">
        <v>102.7103</v>
      </c>
      <c r="E170" s="26">
        <v>5</v>
      </c>
      <c r="F170" s="26">
        <v>8</v>
      </c>
      <c r="G170" s="26">
        <v>15</v>
      </c>
      <c r="H170" s="26">
        <v>28</v>
      </c>
      <c r="I170" s="26">
        <v>44</v>
      </c>
      <c r="J170" s="26">
        <v>69</v>
      </c>
      <c r="K170" s="26">
        <v>90</v>
      </c>
      <c r="L170" s="26">
        <v>108</v>
      </c>
      <c r="M170" s="26">
        <v>142</v>
      </c>
      <c r="N170" s="26">
        <v>177</v>
      </c>
      <c r="O170" s="26">
        <v>207</v>
      </c>
      <c r="P170" s="26">
        <v>231</v>
      </c>
      <c r="Q170" s="26">
        <v>254</v>
      </c>
      <c r="R170" s="26">
        <v>282</v>
      </c>
      <c r="S170" s="26">
        <v>301</v>
      </c>
      <c r="T170" s="26">
        <v>321</v>
      </c>
      <c r="U170" s="26">
        <v>344</v>
      </c>
      <c r="V170" s="26">
        <v>364</v>
      </c>
      <c r="W170" s="26">
        <v>386</v>
      </c>
      <c r="X170" s="26">
        <v>405</v>
      </c>
      <c r="Y170" s="26">
        <v>417</v>
      </c>
      <c r="Z170" s="26">
        <v>436</v>
      </c>
      <c r="AA170" s="26">
        <v>451</v>
      </c>
      <c r="AB170" s="26">
        <v>463</v>
      </c>
      <c r="AC170" s="26">
        <v>470</v>
      </c>
      <c r="AD170" s="26">
        <v>481</v>
      </c>
      <c r="AE170" s="26">
        <v>495</v>
      </c>
      <c r="AF170" s="26">
        <v>508</v>
      </c>
      <c r="AG170" s="26">
        <v>514</v>
      </c>
      <c r="AH170" s="26">
        <v>520</v>
      </c>
      <c r="AI170" s="26">
        <v>525</v>
      </c>
      <c r="AJ170" s="26">
        <v>526</v>
      </c>
      <c r="AK170" s="26">
        <v>526</v>
      </c>
      <c r="AL170" s="26">
        <v>527</v>
      </c>
      <c r="AM170" s="26">
        <v>529</v>
      </c>
      <c r="AN170" s="26">
        <v>531</v>
      </c>
      <c r="AO170" s="26">
        <v>534</v>
      </c>
      <c r="AP170" s="26">
        <v>538</v>
      </c>
      <c r="AQ170" s="26">
        <v>538</v>
      </c>
      <c r="AR170" s="26">
        <v>538</v>
      </c>
      <c r="AS170" s="26">
        <v>538</v>
      </c>
      <c r="AT170" s="26">
        <v>538</v>
      </c>
      <c r="AU170" s="26">
        <v>538</v>
      </c>
      <c r="AV170" s="26">
        <v>539</v>
      </c>
      <c r="AW170" s="26">
        <v>539</v>
      </c>
      <c r="AX170" s="26">
        <v>539</v>
      </c>
      <c r="AY170" s="26">
        <v>539</v>
      </c>
      <c r="AZ170" s="26">
        <v>539</v>
      </c>
      <c r="BA170" s="26">
        <v>539</v>
      </c>
      <c r="BB170" s="26">
        <v>539</v>
      </c>
      <c r="BC170" s="26">
        <v>539</v>
      </c>
      <c r="BD170" s="26">
        <v>539</v>
      </c>
      <c r="BE170" s="26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 t="s">
        <v>1440</v>
      </c>
    </row>
    <row r="171" spans="1:63" x14ac:dyDescent="0.25">
      <c r="A171" s="26" t="s">
        <v>14</v>
      </c>
      <c r="B171" s="26" t="s">
        <v>225</v>
      </c>
      <c r="C171" s="26">
        <v>47.862000000000002</v>
      </c>
      <c r="D171" s="26">
        <v>127.7615</v>
      </c>
      <c r="E171" s="26">
        <v>0</v>
      </c>
      <c r="F171" s="26">
        <v>2</v>
      </c>
      <c r="G171" s="26">
        <v>4</v>
      </c>
      <c r="H171" s="26">
        <v>9</v>
      </c>
      <c r="I171" s="26">
        <v>15</v>
      </c>
      <c r="J171" s="26">
        <v>21</v>
      </c>
      <c r="K171" s="26">
        <v>33</v>
      </c>
      <c r="L171" s="26">
        <v>38</v>
      </c>
      <c r="M171" s="26">
        <v>44</v>
      </c>
      <c r="N171" s="26">
        <v>59</v>
      </c>
      <c r="O171" s="26">
        <v>80</v>
      </c>
      <c r="P171" s="26">
        <v>95</v>
      </c>
      <c r="Q171" s="26">
        <v>121</v>
      </c>
      <c r="R171" s="26">
        <v>155</v>
      </c>
      <c r="S171" s="26">
        <v>190</v>
      </c>
      <c r="T171" s="26">
        <v>227</v>
      </c>
      <c r="U171" s="26">
        <v>277</v>
      </c>
      <c r="V171" s="26">
        <v>295</v>
      </c>
      <c r="W171" s="26">
        <v>307</v>
      </c>
      <c r="X171" s="26">
        <v>331</v>
      </c>
      <c r="Y171" s="26">
        <v>360</v>
      </c>
      <c r="Z171" s="26">
        <v>378</v>
      </c>
      <c r="AA171" s="26">
        <v>395</v>
      </c>
      <c r="AB171" s="26">
        <v>419</v>
      </c>
      <c r="AC171" s="26">
        <v>425</v>
      </c>
      <c r="AD171" s="26">
        <v>445</v>
      </c>
      <c r="AE171" s="26">
        <v>457</v>
      </c>
      <c r="AF171" s="26">
        <v>464</v>
      </c>
      <c r="AG171" s="26">
        <v>470</v>
      </c>
      <c r="AH171" s="26">
        <v>476</v>
      </c>
      <c r="AI171" s="26">
        <v>479</v>
      </c>
      <c r="AJ171" s="26">
        <v>479</v>
      </c>
      <c r="AK171" s="26">
        <v>480</v>
      </c>
      <c r="AL171" s="26">
        <v>480</v>
      </c>
      <c r="AM171" s="26">
        <v>480</v>
      </c>
      <c r="AN171" s="26">
        <v>480</v>
      </c>
      <c r="AO171" s="26">
        <v>480</v>
      </c>
      <c r="AP171" s="26">
        <v>480</v>
      </c>
      <c r="AQ171" s="26">
        <v>480</v>
      </c>
      <c r="AR171" s="26">
        <v>480</v>
      </c>
      <c r="AS171" s="26">
        <v>480</v>
      </c>
      <c r="AT171" s="26">
        <v>480</v>
      </c>
      <c r="AU171" s="26">
        <v>480</v>
      </c>
      <c r="AV171" s="26">
        <v>481</v>
      </c>
      <c r="AW171" s="26">
        <v>481</v>
      </c>
      <c r="AX171" s="26">
        <v>481</v>
      </c>
      <c r="AY171" s="26">
        <v>481</v>
      </c>
      <c r="AZ171" s="26">
        <v>481</v>
      </c>
      <c r="BA171" s="26">
        <v>481</v>
      </c>
      <c r="BB171" s="26">
        <v>482</v>
      </c>
      <c r="BC171" s="26">
        <v>482</v>
      </c>
      <c r="BD171" s="26">
        <v>482</v>
      </c>
      <c r="BE171" s="26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 t="s">
        <v>1386</v>
      </c>
    </row>
    <row r="172" spans="1:63" x14ac:dyDescent="0.25">
      <c r="A172" s="26" t="s">
        <v>85</v>
      </c>
      <c r="B172" s="26" t="s">
        <v>85</v>
      </c>
      <c r="C172" s="26">
        <v>56.2639</v>
      </c>
      <c r="D172" s="26">
        <v>9.5017999999999994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1</v>
      </c>
      <c r="AP172" s="26">
        <v>1</v>
      </c>
      <c r="AQ172" s="26">
        <v>3</v>
      </c>
      <c r="AR172" s="26">
        <v>4</v>
      </c>
      <c r="AS172" s="26">
        <v>4</v>
      </c>
      <c r="AT172" s="26">
        <v>6</v>
      </c>
      <c r="AU172" s="26">
        <v>10</v>
      </c>
      <c r="AV172" s="26">
        <v>10</v>
      </c>
      <c r="AW172" s="26">
        <v>23</v>
      </c>
      <c r="AX172" s="26">
        <v>23</v>
      </c>
      <c r="AY172" s="26">
        <v>35</v>
      </c>
      <c r="AZ172" s="26">
        <v>90</v>
      </c>
      <c r="BA172" s="26">
        <v>262</v>
      </c>
      <c r="BB172" s="26">
        <v>442</v>
      </c>
      <c r="BC172" s="26">
        <v>615</v>
      </c>
      <c r="BD172" s="26">
        <v>801</v>
      </c>
      <c r="BE172" s="26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 t="s">
        <v>1441</v>
      </c>
    </row>
    <row r="173" spans="1:63" x14ac:dyDescent="0.25">
      <c r="A173" s="26" t="s">
        <v>5</v>
      </c>
      <c r="B173" s="26" t="s">
        <v>225</v>
      </c>
      <c r="C173" s="26">
        <v>40.182400000000001</v>
      </c>
      <c r="D173" s="26">
        <v>116.41419999999999</v>
      </c>
      <c r="E173" s="26">
        <v>14</v>
      </c>
      <c r="F173" s="26">
        <v>22</v>
      </c>
      <c r="G173" s="26">
        <v>36</v>
      </c>
      <c r="H173" s="26">
        <v>41</v>
      </c>
      <c r="I173" s="26">
        <v>68</v>
      </c>
      <c r="J173" s="26">
        <v>80</v>
      </c>
      <c r="K173" s="26">
        <v>91</v>
      </c>
      <c r="L173" s="26">
        <v>111</v>
      </c>
      <c r="M173" s="26">
        <v>114</v>
      </c>
      <c r="N173" s="26">
        <v>139</v>
      </c>
      <c r="O173" s="26">
        <v>168</v>
      </c>
      <c r="P173" s="26">
        <v>191</v>
      </c>
      <c r="Q173" s="26">
        <v>212</v>
      </c>
      <c r="R173" s="26">
        <v>228</v>
      </c>
      <c r="S173" s="26">
        <v>253</v>
      </c>
      <c r="T173" s="26">
        <v>274</v>
      </c>
      <c r="U173" s="26">
        <v>297</v>
      </c>
      <c r="V173" s="26">
        <v>315</v>
      </c>
      <c r="W173" s="26">
        <v>326</v>
      </c>
      <c r="X173" s="26">
        <v>337</v>
      </c>
      <c r="Y173" s="26">
        <v>342</v>
      </c>
      <c r="Z173" s="26">
        <v>352</v>
      </c>
      <c r="AA173" s="26">
        <v>366</v>
      </c>
      <c r="AB173" s="26">
        <v>372</v>
      </c>
      <c r="AC173" s="26">
        <v>375</v>
      </c>
      <c r="AD173" s="26">
        <v>380</v>
      </c>
      <c r="AE173" s="26">
        <v>381</v>
      </c>
      <c r="AF173" s="26">
        <v>387</v>
      </c>
      <c r="AG173" s="26">
        <v>393</v>
      </c>
      <c r="AH173" s="26">
        <v>395</v>
      </c>
      <c r="AI173" s="26">
        <v>396</v>
      </c>
      <c r="AJ173" s="26">
        <v>399</v>
      </c>
      <c r="AK173" s="26">
        <v>399</v>
      </c>
      <c r="AL173" s="26">
        <v>399</v>
      </c>
      <c r="AM173" s="26">
        <v>400</v>
      </c>
      <c r="AN173" s="26">
        <v>400</v>
      </c>
      <c r="AO173" s="26">
        <v>410</v>
      </c>
      <c r="AP173" s="26">
        <v>410</v>
      </c>
      <c r="AQ173" s="26">
        <v>411</v>
      </c>
      <c r="AR173" s="26">
        <v>413</v>
      </c>
      <c r="AS173" s="26">
        <v>414</v>
      </c>
      <c r="AT173" s="26">
        <v>414</v>
      </c>
      <c r="AU173" s="26">
        <v>418</v>
      </c>
      <c r="AV173" s="26">
        <v>418</v>
      </c>
      <c r="AW173" s="26">
        <v>422</v>
      </c>
      <c r="AX173" s="26">
        <v>426</v>
      </c>
      <c r="AY173" s="26">
        <v>428</v>
      </c>
      <c r="AZ173" s="26">
        <v>428</v>
      </c>
      <c r="BA173" s="26">
        <v>429</v>
      </c>
      <c r="BB173" s="26">
        <v>435</v>
      </c>
      <c r="BC173" s="26">
        <v>435</v>
      </c>
      <c r="BD173" s="26">
        <v>436</v>
      </c>
      <c r="BE173" s="26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 t="s">
        <v>1442</v>
      </c>
    </row>
    <row r="174" spans="1:63" x14ac:dyDescent="0.25">
      <c r="A174" s="26" t="s">
        <v>27</v>
      </c>
      <c r="B174" s="26" t="s">
        <v>225</v>
      </c>
      <c r="C174" s="26">
        <v>31.202000000000002</v>
      </c>
      <c r="D174" s="26">
        <v>121.4491</v>
      </c>
      <c r="E174" s="26">
        <v>9</v>
      </c>
      <c r="F174" s="26">
        <v>16</v>
      </c>
      <c r="G174" s="26">
        <v>20</v>
      </c>
      <c r="H174" s="26">
        <v>33</v>
      </c>
      <c r="I174" s="26">
        <v>40</v>
      </c>
      <c r="J174" s="26">
        <v>53</v>
      </c>
      <c r="K174" s="26">
        <v>66</v>
      </c>
      <c r="L174" s="26">
        <v>96</v>
      </c>
      <c r="M174" s="26">
        <v>112</v>
      </c>
      <c r="N174" s="26">
        <v>135</v>
      </c>
      <c r="O174" s="26">
        <v>169</v>
      </c>
      <c r="P174" s="26">
        <v>182</v>
      </c>
      <c r="Q174" s="26">
        <v>203</v>
      </c>
      <c r="R174" s="26">
        <v>219</v>
      </c>
      <c r="S174" s="26">
        <v>243</v>
      </c>
      <c r="T174" s="26">
        <v>257</v>
      </c>
      <c r="U174" s="26">
        <v>277</v>
      </c>
      <c r="V174" s="26">
        <v>286</v>
      </c>
      <c r="W174" s="26">
        <v>293</v>
      </c>
      <c r="X174" s="26">
        <v>299</v>
      </c>
      <c r="Y174" s="26">
        <v>303</v>
      </c>
      <c r="Z174" s="26">
        <v>311</v>
      </c>
      <c r="AA174" s="26">
        <v>315</v>
      </c>
      <c r="AB174" s="26">
        <v>318</v>
      </c>
      <c r="AC174" s="26">
        <v>326</v>
      </c>
      <c r="AD174" s="26">
        <v>328</v>
      </c>
      <c r="AE174" s="26">
        <v>333</v>
      </c>
      <c r="AF174" s="26">
        <v>333</v>
      </c>
      <c r="AG174" s="26">
        <v>333</v>
      </c>
      <c r="AH174" s="26">
        <v>334</v>
      </c>
      <c r="AI174" s="26">
        <v>334</v>
      </c>
      <c r="AJ174" s="26">
        <v>335</v>
      </c>
      <c r="AK174" s="26">
        <v>335</v>
      </c>
      <c r="AL174" s="26">
        <v>335</v>
      </c>
      <c r="AM174" s="26">
        <v>336</v>
      </c>
      <c r="AN174" s="26">
        <v>337</v>
      </c>
      <c r="AO174" s="26">
        <v>337</v>
      </c>
      <c r="AP174" s="26">
        <v>337</v>
      </c>
      <c r="AQ174" s="26">
        <v>337</v>
      </c>
      <c r="AR174" s="26">
        <v>337</v>
      </c>
      <c r="AS174" s="26">
        <v>337</v>
      </c>
      <c r="AT174" s="26">
        <v>338</v>
      </c>
      <c r="AU174" s="26">
        <v>338</v>
      </c>
      <c r="AV174" s="26">
        <v>339</v>
      </c>
      <c r="AW174" s="26">
        <v>342</v>
      </c>
      <c r="AX174" s="26">
        <v>342</v>
      </c>
      <c r="AY174" s="26">
        <v>342</v>
      </c>
      <c r="AZ174" s="26">
        <v>342</v>
      </c>
      <c r="BA174" s="26">
        <v>344</v>
      </c>
      <c r="BB174" s="26">
        <v>344</v>
      </c>
      <c r="BC174" s="26">
        <v>344</v>
      </c>
      <c r="BD174" s="26">
        <v>346</v>
      </c>
      <c r="BE174" s="26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 t="s">
        <v>1443</v>
      </c>
    </row>
    <row r="175" spans="1:63" x14ac:dyDescent="0.25">
      <c r="A175" s="26" t="s">
        <v>13</v>
      </c>
      <c r="B175" s="26" t="s">
        <v>225</v>
      </c>
      <c r="C175" s="26">
        <v>39.548999999999999</v>
      </c>
      <c r="D175" s="26">
        <v>116.1306</v>
      </c>
      <c r="E175" s="26">
        <v>1</v>
      </c>
      <c r="F175" s="26">
        <v>1</v>
      </c>
      <c r="G175" s="26">
        <v>2</v>
      </c>
      <c r="H175" s="26">
        <v>8</v>
      </c>
      <c r="I175" s="26">
        <v>13</v>
      </c>
      <c r="J175" s="26">
        <v>18</v>
      </c>
      <c r="K175" s="26">
        <v>33</v>
      </c>
      <c r="L175" s="26">
        <v>48</v>
      </c>
      <c r="M175" s="26">
        <v>65</v>
      </c>
      <c r="N175" s="26">
        <v>82</v>
      </c>
      <c r="O175" s="26">
        <v>96</v>
      </c>
      <c r="P175" s="26">
        <v>104</v>
      </c>
      <c r="Q175" s="26">
        <v>113</v>
      </c>
      <c r="R175" s="26">
        <v>126</v>
      </c>
      <c r="S175" s="26">
        <v>135</v>
      </c>
      <c r="T175" s="26">
        <v>157</v>
      </c>
      <c r="U175" s="26">
        <v>172</v>
      </c>
      <c r="V175" s="26">
        <v>195</v>
      </c>
      <c r="W175" s="26">
        <v>206</v>
      </c>
      <c r="X175" s="26">
        <v>218</v>
      </c>
      <c r="Y175" s="26">
        <v>239</v>
      </c>
      <c r="Z175" s="26">
        <v>251</v>
      </c>
      <c r="AA175" s="26">
        <v>265</v>
      </c>
      <c r="AB175" s="26">
        <v>283</v>
      </c>
      <c r="AC175" s="26">
        <v>291</v>
      </c>
      <c r="AD175" s="26">
        <v>300</v>
      </c>
      <c r="AE175" s="26">
        <v>301</v>
      </c>
      <c r="AF175" s="26">
        <v>306</v>
      </c>
      <c r="AG175" s="26">
        <v>306</v>
      </c>
      <c r="AH175" s="26">
        <v>307</v>
      </c>
      <c r="AI175" s="26">
        <v>308</v>
      </c>
      <c r="AJ175" s="26">
        <v>309</v>
      </c>
      <c r="AK175" s="26">
        <v>311</v>
      </c>
      <c r="AL175" s="26">
        <v>311</v>
      </c>
      <c r="AM175" s="26">
        <v>311</v>
      </c>
      <c r="AN175" s="26">
        <v>312</v>
      </c>
      <c r="AO175" s="26">
        <v>317</v>
      </c>
      <c r="AP175" s="26">
        <v>318</v>
      </c>
      <c r="AQ175" s="26">
        <v>318</v>
      </c>
      <c r="AR175" s="26">
        <v>318</v>
      </c>
      <c r="AS175" s="26">
        <v>318</v>
      </c>
      <c r="AT175" s="26">
        <v>318</v>
      </c>
      <c r="AU175" s="26">
        <v>318</v>
      </c>
      <c r="AV175" s="26">
        <v>318</v>
      </c>
      <c r="AW175" s="26">
        <v>318</v>
      </c>
      <c r="AX175" s="26">
        <v>318</v>
      </c>
      <c r="AY175" s="26">
        <v>318</v>
      </c>
      <c r="AZ175" s="26">
        <v>318</v>
      </c>
      <c r="BA175" s="26">
        <v>318</v>
      </c>
      <c r="BB175" s="26">
        <v>318</v>
      </c>
      <c r="BC175" s="26">
        <v>318</v>
      </c>
      <c r="BD175" s="26">
        <v>318</v>
      </c>
      <c r="BE175" s="26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 t="s">
        <v>463</v>
      </c>
    </row>
    <row r="176" spans="1:63" x14ac:dyDescent="0.25">
      <c r="A176" s="26" t="s">
        <v>7</v>
      </c>
      <c r="B176" s="26" t="s">
        <v>225</v>
      </c>
      <c r="C176" s="26">
        <v>26.078900000000001</v>
      </c>
      <c r="D176" s="26">
        <v>117.98739999999999</v>
      </c>
      <c r="E176" s="26">
        <v>1</v>
      </c>
      <c r="F176" s="26">
        <v>5</v>
      </c>
      <c r="G176" s="26">
        <v>10</v>
      </c>
      <c r="H176" s="26">
        <v>18</v>
      </c>
      <c r="I176" s="26">
        <v>35</v>
      </c>
      <c r="J176" s="26">
        <v>59</v>
      </c>
      <c r="K176" s="26">
        <v>80</v>
      </c>
      <c r="L176" s="26">
        <v>84</v>
      </c>
      <c r="M176" s="26">
        <v>101</v>
      </c>
      <c r="N176" s="26">
        <v>120</v>
      </c>
      <c r="O176" s="26">
        <v>144</v>
      </c>
      <c r="P176" s="26">
        <v>159</v>
      </c>
      <c r="Q176" s="26">
        <v>179</v>
      </c>
      <c r="R176" s="26">
        <v>194</v>
      </c>
      <c r="S176" s="26">
        <v>205</v>
      </c>
      <c r="T176" s="26">
        <v>215</v>
      </c>
      <c r="U176" s="26">
        <v>224</v>
      </c>
      <c r="V176" s="26">
        <v>239</v>
      </c>
      <c r="W176" s="26">
        <v>250</v>
      </c>
      <c r="X176" s="26">
        <v>261</v>
      </c>
      <c r="Y176" s="26">
        <v>267</v>
      </c>
      <c r="Z176" s="26">
        <v>272</v>
      </c>
      <c r="AA176" s="26">
        <v>279</v>
      </c>
      <c r="AB176" s="26">
        <v>281</v>
      </c>
      <c r="AC176" s="26">
        <v>285</v>
      </c>
      <c r="AD176" s="26">
        <v>287</v>
      </c>
      <c r="AE176" s="26">
        <v>290</v>
      </c>
      <c r="AF176" s="26">
        <v>292</v>
      </c>
      <c r="AG176" s="26">
        <v>293</v>
      </c>
      <c r="AH176" s="26">
        <v>293</v>
      </c>
      <c r="AI176" s="26">
        <v>293</v>
      </c>
      <c r="AJ176" s="26">
        <v>293</v>
      </c>
      <c r="AK176" s="26">
        <v>293</v>
      </c>
      <c r="AL176" s="26">
        <v>293</v>
      </c>
      <c r="AM176" s="26">
        <v>294</v>
      </c>
      <c r="AN176" s="26">
        <v>294</v>
      </c>
      <c r="AO176" s="26">
        <v>296</v>
      </c>
      <c r="AP176" s="26">
        <v>296</v>
      </c>
      <c r="AQ176" s="26">
        <v>296</v>
      </c>
      <c r="AR176" s="26">
        <v>296</v>
      </c>
      <c r="AS176" s="26">
        <v>296</v>
      </c>
      <c r="AT176" s="26">
        <v>296</v>
      </c>
      <c r="AU176" s="26">
        <v>296</v>
      </c>
      <c r="AV176" s="26">
        <v>296</v>
      </c>
      <c r="AW176" s="26">
        <v>296</v>
      </c>
      <c r="AX176" s="26">
        <v>296</v>
      </c>
      <c r="AY176" s="26">
        <v>296</v>
      </c>
      <c r="AZ176" s="26">
        <v>296</v>
      </c>
      <c r="BA176" s="26">
        <v>296</v>
      </c>
      <c r="BB176" s="26">
        <v>296</v>
      </c>
      <c r="BC176" s="26">
        <v>296</v>
      </c>
      <c r="BD176" s="26">
        <v>296</v>
      </c>
      <c r="BE176" s="2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 t="s">
        <v>1255</v>
      </c>
    </row>
    <row r="177" spans="1:63" x14ac:dyDescent="0.25">
      <c r="A177" s="26" t="s">
        <v>10</v>
      </c>
      <c r="B177" s="26" t="s">
        <v>225</v>
      </c>
      <c r="C177" s="26">
        <v>23.829799999999999</v>
      </c>
      <c r="D177" s="26">
        <v>108.7881</v>
      </c>
      <c r="E177" s="26">
        <v>2</v>
      </c>
      <c r="F177" s="26">
        <v>5</v>
      </c>
      <c r="G177" s="26">
        <v>23</v>
      </c>
      <c r="H177" s="26">
        <v>23</v>
      </c>
      <c r="I177" s="26">
        <v>36</v>
      </c>
      <c r="J177" s="26">
        <v>46</v>
      </c>
      <c r="K177" s="26">
        <v>51</v>
      </c>
      <c r="L177" s="26">
        <v>58</v>
      </c>
      <c r="M177" s="26">
        <v>78</v>
      </c>
      <c r="N177" s="26">
        <v>87</v>
      </c>
      <c r="O177" s="26">
        <v>100</v>
      </c>
      <c r="P177" s="26">
        <v>111</v>
      </c>
      <c r="Q177" s="26">
        <v>127</v>
      </c>
      <c r="R177" s="26">
        <v>139</v>
      </c>
      <c r="S177" s="26">
        <v>150</v>
      </c>
      <c r="T177" s="26">
        <v>168</v>
      </c>
      <c r="U177" s="26">
        <v>172</v>
      </c>
      <c r="V177" s="26">
        <v>183</v>
      </c>
      <c r="W177" s="26">
        <v>195</v>
      </c>
      <c r="X177" s="26">
        <v>210</v>
      </c>
      <c r="Y177" s="26">
        <v>215</v>
      </c>
      <c r="Z177" s="26">
        <v>222</v>
      </c>
      <c r="AA177" s="26">
        <v>222</v>
      </c>
      <c r="AB177" s="26">
        <v>226</v>
      </c>
      <c r="AC177" s="26">
        <v>235</v>
      </c>
      <c r="AD177" s="26">
        <v>237</v>
      </c>
      <c r="AE177" s="26">
        <v>238</v>
      </c>
      <c r="AF177" s="26">
        <v>242</v>
      </c>
      <c r="AG177" s="26">
        <v>244</v>
      </c>
      <c r="AH177" s="26">
        <v>245</v>
      </c>
      <c r="AI177" s="26">
        <v>246</v>
      </c>
      <c r="AJ177" s="26">
        <v>249</v>
      </c>
      <c r="AK177" s="26">
        <v>249</v>
      </c>
      <c r="AL177" s="26">
        <v>251</v>
      </c>
      <c r="AM177" s="26">
        <v>252</v>
      </c>
      <c r="AN177" s="26">
        <v>252</v>
      </c>
      <c r="AO177" s="26">
        <v>252</v>
      </c>
      <c r="AP177" s="26">
        <v>252</v>
      </c>
      <c r="AQ177" s="26">
        <v>252</v>
      </c>
      <c r="AR177" s="26">
        <v>252</v>
      </c>
      <c r="AS177" s="26">
        <v>252</v>
      </c>
      <c r="AT177" s="26">
        <v>252</v>
      </c>
      <c r="AU177" s="26">
        <v>252</v>
      </c>
      <c r="AV177" s="26">
        <v>252</v>
      </c>
      <c r="AW177" s="26">
        <v>252</v>
      </c>
      <c r="AX177" s="26">
        <v>252</v>
      </c>
      <c r="AY177" s="26">
        <v>252</v>
      </c>
      <c r="AZ177" s="26">
        <v>252</v>
      </c>
      <c r="BA177" s="26">
        <v>252</v>
      </c>
      <c r="BB177" s="26">
        <v>252</v>
      </c>
      <c r="BC177" s="26">
        <v>252</v>
      </c>
      <c r="BD177" s="26">
        <v>252</v>
      </c>
      <c r="BE177" s="26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 t="s">
        <v>1444</v>
      </c>
    </row>
    <row r="178" spans="1:63" x14ac:dyDescent="0.25">
      <c r="A178" s="26" t="s">
        <v>25</v>
      </c>
      <c r="B178" s="26" t="s">
        <v>225</v>
      </c>
      <c r="C178" s="26">
        <v>35.191699999999997</v>
      </c>
      <c r="D178" s="26">
        <v>108.87009999999999</v>
      </c>
      <c r="E178" s="26">
        <v>0</v>
      </c>
      <c r="F178" s="26">
        <v>3</v>
      </c>
      <c r="G178" s="26">
        <v>5</v>
      </c>
      <c r="H178" s="26">
        <v>15</v>
      </c>
      <c r="I178" s="26">
        <v>22</v>
      </c>
      <c r="J178" s="26">
        <v>35</v>
      </c>
      <c r="K178" s="26">
        <v>46</v>
      </c>
      <c r="L178" s="26">
        <v>56</v>
      </c>
      <c r="M178" s="26">
        <v>63</v>
      </c>
      <c r="N178" s="26">
        <v>87</v>
      </c>
      <c r="O178" s="26">
        <v>101</v>
      </c>
      <c r="P178" s="26">
        <v>116</v>
      </c>
      <c r="Q178" s="26">
        <v>128</v>
      </c>
      <c r="R178" s="26">
        <v>142</v>
      </c>
      <c r="S178" s="26">
        <v>165</v>
      </c>
      <c r="T178" s="26">
        <v>173</v>
      </c>
      <c r="U178" s="26">
        <v>184</v>
      </c>
      <c r="V178" s="26">
        <v>195</v>
      </c>
      <c r="W178" s="26">
        <v>208</v>
      </c>
      <c r="X178" s="26">
        <v>213</v>
      </c>
      <c r="Y178" s="26">
        <v>219</v>
      </c>
      <c r="Z178" s="26">
        <v>225</v>
      </c>
      <c r="AA178" s="26">
        <v>229</v>
      </c>
      <c r="AB178" s="26">
        <v>230</v>
      </c>
      <c r="AC178" s="26">
        <v>232</v>
      </c>
      <c r="AD178" s="26">
        <v>236</v>
      </c>
      <c r="AE178" s="26">
        <v>240</v>
      </c>
      <c r="AF178" s="26">
        <v>240</v>
      </c>
      <c r="AG178" s="26">
        <v>242</v>
      </c>
      <c r="AH178" s="26">
        <v>245</v>
      </c>
      <c r="AI178" s="26">
        <v>245</v>
      </c>
      <c r="AJ178" s="26">
        <v>245</v>
      </c>
      <c r="AK178" s="26">
        <v>245</v>
      </c>
      <c r="AL178" s="26">
        <v>245</v>
      </c>
      <c r="AM178" s="26">
        <v>245</v>
      </c>
      <c r="AN178" s="26">
        <v>245</v>
      </c>
      <c r="AO178" s="26">
        <v>245</v>
      </c>
      <c r="AP178" s="26">
        <v>245</v>
      </c>
      <c r="AQ178" s="26">
        <v>245</v>
      </c>
      <c r="AR178" s="26">
        <v>245</v>
      </c>
      <c r="AS178" s="26">
        <v>245</v>
      </c>
      <c r="AT178" s="26">
        <v>245</v>
      </c>
      <c r="AU178" s="26">
        <v>245</v>
      </c>
      <c r="AV178" s="26">
        <v>245</v>
      </c>
      <c r="AW178" s="26">
        <v>245</v>
      </c>
      <c r="AX178" s="26">
        <v>245</v>
      </c>
      <c r="AY178" s="26">
        <v>245</v>
      </c>
      <c r="AZ178" s="26">
        <v>245</v>
      </c>
      <c r="BA178" s="26">
        <v>245</v>
      </c>
      <c r="BB178" s="26">
        <v>245</v>
      </c>
      <c r="BC178" s="26">
        <v>245</v>
      </c>
      <c r="BD178" s="26">
        <v>245</v>
      </c>
      <c r="BE178" s="26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 t="s">
        <v>1445</v>
      </c>
    </row>
    <row r="179" spans="1:63" x14ac:dyDescent="0.25">
      <c r="A179" s="26" t="s">
        <v>33</v>
      </c>
      <c r="B179" s="26" t="s">
        <v>225</v>
      </c>
      <c r="C179" s="26">
        <v>24.974</v>
      </c>
      <c r="D179" s="26">
        <v>101.48699999999999</v>
      </c>
      <c r="E179" s="26">
        <v>1</v>
      </c>
      <c r="F179" s="26">
        <v>2</v>
      </c>
      <c r="G179" s="26">
        <v>5</v>
      </c>
      <c r="H179" s="26">
        <v>11</v>
      </c>
      <c r="I179" s="26">
        <v>16</v>
      </c>
      <c r="J179" s="26">
        <v>26</v>
      </c>
      <c r="K179" s="26">
        <v>44</v>
      </c>
      <c r="L179" s="26">
        <v>55</v>
      </c>
      <c r="M179" s="26">
        <v>70</v>
      </c>
      <c r="N179" s="26">
        <v>83</v>
      </c>
      <c r="O179" s="26">
        <v>93</v>
      </c>
      <c r="P179" s="26">
        <v>105</v>
      </c>
      <c r="Q179" s="26">
        <v>117</v>
      </c>
      <c r="R179" s="26">
        <v>122</v>
      </c>
      <c r="S179" s="26">
        <v>128</v>
      </c>
      <c r="T179" s="26">
        <v>133</v>
      </c>
      <c r="U179" s="26">
        <v>138</v>
      </c>
      <c r="V179" s="26">
        <v>138</v>
      </c>
      <c r="W179" s="26">
        <v>141</v>
      </c>
      <c r="X179" s="26">
        <v>149</v>
      </c>
      <c r="Y179" s="26">
        <v>153</v>
      </c>
      <c r="Z179" s="26">
        <v>154</v>
      </c>
      <c r="AA179" s="26">
        <v>156</v>
      </c>
      <c r="AB179" s="26">
        <v>162</v>
      </c>
      <c r="AC179" s="26">
        <v>168</v>
      </c>
      <c r="AD179" s="26">
        <v>171</v>
      </c>
      <c r="AE179" s="26">
        <v>171</v>
      </c>
      <c r="AF179" s="26">
        <v>172</v>
      </c>
      <c r="AG179" s="26">
        <v>172</v>
      </c>
      <c r="AH179" s="26">
        <v>174</v>
      </c>
      <c r="AI179" s="26">
        <v>174</v>
      </c>
      <c r="AJ179" s="26">
        <v>174</v>
      </c>
      <c r="AK179" s="26">
        <v>174</v>
      </c>
      <c r="AL179" s="26">
        <v>174</v>
      </c>
      <c r="AM179" s="26">
        <v>174</v>
      </c>
      <c r="AN179" s="26">
        <v>174</v>
      </c>
      <c r="AO179" s="26">
        <v>174</v>
      </c>
      <c r="AP179" s="26">
        <v>174</v>
      </c>
      <c r="AQ179" s="26">
        <v>174</v>
      </c>
      <c r="AR179" s="26">
        <v>174</v>
      </c>
      <c r="AS179" s="26">
        <v>174</v>
      </c>
      <c r="AT179" s="26">
        <v>174</v>
      </c>
      <c r="AU179" s="26">
        <v>174</v>
      </c>
      <c r="AV179" s="26">
        <v>174</v>
      </c>
      <c r="AW179" s="26">
        <v>174</v>
      </c>
      <c r="AX179" s="26">
        <v>174</v>
      </c>
      <c r="AY179" s="26">
        <v>174</v>
      </c>
      <c r="AZ179" s="26">
        <v>174</v>
      </c>
      <c r="BA179" s="26">
        <v>174</v>
      </c>
      <c r="BB179" s="26">
        <v>174</v>
      </c>
      <c r="BC179" s="26">
        <v>174</v>
      </c>
      <c r="BD179" s="26">
        <v>174</v>
      </c>
      <c r="BE179" s="26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 t="s">
        <v>1273</v>
      </c>
    </row>
    <row r="180" spans="1:63" x14ac:dyDescent="0.25">
      <c r="A180" s="26" t="s">
        <v>12</v>
      </c>
      <c r="B180" s="26" t="s">
        <v>225</v>
      </c>
      <c r="C180" s="26">
        <v>19.195900000000002</v>
      </c>
      <c r="D180" s="26">
        <v>109.7453</v>
      </c>
      <c r="E180" s="26">
        <v>4</v>
      </c>
      <c r="F180" s="26">
        <v>5</v>
      </c>
      <c r="G180" s="26">
        <v>8</v>
      </c>
      <c r="H180" s="26">
        <v>19</v>
      </c>
      <c r="I180" s="26">
        <v>22</v>
      </c>
      <c r="J180" s="26">
        <v>33</v>
      </c>
      <c r="K180" s="26">
        <v>40</v>
      </c>
      <c r="L180" s="26">
        <v>43</v>
      </c>
      <c r="M180" s="26">
        <v>46</v>
      </c>
      <c r="N180" s="26">
        <v>52</v>
      </c>
      <c r="O180" s="26">
        <v>62</v>
      </c>
      <c r="P180" s="26">
        <v>64</v>
      </c>
      <c r="Q180" s="26">
        <v>72</v>
      </c>
      <c r="R180" s="26">
        <v>80</v>
      </c>
      <c r="S180" s="26">
        <v>99</v>
      </c>
      <c r="T180" s="26">
        <v>106</v>
      </c>
      <c r="U180" s="26">
        <v>117</v>
      </c>
      <c r="V180" s="26">
        <v>124</v>
      </c>
      <c r="W180" s="26">
        <v>131</v>
      </c>
      <c r="X180" s="26">
        <v>138</v>
      </c>
      <c r="Y180" s="26">
        <v>144</v>
      </c>
      <c r="Z180" s="26">
        <v>157</v>
      </c>
      <c r="AA180" s="26">
        <v>157</v>
      </c>
      <c r="AB180" s="26">
        <v>159</v>
      </c>
      <c r="AC180" s="26">
        <v>162</v>
      </c>
      <c r="AD180" s="26">
        <v>162</v>
      </c>
      <c r="AE180" s="26">
        <v>163</v>
      </c>
      <c r="AF180" s="26">
        <v>163</v>
      </c>
      <c r="AG180" s="26">
        <v>168</v>
      </c>
      <c r="AH180" s="26">
        <v>168</v>
      </c>
      <c r="AI180" s="26">
        <v>168</v>
      </c>
      <c r="AJ180" s="26">
        <v>168</v>
      </c>
      <c r="AK180" s="26">
        <v>168</v>
      </c>
      <c r="AL180" s="26">
        <v>168</v>
      </c>
      <c r="AM180" s="26">
        <v>168</v>
      </c>
      <c r="AN180" s="26">
        <v>168</v>
      </c>
      <c r="AO180" s="26">
        <v>168</v>
      </c>
      <c r="AP180" s="26">
        <v>168</v>
      </c>
      <c r="AQ180" s="26">
        <v>168</v>
      </c>
      <c r="AR180" s="26">
        <v>168</v>
      </c>
      <c r="AS180" s="26">
        <v>168</v>
      </c>
      <c r="AT180" s="26">
        <v>168</v>
      </c>
      <c r="AU180" s="26">
        <v>168</v>
      </c>
      <c r="AV180" s="26">
        <v>168</v>
      </c>
      <c r="AW180" s="26">
        <v>168</v>
      </c>
      <c r="AX180" s="26">
        <v>168</v>
      </c>
      <c r="AY180" s="26">
        <v>168</v>
      </c>
      <c r="AZ180" s="26">
        <v>168</v>
      </c>
      <c r="BA180" s="26">
        <v>168</v>
      </c>
      <c r="BB180" s="26">
        <v>168</v>
      </c>
      <c r="BC180" s="26">
        <v>168</v>
      </c>
      <c r="BD180" s="26">
        <v>168</v>
      </c>
      <c r="BE180" s="26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 t="s">
        <v>464</v>
      </c>
    </row>
    <row r="181" spans="1:63" x14ac:dyDescent="0.25">
      <c r="A181" s="26" t="s">
        <v>11</v>
      </c>
      <c r="B181" s="26" t="s">
        <v>225</v>
      </c>
      <c r="C181" s="26">
        <v>26.8154</v>
      </c>
      <c r="D181" s="26">
        <v>106.87479999999999</v>
      </c>
      <c r="E181" s="26">
        <v>1</v>
      </c>
      <c r="F181" s="26">
        <v>3</v>
      </c>
      <c r="G181" s="26">
        <v>3</v>
      </c>
      <c r="H181" s="26">
        <v>4</v>
      </c>
      <c r="I181" s="26">
        <v>5</v>
      </c>
      <c r="J181" s="26">
        <v>7</v>
      </c>
      <c r="K181" s="26">
        <v>9</v>
      </c>
      <c r="L181" s="26">
        <v>9</v>
      </c>
      <c r="M181" s="26">
        <v>12</v>
      </c>
      <c r="N181" s="26">
        <v>29</v>
      </c>
      <c r="O181" s="26">
        <v>29</v>
      </c>
      <c r="P181" s="26">
        <v>38</v>
      </c>
      <c r="Q181" s="26">
        <v>46</v>
      </c>
      <c r="R181" s="26">
        <v>58</v>
      </c>
      <c r="S181" s="26">
        <v>64</v>
      </c>
      <c r="T181" s="26">
        <v>71</v>
      </c>
      <c r="U181" s="26">
        <v>81</v>
      </c>
      <c r="V181" s="26">
        <v>89</v>
      </c>
      <c r="W181" s="26">
        <v>99</v>
      </c>
      <c r="X181" s="26">
        <v>109</v>
      </c>
      <c r="Y181" s="26">
        <v>127</v>
      </c>
      <c r="Z181" s="26">
        <v>133</v>
      </c>
      <c r="AA181" s="26">
        <v>135</v>
      </c>
      <c r="AB181" s="26">
        <v>140</v>
      </c>
      <c r="AC181" s="26">
        <v>143</v>
      </c>
      <c r="AD181" s="26">
        <v>144</v>
      </c>
      <c r="AE181" s="26">
        <v>146</v>
      </c>
      <c r="AF181" s="26">
        <v>146</v>
      </c>
      <c r="AG181" s="26">
        <v>146</v>
      </c>
      <c r="AH181" s="26">
        <v>146</v>
      </c>
      <c r="AI181" s="26">
        <v>146</v>
      </c>
      <c r="AJ181" s="26">
        <v>146</v>
      </c>
      <c r="AK181" s="26">
        <v>146</v>
      </c>
      <c r="AL181" s="26">
        <v>146</v>
      </c>
      <c r="AM181" s="26">
        <v>146</v>
      </c>
      <c r="AN181" s="26">
        <v>146</v>
      </c>
      <c r="AO181" s="26">
        <v>146</v>
      </c>
      <c r="AP181" s="26">
        <v>146</v>
      </c>
      <c r="AQ181" s="26">
        <v>146</v>
      </c>
      <c r="AR181" s="26">
        <v>146</v>
      </c>
      <c r="AS181" s="26">
        <v>146</v>
      </c>
      <c r="AT181" s="26">
        <v>146</v>
      </c>
      <c r="AU181" s="26">
        <v>146</v>
      </c>
      <c r="AV181" s="26">
        <v>146</v>
      </c>
      <c r="AW181" s="26">
        <v>146</v>
      </c>
      <c r="AX181" s="26">
        <v>146</v>
      </c>
      <c r="AY181" s="26">
        <v>146</v>
      </c>
      <c r="AZ181" s="26">
        <v>146</v>
      </c>
      <c r="BA181" s="26">
        <v>146</v>
      </c>
      <c r="BB181" s="26">
        <v>146</v>
      </c>
      <c r="BC181" s="26">
        <v>146</v>
      </c>
      <c r="BD181" s="26">
        <v>146</v>
      </c>
      <c r="BE181" s="26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 t="s">
        <v>465</v>
      </c>
    </row>
    <row r="182" spans="1:63" x14ac:dyDescent="0.25">
      <c r="A182" s="26" t="s">
        <v>30</v>
      </c>
      <c r="B182" s="26" t="s">
        <v>225</v>
      </c>
      <c r="C182" s="26">
        <v>39.305399999999999</v>
      </c>
      <c r="D182" s="26">
        <v>117.32299999999999</v>
      </c>
      <c r="E182" s="26">
        <v>4</v>
      </c>
      <c r="F182" s="26">
        <v>4</v>
      </c>
      <c r="G182" s="26">
        <v>8</v>
      </c>
      <c r="H182" s="26">
        <v>10</v>
      </c>
      <c r="I182" s="26">
        <v>14</v>
      </c>
      <c r="J182" s="26">
        <v>23</v>
      </c>
      <c r="K182" s="26">
        <v>24</v>
      </c>
      <c r="L182" s="26">
        <v>27</v>
      </c>
      <c r="M182" s="26">
        <v>31</v>
      </c>
      <c r="N182" s="26">
        <v>32</v>
      </c>
      <c r="O182" s="26">
        <v>41</v>
      </c>
      <c r="P182" s="26">
        <v>48</v>
      </c>
      <c r="Q182" s="26">
        <v>60</v>
      </c>
      <c r="R182" s="26">
        <v>67</v>
      </c>
      <c r="S182" s="26">
        <v>69</v>
      </c>
      <c r="T182" s="26">
        <v>79</v>
      </c>
      <c r="U182" s="26">
        <v>81</v>
      </c>
      <c r="V182" s="26">
        <v>88</v>
      </c>
      <c r="W182" s="26">
        <v>91</v>
      </c>
      <c r="X182" s="26">
        <v>95</v>
      </c>
      <c r="Y182" s="26">
        <v>106</v>
      </c>
      <c r="Z182" s="26">
        <v>112</v>
      </c>
      <c r="AA182" s="26">
        <v>119</v>
      </c>
      <c r="AB182" s="26">
        <v>120</v>
      </c>
      <c r="AC182" s="26">
        <v>122</v>
      </c>
      <c r="AD182" s="26">
        <v>124</v>
      </c>
      <c r="AE182" s="26">
        <v>125</v>
      </c>
      <c r="AF182" s="26">
        <v>128</v>
      </c>
      <c r="AG182" s="26">
        <v>130</v>
      </c>
      <c r="AH182" s="26">
        <v>131</v>
      </c>
      <c r="AI182" s="26">
        <v>132</v>
      </c>
      <c r="AJ182" s="26">
        <v>135</v>
      </c>
      <c r="AK182" s="26">
        <v>135</v>
      </c>
      <c r="AL182" s="26">
        <v>135</v>
      </c>
      <c r="AM182" s="26">
        <v>135</v>
      </c>
      <c r="AN182" s="26">
        <v>135</v>
      </c>
      <c r="AO182" s="26">
        <v>136</v>
      </c>
      <c r="AP182" s="26">
        <v>136</v>
      </c>
      <c r="AQ182" s="26">
        <v>136</v>
      </c>
      <c r="AR182" s="26">
        <v>136</v>
      </c>
      <c r="AS182" s="26">
        <v>136</v>
      </c>
      <c r="AT182" s="26">
        <v>136</v>
      </c>
      <c r="AU182" s="26">
        <v>136</v>
      </c>
      <c r="AV182" s="26">
        <v>136</v>
      </c>
      <c r="AW182" s="26">
        <v>136</v>
      </c>
      <c r="AX182" s="26">
        <v>136</v>
      </c>
      <c r="AY182" s="26">
        <v>136</v>
      </c>
      <c r="AZ182" s="26">
        <v>136</v>
      </c>
      <c r="BA182" s="26">
        <v>136</v>
      </c>
      <c r="BB182" s="26">
        <v>136</v>
      </c>
      <c r="BC182" s="26">
        <v>136</v>
      </c>
      <c r="BD182" s="26">
        <v>136</v>
      </c>
      <c r="BE182" s="26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 t="s">
        <v>1401</v>
      </c>
    </row>
    <row r="183" spans="1:63" x14ac:dyDescent="0.25">
      <c r="A183" s="26" t="s">
        <v>28</v>
      </c>
      <c r="B183" s="26" t="s">
        <v>225</v>
      </c>
      <c r="C183" s="26">
        <v>37.5777</v>
      </c>
      <c r="D183" s="26">
        <v>112.29219999999999</v>
      </c>
      <c r="E183" s="26">
        <v>1</v>
      </c>
      <c r="F183" s="26">
        <v>1</v>
      </c>
      <c r="G183" s="26">
        <v>1</v>
      </c>
      <c r="H183" s="26">
        <v>6</v>
      </c>
      <c r="I183" s="26">
        <v>9</v>
      </c>
      <c r="J183" s="26">
        <v>13</v>
      </c>
      <c r="K183" s="26">
        <v>27</v>
      </c>
      <c r="L183" s="26">
        <v>27</v>
      </c>
      <c r="M183" s="26">
        <v>35</v>
      </c>
      <c r="N183" s="26">
        <v>39</v>
      </c>
      <c r="O183" s="26">
        <v>47</v>
      </c>
      <c r="P183" s="26">
        <v>66</v>
      </c>
      <c r="Q183" s="26">
        <v>74</v>
      </c>
      <c r="R183" s="26">
        <v>81</v>
      </c>
      <c r="S183" s="26">
        <v>81</v>
      </c>
      <c r="T183" s="26">
        <v>96</v>
      </c>
      <c r="U183" s="26">
        <v>104</v>
      </c>
      <c r="V183" s="26">
        <v>115</v>
      </c>
      <c r="W183" s="26">
        <v>119</v>
      </c>
      <c r="X183" s="26">
        <v>119</v>
      </c>
      <c r="Y183" s="26">
        <v>124</v>
      </c>
      <c r="Z183" s="26">
        <v>126</v>
      </c>
      <c r="AA183" s="26">
        <v>126</v>
      </c>
      <c r="AB183" s="26">
        <v>127</v>
      </c>
      <c r="AC183" s="26">
        <v>128</v>
      </c>
      <c r="AD183" s="26">
        <v>129</v>
      </c>
      <c r="AE183" s="26">
        <v>130</v>
      </c>
      <c r="AF183" s="26">
        <v>131</v>
      </c>
      <c r="AG183" s="26">
        <v>131</v>
      </c>
      <c r="AH183" s="26">
        <v>132</v>
      </c>
      <c r="AI183" s="26">
        <v>132</v>
      </c>
      <c r="AJ183" s="26">
        <v>132</v>
      </c>
      <c r="AK183" s="26">
        <v>132</v>
      </c>
      <c r="AL183" s="26">
        <v>133</v>
      </c>
      <c r="AM183" s="26">
        <v>133</v>
      </c>
      <c r="AN183" s="26">
        <v>133</v>
      </c>
      <c r="AO183" s="26">
        <v>133</v>
      </c>
      <c r="AP183" s="26">
        <v>133</v>
      </c>
      <c r="AQ183" s="26">
        <v>133</v>
      </c>
      <c r="AR183" s="26">
        <v>133</v>
      </c>
      <c r="AS183" s="26">
        <v>133</v>
      </c>
      <c r="AT183" s="26">
        <v>133</v>
      </c>
      <c r="AU183" s="26">
        <v>133</v>
      </c>
      <c r="AV183" s="26">
        <v>133</v>
      </c>
      <c r="AW183" s="26">
        <v>133</v>
      </c>
      <c r="AX183" s="26">
        <v>133</v>
      </c>
      <c r="AY183" s="26">
        <v>133</v>
      </c>
      <c r="AZ183" s="26">
        <v>133</v>
      </c>
      <c r="BA183" s="26">
        <v>133</v>
      </c>
      <c r="BB183" s="26">
        <v>133</v>
      </c>
      <c r="BC183" s="26">
        <v>133</v>
      </c>
      <c r="BD183" s="26">
        <v>133</v>
      </c>
      <c r="BE183" s="26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 t="s">
        <v>467</v>
      </c>
    </row>
    <row r="184" spans="1:63" x14ac:dyDescent="0.25">
      <c r="A184" s="26" t="s">
        <v>8</v>
      </c>
      <c r="B184" s="26" t="s">
        <v>225</v>
      </c>
      <c r="C184" s="26">
        <v>37.809899999999999</v>
      </c>
      <c r="D184" s="26">
        <v>101.0583</v>
      </c>
      <c r="E184" s="26">
        <v>0</v>
      </c>
      <c r="F184" s="26">
        <v>2</v>
      </c>
      <c r="G184" s="26">
        <v>2</v>
      </c>
      <c r="H184" s="26">
        <v>4</v>
      </c>
      <c r="I184" s="26">
        <v>7</v>
      </c>
      <c r="J184" s="26">
        <v>14</v>
      </c>
      <c r="K184" s="26">
        <v>19</v>
      </c>
      <c r="L184" s="26">
        <v>24</v>
      </c>
      <c r="M184" s="26">
        <v>26</v>
      </c>
      <c r="N184" s="26">
        <v>29</v>
      </c>
      <c r="O184" s="26">
        <v>40</v>
      </c>
      <c r="P184" s="26">
        <v>51</v>
      </c>
      <c r="Q184" s="26">
        <v>55</v>
      </c>
      <c r="R184" s="26">
        <v>57</v>
      </c>
      <c r="S184" s="26">
        <v>62</v>
      </c>
      <c r="T184" s="26">
        <v>62</v>
      </c>
      <c r="U184" s="26">
        <v>67</v>
      </c>
      <c r="V184" s="26">
        <v>79</v>
      </c>
      <c r="W184" s="26">
        <v>83</v>
      </c>
      <c r="X184" s="26">
        <v>83</v>
      </c>
      <c r="Y184" s="26">
        <v>86</v>
      </c>
      <c r="Z184" s="26">
        <v>87</v>
      </c>
      <c r="AA184" s="26">
        <v>90</v>
      </c>
      <c r="AB184" s="26">
        <v>90</v>
      </c>
      <c r="AC184" s="26">
        <v>90</v>
      </c>
      <c r="AD184" s="26">
        <v>90</v>
      </c>
      <c r="AE184" s="26">
        <v>91</v>
      </c>
      <c r="AF184" s="26">
        <v>91</v>
      </c>
      <c r="AG184" s="26">
        <v>91</v>
      </c>
      <c r="AH184" s="26">
        <v>91</v>
      </c>
      <c r="AI184" s="26">
        <v>91</v>
      </c>
      <c r="AJ184" s="26">
        <v>91</v>
      </c>
      <c r="AK184" s="26">
        <v>91</v>
      </c>
      <c r="AL184" s="26">
        <v>91</v>
      </c>
      <c r="AM184" s="26">
        <v>91</v>
      </c>
      <c r="AN184" s="26">
        <v>91</v>
      </c>
      <c r="AO184" s="26">
        <v>91</v>
      </c>
      <c r="AP184" s="26">
        <v>91</v>
      </c>
      <c r="AQ184" s="26">
        <v>91</v>
      </c>
      <c r="AR184" s="26">
        <v>91</v>
      </c>
      <c r="AS184" s="26">
        <v>91</v>
      </c>
      <c r="AT184" s="26">
        <v>91</v>
      </c>
      <c r="AU184" s="26">
        <v>91</v>
      </c>
      <c r="AV184" s="26">
        <v>102</v>
      </c>
      <c r="AW184" s="26">
        <v>119</v>
      </c>
      <c r="AX184" s="26">
        <v>120</v>
      </c>
      <c r="AY184" s="26">
        <v>124</v>
      </c>
      <c r="AZ184" s="26">
        <v>124</v>
      </c>
      <c r="BA184" s="26">
        <v>125</v>
      </c>
      <c r="BB184" s="26">
        <v>127</v>
      </c>
      <c r="BC184" s="26">
        <v>127</v>
      </c>
      <c r="BD184" s="26">
        <v>127</v>
      </c>
      <c r="BE184" s="26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 t="s">
        <v>1446</v>
      </c>
    </row>
    <row r="185" spans="1:63" x14ac:dyDescent="0.25">
      <c r="A185" s="26" t="s">
        <v>39</v>
      </c>
      <c r="B185" s="26" t="s">
        <v>225</v>
      </c>
      <c r="C185" s="26">
        <v>22.3</v>
      </c>
      <c r="D185" s="26">
        <v>114.2</v>
      </c>
      <c r="E185" s="26">
        <v>0</v>
      </c>
      <c r="F185" s="26">
        <v>2</v>
      </c>
      <c r="G185" s="26">
        <v>2</v>
      </c>
      <c r="H185" s="26">
        <v>5</v>
      </c>
      <c r="I185" s="26">
        <v>8</v>
      </c>
      <c r="J185" s="26">
        <v>8</v>
      </c>
      <c r="K185" s="26">
        <v>8</v>
      </c>
      <c r="L185" s="26">
        <v>10</v>
      </c>
      <c r="M185" s="26">
        <v>10</v>
      </c>
      <c r="N185" s="26">
        <v>12</v>
      </c>
      <c r="O185" s="26">
        <v>13</v>
      </c>
      <c r="P185" s="26">
        <v>15</v>
      </c>
      <c r="Q185" s="26">
        <v>15</v>
      </c>
      <c r="R185" s="26">
        <v>17</v>
      </c>
      <c r="S185" s="26">
        <v>21</v>
      </c>
      <c r="T185" s="26">
        <v>24</v>
      </c>
      <c r="U185" s="26">
        <v>25</v>
      </c>
      <c r="V185" s="26">
        <v>26</v>
      </c>
      <c r="W185" s="26">
        <v>29</v>
      </c>
      <c r="X185" s="26">
        <v>38</v>
      </c>
      <c r="Y185" s="26">
        <v>49</v>
      </c>
      <c r="Z185" s="26">
        <v>50</v>
      </c>
      <c r="AA185" s="26">
        <v>53</v>
      </c>
      <c r="AB185" s="26">
        <v>56</v>
      </c>
      <c r="AC185" s="26">
        <v>56</v>
      </c>
      <c r="AD185" s="26">
        <v>57</v>
      </c>
      <c r="AE185" s="26">
        <v>60</v>
      </c>
      <c r="AF185" s="26">
        <v>62</v>
      </c>
      <c r="AG185" s="26">
        <v>63</v>
      </c>
      <c r="AH185" s="26">
        <v>68</v>
      </c>
      <c r="AI185" s="26">
        <v>68</v>
      </c>
      <c r="AJ185" s="26">
        <v>69</v>
      </c>
      <c r="AK185" s="26">
        <v>74</v>
      </c>
      <c r="AL185" s="26">
        <v>79</v>
      </c>
      <c r="AM185" s="26">
        <v>84</v>
      </c>
      <c r="AN185" s="26">
        <v>91</v>
      </c>
      <c r="AO185" s="26">
        <v>92</v>
      </c>
      <c r="AP185" s="26">
        <v>94</v>
      </c>
      <c r="AQ185" s="26">
        <v>95</v>
      </c>
      <c r="AR185" s="26">
        <v>96</v>
      </c>
      <c r="AS185" s="26">
        <v>100</v>
      </c>
      <c r="AT185" s="26">
        <v>100</v>
      </c>
      <c r="AU185" s="26">
        <v>105</v>
      </c>
      <c r="AV185" s="26">
        <v>105</v>
      </c>
      <c r="AW185" s="26">
        <v>107</v>
      </c>
      <c r="AX185" s="26">
        <v>108</v>
      </c>
      <c r="AY185" s="26">
        <v>114</v>
      </c>
      <c r="AZ185" s="26">
        <v>115</v>
      </c>
      <c r="BA185" s="26">
        <v>120</v>
      </c>
      <c r="BB185" s="26">
        <v>126</v>
      </c>
      <c r="BC185" s="26">
        <v>129</v>
      </c>
      <c r="BD185" s="26">
        <v>134</v>
      </c>
      <c r="BE185" s="26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 t="s">
        <v>1254</v>
      </c>
    </row>
    <row r="186" spans="1:63" x14ac:dyDescent="0.25">
      <c r="A186" s="26" t="s">
        <v>22</v>
      </c>
      <c r="B186" s="26" t="s">
        <v>225</v>
      </c>
      <c r="C186" s="26">
        <v>41.2956</v>
      </c>
      <c r="D186" s="26">
        <v>122.60850000000001</v>
      </c>
      <c r="E186" s="26">
        <v>2</v>
      </c>
      <c r="F186" s="26">
        <v>3</v>
      </c>
      <c r="G186" s="26">
        <v>4</v>
      </c>
      <c r="H186" s="26">
        <v>17</v>
      </c>
      <c r="I186" s="26">
        <v>21</v>
      </c>
      <c r="J186" s="26">
        <v>27</v>
      </c>
      <c r="K186" s="26">
        <v>34</v>
      </c>
      <c r="L186" s="26">
        <v>39</v>
      </c>
      <c r="M186" s="26">
        <v>41</v>
      </c>
      <c r="N186" s="26">
        <v>48</v>
      </c>
      <c r="O186" s="26">
        <v>64</v>
      </c>
      <c r="P186" s="26">
        <v>70</v>
      </c>
      <c r="Q186" s="26">
        <v>74</v>
      </c>
      <c r="R186" s="26">
        <v>81</v>
      </c>
      <c r="S186" s="26">
        <v>89</v>
      </c>
      <c r="T186" s="26">
        <v>94</v>
      </c>
      <c r="U186" s="26">
        <v>99</v>
      </c>
      <c r="V186" s="26">
        <v>105</v>
      </c>
      <c r="W186" s="26">
        <v>107</v>
      </c>
      <c r="X186" s="26">
        <v>108</v>
      </c>
      <c r="Y186" s="26">
        <v>111</v>
      </c>
      <c r="Z186" s="26">
        <v>116</v>
      </c>
      <c r="AA186" s="26">
        <v>117</v>
      </c>
      <c r="AB186" s="26">
        <v>119</v>
      </c>
      <c r="AC186" s="26">
        <v>119</v>
      </c>
      <c r="AD186" s="26">
        <v>121</v>
      </c>
      <c r="AE186" s="26">
        <v>121</v>
      </c>
      <c r="AF186" s="26">
        <v>121</v>
      </c>
      <c r="AG186" s="26">
        <v>121</v>
      </c>
      <c r="AH186" s="26">
        <v>121</v>
      </c>
      <c r="AI186" s="26">
        <v>121</v>
      </c>
      <c r="AJ186" s="26">
        <v>121</v>
      </c>
      <c r="AK186" s="26">
        <v>121</v>
      </c>
      <c r="AL186" s="26">
        <v>121</v>
      </c>
      <c r="AM186" s="26">
        <v>121</v>
      </c>
      <c r="AN186" s="26">
        <v>121</v>
      </c>
      <c r="AO186" s="26">
        <v>121</v>
      </c>
      <c r="AP186" s="26">
        <v>121</v>
      </c>
      <c r="AQ186" s="26">
        <v>121</v>
      </c>
      <c r="AR186" s="26">
        <v>122</v>
      </c>
      <c r="AS186" s="26">
        <v>122</v>
      </c>
      <c r="AT186" s="26">
        <v>125</v>
      </c>
      <c r="AU186" s="26">
        <v>125</v>
      </c>
      <c r="AV186" s="26">
        <v>125</v>
      </c>
      <c r="AW186" s="26">
        <v>125</v>
      </c>
      <c r="AX186" s="26">
        <v>125</v>
      </c>
      <c r="AY186" s="26">
        <v>125</v>
      </c>
      <c r="AZ186" s="26">
        <v>125</v>
      </c>
      <c r="BA186" s="26">
        <v>125</v>
      </c>
      <c r="BB186" s="26">
        <v>125</v>
      </c>
      <c r="BC186" s="26">
        <v>125</v>
      </c>
      <c r="BD186" s="26">
        <v>125</v>
      </c>
      <c r="BE186" s="2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 t="s">
        <v>1421</v>
      </c>
    </row>
    <row r="187" spans="1:63" x14ac:dyDescent="0.25">
      <c r="A187" s="26" t="s">
        <v>21</v>
      </c>
      <c r="B187" s="26" t="s">
        <v>225</v>
      </c>
      <c r="C187" s="26">
        <v>43.6661</v>
      </c>
      <c r="D187" s="26">
        <v>126.1923</v>
      </c>
      <c r="E187" s="26">
        <v>0</v>
      </c>
      <c r="F187" s="26">
        <v>1</v>
      </c>
      <c r="G187" s="26">
        <v>3</v>
      </c>
      <c r="H187" s="26">
        <v>4</v>
      </c>
      <c r="I187" s="26">
        <v>4</v>
      </c>
      <c r="J187" s="26">
        <v>6</v>
      </c>
      <c r="K187" s="26">
        <v>8</v>
      </c>
      <c r="L187" s="26">
        <v>9</v>
      </c>
      <c r="M187" s="26">
        <v>14</v>
      </c>
      <c r="N187" s="26">
        <v>14</v>
      </c>
      <c r="O187" s="26">
        <v>17</v>
      </c>
      <c r="P187" s="26">
        <v>23</v>
      </c>
      <c r="Q187" s="26">
        <v>31</v>
      </c>
      <c r="R187" s="26">
        <v>42</v>
      </c>
      <c r="S187" s="26">
        <v>54</v>
      </c>
      <c r="T187" s="26">
        <v>59</v>
      </c>
      <c r="U187" s="26">
        <v>65</v>
      </c>
      <c r="V187" s="26">
        <v>69</v>
      </c>
      <c r="W187" s="26">
        <v>78</v>
      </c>
      <c r="X187" s="26">
        <v>80</v>
      </c>
      <c r="Y187" s="26">
        <v>81</v>
      </c>
      <c r="Z187" s="26">
        <v>83</v>
      </c>
      <c r="AA187" s="26">
        <v>84</v>
      </c>
      <c r="AB187" s="26">
        <v>86</v>
      </c>
      <c r="AC187" s="26">
        <v>88</v>
      </c>
      <c r="AD187" s="26">
        <v>89</v>
      </c>
      <c r="AE187" s="26">
        <v>89</v>
      </c>
      <c r="AF187" s="26">
        <v>89</v>
      </c>
      <c r="AG187" s="26">
        <v>90</v>
      </c>
      <c r="AH187" s="26">
        <v>91</v>
      </c>
      <c r="AI187" s="26">
        <v>91</v>
      </c>
      <c r="AJ187" s="26">
        <v>91</v>
      </c>
      <c r="AK187" s="26">
        <v>91</v>
      </c>
      <c r="AL187" s="26">
        <v>93</v>
      </c>
      <c r="AM187" s="26">
        <v>93</v>
      </c>
      <c r="AN187" s="26">
        <v>93</v>
      </c>
      <c r="AO187" s="26">
        <v>93</v>
      </c>
      <c r="AP187" s="26">
        <v>93</v>
      </c>
      <c r="AQ187" s="26">
        <v>93</v>
      </c>
      <c r="AR187" s="26">
        <v>93</v>
      </c>
      <c r="AS187" s="26">
        <v>93</v>
      </c>
      <c r="AT187" s="26">
        <v>93</v>
      </c>
      <c r="AU187" s="26">
        <v>93</v>
      </c>
      <c r="AV187" s="26">
        <v>93</v>
      </c>
      <c r="AW187" s="26">
        <v>93</v>
      </c>
      <c r="AX187" s="26">
        <v>93</v>
      </c>
      <c r="AY187" s="26">
        <v>93</v>
      </c>
      <c r="AZ187" s="26">
        <v>93</v>
      </c>
      <c r="BA187" s="26">
        <v>93</v>
      </c>
      <c r="BB187" s="26">
        <v>93</v>
      </c>
      <c r="BC187" s="26">
        <v>93</v>
      </c>
      <c r="BD187" s="26">
        <v>93</v>
      </c>
      <c r="BE187" s="26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 t="s">
        <v>468</v>
      </c>
    </row>
    <row r="188" spans="1:63" x14ac:dyDescent="0.25">
      <c r="A188" s="26"/>
      <c r="B188" s="26" t="s">
        <v>227</v>
      </c>
      <c r="C188" s="26">
        <v>49.817500000000003</v>
      </c>
      <c r="D188" s="26">
        <v>15.473000000000001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3</v>
      </c>
      <c r="AS188" s="26">
        <v>3</v>
      </c>
      <c r="AT188" s="26">
        <v>5</v>
      </c>
      <c r="AU188" s="26">
        <v>8</v>
      </c>
      <c r="AV188" s="26">
        <v>12</v>
      </c>
      <c r="AW188" s="26">
        <v>18</v>
      </c>
      <c r="AX188" s="26">
        <v>19</v>
      </c>
      <c r="AY188" s="26">
        <v>31</v>
      </c>
      <c r="AZ188" s="26">
        <v>31</v>
      </c>
      <c r="BA188" s="26">
        <v>41</v>
      </c>
      <c r="BB188" s="26">
        <v>91</v>
      </c>
      <c r="BC188" s="26">
        <v>94</v>
      </c>
      <c r="BD188" s="26">
        <v>141</v>
      </c>
      <c r="BE188" s="26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 t="s">
        <v>1447</v>
      </c>
    </row>
    <row r="189" spans="1:63" x14ac:dyDescent="0.25">
      <c r="A189" s="26" t="s">
        <v>32</v>
      </c>
      <c r="B189" s="26" t="s">
        <v>225</v>
      </c>
      <c r="C189" s="26">
        <v>41.112900000000003</v>
      </c>
      <c r="D189" s="26">
        <v>85.240099999999998</v>
      </c>
      <c r="E189" s="26">
        <v>0</v>
      </c>
      <c r="F189" s="26">
        <v>2</v>
      </c>
      <c r="G189" s="26">
        <v>2</v>
      </c>
      <c r="H189" s="26">
        <v>3</v>
      </c>
      <c r="I189" s="26">
        <v>4</v>
      </c>
      <c r="J189" s="26">
        <v>5</v>
      </c>
      <c r="K189" s="26">
        <v>10</v>
      </c>
      <c r="L189" s="26">
        <v>13</v>
      </c>
      <c r="M189" s="26">
        <v>14</v>
      </c>
      <c r="N189" s="26">
        <v>17</v>
      </c>
      <c r="O189" s="26">
        <v>18</v>
      </c>
      <c r="P189" s="26">
        <v>21</v>
      </c>
      <c r="Q189" s="26">
        <v>24</v>
      </c>
      <c r="R189" s="26">
        <v>29</v>
      </c>
      <c r="S189" s="26">
        <v>32</v>
      </c>
      <c r="T189" s="26">
        <v>36</v>
      </c>
      <c r="U189" s="26">
        <v>39</v>
      </c>
      <c r="V189" s="26">
        <v>42</v>
      </c>
      <c r="W189" s="26">
        <v>45</v>
      </c>
      <c r="X189" s="26">
        <v>49</v>
      </c>
      <c r="Y189" s="26">
        <v>55</v>
      </c>
      <c r="Z189" s="26">
        <v>59</v>
      </c>
      <c r="AA189" s="26">
        <v>63</v>
      </c>
      <c r="AB189" s="26">
        <v>65</v>
      </c>
      <c r="AC189" s="26">
        <v>70</v>
      </c>
      <c r="AD189" s="26">
        <v>71</v>
      </c>
      <c r="AE189" s="26">
        <v>75</v>
      </c>
      <c r="AF189" s="26">
        <v>76</v>
      </c>
      <c r="AG189" s="26">
        <v>76</v>
      </c>
      <c r="AH189" s="26">
        <v>76</v>
      </c>
      <c r="AI189" s="26">
        <v>76</v>
      </c>
      <c r="AJ189" s="26">
        <v>76</v>
      </c>
      <c r="AK189" s="26">
        <v>76</v>
      </c>
      <c r="AL189" s="26">
        <v>76</v>
      </c>
      <c r="AM189" s="26">
        <v>76</v>
      </c>
      <c r="AN189" s="26">
        <v>76</v>
      </c>
      <c r="AO189" s="26">
        <v>76</v>
      </c>
      <c r="AP189" s="26">
        <v>76</v>
      </c>
      <c r="AQ189" s="26">
        <v>76</v>
      </c>
      <c r="AR189" s="26">
        <v>76</v>
      </c>
      <c r="AS189" s="26">
        <v>76</v>
      </c>
      <c r="AT189" s="26">
        <v>76</v>
      </c>
      <c r="AU189" s="26">
        <v>76</v>
      </c>
      <c r="AV189" s="26">
        <v>76</v>
      </c>
      <c r="AW189" s="26">
        <v>76</v>
      </c>
      <c r="AX189" s="26">
        <v>76</v>
      </c>
      <c r="AY189" s="26">
        <v>76</v>
      </c>
      <c r="AZ189" s="26">
        <v>76</v>
      </c>
      <c r="BA189" s="26">
        <v>76</v>
      </c>
      <c r="BB189" s="26">
        <v>76</v>
      </c>
      <c r="BC189" s="26">
        <v>76</v>
      </c>
      <c r="BD189" s="26">
        <v>76</v>
      </c>
      <c r="BE189" s="26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 t="s">
        <v>469</v>
      </c>
    </row>
    <row r="190" spans="1:63" x14ac:dyDescent="0.25">
      <c r="A190" s="26" t="s">
        <v>18</v>
      </c>
      <c r="B190" s="26" t="s">
        <v>225</v>
      </c>
      <c r="C190" s="26">
        <v>44.093499999999999</v>
      </c>
      <c r="D190" s="26">
        <v>113.9448</v>
      </c>
      <c r="E190" s="26">
        <v>0</v>
      </c>
      <c r="F190" s="26">
        <v>0</v>
      </c>
      <c r="G190" s="26">
        <v>1</v>
      </c>
      <c r="H190" s="26">
        <v>7</v>
      </c>
      <c r="I190" s="26">
        <v>7</v>
      </c>
      <c r="J190" s="26">
        <v>11</v>
      </c>
      <c r="K190" s="26">
        <v>15</v>
      </c>
      <c r="L190" s="26">
        <v>16</v>
      </c>
      <c r="M190" s="26">
        <v>19</v>
      </c>
      <c r="N190" s="26">
        <v>20</v>
      </c>
      <c r="O190" s="26">
        <v>23</v>
      </c>
      <c r="P190" s="26">
        <v>27</v>
      </c>
      <c r="Q190" s="26">
        <v>34</v>
      </c>
      <c r="R190" s="26">
        <v>35</v>
      </c>
      <c r="S190" s="26">
        <v>42</v>
      </c>
      <c r="T190" s="26">
        <v>46</v>
      </c>
      <c r="U190" s="26">
        <v>50</v>
      </c>
      <c r="V190" s="26">
        <v>52</v>
      </c>
      <c r="W190" s="26">
        <v>54</v>
      </c>
      <c r="X190" s="26">
        <v>58</v>
      </c>
      <c r="Y190" s="26">
        <v>58</v>
      </c>
      <c r="Z190" s="26">
        <v>60</v>
      </c>
      <c r="AA190" s="26">
        <v>61</v>
      </c>
      <c r="AB190" s="26">
        <v>65</v>
      </c>
      <c r="AC190" s="26">
        <v>68</v>
      </c>
      <c r="AD190" s="26">
        <v>70</v>
      </c>
      <c r="AE190" s="26">
        <v>72</v>
      </c>
      <c r="AF190" s="26">
        <v>73</v>
      </c>
      <c r="AG190" s="26">
        <v>75</v>
      </c>
      <c r="AH190" s="26">
        <v>75</v>
      </c>
      <c r="AI190" s="26">
        <v>75</v>
      </c>
      <c r="AJ190" s="26">
        <v>75</v>
      </c>
      <c r="AK190" s="26">
        <v>75</v>
      </c>
      <c r="AL190" s="26">
        <v>75</v>
      </c>
      <c r="AM190" s="26">
        <v>75</v>
      </c>
      <c r="AN190" s="26">
        <v>75</v>
      </c>
      <c r="AO190" s="26">
        <v>75</v>
      </c>
      <c r="AP190" s="26">
        <v>75</v>
      </c>
      <c r="AQ190" s="26">
        <v>75</v>
      </c>
      <c r="AR190" s="26">
        <v>75</v>
      </c>
      <c r="AS190" s="26">
        <v>75</v>
      </c>
      <c r="AT190" s="26">
        <v>75</v>
      </c>
      <c r="AU190" s="26">
        <v>75</v>
      </c>
      <c r="AV190" s="26">
        <v>75</v>
      </c>
      <c r="AW190" s="26">
        <v>75</v>
      </c>
      <c r="AX190" s="26">
        <v>75</v>
      </c>
      <c r="AY190" s="26">
        <v>75</v>
      </c>
      <c r="AZ190" s="26">
        <v>75</v>
      </c>
      <c r="BA190" s="26">
        <v>75</v>
      </c>
      <c r="BB190" s="26">
        <v>75</v>
      </c>
      <c r="BC190" s="26">
        <v>75</v>
      </c>
      <c r="BD190" s="26">
        <v>75</v>
      </c>
      <c r="BE190" s="26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 t="s">
        <v>470</v>
      </c>
    </row>
    <row r="191" spans="1:63" x14ac:dyDescent="0.25">
      <c r="A191" s="26" t="s">
        <v>23</v>
      </c>
      <c r="B191" s="26" t="s">
        <v>225</v>
      </c>
      <c r="C191" s="26">
        <v>37.269199999999998</v>
      </c>
      <c r="D191" s="26">
        <v>106.16549999999999</v>
      </c>
      <c r="E191" s="26">
        <v>1</v>
      </c>
      <c r="F191" s="26">
        <v>1</v>
      </c>
      <c r="G191" s="26">
        <v>2</v>
      </c>
      <c r="H191" s="26">
        <v>3</v>
      </c>
      <c r="I191" s="26">
        <v>4</v>
      </c>
      <c r="J191" s="26">
        <v>7</v>
      </c>
      <c r="K191" s="26">
        <v>11</v>
      </c>
      <c r="L191" s="26">
        <v>12</v>
      </c>
      <c r="M191" s="26">
        <v>17</v>
      </c>
      <c r="N191" s="26">
        <v>21</v>
      </c>
      <c r="O191" s="26">
        <v>26</v>
      </c>
      <c r="P191" s="26">
        <v>28</v>
      </c>
      <c r="Q191" s="26">
        <v>31</v>
      </c>
      <c r="R191" s="26">
        <v>34</v>
      </c>
      <c r="S191" s="26">
        <v>34</v>
      </c>
      <c r="T191" s="26">
        <v>40</v>
      </c>
      <c r="U191" s="26">
        <v>43</v>
      </c>
      <c r="V191" s="26">
        <v>45</v>
      </c>
      <c r="W191" s="26">
        <v>45</v>
      </c>
      <c r="X191" s="26">
        <v>49</v>
      </c>
      <c r="Y191" s="26">
        <v>53</v>
      </c>
      <c r="Z191" s="26">
        <v>58</v>
      </c>
      <c r="AA191" s="26">
        <v>64</v>
      </c>
      <c r="AB191" s="26">
        <v>67</v>
      </c>
      <c r="AC191" s="26">
        <v>70</v>
      </c>
      <c r="AD191" s="26">
        <v>70</v>
      </c>
      <c r="AE191" s="26">
        <v>70</v>
      </c>
      <c r="AF191" s="26">
        <v>70</v>
      </c>
      <c r="AG191" s="26">
        <v>71</v>
      </c>
      <c r="AH191" s="26">
        <v>71</v>
      </c>
      <c r="AI191" s="26">
        <v>71</v>
      </c>
      <c r="AJ191" s="26">
        <v>71</v>
      </c>
      <c r="AK191" s="26">
        <v>71</v>
      </c>
      <c r="AL191" s="26">
        <v>71</v>
      </c>
      <c r="AM191" s="26">
        <v>71</v>
      </c>
      <c r="AN191" s="26">
        <v>71</v>
      </c>
      <c r="AO191" s="26">
        <v>72</v>
      </c>
      <c r="AP191" s="26">
        <v>72</v>
      </c>
      <c r="AQ191" s="26">
        <v>73</v>
      </c>
      <c r="AR191" s="26">
        <v>73</v>
      </c>
      <c r="AS191" s="26">
        <v>74</v>
      </c>
      <c r="AT191" s="26">
        <v>74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 t="s">
        <v>470</v>
      </c>
    </row>
    <row r="192" spans="1:63" x14ac:dyDescent="0.25">
      <c r="A192" s="26"/>
      <c r="B192" s="26" t="s">
        <v>228</v>
      </c>
      <c r="C192" s="26">
        <v>23.7</v>
      </c>
      <c r="D192" s="26">
        <v>121</v>
      </c>
      <c r="E192" s="26">
        <v>1</v>
      </c>
      <c r="F192" s="26">
        <v>1</v>
      </c>
      <c r="G192" s="26">
        <v>3</v>
      </c>
      <c r="H192" s="26">
        <v>3</v>
      </c>
      <c r="I192" s="26">
        <v>4</v>
      </c>
      <c r="J192" s="26">
        <v>5</v>
      </c>
      <c r="K192" s="26">
        <v>8</v>
      </c>
      <c r="L192" s="26">
        <v>8</v>
      </c>
      <c r="M192" s="26">
        <v>9</v>
      </c>
      <c r="N192" s="26">
        <v>10</v>
      </c>
      <c r="O192" s="26">
        <v>10</v>
      </c>
      <c r="P192" s="26">
        <v>10</v>
      </c>
      <c r="Q192" s="26">
        <v>10</v>
      </c>
      <c r="R192" s="26">
        <v>11</v>
      </c>
      <c r="S192" s="26">
        <v>11</v>
      </c>
      <c r="T192" s="26">
        <v>16</v>
      </c>
      <c r="U192" s="26">
        <v>16</v>
      </c>
      <c r="V192" s="26">
        <v>17</v>
      </c>
      <c r="W192" s="26">
        <v>18</v>
      </c>
      <c r="X192" s="26">
        <v>18</v>
      </c>
      <c r="Y192" s="26">
        <v>18</v>
      </c>
      <c r="Z192" s="26">
        <v>18</v>
      </c>
      <c r="AA192" s="26">
        <v>18</v>
      </c>
      <c r="AB192" s="26">
        <v>18</v>
      </c>
      <c r="AC192" s="26">
        <v>18</v>
      </c>
      <c r="AD192" s="26">
        <v>20</v>
      </c>
      <c r="AE192" s="26">
        <v>22</v>
      </c>
      <c r="AF192" s="26">
        <v>22</v>
      </c>
      <c r="AG192" s="26">
        <v>23</v>
      </c>
      <c r="AH192" s="26">
        <v>24</v>
      </c>
      <c r="AI192" s="26">
        <v>26</v>
      </c>
      <c r="AJ192" s="26">
        <v>26</v>
      </c>
      <c r="AK192" s="26">
        <v>28</v>
      </c>
      <c r="AL192" s="26">
        <v>30</v>
      </c>
      <c r="AM192" s="26">
        <v>31</v>
      </c>
      <c r="AN192" s="26">
        <v>32</v>
      </c>
      <c r="AO192" s="26">
        <v>32</v>
      </c>
      <c r="AP192" s="26">
        <v>34</v>
      </c>
      <c r="AQ192" s="26">
        <v>39</v>
      </c>
      <c r="AR192" s="26">
        <v>40</v>
      </c>
      <c r="AS192" s="26">
        <v>41</v>
      </c>
      <c r="AT192" s="26">
        <v>42</v>
      </c>
      <c r="AU192" s="26">
        <v>42</v>
      </c>
      <c r="AV192" s="26">
        <v>44</v>
      </c>
      <c r="AW192" s="26">
        <v>45</v>
      </c>
      <c r="AX192" s="26">
        <v>45</v>
      </c>
      <c r="AY192" s="26">
        <v>45</v>
      </c>
      <c r="AZ192" s="26">
        <v>45</v>
      </c>
      <c r="BA192" s="26">
        <v>47</v>
      </c>
      <c r="BB192" s="26">
        <v>48</v>
      </c>
      <c r="BC192" s="26">
        <v>49</v>
      </c>
      <c r="BD192" s="26">
        <v>50</v>
      </c>
      <c r="BE192" s="26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 t="s">
        <v>1400</v>
      </c>
    </row>
    <row r="193" spans="1:63" x14ac:dyDescent="0.25">
      <c r="A193" s="26"/>
      <c r="B193" s="26" t="s">
        <v>41</v>
      </c>
      <c r="C193" s="26">
        <v>16</v>
      </c>
      <c r="D193" s="26">
        <v>108</v>
      </c>
      <c r="E193" s="26">
        <v>0</v>
      </c>
      <c r="F193" s="26">
        <v>2</v>
      </c>
      <c r="G193" s="26">
        <v>2</v>
      </c>
      <c r="H193" s="26">
        <v>2</v>
      </c>
      <c r="I193" s="26">
        <v>2</v>
      </c>
      <c r="J193" s="26">
        <v>2</v>
      </c>
      <c r="K193" s="26">
        <v>2</v>
      </c>
      <c r="L193" s="26">
        <v>2</v>
      </c>
      <c r="M193" s="26">
        <v>2</v>
      </c>
      <c r="N193" s="26">
        <v>2</v>
      </c>
      <c r="O193" s="26">
        <v>6</v>
      </c>
      <c r="P193" s="26">
        <v>6</v>
      </c>
      <c r="Q193" s="26">
        <v>8</v>
      </c>
      <c r="R193" s="26">
        <v>8</v>
      </c>
      <c r="S193" s="26">
        <v>8</v>
      </c>
      <c r="T193" s="26">
        <v>10</v>
      </c>
      <c r="U193" s="26">
        <v>10</v>
      </c>
      <c r="V193" s="26">
        <v>13</v>
      </c>
      <c r="W193" s="26">
        <v>13</v>
      </c>
      <c r="X193" s="26">
        <v>14</v>
      </c>
      <c r="Y193" s="26">
        <v>15</v>
      </c>
      <c r="Z193" s="26">
        <v>15</v>
      </c>
      <c r="AA193" s="26">
        <v>16</v>
      </c>
      <c r="AB193" s="26">
        <v>16</v>
      </c>
      <c r="AC193" s="26">
        <v>16</v>
      </c>
      <c r="AD193" s="26">
        <v>16</v>
      </c>
      <c r="AE193" s="26">
        <v>16</v>
      </c>
      <c r="AF193" s="26">
        <v>16</v>
      </c>
      <c r="AG193" s="26">
        <v>16</v>
      </c>
      <c r="AH193" s="26">
        <v>16</v>
      </c>
      <c r="AI193" s="26">
        <v>16</v>
      </c>
      <c r="AJ193" s="26">
        <v>16</v>
      </c>
      <c r="AK193" s="26">
        <v>16</v>
      </c>
      <c r="AL193" s="26">
        <v>16</v>
      </c>
      <c r="AM193" s="26">
        <v>16</v>
      </c>
      <c r="AN193" s="26">
        <v>16</v>
      </c>
      <c r="AO193" s="26">
        <v>16</v>
      </c>
      <c r="AP193" s="26">
        <v>16</v>
      </c>
      <c r="AQ193" s="26">
        <v>16</v>
      </c>
      <c r="AR193" s="26">
        <v>16</v>
      </c>
      <c r="AS193" s="26">
        <v>16</v>
      </c>
      <c r="AT193" s="26">
        <v>16</v>
      </c>
      <c r="AU193" s="26">
        <v>16</v>
      </c>
      <c r="AV193" s="26">
        <v>16</v>
      </c>
      <c r="AW193" s="26">
        <v>16</v>
      </c>
      <c r="AX193" s="26">
        <v>18</v>
      </c>
      <c r="AY193" s="26">
        <v>30</v>
      </c>
      <c r="AZ193" s="26">
        <v>30</v>
      </c>
      <c r="BA193" s="26">
        <v>31</v>
      </c>
      <c r="BB193" s="26">
        <v>38</v>
      </c>
      <c r="BC193" s="26">
        <v>39</v>
      </c>
      <c r="BD193" s="26">
        <v>47</v>
      </c>
      <c r="BE193" s="26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 t="s">
        <v>1448</v>
      </c>
    </row>
    <row r="194" spans="1:63" x14ac:dyDescent="0.25">
      <c r="A194" s="26"/>
      <c r="B194" s="26" t="s">
        <v>59</v>
      </c>
      <c r="C194" s="26">
        <v>60</v>
      </c>
      <c r="D194" s="26">
        <v>90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2</v>
      </c>
      <c r="O194" s="26">
        <v>2</v>
      </c>
      <c r="P194" s="26">
        <v>2</v>
      </c>
      <c r="Q194" s="26">
        <v>2</v>
      </c>
      <c r="R194" s="26">
        <v>2</v>
      </c>
      <c r="S194" s="26">
        <v>2</v>
      </c>
      <c r="T194" s="26">
        <v>2</v>
      </c>
      <c r="U194" s="26">
        <v>2</v>
      </c>
      <c r="V194" s="26">
        <v>2</v>
      </c>
      <c r="W194" s="26">
        <v>2</v>
      </c>
      <c r="X194" s="26">
        <v>2</v>
      </c>
      <c r="Y194" s="26">
        <v>2</v>
      </c>
      <c r="Z194" s="26">
        <v>2</v>
      </c>
      <c r="AA194" s="26">
        <v>2</v>
      </c>
      <c r="AB194" s="26">
        <v>2</v>
      </c>
      <c r="AC194" s="26">
        <v>2</v>
      </c>
      <c r="AD194" s="26">
        <v>2</v>
      </c>
      <c r="AE194" s="26">
        <v>2</v>
      </c>
      <c r="AF194" s="26">
        <v>2</v>
      </c>
      <c r="AG194" s="26">
        <v>2</v>
      </c>
      <c r="AH194" s="26">
        <v>2</v>
      </c>
      <c r="AI194" s="26">
        <v>2</v>
      </c>
      <c r="AJ194" s="26">
        <v>2</v>
      </c>
      <c r="AK194" s="26">
        <v>2</v>
      </c>
      <c r="AL194" s="26">
        <v>2</v>
      </c>
      <c r="AM194" s="26">
        <v>2</v>
      </c>
      <c r="AN194" s="26">
        <v>2</v>
      </c>
      <c r="AO194" s="26">
        <v>2</v>
      </c>
      <c r="AP194" s="26">
        <v>2</v>
      </c>
      <c r="AQ194" s="26">
        <v>2</v>
      </c>
      <c r="AR194" s="26">
        <v>2</v>
      </c>
      <c r="AS194" s="26">
        <v>3</v>
      </c>
      <c r="AT194" s="26">
        <v>3</v>
      </c>
      <c r="AU194" s="26">
        <v>3</v>
      </c>
      <c r="AV194" s="26">
        <v>4</v>
      </c>
      <c r="AW194" s="26">
        <v>13</v>
      </c>
      <c r="AX194" s="26">
        <v>13</v>
      </c>
      <c r="AY194" s="26">
        <v>17</v>
      </c>
      <c r="AZ194" s="26">
        <v>17</v>
      </c>
      <c r="BA194" s="26">
        <v>20</v>
      </c>
      <c r="BB194" s="26">
        <v>20</v>
      </c>
      <c r="BC194" s="26">
        <v>28</v>
      </c>
      <c r="BD194" s="26">
        <v>45</v>
      </c>
      <c r="BE194" s="26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 t="s">
        <v>856</v>
      </c>
    </row>
    <row r="195" spans="1:63" x14ac:dyDescent="0.25">
      <c r="A195" s="26" t="s">
        <v>24</v>
      </c>
      <c r="B195" s="26" t="s">
        <v>225</v>
      </c>
      <c r="C195" s="26">
        <v>35.745199999999997</v>
      </c>
      <c r="D195" s="26">
        <v>95.995599999999996</v>
      </c>
      <c r="E195" s="26">
        <v>0</v>
      </c>
      <c r="F195" s="26">
        <v>0</v>
      </c>
      <c r="G195" s="26">
        <v>0</v>
      </c>
      <c r="H195" s="26">
        <v>1</v>
      </c>
      <c r="I195" s="26">
        <v>1</v>
      </c>
      <c r="J195" s="26">
        <v>6</v>
      </c>
      <c r="K195" s="26">
        <v>6</v>
      </c>
      <c r="L195" s="26">
        <v>6</v>
      </c>
      <c r="M195" s="26">
        <v>8</v>
      </c>
      <c r="N195" s="26">
        <v>8</v>
      </c>
      <c r="O195" s="26">
        <v>9</v>
      </c>
      <c r="P195" s="26">
        <v>11</v>
      </c>
      <c r="Q195" s="26">
        <v>13</v>
      </c>
      <c r="R195" s="26">
        <v>15</v>
      </c>
      <c r="S195" s="26">
        <v>17</v>
      </c>
      <c r="T195" s="26">
        <v>18</v>
      </c>
      <c r="U195" s="26">
        <v>18</v>
      </c>
      <c r="V195" s="26">
        <v>18</v>
      </c>
      <c r="W195" s="26">
        <v>18</v>
      </c>
      <c r="X195" s="26">
        <v>18</v>
      </c>
      <c r="Y195" s="26">
        <v>18</v>
      </c>
      <c r="Z195" s="26">
        <v>18</v>
      </c>
      <c r="AA195" s="26">
        <v>18</v>
      </c>
      <c r="AB195" s="26">
        <v>18</v>
      </c>
      <c r="AC195" s="26">
        <v>18</v>
      </c>
      <c r="AD195" s="26">
        <v>18</v>
      </c>
      <c r="AE195" s="26">
        <v>18</v>
      </c>
      <c r="AF195" s="26">
        <v>18</v>
      </c>
      <c r="AG195" s="26">
        <v>18</v>
      </c>
      <c r="AH195" s="26">
        <v>18</v>
      </c>
      <c r="AI195" s="26">
        <v>18</v>
      </c>
      <c r="AJ195" s="26">
        <v>18</v>
      </c>
      <c r="AK195" s="26">
        <v>18</v>
      </c>
      <c r="AL195" s="26">
        <v>18</v>
      </c>
      <c r="AM195" s="26">
        <v>18</v>
      </c>
      <c r="AN195" s="26">
        <v>18</v>
      </c>
      <c r="AO195" s="26">
        <v>18</v>
      </c>
      <c r="AP195" s="26">
        <v>18</v>
      </c>
      <c r="AQ195" s="26">
        <v>18</v>
      </c>
      <c r="AR195" s="26">
        <v>18</v>
      </c>
      <c r="AS195" s="26">
        <v>18</v>
      </c>
      <c r="AT195" s="26">
        <v>18</v>
      </c>
      <c r="AU195" s="26">
        <v>18</v>
      </c>
      <c r="AV195" s="26">
        <v>18</v>
      </c>
      <c r="AW195" s="26">
        <v>18</v>
      </c>
      <c r="AX195" s="26">
        <v>18</v>
      </c>
      <c r="AY195" s="26">
        <v>18</v>
      </c>
      <c r="AZ195" s="26">
        <v>18</v>
      </c>
      <c r="BA195" s="26">
        <v>18</v>
      </c>
      <c r="BB195" s="26">
        <v>18</v>
      </c>
      <c r="BC195" s="26">
        <v>18</v>
      </c>
      <c r="BD195" s="26">
        <v>18</v>
      </c>
      <c r="BE195" s="26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 t="s">
        <v>446</v>
      </c>
    </row>
    <row r="196" spans="1:63" x14ac:dyDescent="0.25">
      <c r="A196" s="26" t="s">
        <v>38</v>
      </c>
      <c r="B196" s="26" t="s">
        <v>225</v>
      </c>
      <c r="C196" s="26">
        <v>22.166699999999999</v>
      </c>
      <c r="D196" s="26">
        <v>113.55</v>
      </c>
      <c r="E196" s="26">
        <v>1</v>
      </c>
      <c r="F196" s="26">
        <v>2</v>
      </c>
      <c r="G196" s="26">
        <v>2</v>
      </c>
      <c r="H196" s="26">
        <v>2</v>
      </c>
      <c r="I196" s="26">
        <v>5</v>
      </c>
      <c r="J196" s="26">
        <v>6</v>
      </c>
      <c r="K196" s="26">
        <v>7</v>
      </c>
      <c r="L196" s="26">
        <v>7</v>
      </c>
      <c r="M196" s="26">
        <v>7</v>
      </c>
      <c r="N196" s="26">
        <v>7</v>
      </c>
      <c r="O196" s="26">
        <v>7</v>
      </c>
      <c r="P196" s="26">
        <v>8</v>
      </c>
      <c r="Q196" s="26">
        <v>8</v>
      </c>
      <c r="R196" s="26">
        <v>10</v>
      </c>
      <c r="S196" s="26">
        <v>10</v>
      </c>
      <c r="T196" s="26">
        <v>10</v>
      </c>
      <c r="U196" s="26">
        <v>10</v>
      </c>
      <c r="V196" s="26">
        <v>10</v>
      </c>
      <c r="W196" s="26">
        <v>10</v>
      </c>
      <c r="X196" s="26">
        <v>10</v>
      </c>
      <c r="Y196" s="26">
        <v>10</v>
      </c>
      <c r="Z196" s="26">
        <v>10</v>
      </c>
      <c r="AA196" s="26">
        <v>10</v>
      </c>
      <c r="AB196" s="26">
        <v>10</v>
      </c>
      <c r="AC196" s="26">
        <v>10</v>
      </c>
      <c r="AD196" s="26">
        <v>10</v>
      </c>
      <c r="AE196" s="26">
        <v>10</v>
      </c>
      <c r="AF196" s="26">
        <v>10</v>
      </c>
      <c r="AG196" s="26">
        <v>10</v>
      </c>
      <c r="AH196" s="26">
        <v>10</v>
      </c>
      <c r="AI196" s="26">
        <v>10</v>
      </c>
      <c r="AJ196" s="26">
        <v>10</v>
      </c>
      <c r="AK196" s="26">
        <v>10</v>
      </c>
      <c r="AL196" s="26">
        <v>10</v>
      </c>
      <c r="AM196" s="26">
        <v>10</v>
      </c>
      <c r="AN196" s="26">
        <v>10</v>
      </c>
      <c r="AO196" s="26">
        <v>10</v>
      </c>
      <c r="AP196" s="26">
        <v>10</v>
      </c>
      <c r="AQ196" s="26">
        <v>10</v>
      </c>
      <c r="AR196" s="26">
        <v>10</v>
      </c>
      <c r="AS196" s="26">
        <v>10</v>
      </c>
      <c r="AT196" s="26">
        <v>10</v>
      </c>
      <c r="AU196" s="26">
        <v>10</v>
      </c>
      <c r="AV196" s="26">
        <v>10</v>
      </c>
      <c r="AW196" s="26">
        <v>10</v>
      </c>
      <c r="AX196" s="26">
        <v>10</v>
      </c>
      <c r="AY196" s="26">
        <v>10</v>
      </c>
      <c r="AZ196" s="26">
        <v>10</v>
      </c>
      <c r="BA196" s="26">
        <v>10</v>
      </c>
      <c r="BB196" s="26">
        <v>10</v>
      </c>
      <c r="BC196" s="26">
        <v>10</v>
      </c>
      <c r="BD196" s="26">
        <v>10</v>
      </c>
      <c r="BE196" s="2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 t="s">
        <v>1449</v>
      </c>
    </row>
    <row r="197" spans="1:63" x14ac:dyDescent="0.25">
      <c r="A197" s="26"/>
      <c r="B197" s="26" t="s">
        <v>139</v>
      </c>
      <c r="C197" s="26">
        <v>47.4116</v>
      </c>
      <c r="D197" s="26">
        <v>28.369900000000001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1</v>
      </c>
      <c r="AZ197" s="26">
        <v>1</v>
      </c>
      <c r="BA197" s="26">
        <v>3</v>
      </c>
      <c r="BB197" s="26">
        <v>3</v>
      </c>
      <c r="BC197" s="26">
        <v>3</v>
      </c>
      <c r="BD197" s="26">
        <v>6</v>
      </c>
      <c r="BE197" s="26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 t="s">
        <v>1450</v>
      </c>
    </row>
    <row r="198" spans="1:63" x14ac:dyDescent="0.25">
      <c r="A198" s="26"/>
      <c r="B198" s="26" t="s">
        <v>229</v>
      </c>
      <c r="C198" s="26">
        <v>-16.290199999999999</v>
      </c>
      <c r="D198" s="26">
        <v>-63.588700000000003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2</v>
      </c>
      <c r="BC198" s="26">
        <v>2</v>
      </c>
      <c r="BD198" s="26">
        <v>3</v>
      </c>
      <c r="BE198" s="26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 t="s">
        <v>1270</v>
      </c>
    </row>
    <row r="199" spans="1:63" x14ac:dyDescent="0.25">
      <c r="A199" s="26" t="s">
        <v>118</v>
      </c>
      <c r="B199" s="26" t="s">
        <v>85</v>
      </c>
      <c r="C199" s="26">
        <v>61.892600000000002</v>
      </c>
      <c r="D199" s="26">
        <v>-6.9118000000000004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1</v>
      </c>
      <c r="AV199" s="26">
        <v>1</v>
      </c>
      <c r="AW199" s="26">
        <v>1</v>
      </c>
      <c r="AX199" s="26">
        <v>1</v>
      </c>
      <c r="AY199" s="26">
        <v>2</v>
      </c>
      <c r="AZ199" s="26">
        <v>2</v>
      </c>
      <c r="BA199" s="26">
        <v>2</v>
      </c>
      <c r="BB199" s="26">
        <v>2</v>
      </c>
      <c r="BC199" s="26">
        <v>2</v>
      </c>
      <c r="BD199" s="26">
        <v>3</v>
      </c>
      <c r="BE199" s="26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 t="s">
        <v>1433</v>
      </c>
    </row>
    <row r="200" spans="1:63" x14ac:dyDescent="0.25">
      <c r="A200" s="26" t="s">
        <v>230</v>
      </c>
      <c r="B200" s="26" t="s">
        <v>42</v>
      </c>
      <c r="C200" s="26">
        <v>18.070799999999998</v>
      </c>
      <c r="D200" s="26">
        <v>-63.0501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0</v>
      </c>
      <c r="AW200" s="26">
        <v>0</v>
      </c>
      <c r="AX200" s="26">
        <v>0</v>
      </c>
      <c r="AY200" s="26">
        <v>0</v>
      </c>
      <c r="AZ200" s="26">
        <v>2</v>
      </c>
      <c r="BA200" s="26">
        <v>2</v>
      </c>
      <c r="BB200" s="26">
        <v>2</v>
      </c>
      <c r="BC200" s="26">
        <v>2</v>
      </c>
      <c r="BD200" s="26">
        <v>2</v>
      </c>
      <c r="BE200" s="26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 t="s">
        <v>453</v>
      </c>
    </row>
    <row r="201" spans="1:63" x14ac:dyDescent="0.25">
      <c r="A201" s="26"/>
      <c r="B201" s="26" t="s">
        <v>231</v>
      </c>
      <c r="C201" s="26">
        <v>15.2</v>
      </c>
      <c r="D201" s="26">
        <v>-86.241900000000001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2</v>
      </c>
      <c r="BC201" s="26">
        <v>2</v>
      </c>
      <c r="BD201" s="26">
        <v>2</v>
      </c>
      <c r="BE201" s="26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 t="s">
        <v>448</v>
      </c>
    </row>
    <row r="202" spans="1:63" x14ac:dyDescent="0.25">
      <c r="A202" s="26" t="s">
        <v>1451</v>
      </c>
      <c r="B202" s="26" t="s">
        <v>1038</v>
      </c>
      <c r="C202" s="26">
        <v>49.372300000000003</v>
      </c>
      <c r="D202" s="26">
        <v>-2.3643999999999998</v>
      </c>
      <c r="E202" s="27">
        <v>0</v>
      </c>
      <c r="F202" s="27">
        <v>0</v>
      </c>
      <c r="G202" s="27">
        <v>0</v>
      </c>
      <c r="H202" s="27">
        <v>0</v>
      </c>
      <c r="I202" s="27">
        <v>0</v>
      </c>
      <c r="J202" s="27">
        <v>0</v>
      </c>
      <c r="K202" s="27">
        <v>0</v>
      </c>
      <c r="L202" s="27">
        <v>0</v>
      </c>
      <c r="M202" s="27">
        <v>0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7">
        <v>0</v>
      </c>
      <c r="AB202" s="27">
        <v>0</v>
      </c>
      <c r="AC202" s="27">
        <v>0</v>
      </c>
      <c r="AD202" s="27">
        <v>0</v>
      </c>
      <c r="AE202" s="27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7">
        <v>0</v>
      </c>
      <c r="AL202" s="27">
        <v>0</v>
      </c>
      <c r="AM202" s="27">
        <v>0</v>
      </c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27">
        <v>0</v>
      </c>
      <c r="AW202" s="27">
        <v>0</v>
      </c>
      <c r="AX202" s="27">
        <v>0</v>
      </c>
      <c r="AY202" s="27">
        <v>0</v>
      </c>
      <c r="AZ202" s="27">
        <v>0</v>
      </c>
      <c r="BA202" s="27">
        <v>1</v>
      </c>
      <c r="BB202" s="27">
        <v>2</v>
      </c>
      <c r="BC202" s="27">
        <v>2</v>
      </c>
      <c r="BD202" s="27">
        <v>2</v>
      </c>
      <c r="BE202" s="27">
        <v>2</v>
      </c>
      <c r="BF202" s="27">
        <v>3</v>
      </c>
      <c r="BG202" s="27">
        <v>6</v>
      </c>
      <c r="BH202" s="27">
        <v>6</v>
      </c>
      <c r="BI202" s="27">
        <v>6</v>
      </c>
      <c r="BJ202" s="27">
        <v>11</v>
      </c>
      <c r="BK202" t="s">
        <v>456</v>
      </c>
    </row>
    <row r="203" spans="1:63" x14ac:dyDescent="0.25">
      <c r="A203" s="26" t="s">
        <v>232</v>
      </c>
      <c r="B203" s="26" t="s">
        <v>46</v>
      </c>
      <c r="C203" s="26">
        <v>46.565300000000001</v>
      </c>
      <c r="D203" s="26">
        <v>-66.4619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0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1</v>
      </c>
      <c r="BC203" s="26">
        <v>1</v>
      </c>
      <c r="BD203" s="26">
        <v>1</v>
      </c>
      <c r="BE203" s="26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 t="s">
        <v>452</v>
      </c>
    </row>
    <row r="204" spans="1:63" x14ac:dyDescent="0.25">
      <c r="A204" s="26" t="s">
        <v>31</v>
      </c>
      <c r="B204" s="26" t="s">
        <v>225</v>
      </c>
      <c r="C204" s="26">
        <v>31.692699999999999</v>
      </c>
      <c r="D204" s="26">
        <v>88.092399999999998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1</v>
      </c>
      <c r="N204" s="26">
        <v>1</v>
      </c>
      <c r="O204" s="26">
        <v>1</v>
      </c>
      <c r="P204" s="26">
        <v>1</v>
      </c>
      <c r="Q204" s="26">
        <v>1</v>
      </c>
      <c r="R204" s="26">
        <v>1</v>
      </c>
      <c r="S204" s="26">
        <v>1</v>
      </c>
      <c r="T204" s="26">
        <v>1</v>
      </c>
      <c r="U204" s="26">
        <v>1</v>
      </c>
      <c r="V204" s="26">
        <v>1</v>
      </c>
      <c r="W204" s="26">
        <v>1</v>
      </c>
      <c r="X204" s="26">
        <v>1</v>
      </c>
      <c r="Y204" s="26">
        <v>1</v>
      </c>
      <c r="Z204" s="26">
        <v>1</v>
      </c>
      <c r="AA204" s="26">
        <v>1</v>
      </c>
      <c r="AB204" s="26">
        <v>1</v>
      </c>
      <c r="AC204" s="26">
        <v>1</v>
      </c>
      <c r="AD204" s="26">
        <v>1</v>
      </c>
      <c r="AE204" s="26">
        <v>1</v>
      </c>
      <c r="AF204" s="26">
        <v>1</v>
      </c>
      <c r="AG204" s="26">
        <v>1</v>
      </c>
      <c r="AH204" s="26">
        <v>1</v>
      </c>
      <c r="AI204" s="26">
        <v>1</v>
      </c>
      <c r="AJ204" s="26">
        <v>1</v>
      </c>
      <c r="AK204" s="26">
        <v>1</v>
      </c>
      <c r="AL204" s="26">
        <v>1</v>
      </c>
      <c r="AM204" s="26">
        <v>1</v>
      </c>
      <c r="AN204" s="26">
        <v>1</v>
      </c>
      <c r="AO204" s="26">
        <v>1</v>
      </c>
      <c r="AP204" s="26">
        <v>1</v>
      </c>
      <c r="AQ204" s="26">
        <v>1</v>
      </c>
      <c r="AR204" s="26">
        <v>1</v>
      </c>
      <c r="AS204" s="26">
        <v>1</v>
      </c>
      <c r="AT204" s="26">
        <v>1</v>
      </c>
      <c r="AU204" s="26">
        <v>1</v>
      </c>
      <c r="AV204" s="26">
        <v>1</v>
      </c>
      <c r="AW204" s="26">
        <v>1</v>
      </c>
      <c r="AX204" s="26">
        <v>1</v>
      </c>
      <c r="AY204" s="26">
        <v>1</v>
      </c>
      <c r="AZ204" s="26">
        <v>1</v>
      </c>
      <c r="BA204" s="26">
        <v>1</v>
      </c>
      <c r="BB204" s="26">
        <v>1</v>
      </c>
      <c r="BC204" s="26">
        <v>1</v>
      </c>
      <c r="BD204" s="26">
        <v>1</v>
      </c>
      <c r="BE204" s="26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 t="s">
        <v>441</v>
      </c>
    </row>
    <row r="205" spans="1:63" x14ac:dyDescent="0.25">
      <c r="A205" s="26"/>
      <c r="B205" s="26" t="s">
        <v>233</v>
      </c>
      <c r="C205" s="26">
        <v>-4.0382999999999996</v>
      </c>
      <c r="D205" s="26">
        <v>21.758700000000001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0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1</v>
      </c>
      <c r="BC205" s="26">
        <v>1</v>
      </c>
      <c r="BD205" s="26">
        <v>2</v>
      </c>
      <c r="BE205" s="26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 t="s">
        <v>446</v>
      </c>
    </row>
    <row r="206" spans="1:63" x14ac:dyDescent="0.25">
      <c r="A206" s="26"/>
      <c r="B206" s="26" t="s">
        <v>234</v>
      </c>
      <c r="C206" s="26">
        <v>7.54</v>
      </c>
      <c r="D206" s="26">
        <v>-5.5471000000000004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1</v>
      </c>
      <c r="BE206" s="2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 t="s">
        <v>444</v>
      </c>
    </row>
    <row r="207" spans="1:63" x14ac:dyDescent="0.25">
      <c r="A207" s="26" t="s">
        <v>115</v>
      </c>
      <c r="B207" s="26" t="s">
        <v>42</v>
      </c>
      <c r="C207" s="26">
        <v>17.899999999999999</v>
      </c>
      <c r="D207" s="26">
        <v>-62.833300000000001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3</v>
      </c>
      <c r="AV207" s="26">
        <v>3</v>
      </c>
      <c r="AW207" s="26">
        <v>3</v>
      </c>
      <c r="AX207" s="26">
        <v>3</v>
      </c>
      <c r="AY207" s="26">
        <v>3</v>
      </c>
      <c r="AZ207" s="26">
        <v>1</v>
      </c>
      <c r="BA207" s="26">
        <v>1</v>
      </c>
      <c r="BB207" s="26">
        <v>1</v>
      </c>
      <c r="BC207" s="26">
        <v>1</v>
      </c>
      <c r="BD207" s="26">
        <v>1</v>
      </c>
      <c r="BE207" s="26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 t="s">
        <v>442</v>
      </c>
    </row>
    <row r="208" spans="1:63" x14ac:dyDescent="0.25">
      <c r="A208" s="26"/>
      <c r="B208" s="26" t="s">
        <v>235</v>
      </c>
      <c r="C208" s="26">
        <v>18.1096</v>
      </c>
      <c r="D208" s="26">
        <v>-77.297499999999999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1</v>
      </c>
      <c r="BC208" s="26">
        <v>2</v>
      </c>
      <c r="BD208" s="26">
        <v>8</v>
      </c>
      <c r="BE208" s="26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 t="s">
        <v>1452</v>
      </c>
    </row>
    <row r="209" spans="1:63" x14ac:dyDescent="0.25">
      <c r="A209" s="26"/>
      <c r="B209" s="26" t="s">
        <v>237</v>
      </c>
      <c r="C209" s="26">
        <v>38.963700000000003</v>
      </c>
      <c r="D209" s="26">
        <v>35.243299999999998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1</v>
      </c>
      <c r="BD209" s="26">
        <v>5</v>
      </c>
      <c r="BE209" s="26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 t="s">
        <v>1453</v>
      </c>
    </row>
    <row r="210" spans="1:63" x14ac:dyDescent="0.25">
      <c r="A210" s="26" t="s">
        <v>1454</v>
      </c>
      <c r="B210" s="26" t="s">
        <v>1038</v>
      </c>
      <c r="C210" s="26">
        <v>36.140799999999999</v>
      </c>
      <c r="D210" s="26">
        <v>-5.3536000000000001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0</v>
      </c>
      <c r="W210" s="26">
        <v>0</v>
      </c>
      <c r="X210" s="26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26">
        <v>0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0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1</v>
      </c>
      <c r="AV210" s="26">
        <v>1</v>
      </c>
      <c r="AW210" s="26">
        <v>1</v>
      </c>
      <c r="AX210" s="26">
        <v>1</v>
      </c>
      <c r="AY210" s="26">
        <v>1</v>
      </c>
      <c r="AZ210" s="26">
        <v>1</v>
      </c>
      <c r="BA210" s="26">
        <v>1</v>
      </c>
      <c r="BB210" s="26">
        <v>1</v>
      </c>
      <c r="BC210" s="26">
        <v>1</v>
      </c>
      <c r="BD210" s="26">
        <v>1</v>
      </c>
      <c r="BE210" s="26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 t="s">
        <v>454</v>
      </c>
    </row>
    <row r="211" spans="1:63" x14ac:dyDescent="0.25">
      <c r="A211" s="26" t="s">
        <v>247</v>
      </c>
      <c r="B211" s="26" t="s">
        <v>37</v>
      </c>
      <c r="C211" s="26">
        <v>47.6477</v>
      </c>
      <c r="D211" s="26">
        <v>-122.6413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 t="s">
        <v>445</v>
      </c>
    </row>
    <row r="212" spans="1:63" x14ac:dyDescent="0.25">
      <c r="A212" s="26" t="s">
        <v>248</v>
      </c>
      <c r="B212" s="26" t="s">
        <v>37</v>
      </c>
      <c r="C212" s="26">
        <v>38.310499999999998</v>
      </c>
      <c r="D212" s="26">
        <v>-121.90179999999999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0</v>
      </c>
      <c r="AW212" s="27">
        <v>0</v>
      </c>
      <c r="AX212" s="27">
        <v>0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>
        <v>0</v>
      </c>
      <c r="BH212">
        <v>0</v>
      </c>
      <c r="BI212">
        <v>0</v>
      </c>
      <c r="BJ212">
        <v>0</v>
      </c>
      <c r="BK212" t="s">
        <v>445</v>
      </c>
    </row>
    <row r="213" spans="1:63" x14ac:dyDescent="0.25">
      <c r="A213" s="26" t="s">
        <v>249</v>
      </c>
      <c r="B213" s="26" t="s">
        <v>37</v>
      </c>
      <c r="C213" s="26">
        <v>37.045400000000001</v>
      </c>
      <c r="D213" s="26">
        <v>-121.958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 t="s">
        <v>445</v>
      </c>
    </row>
    <row r="214" spans="1:63" x14ac:dyDescent="0.25">
      <c r="A214" s="26" t="s">
        <v>250</v>
      </c>
      <c r="B214" s="26" t="s">
        <v>37</v>
      </c>
      <c r="C214" s="26">
        <v>38.502499999999998</v>
      </c>
      <c r="D214" s="26">
        <v>-122.2654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 t="s">
        <v>445</v>
      </c>
    </row>
    <row r="215" spans="1:63" x14ac:dyDescent="0.25">
      <c r="A215" s="26" t="s">
        <v>251</v>
      </c>
      <c r="B215" s="26" t="s">
        <v>37</v>
      </c>
      <c r="C215" s="26">
        <v>34.3705</v>
      </c>
      <c r="D215" s="26">
        <v>-119.1391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 t="s">
        <v>445</v>
      </c>
    </row>
    <row r="216" spans="1:63" x14ac:dyDescent="0.25">
      <c r="A216" s="26" t="s">
        <v>252</v>
      </c>
      <c r="B216" s="26" t="s">
        <v>37</v>
      </c>
      <c r="C216" s="26">
        <v>42.409700000000001</v>
      </c>
      <c r="D216" s="26">
        <v>-71.857100000000003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 t="s">
        <v>445</v>
      </c>
    </row>
    <row r="217" spans="1:63" x14ac:dyDescent="0.25">
      <c r="A217" s="26" t="s">
        <v>253</v>
      </c>
      <c r="B217" s="26" t="s">
        <v>37</v>
      </c>
      <c r="C217" s="26">
        <v>33.9191</v>
      </c>
      <c r="D217" s="26">
        <v>-84.0167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 t="s">
        <v>445</v>
      </c>
    </row>
    <row r="218" spans="1:63" x14ac:dyDescent="0.25">
      <c r="A218" s="26" t="s">
        <v>254</v>
      </c>
      <c r="B218" s="26" t="s">
        <v>37</v>
      </c>
      <c r="C218" s="26">
        <v>33.7956</v>
      </c>
      <c r="D218" s="26">
        <v>-84.227900000000005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 t="s">
        <v>445</v>
      </c>
    </row>
    <row r="219" spans="1:63" x14ac:dyDescent="0.25">
      <c r="A219" s="26" t="s">
        <v>255</v>
      </c>
      <c r="B219" s="26" t="s">
        <v>37</v>
      </c>
      <c r="C219" s="26">
        <v>37.545499999999997</v>
      </c>
      <c r="D219" s="26">
        <v>-82.777900000000002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 t="s">
        <v>445</v>
      </c>
    </row>
    <row r="220" spans="1:63" x14ac:dyDescent="0.25">
      <c r="A220" s="26" t="s">
        <v>256</v>
      </c>
      <c r="B220" s="26" t="s">
        <v>37</v>
      </c>
      <c r="C220" s="26">
        <v>33.450200000000002</v>
      </c>
      <c r="D220" s="26">
        <v>-84.4803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 t="s">
        <v>445</v>
      </c>
    </row>
    <row r="221" spans="1:63" x14ac:dyDescent="0.25">
      <c r="A221" s="26" t="s">
        <v>257</v>
      </c>
      <c r="B221" s="26" t="s">
        <v>37</v>
      </c>
      <c r="C221" s="26">
        <v>32.4893</v>
      </c>
      <c r="D221" s="26">
        <v>-94.852099999999993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 t="s">
        <v>445</v>
      </c>
    </row>
    <row r="222" spans="1:63" x14ac:dyDescent="0.25">
      <c r="A222" s="26" t="s">
        <v>258</v>
      </c>
      <c r="B222" s="26" t="s">
        <v>37</v>
      </c>
      <c r="C222" s="26">
        <v>40.258899999999997</v>
      </c>
      <c r="D222" s="26">
        <v>-74.123999999999995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 t="s">
        <v>445</v>
      </c>
    </row>
    <row r="223" spans="1:63" x14ac:dyDescent="0.25">
      <c r="A223" s="26" t="s">
        <v>259</v>
      </c>
      <c r="B223" s="26" t="s">
        <v>37</v>
      </c>
      <c r="C223" s="26">
        <v>40.071199999999997</v>
      </c>
      <c r="D223" s="26">
        <v>-74.864900000000006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 t="s">
        <v>445</v>
      </c>
    </row>
    <row r="224" spans="1:63" x14ac:dyDescent="0.25">
      <c r="A224" s="26" t="s">
        <v>260</v>
      </c>
      <c r="B224" s="26" t="s">
        <v>37</v>
      </c>
      <c r="C224" s="26">
        <v>39.925899999999999</v>
      </c>
      <c r="D224" s="26">
        <v>-75.119600000000005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 t="s">
        <v>445</v>
      </c>
    </row>
    <row r="225" spans="1:63" x14ac:dyDescent="0.25">
      <c r="A225" s="26" t="s">
        <v>261</v>
      </c>
      <c r="B225" s="26" t="s">
        <v>37</v>
      </c>
      <c r="C225" s="26">
        <v>40.8568</v>
      </c>
      <c r="D225" s="26">
        <v>-74.128500000000003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 t="s">
        <v>445</v>
      </c>
    </row>
    <row r="226" spans="1:63" x14ac:dyDescent="0.25">
      <c r="A226" s="26" t="s">
        <v>262</v>
      </c>
      <c r="B226" s="26" t="s">
        <v>37</v>
      </c>
      <c r="C226" s="26">
        <v>40.697600000000001</v>
      </c>
      <c r="D226" s="26">
        <v>-74.263199999999998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 t="s">
        <v>445</v>
      </c>
    </row>
    <row r="227" spans="1:63" x14ac:dyDescent="0.25">
      <c r="A227" s="26" t="s">
        <v>263</v>
      </c>
      <c r="B227" s="26" t="s">
        <v>37</v>
      </c>
      <c r="C227" s="26">
        <v>39.655299999999997</v>
      </c>
      <c r="D227" s="26">
        <v>-106.8287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 t="s">
        <v>445</v>
      </c>
    </row>
    <row r="228" spans="1:63" x14ac:dyDescent="0.25">
      <c r="A228" s="26" t="s">
        <v>264</v>
      </c>
      <c r="B228" s="26" t="s">
        <v>37</v>
      </c>
      <c r="C228" s="26">
        <v>40.695599999999999</v>
      </c>
      <c r="D228" s="26">
        <v>-105.5943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 t="s">
        <v>445</v>
      </c>
    </row>
    <row r="229" spans="1:63" x14ac:dyDescent="0.25">
      <c r="A229" s="26" t="s">
        <v>265</v>
      </c>
      <c r="B229" s="26" t="s">
        <v>37</v>
      </c>
      <c r="C229" s="26">
        <v>39.6203</v>
      </c>
      <c r="D229" s="26">
        <v>-104.3326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 t="s">
        <v>445</v>
      </c>
    </row>
    <row r="230" spans="1:63" x14ac:dyDescent="0.25">
      <c r="A230" s="26" t="s">
        <v>266</v>
      </c>
      <c r="B230" s="26" t="s">
        <v>37</v>
      </c>
      <c r="C230" s="26">
        <v>38.5458</v>
      </c>
      <c r="D230" s="26">
        <v>-106.92529999999999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 t="s">
        <v>445</v>
      </c>
    </row>
    <row r="231" spans="1:63" x14ac:dyDescent="0.25">
      <c r="A231" s="26" t="s">
        <v>267</v>
      </c>
      <c r="B231" s="26" t="s">
        <v>37</v>
      </c>
      <c r="C231" s="26">
        <v>41.987900000000003</v>
      </c>
      <c r="D231" s="26">
        <v>-88.401600000000002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 t="s">
        <v>445</v>
      </c>
    </row>
    <row r="232" spans="1:63" x14ac:dyDescent="0.25">
      <c r="A232" s="26" t="s">
        <v>268</v>
      </c>
      <c r="B232" s="26" t="s">
        <v>37</v>
      </c>
      <c r="C232" s="26">
        <v>41.0458</v>
      </c>
      <c r="D232" s="26">
        <v>-75.247900000000001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 t="s">
        <v>445</v>
      </c>
    </row>
    <row r="233" spans="1:63" x14ac:dyDescent="0.25">
      <c r="A233" s="26" t="s">
        <v>269</v>
      </c>
      <c r="B233" s="26" t="s">
        <v>37</v>
      </c>
      <c r="C233" s="26">
        <v>39.952599999999997</v>
      </c>
      <c r="D233" s="26">
        <v>-75.165199999999999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 t="s">
        <v>445</v>
      </c>
    </row>
    <row r="234" spans="1:63" x14ac:dyDescent="0.25">
      <c r="A234" s="26" t="s">
        <v>270</v>
      </c>
      <c r="B234" s="26" t="s">
        <v>37</v>
      </c>
      <c r="C234" s="26">
        <v>36.8508</v>
      </c>
      <c r="D234" s="26">
        <v>-76.285899999999998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 t="s">
        <v>445</v>
      </c>
    </row>
    <row r="235" spans="1:63" x14ac:dyDescent="0.25">
      <c r="A235" s="26" t="s">
        <v>271</v>
      </c>
      <c r="B235" s="26" t="s">
        <v>37</v>
      </c>
      <c r="C235" s="26">
        <v>38.881599999999999</v>
      </c>
      <c r="D235" s="26">
        <v>-77.090999999999994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 t="s">
        <v>445</v>
      </c>
    </row>
    <row r="236" spans="1:63" x14ac:dyDescent="0.25">
      <c r="A236" s="26" t="s">
        <v>272</v>
      </c>
      <c r="B236" s="26" t="s">
        <v>37</v>
      </c>
      <c r="C236" s="26">
        <v>38.2042</v>
      </c>
      <c r="D236" s="26">
        <v>-77.607799999999997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 t="s">
        <v>445</v>
      </c>
    </row>
    <row r="237" spans="1:63" x14ac:dyDescent="0.25">
      <c r="A237" s="26" t="s">
        <v>273</v>
      </c>
      <c r="B237" s="26" t="s">
        <v>37</v>
      </c>
      <c r="C237" s="26">
        <v>39.076799999999999</v>
      </c>
      <c r="D237" s="26">
        <v>-77.653599999999997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 t="s">
        <v>445</v>
      </c>
    </row>
    <row r="238" spans="1:63" x14ac:dyDescent="0.25">
      <c r="A238" s="26" t="s">
        <v>274</v>
      </c>
      <c r="B238" s="26" t="s">
        <v>37</v>
      </c>
      <c r="C238" s="26">
        <v>38.7849</v>
      </c>
      <c r="D238" s="26">
        <v>-76.872100000000003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 t="s">
        <v>445</v>
      </c>
    </row>
    <row r="239" spans="1:63" x14ac:dyDescent="0.25">
      <c r="A239" s="26" t="s">
        <v>275</v>
      </c>
      <c r="B239" s="26" t="s">
        <v>37</v>
      </c>
      <c r="C239" s="26">
        <v>41.391199999999998</v>
      </c>
      <c r="D239" s="26">
        <v>-95.477800000000002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 t="s">
        <v>445</v>
      </c>
    </row>
    <row r="240" spans="1:63" x14ac:dyDescent="0.25">
      <c r="A240" s="26" t="s">
        <v>276</v>
      </c>
      <c r="B240" s="26" t="s">
        <v>37</v>
      </c>
      <c r="C240" s="26">
        <v>34.246499999999997</v>
      </c>
      <c r="D240" s="26">
        <v>-80.606999999999999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 t="s">
        <v>445</v>
      </c>
    </row>
    <row r="241" spans="1:63" x14ac:dyDescent="0.25">
      <c r="A241" s="26" t="s">
        <v>277</v>
      </c>
      <c r="B241" s="26" t="s">
        <v>37</v>
      </c>
      <c r="C241" s="26">
        <v>32.057499999999997</v>
      </c>
      <c r="D241" s="26">
        <v>-111.6661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 t="s">
        <v>445</v>
      </c>
    </row>
    <row r="242" spans="1:63" x14ac:dyDescent="0.25">
      <c r="A242" s="26" t="s">
        <v>278</v>
      </c>
      <c r="B242" s="26" t="s">
        <v>37</v>
      </c>
      <c r="C242" s="26">
        <v>41.427700000000002</v>
      </c>
      <c r="D242" s="26">
        <v>-85.355000000000004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 t="s">
        <v>445</v>
      </c>
    </row>
    <row r="243" spans="1:63" x14ac:dyDescent="0.25">
      <c r="A243" s="26" t="s">
        <v>279</v>
      </c>
      <c r="B243" s="26" t="s">
        <v>37</v>
      </c>
      <c r="C243" s="26">
        <v>39.852200000000003</v>
      </c>
      <c r="D243" s="26">
        <v>-77.286500000000004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 t="s">
        <v>445</v>
      </c>
    </row>
    <row r="244" spans="1:63" x14ac:dyDescent="0.25">
      <c r="A244" s="26" t="s">
        <v>280</v>
      </c>
      <c r="B244" s="26" t="s">
        <v>37</v>
      </c>
      <c r="C244" s="26">
        <v>40.010599999999997</v>
      </c>
      <c r="D244" s="26">
        <v>-86.499700000000004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 t="s">
        <v>445</v>
      </c>
    </row>
    <row r="245" spans="1:63" x14ac:dyDescent="0.25">
      <c r="A245" s="26" t="s">
        <v>281</v>
      </c>
      <c r="B245" s="26" t="s">
        <v>37</v>
      </c>
      <c r="C245" s="26">
        <v>43.018599999999999</v>
      </c>
      <c r="D245" s="26">
        <v>-89.549800000000005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 t="s">
        <v>445</v>
      </c>
    </row>
    <row r="246" spans="1:63" x14ac:dyDescent="0.25">
      <c r="A246" s="26" t="s">
        <v>282</v>
      </c>
      <c r="B246" s="26" t="s">
        <v>37</v>
      </c>
      <c r="C246" s="26">
        <v>44.750900000000001</v>
      </c>
      <c r="D246" s="26">
        <v>-92.381399999999999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 t="s">
        <v>445</v>
      </c>
    </row>
    <row r="247" spans="1:63" x14ac:dyDescent="0.25">
      <c r="A247" s="26" t="s">
        <v>283</v>
      </c>
      <c r="B247" s="26" t="s">
        <v>37</v>
      </c>
      <c r="C247" s="26">
        <v>41.433900000000001</v>
      </c>
      <c r="D247" s="26">
        <v>-81.675799999999995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 t="s">
        <v>445</v>
      </c>
    </row>
    <row r="248" spans="1:63" x14ac:dyDescent="0.25">
      <c r="A248" s="26" t="s">
        <v>284</v>
      </c>
      <c r="B248" s="26" t="s">
        <v>37</v>
      </c>
      <c r="C248" s="26">
        <v>41.260300000000001</v>
      </c>
      <c r="D248" s="26">
        <v>-111.9522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 t="s">
        <v>445</v>
      </c>
    </row>
    <row r="249" spans="1:63" x14ac:dyDescent="0.25">
      <c r="A249" s="26" t="s">
        <v>285</v>
      </c>
      <c r="B249" s="26" t="s">
        <v>37</v>
      </c>
      <c r="C249" s="26">
        <v>43.027900000000002</v>
      </c>
      <c r="D249" s="26">
        <v>-73.135000000000005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1</v>
      </c>
      <c r="AZ249" s="26">
        <v>1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 t="s">
        <v>445</v>
      </c>
    </row>
    <row r="250" spans="1:63" x14ac:dyDescent="0.25">
      <c r="A250" s="26" t="s">
        <v>286</v>
      </c>
      <c r="B250" s="26" t="s">
        <v>37</v>
      </c>
      <c r="C250" s="26">
        <v>44.825400000000002</v>
      </c>
      <c r="D250" s="26">
        <v>-93.784199999999998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1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 t="s">
        <v>445</v>
      </c>
    </row>
    <row r="251" spans="1:63" x14ac:dyDescent="0.25">
      <c r="A251" s="26" t="s">
        <v>287</v>
      </c>
      <c r="B251" s="26" t="s">
        <v>37</v>
      </c>
      <c r="C251" s="26">
        <v>26.894600000000001</v>
      </c>
      <c r="D251" s="26">
        <v>-81.909800000000004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 t="s">
        <v>445</v>
      </c>
    </row>
    <row r="252" spans="1:63" x14ac:dyDescent="0.25">
      <c r="A252" s="26" t="s">
        <v>288</v>
      </c>
      <c r="B252" s="26" t="s">
        <v>37</v>
      </c>
      <c r="C252" s="26">
        <v>34.2515</v>
      </c>
      <c r="D252" s="26">
        <v>-84.4803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 t="s">
        <v>445</v>
      </c>
    </row>
    <row r="253" spans="1:63" x14ac:dyDescent="0.25">
      <c r="A253" s="26" t="s">
        <v>289</v>
      </c>
      <c r="B253" s="26" t="s">
        <v>37</v>
      </c>
      <c r="C253" s="26">
        <v>33.179499999999997</v>
      </c>
      <c r="D253" s="26">
        <v>-96.492999999999995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 t="s">
        <v>445</v>
      </c>
    </row>
    <row r="254" spans="1:63" x14ac:dyDescent="0.25">
      <c r="A254" s="26" t="s">
        <v>290</v>
      </c>
      <c r="B254" s="26" t="s">
        <v>37</v>
      </c>
      <c r="C254" s="26">
        <v>38.193800000000003</v>
      </c>
      <c r="D254" s="26">
        <v>-85.643500000000003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 t="s">
        <v>445</v>
      </c>
    </row>
    <row r="255" spans="1:63" x14ac:dyDescent="0.25">
      <c r="A255" s="26" t="s">
        <v>291</v>
      </c>
      <c r="B255" s="26" t="s">
        <v>37</v>
      </c>
      <c r="C255" s="26">
        <v>29.649899999999999</v>
      </c>
      <c r="D255" s="26">
        <v>-90.112099999999998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 t="s">
        <v>445</v>
      </c>
    </row>
    <row r="256" spans="1:63" x14ac:dyDescent="0.25">
      <c r="A256" s="26" t="s">
        <v>292</v>
      </c>
      <c r="B256" s="26" t="s">
        <v>37</v>
      </c>
      <c r="C256" s="26">
        <v>40.790900000000001</v>
      </c>
      <c r="D256" s="26">
        <v>-121.84739999999999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 t="s">
        <v>445</v>
      </c>
    </row>
    <row r="257" spans="1:63" x14ac:dyDescent="0.25">
      <c r="A257" s="26" t="s">
        <v>293</v>
      </c>
      <c r="B257" s="26" t="s">
        <v>37</v>
      </c>
      <c r="C257" s="26">
        <v>34.860599999999998</v>
      </c>
      <c r="D257" s="26">
        <v>-81.953500000000005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 t="s">
        <v>445</v>
      </c>
    </row>
    <row r="258" spans="1:63" x14ac:dyDescent="0.25">
      <c r="A258" s="26" t="s">
        <v>294</v>
      </c>
      <c r="B258" s="26" t="s">
        <v>37</v>
      </c>
      <c r="C258" s="26">
        <v>38.433300000000003</v>
      </c>
      <c r="D258" s="26">
        <v>-84.354200000000006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2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 t="s">
        <v>445</v>
      </c>
    </row>
    <row r="259" spans="1:63" x14ac:dyDescent="0.25">
      <c r="A259" s="26" t="s">
        <v>295</v>
      </c>
      <c r="B259" s="26" t="s">
        <v>37</v>
      </c>
      <c r="C259" s="26">
        <v>41.669899999999998</v>
      </c>
      <c r="D259" s="26">
        <v>-91.598399999999998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3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 t="s">
        <v>445</v>
      </c>
    </row>
    <row r="260" spans="1:63" x14ac:dyDescent="0.25">
      <c r="A260" s="26" t="s">
        <v>296</v>
      </c>
      <c r="B260" s="26" t="s">
        <v>37</v>
      </c>
      <c r="C260" s="26">
        <v>42.311799999999998</v>
      </c>
      <c r="D260" s="26">
        <v>-73.182199999999995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1</v>
      </c>
      <c r="AZ260" s="26">
        <v>1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 t="s">
        <v>445</v>
      </c>
    </row>
    <row r="261" spans="1:63" x14ac:dyDescent="0.25">
      <c r="A261" s="26" t="s">
        <v>297</v>
      </c>
      <c r="B261" s="26" t="s">
        <v>37</v>
      </c>
      <c r="C261" s="26">
        <v>36.134300000000003</v>
      </c>
      <c r="D261" s="26">
        <v>-86.822000000000003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1</v>
      </c>
      <c r="AZ261" s="26">
        <v>1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 t="s">
        <v>445</v>
      </c>
    </row>
    <row r="262" spans="1:63" x14ac:dyDescent="0.25">
      <c r="A262" s="26" t="s">
        <v>298</v>
      </c>
      <c r="B262" s="26" t="s">
        <v>37</v>
      </c>
      <c r="C262" s="26">
        <v>43.126100000000001</v>
      </c>
      <c r="D262" s="26">
        <v>-123.2492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 t="s">
        <v>445</v>
      </c>
    </row>
    <row r="263" spans="1:63" x14ac:dyDescent="0.25">
      <c r="A263" s="26" t="s">
        <v>299</v>
      </c>
      <c r="B263" s="26" t="s">
        <v>37</v>
      </c>
      <c r="C263" s="26">
        <v>36.985900000000001</v>
      </c>
      <c r="D263" s="26">
        <v>-119.2321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 t="s">
        <v>445</v>
      </c>
    </row>
    <row r="264" spans="1:63" x14ac:dyDescent="0.25">
      <c r="A264" s="26" t="s">
        <v>300</v>
      </c>
      <c r="B264" s="26" t="s">
        <v>37</v>
      </c>
      <c r="C264" s="26">
        <v>39.5839</v>
      </c>
      <c r="D264" s="26">
        <v>-76.363699999999994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 t="s">
        <v>445</v>
      </c>
    </row>
    <row r="265" spans="1:63" x14ac:dyDescent="0.25">
      <c r="A265" s="26" t="s">
        <v>301</v>
      </c>
      <c r="B265" s="26" t="s">
        <v>37</v>
      </c>
      <c r="C265" s="26">
        <v>39.8065</v>
      </c>
      <c r="D265" s="26">
        <v>-86.540099999999995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2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 t="s">
        <v>445</v>
      </c>
    </row>
    <row r="266" spans="1:63" x14ac:dyDescent="0.25">
      <c r="A266" s="26" t="s">
        <v>302</v>
      </c>
      <c r="B266" s="26" t="s">
        <v>37</v>
      </c>
      <c r="C266" s="26">
        <v>40.7453</v>
      </c>
      <c r="D266" s="26">
        <v>-74.0535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 t="s">
        <v>445</v>
      </c>
    </row>
    <row r="267" spans="1:63" x14ac:dyDescent="0.25">
      <c r="A267" s="26" t="s">
        <v>303</v>
      </c>
      <c r="B267" s="26" t="s">
        <v>37</v>
      </c>
      <c r="C267" s="26">
        <v>38.845399999999998</v>
      </c>
      <c r="D267" s="26">
        <v>-94.852099999999993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1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 t="s">
        <v>445</v>
      </c>
    </row>
    <row r="268" spans="1:63" x14ac:dyDescent="0.25">
      <c r="A268" s="26" t="s">
        <v>304</v>
      </c>
      <c r="B268" s="26" t="s">
        <v>37</v>
      </c>
      <c r="C268" s="26">
        <v>47.174999999999997</v>
      </c>
      <c r="D268" s="26">
        <v>-120.9319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 t="s">
        <v>445</v>
      </c>
    </row>
    <row r="269" spans="1:63" x14ac:dyDescent="0.25">
      <c r="A269" s="26" t="s">
        <v>305</v>
      </c>
      <c r="B269" s="26" t="s">
        <v>37</v>
      </c>
      <c r="C269" s="26">
        <v>27.479900000000001</v>
      </c>
      <c r="D269" s="26">
        <v>-82.345200000000006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2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 t="s">
        <v>445</v>
      </c>
    </row>
    <row r="270" spans="1:63" x14ac:dyDescent="0.25">
      <c r="A270" s="26" t="s">
        <v>306</v>
      </c>
      <c r="B270" s="26" t="s">
        <v>37</v>
      </c>
      <c r="C270" s="26">
        <v>44.8446</v>
      </c>
      <c r="D270" s="26">
        <v>-122.59269999999999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 t="s">
        <v>445</v>
      </c>
    </row>
    <row r="271" spans="1:63" x14ac:dyDescent="0.25">
      <c r="A271" s="26" t="s">
        <v>307</v>
      </c>
      <c r="B271" s="26" t="s">
        <v>37</v>
      </c>
      <c r="C271" s="26">
        <v>30.577300000000001</v>
      </c>
      <c r="D271" s="26">
        <v>-86.661100000000005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 t="s">
        <v>445</v>
      </c>
    </row>
    <row r="272" spans="1:63" x14ac:dyDescent="0.25">
      <c r="A272" s="26" t="s">
        <v>308</v>
      </c>
      <c r="B272" s="26" t="s">
        <v>37</v>
      </c>
      <c r="C272" s="26">
        <v>34.013199999999998</v>
      </c>
      <c r="D272" s="26">
        <v>-85.147900000000007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1</v>
      </c>
      <c r="AX272" s="26">
        <v>1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 t="s">
        <v>445</v>
      </c>
    </row>
    <row r="273" spans="1:63" x14ac:dyDescent="0.25">
      <c r="A273" s="26" t="s">
        <v>309</v>
      </c>
      <c r="B273" s="26" t="s">
        <v>37</v>
      </c>
      <c r="C273" s="26">
        <v>33.953299999999999</v>
      </c>
      <c r="D273" s="26">
        <v>-117.3961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 t="s">
        <v>445</v>
      </c>
    </row>
    <row r="274" spans="1:63" x14ac:dyDescent="0.25">
      <c r="A274" s="26" t="s">
        <v>310</v>
      </c>
      <c r="B274" s="26" t="s">
        <v>37</v>
      </c>
      <c r="C274" s="26">
        <v>35.126899999999999</v>
      </c>
      <c r="D274" s="26">
        <v>-89.925299999999993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6">
        <v>0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 t="s">
        <v>445</v>
      </c>
    </row>
    <row r="275" spans="1:63" x14ac:dyDescent="0.25">
      <c r="A275" s="26" t="s">
        <v>311</v>
      </c>
      <c r="B275" s="26" t="s">
        <v>37</v>
      </c>
      <c r="C275" s="26">
        <v>38.610300000000002</v>
      </c>
      <c r="D275" s="26">
        <v>-90.412499999999994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 t="s">
        <v>445</v>
      </c>
    </row>
    <row r="276" spans="1:63" x14ac:dyDescent="0.25">
      <c r="A276" s="26" t="s">
        <v>312</v>
      </c>
      <c r="B276" s="26" t="s">
        <v>37</v>
      </c>
      <c r="C276" s="26">
        <v>40.984900000000003</v>
      </c>
      <c r="D276" s="26">
        <v>-72.615099999999998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 t="s">
        <v>445</v>
      </c>
    </row>
    <row r="277" spans="1:63" x14ac:dyDescent="0.25">
      <c r="A277" s="26" t="s">
        <v>313</v>
      </c>
      <c r="B277" s="26" t="s">
        <v>37</v>
      </c>
      <c r="C277" s="26">
        <v>41.858600000000003</v>
      </c>
      <c r="D277" s="26">
        <v>-74.311800000000005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 t="s">
        <v>445</v>
      </c>
    </row>
    <row r="278" spans="1:63" x14ac:dyDescent="0.25">
      <c r="A278" s="26" t="s">
        <v>314</v>
      </c>
      <c r="B278" s="26" t="s">
        <v>37</v>
      </c>
      <c r="C278" s="26">
        <v>29.027999999999999</v>
      </c>
      <c r="D278" s="26">
        <v>-81.075500000000005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 t="s">
        <v>445</v>
      </c>
    </row>
    <row r="279" spans="1:63" x14ac:dyDescent="0.25">
      <c r="A279" s="26" t="s">
        <v>315</v>
      </c>
      <c r="B279" s="26" t="s">
        <v>37</v>
      </c>
      <c r="C279" s="26">
        <v>38.908499999999997</v>
      </c>
      <c r="D279" s="26">
        <v>-77.240499999999997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2</v>
      </c>
      <c r="AZ279" s="26">
        <v>2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 t="s">
        <v>445</v>
      </c>
    </row>
    <row r="280" spans="1:63" x14ac:dyDescent="0.25">
      <c r="A280" s="26" t="s">
        <v>316</v>
      </c>
      <c r="B280" s="26" t="s">
        <v>37</v>
      </c>
      <c r="C280" s="26">
        <v>42.993099999999998</v>
      </c>
      <c r="D280" s="26">
        <v>-71.049800000000005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 t="s">
        <v>445</v>
      </c>
    </row>
    <row r="281" spans="1:63" x14ac:dyDescent="0.25">
      <c r="A281" s="26" t="s">
        <v>147</v>
      </c>
      <c r="B281" s="26" t="s">
        <v>317</v>
      </c>
      <c r="C281" s="26" t="s">
        <v>37</v>
      </c>
      <c r="D281" s="26">
        <v>38.907200000000003</v>
      </c>
      <c r="E281" s="26">
        <v>-77.036900000000003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0</v>
      </c>
      <c r="AZ281" s="26">
        <v>2</v>
      </c>
      <c r="BA281" s="26">
        <v>2</v>
      </c>
      <c r="BB281" s="26">
        <v>0</v>
      </c>
      <c r="BC281" s="26">
        <v>0</v>
      </c>
      <c r="BD281" s="26">
        <v>0</v>
      </c>
      <c r="BE281" s="26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25">
      <c r="A282" s="26" t="s">
        <v>318</v>
      </c>
      <c r="B282" s="26" t="s">
        <v>37</v>
      </c>
      <c r="C282" s="26">
        <v>40.228999999999999</v>
      </c>
      <c r="D282" s="26">
        <v>-75.387900000000002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4</v>
      </c>
      <c r="AZ282" s="26">
        <v>5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 t="s">
        <v>445</v>
      </c>
    </row>
    <row r="283" spans="1:63" x14ac:dyDescent="0.25">
      <c r="A283" s="26" t="s">
        <v>319</v>
      </c>
      <c r="B283" s="26" t="s">
        <v>37</v>
      </c>
      <c r="C283" s="26">
        <v>37.601700000000001</v>
      </c>
      <c r="D283" s="26">
        <v>-121.7195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1</v>
      </c>
      <c r="AV283" s="26">
        <v>1</v>
      </c>
      <c r="AW283" s="26">
        <v>1</v>
      </c>
      <c r="AX283" s="26">
        <v>2</v>
      </c>
      <c r="AY283" s="26">
        <v>2</v>
      </c>
      <c r="AZ283" s="26">
        <v>2</v>
      </c>
      <c r="BA283" s="26">
        <v>0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 t="s">
        <v>445</v>
      </c>
    </row>
    <row r="284" spans="1:63" x14ac:dyDescent="0.25">
      <c r="A284" s="26" t="s">
        <v>320</v>
      </c>
      <c r="B284" s="26" t="s">
        <v>37</v>
      </c>
      <c r="C284" s="26">
        <v>26.190100000000001</v>
      </c>
      <c r="D284" s="26">
        <v>-80.365899999999996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2</v>
      </c>
      <c r="AY284" s="26">
        <v>2</v>
      </c>
      <c r="AZ284" s="26">
        <v>3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 t="s">
        <v>445</v>
      </c>
    </row>
    <row r="285" spans="1:63" x14ac:dyDescent="0.25">
      <c r="A285" s="26" t="s">
        <v>321</v>
      </c>
      <c r="B285" s="26" t="s">
        <v>37</v>
      </c>
      <c r="C285" s="26">
        <v>26.663</v>
      </c>
      <c r="D285" s="26">
        <v>-81.953500000000005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>
        <v>0</v>
      </c>
      <c r="AW285" s="26">
        <v>0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 t="s">
        <v>445</v>
      </c>
    </row>
    <row r="286" spans="1:63" x14ac:dyDescent="0.25">
      <c r="A286" s="26" t="s">
        <v>322</v>
      </c>
      <c r="B286" s="26" t="s">
        <v>37</v>
      </c>
      <c r="C286" s="26">
        <v>32.816200000000002</v>
      </c>
      <c r="D286" s="26">
        <v>-111.28449999999999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2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 t="s">
        <v>445</v>
      </c>
    </row>
    <row r="287" spans="1:63" x14ac:dyDescent="0.25">
      <c r="A287" s="26" t="s">
        <v>323</v>
      </c>
      <c r="B287" s="26" t="s">
        <v>37</v>
      </c>
      <c r="C287" s="26">
        <v>41.148899999999998</v>
      </c>
      <c r="D287" s="26">
        <v>-73.983000000000004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4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 t="s">
        <v>445</v>
      </c>
    </row>
    <row r="288" spans="1:63" x14ac:dyDescent="0.25">
      <c r="A288" s="26" t="s">
        <v>324</v>
      </c>
      <c r="B288" s="26" t="s">
        <v>37</v>
      </c>
      <c r="C288" s="26">
        <v>43.032400000000003</v>
      </c>
      <c r="D288" s="26">
        <v>-73.936000000000007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 t="s">
        <v>445</v>
      </c>
    </row>
    <row r="289" spans="1:63" x14ac:dyDescent="0.25">
      <c r="A289" s="26" t="s">
        <v>325</v>
      </c>
      <c r="B289" s="26" t="s">
        <v>37</v>
      </c>
      <c r="C289" s="26">
        <v>32.795699999999997</v>
      </c>
      <c r="D289" s="26">
        <v>-79.784800000000004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1</v>
      </c>
      <c r="AY289" s="26">
        <v>1</v>
      </c>
      <c r="AZ289" s="26">
        <v>1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 t="s">
        <v>445</v>
      </c>
    </row>
    <row r="290" spans="1:63" x14ac:dyDescent="0.25">
      <c r="A290" s="26" t="s">
        <v>326</v>
      </c>
      <c r="B290" s="26" t="s">
        <v>37</v>
      </c>
      <c r="C290" s="26">
        <v>45.746600000000001</v>
      </c>
      <c r="D290" s="26">
        <v>-122.5194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1</v>
      </c>
      <c r="AY290" s="26">
        <v>1</v>
      </c>
      <c r="AZ290" s="26">
        <v>1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 t="s">
        <v>445</v>
      </c>
    </row>
    <row r="291" spans="1:63" x14ac:dyDescent="0.25">
      <c r="A291" s="26" t="s">
        <v>327</v>
      </c>
      <c r="B291" s="26" t="s">
        <v>37</v>
      </c>
      <c r="C291" s="26">
        <v>33.899900000000002</v>
      </c>
      <c r="D291" s="26">
        <v>-84.564099999999996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3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 t="s">
        <v>445</v>
      </c>
    </row>
    <row r="292" spans="1:63" x14ac:dyDescent="0.25">
      <c r="A292" s="26" t="s">
        <v>328</v>
      </c>
      <c r="B292" s="26" t="s">
        <v>37</v>
      </c>
      <c r="C292" s="26">
        <v>40.962899999999998</v>
      </c>
      <c r="D292" s="26">
        <v>-112.09529999999999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 t="s">
        <v>445</v>
      </c>
    </row>
    <row r="293" spans="1:63" x14ac:dyDescent="0.25">
      <c r="A293" s="26" t="s">
        <v>329</v>
      </c>
      <c r="B293" s="26" t="s">
        <v>37</v>
      </c>
      <c r="C293" s="26">
        <v>38.910800000000002</v>
      </c>
      <c r="D293" s="26">
        <v>-104.4723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1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 t="s">
        <v>445</v>
      </c>
    </row>
    <row r="294" spans="1:63" x14ac:dyDescent="0.25">
      <c r="A294" s="26" t="s">
        <v>330</v>
      </c>
      <c r="B294" s="26" t="s">
        <v>37</v>
      </c>
      <c r="C294" s="26">
        <v>21.306999999999999</v>
      </c>
      <c r="D294" s="26">
        <v>-157.85839999999999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 t="s">
        <v>445</v>
      </c>
    </row>
    <row r="295" spans="1:63" x14ac:dyDescent="0.25">
      <c r="A295" s="26" t="s">
        <v>331</v>
      </c>
      <c r="B295" s="26" t="s">
        <v>332</v>
      </c>
      <c r="C295" s="26" t="s">
        <v>37</v>
      </c>
      <c r="D295" s="26">
        <v>42.334499999999998</v>
      </c>
      <c r="E295" s="26">
        <v>-122.7647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0</v>
      </c>
      <c r="AY295" s="26">
        <v>1</v>
      </c>
      <c r="AZ295" s="26">
        <v>2</v>
      </c>
      <c r="BA295" s="26">
        <v>2</v>
      </c>
      <c r="BB295" s="26">
        <v>0</v>
      </c>
      <c r="BC295" s="26">
        <v>0</v>
      </c>
      <c r="BD295" s="26">
        <v>0</v>
      </c>
      <c r="BE295" s="26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5">
      <c r="A296" s="26" t="s">
        <v>333</v>
      </c>
      <c r="B296" s="26" t="s">
        <v>37</v>
      </c>
      <c r="C296" s="26">
        <v>47.7425</v>
      </c>
      <c r="D296" s="26">
        <v>-123.304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 t="s">
        <v>445</v>
      </c>
    </row>
    <row r="297" spans="1:63" x14ac:dyDescent="0.25">
      <c r="A297" s="26" t="s">
        <v>334</v>
      </c>
      <c r="B297" s="26" t="s">
        <v>37</v>
      </c>
      <c r="C297" s="26">
        <v>34.367199999999997</v>
      </c>
      <c r="D297" s="26">
        <v>-80.588300000000004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1</v>
      </c>
      <c r="AY297" s="26">
        <v>1</v>
      </c>
      <c r="AZ297" s="26">
        <v>1</v>
      </c>
      <c r="BA297" s="26">
        <v>0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 t="s">
        <v>445</v>
      </c>
    </row>
    <row r="298" spans="1:63" x14ac:dyDescent="0.25">
      <c r="A298" s="26" t="s">
        <v>335</v>
      </c>
      <c r="B298" s="26" t="s">
        <v>37</v>
      </c>
      <c r="C298" s="26">
        <v>42.695300000000003</v>
      </c>
      <c r="D298" s="26">
        <v>-121.6142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 t="s">
        <v>445</v>
      </c>
    </row>
    <row r="299" spans="1:63" x14ac:dyDescent="0.25">
      <c r="A299" s="26" t="s">
        <v>336</v>
      </c>
      <c r="B299" s="26" t="s">
        <v>37</v>
      </c>
      <c r="C299" s="26">
        <v>37.251899999999999</v>
      </c>
      <c r="D299" s="26">
        <v>-119.69629999999999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 t="s">
        <v>445</v>
      </c>
    </row>
    <row r="300" spans="1:63" x14ac:dyDescent="0.25">
      <c r="A300" s="26" t="s">
        <v>337</v>
      </c>
      <c r="B300" s="26" t="s">
        <v>37</v>
      </c>
      <c r="C300" s="26">
        <v>47.067599999999999</v>
      </c>
      <c r="D300" s="26">
        <v>-122.12949999999999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4</v>
      </c>
      <c r="AZ300" s="26">
        <v>4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 t="s">
        <v>445</v>
      </c>
    </row>
    <row r="301" spans="1:63" x14ac:dyDescent="0.25">
      <c r="A301" s="26" t="s">
        <v>338</v>
      </c>
      <c r="B301" s="26" t="s">
        <v>37</v>
      </c>
      <c r="C301" s="26">
        <v>36.159300000000002</v>
      </c>
      <c r="D301" s="26">
        <v>-95.941000000000003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 t="s">
        <v>445</v>
      </c>
    </row>
    <row r="302" spans="1:63" x14ac:dyDescent="0.25">
      <c r="A302" s="26" t="s">
        <v>339</v>
      </c>
      <c r="B302" s="26" t="s">
        <v>37</v>
      </c>
      <c r="C302" s="26">
        <v>39.258699999999997</v>
      </c>
      <c r="D302" s="26">
        <v>-104.9389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3</v>
      </c>
      <c r="AY302" s="26">
        <v>3</v>
      </c>
      <c r="AZ302" s="26">
        <v>3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 t="s">
        <v>445</v>
      </c>
    </row>
    <row r="303" spans="1:63" x14ac:dyDescent="0.25">
      <c r="A303" s="26" t="s">
        <v>340</v>
      </c>
      <c r="B303" s="26" t="s">
        <v>37</v>
      </c>
      <c r="C303" s="26">
        <v>41.888199999999998</v>
      </c>
      <c r="D303" s="26">
        <v>-71.477400000000003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1</v>
      </c>
      <c r="AS303" s="26">
        <v>2</v>
      </c>
      <c r="AT303" s="26">
        <v>2</v>
      </c>
      <c r="AU303" s="26">
        <v>2</v>
      </c>
      <c r="AV303" s="26">
        <v>2</v>
      </c>
      <c r="AW303" s="26">
        <v>2</v>
      </c>
      <c r="AX303" s="26">
        <v>3</v>
      </c>
      <c r="AY303" s="26">
        <v>3</v>
      </c>
      <c r="AZ303" s="26">
        <v>3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 t="s">
        <v>445</v>
      </c>
    </row>
    <row r="304" spans="1:63" x14ac:dyDescent="0.25">
      <c r="A304" s="26" t="s">
        <v>341</v>
      </c>
      <c r="B304" s="26" t="s">
        <v>37</v>
      </c>
      <c r="C304" s="26">
        <v>35.7211</v>
      </c>
      <c r="D304" s="26">
        <v>-79.178100000000001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1</v>
      </c>
      <c r="AX304" s="26">
        <v>1</v>
      </c>
      <c r="AY304" s="26">
        <v>1</v>
      </c>
      <c r="AZ304" s="26">
        <v>1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 t="s">
        <v>445</v>
      </c>
    </row>
    <row r="305" spans="1:63" x14ac:dyDescent="0.25">
      <c r="A305" s="26" t="s">
        <v>342</v>
      </c>
      <c r="B305" s="26" t="s">
        <v>37</v>
      </c>
      <c r="C305" s="26">
        <v>39.907800000000002</v>
      </c>
      <c r="D305" s="26">
        <v>-75.387900000000002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>
        <v>0</v>
      </c>
      <c r="AW305" s="26">
        <v>1</v>
      </c>
      <c r="AX305" s="26">
        <v>1</v>
      </c>
      <c r="AY305" s="26">
        <v>1</v>
      </c>
      <c r="AZ305" s="26">
        <v>1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 t="s">
        <v>445</v>
      </c>
    </row>
    <row r="306" spans="1:63" x14ac:dyDescent="0.25">
      <c r="A306" s="26" t="s">
        <v>343</v>
      </c>
      <c r="B306" s="26" t="s">
        <v>37</v>
      </c>
      <c r="C306" s="26">
        <v>41.314799999999998</v>
      </c>
      <c r="D306" s="26">
        <v>-96.195099999999996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3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 t="s">
        <v>445</v>
      </c>
    </row>
    <row r="307" spans="1:63" x14ac:dyDescent="0.25">
      <c r="A307" s="26" t="s">
        <v>344</v>
      </c>
      <c r="B307" s="26" t="s">
        <v>37</v>
      </c>
      <c r="C307" s="26">
        <v>38.060600000000001</v>
      </c>
      <c r="D307" s="26">
        <v>-84.4803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 t="s">
        <v>445</v>
      </c>
    </row>
    <row r="308" spans="1:63" x14ac:dyDescent="0.25">
      <c r="A308" s="26" t="s">
        <v>345</v>
      </c>
      <c r="B308" s="26" t="s">
        <v>37</v>
      </c>
      <c r="C308" s="26">
        <v>39.836199999999998</v>
      </c>
      <c r="D308" s="26">
        <v>-86.175200000000004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1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 t="s">
        <v>445</v>
      </c>
    </row>
    <row r="309" spans="1:63" x14ac:dyDescent="0.25">
      <c r="A309" s="26" t="s">
        <v>346</v>
      </c>
      <c r="B309" s="26" t="s">
        <v>37</v>
      </c>
      <c r="C309" s="26">
        <v>42.467199999999998</v>
      </c>
      <c r="D309" s="26">
        <v>-71.287400000000005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7</v>
      </c>
      <c r="AZ309" s="26">
        <v>7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 t="s">
        <v>445</v>
      </c>
    </row>
    <row r="310" spans="1:63" x14ac:dyDescent="0.25">
      <c r="A310" s="26" t="s">
        <v>347</v>
      </c>
      <c r="B310" s="26" t="s">
        <v>37</v>
      </c>
      <c r="C310" s="26">
        <v>40.654600000000002</v>
      </c>
      <c r="D310" s="26">
        <v>-73.559399999999997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1</v>
      </c>
      <c r="AW310" s="26">
        <v>1</v>
      </c>
      <c r="AX310" s="26">
        <v>4</v>
      </c>
      <c r="AY310" s="26">
        <v>5</v>
      </c>
      <c r="AZ310" s="26">
        <v>17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 t="s">
        <v>445</v>
      </c>
    </row>
    <row r="311" spans="1:63" x14ac:dyDescent="0.25">
      <c r="A311" s="26" t="s">
        <v>348</v>
      </c>
      <c r="B311" s="26" t="s">
        <v>37</v>
      </c>
      <c r="C311" s="26">
        <v>44.996400000000001</v>
      </c>
      <c r="D311" s="26">
        <v>-93.061599999999999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1</v>
      </c>
      <c r="AZ311" s="26">
        <v>1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 t="s">
        <v>445</v>
      </c>
    </row>
    <row r="312" spans="1:63" x14ac:dyDescent="0.25">
      <c r="A312" s="26" t="s">
        <v>349</v>
      </c>
      <c r="B312" s="26" t="s">
        <v>37</v>
      </c>
      <c r="C312" s="26">
        <v>40.5608</v>
      </c>
      <c r="D312" s="26">
        <v>-119.6035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0</v>
      </c>
      <c r="AW312" s="26">
        <v>1</v>
      </c>
      <c r="AX312" s="26">
        <v>1</v>
      </c>
      <c r="AY312" s="26">
        <v>2</v>
      </c>
      <c r="AZ312" s="26">
        <v>2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 t="s">
        <v>445</v>
      </c>
    </row>
    <row r="313" spans="1:63" x14ac:dyDescent="0.25">
      <c r="A313" s="26" t="s">
        <v>350</v>
      </c>
      <c r="B313" s="26" t="s">
        <v>37</v>
      </c>
      <c r="C313" s="26">
        <v>41.673900000000003</v>
      </c>
      <c r="D313" s="26">
        <v>-75.247900000000001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 t="s">
        <v>445</v>
      </c>
    </row>
    <row r="314" spans="1:63" x14ac:dyDescent="0.25">
      <c r="A314" s="26" t="s">
        <v>351</v>
      </c>
      <c r="B314" s="26" t="s">
        <v>37</v>
      </c>
      <c r="C314" s="26">
        <v>38.764600000000002</v>
      </c>
      <c r="D314" s="26">
        <v>-121.90179999999999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1</v>
      </c>
      <c r="AZ314" s="26">
        <v>1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 t="s">
        <v>445</v>
      </c>
    </row>
    <row r="315" spans="1:63" x14ac:dyDescent="0.25">
      <c r="A315" s="26" t="s">
        <v>352</v>
      </c>
      <c r="B315" s="26" t="s">
        <v>37</v>
      </c>
      <c r="C315" s="26">
        <v>37.354100000000003</v>
      </c>
      <c r="D315" s="26">
        <v>-121.9552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1</v>
      </c>
      <c r="O315" s="26">
        <v>1</v>
      </c>
      <c r="P315" s="26">
        <v>1</v>
      </c>
      <c r="Q315" s="26">
        <v>2</v>
      </c>
      <c r="R315" s="26">
        <v>2</v>
      </c>
      <c r="S315" s="26">
        <v>2</v>
      </c>
      <c r="T315" s="26">
        <v>2</v>
      </c>
      <c r="U315" s="26">
        <v>2</v>
      </c>
      <c r="V315" s="26">
        <v>2</v>
      </c>
      <c r="W315" s="26">
        <v>2</v>
      </c>
      <c r="X315" s="26">
        <v>2</v>
      </c>
      <c r="Y315" s="26">
        <v>2</v>
      </c>
      <c r="Z315" s="26">
        <v>2</v>
      </c>
      <c r="AA315" s="26">
        <v>2</v>
      </c>
      <c r="AB315" s="26">
        <v>2</v>
      </c>
      <c r="AC315" s="26">
        <v>2</v>
      </c>
      <c r="AD315" s="26">
        <v>2</v>
      </c>
      <c r="AE315" s="26">
        <v>2</v>
      </c>
      <c r="AF315" s="26">
        <v>2</v>
      </c>
      <c r="AG315" s="26">
        <v>2</v>
      </c>
      <c r="AH315" s="26">
        <v>2</v>
      </c>
      <c r="AI315" s="26">
        <v>2</v>
      </c>
      <c r="AJ315" s="26">
        <v>2</v>
      </c>
      <c r="AK315" s="26">
        <v>2</v>
      </c>
      <c r="AL315" s="26">
        <v>2</v>
      </c>
      <c r="AM315" s="26">
        <v>2</v>
      </c>
      <c r="AN315" s="26">
        <v>2</v>
      </c>
      <c r="AO315" s="26">
        <v>2</v>
      </c>
      <c r="AP315" s="26">
        <v>2</v>
      </c>
      <c r="AQ315" s="26">
        <v>3</v>
      </c>
      <c r="AR315" s="26">
        <v>3</v>
      </c>
      <c r="AS315" s="26">
        <v>9</v>
      </c>
      <c r="AT315" s="26">
        <v>11</v>
      </c>
      <c r="AU315" s="26">
        <v>11</v>
      </c>
      <c r="AV315" s="26">
        <v>20</v>
      </c>
      <c r="AW315" s="26">
        <v>20</v>
      </c>
      <c r="AX315" s="26">
        <v>32</v>
      </c>
      <c r="AY315" s="26">
        <v>38</v>
      </c>
      <c r="AZ315" s="26">
        <v>38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 t="s">
        <v>445</v>
      </c>
    </row>
    <row r="316" spans="1:63" x14ac:dyDescent="0.25">
      <c r="A316" s="26" t="s">
        <v>353</v>
      </c>
      <c r="B316" s="26" t="s">
        <v>37</v>
      </c>
      <c r="C316" s="26">
        <v>36.079599999999999</v>
      </c>
      <c r="D316" s="26">
        <v>-115.09399999999999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1</v>
      </c>
      <c r="AW316" s="26">
        <v>1</v>
      </c>
      <c r="AX316" s="26">
        <v>1</v>
      </c>
      <c r="AY316" s="26">
        <v>2</v>
      </c>
      <c r="AZ316" s="26">
        <v>2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 t="s">
        <v>445</v>
      </c>
    </row>
    <row r="317" spans="1:63" x14ac:dyDescent="0.25">
      <c r="A317" s="26" t="s">
        <v>354</v>
      </c>
      <c r="B317" s="26" t="s">
        <v>37</v>
      </c>
      <c r="C317" s="26">
        <v>29.569299999999998</v>
      </c>
      <c r="D317" s="26">
        <v>-95.814300000000003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26">
        <v>0</v>
      </c>
      <c r="AE317" s="26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26">
        <v>0</v>
      </c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>
        <v>1</v>
      </c>
      <c r="AW317" s="26">
        <v>1</v>
      </c>
      <c r="AX317" s="26">
        <v>3</v>
      </c>
      <c r="AY317" s="26">
        <v>6</v>
      </c>
      <c r="AZ317" s="26">
        <v>6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 t="s">
        <v>445</v>
      </c>
    </row>
    <row r="318" spans="1:63" x14ac:dyDescent="0.25">
      <c r="A318" s="26" t="s">
        <v>355</v>
      </c>
      <c r="B318" s="26" t="s">
        <v>37</v>
      </c>
      <c r="C318" s="26">
        <v>47.198099999999997</v>
      </c>
      <c r="D318" s="26">
        <v>-119.3732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1</v>
      </c>
      <c r="AZ318" s="26">
        <v>1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 t="s">
        <v>445</v>
      </c>
    </row>
    <row r="319" spans="1:63" x14ac:dyDescent="0.25">
      <c r="A319" s="26" t="s">
        <v>356</v>
      </c>
      <c r="B319" s="26" t="s">
        <v>37</v>
      </c>
      <c r="C319" s="26">
        <v>30.768999999999998</v>
      </c>
      <c r="D319" s="26">
        <v>-86.982399999999998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1</v>
      </c>
      <c r="AY319" s="26">
        <v>1</v>
      </c>
      <c r="AZ319" s="26">
        <v>1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 t="s">
        <v>445</v>
      </c>
    </row>
    <row r="320" spans="1:63" x14ac:dyDescent="0.25">
      <c r="A320" s="26" t="s">
        <v>357</v>
      </c>
      <c r="B320" s="26" t="s">
        <v>37</v>
      </c>
      <c r="C320" s="26">
        <v>35.917900000000003</v>
      </c>
      <c r="D320" s="26">
        <v>-86.862200000000001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 t="s">
        <v>445</v>
      </c>
    </row>
    <row r="321" spans="1:63" x14ac:dyDescent="0.25">
      <c r="A321" s="26" t="s">
        <v>358</v>
      </c>
      <c r="B321" s="26" t="s">
        <v>37</v>
      </c>
      <c r="C321" s="26">
        <v>40.712800000000001</v>
      </c>
      <c r="D321" s="26">
        <v>-74.006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1</v>
      </c>
      <c r="AT321" s="26">
        <v>1</v>
      </c>
      <c r="AU321" s="26">
        <v>1</v>
      </c>
      <c r="AV321" s="26">
        <v>4</v>
      </c>
      <c r="AW321" s="26">
        <v>11</v>
      </c>
      <c r="AX321" s="26">
        <v>11</v>
      </c>
      <c r="AY321" s="26">
        <v>12</v>
      </c>
      <c r="AZ321" s="26">
        <v>19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 t="s">
        <v>445</v>
      </c>
    </row>
    <row r="322" spans="1:63" x14ac:dyDescent="0.25">
      <c r="A322" s="26" t="s">
        <v>359</v>
      </c>
      <c r="B322" s="26" t="s">
        <v>37</v>
      </c>
      <c r="C322" s="26">
        <v>39.154699999999998</v>
      </c>
      <c r="D322" s="26">
        <v>-77.240499999999997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0</v>
      </c>
      <c r="AW322" s="26">
        <v>3</v>
      </c>
      <c r="AX322" s="26">
        <v>3</v>
      </c>
      <c r="AY322" s="26">
        <v>4</v>
      </c>
      <c r="AZ322" s="26">
        <v>4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 t="s">
        <v>445</v>
      </c>
    </row>
    <row r="323" spans="1:63" x14ac:dyDescent="0.25">
      <c r="A323" s="26" t="s">
        <v>360</v>
      </c>
      <c r="B323" s="26" t="s">
        <v>37</v>
      </c>
      <c r="C323" s="26">
        <v>42.360100000000003</v>
      </c>
      <c r="D323" s="26">
        <v>-71.058899999999994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1</v>
      </c>
      <c r="P323" s="26">
        <v>1</v>
      </c>
      <c r="Q323" s="26">
        <v>1</v>
      </c>
      <c r="R323" s="26">
        <v>1</v>
      </c>
      <c r="S323" s="26">
        <v>1</v>
      </c>
      <c r="T323" s="26">
        <v>1</v>
      </c>
      <c r="U323" s="26">
        <v>1</v>
      </c>
      <c r="V323" s="26">
        <v>1</v>
      </c>
      <c r="W323" s="26">
        <v>1</v>
      </c>
      <c r="X323" s="26">
        <v>1</v>
      </c>
      <c r="Y323" s="26">
        <v>1</v>
      </c>
      <c r="Z323" s="26">
        <v>1</v>
      </c>
      <c r="AA323" s="26">
        <v>1</v>
      </c>
      <c r="AB323" s="26">
        <v>1</v>
      </c>
      <c r="AC323" s="26">
        <v>1</v>
      </c>
      <c r="AD323" s="26">
        <v>1</v>
      </c>
      <c r="AE323" s="26">
        <v>1</v>
      </c>
      <c r="AF323" s="26">
        <v>1</v>
      </c>
      <c r="AG323" s="26">
        <v>1</v>
      </c>
      <c r="AH323" s="26">
        <v>1</v>
      </c>
      <c r="AI323" s="26">
        <v>1</v>
      </c>
      <c r="AJ323" s="26">
        <v>1</v>
      </c>
      <c r="AK323" s="26">
        <v>1</v>
      </c>
      <c r="AL323" s="26">
        <v>1</v>
      </c>
      <c r="AM323" s="26">
        <v>1</v>
      </c>
      <c r="AN323" s="26">
        <v>1</v>
      </c>
      <c r="AO323" s="26">
        <v>1</v>
      </c>
      <c r="AP323" s="26">
        <v>1</v>
      </c>
      <c r="AQ323" s="26">
        <v>1</v>
      </c>
      <c r="AR323" s="26">
        <v>1</v>
      </c>
      <c r="AS323" s="26">
        <v>1</v>
      </c>
      <c r="AT323" s="26">
        <v>1</v>
      </c>
      <c r="AU323" s="26">
        <v>1</v>
      </c>
      <c r="AV323" s="26">
        <v>1</v>
      </c>
      <c r="AW323" s="26">
        <v>3</v>
      </c>
      <c r="AX323" s="26">
        <v>3</v>
      </c>
      <c r="AY323" s="26">
        <v>8</v>
      </c>
      <c r="AZ323" s="26">
        <v>8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 t="s">
        <v>445</v>
      </c>
    </row>
    <row r="324" spans="1:63" x14ac:dyDescent="0.25">
      <c r="A324" s="26" t="s">
        <v>361</v>
      </c>
      <c r="B324" s="26" t="s">
        <v>37</v>
      </c>
      <c r="C324" s="26">
        <v>39.739199999999997</v>
      </c>
      <c r="D324" s="26">
        <v>-104.9903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2</v>
      </c>
      <c r="AX324" s="26">
        <v>2</v>
      </c>
      <c r="AY324" s="26">
        <v>2</v>
      </c>
      <c r="AZ324" s="26">
        <v>2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 t="s">
        <v>445</v>
      </c>
    </row>
    <row r="325" spans="1:63" x14ac:dyDescent="0.25">
      <c r="A325" s="26" t="s">
        <v>362</v>
      </c>
      <c r="B325" s="26" t="s">
        <v>37</v>
      </c>
      <c r="C325" s="26">
        <v>39.591200000000001</v>
      </c>
      <c r="D325" s="26">
        <v>-106.06399999999999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>
        <v>0</v>
      </c>
      <c r="AW325" s="26">
        <v>1</v>
      </c>
      <c r="AX325" s="26">
        <v>1</v>
      </c>
      <c r="AY325" s="26">
        <v>1</v>
      </c>
      <c r="AZ325" s="26">
        <v>1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 t="s">
        <v>445</v>
      </c>
    </row>
    <row r="326" spans="1:63" x14ac:dyDescent="0.25">
      <c r="A326" s="26" t="s">
        <v>363</v>
      </c>
      <c r="B326" s="26" t="s">
        <v>37</v>
      </c>
      <c r="C326" s="26">
        <v>40.926299999999998</v>
      </c>
      <c r="D326" s="26">
        <v>-74.076999999999998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2</v>
      </c>
      <c r="AW326" s="26">
        <v>2</v>
      </c>
      <c r="AX326" s="26">
        <v>4</v>
      </c>
      <c r="AY326" s="26">
        <v>4</v>
      </c>
      <c r="AZ326" s="26">
        <v>4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 t="s">
        <v>445</v>
      </c>
    </row>
    <row r="327" spans="1:63" x14ac:dyDescent="0.25">
      <c r="A327" s="26" t="s">
        <v>364</v>
      </c>
      <c r="B327" s="26" t="s">
        <v>37</v>
      </c>
      <c r="C327" s="26">
        <v>29.775200000000002</v>
      </c>
      <c r="D327" s="26">
        <v>-95.310299999999998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2</v>
      </c>
      <c r="AW327" s="26">
        <v>3</v>
      </c>
      <c r="AX327" s="26">
        <v>5</v>
      </c>
      <c r="AY327" s="26">
        <v>5</v>
      </c>
      <c r="AZ327" s="26">
        <v>6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 t="s">
        <v>445</v>
      </c>
    </row>
    <row r="328" spans="1:63" x14ac:dyDescent="0.25">
      <c r="A328" s="26" t="s">
        <v>365</v>
      </c>
      <c r="B328" s="26" t="s">
        <v>37</v>
      </c>
      <c r="C328" s="26">
        <v>37.774900000000002</v>
      </c>
      <c r="D328" s="26">
        <v>-122.4194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9</v>
      </c>
      <c r="AY328" s="26">
        <v>9</v>
      </c>
      <c r="AZ328" s="26">
        <v>9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 t="s">
        <v>445</v>
      </c>
    </row>
    <row r="329" spans="1:63" x14ac:dyDescent="0.25">
      <c r="A329" s="26" t="s">
        <v>366</v>
      </c>
      <c r="B329" s="26" t="s">
        <v>37</v>
      </c>
      <c r="C329" s="26">
        <v>37.853400000000001</v>
      </c>
      <c r="D329" s="26">
        <v>-121.90179999999999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1</v>
      </c>
      <c r="AV329" s="26">
        <v>1</v>
      </c>
      <c r="AW329" s="26">
        <v>3</v>
      </c>
      <c r="AX329" s="26">
        <v>3</v>
      </c>
      <c r="AY329" s="26">
        <v>9</v>
      </c>
      <c r="AZ329" s="26">
        <v>9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 t="s">
        <v>445</v>
      </c>
    </row>
    <row r="330" spans="1:63" x14ac:dyDescent="0.25">
      <c r="A330" s="26" t="s">
        <v>367</v>
      </c>
      <c r="B330" s="26" t="s">
        <v>37</v>
      </c>
      <c r="C330" s="26">
        <v>33.7879</v>
      </c>
      <c r="D330" s="26">
        <v>-117.8531</v>
      </c>
      <c r="E330" s="26">
        <v>0</v>
      </c>
      <c r="F330" s="26">
        <v>0</v>
      </c>
      <c r="G330" s="26">
        <v>0</v>
      </c>
      <c r="H330" s="26">
        <v>0</v>
      </c>
      <c r="I330" s="26">
        <v>1</v>
      </c>
      <c r="J330" s="26">
        <v>1</v>
      </c>
      <c r="K330" s="26">
        <v>1</v>
      </c>
      <c r="L330" s="26">
        <v>1</v>
      </c>
      <c r="M330" s="26">
        <v>1</v>
      </c>
      <c r="N330" s="26">
        <v>1</v>
      </c>
      <c r="O330" s="26">
        <v>1</v>
      </c>
      <c r="P330" s="26">
        <v>1</v>
      </c>
      <c r="Q330" s="26">
        <v>1</v>
      </c>
      <c r="R330" s="26">
        <v>1</v>
      </c>
      <c r="S330" s="26">
        <v>1</v>
      </c>
      <c r="T330" s="26">
        <v>1</v>
      </c>
      <c r="U330" s="26">
        <v>1</v>
      </c>
      <c r="V330" s="26">
        <v>1</v>
      </c>
      <c r="W330" s="26">
        <v>1</v>
      </c>
      <c r="X330" s="26">
        <v>1</v>
      </c>
      <c r="Y330" s="26">
        <v>1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1</v>
      </c>
      <c r="AG330" s="26">
        <v>1</v>
      </c>
      <c r="AH330" s="26">
        <v>1</v>
      </c>
      <c r="AI330" s="26">
        <v>1</v>
      </c>
      <c r="AJ330" s="26">
        <v>1</v>
      </c>
      <c r="AK330" s="26">
        <v>1</v>
      </c>
      <c r="AL330" s="26">
        <v>1</v>
      </c>
      <c r="AM330" s="26">
        <v>1</v>
      </c>
      <c r="AN330" s="26">
        <v>1</v>
      </c>
      <c r="AO330" s="26">
        <v>1</v>
      </c>
      <c r="AP330" s="26">
        <v>1</v>
      </c>
      <c r="AQ330" s="26">
        <v>1</v>
      </c>
      <c r="AR330" s="26">
        <v>1</v>
      </c>
      <c r="AS330" s="26">
        <v>1</v>
      </c>
      <c r="AT330" s="26">
        <v>1</v>
      </c>
      <c r="AU330" s="26">
        <v>3</v>
      </c>
      <c r="AV330" s="26">
        <v>3</v>
      </c>
      <c r="AW330" s="26">
        <v>3</v>
      </c>
      <c r="AX330" s="26">
        <v>3</v>
      </c>
      <c r="AY330" s="26">
        <v>3</v>
      </c>
      <c r="AZ330" s="26">
        <v>4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 t="s">
        <v>445</v>
      </c>
    </row>
    <row r="331" spans="1:63" x14ac:dyDescent="0.25">
      <c r="A331" s="26" t="s">
        <v>368</v>
      </c>
      <c r="B331" s="26" t="s">
        <v>37</v>
      </c>
      <c r="C331" s="26">
        <v>42.176699999999997</v>
      </c>
      <c r="D331" s="26">
        <v>-71.144900000000007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1</v>
      </c>
      <c r="AV331" s="26">
        <v>1</v>
      </c>
      <c r="AW331" s="26">
        <v>2</v>
      </c>
      <c r="AX331" s="26">
        <v>2</v>
      </c>
      <c r="AY331" s="26">
        <v>6</v>
      </c>
      <c r="AZ331" s="26">
        <v>6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 t="s">
        <v>445</v>
      </c>
    </row>
    <row r="332" spans="1:63" x14ac:dyDescent="0.25">
      <c r="A332" s="26" t="s">
        <v>369</v>
      </c>
      <c r="B332" s="26" t="s">
        <v>37</v>
      </c>
      <c r="C332" s="26">
        <v>33.291800000000002</v>
      </c>
      <c r="D332" s="26">
        <v>-112.42910000000001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1</v>
      </c>
      <c r="AV332" s="26">
        <v>1</v>
      </c>
      <c r="AW332" s="26">
        <v>2</v>
      </c>
      <c r="AX332" s="26">
        <v>2</v>
      </c>
      <c r="AY332" s="26">
        <v>2</v>
      </c>
      <c r="AZ332" s="26">
        <v>2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 t="s">
        <v>445</v>
      </c>
    </row>
    <row r="333" spans="1:63" x14ac:dyDescent="0.25">
      <c r="A333" s="26" t="s">
        <v>370</v>
      </c>
      <c r="B333" s="26" t="s">
        <v>37</v>
      </c>
      <c r="C333" s="26">
        <v>35.803199999999997</v>
      </c>
      <c r="D333" s="26">
        <v>-78.566100000000006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1</v>
      </c>
      <c r="AX333" s="26">
        <v>1</v>
      </c>
      <c r="AY333" s="26">
        <v>1</v>
      </c>
      <c r="AZ333" s="26">
        <v>1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 t="s">
        <v>445</v>
      </c>
    </row>
    <row r="334" spans="1:63" x14ac:dyDescent="0.25">
      <c r="A334" s="26" t="s">
        <v>371</v>
      </c>
      <c r="B334" s="26" t="s">
        <v>37</v>
      </c>
      <c r="C334" s="26">
        <v>41.122</v>
      </c>
      <c r="D334" s="26">
        <v>-73.794899999999998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26">
        <v>0</v>
      </c>
      <c r="AP334" s="26">
        <v>0</v>
      </c>
      <c r="AQ334" s="26">
        <v>0</v>
      </c>
      <c r="AR334" s="26">
        <v>0</v>
      </c>
      <c r="AS334" s="26">
        <v>0</v>
      </c>
      <c r="AT334" s="26">
        <v>1</v>
      </c>
      <c r="AU334" s="26">
        <v>10</v>
      </c>
      <c r="AV334" s="26">
        <v>18</v>
      </c>
      <c r="AW334" s="26">
        <v>19</v>
      </c>
      <c r="AX334" s="26">
        <v>57</v>
      </c>
      <c r="AY334" s="26">
        <v>83</v>
      </c>
      <c r="AZ334" s="26">
        <v>98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 t="s">
        <v>445</v>
      </c>
    </row>
    <row r="335" spans="1:63" x14ac:dyDescent="0.25">
      <c r="A335" s="26" t="s">
        <v>372</v>
      </c>
      <c r="B335" s="26" t="s">
        <v>37</v>
      </c>
      <c r="C335" s="26">
        <v>43.908799999999999</v>
      </c>
      <c r="D335" s="26">
        <v>-71.825999999999993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1</v>
      </c>
      <c r="AT335" s="26">
        <v>2</v>
      </c>
      <c r="AU335" s="26">
        <v>2</v>
      </c>
      <c r="AV335" s="26">
        <v>2</v>
      </c>
      <c r="AW335" s="26">
        <v>2</v>
      </c>
      <c r="AX335" s="26">
        <v>2</v>
      </c>
      <c r="AY335" s="26">
        <v>3</v>
      </c>
      <c r="AZ335" s="26">
        <v>3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 t="s">
        <v>445</v>
      </c>
    </row>
    <row r="336" spans="1:63" x14ac:dyDescent="0.25">
      <c r="A336" s="26" t="s">
        <v>373</v>
      </c>
      <c r="B336" s="26" t="s">
        <v>37</v>
      </c>
      <c r="C336" s="26">
        <v>27.990400000000001</v>
      </c>
      <c r="D336" s="26">
        <v>-82.3018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1</v>
      </c>
      <c r="AT336" s="26">
        <v>2</v>
      </c>
      <c r="AU336" s="26">
        <v>2</v>
      </c>
      <c r="AV336" s="26">
        <v>2</v>
      </c>
      <c r="AW336" s="26">
        <v>2</v>
      </c>
      <c r="AX336" s="26">
        <v>2</v>
      </c>
      <c r="AY336" s="26">
        <v>2</v>
      </c>
      <c r="AZ336" s="26">
        <v>2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 t="s">
        <v>445</v>
      </c>
    </row>
    <row r="337" spans="1:63" x14ac:dyDescent="0.25">
      <c r="A337" s="26" t="s">
        <v>374</v>
      </c>
      <c r="B337" s="26" t="s">
        <v>37</v>
      </c>
      <c r="C337" s="26">
        <v>39.0916</v>
      </c>
      <c r="D337" s="26">
        <v>-120.8039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1</v>
      </c>
      <c r="AU337" s="26">
        <v>2</v>
      </c>
      <c r="AV337" s="26">
        <v>2</v>
      </c>
      <c r="AW337" s="26">
        <v>5</v>
      </c>
      <c r="AX337" s="26">
        <v>5</v>
      </c>
      <c r="AY337" s="26">
        <v>5</v>
      </c>
      <c r="AZ337" s="26">
        <v>7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 t="s">
        <v>445</v>
      </c>
    </row>
    <row r="338" spans="1:63" x14ac:dyDescent="0.25">
      <c r="A338" s="26" t="s">
        <v>375</v>
      </c>
      <c r="B338" s="26" t="s">
        <v>37</v>
      </c>
      <c r="C338" s="26">
        <v>37.563000000000002</v>
      </c>
      <c r="D338" s="26">
        <v>-122.32550000000001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 t="s">
        <v>445</v>
      </c>
    </row>
    <row r="339" spans="1:63" x14ac:dyDescent="0.25">
      <c r="A339" s="26" t="s">
        <v>376</v>
      </c>
      <c r="B339" s="26" t="s">
        <v>37</v>
      </c>
      <c r="C339" s="26">
        <v>38.578000000000003</v>
      </c>
      <c r="D339" s="26">
        <v>-122.9888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1</v>
      </c>
      <c r="AV339" s="26">
        <v>1</v>
      </c>
      <c r="AW339" s="26">
        <v>1</v>
      </c>
      <c r="AX339" s="26">
        <v>1</v>
      </c>
      <c r="AY339" s="26">
        <v>1</v>
      </c>
      <c r="AZ339" s="26">
        <v>3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 t="s">
        <v>445</v>
      </c>
    </row>
    <row r="340" spans="1:63" x14ac:dyDescent="0.25">
      <c r="A340" s="26" t="s">
        <v>377</v>
      </c>
      <c r="B340" s="26" t="s">
        <v>37</v>
      </c>
      <c r="C340" s="26">
        <v>45.774999999999999</v>
      </c>
      <c r="D340" s="26">
        <v>-118.7606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1</v>
      </c>
      <c r="AU340" s="26">
        <v>1</v>
      </c>
      <c r="AV340" s="26">
        <v>1</v>
      </c>
      <c r="AW340" s="26">
        <v>1</v>
      </c>
      <c r="AX340" s="26">
        <v>1</v>
      </c>
      <c r="AY340" s="26">
        <v>1</v>
      </c>
      <c r="AZ340" s="26">
        <v>1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 t="s">
        <v>445</v>
      </c>
    </row>
    <row r="341" spans="1:63" x14ac:dyDescent="0.25">
      <c r="A341" s="26" t="s">
        <v>378</v>
      </c>
      <c r="B341" s="26" t="s">
        <v>37</v>
      </c>
      <c r="C341" s="26">
        <v>33.803400000000003</v>
      </c>
      <c r="D341" s="26">
        <v>-84.396299999999997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0</v>
      </c>
      <c r="AT341" s="26">
        <v>2</v>
      </c>
      <c r="AU341" s="26">
        <v>2</v>
      </c>
      <c r="AV341" s="26">
        <v>2</v>
      </c>
      <c r="AW341" s="26">
        <v>2</v>
      </c>
      <c r="AX341" s="26">
        <v>3</v>
      </c>
      <c r="AY341" s="26">
        <v>3</v>
      </c>
      <c r="AZ341" s="26">
        <v>5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 t="s">
        <v>445</v>
      </c>
    </row>
    <row r="342" spans="1:63" x14ac:dyDescent="0.25">
      <c r="A342" s="26" t="s">
        <v>379</v>
      </c>
      <c r="B342" s="26" t="s">
        <v>37</v>
      </c>
      <c r="C342" s="26">
        <v>45.546999999999997</v>
      </c>
      <c r="D342" s="26">
        <v>-123.1386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1</v>
      </c>
      <c r="AR342" s="26">
        <v>1</v>
      </c>
      <c r="AS342" s="26">
        <v>2</v>
      </c>
      <c r="AT342" s="26">
        <v>2</v>
      </c>
      <c r="AU342" s="26">
        <v>2</v>
      </c>
      <c r="AV342" s="26">
        <v>2</v>
      </c>
      <c r="AW342" s="26">
        <v>2</v>
      </c>
      <c r="AX342" s="26">
        <v>3</v>
      </c>
      <c r="AY342" s="26">
        <v>8</v>
      </c>
      <c r="AZ342" s="26">
        <v>8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 t="s">
        <v>445</v>
      </c>
    </row>
    <row r="343" spans="1:63" x14ac:dyDescent="0.25">
      <c r="A343" s="26" t="s">
        <v>380</v>
      </c>
      <c r="B343" s="26" t="s">
        <v>37</v>
      </c>
      <c r="C343" s="26">
        <v>48.033000000000001</v>
      </c>
      <c r="D343" s="26">
        <v>-121.8339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1</v>
      </c>
      <c r="AR343" s="26">
        <v>2</v>
      </c>
      <c r="AS343" s="26">
        <v>4</v>
      </c>
      <c r="AT343" s="26">
        <v>6</v>
      </c>
      <c r="AU343" s="26">
        <v>8</v>
      </c>
      <c r="AV343" s="26">
        <v>18</v>
      </c>
      <c r="AW343" s="26">
        <v>19</v>
      </c>
      <c r="AX343" s="26">
        <v>27</v>
      </c>
      <c r="AY343" s="26">
        <v>31</v>
      </c>
      <c r="AZ343" s="26">
        <v>31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 t="s">
        <v>445</v>
      </c>
    </row>
    <row r="344" spans="1:63" x14ac:dyDescent="0.25">
      <c r="A344" s="26" t="s">
        <v>381</v>
      </c>
      <c r="B344" s="26" t="s">
        <v>37</v>
      </c>
      <c r="C344" s="26">
        <v>40.744999999999997</v>
      </c>
      <c r="D344" s="26">
        <v>-123.8695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1</v>
      </c>
      <c r="AJ344" s="26">
        <v>1</v>
      </c>
      <c r="AK344" s="26">
        <v>1</v>
      </c>
      <c r="AL344" s="26">
        <v>1</v>
      </c>
      <c r="AM344" s="26">
        <v>1</v>
      </c>
      <c r="AN344" s="26">
        <v>1</v>
      </c>
      <c r="AO344" s="26">
        <v>1</v>
      </c>
      <c r="AP344" s="26">
        <v>1</v>
      </c>
      <c r="AQ344" s="26">
        <v>1</v>
      </c>
      <c r="AR344" s="26">
        <v>1</v>
      </c>
      <c r="AS344" s="26">
        <v>1</v>
      </c>
      <c r="AT344" s="26">
        <v>1</v>
      </c>
      <c r="AU344" s="26">
        <v>1</v>
      </c>
      <c r="AV344" s="26">
        <v>1</v>
      </c>
      <c r="AW344" s="26">
        <v>1</v>
      </c>
      <c r="AX344" s="26">
        <v>1</v>
      </c>
      <c r="AY344" s="26">
        <v>1</v>
      </c>
      <c r="AZ344" s="26">
        <v>1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 t="s">
        <v>445</v>
      </c>
    </row>
    <row r="345" spans="1:63" x14ac:dyDescent="0.25">
      <c r="A345" s="26" t="s">
        <v>382</v>
      </c>
      <c r="B345" s="26" t="s">
        <v>37</v>
      </c>
      <c r="C345" s="26">
        <v>38.474699999999999</v>
      </c>
      <c r="D345" s="26">
        <v>-121.35420000000001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1</v>
      </c>
      <c r="AJ345" s="26">
        <v>1</v>
      </c>
      <c r="AK345" s="26">
        <v>1</v>
      </c>
      <c r="AL345" s="26">
        <v>1</v>
      </c>
      <c r="AM345" s="26">
        <v>1</v>
      </c>
      <c r="AN345" s="26">
        <v>1</v>
      </c>
      <c r="AO345" s="26">
        <v>2</v>
      </c>
      <c r="AP345" s="26">
        <v>2</v>
      </c>
      <c r="AQ345" s="26">
        <v>2</v>
      </c>
      <c r="AR345" s="26">
        <v>2</v>
      </c>
      <c r="AS345" s="26">
        <v>2</v>
      </c>
      <c r="AT345" s="26">
        <v>2</v>
      </c>
      <c r="AU345" s="26">
        <v>2</v>
      </c>
      <c r="AV345" s="26">
        <v>2</v>
      </c>
      <c r="AW345" s="26">
        <v>2</v>
      </c>
      <c r="AX345" s="26">
        <v>2</v>
      </c>
      <c r="AY345" s="26">
        <v>2</v>
      </c>
      <c r="AZ345" s="26">
        <v>2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 t="s">
        <v>445</v>
      </c>
    </row>
    <row r="346" spans="1:63" x14ac:dyDescent="0.25">
      <c r="A346" s="26" t="s">
        <v>383</v>
      </c>
      <c r="B346" s="26" t="s">
        <v>37</v>
      </c>
      <c r="C346" s="26">
        <v>32.715699999999998</v>
      </c>
      <c r="D346" s="26">
        <v>-117.1611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1</v>
      </c>
      <c r="Z346" s="26">
        <v>1</v>
      </c>
      <c r="AA346" s="26">
        <v>2</v>
      </c>
      <c r="AB346" s="26">
        <v>2</v>
      </c>
      <c r="AC346" s="26">
        <v>2</v>
      </c>
      <c r="AD346" s="26">
        <v>2</v>
      </c>
      <c r="AE346" s="26">
        <v>2</v>
      </c>
      <c r="AF346" s="26">
        <v>2</v>
      </c>
      <c r="AG346" s="26">
        <v>2</v>
      </c>
      <c r="AH346" s="26">
        <v>2</v>
      </c>
      <c r="AI346" s="26">
        <v>2</v>
      </c>
      <c r="AJ346" s="26">
        <v>2</v>
      </c>
      <c r="AK346" s="26">
        <v>2</v>
      </c>
      <c r="AL346" s="26">
        <v>2</v>
      </c>
      <c r="AM346" s="26">
        <v>2</v>
      </c>
      <c r="AN346" s="26">
        <v>2</v>
      </c>
      <c r="AO346" s="26">
        <v>2</v>
      </c>
      <c r="AP346" s="26">
        <v>2</v>
      </c>
      <c r="AQ346" s="26">
        <v>2</v>
      </c>
      <c r="AR346" s="26">
        <v>2</v>
      </c>
      <c r="AS346" s="26">
        <v>2</v>
      </c>
      <c r="AT346" s="26">
        <v>2</v>
      </c>
      <c r="AU346" s="26">
        <v>2</v>
      </c>
      <c r="AV346" s="26">
        <v>3</v>
      </c>
      <c r="AW346" s="26">
        <v>3</v>
      </c>
      <c r="AX346" s="26">
        <v>3</v>
      </c>
      <c r="AY346" s="26">
        <v>3</v>
      </c>
      <c r="AZ346" s="26">
        <v>3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 t="s">
        <v>445</v>
      </c>
    </row>
    <row r="347" spans="1:63" x14ac:dyDescent="0.25">
      <c r="A347" s="26" t="s">
        <v>384</v>
      </c>
      <c r="B347" s="26" t="s">
        <v>37</v>
      </c>
      <c r="C347" s="26">
        <v>36.576099999999997</v>
      </c>
      <c r="D347" s="26">
        <v>-120.9876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2</v>
      </c>
      <c r="R347" s="26">
        <v>2</v>
      </c>
      <c r="S347" s="26">
        <v>2</v>
      </c>
      <c r="T347" s="26">
        <v>2</v>
      </c>
      <c r="U347" s="26">
        <v>2</v>
      </c>
      <c r="V347" s="26">
        <v>2</v>
      </c>
      <c r="W347" s="26">
        <v>2</v>
      </c>
      <c r="X347" s="26">
        <v>2</v>
      </c>
      <c r="Y347" s="26">
        <v>2</v>
      </c>
      <c r="Z347" s="26">
        <v>2</v>
      </c>
      <c r="AA347" s="26">
        <v>2</v>
      </c>
      <c r="AB347" s="26">
        <v>2</v>
      </c>
      <c r="AC347" s="26">
        <v>2</v>
      </c>
      <c r="AD347" s="26">
        <v>2</v>
      </c>
      <c r="AE347" s="26">
        <v>2</v>
      </c>
      <c r="AF347" s="26">
        <v>2</v>
      </c>
      <c r="AG347" s="26">
        <v>2</v>
      </c>
      <c r="AH347" s="26">
        <v>2</v>
      </c>
      <c r="AI347" s="26">
        <v>2</v>
      </c>
      <c r="AJ347" s="26">
        <v>2</v>
      </c>
      <c r="AK347" s="26">
        <v>2</v>
      </c>
      <c r="AL347" s="26">
        <v>2</v>
      </c>
      <c r="AM347" s="26">
        <v>2</v>
      </c>
      <c r="AN347" s="26">
        <v>2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 t="s">
        <v>445</v>
      </c>
    </row>
    <row r="348" spans="1:63" x14ac:dyDescent="0.25">
      <c r="A348" s="26" t="s">
        <v>385</v>
      </c>
      <c r="B348" s="26" t="s">
        <v>37</v>
      </c>
      <c r="C348" s="26">
        <v>34.052199999999999</v>
      </c>
      <c r="D348" s="26">
        <v>-118.2437</v>
      </c>
      <c r="E348" s="26">
        <v>0</v>
      </c>
      <c r="F348" s="26">
        <v>0</v>
      </c>
      <c r="G348" s="26">
        <v>0</v>
      </c>
      <c r="H348" s="26">
        <v>0</v>
      </c>
      <c r="I348" s="26">
        <v>1</v>
      </c>
      <c r="J348" s="26">
        <v>1</v>
      </c>
      <c r="K348" s="26">
        <v>1</v>
      </c>
      <c r="L348" s="26">
        <v>1</v>
      </c>
      <c r="M348" s="26">
        <v>1</v>
      </c>
      <c r="N348" s="26">
        <v>1</v>
      </c>
      <c r="O348" s="26">
        <v>1</v>
      </c>
      <c r="P348" s="26">
        <v>1</v>
      </c>
      <c r="Q348" s="26">
        <v>1</v>
      </c>
      <c r="R348" s="26">
        <v>1</v>
      </c>
      <c r="S348" s="26">
        <v>1</v>
      </c>
      <c r="T348" s="26">
        <v>1</v>
      </c>
      <c r="U348" s="26">
        <v>1</v>
      </c>
      <c r="V348" s="26">
        <v>1</v>
      </c>
      <c r="W348" s="26">
        <v>1</v>
      </c>
      <c r="X348" s="26">
        <v>1</v>
      </c>
      <c r="Y348" s="26">
        <v>1</v>
      </c>
      <c r="Z348" s="26">
        <v>1</v>
      </c>
      <c r="AA348" s="26">
        <v>1</v>
      </c>
      <c r="AB348" s="26">
        <v>1</v>
      </c>
      <c r="AC348" s="26">
        <v>1</v>
      </c>
      <c r="AD348" s="26">
        <v>1</v>
      </c>
      <c r="AE348" s="26">
        <v>1</v>
      </c>
      <c r="AF348" s="26">
        <v>1</v>
      </c>
      <c r="AG348" s="26">
        <v>1</v>
      </c>
      <c r="AH348" s="26">
        <v>1</v>
      </c>
      <c r="AI348" s="26">
        <v>1</v>
      </c>
      <c r="AJ348" s="26">
        <v>1</v>
      </c>
      <c r="AK348" s="26">
        <v>1</v>
      </c>
      <c r="AL348" s="26">
        <v>1</v>
      </c>
      <c r="AM348" s="26">
        <v>1</v>
      </c>
      <c r="AN348" s="26">
        <v>1</v>
      </c>
      <c r="AO348" s="26">
        <v>1</v>
      </c>
      <c r="AP348" s="26">
        <v>1</v>
      </c>
      <c r="AQ348" s="26">
        <v>1</v>
      </c>
      <c r="AR348" s="26">
        <v>1</v>
      </c>
      <c r="AS348" s="26">
        <v>1</v>
      </c>
      <c r="AT348" s="26">
        <v>1</v>
      </c>
      <c r="AU348" s="26">
        <v>7</v>
      </c>
      <c r="AV348" s="26">
        <v>11</v>
      </c>
      <c r="AW348" s="26">
        <v>13</v>
      </c>
      <c r="AX348" s="26">
        <v>14</v>
      </c>
      <c r="AY348" s="26">
        <v>14</v>
      </c>
      <c r="AZ348" s="26">
        <v>14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 t="s">
        <v>445</v>
      </c>
    </row>
    <row r="349" spans="1:63" x14ac:dyDescent="0.25">
      <c r="A349" s="26" t="s">
        <v>386</v>
      </c>
      <c r="B349" s="26" t="s">
        <v>37</v>
      </c>
      <c r="C349" s="26">
        <v>47.606200000000001</v>
      </c>
      <c r="D349" s="26">
        <v>-122.3321</v>
      </c>
      <c r="E349" s="26">
        <v>1</v>
      </c>
      <c r="F349" s="26">
        <v>1</v>
      </c>
      <c r="G349" s="26">
        <v>1</v>
      </c>
      <c r="H349" s="26">
        <v>1</v>
      </c>
      <c r="I349" s="26">
        <v>1</v>
      </c>
      <c r="J349" s="26">
        <v>1</v>
      </c>
      <c r="K349" s="26">
        <v>1</v>
      </c>
      <c r="L349" s="26">
        <v>1</v>
      </c>
      <c r="M349" s="26">
        <v>1</v>
      </c>
      <c r="N349" s="26">
        <v>1</v>
      </c>
      <c r="O349" s="26">
        <v>1</v>
      </c>
      <c r="P349" s="26">
        <v>1</v>
      </c>
      <c r="Q349" s="26">
        <v>1</v>
      </c>
      <c r="R349" s="26">
        <v>1</v>
      </c>
      <c r="S349" s="26">
        <v>1</v>
      </c>
      <c r="T349" s="26">
        <v>1</v>
      </c>
      <c r="U349" s="26">
        <v>1</v>
      </c>
      <c r="V349" s="26">
        <v>1</v>
      </c>
      <c r="W349" s="26">
        <v>1</v>
      </c>
      <c r="X349" s="26">
        <v>1</v>
      </c>
      <c r="Y349" s="26">
        <v>1</v>
      </c>
      <c r="Z349" s="26">
        <v>1</v>
      </c>
      <c r="AA349" s="26">
        <v>1</v>
      </c>
      <c r="AB349" s="26">
        <v>1</v>
      </c>
      <c r="AC349" s="26">
        <v>1</v>
      </c>
      <c r="AD349" s="26">
        <v>1</v>
      </c>
      <c r="AE349" s="26">
        <v>1</v>
      </c>
      <c r="AF349" s="26">
        <v>1</v>
      </c>
      <c r="AG349" s="26">
        <v>1</v>
      </c>
      <c r="AH349" s="26">
        <v>1</v>
      </c>
      <c r="AI349" s="26">
        <v>1</v>
      </c>
      <c r="AJ349" s="26">
        <v>1</v>
      </c>
      <c r="AK349" s="26">
        <v>1</v>
      </c>
      <c r="AL349" s="26">
        <v>1</v>
      </c>
      <c r="AM349" s="26">
        <v>1</v>
      </c>
      <c r="AN349" s="26">
        <v>1</v>
      </c>
      <c r="AO349" s="26">
        <v>1</v>
      </c>
      <c r="AP349" s="26">
        <v>1</v>
      </c>
      <c r="AQ349" s="26">
        <v>6</v>
      </c>
      <c r="AR349" s="26">
        <v>9</v>
      </c>
      <c r="AS349" s="26">
        <v>14</v>
      </c>
      <c r="AT349" s="26">
        <v>21</v>
      </c>
      <c r="AU349" s="26">
        <v>31</v>
      </c>
      <c r="AV349" s="26">
        <v>51</v>
      </c>
      <c r="AW349" s="26">
        <v>58</v>
      </c>
      <c r="AX349" s="26">
        <v>71</v>
      </c>
      <c r="AY349" s="26">
        <v>83</v>
      </c>
      <c r="AZ349" s="26">
        <v>83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 t="s">
        <v>445</v>
      </c>
    </row>
    <row r="350" spans="1:63" x14ac:dyDescent="0.25">
      <c r="A350" s="26" t="s">
        <v>387</v>
      </c>
      <c r="B350" s="26" t="s">
        <v>37</v>
      </c>
      <c r="C350" s="26">
        <v>41.737699999999997</v>
      </c>
      <c r="D350" s="26">
        <v>-87.697599999999994</v>
      </c>
      <c r="E350" s="26">
        <v>0</v>
      </c>
      <c r="F350" s="26">
        <v>0</v>
      </c>
      <c r="G350" s="26">
        <v>1</v>
      </c>
      <c r="H350" s="26">
        <v>1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2</v>
      </c>
      <c r="O350" s="26">
        <v>2</v>
      </c>
      <c r="P350" s="26">
        <v>2</v>
      </c>
      <c r="Q350" s="26">
        <v>2</v>
      </c>
      <c r="R350" s="26">
        <v>2</v>
      </c>
      <c r="S350" s="26">
        <v>2</v>
      </c>
      <c r="T350" s="26">
        <v>2</v>
      </c>
      <c r="U350" s="26">
        <v>2</v>
      </c>
      <c r="V350" s="26">
        <v>2</v>
      </c>
      <c r="W350" s="26">
        <v>2</v>
      </c>
      <c r="X350" s="26">
        <v>2</v>
      </c>
      <c r="Y350" s="26">
        <v>2</v>
      </c>
      <c r="Z350" s="26">
        <v>2</v>
      </c>
      <c r="AA350" s="26">
        <v>2</v>
      </c>
      <c r="AB350" s="26">
        <v>2</v>
      </c>
      <c r="AC350" s="26">
        <v>2</v>
      </c>
      <c r="AD350" s="26">
        <v>2</v>
      </c>
      <c r="AE350" s="26">
        <v>2</v>
      </c>
      <c r="AF350" s="26">
        <v>2</v>
      </c>
      <c r="AG350" s="26">
        <v>2</v>
      </c>
      <c r="AH350" s="26">
        <v>2</v>
      </c>
      <c r="AI350" s="26">
        <v>2</v>
      </c>
      <c r="AJ350" s="26">
        <v>2</v>
      </c>
      <c r="AK350" s="26">
        <v>2</v>
      </c>
      <c r="AL350" s="26">
        <v>2</v>
      </c>
      <c r="AM350" s="26">
        <v>2</v>
      </c>
      <c r="AN350" s="26">
        <v>2</v>
      </c>
      <c r="AO350" s="26">
        <v>2</v>
      </c>
      <c r="AP350" s="26">
        <v>2</v>
      </c>
      <c r="AQ350" s="26">
        <v>2</v>
      </c>
      <c r="AR350" s="26">
        <v>3</v>
      </c>
      <c r="AS350" s="26">
        <v>4</v>
      </c>
      <c r="AT350" s="26">
        <v>4</v>
      </c>
      <c r="AU350" s="26">
        <v>4</v>
      </c>
      <c r="AV350" s="26">
        <v>5</v>
      </c>
      <c r="AW350" s="26">
        <v>5</v>
      </c>
      <c r="AX350" s="26">
        <v>6</v>
      </c>
      <c r="AY350" s="26">
        <v>7</v>
      </c>
      <c r="AZ350" s="26">
        <v>7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 t="s">
        <v>445</v>
      </c>
    </row>
    <row r="351" spans="1:63" x14ac:dyDescent="0.25">
      <c r="A351" s="26" t="s">
        <v>388</v>
      </c>
      <c r="B351" s="26" t="s">
        <v>37</v>
      </c>
      <c r="C351" s="26">
        <v>48.424199999999999</v>
      </c>
      <c r="D351" s="26">
        <v>-121.7114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26">
        <v>0</v>
      </c>
      <c r="AE351" s="26"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26">
        <v>0</v>
      </c>
      <c r="AL351" s="26">
        <v>0</v>
      </c>
      <c r="AM351" s="26">
        <v>0</v>
      </c>
      <c r="AN351" s="26">
        <v>0</v>
      </c>
      <c r="AO351" s="26">
        <v>0</v>
      </c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>
        <v>0</v>
      </c>
      <c r="AW351" s="26">
        <v>0</v>
      </c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 t="s">
        <v>445</v>
      </c>
    </row>
    <row r="352" spans="1:63" x14ac:dyDescent="0.25">
      <c r="A352" s="26" t="s">
        <v>389</v>
      </c>
      <c r="B352" s="26" t="s">
        <v>37</v>
      </c>
      <c r="C352" s="26">
        <v>46.864600000000003</v>
      </c>
      <c r="D352" s="26">
        <v>-122.7696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26">
        <v>0</v>
      </c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>
        <v>0</v>
      </c>
      <c r="AW352" s="26">
        <v>0</v>
      </c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 t="s">
        <v>445</v>
      </c>
    </row>
    <row r="353" spans="1:63" x14ac:dyDescent="0.25">
      <c r="A353" s="26" t="s">
        <v>390</v>
      </c>
      <c r="B353" s="26" t="s">
        <v>37</v>
      </c>
      <c r="C353" s="26">
        <v>48.197600000000001</v>
      </c>
      <c r="D353" s="26">
        <v>-122.5795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 t="s">
        <v>445</v>
      </c>
    </row>
    <row r="354" spans="1:63" x14ac:dyDescent="0.25">
      <c r="A354" s="26" t="s">
        <v>391</v>
      </c>
      <c r="B354" s="26" t="s">
        <v>37</v>
      </c>
      <c r="C354" s="26">
        <v>48.878700000000002</v>
      </c>
      <c r="D354" s="26">
        <v>-121.97190000000001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 t="s">
        <v>445</v>
      </c>
    </row>
    <row r="355" spans="1:63" x14ac:dyDescent="0.25">
      <c r="A355" s="26" t="s">
        <v>392</v>
      </c>
      <c r="B355" s="26" t="s">
        <v>37</v>
      </c>
      <c r="C355" s="26">
        <v>38.083399999999997</v>
      </c>
      <c r="D355" s="26">
        <v>-122.7633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 t="s">
        <v>445</v>
      </c>
    </row>
    <row r="356" spans="1:63" x14ac:dyDescent="0.25">
      <c r="A356" s="26" t="s">
        <v>393</v>
      </c>
      <c r="B356" s="26" t="s">
        <v>37</v>
      </c>
      <c r="C356" s="26">
        <v>38.195999999999998</v>
      </c>
      <c r="D356" s="26">
        <v>-120.68049999999999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 t="s">
        <v>445</v>
      </c>
    </row>
    <row r="357" spans="1:63" x14ac:dyDescent="0.25">
      <c r="A357" s="26" t="s">
        <v>394</v>
      </c>
      <c r="B357" s="26" t="s">
        <v>37</v>
      </c>
      <c r="C357" s="26">
        <v>37.509099999999997</v>
      </c>
      <c r="D357" s="26">
        <v>-120.9876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 t="s">
        <v>445</v>
      </c>
    </row>
    <row r="358" spans="1:63" x14ac:dyDescent="0.25">
      <c r="A358" s="26" t="s">
        <v>395</v>
      </c>
      <c r="B358" s="26" t="s">
        <v>37</v>
      </c>
      <c r="C358" s="26">
        <v>36.6066</v>
      </c>
      <c r="D358" s="26">
        <v>-120.18899999999999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 t="s">
        <v>445</v>
      </c>
    </row>
    <row r="359" spans="1:63" x14ac:dyDescent="0.25">
      <c r="A359" s="26" t="s">
        <v>396</v>
      </c>
      <c r="B359" s="26" t="s">
        <v>37</v>
      </c>
      <c r="C359" s="26">
        <v>42.631999999999998</v>
      </c>
      <c r="D359" s="26">
        <v>-70.782899999999998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 t="s">
        <v>445</v>
      </c>
    </row>
    <row r="360" spans="1:63" x14ac:dyDescent="0.25">
      <c r="A360" s="26" t="s">
        <v>397</v>
      </c>
      <c r="B360" s="26" t="s">
        <v>37</v>
      </c>
      <c r="C360" s="26">
        <v>30.791699999999999</v>
      </c>
      <c r="D360" s="26">
        <v>-82.084299999999999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 t="s">
        <v>445</v>
      </c>
    </row>
    <row r="361" spans="1:63" x14ac:dyDescent="0.25">
      <c r="A361" s="26" t="s">
        <v>398</v>
      </c>
      <c r="B361" s="26" t="s">
        <v>37</v>
      </c>
      <c r="C361" s="26">
        <v>26.07</v>
      </c>
      <c r="D361" s="26">
        <v>-81.427899999999994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 t="s">
        <v>445</v>
      </c>
    </row>
    <row r="362" spans="1:63" x14ac:dyDescent="0.25">
      <c r="A362" s="26" t="s">
        <v>399</v>
      </c>
      <c r="B362" s="26" t="s">
        <v>37</v>
      </c>
      <c r="C362" s="26">
        <v>27.8764</v>
      </c>
      <c r="D362" s="26">
        <v>-82.777900000000002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 t="s">
        <v>445</v>
      </c>
    </row>
    <row r="363" spans="1:63" x14ac:dyDescent="0.25">
      <c r="A363" s="26" t="s">
        <v>400</v>
      </c>
      <c r="B363" s="26" t="s">
        <v>37</v>
      </c>
      <c r="C363" s="26">
        <v>29.793800000000001</v>
      </c>
      <c r="D363" s="26">
        <v>-82.494399999999999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 t="s">
        <v>445</v>
      </c>
    </row>
    <row r="364" spans="1:63" x14ac:dyDescent="0.25">
      <c r="A364" s="26" t="s">
        <v>401</v>
      </c>
      <c r="B364" s="26" t="s">
        <v>37</v>
      </c>
      <c r="C364" s="26">
        <v>30.592700000000001</v>
      </c>
      <c r="D364" s="26">
        <v>-81.822400000000002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 t="s">
        <v>445</v>
      </c>
    </row>
    <row r="365" spans="1:63" x14ac:dyDescent="0.25">
      <c r="A365" s="26" t="s">
        <v>402</v>
      </c>
      <c r="B365" s="26" t="s">
        <v>37</v>
      </c>
      <c r="C365" s="26">
        <v>28.3232</v>
      </c>
      <c r="D365" s="26">
        <v>-82.431899999999999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 t="s">
        <v>445</v>
      </c>
    </row>
    <row r="366" spans="1:63" x14ac:dyDescent="0.25">
      <c r="A366" s="26" t="s">
        <v>403</v>
      </c>
      <c r="B366" s="26" t="s">
        <v>37</v>
      </c>
      <c r="C366" s="26">
        <v>32.776699999999998</v>
      </c>
      <c r="D366" s="26">
        <v>-96.796999999999997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 t="s">
        <v>445</v>
      </c>
    </row>
    <row r="367" spans="1:63" x14ac:dyDescent="0.25">
      <c r="A367" s="26" t="s">
        <v>404</v>
      </c>
      <c r="B367" s="26" t="s">
        <v>37</v>
      </c>
      <c r="C367" s="26">
        <v>32.773200000000003</v>
      </c>
      <c r="D367" s="26">
        <v>-97.351699999999994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 t="s">
        <v>445</v>
      </c>
    </row>
    <row r="368" spans="1:63" x14ac:dyDescent="0.25">
      <c r="A368" s="26" t="s">
        <v>405</v>
      </c>
      <c r="B368" s="26" t="s">
        <v>37</v>
      </c>
      <c r="C368" s="26">
        <v>30.388300000000001</v>
      </c>
      <c r="D368" s="26">
        <v>-95.696299999999994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 t="s">
        <v>445</v>
      </c>
    </row>
    <row r="369" spans="1:63" x14ac:dyDescent="0.25">
      <c r="A369" s="26" t="s">
        <v>406</v>
      </c>
      <c r="B369" s="26" t="s">
        <v>37</v>
      </c>
      <c r="C369" s="26">
        <v>40.572600000000001</v>
      </c>
      <c r="D369" s="26">
        <v>-74.492699999999999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 t="s">
        <v>445</v>
      </c>
    </row>
    <row r="370" spans="1:63" x14ac:dyDescent="0.25">
      <c r="A370" s="26" t="s">
        <v>407</v>
      </c>
      <c r="B370" s="26" t="s">
        <v>37</v>
      </c>
      <c r="C370" s="26">
        <v>39.58</v>
      </c>
      <c r="D370" s="26">
        <v>-105.2663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 t="s">
        <v>445</v>
      </c>
    </row>
    <row r="371" spans="1:63" x14ac:dyDescent="0.25">
      <c r="A371" s="26" t="s">
        <v>408</v>
      </c>
      <c r="B371" s="26" t="s">
        <v>37</v>
      </c>
      <c r="C371" s="26">
        <v>45.514600000000002</v>
      </c>
      <c r="D371" s="26">
        <v>-122.58629999999999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 t="s">
        <v>445</v>
      </c>
    </row>
    <row r="372" spans="1:63" x14ac:dyDescent="0.25">
      <c r="A372" s="26" t="s">
        <v>409</v>
      </c>
      <c r="B372" s="26" t="s">
        <v>37</v>
      </c>
      <c r="C372" s="26">
        <v>44.926699999999997</v>
      </c>
      <c r="D372" s="26">
        <v>-123.4919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 t="s">
        <v>445</v>
      </c>
    </row>
    <row r="373" spans="1:63" x14ac:dyDescent="0.25">
      <c r="A373" s="26" t="s">
        <v>410</v>
      </c>
      <c r="B373" s="26" t="s">
        <v>37</v>
      </c>
      <c r="C373" s="26">
        <v>43.832500000000003</v>
      </c>
      <c r="D373" s="26">
        <v>-121.2617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 t="s">
        <v>445</v>
      </c>
    </row>
    <row r="374" spans="1:63" x14ac:dyDescent="0.25">
      <c r="A374" s="26" t="s">
        <v>411</v>
      </c>
      <c r="B374" s="26" t="s">
        <v>37</v>
      </c>
      <c r="C374" s="26">
        <v>42.333399999999997</v>
      </c>
      <c r="D374" s="26">
        <v>-88.266800000000003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 t="s">
        <v>445</v>
      </c>
    </row>
    <row r="375" spans="1:63" x14ac:dyDescent="0.25">
      <c r="A375" s="26" t="s">
        <v>412</v>
      </c>
      <c r="B375" s="26" t="s">
        <v>37</v>
      </c>
      <c r="C375" s="26">
        <v>42.368899999999996</v>
      </c>
      <c r="D375" s="26">
        <v>-87.827200000000005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 t="s">
        <v>445</v>
      </c>
    </row>
    <row r="376" spans="1:63" x14ac:dyDescent="0.25">
      <c r="A376" s="26" t="s">
        <v>413</v>
      </c>
      <c r="B376" s="26" t="s">
        <v>37</v>
      </c>
      <c r="C376" s="26">
        <v>40.410800000000002</v>
      </c>
      <c r="D376" s="26">
        <v>-75.247900000000001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 t="s">
        <v>445</v>
      </c>
    </row>
    <row r="377" spans="1:63" x14ac:dyDescent="0.25">
      <c r="A377" s="26" t="s">
        <v>414</v>
      </c>
      <c r="B377" s="26" t="s">
        <v>37</v>
      </c>
      <c r="C377" s="26">
        <v>37.777200000000001</v>
      </c>
      <c r="D377" s="26">
        <v>-77.516099999999994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 t="s">
        <v>445</v>
      </c>
    </row>
    <row r="378" spans="1:63" x14ac:dyDescent="0.25">
      <c r="A378" s="26" t="s">
        <v>415</v>
      </c>
      <c r="B378" s="26" t="s">
        <v>37</v>
      </c>
      <c r="C378" s="26">
        <v>34.725299999999997</v>
      </c>
      <c r="D378" s="26">
        <v>-80.677099999999996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 t="s">
        <v>445</v>
      </c>
    </row>
    <row r="379" spans="1:63" x14ac:dyDescent="0.25">
      <c r="A379" s="26" t="s">
        <v>416</v>
      </c>
      <c r="B379" s="26" t="s">
        <v>37</v>
      </c>
      <c r="C379" s="26">
        <v>36.493299999999998</v>
      </c>
      <c r="D379" s="26">
        <v>-82.345200000000006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 t="s">
        <v>445</v>
      </c>
    </row>
    <row r="380" spans="1:63" x14ac:dyDescent="0.25">
      <c r="A380" s="26" t="s">
        <v>417</v>
      </c>
      <c r="B380" s="26" t="s">
        <v>37</v>
      </c>
      <c r="C380" s="26">
        <v>39.463799999999999</v>
      </c>
      <c r="D380" s="26">
        <v>-86.134500000000003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 t="s">
        <v>445</v>
      </c>
    </row>
    <row r="381" spans="1:63" x14ac:dyDescent="0.25">
      <c r="A381" s="26" t="s">
        <v>418</v>
      </c>
      <c r="B381" s="26" t="s">
        <v>37</v>
      </c>
      <c r="C381" s="26">
        <v>40.448300000000003</v>
      </c>
      <c r="D381" s="26">
        <v>-86.134500000000003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 t="s">
        <v>445</v>
      </c>
    </row>
    <row r="382" spans="1:63" x14ac:dyDescent="0.25">
      <c r="A382" s="26" t="s">
        <v>419</v>
      </c>
      <c r="B382" s="26" t="s">
        <v>37</v>
      </c>
      <c r="C382" s="26">
        <v>41.622799999999998</v>
      </c>
      <c r="D382" s="26">
        <v>-86.337699999999998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 t="s">
        <v>445</v>
      </c>
    </row>
    <row r="383" spans="1:63" x14ac:dyDescent="0.25">
      <c r="A383" s="26" t="s">
        <v>420</v>
      </c>
      <c r="B383" s="26" t="s">
        <v>37</v>
      </c>
      <c r="C383" s="26">
        <v>42.671199999999999</v>
      </c>
      <c r="D383" s="26">
        <v>-97.872200000000007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 t="s">
        <v>445</v>
      </c>
    </row>
    <row r="384" spans="1:63" x14ac:dyDescent="0.25">
      <c r="A384" s="26" t="s">
        <v>421</v>
      </c>
      <c r="B384" s="26" t="s">
        <v>37</v>
      </c>
      <c r="C384" s="26">
        <v>40.868499999999997</v>
      </c>
      <c r="D384" s="26">
        <v>-81.251900000000006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 t="s">
        <v>445</v>
      </c>
    </row>
    <row r="385" spans="1:63" x14ac:dyDescent="0.25">
      <c r="A385" s="26" t="s">
        <v>422</v>
      </c>
      <c r="B385" s="26" t="s">
        <v>37</v>
      </c>
      <c r="C385" s="26">
        <v>45.329300000000003</v>
      </c>
      <c r="D385" s="26">
        <v>-93.219700000000003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 t="s">
        <v>445</v>
      </c>
    </row>
    <row r="386" spans="1:63" x14ac:dyDescent="0.25">
      <c r="A386" s="26" t="s">
        <v>423</v>
      </c>
      <c r="B386" s="26" t="s">
        <v>37</v>
      </c>
      <c r="C386" s="26">
        <v>43.995199999999997</v>
      </c>
      <c r="D386" s="26">
        <v>-92.381399999999999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 t="s">
        <v>445</v>
      </c>
    </row>
    <row r="387" spans="1:63" x14ac:dyDescent="0.25">
      <c r="A387" s="26" t="s">
        <v>424</v>
      </c>
      <c r="B387" s="26" t="s">
        <v>37</v>
      </c>
      <c r="C387" s="26">
        <v>40.829799999999999</v>
      </c>
      <c r="D387" s="26">
        <v>-110.9984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 t="s">
        <v>445</v>
      </c>
    </row>
    <row r="388" spans="1:63" x14ac:dyDescent="0.25">
      <c r="A388" s="26" t="s">
        <v>425</v>
      </c>
      <c r="B388" s="26" t="s">
        <v>37</v>
      </c>
      <c r="C388" s="26">
        <v>41.256</v>
      </c>
      <c r="D388" s="26">
        <v>-73.370900000000006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 t="s">
        <v>445</v>
      </c>
    </row>
    <row r="389" spans="1:63" x14ac:dyDescent="0.25">
      <c r="A389" s="26" t="s">
        <v>426</v>
      </c>
      <c r="B389" s="26" t="s">
        <v>37</v>
      </c>
      <c r="C389" s="26">
        <v>41.7866</v>
      </c>
      <c r="D389" s="26">
        <v>-73.276499999999999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 t="s">
        <v>445</v>
      </c>
    </row>
    <row r="390" spans="1:63" x14ac:dyDescent="0.25">
      <c r="A390" s="26" t="s">
        <v>427</v>
      </c>
      <c r="B390" s="26" t="s">
        <v>37</v>
      </c>
      <c r="C390" s="26">
        <v>29.9511</v>
      </c>
      <c r="D390" s="26">
        <v>-90.0715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 t="s">
        <v>445</v>
      </c>
    </row>
    <row r="391" spans="1:63" x14ac:dyDescent="0.25">
      <c r="A391" s="26" t="s">
        <v>428</v>
      </c>
      <c r="B391" s="26" t="s">
        <v>37</v>
      </c>
      <c r="C391" s="26">
        <v>43.890099999999997</v>
      </c>
      <c r="D391" s="26">
        <v>-102.2548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 t="s">
        <v>445</v>
      </c>
    </row>
    <row r="392" spans="1:63" x14ac:dyDescent="0.25">
      <c r="A392" s="26" t="s">
        <v>429</v>
      </c>
      <c r="B392" s="26" t="s">
        <v>37</v>
      </c>
      <c r="C392" s="26">
        <v>44.479700000000001</v>
      </c>
      <c r="D392" s="26">
        <v>-98.221299999999999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 t="s">
        <v>445</v>
      </c>
    </row>
    <row r="393" spans="1:63" x14ac:dyDescent="0.25">
      <c r="A393" s="26" t="s">
        <v>430</v>
      </c>
      <c r="B393" s="26" t="s">
        <v>37</v>
      </c>
      <c r="C393" s="26">
        <v>43.098500000000001</v>
      </c>
      <c r="D393" s="26">
        <v>-98.396500000000003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 t="s">
        <v>445</v>
      </c>
    </row>
    <row r="394" spans="1:63" x14ac:dyDescent="0.25">
      <c r="A394" s="26" t="s">
        <v>431</v>
      </c>
      <c r="B394" s="26" t="s">
        <v>37</v>
      </c>
      <c r="C394" s="26">
        <v>43.724200000000003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 t="s">
        <v>445</v>
      </c>
    </row>
    <row r="395" spans="1:63" x14ac:dyDescent="0.25">
      <c r="A395" s="26" t="s">
        <v>432</v>
      </c>
      <c r="B395" s="26" t="s">
        <v>37</v>
      </c>
      <c r="C395" s="26">
        <v>43.663200000000003</v>
      </c>
      <c r="D395" s="26">
        <v>-96.835099999999997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 t="s">
        <v>445</v>
      </c>
    </row>
    <row r="396" spans="1:63" x14ac:dyDescent="0.25">
      <c r="A396" s="26" t="s">
        <v>433</v>
      </c>
      <c r="B396" s="26" t="s">
        <v>37</v>
      </c>
      <c r="C396" s="26">
        <v>42.981499999999997</v>
      </c>
      <c r="D396" s="26">
        <v>-97.872200000000007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 t="s">
        <v>445</v>
      </c>
    </row>
    <row r="397" spans="1:63" x14ac:dyDescent="0.25">
      <c r="A397" s="26" t="s">
        <v>434</v>
      </c>
      <c r="B397" s="26" t="s">
        <v>37</v>
      </c>
      <c r="C397" s="26">
        <v>33.883699999999997</v>
      </c>
      <c r="D397" s="26">
        <v>-106.7235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 t="s">
        <v>445</v>
      </c>
    </row>
    <row r="398" spans="1:63" x14ac:dyDescent="0.25">
      <c r="A398" s="26" t="s">
        <v>435</v>
      </c>
      <c r="B398" s="26" t="s">
        <v>37</v>
      </c>
      <c r="C398" s="26">
        <v>35.017800000000001</v>
      </c>
      <c r="D398" s="26">
        <v>-106.62909999999999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 t="s">
        <v>445</v>
      </c>
    </row>
    <row r="399" spans="1:63" x14ac:dyDescent="0.25">
      <c r="A399" s="26" t="s">
        <v>436</v>
      </c>
      <c r="B399" s="26" t="s">
        <v>37</v>
      </c>
      <c r="C399" s="26">
        <v>42.592199999999998</v>
      </c>
      <c r="D399" s="26">
        <v>-83.336200000000005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 t="s">
        <v>445</v>
      </c>
    </row>
    <row r="400" spans="1:63" x14ac:dyDescent="0.25">
      <c r="A400" s="26" t="s">
        <v>437</v>
      </c>
      <c r="B400" s="26" t="s">
        <v>37</v>
      </c>
      <c r="C400" s="26">
        <v>42.2791</v>
      </c>
      <c r="D400" s="26">
        <v>-83.336200000000005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 t="s">
        <v>445</v>
      </c>
    </row>
    <row r="401" spans="1:63" x14ac:dyDescent="0.25">
      <c r="A401" s="26" t="s">
        <v>438</v>
      </c>
      <c r="B401" s="26" t="s">
        <v>37</v>
      </c>
      <c r="C401" s="26">
        <v>39.539299999999997</v>
      </c>
      <c r="D401" s="26">
        <v>-75.667400000000001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 t="s">
        <v>445</v>
      </c>
    </row>
    <row r="402" spans="1:63" x14ac:dyDescent="0.25">
      <c r="A402" s="26"/>
      <c r="B402" s="26" t="s">
        <v>439</v>
      </c>
      <c r="C402" s="26">
        <v>22</v>
      </c>
      <c r="D402" s="26">
        <v>-80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3</v>
      </c>
      <c r="BD402" s="26">
        <v>4</v>
      </c>
      <c r="BE402" s="26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 t="s">
        <v>1452</v>
      </c>
    </row>
    <row r="403" spans="1:63" x14ac:dyDescent="0.25">
      <c r="A403" s="26"/>
      <c r="B403" s="26" t="s">
        <v>440</v>
      </c>
      <c r="C403" s="26">
        <v>5</v>
      </c>
      <c r="D403" s="26">
        <v>-58.75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1</v>
      </c>
      <c r="BD403" s="26">
        <v>1</v>
      </c>
      <c r="BE403" s="26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 t="s">
        <v>447</v>
      </c>
    </row>
    <row r="404" spans="1:63" x14ac:dyDescent="0.25">
      <c r="A404" s="26" t="s">
        <v>473</v>
      </c>
      <c r="B404" s="26" t="s">
        <v>48</v>
      </c>
      <c r="C404" s="26">
        <v>-35.473500000000001</v>
      </c>
      <c r="D404" s="26">
        <v>149.01240000000001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>
        <v>1</v>
      </c>
      <c r="BE404" s="26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 t="s">
        <v>455</v>
      </c>
    </row>
    <row r="405" spans="1:63" x14ac:dyDescent="0.25">
      <c r="A405" s="26" t="s">
        <v>1038</v>
      </c>
      <c r="B405" s="26" t="s">
        <v>1038</v>
      </c>
      <c r="C405" s="26">
        <v>55.378100000000003</v>
      </c>
      <c r="D405" s="26">
        <v>-3.4359999999999999</v>
      </c>
      <c r="E405" s="27">
        <v>0</v>
      </c>
      <c r="F405" s="27">
        <v>0</v>
      </c>
      <c r="G405" s="27">
        <v>0</v>
      </c>
      <c r="H405" s="27">
        <v>0</v>
      </c>
      <c r="I405" s="27">
        <v>0</v>
      </c>
      <c r="J405" s="27">
        <v>0</v>
      </c>
      <c r="K405" s="27">
        <v>0</v>
      </c>
      <c r="L405" s="27">
        <v>0</v>
      </c>
      <c r="M405" s="27">
        <v>0</v>
      </c>
      <c r="N405" s="27">
        <v>2</v>
      </c>
      <c r="O405" s="27">
        <v>2</v>
      </c>
      <c r="P405" s="27">
        <v>2</v>
      </c>
      <c r="Q405" s="27">
        <v>2</v>
      </c>
      <c r="R405" s="27">
        <v>2</v>
      </c>
      <c r="S405" s="27">
        <v>2</v>
      </c>
      <c r="T405" s="27">
        <v>2</v>
      </c>
      <c r="U405" s="27">
        <v>3</v>
      </c>
      <c r="V405" s="27">
        <v>3</v>
      </c>
      <c r="W405" s="27">
        <v>3</v>
      </c>
      <c r="X405" s="27">
        <v>8</v>
      </c>
      <c r="Y405" s="27">
        <v>8</v>
      </c>
      <c r="Z405" s="27">
        <v>9</v>
      </c>
      <c r="AA405" s="27">
        <v>9</v>
      </c>
      <c r="AB405" s="27">
        <v>9</v>
      </c>
      <c r="AC405" s="27">
        <v>9</v>
      </c>
      <c r="AD405" s="27">
        <v>9</v>
      </c>
      <c r="AE405" s="27">
        <v>9</v>
      </c>
      <c r="AF405" s="27">
        <v>9</v>
      </c>
      <c r="AG405" s="27">
        <v>9</v>
      </c>
      <c r="AH405" s="27">
        <v>9</v>
      </c>
      <c r="AI405" s="27">
        <v>9</v>
      </c>
      <c r="AJ405" s="27">
        <v>9</v>
      </c>
      <c r="AK405" s="27">
        <v>9</v>
      </c>
      <c r="AL405" s="27">
        <v>13</v>
      </c>
      <c r="AM405" s="27">
        <v>13</v>
      </c>
      <c r="AN405" s="27">
        <v>13</v>
      </c>
      <c r="AO405" s="27">
        <v>15</v>
      </c>
      <c r="AP405" s="27">
        <v>20</v>
      </c>
      <c r="AQ405" s="27">
        <v>23</v>
      </c>
      <c r="AR405" s="27">
        <v>36</v>
      </c>
      <c r="AS405" s="27">
        <v>40</v>
      </c>
      <c r="AT405" s="27">
        <v>51</v>
      </c>
      <c r="AU405" s="27">
        <v>85</v>
      </c>
      <c r="AV405" s="27">
        <v>115</v>
      </c>
      <c r="AW405" s="27">
        <v>163</v>
      </c>
      <c r="AX405" s="27">
        <v>206</v>
      </c>
      <c r="AY405" s="27">
        <v>273</v>
      </c>
      <c r="AZ405" s="27">
        <v>321</v>
      </c>
      <c r="BA405" s="27">
        <v>382</v>
      </c>
      <c r="BB405" s="27">
        <v>456</v>
      </c>
      <c r="BC405" s="27">
        <v>456</v>
      </c>
      <c r="BD405" s="27">
        <v>798</v>
      </c>
      <c r="BE405" s="27">
        <v>1140</v>
      </c>
      <c r="BF405" s="27">
        <v>1140</v>
      </c>
      <c r="BG405" s="27">
        <v>1543</v>
      </c>
      <c r="BH405" s="27">
        <v>1950</v>
      </c>
      <c r="BI405" s="27">
        <v>2626</v>
      </c>
      <c r="BJ405" s="27">
        <v>2689</v>
      </c>
      <c r="BK405" t="s">
        <v>1455</v>
      </c>
    </row>
    <row r="406" spans="1:63" x14ac:dyDescent="0.25">
      <c r="A406" s="26"/>
      <c r="B406" s="26" t="s">
        <v>474</v>
      </c>
      <c r="C406" s="26">
        <v>48.019599999999997</v>
      </c>
      <c r="D406" s="26">
        <v>66.923699999999997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4</v>
      </c>
      <c r="BE406" s="2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 t="s">
        <v>449</v>
      </c>
    </row>
    <row r="407" spans="1:63" x14ac:dyDescent="0.25">
      <c r="A407" s="26" t="s">
        <v>475</v>
      </c>
      <c r="B407" s="26" t="s">
        <v>42</v>
      </c>
      <c r="C407" s="26">
        <v>-17.6797</v>
      </c>
      <c r="D407" s="26">
        <v>149.4068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26">
        <v>0</v>
      </c>
      <c r="AE407" s="26"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>
        <v>0</v>
      </c>
      <c r="AW407" s="26">
        <v>0</v>
      </c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3</v>
      </c>
      <c r="BE407" s="26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 t="s">
        <v>452</v>
      </c>
    </row>
    <row r="408" spans="1:63" x14ac:dyDescent="0.25">
      <c r="A408" s="26" t="s">
        <v>477</v>
      </c>
      <c r="B408" s="26" t="s">
        <v>46</v>
      </c>
      <c r="C408" s="26">
        <v>53.760899999999999</v>
      </c>
      <c r="D408" s="26">
        <v>-98.813900000000004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 t="s">
        <v>1449</v>
      </c>
    </row>
    <row r="409" spans="1:63" x14ac:dyDescent="0.25">
      <c r="A409" s="26" t="s">
        <v>478</v>
      </c>
      <c r="B409" s="26" t="s">
        <v>46</v>
      </c>
      <c r="C409" s="26">
        <v>52.939900000000002</v>
      </c>
      <c r="D409" s="26">
        <v>-106.4509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2</v>
      </c>
      <c r="BE409" s="26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 t="s">
        <v>651</v>
      </c>
    </row>
    <row r="410" spans="1:63" x14ac:dyDescent="0.25">
      <c r="A410" s="26"/>
      <c r="B410" s="26" t="s">
        <v>479</v>
      </c>
      <c r="C410" s="26">
        <v>9.1449999999999996</v>
      </c>
      <c r="D410" s="26">
        <v>40.489699999999999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 t="s">
        <v>444</v>
      </c>
    </row>
    <row r="411" spans="1:63" x14ac:dyDescent="0.25">
      <c r="A411" s="26"/>
      <c r="B411" s="26" t="s">
        <v>480</v>
      </c>
      <c r="C411" s="26">
        <v>12.8628</v>
      </c>
      <c r="D411" s="26">
        <v>30.217600000000001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 t="s">
        <v>443</v>
      </c>
    </row>
    <row r="412" spans="1:63" x14ac:dyDescent="0.25">
      <c r="A412" s="26"/>
      <c r="B412" s="26" t="s">
        <v>481</v>
      </c>
      <c r="C412" s="26">
        <v>9.9456000000000007</v>
      </c>
      <c r="D412" s="26">
        <v>-9.6966000000000001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1</v>
      </c>
      <c r="BE412" s="26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 t="s">
        <v>441</v>
      </c>
    </row>
    <row r="413" spans="1:63" x14ac:dyDescent="0.25">
      <c r="A413" s="26" t="s">
        <v>152</v>
      </c>
      <c r="B413" s="26" t="s">
        <v>46</v>
      </c>
      <c r="C413" s="26">
        <v>37.648899999999998</v>
      </c>
      <c r="D413" s="26">
        <v>-122.66549999999999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 t="s">
        <v>454</v>
      </c>
    </row>
    <row r="414" spans="1:63" x14ac:dyDescent="0.25">
      <c r="A414" s="26"/>
      <c r="B414" s="26" t="s">
        <v>483</v>
      </c>
      <c r="C414" s="26">
        <v>-2.3599999999999999E-2</v>
      </c>
      <c r="D414" s="26">
        <v>37.906199999999998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 t="s">
        <v>447</v>
      </c>
    </row>
    <row r="415" spans="1:63" x14ac:dyDescent="0.25">
      <c r="A415" s="26"/>
      <c r="B415" s="26" t="s">
        <v>484</v>
      </c>
      <c r="C415" s="26">
        <v>17.0608</v>
      </c>
      <c r="D415" s="26">
        <v>-61.796399999999998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 t="s">
        <v>441</v>
      </c>
    </row>
    <row r="416" spans="1:63" x14ac:dyDescent="0.25">
      <c r="A416" s="26" t="s">
        <v>485</v>
      </c>
      <c r="B416" s="26" t="s">
        <v>37</v>
      </c>
      <c r="C416" s="26">
        <v>32.318199999999997</v>
      </c>
      <c r="D416" s="26">
        <v>-86.902299999999997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5</v>
      </c>
      <c r="BE416" s="2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 t="s">
        <v>1261</v>
      </c>
    </row>
    <row r="417" spans="1:63" x14ac:dyDescent="0.25">
      <c r="A417" s="26"/>
      <c r="B417" s="26" t="s">
        <v>652</v>
      </c>
      <c r="C417" s="26">
        <v>-32.522799999999997</v>
      </c>
      <c r="D417" s="26">
        <v>-55.765799999999999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0</v>
      </c>
      <c r="BE417" s="26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 t="s">
        <v>1040</v>
      </c>
    </row>
    <row r="418" spans="1:63" x14ac:dyDescent="0.25">
      <c r="A418" s="26"/>
      <c r="B418" s="26" t="s">
        <v>653</v>
      </c>
      <c r="C418" s="26">
        <v>7.9465000000000003</v>
      </c>
      <c r="D418" s="26">
        <v>-1.0232000000000001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0</v>
      </c>
      <c r="BE418" s="26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 t="s">
        <v>1452</v>
      </c>
    </row>
    <row r="419" spans="1:63" x14ac:dyDescent="0.25">
      <c r="A419" s="26" t="s">
        <v>654</v>
      </c>
      <c r="B419" s="26" t="s">
        <v>37</v>
      </c>
      <c r="C419" s="26">
        <v>18.220800000000001</v>
      </c>
      <c r="D419" s="26">
        <v>-66.590100000000007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0</v>
      </c>
      <c r="BE419" s="26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 t="s">
        <v>456</v>
      </c>
    </row>
    <row r="420" spans="1:63" x14ac:dyDescent="0.25">
      <c r="A420" s="26"/>
      <c r="B420" s="26" t="s">
        <v>655</v>
      </c>
      <c r="C420" s="26">
        <v>-22.957599999999999</v>
      </c>
      <c r="D420" s="26">
        <v>18.490400000000001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0</v>
      </c>
      <c r="BE420" s="26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 t="s">
        <v>442</v>
      </c>
    </row>
    <row r="421" spans="1:63" x14ac:dyDescent="0.25">
      <c r="A421" s="26"/>
      <c r="B421" s="26" t="s">
        <v>656</v>
      </c>
      <c r="C421" s="26">
        <v>-4.6795999999999998</v>
      </c>
      <c r="D421" s="26">
        <v>55.491999999999997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0</v>
      </c>
      <c r="BE421" s="26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 t="s">
        <v>447</v>
      </c>
    </row>
    <row r="422" spans="1:63" x14ac:dyDescent="0.25">
      <c r="A422" s="26"/>
      <c r="B422" s="26" t="s">
        <v>657</v>
      </c>
      <c r="C422" s="26">
        <v>10.691800000000001</v>
      </c>
      <c r="D422" s="26">
        <v>-61.222499999999997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 t="s">
        <v>444</v>
      </c>
    </row>
    <row r="423" spans="1:63" x14ac:dyDescent="0.25">
      <c r="B423" t="s">
        <v>658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 t="s">
        <v>811</v>
      </c>
    </row>
    <row r="424" spans="1:63" x14ac:dyDescent="0.25">
      <c r="B424" t="s">
        <v>660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 t="s">
        <v>441</v>
      </c>
    </row>
    <row r="425" spans="1:63" x14ac:dyDescent="0.25">
      <c r="B425" t="s">
        <v>661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 t="s">
        <v>442</v>
      </c>
    </row>
    <row r="426" spans="1:63" x14ac:dyDescent="0.25">
      <c r="B426" t="s">
        <v>662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 t="s">
        <v>450</v>
      </c>
    </row>
    <row r="427" spans="1:63" x14ac:dyDescent="0.25">
      <c r="B427" t="s">
        <v>663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 t="s">
        <v>443</v>
      </c>
    </row>
    <row r="428" spans="1:63" x14ac:dyDescent="0.25">
      <c r="B428" t="s">
        <v>664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 t="s">
        <v>1449</v>
      </c>
    </row>
    <row r="429" spans="1:63" x14ac:dyDescent="0.25">
      <c r="B429" t="s">
        <v>665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 t="s">
        <v>443</v>
      </c>
    </row>
    <row r="430" spans="1:63" x14ac:dyDescent="0.25">
      <c r="B430" t="s">
        <v>666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 t="s">
        <v>441</v>
      </c>
    </row>
    <row r="431" spans="1:63" x14ac:dyDescent="0.25">
      <c r="B431" t="s">
        <v>667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 t="s">
        <v>453</v>
      </c>
    </row>
    <row r="432" spans="1:63" x14ac:dyDescent="0.25">
      <c r="A432" t="s">
        <v>133</v>
      </c>
      <c r="B432" t="s">
        <v>42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 t="s">
        <v>1270</v>
      </c>
    </row>
    <row r="433" spans="1:63" x14ac:dyDescent="0.25">
      <c r="A433" t="s">
        <v>799</v>
      </c>
      <c r="B433" t="s">
        <v>37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 t="s">
        <v>456</v>
      </c>
    </row>
    <row r="434" spans="1:63" x14ac:dyDescent="0.25">
      <c r="B434" t="s">
        <v>800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 t="s">
        <v>443</v>
      </c>
    </row>
    <row r="435" spans="1:63" x14ac:dyDescent="0.25">
      <c r="A435" t="s">
        <v>801</v>
      </c>
      <c r="B435" t="s">
        <v>46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 t="s">
        <v>453</v>
      </c>
    </row>
    <row r="436" spans="1:63" x14ac:dyDescent="0.25">
      <c r="A436" t="s">
        <v>802</v>
      </c>
      <c r="B436" t="s">
        <v>46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 t="s">
        <v>443</v>
      </c>
    </row>
    <row r="437" spans="1:63" x14ac:dyDescent="0.25">
      <c r="B437" t="s">
        <v>803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 t="s">
        <v>442</v>
      </c>
    </row>
    <row r="438" spans="1:63" x14ac:dyDescent="0.25">
      <c r="B438" t="s">
        <v>804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 t="s">
        <v>442</v>
      </c>
    </row>
    <row r="439" spans="1:63" x14ac:dyDescent="0.25">
      <c r="B439" t="s">
        <v>805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 t="s">
        <v>455</v>
      </c>
    </row>
    <row r="440" spans="1:63" x14ac:dyDescent="0.25">
      <c r="A440" t="s">
        <v>806</v>
      </c>
      <c r="B440" t="s">
        <v>42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 t="s">
        <v>455</v>
      </c>
    </row>
    <row r="441" spans="1:63" x14ac:dyDescent="0.25">
      <c r="B441" t="s">
        <v>807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 t="s">
        <v>813</v>
      </c>
    </row>
    <row r="442" spans="1:63" x14ac:dyDescent="0.25">
      <c r="A442" t="s">
        <v>87</v>
      </c>
      <c r="B442" t="s">
        <v>87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 t="s">
        <v>1456</v>
      </c>
    </row>
    <row r="443" spans="1:63" x14ac:dyDescent="0.25">
      <c r="A443" t="s">
        <v>1274</v>
      </c>
      <c r="B443" t="s">
        <v>46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 t="s">
        <v>1270</v>
      </c>
    </row>
    <row r="444" spans="1:63" x14ac:dyDescent="0.25">
      <c r="A444" t="s">
        <v>476</v>
      </c>
      <c r="B444" t="s">
        <v>42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 t="s">
        <v>1418</v>
      </c>
    </row>
    <row r="445" spans="1:63" x14ac:dyDescent="0.25">
      <c r="B445" t="s">
        <v>1275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 t="s">
        <v>443</v>
      </c>
    </row>
    <row r="446" spans="1:63" x14ac:dyDescent="0.25">
      <c r="B446" t="s">
        <v>1277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 t="s">
        <v>443</v>
      </c>
    </row>
    <row r="447" spans="1:63" x14ac:dyDescent="0.25">
      <c r="A447" t="s">
        <v>659</v>
      </c>
      <c r="B447" t="s">
        <v>87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 t="s">
        <v>442</v>
      </c>
    </row>
    <row r="448" spans="1:63" x14ac:dyDescent="0.25">
      <c r="B448" t="s">
        <v>1278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 t="s">
        <v>441</v>
      </c>
    </row>
    <row r="449" spans="1:63" x14ac:dyDescent="0.25">
      <c r="B449" t="s">
        <v>1279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 t="s">
        <v>455</v>
      </c>
    </row>
    <row r="450" spans="1:63" x14ac:dyDescent="0.25">
      <c r="A450" t="s">
        <v>668</v>
      </c>
      <c r="B450" t="s">
        <v>37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 t="s">
        <v>442</v>
      </c>
    </row>
    <row r="451" spans="1:63" x14ac:dyDescent="0.25">
      <c r="A451" t="s">
        <v>1457</v>
      </c>
      <c r="B451" t="s">
        <v>1038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 t="s">
        <v>442</v>
      </c>
    </row>
    <row r="452" spans="1:63" x14ac:dyDescent="0.25">
      <c r="A452" t="s">
        <v>236</v>
      </c>
      <c r="B452" t="s">
        <v>42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 t="s">
        <v>471</v>
      </c>
    </row>
    <row r="453" spans="1:63" x14ac:dyDescent="0.25">
      <c r="B453" t="s">
        <v>1280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 t="s">
        <v>451</v>
      </c>
    </row>
    <row r="454" spans="1:63" x14ac:dyDescent="0.25">
      <c r="B454" t="s">
        <v>1281</v>
      </c>
      <c r="C454">
        <v>42.5</v>
      </c>
      <c r="D454">
        <v>19.3</v>
      </c>
      <c r="E454" s="27">
        <v>0</v>
      </c>
      <c r="F454" s="27">
        <v>0</v>
      </c>
      <c r="G454" s="27">
        <v>0</v>
      </c>
      <c r="H454" s="27">
        <v>0</v>
      </c>
      <c r="I454" s="27">
        <v>0</v>
      </c>
      <c r="J454" s="27">
        <v>0</v>
      </c>
      <c r="K454" s="27">
        <v>0</v>
      </c>
      <c r="L454" s="27">
        <v>0</v>
      </c>
      <c r="M454" s="27">
        <v>0</v>
      </c>
      <c r="N454" s="27">
        <v>0</v>
      </c>
      <c r="O454" s="27">
        <v>0</v>
      </c>
      <c r="P454" s="27">
        <v>0</v>
      </c>
      <c r="Q454" s="27">
        <v>0</v>
      </c>
      <c r="R454" s="27">
        <v>0</v>
      </c>
      <c r="S454" s="27">
        <v>0</v>
      </c>
      <c r="T454" s="27">
        <v>0</v>
      </c>
      <c r="U454" s="27">
        <v>0</v>
      </c>
      <c r="V454" s="27">
        <v>0</v>
      </c>
      <c r="W454" s="27">
        <v>0</v>
      </c>
      <c r="X454" s="27">
        <v>0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7">
        <v>0</v>
      </c>
      <c r="AH454" s="27">
        <v>0</v>
      </c>
      <c r="AI454" s="27">
        <v>0</v>
      </c>
      <c r="AJ454" s="27">
        <v>0</v>
      </c>
      <c r="AK454" s="27">
        <v>0</v>
      </c>
      <c r="AL454" s="27">
        <v>0</v>
      </c>
      <c r="AM454" s="27">
        <v>0</v>
      </c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7">
        <v>0</v>
      </c>
      <c r="BA454" s="27">
        <v>0</v>
      </c>
      <c r="BB454" s="27">
        <v>0</v>
      </c>
      <c r="BC454" s="27">
        <v>0</v>
      </c>
      <c r="BD454" s="27">
        <v>0</v>
      </c>
      <c r="BE454" s="27">
        <v>0</v>
      </c>
      <c r="BF454" s="27">
        <v>0</v>
      </c>
      <c r="BG454" s="27">
        <v>0</v>
      </c>
      <c r="BH454" s="27">
        <v>2</v>
      </c>
      <c r="BI454" s="27">
        <v>1</v>
      </c>
      <c r="BJ454">
        <v>3</v>
      </c>
      <c r="BK454" t="s">
        <v>456</v>
      </c>
    </row>
    <row r="455" spans="1:63" x14ac:dyDescent="0.25">
      <c r="B455" t="s">
        <v>1282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 t="s">
        <v>455</v>
      </c>
    </row>
    <row r="456" spans="1:63" x14ac:dyDescent="0.25">
      <c r="B456" t="s">
        <v>1283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 t="s">
        <v>450</v>
      </c>
    </row>
    <row r="457" spans="1:63" x14ac:dyDescent="0.25">
      <c r="A457" t="s">
        <v>482</v>
      </c>
      <c r="B457" t="s">
        <v>87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 t="s">
        <v>451</v>
      </c>
    </row>
    <row r="458" spans="1:63" x14ac:dyDescent="0.25">
      <c r="B458" t="s">
        <v>1284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 t="s">
        <v>443</v>
      </c>
    </row>
    <row r="459" spans="1:63" x14ac:dyDescent="0.25">
      <c r="B459" t="s">
        <v>1285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 t="s">
        <v>441</v>
      </c>
    </row>
    <row r="460" spans="1:63" x14ac:dyDescent="0.25">
      <c r="B460" t="s">
        <v>1286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 t="s">
        <v>441</v>
      </c>
    </row>
    <row r="461" spans="1:63" x14ac:dyDescent="0.25">
      <c r="A461" t="s">
        <v>1458</v>
      </c>
      <c r="B461" t="s">
        <v>1038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 t="s">
        <v>441</v>
      </c>
    </row>
    <row r="462" spans="1:63" x14ac:dyDescent="0.25">
      <c r="B462" t="s">
        <v>1459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 t="s">
        <v>442</v>
      </c>
    </row>
    <row r="463" spans="1:63" x14ac:dyDescent="0.25">
      <c r="A463" t="s">
        <v>1276</v>
      </c>
      <c r="B463" t="s">
        <v>85</v>
      </c>
      <c r="C463">
        <v>71.706900000000005</v>
      </c>
      <c r="D463">
        <v>-42.604300000000002</v>
      </c>
      <c r="E463" s="27">
        <v>0</v>
      </c>
      <c r="F463" s="27">
        <v>0</v>
      </c>
      <c r="G463" s="27">
        <v>0</v>
      </c>
      <c r="H463" s="27">
        <v>0</v>
      </c>
      <c r="I463" s="27">
        <v>0</v>
      </c>
      <c r="J463" s="27">
        <v>0</v>
      </c>
      <c r="K463" s="27">
        <v>0</v>
      </c>
      <c r="L463" s="27">
        <v>0</v>
      </c>
      <c r="M463" s="27">
        <v>0</v>
      </c>
      <c r="N463" s="27">
        <v>0</v>
      </c>
      <c r="O463" s="27">
        <v>0</v>
      </c>
      <c r="P463" s="27">
        <v>0</v>
      </c>
      <c r="Q463" s="27">
        <v>0</v>
      </c>
      <c r="R463" s="27">
        <v>0</v>
      </c>
      <c r="S463" s="27">
        <v>0</v>
      </c>
      <c r="T463" s="27">
        <v>0</v>
      </c>
      <c r="U463" s="27">
        <v>0</v>
      </c>
      <c r="V463" s="27">
        <v>0</v>
      </c>
      <c r="W463" s="27">
        <v>0</v>
      </c>
      <c r="X463" s="27">
        <v>0</v>
      </c>
      <c r="Y463" s="27">
        <v>0</v>
      </c>
      <c r="Z463" s="27">
        <v>0</v>
      </c>
      <c r="AA463" s="27">
        <v>0</v>
      </c>
      <c r="AB463" s="27">
        <v>0</v>
      </c>
      <c r="AC463" s="27">
        <v>0</v>
      </c>
      <c r="AD463" s="27">
        <v>0</v>
      </c>
      <c r="AE463" s="27">
        <v>0</v>
      </c>
      <c r="AF463" s="27">
        <v>0</v>
      </c>
      <c r="AG463" s="27">
        <v>0</v>
      </c>
      <c r="AH463" s="27">
        <v>0</v>
      </c>
      <c r="AI463" s="27">
        <v>0</v>
      </c>
      <c r="AJ463" s="27">
        <v>0</v>
      </c>
      <c r="AK463" s="27">
        <v>0</v>
      </c>
      <c r="AL463" s="27">
        <v>0</v>
      </c>
      <c r="AM463" s="27">
        <v>0</v>
      </c>
      <c r="AN463" s="27">
        <v>0</v>
      </c>
      <c r="AO463" s="27">
        <v>0</v>
      </c>
      <c r="AP463" s="27">
        <v>0</v>
      </c>
      <c r="AQ463" s="27">
        <v>0</v>
      </c>
      <c r="AR463" s="27">
        <v>0</v>
      </c>
      <c r="AS463" s="27">
        <v>0</v>
      </c>
      <c r="AT463" s="27">
        <v>0</v>
      </c>
      <c r="AU463" s="27">
        <v>0</v>
      </c>
      <c r="AV463" s="27">
        <v>0</v>
      </c>
      <c r="AW463" s="27">
        <v>0</v>
      </c>
      <c r="AX463" s="27">
        <v>0</v>
      </c>
      <c r="AY463" s="27">
        <v>0</v>
      </c>
      <c r="AZ463" s="27">
        <v>0</v>
      </c>
      <c r="BA463" s="27">
        <v>0</v>
      </c>
      <c r="BB463" s="27">
        <v>0</v>
      </c>
      <c r="BC463" s="27">
        <v>0</v>
      </c>
      <c r="BD463" s="27">
        <v>0</v>
      </c>
      <c r="BE463" s="27">
        <v>0</v>
      </c>
      <c r="BF463" s="27">
        <v>0</v>
      </c>
      <c r="BG463" s="27">
        <v>1</v>
      </c>
      <c r="BH463" s="27">
        <v>1</v>
      </c>
      <c r="BI463" s="27">
        <v>1</v>
      </c>
      <c r="BJ463" s="27">
        <v>2</v>
      </c>
      <c r="BK463" t="s">
        <v>443</v>
      </c>
    </row>
    <row r="464" spans="1:63" x14ac:dyDescent="0.25">
      <c r="A464" t="s">
        <v>1460</v>
      </c>
      <c r="B464" t="s">
        <v>42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 t="s">
        <v>443</v>
      </c>
    </row>
    <row r="465" spans="1:63" x14ac:dyDescent="0.25">
      <c r="A465" t="s">
        <v>1461</v>
      </c>
      <c r="B465" t="s">
        <v>1038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 t="s">
        <v>443</v>
      </c>
    </row>
    <row r="466" spans="1:63" x14ac:dyDescent="0.25">
      <c r="B466" t="s">
        <v>1462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 t="s">
        <v>441</v>
      </c>
    </row>
    <row r="467" spans="1:63" x14ac:dyDescent="0.25">
      <c r="B467" t="s">
        <v>1463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 t="s">
        <v>441</v>
      </c>
    </row>
    <row r="468" spans="1:63" x14ac:dyDescent="0.25">
      <c r="B468" t="s">
        <v>1464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 t="s">
        <v>441</v>
      </c>
    </row>
    <row r="469" spans="1:63" x14ac:dyDescent="0.25">
      <c r="B469" t="s">
        <v>1465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 t="s">
        <v>441</v>
      </c>
    </row>
    <row r="470" spans="1:63" x14ac:dyDescent="0.25">
      <c r="B470" t="s">
        <v>1466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 t="s">
        <v>442</v>
      </c>
    </row>
    <row r="471" spans="1:63" x14ac:dyDescent="0.25">
      <c r="B471" t="s">
        <v>1467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 t="s">
        <v>443</v>
      </c>
    </row>
    <row r="472" spans="1:63" x14ac:dyDescent="0.25">
      <c r="B472" t="s">
        <v>1468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 t="s">
        <v>441</v>
      </c>
    </row>
    <row r="473" spans="1:63" x14ac:dyDescent="0.25">
      <c r="B473" t="s">
        <v>1469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 t="s">
        <v>441</v>
      </c>
    </row>
    <row r="474" spans="1:63" x14ac:dyDescent="0.25">
      <c r="A474" t="s">
        <v>1470</v>
      </c>
      <c r="B474" t="s">
        <v>87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 t="s">
        <v>441</v>
      </c>
    </row>
    <row r="475" spans="1:63" x14ac:dyDescent="0.25">
      <c r="B475" t="s">
        <v>1471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 t="s">
        <v>441</v>
      </c>
    </row>
    <row r="476" spans="1:63" x14ac:dyDescent="0.25">
      <c r="B476" t="s">
        <v>1472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 t="s">
        <v>441</v>
      </c>
    </row>
    <row r="477" spans="1:63" x14ac:dyDescent="0.25">
      <c r="A477" t="s">
        <v>1473</v>
      </c>
      <c r="B477" t="s">
        <v>1038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 t="s">
        <v>441</v>
      </c>
    </row>
    <row r="478" spans="1:63" x14ac:dyDescent="0.25">
      <c r="B478" t="s">
        <v>1474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 t="s">
        <v>441</v>
      </c>
    </row>
  </sheetData>
  <autoFilter ref="A1:DP476"/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G8" sqref="G8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</cols>
  <sheetData>
    <row r="1" spans="1:8" ht="17.25" thickBot="1" x14ac:dyDescent="0.35">
      <c r="A1" s="40" t="s">
        <v>797</v>
      </c>
      <c r="B1" s="40" t="s">
        <v>776</v>
      </c>
      <c r="E1" t="s">
        <v>798</v>
      </c>
      <c r="F1" t="s">
        <v>1288</v>
      </c>
      <c r="G1" t="s">
        <v>1287</v>
      </c>
      <c r="H1" t="s">
        <v>1289</v>
      </c>
    </row>
    <row r="2" spans="1:8" ht="33.75" thickBot="1" x14ac:dyDescent="0.3">
      <c r="A2" s="41">
        <v>0</v>
      </c>
      <c r="B2" s="41" t="s">
        <v>777</v>
      </c>
      <c r="E2" s="26" t="s">
        <v>992</v>
      </c>
      <c r="F2" t="s">
        <v>48</v>
      </c>
      <c r="G2" s="27">
        <v>43851</v>
      </c>
      <c r="H2">
        <v>1</v>
      </c>
    </row>
    <row r="3" spans="1:8" ht="17.25" thickBot="1" x14ac:dyDescent="0.3">
      <c r="A3" s="41">
        <v>1</v>
      </c>
      <c r="B3" s="41" t="s">
        <v>778</v>
      </c>
      <c r="E3" t="s">
        <v>202</v>
      </c>
      <c r="G3" s="27">
        <v>43851</v>
      </c>
      <c r="H3">
        <v>-1</v>
      </c>
    </row>
    <row r="4" spans="1:8" ht="17.25" thickBot="1" x14ac:dyDescent="0.3">
      <c r="A4" s="41">
        <v>2</v>
      </c>
      <c r="B4" s="41" t="s">
        <v>779</v>
      </c>
      <c r="E4" t="s">
        <v>58</v>
      </c>
      <c r="F4" t="s">
        <v>58</v>
      </c>
      <c r="G4" s="27">
        <v>43851</v>
      </c>
      <c r="H4" s="26">
        <v>1</v>
      </c>
    </row>
    <row r="5" spans="1:8" ht="17.25" thickBot="1" x14ac:dyDescent="0.3">
      <c r="A5" s="41">
        <v>3</v>
      </c>
      <c r="B5" s="41" t="s">
        <v>780</v>
      </c>
      <c r="E5" t="s">
        <v>37</v>
      </c>
      <c r="F5" t="s">
        <v>37</v>
      </c>
      <c r="G5" s="27">
        <v>43871</v>
      </c>
      <c r="H5" s="26">
        <v>1</v>
      </c>
    </row>
    <row r="6" spans="1:8" ht="17.25" thickBot="1" x14ac:dyDescent="0.3">
      <c r="A6" s="41">
        <v>4</v>
      </c>
      <c r="B6" s="41" t="s">
        <v>781</v>
      </c>
      <c r="E6" t="s">
        <v>225</v>
      </c>
      <c r="F6" t="s">
        <v>225</v>
      </c>
      <c r="G6" s="27">
        <v>43851</v>
      </c>
      <c r="H6" s="26">
        <v>1</v>
      </c>
    </row>
    <row r="7" spans="1:8" ht="17.25" thickBot="1" x14ac:dyDescent="0.3">
      <c r="A7" s="41">
        <v>5</v>
      </c>
      <c r="B7" s="41" t="s">
        <v>782</v>
      </c>
      <c r="E7" s="26" t="s">
        <v>1294</v>
      </c>
      <c r="F7" t="s">
        <v>246</v>
      </c>
      <c r="G7" s="27">
        <v>43851</v>
      </c>
      <c r="H7" s="26">
        <v>1</v>
      </c>
    </row>
    <row r="8" spans="1:8" ht="17.25" thickBot="1" x14ac:dyDescent="0.3">
      <c r="A8" s="41">
        <v>6</v>
      </c>
      <c r="B8" s="41" t="s">
        <v>783</v>
      </c>
      <c r="E8" s="26" t="s">
        <v>1252</v>
      </c>
      <c r="F8" t="s">
        <v>1038</v>
      </c>
      <c r="G8" s="27">
        <v>43860</v>
      </c>
      <c r="H8" s="26">
        <v>1</v>
      </c>
    </row>
    <row r="9" spans="1:8" ht="17.25" thickBot="1" x14ac:dyDescent="0.3">
      <c r="A9" s="41">
        <v>7</v>
      </c>
      <c r="B9" s="41" t="s">
        <v>784</v>
      </c>
      <c r="E9" t="s">
        <v>997</v>
      </c>
      <c r="G9" s="27">
        <v>43831</v>
      </c>
      <c r="H9" s="26">
        <v>1</v>
      </c>
    </row>
    <row r="10" spans="1:8" ht="17.25" thickBot="1" x14ac:dyDescent="0.3">
      <c r="A10" s="41">
        <v>8</v>
      </c>
      <c r="B10" s="41" t="s">
        <v>785</v>
      </c>
    </row>
    <row r="11" spans="1:8" ht="17.25" thickBot="1" x14ac:dyDescent="0.3">
      <c r="A11" s="41">
        <v>9</v>
      </c>
      <c r="B11" s="41" t="s">
        <v>786</v>
      </c>
    </row>
    <row r="12" spans="1:8" ht="17.25" thickBot="1" x14ac:dyDescent="0.3">
      <c r="A12" s="41">
        <v>10</v>
      </c>
      <c r="B12" s="41" t="s">
        <v>787</v>
      </c>
    </row>
    <row r="13" spans="1:8" ht="17.25" thickBot="1" x14ac:dyDescent="0.3">
      <c r="A13" s="41">
        <v>11</v>
      </c>
      <c r="B13" s="41" t="s">
        <v>788</v>
      </c>
    </row>
    <row r="14" spans="1:8" ht="17.25" thickBot="1" x14ac:dyDescent="0.3">
      <c r="A14" s="41">
        <v>13</v>
      </c>
      <c r="B14" s="41" t="s">
        <v>789</v>
      </c>
    </row>
    <row r="15" spans="1:8" ht="33.75" thickBot="1" x14ac:dyDescent="0.3">
      <c r="A15" s="41">
        <v>14</v>
      </c>
      <c r="B15" s="41" t="s">
        <v>790</v>
      </c>
    </row>
    <row r="16" spans="1:8" ht="33.75" thickBot="1" x14ac:dyDescent="0.3">
      <c r="A16" s="41">
        <v>15</v>
      </c>
      <c r="B16" s="41" t="s">
        <v>791</v>
      </c>
    </row>
    <row r="17" spans="1:2" ht="33.75" thickBot="1" x14ac:dyDescent="0.3">
      <c r="A17" s="41">
        <v>16</v>
      </c>
      <c r="B17" s="41" t="s">
        <v>792</v>
      </c>
    </row>
    <row r="18" spans="1:2" ht="17.25" thickBot="1" x14ac:dyDescent="0.3">
      <c r="A18" s="41">
        <v>17</v>
      </c>
      <c r="B18" s="41" t="s">
        <v>793</v>
      </c>
    </row>
    <row r="19" spans="1:2" ht="17.25" thickBot="1" x14ac:dyDescent="0.3">
      <c r="A19" s="41">
        <v>18</v>
      </c>
      <c r="B19" s="41" t="s">
        <v>794</v>
      </c>
    </row>
    <row r="20" spans="1:2" ht="17.25" thickBot="1" x14ac:dyDescent="0.3">
      <c r="A20" s="41">
        <v>19</v>
      </c>
      <c r="B20" s="41" t="s">
        <v>795</v>
      </c>
    </row>
    <row r="21" spans="1:2" ht="16.5" x14ac:dyDescent="0.25">
      <c r="A21" s="41">
        <v>20</v>
      </c>
      <c r="B21" s="41" t="s">
        <v>796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16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myData</vt:lpstr>
      <vt:lpstr>Chart Index</vt:lpstr>
      <vt:lpstr>BedOccupancy</vt:lpstr>
      <vt:lpstr>Names</vt:lpstr>
      <vt:lpstr>time_series_19-covid-Confirmed</vt:lpstr>
      <vt:lpstr>solvMsgs</vt:lpstr>
      <vt:lpstr>chtAsymptoteNSW</vt:lpstr>
      <vt:lpstr>chtFutureAllSK2</vt:lpstr>
      <vt:lpstr>chtFutureUK</vt:lpstr>
      <vt:lpstr>chtFutureSKorea</vt:lpstr>
      <vt:lpstr>chtFutureNSWUS</vt:lpstr>
      <vt:lpstr>chtFutureAll</vt:lpstr>
      <vt:lpstr>chtFutureNSWEarly</vt:lpstr>
      <vt:lpstr>chtFutureNSW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myData!betaPodeltaSKorea</vt:lpstr>
      <vt:lpstr>myData!betaPodeltaTest</vt:lpstr>
      <vt:lpstr>myData!betaPodeltaUK</vt:lpstr>
      <vt:lpstr>myData!betaPodeltaUS</vt:lpstr>
      <vt:lpstr>myData!betaSKorea</vt:lpstr>
      <vt:lpstr>myData!betaTest</vt:lpstr>
      <vt:lpstr>myData!betaTests</vt:lpstr>
      <vt:lpstr>myData!betaUK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myData!deltaconstraint</vt:lpstr>
      <vt:lpstr>myData!deltaItaly</vt:lpstr>
      <vt:lpstr>myData!deltaNSW</vt:lpstr>
      <vt:lpstr>myData!deltaSKorea</vt:lpstr>
      <vt:lpstr>myData!deltaTest</vt:lpstr>
      <vt:lpstr>myData!deltaTests</vt:lpstr>
      <vt:lpstr>myData!deltaUK</vt:lpstr>
      <vt:lpstr>myData!deltaUS</vt:lpstr>
      <vt:lpstr>myData!HisTableTL</vt:lpstr>
      <vt:lpstr>myData!ItalyPop</vt:lpstr>
      <vt:lpstr>myData!ItalySeries</vt:lpstr>
      <vt:lpstr>myData!ItalyStart</vt:lpstr>
      <vt:lpstr>myData!LogFormula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myData!msqSKorea</vt:lpstr>
      <vt:lpstr>myData!msqTest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myData!PoSKorea</vt:lpstr>
      <vt:lpstr>myData!PoTest</vt:lpstr>
      <vt:lpstr>myData!PoTests</vt:lpstr>
      <vt:lpstr>myData!PoUK</vt:lpstr>
      <vt:lpstr>myData!PoUS</vt:lpstr>
      <vt:lpstr>myData!RunTableTL</vt:lpstr>
      <vt:lpstr>myData!RunTableTR</vt:lpstr>
      <vt:lpstr>myData!RunTimeAu</vt:lpstr>
      <vt:lpstr>myData!SKoreaPop</vt:lpstr>
      <vt:lpstr>myData!SKoreaSeries</vt:lpstr>
      <vt:lpstr>myData!SKoreaStart</vt:lpstr>
      <vt:lpstr>SolverMsg</vt:lpstr>
      <vt:lpstr>myData!StartDt2Au</vt:lpstr>
      <vt:lpstr>myData!StartDt2China</vt:lpstr>
      <vt:lpstr>myData!StartDt2Italy</vt:lpstr>
      <vt:lpstr>myData!StartDt2Korea</vt:lpstr>
      <vt:lpstr>myData!StartDt2NSW</vt:lpstr>
      <vt:lpstr>myData!StartDt2Tests</vt:lpstr>
      <vt:lpstr>myData!StartDt2UK</vt:lpstr>
      <vt:lpstr>myData!StartDt2US</vt:lpstr>
      <vt:lpstr>myData!TitleAll</vt:lpstr>
      <vt:lpstr>myData!TitleAllSK</vt:lpstr>
      <vt:lpstr>myData!UKPop</vt:lpstr>
      <vt:lpstr>myData!UKSeries</vt:lpstr>
      <vt:lpstr>myData!UKStart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2020-03-21T10:40:48Z</dcterms:modified>
</cp:coreProperties>
</file>