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2.xml" ContentType="application/vnd.openxmlformats-officedocument.spreadsheetml.work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trlProps/ctrlProp3.xml" ContentType="application/vnd.ms-excel.controlproperties+xml"/>
  <Override PartName="/xl/drawings/drawing1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5.xml" ContentType="application/vnd.openxmlformats-officedocument.drawingml.chartshapes+xml"/>
  <Override PartName="/xl/drawings/drawing1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9.xml" ContentType="application/vnd.openxmlformats-officedocument.drawingml.chartshapes+xml"/>
  <Override PartName="/xl/drawings/drawing2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1.xml" ContentType="application/vnd.openxmlformats-officedocument.drawingml.chartshapes+xml"/>
  <Override PartName="/xl/drawings/drawing2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23.xml" ContentType="application/vnd.openxmlformats-officedocument.drawingml.chartshapes+xml"/>
  <Override PartName="/xl/drawings/drawing24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5.xml" ContentType="application/vnd.openxmlformats-officedocument.drawingml.chartshapes+xml"/>
  <Override PartName="/xl/drawings/drawing26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7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8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31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ata\health\COVID19\COVID19excel\"/>
    </mc:Choice>
  </mc:AlternateContent>
  <bookViews>
    <workbookView xWindow="0" yWindow="0" windowWidth="21675" windowHeight="8685" tabRatio="841"/>
  </bookViews>
  <sheets>
    <sheet name="myData" sheetId="4" r:id="rId1"/>
    <sheet name="chtAsymptoteNSW" sheetId="32" r:id="rId2"/>
    <sheet name="chtFutureAllSK2" sheetId="33" r:id="rId3"/>
    <sheet name="chtFutureUK" sheetId="30" r:id="rId4"/>
    <sheet name="chtFutureSKorea" sheetId="26" r:id="rId5"/>
    <sheet name="chtFutureNSWUS" sheetId="25" r:id="rId6"/>
    <sheet name="chtFutureAll" sheetId="15" r:id="rId7"/>
    <sheet name="Chart Index" sheetId="14" r:id="rId8"/>
    <sheet name="chtFutureNSWEarly" sheetId="8" r:id="rId9"/>
    <sheet name="chtFutureNSW" sheetId="5" r:id="rId10"/>
    <sheet name="chtFutureItalyEarly" sheetId="7" r:id="rId11"/>
    <sheet name="chtFutureItaly" sheetId="6" r:id="rId12"/>
    <sheet name="chtFutureUSEarly" sheetId="10" r:id="rId13"/>
    <sheet name="chtFutureUS" sheetId="11" r:id="rId14"/>
    <sheet name="chtFutureChina" sheetId="19" r:id="rId15"/>
    <sheet name="chtTests" sheetId="22" r:id="rId16"/>
    <sheet name="chtFutureAU" sheetId="24" r:id="rId17"/>
    <sheet name="chtFutureAllAU" sheetId="23" r:id="rId18"/>
    <sheet name="BedOccupancy" sheetId="16" state="hidden" r:id="rId19"/>
    <sheet name="Names" sheetId="20" state="hidden" r:id="rId20"/>
    <sheet name="time_series_19-covid-Confirmed" sheetId="1" r:id="rId21"/>
    <sheet name="solvMsgs" sheetId="21" r:id="rId22"/>
  </sheets>
  <functionGroups builtInGroupCount="18"/>
  <externalReferences>
    <externalReference r:id="rId23"/>
  </externalReferences>
  <definedNames>
    <definedName name="_xlnm._FilterDatabase" localSheetId="19" hidden="1">Names!$A$1:$P$56</definedName>
    <definedName name="_xlnm._FilterDatabase" localSheetId="20" hidden="1">'time_series_19-covid-Confirmed'!$A$1:$DP$476</definedName>
    <definedName name="aaaTest">MATCH(1,tblData[SKorea Cases Per Capita],0)</definedName>
    <definedName name="Asymptote" localSheetId="0">myData!$D$2</definedName>
    <definedName name="AuCases" localSheetId="0">OFFSET(tblData[[#Headers],[Au Cases Per Capita]],MATCH(0,tblData[Au Cases Per Capita],0),0,COUNTA(tblData[New South Wales])-MATCH(0,tblData[NSW Cases per Capita],0)+1,1)</definedName>
    <definedName name="AuDates" localSheetId="0">myData!NSWDates</definedName>
    <definedName name="AuLogi" localSheetId="0">OFFSET(tblData[[#Headers],[Au LogiP(t) Per Capita]],MATCH(0,tblData[NSW],0),0,COUNTA(tblData[Date])-MATCH(0,tblData[NSW],0)+1,1)</definedName>
    <definedName name="AuLogiDates" localSheetId="0">OFFSET(tblData[[#Headers],[Date]],MATCH(0,tblData[NSW],0),0,COUNTA(tblData[Date])-MATCH(0,tblData[NSW],0)+1,1)</definedName>
    <definedName name="AuMaxCasespc" localSheetId="0">myData!$CI$11</definedName>
    <definedName name="AuPop" localSheetId="0">myData!$AA$8</definedName>
    <definedName name="AuSeries" localSheetId="0">myData!$CF$11</definedName>
    <definedName name="beta" localSheetId="0">myData!$A$2</definedName>
    <definedName name="betaAu" localSheetId="0">myData!$BP$11</definedName>
    <definedName name="betaChina" localSheetId="0">myData!$BP$15</definedName>
    <definedName name="betaItaly" localSheetId="0">myData!$BP$13</definedName>
    <definedName name="betaNSW" localSheetId="0">myData!$BP$12</definedName>
    <definedName name="betaPodelta" localSheetId="0">myData!$F$2</definedName>
    <definedName name="betaPodeltaAu" localSheetId="0">myData!$BU$11</definedName>
    <definedName name="betaPodeltaChina" localSheetId="0">myData!$BU$15</definedName>
    <definedName name="betaPodeltaItaly" localSheetId="0">myData!$BU$13</definedName>
    <definedName name="betaPodeltaNSW" localSheetId="0">myData!$BU$12</definedName>
    <definedName name="betaPodeltaSKorea" localSheetId="0">myData!$BU$16</definedName>
    <definedName name="betaPodeltaTest" localSheetId="0">myData!$AH$2</definedName>
    <definedName name="betaPodeltaUK" localSheetId="0">myData!$BU$17</definedName>
    <definedName name="betaPodeltaUS" localSheetId="0">myData!$BU$14</definedName>
    <definedName name="betaSKorea" localSheetId="0">myData!$BP$16</definedName>
    <definedName name="betaTest" localSheetId="0">myData!$AC$2</definedName>
    <definedName name="betaTests" localSheetId="0">myData!$BP$18</definedName>
    <definedName name="betaUK" localSheetId="0">myData!$BP$17</definedName>
    <definedName name="betaUS" localSheetId="0">myData!$BP$14</definedName>
    <definedName name="ChinaCases" localSheetId="0">OFFSET(tblData[[#Headers],[China Cases Per Capita]],1,0,COUNTA(tblData[China Cases Per Capita]),1)</definedName>
    <definedName name="ChinaDates" localSheetId="0">OFFSET(tblData[[#Headers],[Date]],1,0,COUNTA(tblData[China]),1)</definedName>
    <definedName name="ChinaLogi" localSheetId="0">OFFSET(tblData[[#Headers],[China LogiP(t) Per Capita]],1,0,COUNTA(tblData[Date]),1)</definedName>
    <definedName name="ChinaLogiDates" localSheetId="0">OFFSET(tblData[[#Headers],[Date]],1,0,COUNTA(tblData[Date]),1)</definedName>
    <definedName name="ChinaPop" localSheetId="0">myData!$V$8</definedName>
    <definedName name="ChinaSeries" localSheetId="0">myData!$CF$15</definedName>
    <definedName name="Countries" comment="List of Countries for running solver">solvMsgs!$E$1:$G$9</definedName>
    <definedName name="delta" localSheetId="0">myData!$B$2</definedName>
    <definedName name="deltaAu" localSheetId="0">myData!$BQ$11</definedName>
    <definedName name="deltaChina" localSheetId="0">myData!$BQ$15</definedName>
    <definedName name="deltaconstraint" localSheetId="0">myData!$B$3</definedName>
    <definedName name="deltaItaly" localSheetId="0">myData!$BQ$13</definedName>
    <definedName name="deltaNSW" localSheetId="0">myData!$BQ$12</definedName>
    <definedName name="deltaSKorea" localSheetId="0">myData!$BQ$16</definedName>
    <definedName name="deltaTest" localSheetId="0">myData!$AD$2</definedName>
    <definedName name="deltaTests" localSheetId="0">myData!$BQ$18</definedName>
    <definedName name="deltaUK" localSheetId="0">myData!$BQ$17</definedName>
    <definedName name="deltaUS" localSheetId="0">myData!$BQ$14</definedName>
    <definedName name="HisTableBL" localSheetId="0">OFFSET(myData!HisTableTL,0,COUNTA(myData!$DE:$DE)+1,1,1)</definedName>
    <definedName name="HisTableTL" localSheetId="0">myData!$DE$10</definedName>
    <definedName name="ItalyCases" localSheetId="0">OFFSET(tblData[[#Headers],[Italy Cases per Capita]],MATCH(0,tblData[Italy Cases per Capita],0),0,COUNTA(tblData[Italy Cases per Capita]),1)</definedName>
    <definedName name="ItalyDates" localSheetId="0">OFFSET(tblData[[#Headers],[Date]],MATCH(0,tblData[Italy],0),0,COUNTA(tblData[Italy]),1)</definedName>
    <definedName name="ItalyLogi" localSheetId="0">OFFSET(tblData[[#Headers],[Italy LogiP(t) Per Capita]],MATCH(0,tblData[Italy],0),0,COUNTA(tblData[Date])-MATCH(0,tblData[Italy],0)+1,1)</definedName>
    <definedName name="ItalyLogiDates" localSheetId="0">OFFSET(tblData[[#Headers],[Date]],MATCH(0,tblData[Italy],0),0,COUNTA(tblData[Date])-MATCH(0,tblData[Italy],0)+1,1)</definedName>
    <definedName name="ItalyPop" localSheetId="0">myData!$N$8</definedName>
    <definedName name="ItalySeries" localSheetId="0">myData!$CF$13</definedName>
    <definedName name="ItalyStart" localSheetId="0">myData!$BM$13</definedName>
    <definedName name="LogFormula" localSheetId="0">myData!$DX$6</definedName>
    <definedName name="MaxAusCases" localSheetId="0">myData!$BZ$11</definedName>
    <definedName name="MaxNSWCases" localSheetId="0">myData!$BZ$12</definedName>
    <definedName name="msqAu" localSheetId="0">myData!$BT$11</definedName>
    <definedName name="msqChina" localSheetId="0">myData!$BT$15</definedName>
    <definedName name="msqItaly" localSheetId="0">myData!$BT$13</definedName>
    <definedName name="msqNSW" localSheetId="0">myData!$BT$12</definedName>
    <definedName name="msqSKorea" localSheetId="0">myData!$BT$16</definedName>
    <definedName name="msqTest" localSheetId="0">myData!$AG$2</definedName>
    <definedName name="msqTests" localSheetId="0">myData!$BT$18</definedName>
    <definedName name="msqUK" localSheetId="0">myData!$BT$17</definedName>
    <definedName name="msqUS" localSheetId="0">myData!$BT$14</definedName>
    <definedName name="mySolverPar" localSheetId="0">myData!$A$2:$E$2</definedName>
    <definedName name="NSWCases" localSheetId="0">OFFSET(tblData[[#Headers],[NSW Cases per Capita]],MATCH(0,tblData[NSW Cases per Capita],0),0,COUNTA(tblData[New South Wales])-MATCH(0,tblData[NSW Cases per Capita],0)+1,1)</definedName>
    <definedName name="NSWDates" localSheetId="0">OFFSET(tblData[[#Headers],[Date]],MATCH(0,tblData[NSW],0),0,COUNTA(tblData[New South Wales])-MATCH(0,tblData[NSW],0)+1,1)</definedName>
    <definedName name="NSWLogi" localSheetId="0">OFFSET(tblData[[#Headers],[Nsw LogiP(t) Per Capita]],MATCH(0,tblData[NSW],0),0,COUNTA(tblData[Date])-MATCH(0,tblData[NSW],0)+1,1)</definedName>
    <definedName name="NSWLogiDates" localSheetId="0">OFFSET(tblData[[#Headers],[Date]],MATCH(0,tblData[NSW],0),0,COUNTA(tblData[Date])-MATCH(0,tblData[NSW],0)+1,1)</definedName>
    <definedName name="NSWMaxCasespc" localSheetId="0">myData!$CI$12</definedName>
    <definedName name="NSWpop" comment="NSW population" localSheetId="0">myData!$L$8</definedName>
    <definedName name="NSWSeries" localSheetId="0">myData!$CF$12</definedName>
    <definedName name="PerPerson" localSheetId="0">myData!$L$2</definedName>
    <definedName name="PerPersonLabel">myData!$L$3</definedName>
    <definedName name="Po" localSheetId="0">myData!$C$2</definedName>
    <definedName name="PoAu" localSheetId="0">myData!$BR$11</definedName>
    <definedName name="PoChina" localSheetId="0">myData!$BR$15</definedName>
    <definedName name="PoItaly" localSheetId="0">myData!$BR$13</definedName>
    <definedName name="PoNSW" localSheetId="0">myData!$BR$12</definedName>
    <definedName name="PopScaling" comment="Value of 1 applies population scaling so result is per 10m people" localSheetId="0">myData!$J$2</definedName>
    <definedName name="PoSKorea" localSheetId="0">myData!$BR$16</definedName>
    <definedName name="PoTest" localSheetId="0">myData!$AE$2</definedName>
    <definedName name="PoTests" localSheetId="0">myData!$BR$18</definedName>
    <definedName name="PoUK" localSheetId="0">myData!$BR$17</definedName>
    <definedName name="PoUS" localSheetId="0">myData!$BR$14</definedName>
    <definedName name="RunRange" localSheetId="0">OFFSET(myData!RunTableTL,0,0,COUNTA(myData!$BK:$BK),COLUMN(myData!RunTableTR)-COLUMN(myData!RunTableTL)+1)</definedName>
    <definedName name="RunTableTL" localSheetId="0">myData!$BK$10</definedName>
    <definedName name="RunTableTR" localSheetId="0">myData!$CM$10</definedName>
    <definedName name="RunTimeAu" localSheetId="0">myData!$BL$11</definedName>
    <definedName name="SKoreaCases" localSheetId="0">OFFSET(tblData[[#Headers],[SKorea Cases Per Capita]],1,0,COUNT(tblData[SKorea Cases Per Capita]),1)</definedName>
    <definedName name="SKoreaDates" localSheetId="0">OFFSET(tblData[[#Headers],[Date]],1,0,COUNTA(tblData[SKorea]),1)</definedName>
    <definedName name="SKoreaLogi" localSheetId="0">OFFSET(tblData[[#Headers],[Skorea LogiP(t) Per Capita]],1,0,COUNTA(tblData[Date]),1)</definedName>
    <definedName name="SKoreaLogiDates" localSheetId="0">OFFSET(tblData[[#Headers],[Date]],1,0,COUNTA(tblData[Date]),1)</definedName>
    <definedName name="SKoreaPop" localSheetId="0">myData!$R$8</definedName>
    <definedName name="SKoreaSeries" localSheetId="0">myData!$CF$16</definedName>
    <definedName name="SKoreaStart" localSheetId="0">myData!$BM$16</definedName>
    <definedName name="solver_adj" localSheetId="0" hidden="1">myData!$BP$11:$BR$11</definedName>
    <definedName name="solver_cvg" localSheetId="0" hidden="1">0.000001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myData!$C$2</definedName>
    <definedName name="solver_lhs2" localSheetId="0" hidden="1">myData!$A$2</definedName>
    <definedName name="solver_lhs3" localSheetId="0" hidden="1">myData!$F$2</definedName>
    <definedName name="solver_lhs4" localSheetId="0" hidden="1">myData!$B$2</definedName>
    <definedName name="solver_lhs5" localSheetId="0" hidden="1">myData!$AD$2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myData!$BT$11</definedName>
    <definedName name="solver_pre" localSheetId="0" hidden="1">0.000000001</definedName>
    <definedName name="solver_rbv" localSheetId="0" hidden="1">1</definedName>
    <definedName name="solver_rel1" localSheetId="0" hidden="1">3</definedName>
    <definedName name="solver_rel2" localSheetId="0" hidden="1">3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hs1" localSheetId="0" hidden="1">0.001</definedName>
    <definedName name="solver_rhs2" localSheetId="0" hidden="1">0.000000001</definedName>
    <definedName name="solver_rhs3" localSheetId="0" hidden="1">0</definedName>
    <definedName name="solver_rhs4" localSheetId="0" hidden="1">myData!$B$3</definedName>
    <definedName name="solver_rhs5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SolverMsg">solvMsgs!$A$1:$B$21</definedName>
    <definedName name="StartDt2Au" localSheetId="0">myData!$BN$11</definedName>
    <definedName name="StartDt2China" localSheetId="0">myData!$BN$15</definedName>
    <definedName name="StartDt2Italy" localSheetId="0">myData!$BN$13</definedName>
    <definedName name="StartDt2Korea" localSheetId="0">myData!$BN$16</definedName>
    <definedName name="StartDt2NSW" localSheetId="0">myData!$BN$12</definedName>
    <definedName name="StartDt2Tests" localSheetId="0">myData!$BN$18</definedName>
    <definedName name="StartDt2UK" localSheetId="0">myData!$BN$17</definedName>
    <definedName name="StartDt2US" localSheetId="0">myData!$BN$14</definedName>
    <definedName name="TitleAll" localSheetId="0">myData!$CN$8</definedName>
    <definedName name="TitleAllSK" localSheetId="0">myData!$CN$9</definedName>
    <definedName name="UKCases" localSheetId="0">OFFSET(tblData[[#Headers],[UK Cases Per Capita]],MATCH(0,tblData[UK Cases Per Capita],0),0,COUNTA(tblData[UK Cases Per Capita]),1)</definedName>
    <definedName name="UKDates" localSheetId="0">OFFSET(tblData[[#Headers],[Date]],MATCH(0,tblData[UK],0),0,COUNTA(tblData[UK]),1)</definedName>
    <definedName name="UKLogi" localSheetId="0">OFFSET(tblData[[#Headers],[UK LogiP(t) Per Capita]],MATCH(0,tblData[UK],0),0,COUNTA(tblData[Date])-MATCH(0,tblData[UK],0)+1,1)</definedName>
    <definedName name="UKLogiDates" localSheetId="0">OFFSET(tblData[[#Headers],[Date]],MATCH(0,tblData[UK],0),0,COUNTA(tblData[Date])-MATCH(0,tblData[UK],0)+1,1)</definedName>
    <definedName name="UKPop" localSheetId="0">myData!$T$8</definedName>
    <definedName name="UKSeries" localSheetId="0">myData!$CF$17</definedName>
    <definedName name="UKStart" localSheetId="0">myData!$BM$17</definedName>
    <definedName name="USCases" localSheetId="0">OFFSET(tblData[[#Headers],[US Cases Per Capita]],MATCH(0,tblData[US Cases Per Capita],0),0,COUNT(tblData[US]),1)</definedName>
    <definedName name="USDates" localSheetId="0">OFFSET(tblData[[#Headers],[Date]],MATCH(0,tblData[US],0),0,COUNT(tblData[US]),1)</definedName>
    <definedName name="USDays" localSheetId="0">OFFSET(tblData[[#Headers],[Days'# US]],MATCH(0,tblData[US],0),0,COUNTA(tblData[US]),1)</definedName>
    <definedName name="USLogi" localSheetId="0">OFFSET(tblData[[#Headers],[US LogiP(t) Per Capita]],MATCH(0,tblData[US],0),0,COUNT(tblData[US LogiP(t) Per Capita]),1)</definedName>
    <definedName name="USLogiDates" localSheetId="0">OFFSET(tblData[[#Headers],[Date]],MATCH(0,tblData[US],0),0,COUNTA(tblData[Date])-MATCH(0,tblData[US],0)+1,1)</definedName>
    <definedName name="USpop" localSheetId="0">myData!$P$8</definedName>
    <definedName name="USSeries" localSheetId="0">myData!$CF$14</definedName>
  </definedNames>
  <calcPr calcId="152511" calcOnSave="0"/>
</workbook>
</file>

<file path=xl/calcChain.xml><?xml version="1.0" encoding="utf-8"?>
<calcChain xmlns="http://schemas.openxmlformats.org/spreadsheetml/2006/main">
  <c r="C2" i="4" l="1"/>
  <c r="B2" i="4"/>
  <c r="A2" i="4"/>
  <c r="AC14" i="4"/>
  <c r="AC11" i="4"/>
  <c r="AC12" i="4"/>
  <c r="AC13" i="4"/>
  <c r="AI71" i="4"/>
  <c r="L71" i="4" s="1"/>
  <c r="D2" i="4" l="1"/>
  <c r="AN11" i="4"/>
  <c r="AN12" i="4"/>
  <c r="AN13" i="4"/>
  <c r="AN14" i="4"/>
  <c r="AN15" i="4"/>
  <c r="AN16" i="4"/>
  <c r="AN17" i="4"/>
  <c r="AN18" i="4"/>
  <c r="W11" i="4"/>
  <c r="AB11" i="4"/>
  <c r="AL11" i="4" s="1"/>
  <c r="AB12" i="4"/>
  <c r="AL12" i="4" s="1"/>
  <c r="AB13" i="4"/>
  <c r="AL13" i="4" s="1"/>
  <c r="AB14" i="4"/>
  <c r="AL14" i="4" s="1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33" i="4"/>
  <c r="AB34" i="4"/>
  <c r="AB35" i="4"/>
  <c r="AB36" i="4"/>
  <c r="AB37" i="4"/>
  <c r="AB38" i="4"/>
  <c r="AB39" i="4"/>
  <c r="AB40" i="4"/>
  <c r="AB41" i="4"/>
  <c r="AB42" i="4"/>
  <c r="AB43" i="4"/>
  <c r="AB44" i="4"/>
  <c r="AB45" i="4"/>
  <c r="AB46" i="4"/>
  <c r="AB47" i="4"/>
  <c r="AB48" i="4"/>
  <c r="AB49" i="4"/>
  <c r="AB50" i="4"/>
  <c r="AB51" i="4"/>
  <c r="AB52" i="4"/>
  <c r="AB53" i="4"/>
  <c r="AB54" i="4"/>
  <c r="AB55" i="4"/>
  <c r="AB56" i="4"/>
  <c r="AB57" i="4"/>
  <c r="AB58" i="4"/>
  <c r="AB59" i="4"/>
  <c r="AB60" i="4"/>
  <c r="AB61" i="4"/>
  <c r="AK14" i="4"/>
  <c r="AJ11" i="4"/>
  <c r="AJ12" i="4"/>
  <c r="AJ13" i="4"/>
  <c r="AJ14" i="4"/>
  <c r="AH11" i="4"/>
  <c r="AH12" i="4"/>
  <c r="AH13" i="4"/>
  <c r="AH14" i="4"/>
  <c r="AH15" i="4"/>
  <c r="AH16" i="4"/>
  <c r="AH17" i="4"/>
  <c r="AH18" i="4"/>
  <c r="AH19" i="4"/>
  <c r="AH20" i="4"/>
  <c r="AH21" i="4"/>
  <c r="AH22" i="4"/>
  <c r="AH23" i="4"/>
  <c r="AH24" i="4"/>
  <c r="AH25" i="4"/>
  <c r="AH26" i="4"/>
  <c r="AH27" i="4"/>
  <c r="AH28" i="4"/>
  <c r="AH29" i="4"/>
  <c r="AH30" i="4"/>
  <c r="AH31" i="4"/>
  <c r="AH32" i="4"/>
  <c r="AH33" i="4"/>
  <c r="AH34" i="4"/>
  <c r="AH35" i="4"/>
  <c r="AH36" i="4"/>
  <c r="AH37" i="4"/>
  <c r="AH38" i="4"/>
  <c r="AH39" i="4"/>
  <c r="AH40" i="4"/>
  <c r="AH41" i="4"/>
  <c r="AH42" i="4"/>
  <c r="AH43" i="4"/>
  <c r="AH44" i="4"/>
  <c r="AH45" i="4"/>
  <c r="AH46" i="4"/>
  <c r="AH47" i="4"/>
  <c r="AH48" i="4"/>
  <c r="AH49" i="4"/>
  <c r="AH50" i="4"/>
  <c r="AH51" i="4"/>
  <c r="AH52" i="4"/>
  <c r="AH53" i="4"/>
  <c r="AH54" i="4"/>
  <c r="AH55" i="4"/>
  <c r="AH56" i="4"/>
  <c r="AH57" i="4"/>
  <c r="AH58" i="4"/>
  <c r="AH59" i="4"/>
  <c r="AH60" i="4"/>
  <c r="AH61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AU11" i="4"/>
  <c r="AU12" i="4"/>
  <c r="AU13" i="4"/>
  <c r="AU14" i="4"/>
  <c r="AU15" i="4"/>
  <c r="AU16" i="4"/>
  <c r="AU17" i="4"/>
  <c r="AU18" i="4"/>
  <c r="AU19" i="4"/>
  <c r="AU20" i="4"/>
  <c r="AU21" i="4"/>
  <c r="AU22" i="4"/>
  <c r="AU23" i="4"/>
  <c r="AU24" i="4"/>
  <c r="AU25" i="4"/>
  <c r="AU26" i="4"/>
  <c r="AU27" i="4"/>
  <c r="AU28" i="4"/>
  <c r="AU29" i="4"/>
  <c r="AU30" i="4"/>
  <c r="AU31" i="4"/>
  <c r="AU32" i="4"/>
  <c r="AU33" i="4"/>
  <c r="AU34" i="4"/>
  <c r="AU35" i="4"/>
  <c r="AU36" i="4"/>
  <c r="AU37" i="4"/>
  <c r="AU38" i="4"/>
  <c r="AT11" i="4"/>
  <c r="AT12" i="4"/>
  <c r="AT13" i="4"/>
  <c r="AT14" i="4"/>
  <c r="AT15" i="4"/>
  <c r="AT16" i="4"/>
  <c r="AT17" i="4"/>
  <c r="AT18" i="4"/>
  <c r="AT19" i="4"/>
  <c r="AT20" i="4"/>
  <c r="AT21" i="4"/>
  <c r="AT22" i="4"/>
  <c r="AT23" i="4"/>
  <c r="AT24" i="4"/>
  <c r="AT25" i="4"/>
  <c r="AT26" i="4"/>
  <c r="AT27" i="4"/>
  <c r="AT28" i="4"/>
  <c r="AT29" i="4"/>
  <c r="AT30" i="4"/>
  <c r="AT31" i="4"/>
  <c r="AT32" i="4"/>
  <c r="AT33" i="4"/>
  <c r="AT34" i="4"/>
  <c r="AT35" i="4"/>
  <c r="AT36" i="4"/>
  <c r="AT37" i="4"/>
  <c r="AT38" i="4"/>
  <c r="AS11" i="4"/>
  <c r="AS12" i="4"/>
  <c r="AS13" i="4"/>
  <c r="AS14" i="4"/>
  <c r="AS15" i="4"/>
  <c r="AS16" i="4"/>
  <c r="AS17" i="4"/>
  <c r="AS18" i="4"/>
  <c r="AS19" i="4"/>
  <c r="AS20" i="4"/>
  <c r="AS21" i="4"/>
  <c r="AS22" i="4"/>
  <c r="AS23" i="4"/>
  <c r="AS24" i="4"/>
  <c r="AS25" i="4"/>
  <c r="AS26" i="4"/>
  <c r="AS27" i="4"/>
  <c r="AS28" i="4"/>
  <c r="AS29" i="4"/>
  <c r="AS30" i="4"/>
  <c r="AS31" i="4"/>
  <c r="AS32" i="4"/>
  <c r="AS33" i="4"/>
  <c r="AS34" i="4"/>
  <c r="AS35" i="4"/>
  <c r="AS36" i="4"/>
  <c r="AS37" i="4"/>
  <c r="AS38" i="4"/>
  <c r="AV8" i="4" l="1"/>
  <c r="AV9" i="4" s="1"/>
  <c r="AS8" i="4"/>
  <c r="AS9" i="4" s="1"/>
  <c r="AY8" i="4"/>
  <c r="AW11" i="4"/>
  <c r="AW12" i="4"/>
  <c r="AW13" i="4"/>
  <c r="AW14" i="4"/>
  <c r="AW15" i="4"/>
  <c r="AW16" i="4"/>
  <c r="AW17" i="4"/>
  <c r="AW18" i="4"/>
  <c r="AW71" i="4"/>
  <c r="AW72" i="4"/>
  <c r="AW73" i="4"/>
  <c r="AW74" i="4"/>
  <c r="AW75" i="4"/>
  <c r="AW76" i="4"/>
  <c r="AW77" i="4"/>
  <c r="AW78" i="4"/>
  <c r="AW79" i="4"/>
  <c r="AW80" i="4"/>
  <c r="AW81" i="4"/>
  <c r="AW82" i="4"/>
  <c r="AW83" i="4"/>
  <c r="AW84" i="4"/>
  <c r="AW85" i="4"/>
  <c r="AW86" i="4"/>
  <c r="AW87" i="4"/>
  <c r="AW88" i="4"/>
  <c r="AW89" i="4"/>
  <c r="AW90" i="4"/>
  <c r="AW91" i="4"/>
  <c r="AW92" i="4"/>
  <c r="AW93" i="4"/>
  <c r="AW94" i="4"/>
  <c r="AW95" i="4"/>
  <c r="AW96" i="4"/>
  <c r="AW97" i="4"/>
  <c r="AW98" i="4"/>
  <c r="AW99" i="4"/>
  <c r="AW100" i="4"/>
  <c r="AW101" i="4"/>
  <c r="AW102" i="4"/>
  <c r="AW103" i="4"/>
  <c r="AW104" i="4"/>
  <c r="AW105" i="4"/>
  <c r="AW106" i="4"/>
  <c r="AW107" i="4"/>
  <c r="AW108" i="4"/>
  <c r="AW109" i="4"/>
  <c r="AW110" i="4"/>
  <c r="AW111" i="4"/>
  <c r="AW112" i="4"/>
  <c r="AW113" i="4"/>
  <c r="AW114" i="4"/>
  <c r="AW115" i="4"/>
  <c r="AW116" i="4"/>
  <c r="AW117" i="4"/>
  <c r="BZ17" i="4"/>
  <c r="BZ16" i="4"/>
  <c r="BV17" i="4"/>
  <c r="BV16" i="4"/>
  <c r="BU17" i="4"/>
  <c r="BU16" i="4"/>
  <c r="BS17" i="4"/>
  <c r="BS16" i="4"/>
  <c r="AA11" i="4"/>
  <c r="AV11" i="4" s="1"/>
  <c r="AA12" i="4"/>
  <c r="AV12" i="4" s="1"/>
  <c r="AA13" i="4"/>
  <c r="AV13" i="4" s="1"/>
  <c r="AA14" i="4"/>
  <c r="AV14" i="4" s="1"/>
  <c r="AA15" i="4"/>
  <c r="AV15" i="4" s="1"/>
  <c r="AA16" i="4"/>
  <c r="AV16" i="4" s="1"/>
  <c r="AA17" i="4"/>
  <c r="AV17" i="4" s="1"/>
  <c r="AA18" i="4"/>
  <c r="AV18" i="4" s="1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V55" i="4" s="1"/>
  <c r="AW55" i="4" s="1"/>
  <c r="AA56" i="4"/>
  <c r="AA57" i="4"/>
  <c r="AA58" i="4"/>
  <c r="AA59" i="4"/>
  <c r="AA60" i="4"/>
  <c r="AA61" i="4"/>
  <c r="W12" i="4"/>
  <c r="W13" i="4"/>
  <c r="W14" i="4"/>
  <c r="W15" i="4"/>
  <c r="W16" i="4"/>
  <c r="W17" i="4"/>
  <c r="W18" i="4"/>
  <c r="W19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2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117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T11" i="4"/>
  <c r="T12" i="4"/>
  <c r="T13" i="4"/>
  <c r="T14" i="4"/>
  <c r="T15" i="4"/>
  <c r="T16" i="4"/>
  <c r="T17" i="4"/>
  <c r="T18" i="4"/>
  <c r="T9" i="4"/>
  <c r="T28" i="4" s="1"/>
  <c r="R9" i="4"/>
  <c r="R18" i="4" s="1"/>
  <c r="BY17" i="4"/>
  <c r="BY16" i="4"/>
  <c r="CA16" i="4"/>
  <c r="CA17" i="4"/>
  <c r="AV23" i="4" l="1"/>
  <c r="AW23" i="4" s="1"/>
  <c r="AV47" i="4"/>
  <c r="AW47" i="4" s="1"/>
  <c r="AV39" i="4"/>
  <c r="AW39" i="4" s="1"/>
  <c r="AV31" i="4"/>
  <c r="AW31" i="4" s="1"/>
  <c r="AO15" i="4"/>
  <c r="AM15" i="4"/>
  <c r="AM14" i="4"/>
  <c r="AO14" i="4"/>
  <c r="AO13" i="4"/>
  <c r="AM13" i="4"/>
  <c r="AO12" i="4"/>
  <c r="AM12" i="4"/>
  <c r="AO16" i="4"/>
  <c r="AM16" i="4"/>
  <c r="AO18" i="4"/>
  <c r="AM18" i="4"/>
  <c r="AO17" i="4"/>
  <c r="AM17" i="4"/>
  <c r="AS43" i="4"/>
  <c r="AS51" i="4"/>
  <c r="AS59" i="4"/>
  <c r="AS44" i="4"/>
  <c r="AS52" i="4"/>
  <c r="AS60" i="4"/>
  <c r="AS50" i="4"/>
  <c r="AS45" i="4"/>
  <c r="AS53" i="4"/>
  <c r="AS61" i="4"/>
  <c r="AS58" i="4"/>
  <c r="AS46" i="4"/>
  <c r="AS54" i="4"/>
  <c r="AS39" i="4"/>
  <c r="AS47" i="4"/>
  <c r="AS55" i="4"/>
  <c r="AS42" i="4"/>
  <c r="AS40" i="4"/>
  <c r="AS48" i="4"/>
  <c r="AS56" i="4"/>
  <c r="AS41" i="4"/>
  <c r="AS49" i="4"/>
  <c r="AS57" i="4"/>
  <c r="T70" i="4"/>
  <c r="R68" i="4"/>
  <c r="R69" i="4"/>
  <c r="T69" i="4"/>
  <c r="T68" i="4"/>
  <c r="CF16" i="4"/>
  <c r="CF17" i="4"/>
  <c r="AV54" i="4"/>
  <c r="AW54" i="4" s="1"/>
  <c r="AV46" i="4"/>
  <c r="AW46" i="4" s="1"/>
  <c r="AV38" i="4"/>
  <c r="AW38" i="4" s="1"/>
  <c r="AV30" i="4"/>
  <c r="AW30" i="4" s="1"/>
  <c r="AV22" i="4"/>
  <c r="AW22" i="4" s="1"/>
  <c r="AV61" i="4"/>
  <c r="AW61" i="4" s="1"/>
  <c r="AV53" i="4"/>
  <c r="AW53" i="4" s="1"/>
  <c r="AV45" i="4"/>
  <c r="AW45" i="4" s="1"/>
  <c r="AV37" i="4"/>
  <c r="AW37" i="4" s="1"/>
  <c r="AV29" i="4"/>
  <c r="AW29" i="4" s="1"/>
  <c r="AV21" i="4"/>
  <c r="AW21" i="4" s="1"/>
  <c r="AV60" i="4"/>
  <c r="AW60" i="4" s="1"/>
  <c r="AV52" i="4"/>
  <c r="AW52" i="4" s="1"/>
  <c r="AV44" i="4"/>
  <c r="AW44" i="4" s="1"/>
  <c r="AV36" i="4"/>
  <c r="AW36" i="4" s="1"/>
  <c r="AV28" i="4"/>
  <c r="AW28" i="4" s="1"/>
  <c r="AV20" i="4"/>
  <c r="AW20" i="4" s="1"/>
  <c r="AV59" i="4"/>
  <c r="AW59" i="4" s="1"/>
  <c r="AV51" i="4"/>
  <c r="AW51" i="4" s="1"/>
  <c r="AV43" i="4"/>
  <c r="AW43" i="4" s="1"/>
  <c r="AV35" i="4"/>
  <c r="AW35" i="4" s="1"/>
  <c r="AV27" i="4"/>
  <c r="AW27" i="4" s="1"/>
  <c r="AV19" i="4"/>
  <c r="AW19" i="4" s="1"/>
  <c r="AV58" i="4"/>
  <c r="AW58" i="4" s="1"/>
  <c r="AV50" i="4"/>
  <c r="AW50" i="4" s="1"/>
  <c r="AV42" i="4"/>
  <c r="AW42" i="4" s="1"/>
  <c r="AV34" i="4"/>
  <c r="AW34" i="4" s="1"/>
  <c r="AV26" i="4"/>
  <c r="AW26" i="4" s="1"/>
  <c r="AV57" i="4"/>
  <c r="AW57" i="4" s="1"/>
  <c r="AV49" i="4"/>
  <c r="AW49" i="4" s="1"/>
  <c r="AV41" i="4"/>
  <c r="AW41" i="4" s="1"/>
  <c r="AV33" i="4"/>
  <c r="AW33" i="4" s="1"/>
  <c r="AV25" i="4"/>
  <c r="AW25" i="4" s="1"/>
  <c r="AV56" i="4"/>
  <c r="AW56" i="4" s="1"/>
  <c r="AV48" i="4"/>
  <c r="AW48" i="4" s="1"/>
  <c r="AV40" i="4"/>
  <c r="AW40" i="4" s="1"/>
  <c r="AV32" i="4"/>
  <c r="AW32" i="4" s="1"/>
  <c r="AV24" i="4"/>
  <c r="AW24" i="4" s="1"/>
  <c r="AX16" i="4"/>
  <c r="AX11" i="4"/>
  <c r="AX18" i="4"/>
  <c r="AX17" i="4"/>
  <c r="AX55" i="4"/>
  <c r="AX47" i="4"/>
  <c r="AX23" i="4"/>
  <c r="AX15" i="4"/>
  <c r="AX14" i="4"/>
  <c r="AX13" i="4"/>
  <c r="AX12" i="4"/>
  <c r="CD16" i="4"/>
  <c r="CD17" i="4"/>
  <c r="R25" i="4"/>
  <c r="R33" i="4"/>
  <c r="R17" i="4"/>
  <c r="R65" i="4"/>
  <c r="R57" i="4"/>
  <c r="R49" i="4"/>
  <c r="R41" i="4"/>
  <c r="T43" i="4"/>
  <c r="R32" i="4"/>
  <c r="T26" i="4"/>
  <c r="T20" i="4"/>
  <c r="R63" i="4"/>
  <c r="R55" i="4"/>
  <c r="R47" i="4"/>
  <c r="R39" i="4"/>
  <c r="R31" i="4"/>
  <c r="R23" i="4"/>
  <c r="R15" i="4"/>
  <c r="T65" i="4"/>
  <c r="T57" i="4"/>
  <c r="T49" i="4"/>
  <c r="T41" i="4"/>
  <c r="T33" i="4"/>
  <c r="T25" i="4"/>
  <c r="T35" i="4"/>
  <c r="R64" i="4"/>
  <c r="R16" i="4"/>
  <c r="T42" i="4"/>
  <c r="R62" i="4"/>
  <c r="R54" i="4"/>
  <c r="R46" i="4"/>
  <c r="R38" i="4"/>
  <c r="R30" i="4"/>
  <c r="R22" i="4"/>
  <c r="R14" i="4"/>
  <c r="T64" i="4"/>
  <c r="T56" i="4"/>
  <c r="T48" i="4"/>
  <c r="T40" i="4"/>
  <c r="T32" i="4"/>
  <c r="T24" i="4"/>
  <c r="T67" i="4"/>
  <c r="R40" i="4"/>
  <c r="T58" i="4"/>
  <c r="T19" i="4"/>
  <c r="R61" i="4"/>
  <c r="R53" i="4"/>
  <c r="R45" i="4"/>
  <c r="R37" i="4"/>
  <c r="R29" i="4"/>
  <c r="R21" i="4"/>
  <c r="R13" i="4"/>
  <c r="T63" i="4"/>
  <c r="T55" i="4"/>
  <c r="T47" i="4"/>
  <c r="T39" i="4"/>
  <c r="T31" i="4"/>
  <c r="T23" i="4"/>
  <c r="T51" i="4"/>
  <c r="R11" i="4"/>
  <c r="R56" i="4"/>
  <c r="R24" i="4"/>
  <c r="T66" i="4"/>
  <c r="T50" i="4"/>
  <c r="R60" i="4"/>
  <c r="R52" i="4"/>
  <c r="R44" i="4"/>
  <c r="R36" i="4"/>
  <c r="R28" i="4"/>
  <c r="R20" i="4"/>
  <c r="R12" i="4"/>
  <c r="T62" i="4"/>
  <c r="T54" i="4"/>
  <c r="T46" i="4"/>
  <c r="T38" i="4"/>
  <c r="T30" i="4"/>
  <c r="T22" i="4"/>
  <c r="T27" i="4"/>
  <c r="R48" i="4"/>
  <c r="T34" i="4"/>
  <c r="R67" i="4"/>
  <c r="R59" i="4"/>
  <c r="R51" i="4"/>
  <c r="R43" i="4"/>
  <c r="R35" i="4"/>
  <c r="R27" i="4"/>
  <c r="R19" i="4"/>
  <c r="T61" i="4"/>
  <c r="T53" i="4"/>
  <c r="T45" i="4"/>
  <c r="T37" i="4"/>
  <c r="T29" i="4"/>
  <c r="T21" i="4"/>
  <c r="T59" i="4"/>
  <c r="R66" i="4"/>
  <c r="R58" i="4"/>
  <c r="R50" i="4"/>
  <c r="R42" i="4"/>
  <c r="R34" i="4"/>
  <c r="R26" i="4"/>
  <c r="T60" i="4"/>
  <c r="T52" i="4"/>
  <c r="T44" i="4"/>
  <c r="T36" i="4"/>
  <c r="V123" i="4"/>
  <c r="W123" i="4"/>
  <c r="AX39" i="4" l="1"/>
  <c r="AX31" i="4"/>
  <c r="AT42" i="4"/>
  <c r="AU42" i="4"/>
  <c r="AU55" i="4"/>
  <c r="AT55" i="4"/>
  <c r="AU45" i="4"/>
  <c r="AT45" i="4"/>
  <c r="AT57" i="4"/>
  <c r="AU57" i="4"/>
  <c r="AU47" i="4"/>
  <c r="AT47" i="4"/>
  <c r="AT49" i="4"/>
  <c r="AU49" i="4"/>
  <c r="AU39" i="4"/>
  <c r="AT39" i="4"/>
  <c r="AT50" i="4"/>
  <c r="AU50" i="4"/>
  <c r="AU60" i="4"/>
  <c r="AT60" i="4"/>
  <c r="AT41" i="4"/>
  <c r="AU41" i="4"/>
  <c r="AU54" i="4"/>
  <c r="AT54" i="4"/>
  <c r="AU52" i="4"/>
  <c r="AT52" i="4"/>
  <c r="AT56" i="4"/>
  <c r="AU56" i="4"/>
  <c r="AU46" i="4"/>
  <c r="AT46" i="4"/>
  <c r="AU44" i="4"/>
  <c r="AT44" i="4"/>
  <c r="AT48" i="4"/>
  <c r="AU48" i="4"/>
  <c r="AU59" i="4"/>
  <c r="AT59" i="4"/>
  <c r="AT40" i="4"/>
  <c r="AU40" i="4"/>
  <c r="AT58" i="4"/>
  <c r="AU58" i="4"/>
  <c r="AU61" i="4"/>
  <c r="AT61" i="4"/>
  <c r="AU51" i="4"/>
  <c r="AT51" i="4"/>
  <c r="AU53" i="4"/>
  <c r="AT53" i="4"/>
  <c r="AU43" i="4"/>
  <c r="AT43" i="4"/>
  <c r="AX30" i="4"/>
  <c r="AX59" i="4"/>
  <c r="AX29" i="4"/>
  <c r="AX46" i="4"/>
  <c r="AX37" i="4"/>
  <c r="AX54" i="4"/>
  <c r="AX20" i="4"/>
  <c r="AX50" i="4"/>
  <c r="AX51" i="4"/>
  <c r="AX25" i="4"/>
  <c r="AX19" i="4"/>
  <c r="AX56" i="4"/>
  <c r="AX42" i="4"/>
  <c r="AX43" i="4"/>
  <c r="AX60" i="4"/>
  <c r="AX26" i="4"/>
  <c r="AX34" i="4"/>
  <c r="AX40" i="4"/>
  <c r="AX27" i="4"/>
  <c r="AX49" i="4"/>
  <c r="AX44" i="4"/>
  <c r="AX35" i="4"/>
  <c r="AX61" i="4"/>
  <c r="AX52" i="4"/>
  <c r="AX38" i="4"/>
  <c r="AX22" i="4"/>
  <c r="AX21" i="4"/>
  <c r="AX24" i="4"/>
  <c r="AX48" i="4"/>
  <c r="AX28" i="4"/>
  <c r="AX32" i="4"/>
  <c r="AX53" i="4"/>
  <c r="AX33" i="4"/>
  <c r="AX45" i="4"/>
  <c r="AX41" i="4"/>
  <c r="AX58" i="4"/>
  <c r="AX36" i="4"/>
  <c r="AX57" i="4"/>
  <c r="CI17" i="4"/>
  <c r="CI16" i="4"/>
  <c r="BG11" i="4"/>
  <c r="BG12" i="4"/>
  <c r="BG13" i="4"/>
  <c r="BG14" i="4"/>
  <c r="BG15" i="4"/>
  <c r="BG16" i="4"/>
  <c r="BG17" i="4"/>
  <c r="BG18" i="4"/>
  <c r="BG19" i="4"/>
  <c r="BG20" i="4"/>
  <c r="BG21" i="4"/>
  <c r="BG22" i="4"/>
  <c r="BG23" i="4"/>
  <c r="BG24" i="4"/>
  <c r="BG25" i="4"/>
  <c r="BG26" i="4"/>
  <c r="BG27" i="4"/>
  <c r="BG28" i="4"/>
  <c r="BG29" i="4"/>
  <c r="BG30" i="4"/>
  <c r="BG31" i="4"/>
  <c r="BG32" i="4"/>
  <c r="BG33" i="4"/>
  <c r="BG34" i="4"/>
  <c r="BG35" i="4"/>
  <c r="BG36" i="4"/>
  <c r="BG37" i="4"/>
  <c r="BG38" i="4"/>
  <c r="BG39" i="4"/>
  <c r="BG40" i="4"/>
  <c r="BG41" i="4"/>
  <c r="BG42" i="4"/>
  <c r="BG43" i="4"/>
  <c r="BG44" i="4"/>
  <c r="BG45" i="4"/>
  <c r="BG46" i="4"/>
  <c r="BG47" i="4"/>
  <c r="BG48" i="4"/>
  <c r="BG49" i="4"/>
  <c r="BG50" i="4"/>
  <c r="BG51" i="4"/>
  <c r="BG52" i="4"/>
  <c r="BG53" i="4"/>
  <c r="BG54" i="4"/>
  <c r="BG97" i="4"/>
  <c r="BG98" i="4"/>
  <c r="BG99" i="4"/>
  <c r="BG100" i="4"/>
  <c r="BG101" i="4"/>
  <c r="BG102" i="4"/>
  <c r="BG103" i="4"/>
  <c r="BG104" i="4"/>
  <c r="BG105" i="4"/>
  <c r="BG106" i="4"/>
  <c r="BG107" i="4"/>
  <c r="BG108" i="4"/>
  <c r="BG109" i="4"/>
  <c r="BG110" i="4"/>
  <c r="BG111" i="4"/>
  <c r="BG112" i="4"/>
  <c r="BG113" i="4"/>
  <c r="BG114" i="4"/>
  <c r="BG115" i="4"/>
  <c r="BG116" i="4"/>
  <c r="BG117" i="4"/>
  <c r="AQ71" i="4"/>
  <c r="AQ72" i="4"/>
  <c r="AQ73" i="4"/>
  <c r="AQ74" i="4"/>
  <c r="AQ75" i="4"/>
  <c r="AQ76" i="4"/>
  <c r="AQ77" i="4"/>
  <c r="AQ78" i="4"/>
  <c r="AQ79" i="4"/>
  <c r="AQ80" i="4"/>
  <c r="AQ81" i="4"/>
  <c r="AQ82" i="4"/>
  <c r="AQ83" i="4"/>
  <c r="AQ84" i="4"/>
  <c r="AQ85" i="4"/>
  <c r="AQ86" i="4"/>
  <c r="AQ87" i="4"/>
  <c r="AQ88" i="4"/>
  <c r="AQ89" i="4"/>
  <c r="AQ90" i="4"/>
  <c r="AQ91" i="4"/>
  <c r="AQ92" i="4"/>
  <c r="AQ93" i="4"/>
  <c r="AQ94" i="4"/>
  <c r="AQ95" i="4"/>
  <c r="AQ96" i="4"/>
  <c r="AQ97" i="4"/>
  <c r="AQ98" i="4"/>
  <c r="AQ99" i="4"/>
  <c r="AQ100" i="4"/>
  <c r="AQ101" i="4"/>
  <c r="AQ102" i="4"/>
  <c r="AQ103" i="4"/>
  <c r="AQ104" i="4"/>
  <c r="AQ105" i="4"/>
  <c r="AQ106" i="4"/>
  <c r="AQ107" i="4"/>
  <c r="AQ108" i="4"/>
  <c r="AQ109" i="4"/>
  <c r="AQ110" i="4"/>
  <c r="AQ111" i="4"/>
  <c r="AQ112" i="4"/>
  <c r="AQ113" i="4"/>
  <c r="AQ114" i="4"/>
  <c r="AQ115" i="4"/>
  <c r="AQ116" i="4"/>
  <c r="AQ117" i="4"/>
  <c r="BZ18" i="4"/>
  <c r="BV18" i="4"/>
  <c r="BU18" i="4"/>
  <c r="AY9" i="4"/>
  <c r="BS18" i="4"/>
  <c r="AR11" i="4"/>
  <c r="AR12" i="4"/>
  <c r="AR13" i="4"/>
  <c r="AR14" i="4"/>
  <c r="AR15" i="4"/>
  <c r="AR16" i="4"/>
  <c r="AR17" i="4"/>
  <c r="AR18" i="4"/>
  <c r="AR19" i="4"/>
  <c r="AR20" i="4"/>
  <c r="AR21" i="4"/>
  <c r="AR22" i="4"/>
  <c r="AR23" i="4"/>
  <c r="AR24" i="4"/>
  <c r="AR25" i="4"/>
  <c r="AR26" i="4"/>
  <c r="AP8" i="4"/>
  <c r="AP9" i="4" s="1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29" i="4"/>
  <c r="BY18" i="4"/>
  <c r="CA18" i="4"/>
  <c r="CF18" i="4" l="1"/>
  <c r="CD18" i="4"/>
  <c r="AM8" i="4" l="1"/>
  <c r="AD9" i="4"/>
  <c r="AD8" i="4"/>
  <c r="BV11" i="4"/>
  <c r="BU11" i="4"/>
  <c r="AA9" i="4"/>
  <c r="BS11" i="4"/>
  <c r="DM31" i="4"/>
  <c r="DO31" i="4"/>
  <c r="DP31" i="4"/>
  <c r="BY11" i="4"/>
  <c r="DS31" i="4"/>
  <c r="CA11" i="4"/>
  <c r="AD14" i="4" l="1"/>
  <c r="AD11" i="4"/>
  <c r="AD13" i="4"/>
  <c r="AD12" i="4"/>
  <c r="CD11" i="4"/>
  <c r="CF11" i="4"/>
  <c r="DA12" i="4"/>
  <c r="DA11" i="4"/>
  <c r="CZ11" i="4"/>
  <c r="CZ12" i="4" s="1"/>
  <c r="V9" i="4"/>
  <c r="P9" i="4"/>
  <c r="N9" i="4"/>
  <c r="L9" i="4"/>
  <c r="L3" i="4"/>
  <c r="K8" i="4" l="1"/>
  <c r="L63" i="4"/>
  <c r="L14" i="4"/>
  <c r="AP12" i="4"/>
  <c r="AP13" i="4"/>
  <c r="AP14" i="4"/>
  <c r="AP15" i="4"/>
  <c r="AP16" i="4"/>
  <c r="AP17" i="4"/>
  <c r="AP18" i="4"/>
  <c r="AP19" i="4"/>
  <c r="AP20" i="4"/>
  <c r="AP21" i="4"/>
  <c r="AP22" i="4"/>
  <c r="AP23" i="4"/>
  <c r="AP24" i="4"/>
  <c r="AP25" i="4"/>
  <c r="AP26" i="4"/>
  <c r="AP11" i="4"/>
  <c r="AG8" i="4" l="1"/>
  <c r="AG9" i="4" l="1"/>
  <c r="AJ8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N11" i="4"/>
  <c r="N12" i="4"/>
  <c r="N13" i="4"/>
  <c r="N14" i="4"/>
  <c r="N15" i="4"/>
  <c r="N16" i="4"/>
  <c r="N17" i="4"/>
  <c r="N18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AM9" i="4"/>
  <c r="AJ9" i="4"/>
  <c r="P36" i="4" l="1"/>
  <c r="V38" i="4"/>
  <c r="P43" i="4"/>
  <c r="V39" i="4"/>
  <c r="P35" i="4"/>
  <c r="V63" i="4"/>
  <c r="V31" i="4"/>
  <c r="P60" i="4"/>
  <c r="V62" i="4"/>
  <c r="V30" i="4"/>
  <c r="P59" i="4"/>
  <c r="V55" i="4"/>
  <c r="V23" i="4"/>
  <c r="P52" i="4"/>
  <c r="V54" i="4"/>
  <c r="V22" i="4"/>
  <c r="P51" i="4"/>
  <c r="V47" i="4"/>
  <c r="V15" i="4"/>
  <c r="P44" i="4"/>
  <c r="V46" i="4"/>
  <c r="V14" i="4"/>
  <c r="P63" i="4"/>
  <c r="P55" i="4"/>
  <c r="P47" i="4"/>
  <c r="P39" i="4"/>
  <c r="P31" i="4"/>
  <c r="V58" i="4"/>
  <c r="V50" i="4"/>
  <c r="V42" i="4"/>
  <c r="V34" i="4"/>
  <c r="V26" i="4"/>
  <c r="V18" i="4"/>
  <c r="N57" i="4"/>
  <c r="P62" i="4"/>
  <c r="P54" i="4"/>
  <c r="P46" i="4"/>
  <c r="P38" i="4"/>
  <c r="P30" i="4"/>
  <c r="V57" i="4"/>
  <c r="V49" i="4"/>
  <c r="V41" i="4"/>
  <c r="V33" i="4"/>
  <c r="V25" i="4"/>
  <c r="V17" i="4"/>
  <c r="P61" i="4"/>
  <c r="P53" i="4"/>
  <c r="P45" i="4"/>
  <c r="P37" i="4"/>
  <c r="P29" i="4"/>
  <c r="V64" i="4"/>
  <c r="V56" i="4"/>
  <c r="V48" i="4"/>
  <c r="V40" i="4"/>
  <c r="V32" i="4"/>
  <c r="V24" i="4"/>
  <c r="V16" i="4"/>
  <c r="P58" i="4"/>
  <c r="P50" i="4"/>
  <c r="P42" i="4"/>
  <c r="P34" i="4"/>
  <c r="V61" i="4"/>
  <c r="V53" i="4"/>
  <c r="V45" i="4"/>
  <c r="V37" i="4"/>
  <c r="V29" i="4"/>
  <c r="V21" i="4"/>
  <c r="V13" i="4"/>
  <c r="P57" i="4"/>
  <c r="P49" i="4"/>
  <c r="P41" i="4"/>
  <c r="P33" i="4"/>
  <c r="V60" i="4"/>
  <c r="V52" i="4"/>
  <c r="V44" i="4"/>
  <c r="V36" i="4"/>
  <c r="V28" i="4"/>
  <c r="V20" i="4"/>
  <c r="V12" i="4"/>
  <c r="P64" i="4"/>
  <c r="P56" i="4"/>
  <c r="P48" i="4"/>
  <c r="P40" i="4"/>
  <c r="P32" i="4"/>
  <c r="V59" i="4"/>
  <c r="V51" i="4"/>
  <c r="V43" i="4"/>
  <c r="V35" i="4"/>
  <c r="V27" i="4"/>
  <c r="V19" i="4"/>
  <c r="V11" i="4"/>
  <c r="N50" i="4"/>
  <c r="N49" i="4"/>
  <c r="N42" i="4"/>
  <c r="N41" i="4"/>
  <c r="N34" i="4"/>
  <c r="N33" i="4"/>
  <c r="N58" i="4"/>
  <c r="N26" i="4"/>
  <c r="N64" i="4"/>
  <c r="N56" i="4"/>
  <c r="N48" i="4"/>
  <c r="N40" i="4"/>
  <c r="N32" i="4"/>
  <c r="N24" i="4"/>
  <c r="N25" i="4"/>
  <c r="N63" i="4"/>
  <c r="N55" i="4"/>
  <c r="N47" i="4"/>
  <c r="N39" i="4"/>
  <c r="N31" i="4"/>
  <c r="N23" i="4"/>
  <c r="N62" i="4"/>
  <c r="N54" i="4"/>
  <c r="N46" i="4"/>
  <c r="N38" i="4"/>
  <c r="N30" i="4"/>
  <c r="N22" i="4"/>
  <c r="N61" i="4"/>
  <c r="N53" i="4"/>
  <c r="N45" i="4"/>
  <c r="N37" i="4"/>
  <c r="N29" i="4"/>
  <c r="N21" i="4"/>
  <c r="N60" i="4"/>
  <c r="N52" i="4"/>
  <c r="N44" i="4"/>
  <c r="N36" i="4"/>
  <c r="N28" i="4"/>
  <c r="N20" i="4"/>
  <c r="N59" i="4"/>
  <c r="N51" i="4"/>
  <c r="N43" i="4"/>
  <c r="N35" i="4"/>
  <c r="N27" i="4"/>
  <c r="N19" i="4"/>
  <c r="CI13" i="4" l="1"/>
  <c r="CI15" i="4"/>
  <c r="CI14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F56" i="4"/>
  <c r="BF57" i="4" s="1"/>
  <c r="BF58" i="4" s="1"/>
  <c r="BF59" i="4" s="1"/>
  <c r="BF60" i="4" s="1"/>
  <c r="BF61" i="4" s="1"/>
  <c r="BF62" i="4" s="1"/>
  <c r="BF63" i="4" s="1"/>
  <c r="BF64" i="4" s="1"/>
  <c r="BF65" i="4" s="1"/>
  <c r="BF66" i="4" s="1"/>
  <c r="BF67" i="4" s="1"/>
  <c r="BF68" i="4" s="1"/>
  <c r="BF69" i="4" s="1"/>
  <c r="BF70" i="4" s="1"/>
  <c r="BF71" i="4" s="1"/>
  <c r="BF72" i="4" s="1"/>
  <c r="BF73" i="4" s="1"/>
  <c r="BF74" i="4" s="1"/>
  <c r="BF75" i="4" s="1"/>
  <c r="BF76" i="4" s="1"/>
  <c r="BF77" i="4" s="1"/>
  <c r="BF78" i="4" s="1"/>
  <c r="BF79" i="4" s="1"/>
  <c r="BF80" i="4" s="1"/>
  <c r="BF81" i="4" s="1"/>
  <c r="BF82" i="4" s="1"/>
  <c r="BF83" i="4" s="1"/>
  <c r="BF84" i="4" s="1"/>
  <c r="BF85" i="4" s="1"/>
  <c r="BF86" i="4" s="1"/>
  <c r="BF87" i="4" s="1"/>
  <c r="BF88" i="4" s="1"/>
  <c r="BF89" i="4" s="1"/>
  <c r="BF90" i="4" s="1"/>
  <c r="BF91" i="4" s="1"/>
  <c r="BF92" i="4" s="1"/>
  <c r="BF93" i="4" s="1"/>
  <c r="BF94" i="4" s="1"/>
  <c r="BF95" i="4" s="1"/>
  <c r="BF96" i="4" s="1"/>
  <c r="AI2" i="4"/>
  <c r="AH2" i="4"/>
  <c r="AF2" i="4"/>
  <c r="BZ15" i="4"/>
  <c r="BZ14" i="4"/>
  <c r="BZ13" i="4"/>
  <c r="AL2" i="4"/>
  <c r="BG59" i="4" l="1"/>
  <c r="BH59" i="4" s="1"/>
  <c r="BG67" i="4"/>
  <c r="BH67" i="4" s="1"/>
  <c r="BG75" i="4"/>
  <c r="BG83" i="4"/>
  <c r="BG91" i="4"/>
  <c r="BG79" i="4"/>
  <c r="BG60" i="4"/>
  <c r="BH60" i="4" s="1"/>
  <c r="BG68" i="4"/>
  <c r="BH68" i="4" s="1"/>
  <c r="BG76" i="4"/>
  <c r="BG84" i="4"/>
  <c r="BG92" i="4"/>
  <c r="BG55" i="4"/>
  <c r="BH55" i="4" s="1"/>
  <c r="BG71" i="4"/>
  <c r="BG61" i="4"/>
  <c r="BH61" i="4" s="1"/>
  <c r="BG69" i="4"/>
  <c r="BH69" i="4" s="1"/>
  <c r="BG77" i="4"/>
  <c r="BG85" i="4"/>
  <c r="BG93" i="4"/>
  <c r="BG87" i="4"/>
  <c r="BG62" i="4"/>
  <c r="BH62" i="4" s="1"/>
  <c r="BG70" i="4"/>
  <c r="BH70" i="4" s="1"/>
  <c r="BG78" i="4"/>
  <c r="BG86" i="4"/>
  <c r="BG94" i="4"/>
  <c r="BG63" i="4"/>
  <c r="BH63" i="4" s="1"/>
  <c r="BG95" i="4"/>
  <c r="BG56" i="4"/>
  <c r="BH56" i="4" s="1"/>
  <c r="BG64" i="4"/>
  <c r="BH64" i="4" s="1"/>
  <c r="BG72" i="4"/>
  <c r="BG80" i="4"/>
  <c r="BG88" i="4"/>
  <c r="BG96" i="4"/>
  <c r="BG57" i="4"/>
  <c r="BH57" i="4" s="1"/>
  <c r="BG65" i="4"/>
  <c r="BH65" i="4" s="1"/>
  <c r="BG73" i="4"/>
  <c r="BG81" i="4"/>
  <c r="BG89" i="4"/>
  <c r="BG58" i="4"/>
  <c r="BH58" i="4" s="1"/>
  <c r="BG66" i="4"/>
  <c r="BH66" i="4" s="1"/>
  <c r="BG74" i="4"/>
  <c r="BG82" i="4"/>
  <c r="BG90" i="4"/>
  <c r="BS12" i="4"/>
  <c r="BY12" i="4"/>
  <c r="CA12" i="4"/>
  <c r="BT18" i="4" l="1"/>
  <c r="CF12" i="4"/>
  <c r="CD12" i="4"/>
  <c r="AI107" i="4"/>
  <c r="L107" i="4" s="1"/>
  <c r="AI108" i="4"/>
  <c r="L108" i="4" s="1"/>
  <c r="AI109" i="4"/>
  <c r="L109" i="4" s="1"/>
  <c r="AI110" i="4"/>
  <c r="L110" i="4" s="1"/>
  <c r="AI111" i="4"/>
  <c r="L111" i="4" s="1"/>
  <c r="AI112" i="4"/>
  <c r="L112" i="4" s="1"/>
  <c r="AI113" i="4"/>
  <c r="L113" i="4" s="1"/>
  <c r="AI114" i="4"/>
  <c r="L114" i="4" s="1"/>
  <c r="AI115" i="4"/>
  <c r="L115" i="4" s="1"/>
  <c r="AI116" i="4"/>
  <c r="L116" i="4" s="1"/>
  <c r="AI117" i="4"/>
  <c r="L117" i="4" s="1"/>
  <c r="AC105" i="4"/>
  <c r="AD105" i="4" s="1"/>
  <c r="AC106" i="4"/>
  <c r="AD106" i="4" s="1"/>
  <c r="AC107" i="4"/>
  <c r="AD107" i="4" s="1"/>
  <c r="AC108" i="4"/>
  <c r="AD108" i="4" s="1"/>
  <c r="AC109" i="4"/>
  <c r="AD109" i="4" s="1"/>
  <c r="AC110" i="4"/>
  <c r="AD110" i="4" s="1"/>
  <c r="AC111" i="4"/>
  <c r="AD111" i="4" s="1"/>
  <c r="AC112" i="4"/>
  <c r="AD112" i="4" s="1"/>
  <c r="AC113" i="4"/>
  <c r="AD113" i="4" s="1"/>
  <c r="AC114" i="4"/>
  <c r="AD114" i="4" s="1"/>
  <c r="AC115" i="4"/>
  <c r="AD115" i="4" s="1"/>
  <c r="AC116" i="4"/>
  <c r="AD116" i="4" s="1"/>
  <c r="AC117" i="4"/>
  <c r="AD117" i="4" s="1"/>
  <c r="Y11" i="4"/>
  <c r="X27" i="4"/>
  <c r="AR27" i="4" s="1"/>
  <c r="X28" i="4"/>
  <c r="AR28" i="4" s="1"/>
  <c r="AZ108" i="4"/>
  <c r="AZ109" i="4"/>
  <c r="AZ110" i="4"/>
  <c r="AZ111" i="4"/>
  <c r="AZ112" i="4"/>
  <c r="AZ113" i="4"/>
  <c r="AZ114" i="4"/>
  <c r="AZ115" i="4"/>
  <c r="AZ116" i="4"/>
  <c r="AZ117" i="4"/>
  <c r="BD108" i="4"/>
  <c r="BD109" i="4"/>
  <c r="BD110" i="4"/>
  <c r="BD111" i="4"/>
  <c r="BD112" i="4"/>
  <c r="BD113" i="4"/>
  <c r="BD114" i="4"/>
  <c r="BD115" i="4"/>
  <c r="BD116" i="4"/>
  <c r="BD117" i="4"/>
  <c r="BE108" i="4"/>
  <c r="BE109" i="4"/>
  <c r="BE110" i="4"/>
  <c r="BE111" i="4"/>
  <c r="BE112" i="4"/>
  <c r="BE113" i="4"/>
  <c r="BE114" i="4"/>
  <c r="BE115" i="4"/>
  <c r="BE116" i="4"/>
  <c r="BE117" i="4"/>
  <c r="AC64" i="4"/>
  <c r="AD64" i="4" l="1"/>
  <c r="AP27" i="4"/>
  <c r="AP28" i="4"/>
  <c r="AZ71" i="4"/>
  <c r="AZ72" i="4"/>
  <c r="AZ73" i="4"/>
  <c r="AZ74" i="4"/>
  <c r="AZ75" i="4"/>
  <c r="AZ76" i="4"/>
  <c r="AZ77" i="4"/>
  <c r="AZ78" i="4"/>
  <c r="AZ79" i="4"/>
  <c r="AZ80" i="4"/>
  <c r="AZ81" i="4"/>
  <c r="AZ82" i="4"/>
  <c r="AZ83" i="4"/>
  <c r="AZ84" i="4"/>
  <c r="AZ85" i="4"/>
  <c r="AZ86" i="4"/>
  <c r="AZ87" i="4"/>
  <c r="AZ88" i="4"/>
  <c r="AZ89" i="4"/>
  <c r="AZ90" i="4"/>
  <c r="AZ91" i="4"/>
  <c r="AZ92" i="4"/>
  <c r="AZ93" i="4"/>
  <c r="AZ94" i="4"/>
  <c r="AZ95" i="4"/>
  <c r="AZ96" i="4"/>
  <c r="AZ97" i="4"/>
  <c r="AZ98" i="4"/>
  <c r="AZ99" i="4"/>
  <c r="AZ100" i="4"/>
  <c r="AZ101" i="4"/>
  <c r="AZ102" i="4"/>
  <c r="AZ103" i="4"/>
  <c r="AZ104" i="4"/>
  <c r="AZ105" i="4"/>
  <c r="AZ106" i="4"/>
  <c r="AZ107" i="4"/>
  <c r="BV15" i="4"/>
  <c r="BU15" i="4"/>
  <c r="BS15" i="4"/>
  <c r="Y12" i="4"/>
  <c r="Y13" i="4" s="1"/>
  <c r="Y14" i="4" s="1"/>
  <c r="Y15" i="4" s="1"/>
  <c r="Y16" i="4" s="1"/>
  <c r="Y17" i="4" s="1"/>
  <c r="Y18" i="4" s="1"/>
  <c r="Y19" i="4" s="1"/>
  <c r="Y20" i="4" s="1"/>
  <c r="Y21" i="4" s="1"/>
  <c r="Y22" i="4" s="1"/>
  <c r="Y23" i="4" s="1"/>
  <c r="Y24" i="4" s="1"/>
  <c r="Y25" i="4" s="1"/>
  <c r="Y26" i="4" s="1"/>
  <c r="Y27" i="4" s="1"/>
  <c r="Y28" i="4" s="1"/>
  <c r="Y29" i="4" s="1"/>
  <c r="Y30" i="4" s="1"/>
  <c r="Y31" i="4" s="1"/>
  <c r="Y32" i="4" s="1"/>
  <c r="Y33" i="4" s="1"/>
  <c r="Y34" i="4" s="1"/>
  <c r="Y35" i="4" s="1"/>
  <c r="Y36" i="4" s="1"/>
  <c r="Y37" i="4" s="1"/>
  <c r="Y38" i="4" s="1"/>
  <c r="Y39" i="4" s="1"/>
  <c r="Y40" i="4" s="1"/>
  <c r="Y41" i="4" s="1"/>
  <c r="Y42" i="4" s="1"/>
  <c r="Y43" i="4" s="1"/>
  <c r="Y44" i="4" s="1"/>
  <c r="Y45" i="4" s="1"/>
  <c r="Y46" i="4" s="1"/>
  <c r="Y47" i="4" s="1"/>
  <c r="Y48" i="4" s="1"/>
  <c r="Y49" i="4" s="1"/>
  <c r="Y50" i="4" s="1"/>
  <c r="Y51" i="4" s="1"/>
  <c r="Y52" i="4" s="1"/>
  <c r="Y53" i="4" s="1"/>
  <c r="Y54" i="4" s="1"/>
  <c r="Y55" i="4" s="1"/>
  <c r="Y56" i="4" s="1"/>
  <c r="Y57" i="4" s="1"/>
  <c r="Y58" i="4" s="1"/>
  <c r="Y59" i="4" s="1"/>
  <c r="Y60" i="4" s="1"/>
  <c r="Y61" i="4" s="1"/>
  <c r="Y62" i="4" s="1"/>
  <c r="Y63" i="4" s="1"/>
  <c r="Y64" i="4" s="1"/>
  <c r="Y65" i="4" s="1"/>
  <c r="Y66" i="4" s="1"/>
  <c r="Y67" i="4" s="1"/>
  <c r="Y68" i="4" s="1"/>
  <c r="Y69" i="4" s="1"/>
  <c r="Y70" i="4" s="1"/>
  <c r="Y71" i="4" s="1"/>
  <c r="Y72" i="4" s="1"/>
  <c r="Y73" i="4" s="1"/>
  <c r="Y74" i="4" s="1"/>
  <c r="Y75" i="4" s="1"/>
  <c r="Y76" i="4" s="1"/>
  <c r="Y77" i="4" s="1"/>
  <c r="Y78" i="4" s="1"/>
  <c r="Y79" i="4" s="1"/>
  <c r="Y80" i="4" s="1"/>
  <c r="Y81" i="4" s="1"/>
  <c r="Y82" i="4" s="1"/>
  <c r="Y83" i="4" s="1"/>
  <c r="Y84" i="4" s="1"/>
  <c r="Y85" i="4" s="1"/>
  <c r="Y86" i="4" s="1"/>
  <c r="Y87" i="4" s="1"/>
  <c r="Y88" i="4" s="1"/>
  <c r="Y89" i="4" s="1"/>
  <c r="Y90" i="4" s="1"/>
  <c r="Y91" i="4" s="1"/>
  <c r="Y92" i="4" s="1"/>
  <c r="Y93" i="4" s="1"/>
  <c r="Y94" i="4" s="1"/>
  <c r="Y95" i="4" s="1"/>
  <c r="Y96" i="4" s="1"/>
  <c r="Y97" i="4" s="1"/>
  <c r="Y98" i="4" s="1"/>
  <c r="Y99" i="4" s="1"/>
  <c r="Y100" i="4" s="1"/>
  <c r="Y101" i="4" s="1"/>
  <c r="Y102" i="4" s="1"/>
  <c r="Y103" i="4" s="1"/>
  <c r="Y104" i="4" s="1"/>
  <c r="Y105" i="4" s="1"/>
  <c r="Y106" i="4" s="1"/>
  <c r="Y107" i="4" s="1"/>
  <c r="Y108" i="4" s="1"/>
  <c r="K23" i="16"/>
  <c r="H13" i="16"/>
  <c r="H12" i="16"/>
  <c r="H11" i="16"/>
  <c r="H10" i="16"/>
  <c r="H9" i="16"/>
  <c r="H8" i="16"/>
  <c r="H7" i="16"/>
  <c r="H6" i="16"/>
  <c r="H5" i="16"/>
  <c r="G5" i="16"/>
  <c r="BY15" i="4"/>
  <c r="CA15" i="4"/>
  <c r="CD15" i="4" l="1"/>
  <c r="CF15" i="4"/>
  <c r="Y109" i="4"/>
  <c r="AY108" i="4"/>
  <c r="BA108" i="4" s="1"/>
  <c r="AY27" i="4"/>
  <c r="BA27" i="4" s="1"/>
  <c r="AY107" i="4"/>
  <c r="BA107" i="4" s="1"/>
  <c r="I11" i="16"/>
  <c r="AY11" i="4"/>
  <c r="BA11" i="4" s="1"/>
  <c r="AY81" i="4"/>
  <c r="BA81" i="4" s="1"/>
  <c r="AY73" i="4"/>
  <c r="BA73" i="4" s="1"/>
  <c r="AY65" i="4"/>
  <c r="BA65" i="4" s="1"/>
  <c r="AY57" i="4"/>
  <c r="BA57" i="4" s="1"/>
  <c r="AY49" i="4"/>
  <c r="BA49" i="4" s="1"/>
  <c r="AY41" i="4"/>
  <c r="BA41" i="4" s="1"/>
  <c r="AY33" i="4"/>
  <c r="BA33" i="4" s="1"/>
  <c r="AY25" i="4"/>
  <c r="BA25" i="4" s="1"/>
  <c r="AY17" i="4"/>
  <c r="BA17" i="4" s="1"/>
  <c r="AY59" i="4"/>
  <c r="BA59" i="4" s="1"/>
  <c r="AY90" i="4"/>
  <c r="BA90" i="4" s="1"/>
  <c r="AY50" i="4"/>
  <c r="BA50" i="4" s="1"/>
  <c r="AY89" i="4"/>
  <c r="BA89" i="4" s="1"/>
  <c r="AY104" i="4"/>
  <c r="BA104" i="4" s="1"/>
  <c r="AY96" i="4"/>
  <c r="BA96" i="4" s="1"/>
  <c r="AY88" i="4"/>
  <c r="BA88" i="4" s="1"/>
  <c r="AY80" i="4"/>
  <c r="BA80" i="4" s="1"/>
  <c r="AY72" i="4"/>
  <c r="BA72" i="4" s="1"/>
  <c r="AY64" i="4"/>
  <c r="BA64" i="4" s="1"/>
  <c r="AY56" i="4"/>
  <c r="BA56" i="4" s="1"/>
  <c r="AY48" i="4"/>
  <c r="BA48" i="4" s="1"/>
  <c r="AY40" i="4"/>
  <c r="BA40" i="4" s="1"/>
  <c r="AY32" i="4"/>
  <c r="BA32" i="4" s="1"/>
  <c r="AY24" i="4"/>
  <c r="BA24" i="4" s="1"/>
  <c r="AY16" i="4"/>
  <c r="BA16" i="4" s="1"/>
  <c r="AY75" i="4"/>
  <c r="BA75" i="4" s="1"/>
  <c r="AY74" i="4"/>
  <c r="BA74" i="4" s="1"/>
  <c r="AY18" i="4"/>
  <c r="BA18" i="4" s="1"/>
  <c r="AY103" i="4"/>
  <c r="BA103" i="4" s="1"/>
  <c r="AY95" i="4"/>
  <c r="BA95" i="4" s="1"/>
  <c r="AY87" i="4"/>
  <c r="BA87" i="4" s="1"/>
  <c r="AY79" i="4"/>
  <c r="BA79" i="4" s="1"/>
  <c r="AY71" i="4"/>
  <c r="BA71" i="4" s="1"/>
  <c r="AY63" i="4"/>
  <c r="BA63" i="4" s="1"/>
  <c r="AY55" i="4"/>
  <c r="BA55" i="4" s="1"/>
  <c r="AY47" i="4"/>
  <c r="BA47" i="4" s="1"/>
  <c r="AY39" i="4"/>
  <c r="BA39" i="4" s="1"/>
  <c r="AY31" i="4"/>
  <c r="BA31" i="4" s="1"/>
  <c r="AY23" i="4"/>
  <c r="BA23" i="4" s="1"/>
  <c r="AY15" i="4"/>
  <c r="BA15" i="4" s="1"/>
  <c r="AY91" i="4"/>
  <c r="BA91" i="4" s="1"/>
  <c r="AY98" i="4"/>
  <c r="BA98" i="4" s="1"/>
  <c r="AY58" i="4"/>
  <c r="BA58" i="4" s="1"/>
  <c r="AY34" i="4"/>
  <c r="BA34" i="4" s="1"/>
  <c r="AY105" i="4"/>
  <c r="BA105" i="4" s="1"/>
  <c r="AY102" i="4"/>
  <c r="BA102" i="4" s="1"/>
  <c r="AY94" i="4"/>
  <c r="BA94" i="4" s="1"/>
  <c r="AY86" i="4"/>
  <c r="BA86" i="4" s="1"/>
  <c r="AY78" i="4"/>
  <c r="BA78" i="4" s="1"/>
  <c r="AY70" i="4"/>
  <c r="AY62" i="4"/>
  <c r="BA62" i="4" s="1"/>
  <c r="AY54" i="4"/>
  <c r="BA54" i="4" s="1"/>
  <c r="AY46" i="4"/>
  <c r="BA46" i="4" s="1"/>
  <c r="AY38" i="4"/>
  <c r="BA38" i="4" s="1"/>
  <c r="AY30" i="4"/>
  <c r="BA30" i="4" s="1"/>
  <c r="AY22" i="4"/>
  <c r="BA22" i="4" s="1"/>
  <c r="AY14" i="4"/>
  <c r="BA14" i="4" s="1"/>
  <c r="AY67" i="4"/>
  <c r="AY82" i="4"/>
  <c r="BA82" i="4" s="1"/>
  <c r="AY42" i="4"/>
  <c r="BA42" i="4" s="1"/>
  <c r="AY97" i="4"/>
  <c r="BA97" i="4" s="1"/>
  <c r="AY101" i="4"/>
  <c r="BA101" i="4" s="1"/>
  <c r="AY93" i="4"/>
  <c r="BA93" i="4" s="1"/>
  <c r="AY85" i="4"/>
  <c r="BA85" i="4" s="1"/>
  <c r="AY77" i="4"/>
  <c r="BA77" i="4" s="1"/>
  <c r="AY69" i="4"/>
  <c r="AY61" i="4"/>
  <c r="BA61" i="4" s="1"/>
  <c r="AY53" i="4"/>
  <c r="BA53" i="4" s="1"/>
  <c r="AY45" i="4"/>
  <c r="BA45" i="4" s="1"/>
  <c r="AY37" i="4"/>
  <c r="BA37" i="4" s="1"/>
  <c r="AY29" i="4"/>
  <c r="BA29" i="4" s="1"/>
  <c r="AY21" i="4"/>
  <c r="BA21" i="4" s="1"/>
  <c r="AY13" i="4"/>
  <c r="BA13" i="4" s="1"/>
  <c r="AY83" i="4"/>
  <c r="BA83" i="4" s="1"/>
  <c r="AY106" i="4"/>
  <c r="BA106" i="4" s="1"/>
  <c r="AY66" i="4"/>
  <c r="BA66" i="4" s="1"/>
  <c r="AY26" i="4"/>
  <c r="BA26" i="4" s="1"/>
  <c r="AY100" i="4"/>
  <c r="BA100" i="4" s="1"/>
  <c r="AY92" i="4"/>
  <c r="BA92" i="4" s="1"/>
  <c r="AY84" i="4"/>
  <c r="BA84" i="4" s="1"/>
  <c r="AY76" i="4"/>
  <c r="BA76" i="4" s="1"/>
  <c r="AY68" i="4"/>
  <c r="AY60" i="4"/>
  <c r="BA60" i="4" s="1"/>
  <c r="AY52" i="4"/>
  <c r="BA52" i="4" s="1"/>
  <c r="AY44" i="4"/>
  <c r="BA44" i="4" s="1"/>
  <c r="AY36" i="4"/>
  <c r="BA36" i="4" s="1"/>
  <c r="AY28" i="4"/>
  <c r="BA28" i="4" s="1"/>
  <c r="AY20" i="4"/>
  <c r="BA20" i="4" s="1"/>
  <c r="AY12" i="4"/>
  <c r="BA12" i="4" s="1"/>
  <c r="AY99" i="4"/>
  <c r="BA99" i="4" s="1"/>
  <c r="AY51" i="4"/>
  <c r="BA51" i="4" s="1"/>
  <c r="AY43" i="4"/>
  <c r="BA43" i="4" s="1"/>
  <c r="AY35" i="4"/>
  <c r="BA35" i="4" s="1"/>
  <c r="AY19" i="4"/>
  <c r="BA19" i="4" s="1"/>
  <c r="BA70" i="4" l="1"/>
  <c r="AZ70" i="4"/>
  <c r="BA69" i="4"/>
  <c r="AZ69" i="4"/>
  <c r="BA68" i="4"/>
  <c r="AZ68" i="4"/>
  <c r="BA67" i="4"/>
  <c r="AZ67" i="4"/>
  <c r="AZ66" i="4"/>
  <c r="AZ65" i="4"/>
  <c r="AZ28" i="4"/>
  <c r="AZ19" i="4"/>
  <c r="AZ36" i="4"/>
  <c r="AZ37" i="4"/>
  <c r="AZ38" i="4"/>
  <c r="AZ31" i="4"/>
  <c r="AZ40" i="4"/>
  <c r="AZ41" i="4"/>
  <c r="AZ23" i="4"/>
  <c r="AZ44" i="4"/>
  <c r="AZ46" i="4"/>
  <c r="AZ52" i="4"/>
  <c r="AZ53" i="4"/>
  <c r="AZ42" i="4"/>
  <c r="AZ54" i="4"/>
  <c r="AZ34" i="4"/>
  <c r="AZ47" i="4"/>
  <c r="AZ18" i="4"/>
  <c r="AZ56" i="4"/>
  <c r="AZ50" i="4"/>
  <c r="AZ57" i="4"/>
  <c r="AZ27" i="4"/>
  <c r="AZ29" i="4"/>
  <c r="AZ26" i="4"/>
  <c r="AZ43" i="4"/>
  <c r="AZ51" i="4"/>
  <c r="AZ60" i="4"/>
  <c r="AZ61" i="4"/>
  <c r="AZ62" i="4"/>
  <c r="AZ58" i="4"/>
  <c r="AZ55" i="4"/>
  <c r="AZ64" i="4"/>
  <c r="AZ32" i="4"/>
  <c r="AZ39" i="4"/>
  <c r="AZ63" i="4"/>
  <c r="AZ59" i="4"/>
  <c r="AZ35" i="4"/>
  <c r="AZ49" i="4"/>
  <c r="AZ12" i="4"/>
  <c r="AZ13" i="4"/>
  <c r="AZ14" i="4"/>
  <c r="AZ16" i="4"/>
  <c r="AZ17" i="4"/>
  <c r="AZ30" i="4"/>
  <c r="AZ33" i="4"/>
  <c r="AZ45" i="4"/>
  <c r="AZ48" i="4"/>
  <c r="AZ20" i="4"/>
  <c r="AZ21" i="4"/>
  <c r="AZ22" i="4"/>
  <c r="AZ15" i="4"/>
  <c r="AZ24" i="4"/>
  <c r="AZ25" i="4"/>
  <c r="AZ11" i="4"/>
  <c r="Y110" i="4"/>
  <c r="AY109" i="4"/>
  <c r="BA109" i="4" s="1"/>
  <c r="BT15" i="4" l="1"/>
  <c r="AY110" i="4"/>
  <c r="BA110" i="4" s="1"/>
  <c r="Y111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43" i="4"/>
  <c r="AC44" i="4"/>
  <c r="AC45" i="4"/>
  <c r="AC46" i="4"/>
  <c r="AC47" i="4"/>
  <c r="AC48" i="4"/>
  <c r="AC49" i="4"/>
  <c r="AC50" i="4"/>
  <c r="AC51" i="4"/>
  <c r="AC52" i="4"/>
  <c r="AC53" i="4"/>
  <c r="AC54" i="4"/>
  <c r="AC55" i="4"/>
  <c r="AC56" i="4"/>
  <c r="AC57" i="4"/>
  <c r="AC58" i="4"/>
  <c r="AC59" i="4"/>
  <c r="AC60" i="4"/>
  <c r="AC61" i="4"/>
  <c r="AC62" i="4"/>
  <c r="AC63" i="4"/>
  <c r="AC65" i="4"/>
  <c r="AC66" i="4"/>
  <c r="AC67" i="4"/>
  <c r="AC68" i="4"/>
  <c r="AC69" i="4"/>
  <c r="AC70" i="4"/>
  <c r="AC71" i="4"/>
  <c r="AD71" i="4" s="1"/>
  <c r="AC72" i="4"/>
  <c r="AD72" i="4" s="1"/>
  <c r="AC73" i="4"/>
  <c r="AD73" i="4" s="1"/>
  <c r="AC74" i="4"/>
  <c r="AD74" i="4" s="1"/>
  <c r="AC75" i="4"/>
  <c r="AD75" i="4" s="1"/>
  <c r="AC76" i="4"/>
  <c r="AD76" i="4" s="1"/>
  <c r="AC77" i="4"/>
  <c r="AD77" i="4" s="1"/>
  <c r="AC78" i="4"/>
  <c r="AD78" i="4" s="1"/>
  <c r="AC79" i="4"/>
  <c r="AD79" i="4" s="1"/>
  <c r="AC80" i="4"/>
  <c r="AD80" i="4" s="1"/>
  <c r="AC81" i="4"/>
  <c r="AD81" i="4" s="1"/>
  <c r="AC82" i="4"/>
  <c r="AD82" i="4" s="1"/>
  <c r="AC83" i="4"/>
  <c r="AD83" i="4" s="1"/>
  <c r="AC84" i="4"/>
  <c r="AD84" i="4" s="1"/>
  <c r="AC85" i="4"/>
  <c r="AD85" i="4" s="1"/>
  <c r="AC86" i="4"/>
  <c r="AD86" i="4" s="1"/>
  <c r="AC87" i="4"/>
  <c r="AD87" i="4" s="1"/>
  <c r="AC88" i="4"/>
  <c r="AD88" i="4" s="1"/>
  <c r="AC89" i="4"/>
  <c r="AD89" i="4" s="1"/>
  <c r="AC90" i="4"/>
  <c r="AD90" i="4" s="1"/>
  <c r="AC91" i="4"/>
  <c r="AD91" i="4" s="1"/>
  <c r="AC92" i="4"/>
  <c r="AD92" i="4" s="1"/>
  <c r="AC93" i="4"/>
  <c r="AD93" i="4" s="1"/>
  <c r="AC94" i="4"/>
  <c r="AD94" i="4" s="1"/>
  <c r="AC95" i="4"/>
  <c r="AD95" i="4" s="1"/>
  <c r="AC96" i="4"/>
  <c r="AD96" i="4" s="1"/>
  <c r="AC97" i="4"/>
  <c r="AD97" i="4" s="1"/>
  <c r="AC98" i="4"/>
  <c r="AD98" i="4" s="1"/>
  <c r="AC99" i="4"/>
  <c r="AD99" i="4" s="1"/>
  <c r="AC100" i="4"/>
  <c r="AD100" i="4" s="1"/>
  <c r="AC101" i="4"/>
  <c r="AD101" i="4" s="1"/>
  <c r="AC102" i="4"/>
  <c r="AD102" i="4" s="1"/>
  <c r="AC103" i="4"/>
  <c r="AD103" i="4" s="1"/>
  <c r="AC104" i="4"/>
  <c r="AD104" i="4" s="1"/>
  <c r="AC15" i="4"/>
  <c r="AD69" i="4" l="1"/>
  <c r="AD44" i="4"/>
  <c r="AD20" i="4"/>
  <c r="AD68" i="4"/>
  <c r="AD43" i="4"/>
  <c r="AD35" i="4"/>
  <c r="AD27" i="4"/>
  <c r="AD19" i="4"/>
  <c r="AD67" i="4"/>
  <c r="AD58" i="4"/>
  <c r="AD50" i="4"/>
  <c r="AD42" i="4"/>
  <c r="AD34" i="4"/>
  <c r="AD26" i="4"/>
  <c r="AD18" i="4"/>
  <c r="AD52" i="4"/>
  <c r="AD41" i="4"/>
  <c r="AD59" i="4"/>
  <c r="AD49" i="4"/>
  <c r="AD17" i="4"/>
  <c r="AD65" i="4"/>
  <c r="AD56" i="4"/>
  <c r="AD48" i="4"/>
  <c r="AD40" i="4"/>
  <c r="AD32" i="4"/>
  <c r="AD24" i="4"/>
  <c r="AD16" i="4"/>
  <c r="AD28" i="4"/>
  <c r="AD66" i="4"/>
  <c r="AD33" i="4"/>
  <c r="AD15" i="4"/>
  <c r="AD63" i="4"/>
  <c r="AD55" i="4"/>
  <c r="AD47" i="4"/>
  <c r="AD39" i="4"/>
  <c r="AD31" i="4"/>
  <c r="AD23" i="4"/>
  <c r="AD62" i="4"/>
  <c r="AD54" i="4"/>
  <c r="AD46" i="4"/>
  <c r="AD38" i="4"/>
  <c r="AD30" i="4"/>
  <c r="AD22" i="4"/>
  <c r="AD60" i="4"/>
  <c r="AD36" i="4"/>
  <c r="AD51" i="4"/>
  <c r="AD57" i="4"/>
  <c r="AD25" i="4"/>
  <c r="AD70" i="4"/>
  <c r="AD61" i="4"/>
  <c r="AD53" i="4"/>
  <c r="AD45" i="4"/>
  <c r="AD37" i="4"/>
  <c r="AD29" i="4"/>
  <c r="AD21" i="4"/>
  <c r="BZ11" i="4"/>
  <c r="AY111" i="4"/>
  <c r="BA111" i="4" s="1"/>
  <c r="Y112" i="4"/>
  <c r="DB12" i="4"/>
  <c r="BV14" i="4"/>
  <c r="BD62" i="4"/>
  <c r="BS14" i="4"/>
  <c r="BU14" i="4"/>
  <c r="AI62" i="4"/>
  <c r="AI60" i="4"/>
  <c r="AI61" i="4"/>
  <c r="BY14" i="4"/>
  <c r="CA14" i="4"/>
  <c r="AP29" i="4" l="1"/>
  <c r="AQ29" i="4" s="1"/>
  <c r="CD14" i="4"/>
  <c r="CF14" i="4"/>
  <c r="L60" i="4"/>
  <c r="L61" i="4"/>
  <c r="L62" i="4"/>
  <c r="AP53" i="4"/>
  <c r="AP44" i="4"/>
  <c r="AP35" i="4"/>
  <c r="AP50" i="4"/>
  <c r="AP30" i="4"/>
  <c r="AP33" i="4"/>
  <c r="AP40" i="4"/>
  <c r="AP31" i="4"/>
  <c r="AP38" i="4"/>
  <c r="AP52" i="4"/>
  <c r="AP59" i="4"/>
  <c r="AP42" i="4"/>
  <c r="AP57" i="4"/>
  <c r="AP32" i="4"/>
  <c r="AP45" i="4"/>
  <c r="AP51" i="4"/>
  <c r="AP55" i="4"/>
  <c r="AP54" i="4"/>
  <c r="AP47" i="4"/>
  <c r="AP36" i="4"/>
  <c r="AP34" i="4"/>
  <c r="AP49" i="4"/>
  <c r="AP56" i="4"/>
  <c r="AP37" i="4"/>
  <c r="AP46" i="4"/>
  <c r="AP61" i="4"/>
  <c r="AP43" i="4"/>
  <c r="AP58" i="4"/>
  <c r="AP60" i="4"/>
  <c r="AP41" i="4"/>
  <c r="AP48" i="4"/>
  <c r="AP39" i="4"/>
  <c r="AY112" i="4"/>
  <c r="BA112" i="4" s="1"/>
  <c r="Y113" i="4"/>
  <c r="D3" i="4"/>
  <c r="AR43" i="4" l="1"/>
  <c r="AQ43" i="4"/>
  <c r="AR47" i="4"/>
  <c r="AQ47" i="4"/>
  <c r="AR59" i="4"/>
  <c r="AQ59" i="4"/>
  <c r="AR35" i="4"/>
  <c r="AQ35" i="4"/>
  <c r="AR48" i="4"/>
  <c r="AQ48" i="4"/>
  <c r="AR41" i="4"/>
  <c r="AQ41" i="4"/>
  <c r="AR32" i="4"/>
  <c r="AQ32" i="4"/>
  <c r="AR34" i="4"/>
  <c r="AQ34" i="4"/>
  <c r="AR30" i="4"/>
  <c r="AQ30" i="4"/>
  <c r="AR42" i="4"/>
  <c r="AQ42" i="4"/>
  <c r="AR61" i="4"/>
  <c r="AQ61" i="4"/>
  <c r="AR54" i="4"/>
  <c r="AQ54" i="4"/>
  <c r="AR52" i="4"/>
  <c r="AQ52" i="4"/>
  <c r="AR44" i="4"/>
  <c r="AQ44" i="4"/>
  <c r="AR45" i="4"/>
  <c r="AQ45" i="4"/>
  <c r="AR36" i="4"/>
  <c r="AQ36" i="4"/>
  <c r="AR46" i="4"/>
  <c r="AQ46" i="4"/>
  <c r="AR55" i="4"/>
  <c r="AQ55" i="4"/>
  <c r="AR38" i="4"/>
  <c r="AQ38" i="4"/>
  <c r="AR53" i="4"/>
  <c r="AQ53" i="4"/>
  <c r="AR29" i="4"/>
  <c r="AR56" i="4"/>
  <c r="AQ56" i="4"/>
  <c r="AR49" i="4"/>
  <c r="AQ49" i="4"/>
  <c r="AR33" i="4"/>
  <c r="AQ33" i="4"/>
  <c r="AR60" i="4"/>
  <c r="AQ60" i="4"/>
  <c r="AR57" i="4"/>
  <c r="AQ57" i="4"/>
  <c r="AR58" i="4"/>
  <c r="AQ58" i="4"/>
  <c r="AR50" i="4"/>
  <c r="AQ50" i="4"/>
  <c r="AR39" i="4"/>
  <c r="AQ39" i="4"/>
  <c r="AR37" i="4"/>
  <c r="AQ37" i="4"/>
  <c r="AR51" i="4"/>
  <c r="AQ51" i="4"/>
  <c r="AR31" i="4"/>
  <c r="AQ31" i="4"/>
  <c r="AR40" i="4"/>
  <c r="AQ40" i="4"/>
  <c r="AY113" i="4"/>
  <c r="BA113" i="4" s="1"/>
  <c r="Y114" i="4"/>
  <c r="BE11" i="4"/>
  <c r="BE12" i="4"/>
  <c r="BE13" i="4"/>
  <c r="BE14" i="4"/>
  <c r="BE15" i="4"/>
  <c r="BE16" i="4"/>
  <c r="BE17" i="4"/>
  <c r="BE18" i="4"/>
  <c r="BE19" i="4"/>
  <c r="BE20" i="4"/>
  <c r="BE21" i="4"/>
  <c r="BE22" i="4"/>
  <c r="BE23" i="4"/>
  <c r="BE24" i="4"/>
  <c r="BE25" i="4"/>
  <c r="BE26" i="4"/>
  <c r="BE27" i="4"/>
  <c r="BE28" i="4"/>
  <c r="BE29" i="4"/>
  <c r="BE30" i="4"/>
  <c r="BE31" i="4"/>
  <c r="BE32" i="4"/>
  <c r="BE33" i="4"/>
  <c r="BE34" i="4"/>
  <c r="BE35" i="4"/>
  <c r="BE36" i="4"/>
  <c r="BE37" i="4"/>
  <c r="BE38" i="4"/>
  <c r="BE39" i="4"/>
  <c r="BE40" i="4"/>
  <c r="BE41" i="4"/>
  <c r="BE42" i="4"/>
  <c r="BE43" i="4"/>
  <c r="BE44" i="4"/>
  <c r="BE45" i="4"/>
  <c r="BE46" i="4"/>
  <c r="BE47" i="4"/>
  <c r="BE48" i="4"/>
  <c r="BE49" i="4"/>
  <c r="BE50" i="4"/>
  <c r="BE51" i="4"/>
  <c r="BE52" i="4"/>
  <c r="BE53" i="4"/>
  <c r="BE54" i="4"/>
  <c r="BE55" i="4"/>
  <c r="BE56" i="4"/>
  <c r="BE57" i="4"/>
  <c r="BE58" i="4"/>
  <c r="BE59" i="4"/>
  <c r="BE60" i="4"/>
  <c r="BE61" i="4"/>
  <c r="BE62" i="4"/>
  <c r="BE63" i="4"/>
  <c r="BE64" i="4"/>
  <c r="BE65" i="4"/>
  <c r="BE66" i="4"/>
  <c r="BE67" i="4"/>
  <c r="BE68" i="4"/>
  <c r="BE69" i="4"/>
  <c r="BE70" i="4"/>
  <c r="BE71" i="4"/>
  <c r="BE72" i="4"/>
  <c r="BE73" i="4"/>
  <c r="BE74" i="4"/>
  <c r="BE75" i="4"/>
  <c r="BE76" i="4"/>
  <c r="BE77" i="4"/>
  <c r="BE78" i="4"/>
  <c r="BE79" i="4"/>
  <c r="BE80" i="4"/>
  <c r="BE81" i="4"/>
  <c r="BE82" i="4"/>
  <c r="BE83" i="4"/>
  <c r="BE84" i="4"/>
  <c r="BE85" i="4"/>
  <c r="BE86" i="4"/>
  <c r="BE87" i="4"/>
  <c r="BE88" i="4"/>
  <c r="BE89" i="4"/>
  <c r="BE90" i="4"/>
  <c r="BE91" i="4"/>
  <c r="BE92" i="4"/>
  <c r="BE93" i="4"/>
  <c r="BE94" i="4"/>
  <c r="BE95" i="4"/>
  <c r="BE96" i="4"/>
  <c r="BE97" i="4"/>
  <c r="BE98" i="4"/>
  <c r="BE99" i="4"/>
  <c r="BE100" i="4"/>
  <c r="BE101" i="4"/>
  <c r="BE102" i="4"/>
  <c r="BE103" i="4"/>
  <c r="BE104" i="4"/>
  <c r="BE105" i="4"/>
  <c r="BE106" i="4"/>
  <c r="BE107" i="4"/>
  <c r="BD11" i="4"/>
  <c r="BD12" i="4"/>
  <c r="BD13" i="4"/>
  <c r="BD14" i="4"/>
  <c r="BD15" i="4"/>
  <c r="BD16" i="4"/>
  <c r="BD17" i="4"/>
  <c r="BD18" i="4"/>
  <c r="BD19" i="4"/>
  <c r="BD20" i="4"/>
  <c r="BD21" i="4"/>
  <c r="BD22" i="4"/>
  <c r="BD23" i="4"/>
  <c r="BD24" i="4"/>
  <c r="BD25" i="4"/>
  <c r="BD26" i="4"/>
  <c r="BD27" i="4"/>
  <c r="BD28" i="4"/>
  <c r="BD29" i="4"/>
  <c r="BD30" i="4"/>
  <c r="BD31" i="4"/>
  <c r="BD32" i="4"/>
  <c r="BD33" i="4"/>
  <c r="BD34" i="4"/>
  <c r="BD35" i="4"/>
  <c r="BD36" i="4"/>
  <c r="BD37" i="4"/>
  <c r="BD38" i="4"/>
  <c r="BD39" i="4"/>
  <c r="BD40" i="4"/>
  <c r="BD41" i="4"/>
  <c r="BD42" i="4"/>
  <c r="BD43" i="4"/>
  <c r="BD44" i="4"/>
  <c r="BD45" i="4"/>
  <c r="BD46" i="4"/>
  <c r="BD47" i="4"/>
  <c r="BD48" i="4"/>
  <c r="BD49" i="4"/>
  <c r="BD50" i="4"/>
  <c r="BD51" i="4"/>
  <c r="BD52" i="4"/>
  <c r="BD53" i="4"/>
  <c r="BD54" i="4"/>
  <c r="BD55" i="4"/>
  <c r="BD56" i="4"/>
  <c r="BD57" i="4"/>
  <c r="BD58" i="4"/>
  <c r="BD59" i="4"/>
  <c r="BD60" i="4"/>
  <c r="BD61" i="4"/>
  <c r="BD63" i="4"/>
  <c r="BD64" i="4"/>
  <c r="BD65" i="4"/>
  <c r="BD66" i="4"/>
  <c r="BD67" i="4"/>
  <c r="BD68" i="4"/>
  <c r="BD69" i="4"/>
  <c r="BD70" i="4"/>
  <c r="BD71" i="4"/>
  <c r="BD72" i="4"/>
  <c r="BD73" i="4"/>
  <c r="BD74" i="4"/>
  <c r="BD75" i="4"/>
  <c r="BD76" i="4"/>
  <c r="BD77" i="4"/>
  <c r="BD78" i="4"/>
  <c r="BD79" i="4"/>
  <c r="BD80" i="4"/>
  <c r="BD81" i="4"/>
  <c r="BD82" i="4"/>
  <c r="BD83" i="4"/>
  <c r="BD84" i="4"/>
  <c r="BD85" i="4"/>
  <c r="BD86" i="4"/>
  <c r="BD87" i="4"/>
  <c r="BD88" i="4"/>
  <c r="BD89" i="4"/>
  <c r="BD90" i="4"/>
  <c r="BD91" i="4"/>
  <c r="BD92" i="4"/>
  <c r="BD93" i="4"/>
  <c r="BD94" i="4"/>
  <c r="BD95" i="4"/>
  <c r="BD96" i="4"/>
  <c r="BD97" i="4"/>
  <c r="BD98" i="4"/>
  <c r="BD99" i="4"/>
  <c r="BD100" i="4"/>
  <c r="BD101" i="4"/>
  <c r="BD102" i="4"/>
  <c r="BD103" i="4"/>
  <c r="BD104" i="4"/>
  <c r="BD105" i="4"/>
  <c r="BD106" i="4"/>
  <c r="BD107" i="4"/>
  <c r="BV13" i="4"/>
  <c r="BV12" i="4"/>
  <c r="BU13" i="4"/>
  <c r="BU12" i="4"/>
  <c r="AJ15" i="4" s="1"/>
  <c r="AL15" i="4" s="1"/>
  <c r="BS13" i="4"/>
  <c r="CA13" i="4"/>
  <c r="BY13" i="4"/>
  <c r="AJ19" i="4" l="1"/>
  <c r="AL19" i="4" s="1"/>
  <c r="AJ27" i="4"/>
  <c r="AL27" i="4" s="1"/>
  <c r="AJ35" i="4"/>
  <c r="AL35" i="4" s="1"/>
  <c r="AJ43" i="4"/>
  <c r="AL43" i="4" s="1"/>
  <c r="AJ44" i="4"/>
  <c r="AL44" i="4" s="1"/>
  <c r="AJ41" i="4"/>
  <c r="AL41" i="4" s="1"/>
  <c r="AJ16" i="4"/>
  <c r="AL16" i="4" s="1"/>
  <c r="AJ30" i="4"/>
  <c r="AL30" i="4" s="1"/>
  <c r="AJ36" i="4"/>
  <c r="AL36" i="4" s="1"/>
  <c r="AJ33" i="4"/>
  <c r="AL33" i="4" s="1"/>
  <c r="AJ47" i="4"/>
  <c r="AL47" i="4" s="1"/>
  <c r="AJ22" i="4"/>
  <c r="AL22" i="4" s="1"/>
  <c r="AJ28" i="4"/>
  <c r="AL28" i="4" s="1"/>
  <c r="AJ25" i="4"/>
  <c r="AL25" i="4" s="1"/>
  <c r="AJ39" i="4"/>
  <c r="AL39" i="4" s="1"/>
  <c r="AJ45" i="4"/>
  <c r="AL45" i="4" s="1"/>
  <c r="AJ20" i="4"/>
  <c r="AL20" i="4" s="1"/>
  <c r="AJ17" i="4"/>
  <c r="AL17" i="4" s="1"/>
  <c r="AJ31" i="4"/>
  <c r="AL31" i="4" s="1"/>
  <c r="AJ37" i="4"/>
  <c r="AL37" i="4" s="1"/>
  <c r="AJ42" i="4"/>
  <c r="AL42" i="4" s="1"/>
  <c r="AJ48" i="4"/>
  <c r="AL48" i="4" s="1"/>
  <c r="AJ23" i="4"/>
  <c r="AL23" i="4" s="1"/>
  <c r="AJ29" i="4"/>
  <c r="AL29" i="4" s="1"/>
  <c r="AJ34" i="4"/>
  <c r="AL34" i="4" s="1"/>
  <c r="AJ40" i="4"/>
  <c r="AL40" i="4" s="1"/>
  <c r="AJ21" i="4"/>
  <c r="AL21" i="4" s="1"/>
  <c r="AJ26" i="4"/>
  <c r="AL26" i="4" s="1"/>
  <c r="AJ32" i="4"/>
  <c r="AL32" i="4" s="1"/>
  <c r="AJ46" i="4"/>
  <c r="AL46" i="4" s="1"/>
  <c r="AJ18" i="4"/>
  <c r="AL18" i="4" s="1"/>
  <c r="AJ24" i="4"/>
  <c r="AL24" i="4" s="1"/>
  <c r="AJ38" i="4"/>
  <c r="AL38" i="4" s="1"/>
  <c r="AM26" i="4"/>
  <c r="AO26" i="4" s="1"/>
  <c r="AM34" i="4"/>
  <c r="AO34" i="4" s="1"/>
  <c r="AM19" i="4"/>
  <c r="AO19" i="4" s="1"/>
  <c r="AM27" i="4"/>
  <c r="AO27" i="4" s="1"/>
  <c r="AM35" i="4"/>
  <c r="AO35" i="4" s="1"/>
  <c r="AM20" i="4"/>
  <c r="AO20" i="4" s="1"/>
  <c r="AM28" i="4"/>
  <c r="AO28" i="4" s="1"/>
  <c r="AM36" i="4"/>
  <c r="AO36" i="4" s="1"/>
  <c r="AM21" i="4"/>
  <c r="AO21" i="4" s="1"/>
  <c r="AM29" i="4"/>
  <c r="AO29" i="4" s="1"/>
  <c r="AM37" i="4"/>
  <c r="AO37" i="4" s="1"/>
  <c r="AM22" i="4"/>
  <c r="AO22" i="4" s="1"/>
  <c r="AM30" i="4"/>
  <c r="AO30" i="4" s="1"/>
  <c r="AM38" i="4"/>
  <c r="AO38" i="4" s="1"/>
  <c r="AM23" i="4"/>
  <c r="AO23" i="4" s="1"/>
  <c r="AM31" i="4"/>
  <c r="AO31" i="4" s="1"/>
  <c r="AM39" i="4"/>
  <c r="AO39" i="4" s="1"/>
  <c r="AM24" i="4"/>
  <c r="AO24" i="4" s="1"/>
  <c r="AM32" i="4"/>
  <c r="AO32" i="4" s="1"/>
  <c r="AM25" i="4"/>
  <c r="AO25" i="4" s="1"/>
  <c r="AM33" i="4"/>
  <c r="AO33" i="4" s="1"/>
  <c r="AM11" i="4"/>
  <c r="AO11" i="4" s="1"/>
  <c r="AM47" i="4"/>
  <c r="AO47" i="4" s="1"/>
  <c r="AM55" i="4"/>
  <c r="AO55" i="4" s="1"/>
  <c r="AM40" i="4"/>
  <c r="AO40" i="4" s="1"/>
  <c r="AM48" i="4"/>
  <c r="AO48" i="4" s="1"/>
  <c r="AM56" i="4"/>
  <c r="AO56" i="4" s="1"/>
  <c r="AM41" i="4"/>
  <c r="AO41" i="4" s="1"/>
  <c r="AM49" i="4"/>
  <c r="AO49" i="4" s="1"/>
  <c r="AM57" i="4"/>
  <c r="AO57" i="4" s="1"/>
  <c r="AM42" i="4"/>
  <c r="AO42" i="4" s="1"/>
  <c r="AM50" i="4"/>
  <c r="AO50" i="4" s="1"/>
  <c r="AM58" i="4"/>
  <c r="AO58" i="4" s="1"/>
  <c r="AM43" i="4"/>
  <c r="AO43" i="4" s="1"/>
  <c r="AM51" i="4"/>
  <c r="AO51" i="4" s="1"/>
  <c r="AM59" i="4"/>
  <c r="AO59" i="4" s="1"/>
  <c r="AM44" i="4"/>
  <c r="AO44" i="4" s="1"/>
  <c r="AM52" i="4"/>
  <c r="AO52" i="4" s="1"/>
  <c r="AM60" i="4"/>
  <c r="AO60" i="4" s="1"/>
  <c r="AM45" i="4"/>
  <c r="AO45" i="4" s="1"/>
  <c r="AM53" i="4"/>
  <c r="AO53" i="4" s="1"/>
  <c r="AM61" i="4"/>
  <c r="AO61" i="4" s="1"/>
  <c r="AM46" i="4"/>
  <c r="AO46" i="4" s="1"/>
  <c r="AM54" i="4"/>
  <c r="AO54" i="4" s="1"/>
  <c r="AJ51" i="4"/>
  <c r="AJ52" i="4"/>
  <c r="AJ60" i="4"/>
  <c r="AJ53" i="4"/>
  <c r="AJ61" i="4"/>
  <c r="AJ54" i="4"/>
  <c r="AJ55" i="4"/>
  <c r="AJ56" i="4"/>
  <c r="AJ49" i="4"/>
  <c r="AJ57" i="4"/>
  <c r="AJ50" i="4"/>
  <c r="AJ58" i="4"/>
  <c r="AJ59" i="4"/>
  <c r="CD13" i="4"/>
  <c r="CF13" i="4"/>
  <c r="AY114" i="4"/>
  <c r="BA114" i="4" s="1"/>
  <c r="Y115" i="4"/>
  <c r="EJ11" i="4"/>
  <c r="AI64" i="4"/>
  <c r="AI65" i="4"/>
  <c r="AI66" i="4"/>
  <c r="AI67" i="4"/>
  <c r="AI68" i="4"/>
  <c r="AI69" i="4"/>
  <c r="AI70" i="4"/>
  <c r="L70" i="4" s="1"/>
  <c r="AI72" i="4"/>
  <c r="L72" i="4" s="1"/>
  <c r="AI73" i="4"/>
  <c r="L73" i="4" s="1"/>
  <c r="AI74" i="4"/>
  <c r="L74" i="4" s="1"/>
  <c r="AI75" i="4"/>
  <c r="L75" i="4" s="1"/>
  <c r="AI76" i="4"/>
  <c r="L76" i="4" s="1"/>
  <c r="AI77" i="4"/>
  <c r="L77" i="4" s="1"/>
  <c r="AI78" i="4"/>
  <c r="L78" i="4" s="1"/>
  <c r="AI79" i="4"/>
  <c r="L79" i="4" s="1"/>
  <c r="AI80" i="4"/>
  <c r="L80" i="4" s="1"/>
  <c r="AI81" i="4"/>
  <c r="L81" i="4" s="1"/>
  <c r="AI82" i="4"/>
  <c r="L82" i="4" s="1"/>
  <c r="AI83" i="4"/>
  <c r="L83" i="4" s="1"/>
  <c r="AI84" i="4"/>
  <c r="L84" i="4" s="1"/>
  <c r="AI85" i="4"/>
  <c r="L85" i="4" s="1"/>
  <c r="AI86" i="4"/>
  <c r="L86" i="4" s="1"/>
  <c r="AI87" i="4"/>
  <c r="L87" i="4" s="1"/>
  <c r="AI88" i="4"/>
  <c r="L88" i="4" s="1"/>
  <c r="AI89" i="4"/>
  <c r="L89" i="4" s="1"/>
  <c r="AI90" i="4"/>
  <c r="L90" i="4" s="1"/>
  <c r="AI91" i="4"/>
  <c r="L91" i="4" s="1"/>
  <c r="AI92" i="4"/>
  <c r="L92" i="4" s="1"/>
  <c r="AI93" i="4"/>
  <c r="L93" i="4" s="1"/>
  <c r="AI94" i="4"/>
  <c r="L94" i="4" s="1"/>
  <c r="AI95" i="4"/>
  <c r="L95" i="4" s="1"/>
  <c r="AI96" i="4"/>
  <c r="L96" i="4" s="1"/>
  <c r="AI97" i="4"/>
  <c r="L97" i="4" s="1"/>
  <c r="AI98" i="4"/>
  <c r="L98" i="4" s="1"/>
  <c r="AI99" i="4"/>
  <c r="L99" i="4" s="1"/>
  <c r="AI100" i="4"/>
  <c r="L100" i="4" s="1"/>
  <c r="AI101" i="4"/>
  <c r="L101" i="4" s="1"/>
  <c r="AI102" i="4"/>
  <c r="L102" i="4" s="1"/>
  <c r="AI103" i="4"/>
  <c r="L103" i="4" s="1"/>
  <c r="AI104" i="4"/>
  <c r="L104" i="4" s="1"/>
  <c r="AI105" i="4"/>
  <c r="L105" i="4" s="1"/>
  <c r="AI106" i="4"/>
  <c r="L106" i="4" s="1"/>
  <c r="AI12" i="4"/>
  <c r="AG12" i="4" s="1"/>
  <c r="AI13" i="4"/>
  <c r="AG13" i="4" s="1"/>
  <c r="AI15" i="4"/>
  <c r="AI16" i="4"/>
  <c r="AI17" i="4"/>
  <c r="AI18" i="4"/>
  <c r="AI19" i="4"/>
  <c r="AI20" i="4"/>
  <c r="AI21" i="4"/>
  <c r="AI22" i="4"/>
  <c r="AI23" i="4"/>
  <c r="AI24" i="4"/>
  <c r="AI25" i="4"/>
  <c r="AI26" i="4"/>
  <c r="AI27" i="4"/>
  <c r="AI28" i="4"/>
  <c r="AI29" i="4"/>
  <c r="AI30" i="4"/>
  <c r="AI31" i="4"/>
  <c r="AI32" i="4"/>
  <c r="AI33" i="4"/>
  <c r="AI34" i="4"/>
  <c r="AI35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  <c r="AI52" i="4"/>
  <c r="AI53" i="4"/>
  <c r="AI54" i="4"/>
  <c r="AI55" i="4"/>
  <c r="AI56" i="4"/>
  <c r="AI57" i="4"/>
  <c r="AI58" i="4"/>
  <c r="AI59" i="4"/>
  <c r="AI11" i="4"/>
  <c r="AG11" i="4" s="1"/>
  <c r="B62" i="4"/>
  <c r="AE60" i="4"/>
  <c r="AG60" i="4" s="1"/>
  <c r="AE61" i="4"/>
  <c r="AG61" i="4" s="1"/>
  <c r="AK43" i="4" l="1"/>
  <c r="AK35" i="4"/>
  <c r="AK27" i="4"/>
  <c r="AK19" i="4"/>
  <c r="AK37" i="4"/>
  <c r="AK42" i="4"/>
  <c r="AK34" i="4"/>
  <c r="AK26" i="4"/>
  <c r="AK18" i="4"/>
  <c r="AK41" i="4"/>
  <c r="AK33" i="4"/>
  <c r="AK25" i="4"/>
  <c r="AK17" i="4"/>
  <c r="AK45" i="4"/>
  <c r="AK21" i="4"/>
  <c r="AK48" i="4"/>
  <c r="AK40" i="4"/>
  <c r="AK32" i="4"/>
  <c r="AK24" i="4"/>
  <c r="AK16" i="4"/>
  <c r="AK39" i="4"/>
  <c r="AK31" i="4"/>
  <c r="AK23" i="4"/>
  <c r="AK15" i="4"/>
  <c r="AK47" i="4"/>
  <c r="AK46" i="4"/>
  <c r="AK38" i="4"/>
  <c r="AK30" i="4"/>
  <c r="AK22" i="4"/>
  <c r="Z62" i="4"/>
  <c r="AH62" i="4"/>
  <c r="AJ62" i="4" s="1"/>
  <c r="AB62" i="4"/>
  <c r="AE62" i="4" s="1"/>
  <c r="AG62" i="4" s="1"/>
  <c r="AS62" i="4"/>
  <c r="AU62" i="4" s="1"/>
  <c r="AK29" i="4"/>
  <c r="AK44" i="4"/>
  <c r="AK36" i="4"/>
  <c r="AK28" i="4"/>
  <c r="AK20" i="4"/>
  <c r="AK13" i="4"/>
  <c r="AK12" i="4"/>
  <c r="AK11" i="4"/>
  <c r="AK51" i="4"/>
  <c r="AL51" i="4"/>
  <c r="AK59" i="4"/>
  <c r="AL59" i="4"/>
  <c r="AK58" i="4"/>
  <c r="AL58" i="4"/>
  <c r="AK56" i="4"/>
  <c r="AL56" i="4"/>
  <c r="AK60" i="4"/>
  <c r="AL60" i="4"/>
  <c r="AK50" i="4"/>
  <c r="AL50" i="4"/>
  <c r="AK57" i="4"/>
  <c r="AL57" i="4"/>
  <c r="AK61" i="4"/>
  <c r="AL61" i="4"/>
  <c r="AK52" i="4"/>
  <c r="AL52" i="4"/>
  <c r="AK49" i="4"/>
  <c r="AL49" i="4"/>
  <c r="AK55" i="4"/>
  <c r="AL55" i="4"/>
  <c r="AK54" i="4"/>
  <c r="AL54" i="4"/>
  <c r="AK53" i="4"/>
  <c r="AL53" i="4"/>
  <c r="AN31" i="4"/>
  <c r="AN36" i="4"/>
  <c r="AN23" i="4"/>
  <c r="AN28" i="4"/>
  <c r="AN38" i="4"/>
  <c r="AN20" i="4"/>
  <c r="AN33" i="4"/>
  <c r="AN30" i="4"/>
  <c r="AN35" i="4"/>
  <c r="AN25" i="4"/>
  <c r="AN22" i="4"/>
  <c r="AN27" i="4"/>
  <c r="AN32" i="4"/>
  <c r="AN37" i="4"/>
  <c r="AN19" i="4"/>
  <c r="AN24" i="4"/>
  <c r="AN29" i="4"/>
  <c r="AN34" i="4"/>
  <c r="AN39" i="4"/>
  <c r="AN21" i="4"/>
  <c r="AN26" i="4"/>
  <c r="AN43" i="4"/>
  <c r="AN58" i="4"/>
  <c r="AN54" i="4"/>
  <c r="AN50" i="4"/>
  <c r="AN46" i="4"/>
  <c r="AN61" i="4"/>
  <c r="AN42" i="4"/>
  <c r="AN57" i="4"/>
  <c r="AN53" i="4"/>
  <c r="AN49" i="4"/>
  <c r="AN45" i="4"/>
  <c r="AN60" i="4"/>
  <c r="AN41" i="4"/>
  <c r="AN56" i="4"/>
  <c r="AN52" i="4"/>
  <c r="AN48" i="4"/>
  <c r="AN44" i="4"/>
  <c r="AN59" i="4"/>
  <c r="AN40" i="4"/>
  <c r="AN55" i="4"/>
  <c r="AN51" i="4"/>
  <c r="AN47" i="4"/>
  <c r="W62" i="4"/>
  <c r="AM62" i="4" s="1"/>
  <c r="AO62" i="4" s="1"/>
  <c r="AA62" i="4"/>
  <c r="X62" i="4"/>
  <c r="AF61" i="4"/>
  <c r="AF60" i="4"/>
  <c r="L11" i="4"/>
  <c r="L34" i="4"/>
  <c r="L26" i="4"/>
  <c r="L18" i="4"/>
  <c r="L33" i="4"/>
  <c r="L25" i="4"/>
  <c r="L17" i="4"/>
  <c r="L35" i="4"/>
  <c r="L40" i="4"/>
  <c r="L24" i="4"/>
  <c r="L39" i="4"/>
  <c r="L15" i="4"/>
  <c r="L38" i="4"/>
  <c r="L30" i="4"/>
  <c r="L22" i="4"/>
  <c r="L27" i="4"/>
  <c r="L32" i="4"/>
  <c r="L16" i="4"/>
  <c r="L31" i="4"/>
  <c r="L23" i="4"/>
  <c r="L37" i="4"/>
  <c r="L29" i="4"/>
  <c r="L21" i="4"/>
  <c r="L12" i="4"/>
  <c r="L67" i="4"/>
  <c r="L19" i="4"/>
  <c r="L36" i="4"/>
  <c r="L28" i="4"/>
  <c r="L20" i="4"/>
  <c r="L66" i="4"/>
  <c r="L69" i="4"/>
  <c r="L68" i="4"/>
  <c r="L65" i="4"/>
  <c r="L53" i="4"/>
  <c r="L59" i="4"/>
  <c r="L41" i="4"/>
  <c r="L48" i="4"/>
  <c r="L44" i="4"/>
  <c r="L58" i="4"/>
  <c r="L50" i="4"/>
  <c r="L64" i="4"/>
  <c r="L49" i="4"/>
  <c r="L56" i="4"/>
  <c r="L55" i="4"/>
  <c r="L47" i="4"/>
  <c r="L45" i="4"/>
  <c r="L52" i="4"/>
  <c r="L51" i="4"/>
  <c r="L43" i="4"/>
  <c r="L42" i="4"/>
  <c r="L57" i="4"/>
  <c r="L54" i="4"/>
  <c r="L46" i="4"/>
  <c r="L13" i="4"/>
  <c r="BZ12" i="4"/>
  <c r="Y116" i="4"/>
  <c r="AY115" i="4"/>
  <c r="BA115" i="4" s="1"/>
  <c r="B63" i="4"/>
  <c r="G2" i="4"/>
  <c r="F2" i="4"/>
  <c r="AE23" i="4"/>
  <c r="AG23" i="4" s="1"/>
  <c r="AE24" i="4"/>
  <c r="AG24" i="4" s="1"/>
  <c r="AE25" i="4"/>
  <c r="AG25" i="4" s="1"/>
  <c r="AE26" i="4"/>
  <c r="AG26" i="4" s="1"/>
  <c r="AE27" i="4"/>
  <c r="AG27" i="4" s="1"/>
  <c r="AE28" i="4"/>
  <c r="AG28" i="4" s="1"/>
  <c r="AE29" i="4"/>
  <c r="AG29" i="4" s="1"/>
  <c r="AE30" i="4"/>
  <c r="AG30" i="4" s="1"/>
  <c r="AE31" i="4"/>
  <c r="AG31" i="4" s="1"/>
  <c r="AE32" i="4"/>
  <c r="AG32" i="4" s="1"/>
  <c r="AE33" i="4"/>
  <c r="AG33" i="4" s="1"/>
  <c r="AE34" i="4"/>
  <c r="AG34" i="4" s="1"/>
  <c r="AE35" i="4"/>
  <c r="AG35" i="4" s="1"/>
  <c r="AE36" i="4"/>
  <c r="AG36" i="4" s="1"/>
  <c r="AE37" i="4"/>
  <c r="AG37" i="4" s="1"/>
  <c r="AE38" i="4"/>
  <c r="AG38" i="4" s="1"/>
  <c r="AE39" i="4"/>
  <c r="AG39" i="4" s="1"/>
  <c r="AE40" i="4"/>
  <c r="AG40" i="4" s="1"/>
  <c r="AE41" i="4"/>
  <c r="AG41" i="4" s="1"/>
  <c r="AE42" i="4"/>
  <c r="AG42" i="4" s="1"/>
  <c r="AE43" i="4"/>
  <c r="AG43" i="4" s="1"/>
  <c r="AE44" i="4"/>
  <c r="AG44" i="4" s="1"/>
  <c r="AE45" i="4"/>
  <c r="AG45" i="4" s="1"/>
  <c r="AE46" i="4"/>
  <c r="AG46" i="4" s="1"/>
  <c r="AE47" i="4"/>
  <c r="AG47" i="4" s="1"/>
  <c r="AE48" i="4"/>
  <c r="AG48" i="4" s="1"/>
  <c r="AE49" i="4"/>
  <c r="AG49" i="4" s="1"/>
  <c r="AE50" i="4"/>
  <c r="AG50" i="4" s="1"/>
  <c r="AE51" i="4"/>
  <c r="AG51" i="4" s="1"/>
  <c r="AE52" i="4"/>
  <c r="AG52" i="4" s="1"/>
  <c r="AE53" i="4"/>
  <c r="AG53" i="4" s="1"/>
  <c r="AE54" i="4"/>
  <c r="AG54" i="4" s="1"/>
  <c r="AE55" i="4"/>
  <c r="AG55" i="4" s="1"/>
  <c r="AE56" i="4"/>
  <c r="AG56" i="4" s="1"/>
  <c r="AE57" i="4"/>
  <c r="AG57" i="4" s="1"/>
  <c r="AE58" i="4"/>
  <c r="AG58" i="4" s="1"/>
  <c r="AE59" i="4"/>
  <c r="AG59" i="4" s="1"/>
  <c r="AE15" i="4"/>
  <c r="AG15" i="4" s="1"/>
  <c r="AE16" i="4"/>
  <c r="AG16" i="4" s="1"/>
  <c r="AE17" i="4"/>
  <c r="AG17" i="4" s="1"/>
  <c r="AE18" i="4"/>
  <c r="AG18" i="4" s="1"/>
  <c r="AE19" i="4"/>
  <c r="AG19" i="4" s="1"/>
  <c r="AE20" i="4"/>
  <c r="AG20" i="4" s="1"/>
  <c r="AE21" i="4"/>
  <c r="AG21" i="4" s="1"/>
  <c r="AE22" i="4"/>
  <c r="AG22" i="4" s="1"/>
  <c r="AE14" i="4"/>
  <c r="AG14" i="4" s="1"/>
  <c r="AT62" i="4" l="1"/>
  <c r="AK62" i="4"/>
  <c r="AL62" i="4"/>
  <c r="AB63" i="4"/>
  <c r="Z63" i="4"/>
  <c r="AH63" i="4"/>
  <c r="AJ63" i="4" s="1"/>
  <c r="AS63" i="4"/>
  <c r="AU63" i="4" s="1"/>
  <c r="AN62" i="4"/>
  <c r="AV62" i="4"/>
  <c r="AW62" i="4" s="1"/>
  <c r="AA63" i="4"/>
  <c r="X63" i="4"/>
  <c r="W63" i="4"/>
  <c r="AM63" i="4" s="1"/>
  <c r="CI11" i="4"/>
  <c r="CI12" i="4"/>
  <c r="AF53" i="4"/>
  <c r="AF15" i="4"/>
  <c r="AF52" i="4"/>
  <c r="AF44" i="4"/>
  <c r="AF36" i="4"/>
  <c r="AF28" i="4"/>
  <c r="AF16" i="4"/>
  <c r="AF22" i="4"/>
  <c r="AF59" i="4"/>
  <c r="AF51" i="4"/>
  <c r="AF43" i="4"/>
  <c r="AF35" i="4"/>
  <c r="AF27" i="4"/>
  <c r="AF14" i="4"/>
  <c r="AF50" i="4"/>
  <c r="AF34" i="4"/>
  <c r="AF26" i="4"/>
  <c r="AF42" i="4"/>
  <c r="AF20" i="4"/>
  <c r="AF57" i="4"/>
  <c r="AF49" i="4"/>
  <c r="AF41" i="4"/>
  <c r="AF33" i="4"/>
  <c r="AF25" i="4"/>
  <c r="AF37" i="4"/>
  <c r="AF21" i="4"/>
  <c r="AF56" i="4"/>
  <c r="AF48" i="4"/>
  <c r="AF40" i="4"/>
  <c r="AF32" i="4"/>
  <c r="AF24" i="4"/>
  <c r="AF62" i="4"/>
  <c r="AF45" i="4"/>
  <c r="AF19" i="4"/>
  <c r="AF55" i="4"/>
  <c r="AF47" i="4"/>
  <c r="AF31" i="4"/>
  <c r="AF23" i="4"/>
  <c r="AF29" i="4"/>
  <c r="AF58" i="4"/>
  <c r="AF18" i="4"/>
  <c r="AF39" i="4"/>
  <c r="AF17" i="4"/>
  <c r="AF54" i="4"/>
  <c r="AF46" i="4"/>
  <c r="AF38" i="4"/>
  <c r="AF30" i="4"/>
  <c r="AF12" i="4"/>
  <c r="AE12" i="4"/>
  <c r="AF11" i="4"/>
  <c r="AE11" i="4"/>
  <c r="AE13" i="4"/>
  <c r="AF13" i="4"/>
  <c r="AP62" i="4"/>
  <c r="Y117" i="4"/>
  <c r="AY117" i="4" s="1"/>
  <c r="BA117" i="4" s="1"/>
  <c r="AY116" i="4"/>
  <c r="BA116" i="4" s="1"/>
  <c r="AE63" i="4"/>
  <c r="AG63" i="4" s="1"/>
  <c r="B64" i="4"/>
  <c r="AT63" i="4" l="1"/>
  <c r="AL63" i="4"/>
  <c r="AK63" i="4"/>
  <c r="AB64" i="4"/>
  <c r="AE64" i="4" s="1"/>
  <c r="AG64" i="4" s="1"/>
  <c r="Z64" i="4"/>
  <c r="AH64" i="4"/>
  <c r="AJ64" i="4" s="1"/>
  <c r="AS64" i="4"/>
  <c r="AU64" i="4" s="1"/>
  <c r="AO63" i="4"/>
  <c r="AN63" i="4"/>
  <c r="CJ16" i="4"/>
  <c r="CL16" i="4"/>
  <c r="AX62" i="4"/>
  <c r="AV63" i="4"/>
  <c r="AW63" i="4" s="1"/>
  <c r="AA64" i="4"/>
  <c r="X64" i="4"/>
  <c r="W64" i="4"/>
  <c r="AM64" i="4" s="1"/>
  <c r="CJ13" i="4"/>
  <c r="CL13" i="4"/>
  <c r="CL15" i="4"/>
  <c r="CJ15" i="4"/>
  <c r="AR62" i="4"/>
  <c r="AQ62" i="4"/>
  <c r="AF63" i="4"/>
  <c r="AP63" i="4"/>
  <c r="B65" i="4"/>
  <c r="AG2" i="4"/>
  <c r="AT64" i="4" l="1"/>
  <c r="AK64" i="4"/>
  <c r="AL64" i="4"/>
  <c r="AH65" i="4"/>
  <c r="AJ65" i="4" s="1"/>
  <c r="AK65" i="4" s="1"/>
  <c r="AB65" i="4"/>
  <c r="AE65" i="4" s="1"/>
  <c r="AG65" i="4" s="1"/>
  <c r="Z65" i="4"/>
  <c r="AS65" i="4"/>
  <c r="AT65" i="4" s="1"/>
  <c r="AO64" i="4"/>
  <c r="AN64" i="4"/>
  <c r="AX63" i="4"/>
  <c r="AV64" i="4"/>
  <c r="AW64" i="4" s="1"/>
  <c r="AA65" i="4"/>
  <c r="X65" i="4"/>
  <c r="W65" i="4"/>
  <c r="AM65" i="4" s="1"/>
  <c r="AR63" i="4"/>
  <c r="AQ63" i="4"/>
  <c r="AF64" i="4"/>
  <c r="AP64" i="4"/>
  <c r="B66" i="4"/>
  <c r="AU65" i="4" l="1"/>
  <c r="AL65" i="4"/>
  <c r="AH66" i="4"/>
  <c r="AB66" i="4"/>
  <c r="AE66" i="4" s="1"/>
  <c r="AG66" i="4" s="1"/>
  <c r="Z66" i="4"/>
  <c r="AS66" i="4"/>
  <c r="AU66" i="4" s="1"/>
  <c r="AJ66" i="4"/>
  <c r="AK66" i="4" s="1"/>
  <c r="AO65" i="4"/>
  <c r="AN65" i="4"/>
  <c r="AX64" i="4"/>
  <c r="AV65" i="4"/>
  <c r="AW65" i="4" s="1"/>
  <c r="AA66" i="4"/>
  <c r="X66" i="4"/>
  <c r="W66" i="4"/>
  <c r="AM66" i="4" s="1"/>
  <c r="AR64" i="4"/>
  <c r="AQ64" i="4"/>
  <c r="AF65" i="4"/>
  <c r="AP65" i="4"/>
  <c r="B67" i="4"/>
  <c r="AT66" i="4" l="1"/>
  <c r="AL66" i="4"/>
  <c r="AH67" i="4"/>
  <c r="AJ67" i="4" s="1"/>
  <c r="AK67" i="4" s="1"/>
  <c r="AB67" i="4"/>
  <c r="AE67" i="4" s="1"/>
  <c r="AG67" i="4" s="1"/>
  <c r="Z67" i="4"/>
  <c r="AS67" i="4"/>
  <c r="AU67" i="4" s="1"/>
  <c r="AO66" i="4"/>
  <c r="AN66" i="4"/>
  <c r="AX65" i="4"/>
  <c r="AV66" i="4"/>
  <c r="AW66" i="4" s="1"/>
  <c r="AA67" i="4"/>
  <c r="W67" i="4"/>
  <c r="AM67" i="4" s="1"/>
  <c r="AR65" i="4"/>
  <c r="AQ65" i="4"/>
  <c r="X67" i="4"/>
  <c r="AF66" i="4"/>
  <c r="AP66" i="4"/>
  <c r="B68" i="4"/>
  <c r="AT67" i="4" l="1"/>
  <c r="AL67" i="4"/>
  <c r="AH68" i="4"/>
  <c r="AB68" i="4"/>
  <c r="AE68" i="4" s="1"/>
  <c r="AG68" i="4" s="1"/>
  <c r="Z68" i="4"/>
  <c r="AS68" i="4"/>
  <c r="AU68" i="4" s="1"/>
  <c r="AJ68" i="4"/>
  <c r="AK68" i="4" s="1"/>
  <c r="AO67" i="4"/>
  <c r="AN67" i="4"/>
  <c r="AX66" i="4"/>
  <c r="AV67" i="4"/>
  <c r="AW67" i="4" s="1"/>
  <c r="W68" i="4"/>
  <c r="AM68" i="4" s="1"/>
  <c r="AA68" i="4"/>
  <c r="X68" i="4"/>
  <c r="CL14" i="4"/>
  <c r="AR66" i="4"/>
  <c r="AQ66" i="4"/>
  <c r="AF67" i="4"/>
  <c r="AP67" i="4"/>
  <c r="B69" i="4"/>
  <c r="CL17" i="4" s="1"/>
  <c r="AT68" i="4" l="1"/>
  <c r="AL68" i="4"/>
  <c r="Z69" i="4"/>
  <c r="AH69" i="4"/>
  <c r="AB69" i="4"/>
  <c r="AE69" i="4" s="1"/>
  <c r="AG69" i="4" s="1"/>
  <c r="AS69" i="4"/>
  <c r="AU69" i="4" s="1"/>
  <c r="AJ69" i="4"/>
  <c r="AK69" i="4" s="1"/>
  <c r="AO68" i="4"/>
  <c r="AN68" i="4"/>
  <c r="CJ17" i="4"/>
  <c r="AX67" i="4"/>
  <c r="AV68" i="4"/>
  <c r="W69" i="4"/>
  <c r="AM69" i="4" s="1"/>
  <c r="AA69" i="4"/>
  <c r="AF68" i="4"/>
  <c r="AR67" i="4"/>
  <c r="AQ67" i="4"/>
  <c r="X69" i="4"/>
  <c r="AP68" i="4"/>
  <c r="B70" i="4"/>
  <c r="AT69" i="4" l="1"/>
  <c r="AL69" i="4"/>
  <c r="CJ14" i="4"/>
  <c r="Z70" i="4"/>
  <c r="AT70" i="4"/>
  <c r="AN70" i="4"/>
  <c r="AH70" i="4"/>
  <c r="AJ70" i="4" s="1"/>
  <c r="AB70" i="4"/>
  <c r="AE70" i="4" s="1"/>
  <c r="AS70" i="4"/>
  <c r="AU70" i="4" s="1"/>
  <c r="AO69" i="4"/>
  <c r="AN69" i="4"/>
  <c r="AF69" i="4"/>
  <c r="AX68" i="4"/>
  <c r="AW68" i="4"/>
  <c r="AV69" i="4"/>
  <c r="AA70" i="4"/>
  <c r="X70" i="4"/>
  <c r="W70" i="4"/>
  <c r="AM70" i="4" s="1"/>
  <c r="AO70" i="4" s="1"/>
  <c r="AR68" i="4"/>
  <c r="AQ68" i="4"/>
  <c r="AP69" i="4"/>
  <c r="B71" i="4"/>
  <c r="AG71" i="4" s="1"/>
  <c r="AF70" i="4" l="1"/>
  <c r="AG70" i="4"/>
  <c r="AL70" i="4"/>
  <c r="AK70" i="4"/>
  <c r="Z71" i="4"/>
  <c r="AT71" i="4"/>
  <c r="AN71" i="4"/>
  <c r="AB71" i="4"/>
  <c r="AE71" i="4" s="1"/>
  <c r="AF71" i="4" s="1"/>
  <c r="AH71" i="4"/>
  <c r="AJ71" i="4" s="1"/>
  <c r="AS71" i="4"/>
  <c r="AU71" i="4" s="1"/>
  <c r="AK71" i="4"/>
  <c r="AR69" i="4"/>
  <c r="AQ69" i="4"/>
  <c r="AX69" i="4"/>
  <c r="AW69" i="4"/>
  <c r="AV70" i="4"/>
  <c r="AA71" i="4"/>
  <c r="X71" i="4"/>
  <c r="W71" i="4"/>
  <c r="AM71" i="4" s="1"/>
  <c r="AO71" i="4" s="1"/>
  <c r="AP70" i="4"/>
  <c r="B72" i="4"/>
  <c r="AG72" i="4" s="1"/>
  <c r="AL71" i="4" l="1"/>
  <c r="AB72" i="4"/>
  <c r="AT72" i="4"/>
  <c r="AH72" i="4"/>
  <c r="AJ72" i="4" s="1"/>
  <c r="AL72" i="4" s="1"/>
  <c r="Z72" i="4"/>
  <c r="AN72" i="4"/>
  <c r="AS72" i="4"/>
  <c r="AU72" i="4" s="1"/>
  <c r="AK72" i="4"/>
  <c r="AX70" i="4"/>
  <c r="AW70" i="4"/>
  <c r="BT17" i="4" s="1"/>
  <c r="AR70" i="4"/>
  <c r="AQ70" i="4"/>
  <c r="AV71" i="4"/>
  <c r="AX71" i="4" s="1"/>
  <c r="W72" i="4"/>
  <c r="AM72" i="4" s="1"/>
  <c r="AO72" i="4" s="1"/>
  <c r="AA72" i="4"/>
  <c r="X72" i="4"/>
  <c r="AP71" i="4"/>
  <c r="AR71" i="4" s="1"/>
  <c r="AE72" i="4"/>
  <c r="AF72" i="4" s="1"/>
  <c r="B73" i="4"/>
  <c r="AG73" i="4" s="1"/>
  <c r="AH73" i="4" l="1"/>
  <c r="AT73" i="4"/>
  <c r="AB73" i="4"/>
  <c r="Z73" i="4"/>
  <c r="AN73" i="4"/>
  <c r="AS73" i="4"/>
  <c r="AU73" i="4" s="1"/>
  <c r="AJ73" i="4"/>
  <c r="AL73" i="4" s="1"/>
  <c r="AK73" i="4"/>
  <c r="AV72" i="4"/>
  <c r="AX72" i="4" s="1"/>
  <c r="AA73" i="4"/>
  <c r="X73" i="4"/>
  <c r="W73" i="4"/>
  <c r="AM73" i="4" s="1"/>
  <c r="AO73" i="4" s="1"/>
  <c r="AP72" i="4"/>
  <c r="AR72" i="4" s="1"/>
  <c r="B74" i="4"/>
  <c r="AG74" i="4" s="1"/>
  <c r="AE73" i="4"/>
  <c r="AF73" i="4" s="1"/>
  <c r="AH74" i="4" l="1"/>
  <c r="AB74" i="4"/>
  <c r="Z74" i="4"/>
  <c r="AT74" i="4"/>
  <c r="AN74" i="4"/>
  <c r="AS74" i="4"/>
  <c r="AU74" i="4" s="1"/>
  <c r="AJ74" i="4"/>
  <c r="AL74" i="4" s="1"/>
  <c r="AK74" i="4"/>
  <c r="AV73" i="4"/>
  <c r="AX73" i="4" s="1"/>
  <c r="W74" i="4"/>
  <c r="AM74" i="4" s="1"/>
  <c r="AO74" i="4" s="1"/>
  <c r="AA74" i="4"/>
  <c r="X74" i="4"/>
  <c r="AP73" i="4"/>
  <c r="AR73" i="4" s="1"/>
  <c r="B75" i="4"/>
  <c r="AG75" i="4" s="1"/>
  <c r="AE74" i="4"/>
  <c r="AF74" i="4" s="1"/>
  <c r="AH75" i="4" l="1"/>
  <c r="AB75" i="4"/>
  <c r="Z75" i="4"/>
  <c r="AT75" i="4"/>
  <c r="AN75" i="4"/>
  <c r="AS75" i="4"/>
  <c r="AU75" i="4" s="1"/>
  <c r="AJ75" i="4"/>
  <c r="AL75" i="4" s="1"/>
  <c r="AK75" i="4"/>
  <c r="AV74" i="4"/>
  <c r="AX74" i="4" s="1"/>
  <c r="AA75" i="4"/>
  <c r="X75" i="4"/>
  <c r="W75" i="4"/>
  <c r="AM75" i="4" s="1"/>
  <c r="AO75" i="4" s="1"/>
  <c r="AP74" i="4"/>
  <c r="AR74" i="4" s="1"/>
  <c r="AE75" i="4"/>
  <c r="AF75" i="4" s="1"/>
  <c r="B76" i="4"/>
  <c r="AG76" i="4" s="1"/>
  <c r="AN76" i="4" l="1"/>
  <c r="AH76" i="4"/>
  <c r="AB76" i="4"/>
  <c r="Z76" i="4"/>
  <c r="AT76" i="4"/>
  <c r="AS76" i="4"/>
  <c r="AU76" i="4" s="1"/>
  <c r="AJ76" i="4"/>
  <c r="AL76" i="4" s="1"/>
  <c r="AK76" i="4"/>
  <c r="AV75" i="4"/>
  <c r="AX75" i="4" s="1"/>
  <c r="W76" i="4"/>
  <c r="AM76" i="4" s="1"/>
  <c r="AO76" i="4" s="1"/>
  <c r="AA76" i="4"/>
  <c r="X76" i="4"/>
  <c r="AP75" i="4"/>
  <c r="AR75" i="4" s="1"/>
  <c r="B77" i="4"/>
  <c r="AG77" i="4" s="1"/>
  <c r="AE76" i="4"/>
  <c r="AF76" i="4" s="1"/>
  <c r="AN77" i="4" l="1"/>
  <c r="AH77" i="4"/>
  <c r="AB77" i="4"/>
  <c r="AE77" i="4" s="1"/>
  <c r="AF77" i="4" s="1"/>
  <c r="Z77" i="4"/>
  <c r="AT77" i="4"/>
  <c r="AS77" i="4"/>
  <c r="AU77" i="4" s="1"/>
  <c r="AJ77" i="4"/>
  <c r="AL77" i="4" s="1"/>
  <c r="AK77" i="4"/>
  <c r="AV76" i="4"/>
  <c r="AX76" i="4" s="1"/>
  <c r="AA77" i="4"/>
  <c r="X77" i="4"/>
  <c r="W77" i="4"/>
  <c r="AM77" i="4" s="1"/>
  <c r="AO77" i="4" s="1"/>
  <c r="AP76" i="4"/>
  <c r="AR76" i="4" s="1"/>
  <c r="B78" i="4"/>
  <c r="AG78" i="4" s="1"/>
  <c r="Z78" i="4" l="1"/>
  <c r="AT78" i="4"/>
  <c r="AN78" i="4"/>
  <c r="AH78" i="4"/>
  <c r="AB78" i="4"/>
  <c r="AE78" i="4" s="1"/>
  <c r="AF78" i="4" s="1"/>
  <c r="AS78" i="4"/>
  <c r="AU78" i="4" s="1"/>
  <c r="AJ78" i="4"/>
  <c r="AL78" i="4" s="1"/>
  <c r="AK78" i="4"/>
  <c r="AV77" i="4"/>
  <c r="AX77" i="4" s="1"/>
  <c r="W78" i="4"/>
  <c r="AM78" i="4" s="1"/>
  <c r="AO78" i="4" s="1"/>
  <c r="AA78" i="4"/>
  <c r="X78" i="4"/>
  <c r="AP77" i="4"/>
  <c r="AR77" i="4" s="1"/>
  <c r="B79" i="4"/>
  <c r="AG79" i="4" s="1"/>
  <c r="AB79" i="4" l="1"/>
  <c r="Z79" i="4"/>
  <c r="AT79" i="4"/>
  <c r="AN79" i="4"/>
  <c r="AH79" i="4"/>
  <c r="AS79" i="4"/>
  <c r="AU79" i="4" s="1"/>
  <c r="AJ79" i="4"/>
  <c r="AL79" i="4" s="1"/>
  <c r="AK79" i="4"/>
  <c r="AV78" i="4"/>
  <c r="AX78" i="4" s="1"/>
  <c r="AA79" i="4"/>
  <c r="X79" i="4"/>
  <c r="W79" i="4"/>
  <c r="AM79" i="4" s="1"/>
  <c r="AO79" i="4" s="1"/>
  <c r="AP78" i="4"/>
  <c r="AR78" i="4" s="1"/>
  <c r="AE79" i="4"/>
  <c r="AF79" i="4" s="1"/>
  <c r="B80" i="4"/>
  <c r="AG80" i="4" s="1"/>
  <c r="AB80" i="4" l="1"/>
  <c r="Z80" i="4"/>
  <c r="AT80" i="4"/>
  <c r="AH80" i="4"/>
  <c r="AN80" i="4"/>
  <c r="AS80" i="4"/>
  <c r="AU80" i="4" s="1"/>
  <c r="AJ80" i="4"/>
  <c r="AL80" i="4" s="1"/>
  <c r="AK80" i="4"/>
  <c r="AV79" i="4"/>
  <c r="AX79" i="4" s="1"/>
  <c r="W80" i="4"/>
  <c r="AM80" i="4" s="1"/>
  <c r="AO80" i="4" s="1"/>
  <c r="AA80" i="4"/>
  <c r="X80" i="4"/>
  <c r="AP79" i="4"/>
  <c r="AR79" i="4" s="1"/>
  <c r="B81" i="4"/>
  <c r="AG81" i="4" s="1"/>
  <c r="AE80" i="4"/>
  <c r="AF80" i="4" s="1"/>
  <c r="AH81" i="4" l="1"/>
  <c r="AT81" i="4"/>
  <c r="AB81" i="4"/>
  <c r="Z81" i="4"/>
  <c r="AN81" i="4"/>
  <c r="AS81" i="4"/>
  <c r="AU81" i="4" s="1"/>
  <c r="AJ81" i="4"/>
  <c r="AL81" i="4" s="1"/>
  <c r="AK81" i="4"/>
  <c r="AV80" i="4"/>
  <c r="AX80" i="4" s="1"/>
  <c r="AA81" i="4"/>
  <c r="X81" i="4"/>
  <c r="W81" i="4"/>
  <c r="AM81" i="4" s="1"/>
  <c r="AO81" i="4" s="1"/>
  <c r="AP80" i="4"/>
  <c r="AR80" i="4" s="1"/>
  <c r="B82" i="4"/>
  <c r="AG82" i="4" s="1"/>
  <c r="AE81" i="4"/>
  <c r="AF81" i="4" s="1"/>
  <c r="AH82" i="4" l="1"/>
  <c r="AB82" i="4"/>
  <c r="Z82" i="4"/>
  <c r="AT82" i="4"/>
  <c r="AN82" i="4"/>
  <c r="AS82" i="4"/>
  <c r="AU82" i="4" s="1"/>
  <c r="AJ82" i="4"/>
  <c r="AL82" i="4" s="1"/>
  <c r="AK82" i="4"/>
  <c r="AV81" i="4"/>
  <c r="AX81" i="4" s="1"/>
  <c r="W82" i="4"/>
  <c r="AM82" i="4" s="1"/>
  <c r="AO82" i="4" s="1"/>
  <c r="AA82" i="4"/>
  <c r="X82" i="4"/>
  <c r="AP82" i="4" s="1"/>
  <c r="AP81" i="4"/>
  <c r="AR81" i="4" s="1"/>
  <c r="B83" i="4"/>
  <c r="AG83" i="4" s="1"/>
  <c r="AE82" i="4"/>
  <c r="AF82" i="4" s="1"/>
  <c r="AH83" i="4" l="1"/>
  <c r="AB83" i="4"/>
  <c r="AN83" i="4"/>
  <c r="Z83" i="4"/>
  <c r="AT83" i="4"/>
  <c r="AS83" i="4"/>
  <c r="AU83" i="4" s="1"/>
  <c r="AJ83" i="4"/>
  <c r="AL83" i="4" s="1"/>
  <c r="AK83" i="4"/>
  <c r="AV82" i="4"/>
  <c r="AX82" i="4" s="1"/>
  <c r="AA83" i="4"/>
  <c r="X83" i="4"/>
  <c r="W83" i="4"/>
  <c r="AM83" i="4" s="1"/>
  <c r="AO83" i="4" s="1"/>
  <c r="AR82" i="4"/>
  <c r="B84" i="4"/>
  <c r="AG84" i="4" s="1"/>
  <c r="AE83" i="4"/>
  <c r="AF83" i="4" s="1"/>
  <c r="AN84" i="4" l="1"/>
  <c r="AH84" i="4"/>
  <c r="AB84" i="4"/>
  <c r="Z84" i="4"/>
  <c r="AT84" i="4"/>
  <c r="AS84" i="4"/>
  <c r="AU84" i="4" s="1"/>
  <c r="AJ84" i="4"/>
  <c r="AL84" i="4" s="1"/>
  <c r="AK84" i="4"/>
  <c r="AV83" i="4"/>
  <c r="AX83" i="4" s="1"/>
  <c r="W84" i="4"/>
  <c r="AM84" i="4" s="1"/>
  <c r="AO84" i="4" s="1"/>
  <c r="AA84" i="4"/>
  <c r="X84" i="4"/>
  <c r="AP83" i="4"/>
  <c r="AR83" i="4" s="1"/>
  <c r="B85" i="4"/>
  <c r="AG85" i="4" s="1"/>
  <c r="AE84" i="4"/>
  <c r="AF84" i="4" s="1"/>
  <c r="AN85" i="4" l="1"/>
  <c r="AT85" i="4"/>
  <c r="AH85" i="4"/>
  <c r="AB85" i="4"/>
  <c r="Z85" i="4"/>
  <c r="AS85" i="4"/>
  <c r="AU85" i="4" s="1"/>
  <c r="AJ85" i="4"/>
  <c r="AL85" i="4" s="1"/>
  <c r="AK85" i="4"/>
  <c r="AV84" i="4"/>
  <c r="AX84" i="4" s="1"/>
  <c r="AA85" i="4"/>
  <c r="X85" i="4"/>
  <c r="W85" i="4"/>
  <c r="AM85" i="4" s="1"/>
  <c r="AO85" i="4" s="1"/>
  <c r="AP84" i="4"/>
  <c r="AR84" i="4" s="1"/>
  <c r="B86" i="4"/>
  <c r="AG86" i="4" s="1"/>
  <c r="AE85" i="4"/>
  <c r="AF85" i="4" s="1"/>
  <c r="Z86" i="4" l="1"/>
  <c r="AT86" i="4"/>
  <c r="AN86" i="4"/>
  <c r="AH86" i="4"/>
  <c r="AB86" i="4"/>
  <c r="AE86" i="4" s="1"/>
  <c r="AF86" i="4" s="1"/>
  <c r="AS86" i="4"/>
  <c r="AU86" i="4" s="1"/>
  <c r="AJ86" i="4"/>
  <c r="AL86" i="4" s="1"/>
  <c r="AK86" i="4"/>
  <c r="AV85" i="4"/>
  <c r="AX85" i="4" s="1"/>
  <c r="W86" i="4"/>
  <c r="AM86" i="4" s="1"/>
  <c r="AO86" i="4" s="1"/>
  <c r="AA86" i="4"/>
  <c r="X86" i="4"/>
  <c r="AP85" i="4"/>
  <c r="AR85" i="4" s="1"/>
  <c r="B87" i="4"/>
  <c r="AG87" i="4" s="1"/>
  <c r="Z87" i="4" l="1"/>
  <c r="AT87" i="4"/>
  <c r="AN87" i="4"/>
  <c r="AB87" i="4"/>
  <c r="AE87" i="4" s="1"/>
  <c r="AF87" i="4" s="1"/>
  <c r="AH87" i="4"/>
  <c r="AJ87" i="4" s="1"/>
  <c r="AL87" i="4" s="1"/>
  <c r="AS87" i="4"/>
  <c r="AU87" i="4" s="1"/>
  <c r="AK87" i="4"/>
  <c r="AV86" i="4"/>
  <c r="AX86" i="4" s="1"/>
  <c r="AA87" i="4"/>
  <c r="X87" i="4"/>
  <c r="W87" i="4"/>
  <c r="AM87" i="4" s="1"/>
  <c r="AO87" i="4" s="1"/>
  <c r="AP86" i="4"/>
  <c r="AR86" i="4" s="1"/>
  <c r="B88" i="4"/>
  <c r="AG88" i="4" s="1"/>
  <c r="AB88" i="4" l="1"/>
  <c r="AT88" i="4"/>
  <c r="Z88" i="4"/>
  <c r="AN88" i="4"/>
  <c r="AH88" i="4"/>
  <c r="AJ88" i="4" s="1"/>
  <c r="AL88" i="4" s="1"/>
  <c r="AS88" i="4"/>
  <c r="AU88" i="4" s="1"/>
  <c r="AK88" i="4"/>
  <c r="AV87" i="4"/>
  <c r="AX87" i="4" s="1"/>
  <c r="W88" i="4"/>
  <c r="AM88" i="4" s="1"/>
  <c r="AO88" i="4" s="1"/>
  <c r="AA88" i="4"/>
  <c r="X88" i="4"/>
  <c r="AP87" i="4"/>
  <c r="AR87" i="4" s="1"/>
  <c r="B89" i="4"/>
  <c r="AG89" i="4" s="1"/>
  <c r="AE88" i="4"/>
  <c r="AF88" i="4" s="1"/>
  <c r="AH89" i="4" l="1"/>
  <c r="AB89" i="4"/>
  <c r="AT89" i="4"/>
  <c r="Z89" i="4"/>
  <c r="AN89" i="4"/>
  <c r="AS89" i="4"/>
  <c r="AU89" i="4" s="1"/>
  <c r="AJ89" i="4"/>
  <c r="AL89" i="4" s="1"/>
  <c r="AK89" i="4"/>
  <c r="AV88" i="4"/>
  <c r="AX88" i="4" s="1"/>
  <c r="AA89" i="4"/>
  <c r="X89" i="4"/>
  <c r="W89" i="4"/>
  <c r="AM89" i="4" s="1"/>
  <c r="AO89" i="4" s="1"/>
  <c r="AP88" i="4"/>
  <c r="AR88" i="4" s="1"/>
  <c r="B90" i="4"/>
  <c r="AG90" i="4" s="1"/>
  <c r="AE89" i="4"/>
  <c r="AF89" i="4" s="1"/>
  <c r="AH90" i="4" l="1"/>
  <c r="AB90" i="4"/>
  <c r="Z90" i="4"/>
  <c r="AT90" i="4"/>
  <c r="AN90" i="4"/>
  <c r="AS90" i="4"/>
  <c r="AU90" i="4" s="1"/>
  <c r="AJ90" i="4"/>
  <c r="AL90" i="4" s="1"/>
  <c r="AK90" i="4"/>
  <c r="AV89" i="4"/>
  <c r="AX89" i="4" s="1"/>
  <c r="W90" i="4"/>
  <c r="AM90" i="4" s="1"/>
  <c r="AO90" i="4" s="1"/>
  <c r="AA90" i="4"/>
  <c r="X90" i="4"/>
  <c r="AP89" i="4"/>
  <c r="AR89" i="4" s="1"/>
  <c r="B91" i="4"/>
  <c r="AG91" i="4" s="1"/>
  <c r="AE90" i="4"/>
  <c r="AF90" i="4" s="1"/>
  <c r="AH91" i="4" l="1"/>
  <c r="AB91" i="4"/>
  <c r="AN91" i="4"/>
  <c r="Z91" i="4"/>
  <c r="AT91" i="4"/>
  <c r="AS91" i="4"/>
  <c r="AU91" i="4" s="1"/>
  <c r="AJ91" i="4"/>
  <c r="AL91" i="4" s="1"/>
  <c r="AK91" i="4"/>
  <c r="AV90" i="4"/>
  <c r="AX90" i="4" s="1"/>
  <c r="AA91" i="4"/>
  <c r="X91" i="4"/>
  <c r="W91" i="4"/>
  <c r="AM91" i="4" s="1"/>
  <c r="AO91" i="4" s="1"/>
  <c r="AP90" i="4"/>
  <c r="AR90" i="4" s="1"/>
  <c r="B92" i="4"/>
  <c r="AG92" i="4" s="1"/>
  <c r="AE91" i="4"/>
  <c r="AF91" i="4" s="1"/>
  <c r="AN92" i="4" l="1"/>
  <c r="AH92" i="4"/>
  <c r="AB92" i="4"/>
  <c r="Z92" i="4"/>
  <c r="AT92" i="4"/>
  <c r="AS92" i="4"/>
  <c r="AU92" i="4" s="1"/>
  <c r="AJ92" i="4"/>
  <c r="AL92" i="4" s="1"/>
  <c r="AK92" i="4"/>
  <c r="AV91" i="4"/>
  <c r="AX91" i="4" s="1"/>
  <c r="W92" i="4"/>
  <c r="AM92" i="4" s="1"/>
  <c r="AO92" i="4" s="1"/>
  <c r="AA92" i="4"/>
  <c r="X92" i="4"/>
  <c r="AP91" i="4"/>
  <c r="AR91" i="4" s="1"/>
  <c r="B93" i="4"/>
  <c r="AG93" i="4" s="1"/>
  <c r="AE92" i="4"/>
  <c r="AF92" i="4" s="1"/>
  <c r="AN93" i="4" l="1"/>
  <c r="Z93" i="4"/>
  <c r="AH93" i="4"/>
  <c r="AB93" i="4"/>
  <c r="AE93" i="4" s="1"/>
  <c r="AF93" i="4" s="1"/>
  <c r="AT93" i="4"/>
  <c r="AS93" i="4"/>
  <c r="AU93" i="4" s="1"/>
  <c r="AJ93" i="4"/>
  <c r="AL93" i="4" s="1"/>
  <c r="AK93" i="4"/>
  <c r="AV92" i="4"/>
  <c r="AX92" i="4" s="1"/>
  <c r="AA93" i="4"/>
  <c r="X93" i="4"/>
  <c r="W93" i="4"/>
  <c r="AM93" i="4" s="1"/>
  <c r="AO93" i="4" s="1"/>
  <c r="AP92" i="4"/>
  <c r="AR92" i="4" s="1"/>
  <c r="B94" i="4"/>
  <c r="AG94" i="4" s="1"/>
  <c r="Z94" i="4" l="1"/>
  <c r="AT94" i="4"/>
  <c r="AN94" i="4"/>
  <c r="AH94" i="4"/>
  <c r="AJ94" i="4" s="1"/>
  <c r="AB94" i="4"/>
  <c r="AE94" i="4" s="1"/>
  <c r="AF94" i="4" s="1"/>
  <c r="AS94" i="4"/>
  <c r="AU94" i="4" s="1"/>
  <c r="AK94" i="4"/>
  <c r="AV93" i="4"/>
  <c r="AX93" i="4" s="1"/>
  <c r="W94" i="4"/>
  <c r="AM94" i="4" s="1"/>
  <c r="AO94" i="4" s="1"/>
  <c r="AA94" i="4"/>
  <c r="X94" i="4"/>
  <c r="AP93" i="4"/>
  <c r="AR93" i="4" s="1"/>
  <c r="B95" i="4"/>
  <c r="AG95" i="4" s="1"/>
  <c r="AL94" i="4" l="1"/>
  <c r="Z95" i="4"/>
  <c r="AT95" i="4"/>
  <c r="AN95" i="4"/>
  <c r="AB95" i="4"/>
  <c r="AH95" i="4"/>
  <c r="AJ95" i="4" s="1"/>
  <c r="AL95" i="4" s="1"/>
  <c r="AS95" i="4"/>
  <c r="AU95" i="4" s="1"/>
  <c r="AK95" i="4"/>
  <c r="AV94" i="4"/>
  <c r="AX94" i="4" s="1"/>
  <c r="AA95" i="4"/>
  <c r="X95" i="4"/>
  <c r="W95" i="4"/>
  <c r="AM95" i="4" s="1"/>
  <c r="AO95" i="4" s="1"/>
  <c r="AP94" i="4"/>
  <c r="AR94" i="4" s="1"/>
  <c r="B96" i="4"/>
  <c r="AG96" i="4" s="1"/>
  <c r="AE95" i="4"/>
  <c r="AF95" i="4" s="1"/>
  <c r="AB96" i="4" l="1"/>
  <c r="AT96" i="4"/>
  <c r="Z96" i="4"/>
  <c r="AN96" i="4"/>
  <c r="AH96" i="4"/>
  <c r="AJ96" i="4" s="1"/>
  <c r="AL96" i="4" s="1"/>
  <c r="AS96" i="4"/>
  <c r="AU96" i="4" s="1"/>
  <c r="AK96" i="4"/>
  <c r="AV95" i="4"/>
  <c r="AX95" i="4" s="1"/>
  <c r="W96" i="4"/>
  <c r="AM96" i="4" s="1"/>
  <c r="AO96" i="4" s="1"/>
  <c r="AA96" i="4"/>
  <c r="X96" i="4"/>
  <c r="AP95" i="4"/>
  <c r="AR95" i="4" s="1"/>
  <c r="B97" i="4"/>
  <c r="AG97" i="4" s="1"/>
  <c r="AE96" i="4"/>
  <c r="AF96" i="4" s="1"/>
  <c r="AH97" i="4" l="1"/>
  <c r="AT97" i="4"/>
  <c r="AB97" i="4"/>
  <c r="Z97" i="4"/>
  <c r="AN97" i="4"/>
  <c r="AS97" i="4"/>
  <c r="AU97" i="4" s="1"/>
  <c r="AJ97" i="4"/>
  <c r="AL97" i="4" s="1"/>
  <c r="AK97" i="4"/>
  <c r="AV96" i="4"/>
  <c r="AX96" i="4" s="1"/>
  <c r="AA97" i="4"/>
  <c r="X97" i="4"/>
  <c r="W97" i="4"/>
  <c r="AM97" i="4" s="1"/>
  <c r="AO97" i="4" s="1"/>
  <c r="AP96" i="4"/>
  <c r="AR96" i="4" s="1"/>
  <c r="B98" i="4"/>
  <c r="AG98" i="4" s="1"/>
  <c r="AE97" i="4"/>
  <c r="AF97" i="4" s="1"/>
  <c r="AH98" i="4" l="1"/>
  <c r="AB98" i="4"/>
  <c r="Z98" i="4"/>
  <c r="AT98" i="4"/>
  <c r="AN98" i="4"/>
  <c r="AS98" i="4"/>
  <c r="AU98" i="4" s="1"/>
  <c r="AJ98" i="4"/>
  <c r="AL98" i="4" s="1"/>
  <c r="AK98" i="4"/>
  <c r="AV97" i="4"/>
  <c r="AX97" i="4" s="1"/>
  <c r="W98" i="4"/>
  <c r="AM98" i="4" s="1"/>
  <c r="AO98" i="4" s="1"/>
  <c r="AA98" i="4"/>
  <c r="X98" i="4"/>
  <c r="AP97" i="4"/>
  <c r="AR97" i="4" s="1"/>
  <c r="B99" i="4"/>
  <c r="AG99" i="4" s="1"/>
  <c r="AE98" i="4"/>
  <c r="AF98" i="4" s="1"/>
  <c r="AH99" i="4" l="1"/>
  <c r="AN99" i="4"/>
  <c r="AB99" i="4"/>
  <c r="Z99" i="4"/>
  <c r="AT99" i="4"/>
  <c r="AS99" i="4"/>
  <c r="AU99" i="4" s="1"/>
  <c r="AJ99" i="4"/>
  <c r="AL99" i="4" s="1"/>
  <c r="AK99" i="4"/>
  <c r="AV98" i="4"/>
  <c r="AX98" i="4" s="1"/>
  <c r="AA99" i="4"/>
  <c r="X99" i="4"/>
  <c r="W99" i="4"/>
  <c r="AM99" i="4" s="1"/>
  <c r="AO99" i="4" s="1"/>
  <c r="AP98" i="4"/>
  <c r="AR98" i="4" s="1"/>
  <c r="B100" i="4"/>
  <c r="AG100" i="4" s="1"/>
  <c r="AE99" i="4"/>
  <c r="AF99" i="4" s="1"/>
  <c r="AN100" i="4" l="1"/>
  <c r="AH100" i="4"/>
  <c r="AB100" i="4"/>
  <c r="Z100" i="4"/>
  <c r="AT100" i="4"/>
  <c r="AS100" i="4"/>
  <c r="AU100" i="4" s="1"/>
  <c r="AJ100" i="4"/>
  <c r="AL100" i="4" s="1"/>
  <c r="AK100" i="4"/>
  <c r="AV99" i="4"/>
  <c r="AX99" i="4" s="1"/>
  <c r="W100" i="4"/>
  <c r="AM100" i="4" s="1"/>
  <c r="AO100" i="4" s="1"/>
  <c r="AA100" i="4"/>
  <c r="X100" i="4"/>
  <c r="AP99" i="4"/>
  <c r="AR99" i="4" s="1"/>
  <c r="B101" i="4"/>
  <c r="AG101" i="4" s="1"/>
  <c r="AE100" i="4"/>
  <c r="AF100" i="4" s="1"/>
  <c r="AN101" i="4" l="1"/>
  <c r="AH101" i="4"/>
  <c r="Z101" i="4"/>
  <c r="AT101" i="4"/>
  <c r="AB101" i="4"/>
  <c r="AE101" i="4" s="1"/>
  <c r="AF101" i="4" s="1"/>
  <c r="AS101" i="4"/>
  <c r="AU101" i="4" s="1"/>
  <c r="AJ101" i="4"/>
  <c r="AL101" i="4" s="1"/>
  <c r="AK101" i="4"/>
  <c r="AV100" i="4"/>
  <c r="AX100" i="4" s="1"/>
  <c r="AA101" i="4"/>
  <c r="X101" i="4"/>
  <c r="W101" i="4"/>
  <c r="AM101" i="4" s="1"/>
  <c r="AO101" i="4" s="1"/>
  <c r="AP100" i="4"/>
  <c r="AR100" i="4" s="1"/>
  <c r="B102" i="4"/>
  <c r="AG102" i="4" s="1"/>
  <c r="Z102" i="4" l="1"/>
  <c r="AT102" i="4"/>
  <c r="AN102" i="4"/>
  <c r="AH102" i="4"/>
  <c r="AJ102" i="4" s="1"/>
  <c r="AB102" i="4"/>
  <c r="AE102" i="4" s="1"/>
  <c r="AF102" i="4" s="1"/>
  <c r="AS102" i="4"/>
  <c r="AU102" i="4" s="1"/>
  <c r="AK102" i="4"/>
  <c r="AV101" i="4"/>
  <c r="AX101" i="4" s="1"/>
  <c r="W102" i="4"/>
  <c r="AM102" i="4" s="1"/>
  <c r="AO102" i="4" s="1"/>
  <c r="AA102" i="4"/>
  <c r="X102" i="4"/>
  <c r="AP101" i="4"/>
  <c r="AR101" i="4" s="1"/>
  <c r="B103" i="4"/>
  <c r="AG103" i="4" s="1"/>
  <c r="AL102" i="4" l="1"/>
  <c r="Z103" i="4"/>
  <c r="AT103" i="4"/>
  <c r="AN103" i="4"/>
  <c r="AB103" i="4"/>
  <c r="AH103" i="4"/>
  <c r="AJ103" i="4" s="1"/>
  <c r="AL103" i="4" s="1"/>
  <c r="AS103" i="4"/>
  <c r="AU103" i="4" s="1"/>
  <c r="AK103" i="4"/>
  <c r="AV102" i="4"/>
  <c r="AX102" i="4" s="1"/>
  <c r="AA103" i="4"/>
  <c r="X103" i="4"/>
  <c r="W103" i="4"/>
  <c r="AM103" i="4" s="1"/>
  <c r="AO103" i="4" s="1"/>
  <c r="AP102" i="4"/>
  <c r="AR102" i="4" s="1"/>
  <c r="B104" i="4"/>
  <c r="AG104" i="4" s="1"/>
  <c r="AE103" i="4"/>
  <c r="AF103" i="4" s="1"/>
  <c r="AB104" i="4" l="1"/>
  <c r="AT104" i="4"/>
  <c r="AH104" i="4"/>
  <c r="Z104" i="4"/>
  <c r="AN104" i="4"/>
  <c r="AS104" i="4"/>
  <c r="AU104" i="4" s="1"/>
  <c r="AJ104" i="4"/>
  <c r="AL104" i="4" s="1"/>
  <c r="AK104" i="4"/>
  <c r="AV103" i="4"/>
  <c r="AX103" i="4" s="1"/>
  <c r="W104" i="4"/>
  <c r="AM104" i="4" s="1"/>
  <c r="AO104" i="4" s="1"/>
  <c r="AA104" i="4"/>
  <c r="X104" i="4"/>
  <c r="AP103" i="4"/>
  <c r="AR103" i="4" s="1"/>
  <c r="B105" i="4"/>
  <c r="AG105" i="4" s="1"/>
  <c r="AE104" i="4"/>
  <c r="AF104" i="4" s="1"/>
  <c r="AH105" i="4" l="1"/>
  <c r="AB105" i="4"/>
  <c r="AT105" i="4"/>
  <c r="Z105" i="4"/>
  <c r="AN105" i="4"/>
  <c r="AS105" i="4"/>
  <c r="AU105" i="4" s="1"/>
  <c r="AJ105" i="4"/>
  <c r="AL105" i="4" s="1"/>
  <c r="AK105" i="4"/>
  <c r="AV104" i="4"/>
  <c r="AX104" i="4" s="1"/>
  <c r="AA105" i="4"/>
  <c r="X105" i="4"/>
  <c r="W105" i="4"/>
  <c r="AM105" i="4" s="1"/>
  <c r="AO105" i="4" s="1"/>
  <c r="AP104" i="4"/>
  <c r="AR104" i="4" s="1"/>
  <c r="B106" i="4"/>
  <c r="AG106" i="4" s="1"/>
  <c r="AE105" i="4"/>
  <c r="AF105" i="4" s="1"/>
  <c r="AH106" i="4" l="1"/>
  <c r="AB106" i="4"/>
  <c r="Z106" i="4"/>
  <c r="AT106" i="4"/>
  <c r="AN106" i="4"/>
  <c r="AS106" i="4"/>
  <c r="AU106" i="4" s="1"/>
  <c r="AJ106" i="4"/>
  <c r="AL106" i="4" s="1"/>
  <c r="AK106" i="4"/>
  <c r="AV105" i="4"/>
  <c r="AX105" i="4" s="1"/>
  <c r="W106" i="4"/>
  <c r="AM106" i="4" s="1"/>
  <c r="AO106" i="4" s="1"/>
  <c r="AA106" i="4"/>
  <c r="X106" i="4"/>
  <c r="AP105" i="4"/>
  <c r="AR105" i="4" s="1"/>
  <c r="B107" i="4"/>
  <c r="AG107" i="4" s="1"/>
  <c r="AE106" i="4"/>
  <c r="AF106" i="4" s="1"/>
  <c r="AN107" i="4" l="1"/>
  <c r="AH107" i="4"/>
  <c r="AJ107" i="4" s="1"/>
  <c r="AB107" i="4"/>
  <c r="Z107" i="4"/>
  <c r="AT107" i="4"/>
  <c r="AS107" i="4"/>
  <c r="AU107" i="4" s="1"/>
  <c r="AK107" i="4"/>
  <c r="AV106" i="4"/>
  <c r="AX106" i="4" s="1"/>
  <c r="AA107" i="4"/>
  <c r="X107" i="4"/>
  <c r="W107" i="4"/>
  <c r="AM107" i="4" s="1"/>
  <c r="AO107" i="4" s="1"/>
  <c r="AP106" i="4"/>
  <c r="AR106" i="4" s="1"/>
  <c r="B108" i="4"/>
  <c r="AG108" i="4" s="1"/>
  <c r="AE107" i="4"/>
  <c r="AF107" i="4" s="1"/>
  <c r="AL107" i="4" l="1"/>
  <c r="AN108" i="4"/>
  <c r="AH108" i="4"/>
  <c r="AJ108" i="4" s="1"/>
  <c r="AB108" i="4"/>
  <c r="Z108" i="4"/>
  <c r="AT108" i="4"/>
  <c r="AS108" i="4"/>
  <c r="AU108" i="4" s="1"/>
  <c r="AK108" i="4"/>
  <c r="AV107" i="4"/>
  <c r="AX107" i="4" s="1"/>
  <c r="W108" i="4"/>
  <c r="AM108" i="4" s="1"/>
  <c r="AO108" i="4" s="1"/>
  <c r="AA108" i="4"/>
  <c r="X108" i="4"/>
  <c r="AP107" i="4"/>
  <c r="AR107" i="4" s="1"/>
  <c r="B109" i="4"/>
  <c r="AG109" i="4" s="1"/>
  <c r="AE108" i="4"/>
  <c r="AF108" i="4" s="1"/>
  <c r="AN109" i="4" l="1"/>
  <c r="Z109" i="4"/>
  <c r="AT109" i="4"/>
  <c r="AH109" i="4"/>
  <c r="AJ109" i="4" s="1"/>
  <c r="AB109" i="4"/>
  <c r="AE109" i="4" s="1"/>
  <c r="AF109" i="4" s="1"/>
  <c r="AS109" i="4"/>
  <c r="AU109" i="4" s="1"/>
  <c r="AK109" i="4"/>
  <c r="AL108" i="4"/>
  <c r="AV108" i="4"/>
  <c r="AX108" i="4" s="1"/>
  <c r="AA109" i="4"/>
  <c r="X109" i="4"/>
  <c r="W109" i="4"/>
  <c r="AM109" i="4" s="1"/>
  <c r="AO109" i="4" s="1"/>
  <c r="AP108" i="4"/>
  <c r="AR108" i="4" s="1"/>
  <c r="B110" i="4"/>
  <c r="AG110" i="4" s="1"/>
  <c r="BT14" i="4"/>
  <c r="AL109" i="4" l="1"/>
  <c r="Z110" i="4"/>
  <c r="AT110" i="4"/>
  <c r="AN110" i="4"/>
  <c r="AH110" i="4"/>
  <c r="AJ110" i="4" s="1"/>
  <c r="AL110" i="4" s="1"/>
  <c r="AB110" i="4"/>
  <c r="AE110" i="4" s="1"/>
  <c r="AF110" i="4" s="1"/>
  <c r="AS110" i="4"/>
  <c r="AU110" i="4" s="1"/>
  <c r="AK110" i="4"/>
  <c r="AV109" i="4"/>
  <c r="AX109" i="4" s="1"/>
  <c r="W110" i="4"/>
  <c r="AM110" i="4" s="1"/>
  <c r="AO110" i="4" s="1"/>
  <c r="AA110" i="4"/>
  <c r="X110" i="4"/>
  <c r="AP109" i="4"/>
  <c r="AR109" i="4" s="1"/>
  <c r="B111" i="4"/>
  <c r="AG111" i="4" s="1"/>
  <c r="AT111" i="4" l="1"/>
  <c r="Z111" i="4"/>
  <c r="AB111" i="4"/>
  <c r="AN111" i="4"/>
  <c r="AH111" i="4"/>
  <c r="AJ111" i="4" s="1"/>
  <c r="AL111" i="4" s="1"/>
  <c r="AS111" i="4"/>
  <c r="AU111" i="4" s="1"/>
  <c r="AK111" i="4"/>
  <c r="AV110" i="4"/>
  <c r="AX110" i="4" s="1"/>
  <c r="AA111" i="4"/>
  <c r="X111" i="4"/>
  <c r="W111" i="4"/>
  <c r="AM111" i="4" s="1"/>
  <c r="AO111" i="4" s="1"/>
  <c r="AP110" i="4"/>
  <c r="AR110" i="4" s="1"/>
  <c r="B112" i="4"/>
  <c r="AG112" i="4" s="1"/>
  <c r="AE111" i="4"/>
  <c r="AF111" i="4" s="1"/>
  <c r="AB112" i="4" l="1"/>
  <c r="AT112" i="4"/>
  <c r="AH112" i="4"/>
  <c r="AJ112" i="4" s="1"/>
  <c r="AL112" i="4" s="1"/>
  <c r="Z112" i="4"/>
  <c r="AN112" i="4"/>
  <c r="AS112" i="4"/>
  <c r="AU112" i="4" s="1"/>
  <c r="AK112" i="4"/>
  <c r="AV111" i="4"/>
  <c r="AX111" i="4" s="1"/>
  <c r="W112" i="4"/>
  <c r="AM112" i="4" s="1"/>
  <c r="AO112" i="4" s="1"/>
  <c r="AA112" i="4"/>
  <c r="X112" i="4"/>
  <c r="AP111" i="4"/>
  <c r="AR111" i="4" s="1"/>
  <c r="B113" i="4"/>
  <c r="AG113" i="4" s="1"/>
  <c r="AE112" i="4"/>
  <c r="AF112" i="4" s="1"/>
  <c r="AH113" i="4" l="1"/>
  <c r="AB113" i="4"/>
  <c r="Z113" i="4"/>
  <c r="AT113" i="4"/>
  <c r="AN113" i="4"/>
  <c r="AS113" i="4"/>
  <c r="AU113" i="4" s="1"/>
  <c r="AK113" i="4"/>
  <c r="AJ113" i="4"/>
  <c r="AV112" i="4"/>
  <c r="AX112" i="4" s="1"/>
  <c r="AA113" i="4"/>
  <c r="X113" i="4"/>
  <c r="W113" i="4"/>
  <c r="AM113" i="4" s="1"/>
  <c r="AO113" i="4" s="1"/>
  <c r="AP112" i="4"/>
  <c r="AR112" i="4" s="1"/>
  <c r="B114" i="4"/>
  <c r="AG114" i="4" s="1"/>
  <c r="AE113" i="4"/>
  <c r="AF113" i="4" s="1"/>
  <c r="AL113" i="4" l="1"/>
  <c r="AH114" i="4"/>
  <c r="AB114" i="4"/>
  <c r="AE114" i="4" s="1"/>
  <c r="AF114" i="4" s="1"/>
  <c r="Z114" i="4"/>
  <c r="AT114" i="4"/>
  <c r="AN114" i="4"/>
  <c r="AS114" i="4"/>
  <c r="AU114" i="4" s="1"/>
  <c r="AK114" i="4"/>
  <c r="AJ114" i="4"/>
  <c r="AV113" i="4"/>
  <c r="AX113" i="4" s="1"/>
  <c r="W114" i="4"/>
  <c r="AM114" i="4" s="1"/>
  <c r="AO114" i="4" s="1"/>
  <c r="AA114" i="4"/>
  <c r="X114" i="4"/>
  <c r="AP113" i="4"/>
  <c r="AR113" i="4" s="1"/>
  <c r="B115" i="4"/>
  <c r="AG115" i="4" s="1"/>
  <c r="AL114" i="4" l="1"/>
  <c r="AN115" i="4"/>
  <c r="AH115" i="4"/>
  <c r="AJ115" i="4" s="1"/>
  <c r="AB115" i="4"/>
  <c r="Z115" i="4"/>
  <c r="AT115" i="4"/>
  <c r="AS115" i="4"/>
  <c r="AU115" i="4" s="1"/>
  <c r="AK115" i="4"/>
  <c r="AV114" i="4"/>
  <c r="AX114" i="4" s="1"/>
  <c r="AA115" i="4"/>
  <c r="X115" i="4"/>
  <c r="W115" i="4"/>
  <c r="AM115" i="4" s="1"/>
  <c r="AO115" i="4" s="1"/>
  <c r="AP114" i="4"/>
  <c r="AR114" i="4" s="1"/>
  <c r="B116" i="4"/>
  <c r="AG116" i="4" s="1"/>
  <c r="AE115" i="4"/>
  <c r="AF115" i="4" s="1"/>
  <c r="AL115" i="4" l="1"/>
  <c r="AN116" i="4"/>
  <c r="AH116" i="4"/>
  <c r="AJ116" i="4" s="1"/>
  <c r="AB116" i="4"/>
  <c r="AE116" i="4" s="1"/>
  <c r="AF116" i="4" s="1"/>
  <c r="Z116" i="4"/>
  <c r="AT116" i="4"/>
  <c r="AS116" i="4"/>
  <c r="AU116" i="4" s="1"/>
  <c r="AK116" i="4"/>
  <c r="AV115" i="4"/>
  <c r="AX115" i="4" s="1"/>
  <c r="W116" i="4"/>
  <c r="AM116" i="4" s="1"/>
  <c r="AO116" i="4" s="1"/>
  <c r="AA116" i="4"/>
  <c r="X116" i="4"/>
  <c r="BX18" i="4" a="1"/>
  <c r="BX18" i="4" s="1"/>
  <c r="BX11" i="4" a="1"/>
  <c r="BX11" i="4" s="1"/>
  <c r="AP115" i="4"/>
  <c r="AR115" i="4" s="1"/>
  <c r="B117" i="4"/>
  <c r="BX14" i="4" a="1"/>
  <c r="BX14" i="4" s="1"/>
  <c r="CC12" i="4" a="1"/>
  <c r="CC12" i="4" s="1"/>
  <c r="CC18" i="4" l="1" a="1"/>
  <c r="CC18" i="4" s="1"/>
  <c r="AG117" i="4"/>
  <c r="BT11" i="4" s="1"/>
  <c r="E2" i="4" s="1"/>
  <c r="AL116" i="4"/>
  <c r="BX16" i="4" a="1"/>
  <c r="BX16" i="4" s="1"/>
  <c r="CC11" i="4" a="1"/>
  <c r="CC11" i="4" s="1"/>
  <c r="CC16" i="4" a="1"/>
  <c r="CC16" i="4" s="1"/>
  <c r="BX17" i="4" a="1"/>
  <c r="BX17" i="4" s="1"/>
  <c r="CB18" i="4" a="1"/>
  <c r="CB18" i="4" s="1"/>
  <c r="CH18" i="4" s="1"/>
  <c r="BX12" i="4" a="1"/>
  <c r="BX12" i="4" s="1"/>
  <c r="CK13" i="4" s="1"/>
  <c r="Z117" i="4"/>
  <c r="AN117" i="4"/>
  <c r="AH117" i="4"/>
  <c r="AJ117" i="4" s="1"/>
  <c r="AB117" i="4"/>
  <c r="AT117" i="4"/>
  <c r="BT16" i="4" s="1" a="1"/>
  <c r="AS117" i="4"/>
  <c r="AU117" i="4" s="1"/>
  <c r="AK117" i="4"/>
  <c r="BT12" i="4" s="1"/>
  <c r="CB16" i="4" a="1"/>
  <c r="CB16" i="4" s="1"/>
  <c r="CH16" i="4" s="1"/>
  <c r="CB17" i="4" a="1"/>
  <c r="CB17" i="4" s="1"/>
  <c r="CH17" i="4" s="1"/>
  <c r="AV116" i="4"/>
  <c r="AX116" i="4" s="1"/>
  <c r="W117" i="4"/>
  <c r="AM117" i="4" s="1"/>
  <c r="AO117" i="4" s="1"/>
  <c r="AA117" i="4"/>
  <c r="CC17" i="4" a="1"/>
  <c r="CC17" i="4" s="1"/>
  <c r="DR31" i="4" a="1"/>
  <c r="DR31" i="4" s="1"/>
  <c r="X117" i="4"/>
  <c r="CB11" i="4" a="1"/>
  <c r="CB11" i="4" s="1"/>
  <c r="CH11" i="4" s="1"/>
  <c r="CB14" i="4" a="1"/>
  <c r="CB14" i="4" s="1"/>
  <c r="CH14" i="4" s="1"/>
  <c r="CC15" i="4" a="1"/>
  <c r="CC15" i="4" s="1"/>
  <c r="BX15" i="4" a="1"/>
  <c r="BX15" i="4" s="1"/>
  <c r="CB12" i="4" a="1"/>
  <c r="CB12" i="4" s="1"/>
  <c r="CH12" i="4" s="1"/>
  <c r="AJ2" i="4" a="1"/>
  <c r="AJ2" i="4" s="1"/>
  <c r="AK2" i="4" s="1"/>
  <c r="AP116" i="4"/>
  <c r="AR116" i="4" s="1"/>
  <c r="AE117" i="4"/>
  <c r="AF117" i="4" s="1"/>
  <c r="CB13" i="4" a="1"/>
  <c r="CB13" i="4" s="1"/>
  <c r="CH13" i="4" s="1"/>
  <c r="CC13" i="4" a="1"/>
  <c r="CC13" i="4" s="1"/>
  <c r="CC14" i="4" a="1"/>
  <c r="CC14" i="4" s="1"/>
  <c r="BX13" i="4" a="1"/>
  <c r="BX13" i="4" s="1"/>
  <c r="CB15" i="4" a="1"/>
  <c r="CB15" i="4" s="1"/>
  <c r="CH15" i="4" s="1"/>
  <c r="AL117" i="4" l="1"/>
  <c r="CK15" i="4"/>
  <c r="CK14" i="4"/>
  <c r="CK17" i="4"/>
  <c r="CK16" i="4"/>
  <c r="CN12" i="4" s="1"/>
  <c r="BT13" i="4"/>
  <c r="DN31" i="4"/>
  <c r="BW12" i="4"/>
  <c r="CN9" i="4"/>
  <c r="CM16" i="4"/>
  <c r="CM17" i="4"/>
  <c r="AV117" i="4"/>
  <c r="AX117" i="4" s="1"/>
  <c r="CM15" i="4"/>
  <c r="CM14" i="4"/>
  <c r="CM13" i="4"/>
  <c r="CN11" i="4" s="1"/>
  <c r="CN8" i="4"/>
  <c r="AP117" i="4"/>
  <c r="AR117" i="4" s="1"/>
  <c r="AG119" i="4"/>
  <c r="BT16" i="4" l="1"/>
</calcChain>
</file>

<file path=xl/comments1.xml><?xml version="1.0" encoding="utf-8"?>
<comments xmlns="http://schemas.openxmlformats.org/spreadsheetml/2006/main">
  <authors>
    <author>Kevin1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Kevin1:</t>
        </r>
        <r>
          <rPr>
            <sz val="9"/>
            <color indexed="81"/>
            <rFont val="Tahoma"/>
            <family val="2"/>
          </rPr>
          <t xml:space="preserve">
Value of 1 will divide the cases by population, in logisitic output and case column. Might Best to be 0 maybe when Solver run</t>
        </r>
      </text>
    </comment>
  </commentList>
</comments>
</file>

<file path=xl/sharedStrings.xml><?xml version="1.0" encoding="utf-8"?>
<sst xmlns="http://schemas.openxmlformats.org/spreadsheetml/2006/main" count="2858" uniqueCount="1508">
  <si>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</si>
  <si>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</si>
  <si>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</si>
  <si>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</si>
  <si>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</si>
  <si>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</si>
  <si>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</si>
  <si>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</si>
  <si>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</si>
  <si>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</si>
  <si>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</si>
  <si>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</si>
  <si>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</si>
  <si>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</si>
  <si>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</si>
  <si>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</si>
  <si>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</si>
  <si>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</si>
  <si>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</si>
  <si>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</si>
  <si>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</si>
  <si>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</si>
  <si>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</si>
  <si>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</si>
  <si>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</si>
  <si>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</si>
  <si>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</si>
  <si>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</si>
  <si>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</si>
  <si>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</si>
  <si>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</si>
  <si>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</si>
  <si>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</si>
  <si>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</si>
  <si>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</si>
  <si>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</si>
  <si>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</si>
  <si>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US</t>
  </si>
  <si>
    <t>Macau</t>
  </si>
  <si>
    <t>Hong Kong</t>
  </si>
  <si>
    <t>Singapore</t>
  </si>
  <si>
    <t>Vietnam</t>
  </si>
  <si>
    <t>France</t>
  </si>
  <si>
    <t>Nepal</t>
  </si>
  <si>
    <t>Malaysia</t>
  </si>
  <si>
    <t>British Columbia</t>
  </si>
  <si>
    <t>Canada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</si>
  <si>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</si>
  <si>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</si>
  <si>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</si>
  <si>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</si>
  <si>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</si>
  <si>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</si>
  <si>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</si>
  <si>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</si>
  <si>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</si>
  <si>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</si>
  <si>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</si>
  <si>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</si>
  <si>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Russia</t>
  </si>
  <si>
    <t>Sweden</t>
  </si>
  <si>
    <t>Spain</t>
  </si>
  <si>
    <t>South Australia</t>
  </si>
  <si>
    <t>Belgium</t>
  </si>
  <si>
    <t>Egypt</t>
  </si>
  <si>
    <t>Iran</t>
  </si>
  <si>
    <t>From Diamond Princess</t>
  </si>
  <si>
    <t>Lebanon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</si>
  <si>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</si>
  <si>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</si>
  <si>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</si>
  <si>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</si>
  <si>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</si>
  <si>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</si>
  <si>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</si>
  <si>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</si>
  <si>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</si>
  <si>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</si>
  <si>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</si>
  <si>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</si>
  <si>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</si>
  <si>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</si>
  <si>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</si>
  <si>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</si>
  <si>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</si>
  <si>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</si>
  <si>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</si>
  <si>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</si>
  <si>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</si>
  <si>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</si>
  <si>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</si>
  <si>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</si>
  <si>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</si>
  <si>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</si>
  <si>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</si>
  <si>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</si>
  <si>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Luxembourg</t>
  </si>
  <si>
    <t>Monaco</t>
  </si>
  <si>
    <t>Qatar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</si>
  <si>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</si>
  <si>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</si>
  <si>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</si>
  <si>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</si>
  <si>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</si>
  <si>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</si>
  <si>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</si>
  <si>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</si>
  <si>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</si>
  <si>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</si>
  <si>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</si>
  <si>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</si>
  <si>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Argentina</t>
  </si>
  <si>
    <t>Chile</t>
  </si>
  <si>
    <t>Jordan</t>
  </si>
  <si>
    <t>Ukraine</t>
  </si>
  <si>
    <t>Saint Barthelemy</t>
  </si>
  <si>
    <t>Hungary</t>
  </si>
  <si>
    <t>Northern Territory</t>
  </si>
  <si>
    <t>Faroe Islands</t>
  </si>
  <si>
    <t>Liechtenstein</t>
  </si>
  <si>
    <t>Poland</t>
  </si>
  <si>
    <t>Tunisia</t>
  </si>
  <si>
    <t>Bosnia and Herzegovina</t>
  </si>
  <si>
    <t>Slovenia</t>
  </si>
  <si>
    <t>South Africa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</si>
  <si>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</si>
  <si>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</si>
  <si>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</si>
  <si>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</si>
  <si>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</si>
  <si>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</si>
  <si>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</si>
  <si>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</si>
  <si>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French Guiana</t>
  </si>
  <si>
    <t>Malta</t>
  </si>
  <si>
    <t>Martinique</t>
  </si>
  <si>
    <t>Bulgaria</t>
  </si>
  <si>
    <t>Maldives</t>
  </si>
  <si>
    <t>Bangladesh</t>
  </si>
  <si>
    <t>Moldova</t>
  </si>
  <si>
    <t>Paraguay</t>
  </si>
  <si>
    <t>Ontario</t>
  </si>
  <si>
    <t>Alberta</t>
  </si>
  <si>
    <t>Quebec</t>
  </si>
  <si>
    <t>Albania</t>
  </si>
  <si>
    <t>Cyprus</t>
  </si>
  <si>
    <t>Brunei</t>
  </si>
  <si>
    <t>Washington</t>
  </si>
  <si>
    <t>New York</t>
  </si>
  <si>
    <t>California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</si>
  <si>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</si>
  <si>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</si>
  <si>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</si>
  <si>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</si>
  <si>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</si>
  <si>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</si>
  <si>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</si>
  <si>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</si>
  <si>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</si>
  <si>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</si>
  <si>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</si>
  <si>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</si>
  <si>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</si>
  <si>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</si>
  <si>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</si>
  <si>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</si>
  <si>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</si>
  <si>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</si>
  <si>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</si>
  <si>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</si>
  <si>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</si>
  <si>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</si>
  <si>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</si>
  <si>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</si>
  <si>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</si>
  <si>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</si>
  <si>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</si>
  <si>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</si>
  <si>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</si>
  <si>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</si>
  <si>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</si>
  <si>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</si>
  <si>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</si>
  <si>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</si>
  <si>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</si>
  <si>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</si>
  <si>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</si>
  <si>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</si>
  <si>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</si>
  <si>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</si>
  <si>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</si>
  <si>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</si>
  <si>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</si>
  <si>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</si>
  <si>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</si>
  <si>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</si>
  <si>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</si>
  <si>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</si>
  <si>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</si>
  <si>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</si>
  <si>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</si>
  <si>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</si>
  <si>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NSW</t>
  </si>
  <si>
    <t>Date</t>
  </si>
  <si>
    <t>Day 0</t>
  </si>
  <si>
    <t>b</t>
  </si>
  <si>
    <t>d</t>
  </si>
  <si>
    <t>Po</t>
  </si>
  <si>
    <r>
      <t>Asymptote</t>
    </r>
    <r>
      <rPr>
        <sz val="10"/>
        <rFont val="Symbol"/>
        <family val="1"/>
        <charset val="2"/>
      </rPr>
      <t xml:space="preserve"> b/d</t>
    </r>
  </si>
  <si>
    <t>Mean Sq Err</t>
  </si>
  <si>
    <t>(beta/Po)-delta</t>
  </si>
  <si>
    <t>delta*1000</t>
  </si>
  <si>
    <t>Days# Italy</t>
  </si>
  <si>
    <t>Day # NSW</t>
  </si>
  <si>
    <t>NSW LogiP(t)</t>
  </si>
  <si>
    <t>NSW Sq Err</t>
  </si>
  <si>
    <t>Asymptote b/d</t>
  </si>
  <si>
    <t>Day# Aust</t>
  </si>
  <si>
    <t>australia data day by day</t>
  </si>
  <si>
    <t>https://www.health.gov.au/news/health-alerts/novel-coronavirus-2019-ncov-health-alert#current-status</t>
  </si>
  <si>
    <t>P(t) = b / {d+[( b/Po - d ) ]* exp(-b*t)}</t>
  </si>
  <si>
    <t>Points</t>
  </si>
  <si>
    <t>Last Date</t>
  </si>
  <si>
    <t>Italy LogiP(t)</t>
  </si>
  <si>
    <t>Italy Sq Err</t>
  </si>
  <si>
    <t>China</t>
  </si>
  <si>
    <t>Cruise Ship</t>
  </si>
  <si>
    <t>Czechia</t>
  </si>
  <si>
    <t>Taiwan*</t>
  </si>
  <si>
    <t>Bolivia</t>
  </si>
  <si>
    <t>St Martin</t>
  </si>
  <si>
    <t>Honduras</t>
  </si>
  <si>
    <t>New Brunswick</t>
  </si>
  <si>
    <t>Congo (Kinshasa)</t>
  </si>
  <si>
    <t>Cote d'Ivoire</t>
  </si>
  <si>
    <t>Jamaica</t>
  </si>
  <si>
    <t>Reunion</t>
  </si>
  <si>
    <t>Turkey</t>
  </si>
  <si>
    <t>MSqErrAtDate</t>
  </si>
  <si>
    <t>AtDate</t>
  </si>
  <si>
    <t>NSW Under Investigation'</t>
  </si>
  <si>
    <t>NSW Number of Tests</t>
  </si>
  <si>
    <t>NSW statistics, including test count and under investigation</t>
  </si>
  <si>
    <t>https://www.health.nsw.gov.au/news/Pages/20200312_00.aspx</t>
  </si>
  <si>
    <t xml:space="preserve">Increase NSW Tests/Day </t>
  </si>
  <si>
    <t>IncreasNSW Investig</t>
  </si>
  <si>
    <t>Korea South</t>
  </si>
  <si>
    <t>Kitsap WA</t>
  </si>
  <si>
    <t>Solano CA</t>
  </si>
  <si>
    <t>Santa Cruz CA</t>
  </si>
  <si>
    <t>Napa CA</t>
  </si>
  <si>
    <t>Ventura CA</t>
  </si>
  <si>
    <t>Worcester MA</t>
  </si>
  <si>
    <t>Gwinnett GA</t>
  </si>
  <si>
    <t>DeKalb GA</t>
  </si>
  <si>
    <t>Floyd GA</t>
  </si>
  <si>
    <t>Fayette GA</t>
  </si>
  <si>
    <t>Gregg TX</t>
  </si>
  <si>
    <t>Monmouth NJ</t>
  </si>
  <si>
    <t>Burlington NJ</t>
  </si>
  <si>
    <t>Camden NJ</t>
  </si>
  <si>
    <t>Passaic NJ</t>
  </si>
  <si>
    <t>Union NJ</t>
  </si>
  <si>
    <t>Eagle CO</t>
  </si>
  <si>
    <t>Larimer CO</t>
  </si>
  <si>
    <t>Arapahoe CO</t>
  </si>
  <si>
    <t>Gunnison CO</t>
  </si>
  <si>
    <t>Kane IL</t>
  </si>
  <si>
    <t>Monroe PA</t>
  </si>
  <si>
    <t>Philadelphia PA</t>
  </si>
  <si>
    <t>Norfolk VA</t>
  </si>
  <si>
    <t>Arlington VA</t>
  </si>
  <si>
    <t>Spotsylvania VA</t>
  </si>
  <si>
    <t>Loudoun VA</t>
  </si>
  <si>
    <t>Prince George's MD</t>
  </si>
  <si>
    <t>Pottawattamie IA</t>
  </si>
  <si>
    <t>Camden NC</t>
  </si>
  <si>
    <t>Pima AZ</t>
  </si>
  <si>
    <t>Noble IN</t>
  </si>
  <si>
    <t>Adams IN</t>
  </si>
  <si>
    <t>Boone IN</t>
  </si>
  <si>
    <t>Dane WI</t>
  </si>
  <si>
    <t>Pierce WI</t>
  </si>
  <si>
    <t>Cuyahoga OH</t>
  </si>
  <si>
    <t>Weber UT</t>
  </si>
  <si>
    <t>Bennington County VT</t>
  </si>
  <si>
    <t>Carver County MN</t>
  </si>
  <si>
    <t>Charlotte County FL</t>
  </si>
  <si>
    <t>Cherokee County GA</t>
  </si>
  <si>
    <t>Collin County TX</t>
  </si>
  <si>
    <t>Jefferson County KY</t>
  </si>
  <si>
    <t>Jefferson Parish LA</t>
  </si>
  <si>
    <t>Shasta County CA</t>
  </si>
  <si>
    <t>Spartanburg County SC</t>
  </si>
  <si>
    <t>Harrison County KY</t>
  </si>
  <si>
    <t>Johnson County IA</t>
  </si>
  <si>
    <t>Berkshire County MA</t>
  </si>
  <si>
    <t>Davidson County TN</t>
  </si>
  <si>
    <t>Douglas County OR</t>
  </si>
  <si>
    <t>Fresno County CA</t>
  </si>
  <si>
    <t>Harford County MD</t>
  </si>
  <si>
    <t>Hendricks County IN</t>
  </si>
  <si>
    <t>Hudson County NJ</t>
  </si>
  <si>
    <t>Johnson County KS</t>
  </si>
  <si>
    <t>Kittitas County WA</t>
  </si>
  <si>
    <t>Manatee County FL</t>
  </si>
  <si>
    <t>Marion County OR</t>
  </si>
  <si>
    <t>Okaloosa County FL</t>
  </si>
  <si>
    <t>Polk County GA</t>
  </si>
  <si>
    <t>Riverside County CA</t>
  </si>
  <si>
    <t>Shelby County TN</t>
  </si>
  <si>
    <t>St. Louis County MO</t>
  </si>
  <si>
    <t>Suffolk County NY</t>
  </si>
  <si>
    <t>Ulster County NY</t>
  </si>
  <si>
    <t>Volusia County FL</t>
  </si>
  <si>
    <t>Fairfax County VA</t>
  </si>
  <si>
    <t>Rockingham County NH</t>
  </si>
  <si>
    <t xml:space="preserve"> D.C.</t>
  </si>
  <si>
    <t>Montgomery County PA</t>
  </si>
  <si>
    <t>Alameda County CA</t>
  </si>
  <si>
    <t>Broward County FL</t>
  </si>
  <si>
    <t>Lee County FL</t>
  </si>
  <si>
    <t>Pinal County AZ</t>
  </si>
  <si>
    <t>Rockland County NY</t>
  </si>
  <si>
    <t>Saratoga County NY</t>
  </si>
  <si>
    <t>Charleston County SC</t>
  </si>
  <si>
    <t>Clark County WA</t>
  </si>
  <si>
    <t>Cobb County GA</t>
  </si>
  <si>
    <t>Davis County UT</t>
  </si>
  <si>
    <t>El Paso County CO</t>
  </si>
  <si>
    <t>Honolulu County HI</t>
  </si>
  <si>
    <t>Jackson County</t>
  </si>
  <si>
    <t xml:space="preserve"> OR </t>
  </si>
  <si>
    <t>Jefferson County WA</t>
  </si>
  <si>
    <t>Kershaw County SC</t>
  </si>
  <si>
    <t>Klamath County OR</t>
  </si>
  <si>
    <t>Madera County CA</t>
  </si>
  <si>
    <t>Pierce County WA</t>
  </si>
  <si>
    <t>Tulsa County OK</t>
  </si>
  <si>
    <t>Douglas County CO</t>
  </si>
  <si>
    <t>Providence County RI</t>
  </si>
  <si>
    <t>Chatham County NC</t>
  </si>
  <si>
    <t>Delaware County PA</t>
  </si>
  <si>
    <t>Douglas County NE</t>
  </si>
  <si>
    <t>Fayette County KY</t>
  </si>
  <si>
    <t>Marion County IN</t>
  </si>
  <si>
    <t>Middlesex County MA</t>
  </si>
  <si>
    <t>Nassau County NY</t>
  </si>
  <si>
    <t>Ramsey County MN</t>
  </si>
  <si>
    <t>Washoe County NV</t>
  </si>
  <si>
    <t>Wayne County PA</t>
  </si>
  <si>
    <t>Yolo County CA</t>
  </si>
  <si>
    <t>Santa Clara County CA</t>
  </si>
  <si>
    <t>Clark County NV</t>
  </si>
  <si>
    <t>Fort Bend County TX</t>
  </si>
  <si>
    <t>Grant County WA</t>
  </si>
  <si>
    <t>Santa Rosa County FL</t>
  </si>
  <si>
    <t>Williamson County TN</t>
  </si>
  <si>
    <t>New York County NY</t>
  </si>
  <si>
    <t>Montgomery County MD</t>
  </si>
  <si>
    <t>Suffolk County MA</t>
  </si>
  <si>
    <t>Denver County CO</t>
  </si>
  <si>
    <t>Summit County CO</t>
  </si>
  <si>
    <t>Bergen County NJ</t>
  </si>
  <si>
    <t>Harris County TX</t>
  </si>
  <si>
    <t>San Francisco County CA</t>
  </si>
  <si>
    <t>Contra Costa County CA</t>
  </si>
  <si>
    <t>Orange County CA</t>
  </si>
  <si>
    <t>Norfolk County MA</t>
  </si>
  <si>
    <t>Maricopa County AZ</t>
  </si>
  <si>
    <t>Wake County NC</t>
  </si>
  <si>
    <t>Westchester County NY</t>
  </si>
  <si>
    <t>Grafton County NH</t>
  </si>
  <si>
    <t>Hillsborough FL</t>
  </si>
  <si>
    <t>Placer County CA</t>
  </si>
  <si>
    <t>San Mateo CA</t>
  </si>
  <si>
    <t>Sonoma County CA</t>
  </si>
  <si>
    <t>Umatilla OR</t>
  </si>
  <si>
    <t>Fulton County GA</t>
  </si>
  <si>
    <t>Washington County OR</t>
  </si>
  <si>
    <t>Snohomish County WA</t>
  </si>
  <si>
    <t>Humboldt County CA</t>
  </si>
  <si>
    <t>Sacramento County CA</t>
  </si>
  <si>
    <t>San Diego County CA</t>
  </si>
  <si>
    <t>San Benito CA</t>
  </si>
  <si>
    <t>Los Angeles CA</t>
  </si>
  <si>
    <t>King County WA</t>
  </si>
  <si>
    <t>Cook County IL</t>
  </si>
  <si>
    <t>Skagit WA</t>
  </si>
  <si>
    <t>Thurston WA</t>
  </si>
  <si>
    <t>Island WA</t>
  </si>
  <si>
    <t>Whatcom WA</t>
  </si>
  <si>
    <t>Marin CA</t>
  </si>
  <si>
    <t>Calaveras CA</t>
  </si>
  <si>
    <t>Stanislaus CA</t>
  </si>
  <si>
    <t>San Joaquin CA</t>
  </si>
  <si>
    <t>Essex MA</t>
  </si>
  <si>
    <t>Charlton GA</t>
  </si>
  <si>
    <t>Collier FL</t>
  </si>
  <si>
    <t>Pinellas FL</t>
  </si>
  <si>
    <t>Alachua FL</t>
  </si>
  <si>
    <t>Nassau FL</t>
  </si>
  <si>
    <t>Pasco FL</t>
  </si>
  <si>
    <t>Dallas TX</t>
  </si>
  <si>
    <t>Tarrant TX</t>
  </si>
  <si>
    <t>Montgomery TX</t>
  </si>
  <si>
    <t>Middlesex NJ</t>
  </si>
  <si>
    <t>Jefferson CO</t>
  </si>
  <si>
    <t>Multnomah OR</t>
  </si>
  <si>
    <t>Polk OR</t>
  </si>
  <si>
    <t>Deschutes OR</t>
  </si>
  <si>
    <t>McHenry IL</t>
  </si>
  <si>
    <t>Lake IL</t>
  </si>
  <si>
    <t>Bucks PA</t>
  </si>
  <si>
    <t>Hanover VA</t>
  </si>
  <si>
    <t>Lancaster SC</t>
  </si>
  <si>
    <t>Sullivan TN</t>
  </si>
  <si>
    <t>Johnson IN</t>
  </si>
  <si>
    <t>Howard IN</t>
  </si>
  <si>
    <t>St. Joseph IN</t>
  </si>
  <si>
    <t>Knox NE</t>
  </si>
  <si>
    <t>Stark OH</t>
  </si>
  <si>
    <t>Anoka MN</t>
  </si>
  <si>
    <t>Olmsted MN</t>
  </si>
  <si>
    <t>Summit UT</t>
  </si>
  <si>
    <t>Fairfield CT</t>
  </si>
  <si>
    <t>Litchfield CT</t>
  </si>
  <si>
    <t>Orleans LA</t>
  </si>
  <si>
    <t>Pennington SD</t>
  </si>
  <si>
    <t>Beadle SD</t>
  </si>
  <si>
    <t>Charles Mix SD</t>
  </si>
  <si>
    <t>Davison SD</t>
  </si>
  <si>
    <t>Minnehaha SD</t>
  </si>
  <si>
    <t>Bon Homme SD</t>
  </si>
  <si>
    <t>Socorro NM</t>
  </si>
  <si>
    <t>Bernalillo NM</t>
  </si>
  <si>
    <t>Oakland MI</t>
  </si>
  <si>
    <t>Wayne MI</t>
  </si>
  <si>
    <t>New Castle DE</t>
  </si>
  <si>
    <t>Cuba</t>
  </si>
  <si>
    <t>Guyana</t>
  </si>
  <si>
    <t>1_x000D_</t>
  </si>
  <si>
    <t>3_x000D_</t>
  </si>
  <si>
    <t>2_x000D_</t>
  </si>
  <si>
    <t>9_x000D_</t>
  </si>
  <si>
    <t>0_x000D_</t>
  </si>
  <si>
    <t>18_x000D_</t>
  </si>
  <si>
    <t>7_x000D_</t>
  </si>
  <si>
    <t>24_x000D_</t>
  </si>
  <si>
    <t>49_x000D_</t>
  </si>
  <si>
    <t>12_x000D_</t>
  </si>
  <si>
    <t>5_x000D_</t>
  </si>
  <si>
    <t>11_x000D_</t>
  </si>
  <si>
    <t>4_x000D_</t>
  </si>
  <si>
    <t>10_x000D_</t>
  </si>
  <si>
    <t>6_x000D_</t>
  </si>
  <si>
    <t>14_x000D_</t>
  </si>
  <si>
    <t>1273_x000D_</t>
  </si>
  <si>
    <t>1018_x000D_</t>
  </si>
  <si>
    <t>990_x000D_</t>
  </si>
  <si>
    <t>935_x000D_</t>
  </si>
  <si>
    <t>631_x000D_</t>
  </si>
  <si>
    <t>576_x000D_</t>
  </si>
  <si>
    <t>318_x000D_</t>
  </si>
  <si>
    <t>168_x000D_</t>
  </si>
  <si>
    <t>146_x000D_</t>
  </si>
  <si>
    <t>136_x000D_</t>
  </si>
  <si>
    <t>133_x000D_</t>
  </si>
  <si>
    <t>93_x000D_</t>
  </si>
  <si>
    <t>76_x000D_</t>
  </si>
  <si>
    <t>75_x000D_</t>
  </si>
  <si>
    <t>28_x000D_</t>
  </si>
  <si>
    <t>26_x000D_</t>
  </si>
  <si>
    <t>Australian Capital Territory</t>
  </si>
  <si>
    <t>Kazakhstan</t>
  </si>
  <si>
    <t>French Polynesia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</si>
  <si>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</si>
  <si>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</si>
  <si>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</si>
  <si>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</si>
  <si>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</si>
  <si>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</si>
  <si>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</si>
  <si>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</si>
  <si>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</si>
  <si>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</si>
  <si>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USA</t>
  </si>
  <si>
    <t>US LogiP(t)</t>
  </si>
  <si>
    <t>US Sq Err</t>
  </si>
  <si>
    <t>Days# US</t>
  </si>
  <si>
    <t>SOLVER SOLUTION  APPLIES CONSTRAINTS VIA beta, delta, Po, so must update formulas when changing country row in E25:K25</t>
  </si>
  <si>
    <t>Asymptote</t>
  </si>
  <si>
    <t>32.9 k</t>
  </si>
  <si>
    <t>23.7 M</t>
  </si>
  <si>
    <t>Preview</t>
  </si>
  <si>
    <t>Sheet (and graph link)</t>
  </si>
  <si>
    <t>Chart Title</t>
  </si>
  <si>
    <t>Chart Series</t>
  </si>
  <si>
    <t>US Confirmed Cases, US Logistic Prediction</t>
  </si>
  <si>
    <t>NSW Confirmed Cases</t>
  </si>
  <si>
    <t>NSW Logistic Prediction</t>
  </si>
  <si>
    <t>NSW Confirmed Cases, NSW Logistic Prediction</t>
  </si>
  <si>
    <t>US Confirmed Cases</t>
  </si>
  <si>
    <t>US Logistic Prediction</t>
  </si>
  <si>
    <t>Italy Confirmed Cases</t>
  </si>
  <si>
    <t>ItalyLogistic Prediction</t>
  </si>
  <si>
    <t>Italy Confirmed Cases, ItalyLogistic Prediction</t>
  </si>
  <si>
    <t>Italy Logistic Prediction</t>
  </si>
  <si>
    <t>Italy Confirmed Cases, Italy Logistic Prediction</t>
  </si>
  <si>
    <t>Logistic Prediction</t>
  </si>
  <si>
    <t>COVID19 NSW Cases</t>
  </si>
  <si>
    <t>NSW Confirmed Cases, Logistic Prediction</t>
  </si>
  <si>
    <t>chtFutureItalyEarly</t>
  </si>
  <si>
    <t>chtFutureItaly</t>
  </si>
  <si>
    <t>chtFutureUSEarly</t>
  </si>
  <si>
    <t>chtFutureUS</t>
  </si>
  <si>
    <t>chtFutureNSWEarly</t>
  </si>
  <si>
    <t>chtFutureNSW</t>
  </si>
  <si>
    <t>Chart Index Chart 1</t>
  </si>
  <si>
    <t>OCAL HEALTH DISTRICTS </t>
  </si>
  <si>
    <t>OCCUPANC Y  </t>
  </si>
  <si>
    <t>ACUTE   </t>
  </si>
  <si>
    <t>ACUTE  </t>
  </si>
  <si>
    <t>NON-ADMITTED </t>
  </si>
  <si>
    <t>EMERGENCY </t>
  </si>
  <si>
    <t>                                                  R ATE   </t>
  </si>
  <si>
    <t>B E D  DAY S </t>
  </si>
  <si>
    <t>6 </t>
  </si>
  <si>
    <t>OVERNIGHT BED </t>
  </si>
  <si>
    <t>PATIENT SERVICE </t>
  </si>
  <si>
    <t>DEP T.  </t>
  </si>
  <si>
    <t>                                                 JUNE 18 </t>
  </si>
  <si>
    <t>DAY S </t>
  </si>
  <si>
    <t>EVENTS </t>
  </si>
  <si>
    <t>7 </t>
  </si>
  <si>
    <t>ATTENDANCES </t>
  </si>
  <si>
    <t>8 </t>
  </si>
  <si>
    <t>Justice and Forensic Mental Health Network </t>
  </si>
  <si>
    <t>n/a </t>
  </si>
  <si>
    <t>12,299 </t>
  </si>
  <si>
    <t>11,707 </t>
  </si>
  <si>
    <t>2,040,917 </t>
  </si>
  <si>
    <t>Sydney Children’s Hospitals Network </t>
  </si>
  <si>
    <t>94.2% </t>
  </si>
  <si>
    <t>175,539 </t>
  </si>
  <si>
    <t>152,810 </t>
  </si>
  <si>
    <t>440,545 </t>
  </si>
  <si>
    <t>95,658 </t>
  </si>
  <si>
    <t>South Western Sydney Local Health District </t>
  </si>
  <si>
    <t>98.5% </t>
  </si>
  <si>
    <t>656,898 </t>
  </si>
  <si>
    <t>548,960 </t>
  </si>
  <si>
    <t>1,129,620 </t>
  </si>
  <si>
    <t>284,379 </t>
  </si>
  <si>
    <t>South Eastern Sydney Local Health District </t>
  </si>
  <si>
    <t>95.5% </t>
  </si>
  <si>
    <t>483,112 </t>
  </si>
  <si>
    <t>412,339 </t>
  </si>
  <si>
    <t>1,278,989 </t>
  </si>
  <si>
    <t>2 2 7, 8 45 </t>
  </si>
  <si>
    <t>Illawarra Shoalhaven Local Health District </t>
  </si>
  <si>
    <t>96.1% </t>
  </si>
  <si>
    <t>260,883 </t>
  </si>
  <si>
    <t>224,031 </t>
  </si>
  <si>
    <t>653 , 474 </t>
  </si>
  <si>
    <t>159,718 </t>
  </si>
  <si>
    <t>Western Sydney Local Health District </t>
  </si>
  <si>
    <t>99.1% </t>
  </si>
  <si>
    <t>491,034 </t>
  </si>
  <si>
    <t>406,780 </t>
  </si>
  <si>
    <t>1,360,101 </t>
  </si>
  <si>
    <t>192,506 </t>
  </si>
  <si>
    <t>Nepean Blue Mountains Local Health District </t>
  </si>
  <si>
    <t>92.8% </t>
  </si>
  <si>
    <t>247,743 </t>
  </si>
  <si>
    <t>215,678 </t>
  </si>
  <si>
    <t>649,155 </t>
  </si>
  <si>
    <t>1 2 7, 6 8 4 </t>
  </si>
  <si>
    <t>Northern Sydney Local Health District </t>
  </si>
  <si>
    <t>93.8% </t>
  </si>
  <si>
    <t>508,146 </t>
  </si>
  <si>
    <t>4 47, 4 9 4 </t>
  </si>
  <si>
    <t>1,066,542 </t>
  </si>
  <si>
    <t>218,260 </t>
  </si>
  <si>
    <t>St Vincent’s Health Network </t>
  </si>
  <si>
    <t>89.2% </t>
  </si>
  <si>
    <t>1 7 7, 9 1 2  </t>
  </si>
  <si>
    <t>153,957 </t>
  </si>
  <si>
    <t>351,219 </t>
  </si>
  <si>
    <t>48,395 </t>
  </si>
  <si>
    <t>Sydney Local Health District </t>
  </si>
  <si>
    <t>88.3% </t>
  </si>
  <si>
    <t>521,053 </t>
  </si>
  <si>
    <t>441,924 </t>
  </si>
  <si>
    <t>1,316,622 </t>
  </si>
  <si>
    <t>164,421 </t>
  </si>
  <si>
    <t>Central Coast Local Health District </t>
  </si>
  <si>
    <t>92.5% </t>
  </si>
  <si>
    <t>249,244 </t>
  </si>
  <si>
    <t>209,940 </t>
  </si>
  <si>
    <t>6 5 7, 9 6 4 </t>
  </si>
  <si>
    <t>136,105 </t>
  </si>
  <si>
    <t>Hunter New England Local Health District </t>
  </si>
  <si>
    <t>76.0% </t>
  </si>
  <si>
    <t>633,096 </t>
  </si>
  <si>
    <t>539,904 </t>
  </si>
  <si>
    <t>2,119,776 </t>
  </si>
  <si>
    <t>418,963 </t>
  </si>
  <si>
    <t>Northern NSW Local Health District </t>
  </si>
  <si>
    <t>271,064 </t>
  </si>
  <si>
    <t>223,514 </t>
  </si>
  <si>
    <t>5 47, 5 3 9 </t>
  </si>
  <si>
    <t>206,851 </t>
  </si>
  <si>
    <t>Mid North Coast Local Health District </t>
  </si>
  <si>
    <t>94.8% </t>
  </si>
  <si>
    <t>264,339 </t>
  </si>
  <si>
    <t>226,375 </t>
  </si>
  <si>
    <t>552,832 </t>
  </si>
  <si>
    <t>126,363 </t>
  </si>
  <si>
    <t>Southern NSW Local Health District </t>
  </si>
  <si>
    <t>80.4% </t>
  </si>
  <si>
    <t>1 07, 0 6 5  </t>
  </si>
  <si>
    <t>83,172 </t>
  </si>
  <si>
    <t>320,525 </t>
  </si>
  <si>
    <t>112,768 </t>
  </si>
  <si>
    <t>Murrumbidgee Local Health District </t>
  </si>
  <si>
    <t>83.1% </t>
  </si>
  <si>
    <t>164,365 </t>
  </si>
  <si>
    <t>135,711 </t>
  </si>
  <si>
    <t>431,703 </t>
  </si>
  <si>
    <t>1 47, 9 6 4 </t>
  </si>
  <si>
    <t>Western NSW Local Health District </t>
  </si>
  <si>
    <t>80.7% </t>
  </si>
  <si>
    <t>213,434 </t>
  </si>
  <si>
    <t>180,063 </t>
  </si>
  <si>
    <t>675,082 </t>
  </si>
  <si>
    <t>1 8 7,1 1 3 </t>
  </si>
  <si>
    <t>Beds</t>
  </si>
  <si>
    <t>Far West Local Health District </t>
  </si>
  <si>
    <t>46.7% </t>
  </si>
  <si>
    <t>22,329 </t>
  </si>
  <si>
    <t>1 7, 9 1 9 </t>
  </si>
  <si>
    <t>108,848 </t>
  </si>
  <si>
    <t>25,715 </t>
  </si>
  <si>
    <t>TOTAL NSW </t>
  </si>
  <si>
    <t>90.2% </t>
  </si>
  <si>
    <t>5,459,555 </t>
  </si>
  <si>
    <t>4,632,278 </t>
  </si>
  <si>
    <t>15,701,453 </t>
  </si>
  <si>
    <t>Days# China</t>
  </si>
  <si>
    <t>51_x000D_</t>
  </si>
  <si>
    <t>20_x000D_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</si>
  <si>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</si>
  <si>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</si>
  <si>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</si>
  <si>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</si>
  <si>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</si>
  <si>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</si>
  <si>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</si>
  <si>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</si>
  <si>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</si>
  <si>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</si>
  <si>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</si>
  <si>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</si>
  <si>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</si>
  <si>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</si>
  <si>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</si>
  <si>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</si>
  <si>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Virgin Islands</t>
  </si>
  <si>
    <t>China LogiP(t)</t>
  </si>
  <si>
    <t>China Sq Err</t>
  </si>
  <si>
    <t>beta</t>
  </si>
  <si>
    <t>betaChina</t>
  </si>
  <si>
    <t>betaItaly</t>
  </si>
  <si>
    <t>betaNSW</t>
  </si>
  <si>
    <t>betaPodelta</t>
  </si>
  <si>
    <t>betaPodeltaChina</t>
  </si>
  <si>
    <t>betaPodeltaItaly</t>
  </si>
  <si>
    <t>betaPodeltaNSW</t>
  </si>
  <si>
    <t>betaPodeltaUS</t>
  </si>
  <si>
    <t>betaUS</t>
  </si>
  <si>
    <t>ChinaCases</t>
  </si>
  <si>
    <t>=OFFSET(tblData[[#Headers],[China]],1,0,COUNTA(tblData[China]),1)</t>
  </si>
  <si>
    <t>ChinaDates</t>
  </si>
  <si>
    <t>=OFFSET(tblData[[#Headers],[Date]],1,0,COUNTA(tblData[China]),1)</t>
  </si>
  <si>
    <t>ChinaLogi</t>
  </si>
  <si>
    <t>=OFFSET(tblData[[#Headers],[China LogiP(t)]],1,0,COUNTA(tblData[Date]),1)</t>
  </si>
  <si>
    <t>=OFFSET(tblData[[#Headers],[Date]],1,0,COUNTA(tblData[Date]),1)</t>
  </si>
  <si>
    <t>delta</t>
  </si>
  <si>
    <t>deltaChina</t>
  </si>
  <si>
    <t>deltaItaly</t>
  </si>
  <si>
    <t>deltaNSW</t>
  </si>
  <si>
    <t>deltaUS</t>
  </si>
  <si>
    <t>ItalyCases</t>
  </si>
  <si>
    <t>=OFFSET(tblData[[#Headers],[Italy]],MATCH(0,tblData[Italy],0),0,COUNTA(tblData[Italy]),1)</t>
  </si>
  <si>
    <t>ItalyDates</t>
  </si>
  <si>
    <t>=OFFSET(tblData[[#Headers],[Date]],MATCH(0,tblData[Italy],0),0,COUNTA(tblData[Italy]),1)</t>
  </si>
  <si>
    <t>ItalyLogi</t>
  </si>
  <si>
    <t>=OFFSET(tblData[[#Headers],[Italy LogiP(t)]],MATCH(0,tblData[Italy],0),0,COUNTA(tblData[Date])-MATCH(0,tblData[Italy],0)+1,1)</t>
  </si>
  <si>
    <t>ItalyLogiDates</t>
  </si>
  <si>
    <t>=OFFSET(tblData[[#Headers],[Date]],MATCH(0,tblData[Italy],0),0,COUNTA(tblData[Date])-MATCH(0,tblData[Italy],0)+1,1)</t>
  </si>
  <si>
    <t>msqChina</t>
  </si>
  <si>
    <t>msqItaly</t>
  </si>
  <si>
    <t>msqNSW</t>
  </si>
  <si>
    <t>msqUS</t>
  </si>
  <si>
    <t>NSWCases</t>
  </si>
  <si>
    <t>=OFFSET(tblData[[#Headers],[NSW]],MATCH(0,tblData[NSW],0),0,COUNTA(tblData[New South Wales])-MATCH(0,tblData[NSW],0)+1,1)</t>
  </si>
  <si>
    <t>NSWDates</t>
  </si>
  <si>
    <t>=OFFSET(tblData[[#Headers],[Date]],MATCH(0,tblData[NSW],0),0,COUNTA(tblData[New South Wales])-MATCH(0,tblData[NSW],0)+1,1)</t>
  </si>
  <si>
    <t>NSWLogi</t>
  </si>
  <si>
    <t>=OFFSET(tblData[[#Headers],[NSW LogiP(t)]],MATCH(0,tblData[NSW],0),0,COUNTA(tblData[Date])-MATCH(0,tblData[NSW],0)+1,1)</t>
  </si>
  <si>
    <t>NSWLogiDates</t>
  </si>
  <si>
    <t>=OFFSET(tblData[[#Headers],[Date]],MATCH(0,tblData[NSW],0),0,COUNTA(tblData[Date])-MATCH(0,tblData[NSW],0)+1,1)</t>
  </si>
  <si>
    <t>PoChina</t>
  </si>
  <si>
    <t>PoItaly</t>
  </si>
  <si>
    <t>PoNSW</t>
  </si>
  <si>
    <t>PoUS</t>
  </si>
  <si>
    <t>USCases</t>
  </si>
  <si>
    <t>USDates</t>
  </si>
  <si>
    <t>USDays</t>
  </si>
  <si>
    <t>USLogi</t>
  </si>
  <si>
    <t>USLogiDates</t>
  </si>
  <si>
    <t>myData</t>
  </si>
  <si>
    <t>myData!beta</t>
  </si>
  <si>
    <t>=myData!$A$2</t>
  </si>
  <si>
    <t>myData!betaChina</t>
  </si>
  <si>
    <t>myData!betaItaly</t>
  </si>
  <si>
    <t>myData!betaNSW</t>
  </si>
  <si>
    <t>myData!betaPodelta</t>
  </si>
  <si>
    <t>=myData!$F$2</t>
  </si>
  <si>
    <t>myData!betaPodeltaChina</t>
  </si>
  <si>
    <t>myData!betaPodeltaItaly</t>
  </si>
  <si>
    <t>myData!betaPodeltaNSW</t>
  </si>
  <si>
    <t>myData!betaPodeltaUS</t>
  </si>
  <si>
    <t>myData!betaUS</t>
  </si>
  <si>
    <t>myData!ChinaCases</t>
  </si>
  <si>
    <t>myData!ChinaDates</t>
  </si>
  <si>
    <t>myData!ChinaLogi</t>
  </si>
  <si>
    <t>myData!delta</t>
  </si>
  <si>
    <t>=myData!$B$2</t>
  </si>
  <si>
    <t>myData!deltaChina</t>
  </si>
  <si>
    <t>myData!deltaItaly</t>
  </si>
  <si>
    <t>myData!deltaNSW</t>
  </si>
  <si>
    <t>myData!deltaUS</t>
  </si>
  <si>
    <t>myData!ItalyCases</t>
  </si>
  <si>
    <t>myData!ItalyDates</t>
  </si>
  <si>
    <t>myData!ItalyLogi</t>
  </si>
  <si>
    <t>myData!ItalyLogiDates</t>
  </si>
  <si>
    <t>myData!msqChina</t>
  </si>
  <si>
    <t>myData!msqItaly</t>
  </si>
  <si>
    <t>myData!msqNSW</t>
  </si>
  <si>
    <t>myData!msqUS</t>
  </si>
  <si>
    <t>myData!NSWCases</t>
  </si>
  <si>
    <t>myData!NSWDates</t>
  </si>
  <si>
    <t>myData!NSWLogi</t>
  </si>
  <si>
    <t>myData!NSWLogiDates</t>
  </si>
  <si>
    <t>myData!Po</t>
  </si>
  <si>
    <t>=myData!$C$2</t>
  </si>
  <si>
    <t>myData!PoChina</t>
  </si>
  <si>
    <t>myData!PoItaly</t>
  </si>
  <si>
    <t>myData!PoNSW</t>
  </si>
  <si>
    <t>myData!PoUS</t>
  </si>
  <si>
    <t>myData!USCases</t>
  </si>
  <si>
    <t>myData!USDates</t>
  </si>
  <si>
    <t>myData!USDays</t>
  </si>
  <si>
    <t>myData!USLogi</t>
  </si>
  <si>
    <t>myData!USLogiDates</t>
  </si>
  <si>
    <t>80.9 k</t>
  </si>
  <si>
    <t>36.4 k</t>
  </si>
  <si>
    <t xml:space="preserve">698  </t>
  </si>
  <si>
    <t xml:space="preserve">542  </t>
  </si>
  <si>
    <t>149 k</t>
  </si>
  <si>
    <t>10.0 k</t>
  </si>
  <si>
    <t>Parameter List</t>
  </si>
  <si>
    <t>ChartLabel</t>
  </si>
  <si>
    <t>Logistic Eqn</t>
  </si>
  <si>
    <t>Message</t>
  </si>
  <si>
    <t>Solver found a solution. All constraints and optimality conditions are satisfied.</t>
  </si>
  <si>
    <t>Solver has converged to the current solution. All constraints are satisfied.</t>
  </si>
  <si>
    <t>Solver cannot improve the current solution. All constraints are satisfied.</t>
  </si>
  <si>
    <t>Stop chosen when the maximum iteration limit was reached.</t>
  </si>
  <si>
    <t>The Objective Cell values do not converge.</t>
  </si>
  <si>
    <t>Solver could not find a feasible solution.</t>
  </si>
  <si>
    <t>Solver stopped at user's request.</t>
  </si>
  <si>
    <t>The linearity conditions required by this LP Solver are not satisfied.</t>
  </si>
  <si>
    <t>The problem is too large for Solver to handle.</t>
  </si>
  <si>
    <t>Solver encountered an error value in a target or constraint cell.</t>
  </si>
  <si>
    <t>Stop chosen when the maximum time limit was reached.</t>
  </si>
  <si>
    <t>There is not enough memory available to solve the problem.</t>
  </si>
  <si>
    <t>Error in model. Please verify that all cells and constraints are valid.</t>
  </si>
  <si>
    <t>Solver found an integer solution within tolerance. All constraints are satisfied.</t>
  </si>
  <si>
    <t>Stop chosen when the maximum number of feasible [integer] solutions was reached.</t>
  </si>
  <si>
    <t>Stop chosen when the maximum number of feasible [integer] subproblems was reached.</t>
  </si>
  <si>
    <t>Solver converged in probability to a global solution.</t>
  </si>
  <si>
    <t>All variables must have both upper and lower bounds.</t>
  </si>
  <si>
    <t>Variable bounds conflict in binary or all different constraint.</t>
  </si>
  <si>
    <t>Lower and upper bounds on variables allow no feasible solution.</t>
  </si>
  <si>
    <t>Value</t>
  </si>
  <si>
    <t>Country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</si>
  <si>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</si>
  <si>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</si>
  <si>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</si>
  <si>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</si>
  <si>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</si>
  <si>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</si>
  <si>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</si>
  <si>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</si>
  <si>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</si>
  <si>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23_x000D_</t>
  </si>
  <si>
    <t>13_x000D_</t>
  </si>
  <si>
    <t>39_x000D_</t>
  </si>
  <si>
    <t>42_x000D_</t>
  </si>
  <si>
    <t>50_x000D_</t>
  </si>
  <si>
    <t>33_x000D_</t>
  </si>
  <si>
    <t>MaxCases</t>
  </si>
  <si>
    <t>SeriesLabel</t>
  </si>
  <si>
    <t>Sort Order</t>
  </si>
  <si>
    <t>chtFutureAll</t>
  </si>
  <si>
    <t>SERIES("NSW Confirmed Cases",myData!NSWDates,myData!NSWCases,1)</t>
  </si>
  <si>
    <t>NSW Limit 149 k</t>
  </si>
  <si>
    <t>SERIES(myData!NSWSeries,myData!NSWLogiDates,myData!NSWLogi,2)</t>
  </si>
  <si>
    <t>SERIES("Italy Confirmed Cases",myData!ItalyDates,myData!ItalyCases,3)</t>
  </si>
  <si>
    <t>Italy Limit 40.1 k</t>
  </si>
  <si>
    <t>SERIES(myData!ItalySeries,myData!ItalyLogiDates,myData!ItalyLogi,4)</t>
  </si>
  <si>
    <t>SERIES("US Confirmed Cases",myData!USDates,myData!USCases,5)</t>
  </si>
  <si>
    <t>USA Limit 7.25 k</t>
  </si>
  <si>
    <t>SERIES(myData!USSeries,myData!USLogiDates,myData!USLogi,6)</t>
  </si>
  <si>
    <t>China Limit 80.9 k</t>
  </si>
  <si>
    <t>SERIES(myData!ChinaSeries,myData!ChinaLogiDates,myData!ChinaLogi,7)</t>
  </si>
  <si>
    <t>China Cases</t>
  </si>
  <si>
    <t>SERIES("China Cases",myData!ChinaDates,myData!ChinaCases,8)</t>
  </si>
  <si>
    <t>COVID19 Best Fits 14-Mar-2020</t>
  </si>
  <si>
    <t>NSW Confirmed Cases, NSW Limit 149 k, Italy Confirmed Cases, Italy Limit 40.1 k, US Confirmed Cases, USA Limit 7.25 k, China Limit 80.9 k, China Cases</t>
  </si>
  <si>
    <t>SERIES("Italy Confirmed Cases",myData!ItalyDates,myData!ItalyCases,1)</t>
  </si>
  <si>
    <t>SERIES("ItalyLogistic Prediction",myData!ItalyLogiDates,myData!ItalyLogi,2)</t>
  </si>
  <si>
    <t>COVID19 Italy P(t) = b / {d+[( b/Po - d ) ]* exp(-b*t)}
b=0.262, d=6.55E-06, P0=.4406 Limit=40.1 k
 15-Mar</t>
  </si>
  <si>
    <t>SERIES("Italy Logistic Prediction",myData!ItalyLogiDates,myData!ItalyLogi,2)</t>
  </si>
  <si>
    <t>SERIES("US Confirmed Cases",myData!USDates,myData!USCases,1)</t>
  </si>
  <si>
    <t>SERIES("US Logistic Prediction",myData!USLogiDates,myData!USLogi,2)</t>
  </si>
  <si>
    <t>COVID19 USA P(t) = b / {d+[( b/Po - d ) ]* exp(-b*t)}
b=0.342, d=4.72E-05, P0=.0532 Limit=7.25 k
 15-Mar</t>
  </si>
  <si>
    <t>SERIES("NSW Logistic Prediction",myData!NSWLogiDates,myData!NSWLogi,2)</t>
  </si>
  <si>
    <t>COVID19 NSW P(t) = b / {d+[( b/Po - d ) ]* exp(-b*t)}
b=0.185, d=1.23E-06, P0=.0132 Limit=149 k
 15-Mar</t>
  </si>
  <si>
    <t>chtFutureChina</t>
  </si>
  <si>
    <t>China Logi Prediction</t>
  </si>
  <si>
    <t>SERIES("China Logi Prediction",myData!ChinaLogiDates,myData!ChinaLogi,1)</t>
  </si>
  <si>
    <t>China Confirmed Cases</t>
  </si>
  <si>
    <t>SERIES("China Confirmed Cases",myData!ChinaDates,myData!ChinaCases,2)</t>
  </si>
  <si>
    <t>COVID19 China P(t) = b / {d+[( b/Po - d ) ]* exp(-b*t)}
b=0.222, d=2.75E-06, P0=1537.6493 Limit=80.9 k
 15-Mar</t>
  </si>
  <si>
    <t>China Logi Prediction, China Confirmed Cases</t>
  </si>
  <si>
    <t>SERIES("Logistic Prediction",myData!NSWLogiDates,myData!NSWLogi,2)</t>
  </si>
  <si>
    <t>NSW Test Logi</t>
  </si>
  <si>
    <t>NSW Test Sq Err</t>
  </si>
  <si>
    <t>NSW Test Day Number</t>
  </si>
  <si>
    <t>Population</t>
  </si>
  <si>
    <t>164_x000D_</t>
  </si>
  <si>
    <t>37_x000D_</t>
  </si>
  <si>
    <t>253_x000D_</t>
  </si>
  <si>
    <t>Apply Population Scaling</t>
  </si>
  <si>
    <t>Population Divisor</t>
  </si>
  <si>
    <t>NSW Cases per Capita</t>
  </si>
  <si>
    <t>Italy Cases per Capita</t>
  </si>
  <si>
    <t>Use Count</t>
  </si>
  <si>
    <t>myData!Asymptote</t>
  </si>
  <si>
    <t>=myData!$D$2</t>
  </si>
  <si>
    <t>=myData!$E$15</t>
  </si>
  <si>
    <t>=myData!$E$13</t>
  </si>
  <si>
    <t>=myData!$E$12</t>
  </si>
  <si>
    <t>=myData!$J$15</t>
  </si>
  <si>
    <t>=myData!$J$13</t>
  </si>
  <si>
    <t>=myData!$J$12</t>
  </si>
  <si>
    <t>betaPodeltaTest</t>
  </si>
  <si>
    <t>myData!betaPodeltaTest</t>
  </si>
  <si>
    <t>=myData!$AH$2</t>
  </si>
  <si>
    <t>=myData!$J$14</t>
  </si>
  <si>
    <t>betaTest</t>
  </si>
  <si>
    <t>myData!betaTest</t>
  </si>
  <si>
    <t>=myData!$AC$2</t>
  </si>
  <si>
    <t>=myData!$E$14</t>
  </si>
  <si>
    <t>ChinaLogiDates</t>
  </si>
  <si>
    <t>myData!ChinaLogiDates</t>
  </si>
  <si>
    <t>ChinaSeries</t>
  </si>
  <si>
    <t>myData!ChinaSeries</t>
  </si>
  <si>
    <t>=myData!$T$15</t>
  </si>
  <si>
    <t>Countries</t>
  </si>
  <si>
    <t>=solvMsgs!$E$1:$E$5</t>
  </si>
  <si>
    <t>=myData!$F$15</t>
  </si>
  <si>
    <t>=myData!$F$13</t>
  </si>
  <si>
    <t>=myData!$F$12</t>
  </si>
  <si>
    <t>deltaTest</t>
  </si>
  <si>
    <t>myData!deltaTest</t>
  </si>
  <si>
    <t>=myData!$AD$2</t>
  </si>
  <si>
    <t>=myData!$F$14</t>
  </si>
  <si>
    <t>ItalySeries</t>
  </si>
  <si>
    <t>myData!ItalySeries</t>
  </si>
  <si>
    <t>=myData!$T$13</t>
  </si>
  <si>
    <t>=myData!$I$15</t>
  </si>
  <si>
    <t>=myData!$I$13</t>
  </si>
  <si>
    <t>=myData!$I$12</t>
  </si>
  <si>
    <t>msqTest</t>
  </si>
  <si>
    <t>myData!msqTest</t>
  </si>
  <si>
    <t>=myData!$AG$2</t>
  </si>
  <si>
    <t>=myData!$I$14</t>
  </si>
  <si>
    <t>mySolverPar</t>
  </si>
  <si>
    <t>myData!mySolverPar</t>
  </si>
  <si>
    <t>=myData!$A$2:$E$2</t>
  </si>
  <si>
    <t>NSWSeries</t>
  </si>
  <si>
    <t>myData!NSWSeries</t>
  </si>
  <si>
    <t>=myData!$T$12</t>
  </si>
  <si>
    <t>=myData!$G$15</t>
  </si>
  <si>
    <t>=myData!$G$13</t>
  </si>
  <si>
    <t>=myData!$G$12</t>
  </si>
  <si>
    <t>PopScaling</t>
  </si>
  <si>
    <t>myData!PopScaling</t>
  </si>
  <si>
    <t>=myData!$J$2</t>
  </si>
  <si>
    <t>PoTest</t>
  </si>
  <si>
    <t>myData!PoTest</t>
  </si>
  <si>
    <t>=myData!$AE$2</t>
  </si>
  <si>
    <t>=myData!$G$14</t>
  </si>
  <si>
    <t>SolverMsg</t>
  </si>
  <si>
    <t>=solvMsgs!$A$1:$B$21</t>
  </si>
  <si>
    <t>USSeries</t>
  </si>
  <si>
    <t>myData!USSeries</t>
  </si>
  <si>
    <t>=myData!$T$14</t>
  </si>
  <si>
    <t>Old String</t>
  </si>
  <si>
    <t>New String</t>
  </si>
  <si>
    <t>WS Scope</t>
  </si>
  <si>
    <t>Name</t>
  </si>
  <si>
    <t>WorkSheet Names</t>
  </si>
  <si>
    <t>RefersTo</t>
  </si>
  <si>
    <t>RefersToLocal</t>
  </si>
  <si>
    <t>[China]</t>
  </si>
  <si>
    <t>[China LogiP(t)]</t>
  </si>
  <si>
    <t>[China LogiP(t) Per Capita]</t>
  </si>
  <si>
    <t>China Cases Per Capita</t>
  </si>
  <si>
    <t>US Cases Per Capita</t>
  </si>
  <si>
    <t>=OFFSET(tblData[[#Headers],[US Cases]],MATCH(0,tblData[US Cases],0),0,COUNTA(tblData[US Cases]),1)</t>
  </si>
  <si>
    <t>=OFFSET(tblData[[#Headers],[Date]],MATCH(0,tblData[US Cases],0),0,COUNTA(tblData[US Cases]),1)</t>
  </si>
  <si>
    <t>=OFFSET(tblData[[#Headers],[Days'# US]],MATCH(0,tblData[US Cases],0),0,COUNTA(tblData[US Cases]),1)</t>
  </si>
  <si>
    <t>=OFFSET(tblData[[#Headers],[US LogiP(t)]],MATCH(0,tblData[US Cases],0),0,COUNTA(tblData[Date])-MATCH(0,tblData[US Cases],0)+1,1)</t>
  </si>
  <si>
    <t>=OFFSET(tblData[[#Headers],[Date]],MATCH(0,tblData[US Cases],0),0,COUNTA(tblData[Date])-MATCH(0,tblData[US Cases],0)+1,1)</t>
  </si>
  <si>
    <t>[US Cases]</t>
  </si>
  <si>
    <t>[US Cases per Capita]</t>
  </si>
  <si>
    <t>[US LogiP(t)]</t>
  </si>
  <si>
    <t>[US LogiP(t) Per Capita]</t>
  </si>
  <si>
    <t>[Italy]</t>
  </si>
  <si>
    <t>[Italy LogiP(t]]</t>
  </si>
  <si>
    <t>[Italy LogiP(t) Per Capita]</t>
  </si>
  <si>
    <t>[NSW]</t>
  </si>
  <si>
    <t>[NSW LogitP(t)]</t>
  </si>
  <si>
    <t>[NSW LogiP(t} Per Capita]</t>
  </si>
  <si>
    <t>[China Cases Per Capita]</t>
  </si>
  <si>
    <t>=OFFSET(tblData[[#Headers],[China Cases Per Capita]],1,0,COUNTA(tblData[China Cases Per Capita]),1)</t>
  </si>
  <si>
    <t>Italy LogiP(t) Per Capita</t>
  </si>
  <si>
    <t>China LogiP(t) Per Capita</t>
  </si>
  <si>
    <t>Nsw LogiP(t) Per Capita</t>
  </si>
  <si>
    <t>=OFFSET(tblData[[#Headers],[China LogiP(t) Per Capita]],1,0,COUNTA(tblData[Date]),1)</t>
  </si>
  <si>
    <t>[Italy Cases Per Capita]</t>
  </si>
  <si>
    <t>[NSW Cases Per Capita]</t>
  </si>
  <si>
    <t>=OFFSET(tblData[[#Headers],[Italy Cases Per Capita]],MATCH(0,tblData[Italy Cases Per Capita],0),0,COUNTA(tblData[Italy Cases Per Capita]),1)</t>
  </si>
  <si>
    <t>=OFFSET(tblData[[#Headers],[NSW Cases Per Capita]],MATCH(0,tblData[NSW Cases Per Capita],0),0,COUNTA(tblData[New South Wales])-MATCH(0,tblData[NSW Cases Per Capita],0)+1,1)</t>
  </si>
  <si>
    <t>=OFFSET(tblData[[#Headers],[US Cases per Capita]],MATCH(0,tblData[US Cases per Capita],0),0,COUNTA(tblData[US Cases per Capita]),1)</t>
  </si>
  <si>
    <t>US LogiP(t) Per Capita</t>
  </si>
  <si>
    <t>PerPerson</t>
  </si>
  <si>
    <t>Asymp PerP</t>
  </si>
  <si>
    <t>NSW population</t>
  </si>
  <si>
    <t>NSW population (norm)</t>
  </si>
  <si>
    <t>1.91 G</t>
  </si>
  <si>
    <t>2.36 G</t>
  </si>
  <si>
    <t>b=0.191, d=1.00E-10, P0=.0101 Limit=2.36 G</t>
  </si>
  <si>
    <t>NSW Limit 2.36 G</t>
  </si>
  <si>
    <t>42.7 k</t>
  </si>
  <si>
    <t>7.06 k</t>
  </si>
  <si>
    <t>b=0.262, d=6.14E-06, P0=.4409 Limit=7.06 k</t>
  </si>
  <si>
    <t>Italy Limit 7.06 k</t>
  </si>
  <si>
    <t>7.93 k</t>
  </si>
  <si>
    <t xml:space="preserve">241  </t>
  </si>
  <si>
    <t xml:space="preserve">b=0.361, d=4.56E-05, P0=.0293 Limit=241  </t>
  </si>
  <si>
    <t xml:space="preserve">USA Limit 241  </t>
  </si>
  <si>
    <t xml:space="preserve">562  </t>
  </si>
  <si>
    <t xml:space="preserve">b=0.222, d=2.75E-06, P0=1537.6493 Limit=562  </t>
  </si>
  <si>
    <t xml:space="preserve">China Limit 562  </t>
  </si>
  <si>
    <t>Notes</t>
  </si>
  <si>
    <t xml:space="preserve"> - Prediction without last day</t>
  </si>
  <si>
    <t>1.90 G</t>
  </si>
  <si>
    <t>b=0.19, d=1.00E-10, P0=.0101 Limit=1.90 G</t>
  </si>
  <si>
    <t>NSW Limit 1.90 G</t>
  </si>
  <si>
    <t>COVID19 NSW P(t) = b / {d+[( b/Po - d ) ]* exp(-b*t)}
b=0.19, d=1.00E-10, P0=.0101 Limit=1.90 G
 16-Mar</t>
  </si>
  <si>
    <t>Day0</t>
  </si>
  <si>
    <t>History of Fits Table</t>
  </si>
  <si>
    <t>Tests</t>
  </si>
  <si>
    <t>Limit</t>
  </si>
  <si>
    <t>Cht Title</t>
  </si>
  <si>
    <t>Au</t>
  </si>
  <si>
    <t>Au Cases Per Capita</t>
  </si>
  <si>
    <t>Au LogiP(t)</t>
  </si>
  <si>
    <t>AU Sq Err</t>
  </si>
  <si>
    <t>Au LogiP(t) Per Capita</t>
  </si>
  <si>
    <t>Test</t>
  </si>
  <si>
    <t>1.98 G</t>
  </si>
  <si>
    <t>782 M</t>
  </si>
  <si>
    <t>b=0.198, d=1.00E-10, P0=.0152 Limit=782 M</t>
  </si>
  <si>
    <t>Australia Limit 782 M</t>
  </si>
  <si>
    <t>COVID19 Australia P(t) = b / {d+[( b/Po - d ) ]* exp(-b*t)}
b=0.198, d=1.00E-10, P0=.0152 Limit=782 M
 18-Mar, Cases per 10 M population</t>
  </si>
  <si>
    <t>2.02 G</t>
  </si>
  <si>
    <t>2.50 G</t>
  </si>
  <si>
    <t>b=0.202, d=1.00E-10, P0=.0058 Limit=2.50 G</t>
  </si>
  <si>
    <t>NSW Limit 2.50 G</t>
  </si>
  <si>
    <t>COVID19 NSW P(t) = b / {d+[( b/Po - d ) ]* exp(-b*t)}
b=0.202, d=1.00E-10, P0=.0058 Limit=2.50 G
 18-Mar, Cases per 10 M population</t>
  </si>
  <si>
    <t>44.8 k</t>
  </si>
  <si>
    <t>7.41 k</t>
  </si>
  <si>
    <t>b=0.262, d=5.84E-06, P0=.441 Limit=7.41 k</t>
  </si>
  <si>
    <t>Italy Limit 7.41 k</t>
  </si>
  <si>
    <t>COVID19 Italy P(t) = b / {d+[( b/Po - d ) ]* exp(-b*t)}
b=0.262, d=5.84E-06, P0=.441 Limit=7.41 k
 17-Mar, Cases per 10 M population</t>
  </si>
  <si>
    <t>2.77 G</t>
  </si>
  <si>
    <t>84.1 M</t>
  </si>
  <si>
    <t>b=0.277, d=1.00E-10, P0=.2947 Limit=84.1 M</t>
  </si>
  <si>
    <t>USA Limit 84.1 M</t>
  </si>
  <si>
    <t>COVID19 USA P(t) = b / {d+[( b/Po - d ) ]* exp(-b*t)}
b=0.277, d=1.00E-10, P0=.2947 Limit=84.1 M
 17-Mar, Cases per 10 M population
 - Prediction without last day</t>
  </si>
  <si>
    <t>COVID19 China P(t) = b / {d+[( b/Po - d ) ]* exp(-b*t)}
b=0.222, d=2.75E-06, P0=1537.6493 Limit=562  
 17-Mar, Cases per 10 M population</t>
  </si>
  <si>
    <t>Date of NSW Case Match</t>
  </si>
  <si>
    <t>Data of AUS Case Match</t>
  </si>
  <si>
    <t>Days NSW is Behind</t>
  </si>
  <si>
    <t>Days AU is Behind</t>
  </si>
  <si>
    <t>Max Cases Per Capita</t>
  </si>
  <si>
    <t>COVID19 Australia 
b=0.198, d=1.00E-10, P0=.0152 Limit=782 M
 19-Mar, Cases per 10 M population</t>
  </si>
  <si>
    <t>At Thu 19-Mar Australia 251 cases per 10M was 18 days behind Italy, 0 days behind USA &amp; 40 days behind China</t>
  </si>
  <si>
    <t>COVID19 NSW 
b=0.202, d=1.00E-10, P0=.0058 Limit=2.50 G
 19-Mar, Cases per 10 M population</t>
  </si>
  <si>
    <t>At Thu 19-Mar Australia 380 cases per 10M was 16 days behind Italy, 2 days ahead of USA &amp; 35 days behind China</t>
  </si>
  <si>
    <t>COVID19 Italy 
b=0.262, d=5.84E-06, P0=.441 Limit=7.41 k
 18-Mar, Cases per 10 M population</t>
  </si>
  <si>
    <t>2.99 M</t>
  </si>
  <si>
    <t>90.8 k</t>
  </si>
  <si>
    <t>b=0.27, d=9.02E-08, P0=.2896 Limit=90.8 k</t>
  </si>
  <si>
    <t>USA Limit 90.8 k</t>
  </si>
  <si>
    <t>COVID19 USA 
b=0.27, d=9.02E-08, P0=.2896 Limit=90.8 k
 18-Mar, Cases per 10 M population
 - Prediction without last day</t>
  </si>
  <si>
    <t>COVID19 China 
b=0.222, d=2.75E-06, P0=1537.6493 Limit=562  
 18-Mar, Cases per 10 M population</t>
  </si>
  <si>
    <t>Tests Limit 2.50 G</t>
  </si>
  <si>
    <t>COVID19  NSWTests 
b=0.202, d=1.00E-10, P0=.0058 Limit=2.50 G
 18-Mar, Cases per 10 M population</t>
  </si>
  <si>
    <t>XY Data for Plotting Population Limit</t>
  </si>
  <si>
    <t>United Kingdom</t>
  </si>
  <si>
    <t>121_x000D_</t>
  </si>
  <si>
    <t>94_x000D_</t>
  </si>
  <si>
    <t>_FilterDatabase</t>
  </si>
  <si>
    <t>Names</t>
  </si>
  <si>
    <t>Names!_FilterDatabase</t>
  </si>
  <si>
    <t>=Names!$A$1:$P$56</t>
  </si>
  <si>
    <t>time_series_19-covid-Confirmed'</t>
  </si>
  <si>
    <t>time_series_19-covid-Confirmed'!_FilterDatabase</t>
  </si>
  <si>
    <t>='time_series_19-covid-Confirmed'!$A$1:$DP$453</t>
  </si>
  <si>
    <t>AuCases</t>
  </si>
  <si>
    <t>myData!AuCases</t>
  </si>
  <si>
    <t>=OFFSET(tblData[[#Headers],[Au Cases Per Capita]],MATCH(0,tblData[Au Cases Per Capita],0),0,COUNTA(tblData[New South Wales])-MATCH(0,tblData[NSW Cases per Capita],0)+1,1)</t>
  </si>
  <si>
    <t>AuDates</t>
  </si>
  <si>
    <t>myData!AuDates</t>
  </si>
  <si>
    <t>=myData!NSWDates</t>
  </si>
  <si>
    <t>AuLogi</t>
  </si>
  <si>
    <t>myData!AuLogi</t>
  </si>
  <si>
    <t>=OFFSET(tblData[[#Headers],[Au LogiP(t) Per Capita]],MATCH(0,tblData[NSW],0),0,COUNTA(tblData[Date])-MATCH(0,tblData[NSW],0)+1,1)</t>
  </si>
  <si>
    <t>AuLogiDates</t>
  </si>
  <si>
    <t>myData!AuLogiDates</t>
  </si>
  <si>
    <t>AuMaxCasespc</t>
  </si>
  <si>
    <t>myData!AuMaxCasespc</t>
  </si>
  <si>
    <t>=myData!$BV$11</t>
  </si>
  <si>
    <t>AuPop</t>
  </si>
  <si>
    <t>myData!AuPop</t>
  </si>
  <si>
    <t>=myData!$W$8</t>
  </si>
  <si>
    <t>AuSeries</t>
  </si>
  <si>
    <t>myData!AuSeries</t>
  </si>
  <si>
    <t>=myData!$BS$11</t>
  </si>
  <si>
    <t>betaAu</t>
  </si>
  <si>
    <t>myData!betaAu</t>
  </si>
  <si>
    <t>=myData!$BC$11</t>
  </si>
  <si>
    <t>=myData!$BC$15</t>
  </si>
  <si>
    <t>=myData!$BC$13</t>
  </si>
  <si>
    <t>=myData!$BC$12</t>
  </si>
  <si>
    <t>betaPodeltaAu</t>
  </si>
  <si>
    <t>myData!betaPodeltaAu</t>
  </si>
  <si>
    <t>=myData!$BH$11</t>
  </si>
  <si>
    <t>=myData!$BH$15</t>
  </si>
  <si>
    <t>=myData!$BH$13</t>
  </si>
  <si>
    <t>=myData!$BH$12</t>
  </si>
  <si>
    <t>=myData!$BH$14</t>
  </si>
  <si>
    <t>betaTests</t>
  </si>
  <si>
    <t>myData!betaTests</t>
  </si>
  <si>
    <t>=myData!$BC$16</t>
  </si>
  <si>
    <t>=myData!$BC$14</t>
  </si>
  <si>
    <t>ChinaPop</t>
  </si>
  <si>
    <t>myData!ChinaPop</t>
  </si>
  <si>
    <t>=myData!$R$8</t>
  </si>
  <si>
    <t>=myData!$BS$15</t>
  </si>
  <si>
    <t>=solvMsgs!$E$1:$E$7</t>
  </si>
  <si>
    <t>deltaAu</t>
  </si>
  <si>
    <t>myData!deltaAu</t>
  </si>
  <si>
    <t>=myData!$BD$11</t>
  </si>
  <si>
    <t>=myData!$BD$15</t>
  </si>
  <si>
    <t>=myData!$BD$13</t>
  </si>
  <si>
    <t>=myData!$BD$12</t>
  </si>
  <si>
    <t>deltaTests</t>
  </si>
  <si>
    <t>myData!deltaTests</t>
  </si>
  <si>
    <t>=myData!$BD$16</t>
  </si>
  <si>
    <t>=myData!$BD$14</t>
  </si>
  <si>
    <t>=OFFSET(tblData[[#Headers],[Italy Cases per Capita]],MATCH(0,tblData[Italy Cases per Capita],0),0,COUNTA(tblData[Italy Cases per Capita]),1)</t>
  </si>
  <si>
    <t>=OFFSET(tblData[[#Headers],[Italy LogiP(t) Per Capita]],MATCH(0,tblData[Italy],0),0,COUNTA(tblData[Date])-MATCH(0,tblData[Italy],0)+1,1)</t>
  </si>
  <si>
    <t>ItalyPop</t>
  </si>
  <si>
    <t>myData!ItalyPop</t>
  </si>
  <si>
    <t>=myData!$N$8</t>
  </si>
  <si>
    <t>=myData!$BS$13</t>
  </si>
  <si>
    <t>MaxAusCases</t>
  </si>
  <si>
    <t>myData!MaxAusCases</t>
  </si>
  <si>
    <t>=myData!$BM$11</t>
  </si>
  <si>
    <t>MaxNSWCases</t>
  </si>
  <si>
    <t>myData!MaxNSWCases</t>
  </si>
  <si>
    <t>=myData!$BM$12</t>
  </si>
  <si>
    <t>msqAu</t>
  </si>
  <si>
    <t>myData!msqAu</t>
  </si>
  <si>
    <t>=myData!$BG$11</t>
  </si>
  <si>
    <t>=myData!$BG$15</t>
  </si>
  <si>
    <t>=myData!$BG$13</t>
  </si>
  <si>
    <t>=myData!$BG$12</t>
  </si>
  <si>
    <t>msqTests</t>
  </si>
  <si>
    <t>myData!msqTests</t>
  </si>
  <si>
    <t>=myData!$BG$16</t>
  </si>
  <si>
    <t>=myData!$BG$14</t>
  </si>
  <si>
    <t>=OFFSET(tblData[[#Headers],[NSW Cases per Capita]],MATCH(0,tblData[NSW Cases per Capita],0),0,COUNTA(tblData[New South Wales])-MATCH(0,tblData[NSW Cases per Capita],0)+1,1)</t>
  </si>
  <si>
    <t>=OFFSET(tblData[[#Headers],[Nsw LogiP(t) Per Capita]],MATCH(0,tblData[NSW],0),0,COUNTA(tblData[Date])-MATCH(0,tblData[NSW],0)+1,1)</t>
  </si>
  <si>
    <t>NSWMaxCasespc</t>
  </si>
  <si>
    <t>myData!NSWMaxCasespc</t>
  </si>
  <si>
    <t>=myData!$BV$12</t>
  </si>
  <si>
    <t>NSWpop</t>
  </si>
  <si>
    <t>myData!NSWpop</t>
  </si>
  <si>
    <t>=myData!$L$8</t>
  </si>
  <si>
    <t>=myData!$BS$12</t>
  </si>
  <si>
    <t>myData!PerPerson</t>
  </si>
  <si>
    <t>=myData!$C$7</t>
  </si>
  <si>
    <t>PerPersonLabel</t>
  </si>
  <si>
    <t>=myData!$D$7</t>
  </si>
  <si>
    <t>PoAu</t>
  </si>
  <si>
    <t>myData!PoAu</t>
  </si>
  <si>
    <t>=myData!$BE$11</t>
  </si>
  <si>
    <t>=myData!$BE$15</t>
  </si>
  <si>
    <t>=myData!$BE$13</t>
  </si>
  <si>
    <t>=myData!$BE$12</t>
  </si>
  <si>
    <t>PoTests</t>
  </si>
  <si>
    <t>myData!PoTests</t>
  </si>
  <si>
    <t>=myData!$BE$16</t>
  </si>
  <si>
    <t>=myData!$BE$14</t>
  </si>
  <si>
    <t>solver_adj</t>
  </si>
  <si>
    <t>myData!solver_adj</t>
  </si>
  <si>
    <t>=myData!$AC$2:$AE$2</t>
  </si>
  <si>
    <t>solver_cvg</t>
  </si>
  <si>
    <t>myData!solver_cvg</t>
  </si>
  <si>
    <t>=0.0001</t>
  </si>
  <si>
    <t>solver_drv</t>
  </si>
  <si>
    <t>myData!solver_drv</t>
  </si>
  <si>
    <t>=1</t>
  </si>
  <si>
    <t>solver_eng</t>
  </si>
  <si>
    <t>myData!solver_eng</t>
  </si>
  <si>
    <t>solver_est</t>
  </si>
  <si>
    <t>myData!solver_est</t>
  </si>
  <si>
    <t>solver_itr</t>
  </si>
  <si>
    <t>myData!solver_itr</t>
  </si>
  <si>
    <t>=2147483647</t>
  </si>
  <si>
    <t>solver_lhs1</t>
  </si>
  <si>
    <t>myData!solver_lhs1</t>
  </si>
  <si>
    <t>solver_lhs2</t>
  </si>
  <si>
    <t>myData!solver_lhs2</t>
  </si>
  <si>
    <t>solver_lhs3</t>
  </si>
  <si>
    <t>myData!solver_lhs3</t>
  </si>
  <si>
    <t>solver_lhs4</t>
  </si>
  <si>
    <t>myData!solver_lhs4</t>
  </si>
  <si>
    <t>solver_lhs5</t>
  </si>
  <si>
    <t>myData!solver_lhs5</t>
  </si>
  <si>
    <t>solver_mip</t>
  </si>
  <si>
    <t>myData!solver_mip</t>
  </si>
  <si>
    <t>solver_mni</t>
  </si>
  <si>
    <t>myData!solver_mni</t>
  </si>
  <si>
    <t>=30</t>
  </si>
  <si>
    <t>solver_mrt</t>
  </si>
  <si>
    <t>myData!solver_mrt</t>
  </si>
  <si>
    <t>=0.075</t>
  </si>
  <si>
    <t>solver_msl</t>
  </si>
  <si>
    <t>myData!solver_msl</t>
  </si>
  <si>
    <t>=2</t>
  </si>
  <si>
    <t>solver_neg</t>
  </si>
  <si>
    <t>myData!solver_neg</t>
  </si>
  <si>
    <t>solver_nod</t>
  </si>
  <si>
    <t>myData!solver_nod</t>
  </si>
  <si>
    <t>solver_num</t>
  </si>
  <si>
    <t>myData!solver_num</t>
  </si>
  <si>
    <t>=3</t>
  </si>
  <si>
    <t>solver_nwt</t>
  </si>
  <si>
    <t>myData!solver_nwt</t>
  </si>
  <si>
    <t>solver_opt</t>
  </si>
  <si>
    <t>myData!solver_opt</t>
  </si>
  <si>
    <t>solver_pre</t>
  </si>
  <si>
    <t>myData!solver_pre</t>
  </si>
  <si>
    <t>=0.000001</t>
  </si>
  <si>
    <t>solver_rbv</t>
  </si>
  <si>
    <t>myData!solver_rbv</t>
  </si>
  <si>
    <t>solver_rel1</t>
  </si>
  <si>
    <t>myData!solver_rel1</t>
  </si>
  <si>
    <t>solver_rel2</t>
  </si>
  <si>
    <t>myData!solver_rel2</t>
  </si>
  <si>
    <t>solver_rel3</t>
  </si>
  <si>
    <t>myData!solver_rel3</t>
  </si>
  <si>
    <t>solver_rel4</t>
  </si>
  <si>
    <t>myData!solver_rel4</t>
  </si>
  <si>
    <t>solver_rel5</t>
  </si>
  <si>
    <t>myData!solver_rel5</t>
  </si>
  <si>
    <t>solver_rhs1</t>
  </si>
  <si>
    <t>myData!solver_rhs1</t>
  </si>
  <si>
    <t>=0.000000001</t>
  </si>
  <si>
    <t>solver_rhs2</t>
  </si>
  <si>
    <t>myData!solver_rhs2</t>
  </si>
  <si>
    <t>=0</t>
  </si>
  <si>
    <t>solver_rhs3</t>
  </si>
  <si>
    <t>myData!solver_rhs3</t>
  </si>
  <si>
    <t>solver_rhs4</t>
  </si>
  <si>
    <t>myData!solver_rhs4</t>
  </si>
  <si>
    <t>=0.0000000001</t>
  </si>
  <si>
    <t>solver_rhs5</t>
  </si>
  <si>
    <t>myData!solver_rhs5</t>
  </si>
  <si>
    <t>solver_rlx</t>
  </si>
  <si>
    <t>myData!solver_rlx</t>
  </si>
  <si>
    <t>solver_rsd</t>
  </si>
  <si>
    <t>myData!solver_rsd</t>
  </si>
  <si>
    <t>solver_scl</t>
  </si>
  <si>
    <t>myData!solver_scl</t>
  </si>
  <si>
    <t>solver_sho</t>
  </si>
  <si>
    <t>myData!solver_sho</t>
  </si>
  <si>
    <t>solver_ssz</t>
  </si>
  <si>
    <t>myData!solver_ssz</t>
  </si>
  <si>
    <t>=100</t>
  </si>
  <si>
    <t>solver_tim</t>
  </si>
  <si>
    <t>myData!solver_tim</t>
  </si>
  <si>
    <t>solver_tol</t>
  </si>
  <si>
    <t>myData!solver_tol</t>
  </si>
  <si>
    <t>=0.01</t>
  </si>
  <si>
    <t>solver_typ</t>
  </si>
  <si>
    <t>myData!solver_typ</t>
  </si>
  <si>
    <t>solver_val</t>
  </si>
  <si>
    <t>myData!solver_val</t>
  </si>
  <si>
    <t>solver_ver</t>
  </si>
  <si>
    <t>myData!solver_ver</t>
  </si>
  <si>
    <t>=OFFSET(tblData[[#Headers],[US Cases Per Capita]],MATCH(0,tblData[US Cases Per Capita],0),0,COUNT(tblData[US]),1)</t>
  </si>
  <si>
    <t>=OFFSET(tblData[[#Headers],[Date]],MATCH(0,tblData[US],0),0,COUNT(tblData[US]),1)</t>
  </si>
  <si>
    <t>=OFFSET(tblData[[#Headers],[Days'# US]],MATCH(0,tblData[US],0),0,COUNTA(tblData[US]),1)</t>
  </si>
  <si>
    <t>=OFFSET(tblData[[#Headers],[US LogiP(t) Per Capita]],MATCH(0,tblData[US],0),0,COUNT(tblData[US LogiP(t) Per Capita]),1)</t>
  </si>
  <si>
    <t>=OFFSET(tblData[[#Headers],[Date]],MATCH(0,tblData[US],0),0,COUNTA(tblData[Date])-MATCH(0,tblData[US],0)+1,1)</t>
  </si>
  <si>
    <t>USpop</t>
  </si>
  <si>
    <t>myData!USpop</t>
  </si>
  <si>
    <t>=myData!$P$8</t>
  </si>
  <si>
    <t>=myData!$BS$14</t>
  </si>
  <si>
    <t>UK</t>
  </si>
  <si>
    <t>202_x000D_</t>
  </si>
  <si>
    <t>256_x000D_</t>
  </si>
  <si>
    <t>299_x000D_</t>
  </si>
  <si>
    <t>38_x000D_</t>
  </si>
  <si>
    <t>Ireland</t>
  </si>
  <si>
    <t>111_x000D_</t>
  </si>
  <si>
    <t>71_x000D_</t>
  </si>
  <si>
    <t>29_x000D_</t>
  </si>
  <si>
    <t>83_x000D_</t>
  </si>
  <si>
    <t>19_x000D_</t>
  </si>
  <si>
    <t>47_x000D_</t>
  </si>
  <si>
    <t>184_x000D_</t>
  </si>
  <si>
    <t>173_x000D_</t>
  </si>
  <si>
    <t>85_x000D_</t>
  </si>
  <si>
    <t>70_x000D_</t>
  </si>
  <si>
    <t>77_x000D_</t>
  </si>
  <si>
    <t>86_x000D_</t>
  </si>
  <si>
    <t>15_x000D_</t>
  </si>
  <si>
    <t>67800_x000D_</t>
  </si>
  <si>
    <t>712_x000D_</t>
  </si>
  <si>
    <t>176_x000D_</t>
  </si>
  <si>
    <t>Nova Scotia</t>
  </si>
  <si>
    <t>Benin</t>
  </si>
  <si>
    <t>Greenland</t>
  </si>
  <si>
    <t>Liberia</t>
  </si>
  <si>
    <t>Somalia</t>
  </si>
  <si>
    <t>Tanzania</t>
  </si>
  <si>
    <t>Barbados</t>
  </si>
  <si>
    <t>Montenegro</t>
  </si>
  <si>
    <t>Kyrgyzstan</t>
  </si>
  <si>
    <t>Mauritius</t>
  </si>
  <si>
    <t>Zambia</t>
  </si>
  <si>
    <t>Djibouti</t>
  </si>
  <si>
    <t>Gambia The</t>
  </si>
  <si>
    <t>Minimum Date</t>
  </si>
  <si>
    <t>JHName</t>
  </si>
  <si>
    <t>Inviidual States</t>
  </si>
  <si>
    <t>Days# UK</t>
  </si>
  <si>
    <t>UK Cases Per Capita</t>
  </si>
  <si>
    <t>SKorea Cases Per Capita</t>
  </si>
  <si>
    <t>Skorea</t>
  </si>
  <si>
    <t>SKorea</t>
  </si>
  <si>
    <t>Days# Skorea</t>
  </si>
  <si>
    <t>SKorea LogiP(t)</t>
  </si>
  <si>
    <t>Skorea Sq Err</t>
  </si>
  <si>
    <t>Skorea LogiP(t) Per Capita</t>
  </si>
  <si>
    <t>UK LogiP(t)</t>
  </si>
  <si>
    <t>UK Sq Err</t>
  </si>
  <si>
    <t>UK LogiP(t) Per Capita</t>
  </si>
  <si>
    <t xml:space="preserve">log fit from 19th Feb </t>
  </si>
  <si>
    <t>203 k</t>
  </si>
  <si>
    <t>80.2 k</t>
  </si>
  <si>
    <t>b=0.203, d=1.00E-06, P0=.0119 Limit=80.2 k</t>
  </si>
  <si>
    <t>Australia Limit 80.2 k</t>
  </si>
  <si>
    <t>COVID19 Australia 
b=0.203, d=1.00E-06, P0=.0119 Limit=80.2 k
 20-Mar, Cases per 10 M population</t>
  </si>
  <si>
    <t>At Fri 20-Mar Australia 345 cases per 10M was 17 days behind Italy, 1 days behind USA &amp; 36 days behind China</t>
  </si>
  <si>
    <t>19.8 M</t>
  </si>
  <si>
    <t>24.6 M</t>
  </si>
  <si>
    <t>b=0.198, d=1.00E-08, P0=.0069 Limit=24.6 M</t>
  </si>
  <si>
    <t>NSW Limit 24.6 M</t>
  </si>
  <si>
    <t>COVID19 NSW 
b=0.198, d=1.00E-08, P0=.0069 Limit=24.6 M
 20-Mar, Cases per 10 M population</t>
  </si>
  <si>
    <t>At Fri 20-Mar NSW 473 cases per 10M was 16 days behind Italy, 0 days ahead of USA &amp; 34 days behind China</t>
  </si>
  <si>
    <t>47.3 k</t>
  </si>
  <si>
    <t>7.82 k</t>
  </si>
  <si>
    <t>b=0.261, d=5.53E-06, P0=.4412 Limit=7.82 k</t>
  </si>
  <si>
    <t>Italy Limit 7.82 k</t>
  </si>
  <si>
    <t>COVID19 Italy 
b=0.261, d=5.53E-06, P0=.4412 Limit=7.82 k
 19-Mar, Cases per 10 M population</t>
  </si>
  <si>
    <t>117 k</t>
  </si>
  <si>
    <t>3.56 k</t>
  </si>
  <si>
    <t>b=0.27, d=2.30E-06, P0=.2896 Limit=3.56 k</t>
  </si>
  <si>
    <t>USA Limit 3.56 k</t>
  </si>
  <si>
    <t>COVID19 USA 
b=0.27, d=2.30E-06, P0=.2896 Limit=3.56 k
 19-Mar, Cases per 10 M population
 - Prediction without last day</t>
  </si>
  <si>
    <t xml:space="preserve">COVID19 China 
b=0.222, d=2.75E-06, P0=1537.6493 Limit=562  
 19-Mar, Cases per 10 M population
</t>
  </si>
  <si>
    <t>8.22 k</t>
  </si>
  <si>
    <t>1.60 k</t>
  </si>
  <si>
    <t>b=0.335, d=4.07E-05, P0=161.5015 Limit=1.60 k</t>
  </si>
  <si>
    <t>Skorea Limit 1.60 k fr 19th Feb</t>
  </si>
  <si>
    <t xml:space="preserve">COVID19 Skorea 
b=0.335, d=4.07E-05, P0=161.5015 Limit=1.60 k
 20-Mar, Cases per 10 M population
log fit from 19th Feb </t>
  </si>
  <si>
    <t>241 k</t>
  </si>
  <si>
    <t>36.3 k</t>
  </si>
  <si>
    <t>b=0.241, d=1.00E-06, P0=.0241 Limit=36.3 k</t>
  </si>
  <si>
    <t>UK Limit 36.3 k</t>
  </si>
  <si>
    <t xml:space="preserve">COVID19 UK 
b=0.241, d=1.00E-06, P0=.0241 Limit=36.3 k
 20-Mar, Cases per 10 M population
</t>
  </si>
  <si>
    <t xml:space="preserve">COVID19 Tests 
b=0.202, d=1.00E-10, P0=.0058 Limit=2.50 G
 20-Mar, Cases per 10 M population
</t>
  </si>
  <si>
    <t>HISTORICAL RUNS -- COPY PASTE VALUES FROM RUN PARAMETERS RANGE TO LAST ROW HERE, THEN SORT.</t>
  </si>
  <si>
    <t>Place</t>
  </si>
  <si>
    <t xml:space="preserve">Date Start Log Fit </t>
  </si>
  <si>
    <t>RunTime</t>
  </si>
  <si>
    <t>Logistic Start2</t>
  </si>
  <si>
    <t>Start Logistic</t>
  </si>
  <si>
    <t>55.4 k</t>
  </si>
  <si>
    <t>9.17 k</t>
  </si>
  <si>
    <t>b=0.26, d=4.70E-06, P0=.442 Limit=9.17 k</t>
  </si>
  <si>
    <t>Italy Limit 9.17 k</t>
  </si>
  <si>
    <t>322_x000D_</t>
  </si>
  <si>
    <t>963_x000D_</t>
  </si>
  <si>
    <t>385_x000D_</t>
  </si>
  <si>
    <t>1030_x000D_</t>
  </si>
  <si>
    <t>271_x000D_</t>
  </si>
  <si>
    <t>353_x000D_</t>
  </si>
  <si>
    <t>73_x000D_</t>
  </si>
  <si>
    <t>19848_x000D_</t>
  </si>
  <si>
    <t>450_x000D_</t>
  </si>
  <si>
    <t>140_x000D_</t>
  </si>
  <si>
    <t>230_x000D_</t>
  </si>
  <si>
    <t>244_x000D_</t>
  </si>
  <si>
    <t>47021_x000D_</t>
  </si>
  <si>
    <t>1639_x000D_</t>
  </si>
  <si>
    <t>20410_x000D_</t>
  </si>
  <si>
    <t>2257_x000D_</t>
  </si>
  <si>
    <t>285_x000D_</t>
  </si>
  <si>
    <t>163_x000D_</t>
  </si>
  <si>
    <t>208_x000D_</t>
  </si>
  <si>
    <t>48_x000D_</t>
  </si>
  <si>
    <t>159_x000D_</t>
  </si>
  <si>
    <t>90_x000D_</t>
  </si>
  <si>
    <t>128_x000D_</t>
  </si>
  <si>
    <t>5294_x000D_</t>
  </si>
  <si>
    <t>2388_x000D_</t>
  </si>
  <si>
    <t>705_x000D_</t>
  </si>
  <si>
    <t>501_x000D_</t>
  </si>
  <si>
    <t>793_x000D_</t>
  </si>
  <si>
    <t>43_x000D_</t>
  </si>
  <si>
    <t>495_x000D_</t>
  </si>
  <si>
    <t>67_x000D_</t>
  </si>
  <si>
    <t>1914_x000D_</t>
  </si>
  <si>
    <t>308_x000D_</t>
  </si>
  <si>
    <t>283_x000D_</t>
  </si>
  <si>
    <t>144_x000D_</t>
  </si>
  <si>
    <t>69_x000D_</t>
  </si>
  <si>
    <t>409_x000D_</t>
  </si>
  <si>
    <t>64_x000D_</t>
  </si>
  <si>
    <t>683_x000D_</t>
  </si>
  <si>
    <t>484_x000D_</t>
  </si>
  <si>
    <t>470_x000D_</t>
  </si>
  <si>
    <t>367_x000D_</t>
  </si>
  <si>
    <t>44_x000D_</t>
  </si>
  <si>
    <t>72_x000D_</t>
  </si>
  <si>
    <t>369_x000D_</t>
  </si>
  <si>
    <t>1020_x000D_</t>
  </si>
  <si>
    <t>344_x000D_</t>
  </si>
  <si>
    <t>434_x000D_</t>
  </si>
  <si>
    <t>425_x000D_</t>
  </si>
  <si>
    <t>54_x000D_</t>
  </si>
  <si>
    <t>89_x000D_</t>
  </si>
  <si>
    <t>341_x000D_</t>
  </si>
  <si>
    <t>234_x000D_</t>
  </si>
  <si>
    <t>135_x000D_</t>
  </si>
  <si>
    <t>137_x000D_</t>
  </si>
  <si>
    <t>32_x000D_</t>
  </si>
  <si>
    <t>127_x000D_</t>
  </si>
  <si>
    <t>139_x000D_</t>
  </si>
  <si>
    <t>78_x000D_</t>
  </si>
  <si>
    <t>1524_x000D_</t>
  </si>
  <si>
    <t>8310_x000D_</t>
  </si>
  <si>
    <t>1177_x000D_</t>
  </si>
  <si>
    <t>413_x000D_</t>
  </si>
  <si>
    <t>420_x000D_</t>
  </si>
  <si>
    <t>363_x000D_</t>
  </si>
  <si>
    <t>563_x000D_</t>
  </si>
  <si>
    <t>890_x000D_</t>
  </si>
  <si>
    <t>114_x000D_</t>
  </si>
  <si>
    <t>394_x000D_</t>
  </si>
  <si>
    <t>585_x000D_</t>
  </si>
  <si>
    <t>303_x000D_</t>
  </si>
  <si>
    <t>45_x000D_</t>
  </si>
  <si>
    <t>149_x000D_</t>
  </si>
  <si>
    <t>172_x000D_</t>
  </si>
  <si>
    <t>126_x000D_</t>
  </si>
  <si>
    <t>233_x000D_</t>
  </si>
  <si>
    <t>122_x000D_</t>
  </si>
  <si>
    <t>115_x000D_</t>
  </si>
  <si>
    <t>207_x000D_</t>
  </si>
  <si>
    <t>194_x000D_</t>
  </si>
  <si>
    <t>40_x000D_</t>
  </si>
  <si>
    <t>538_x000D_</t>
  </si>
  <si>
    <t>53_x000D_</t>
  </si>
  <si>
    <t>96_x000D_</t>
  </si>
  <si>
    <t>56_x000D_</t>
  </si>
  <si>
    <t>552_x000D_</t>
  </si>
  <si>
    <t>80_x000D_</t>
  </si>
  <si>
    <t>19644_x000D_</t>
  </si>
  <si>
    <t>8652_x000D_</t>
  </si>
  <si>
    <t>12612_x000D_</t>
  </si>
  <si>
    <t>1395_x000D_</t>
  </si>
  <si>
    <t>1234_x000D_</t>
  </si>
  <si>
    <t>762_x000D_</t>
  </si>
  <si>
    <t>541_x000D_</t>
  </si>
  <si>
    <t>1255_x000D_</t>
  </si>
  <si>
    <t>491_x000D_</t>
  </si>
  <si>
    <t>371_x000D_</t>
  </si>
  <si>
    <t>254_x000D_</t>
  </si>
  <si>
    <t>247_x000D_</t>
  </si>
  <si>
    <t>134_x000D_</t>
  </si>
  <si>
    <t>833_x000D_</t>
  </si>
  <si>
    <t>91_x000D_</t>
  </si>
  <si>
    <t>17_x000D_</t>
  </si>
  <si>
    <t>66_x000D_</t>
  </si>
  <si>
    <t>Channel Islands</t>
  </si>
  <si>
    <t>16_x000D_</t>
  </si>
  <si>
    <t>359_x000D_</t>
  </si>
  <si>
    <t>Gibraltar</t>
  </si>
  <si>
    <t>3983_x000D_</t>
  </si>
  <si>
    <t>2994_x000D_</t>
  </si>
  <si>
    <t>Cayman Islands</t>
  </si>
  <si>
    <t>Montserrat</t>
  </si>
  <si>
    <t>Bahamas The</t>
  </si>
  <si>
    <t>New Caledonia</t>
  </si>
  <si>
    <t>Bermuda</t>
  </si>
  <si>
    <t>Chad</t>
  </si>
  <si>
    <t>El Salvador</t>
  </si>
  <si>
    <t>Fiji</t>
  </si>
  <si>
    <t>Nicaragua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</si>
  <si>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</si>
  <si>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</si>
  <si>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</si>
  <si>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</si>
  <si>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</si>
  <si>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</si>
  <si>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</si>
  <si>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</si>
  <si>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</si>
  <si>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At Sat 21-Mar Australia 421 cases per 10M was 17 days behind Italy, 1 days behind USA &amp; 36 days behind China, 22 days behind South Korea, 1 days behind UK</t>
  </si>
  <si>
    <t>At Sat 21-Mar NSW 540 cases per 10M was 16 days behind Italy, 1 days behind USA &amp; 25 days behind China, 21 days behind South Korea, 1 days behind UK</t>
  </si>
  <si>
    <t xml:space="preserve">b=0.222, d=2.74E-06, P0=1537.6493 Limit=562  </t>
  </si>
  <si>
    <t>81.0 k</t>
  </si>
  <si>
    <t>8.32 k</t>
  </si>
  <si>
    <t>1.62 k</t>
  </si>
  <si>
    <t>b=0.326, d=3.91E-05, P0=174.6165 Limit=1.62 k</t>
  </si>
  <si>
    <t>Skorea Limit 1.62 k fr 19th Feb</t>
  </si>
  <si>
    <t>231 M</t>
  </si>
  <si>
    <t>34.7 M</t>
  </si>
  <si>
    <t>b=0.231, d=1.00E-09, P0=.0381 Limit=34.7 M</t>
  </si>
  <si>
    <t>UK Limit 34.7 M</t>
  </si>
  <si>
    <t>2.72 k</t>
  </si>
  <si>
    <t>3.37 k</t>
  </si>
  <si>
    <t>b=0.209, d=7.68E-05, P0=.0043 Limit=3.37 k</t>
  </si>
  <si>
    <t>NSW Limit 3.37 k</t>
  </si>
  <si>
    <t>COVID19 NSW P(t) = b / {d+[( b/Po - d ) ]* exp(-b*t)}
b=0.209, d=7.68E-05, P0=.0043 Limit=3.37 k
 21-Mar, Cases per 10 M population</t>
  </si>
  <si>
    <t xml:space="preserve">COVID19 UK P(t) = b / {d+[( b/Po - d ) ]* exp(-b*t)}
b=0.231, d=1.00E-09, P0=.0381 Limit=34.7 M
 20-Mar, Cases per 10 M population
</t>
  </si>
  <si>
    <t>206 M</t>
  </si>
  <si>
    <t>81.4 M</t>
  </si>
  <si>
    <t>b=0.206, d=1.00E-09, P0=.0102 Limit=81.4 M</t>
  </si>
  <si>
    <t>Australia Limit 81.4 M</t>
  </si>
  <si>
    <t>COVID19 Australia P(t) = b / {d+[( b/Po - d ) ]* exp(-b*t)}
b=0.206, d=1.00E-09, P0=.0102 Limit=81.4 M
 21-Mar, Cases per 10 M population</t>
  </si>
  <si>
    <t>COVID19 Italy P(t) = b / {d+[( b/Po - d ) ]* exp(-b*t)}
b=0.26, d=4.70E-06, P0=.442 Limit=9.17 k
 20-Mar, Cases per 10 M population</t>
  </si>
  <si>
    <t>348 M</t>
  </si>
  <si>
    <t>10.6 M</t>
  </si>
  <si>
    <t>b=0.348, d=1.00E-09, P0=.0171 Limit=10.6 M</t>
  </si>
  <si>
    <t>USA Limit 10.6 M</t>
  </si>
  <si>
    <t>COVID19 USA P(t) = b / {d+[( b/Po - d ) ]* exp(-b*t)}
b=0.348, d=1.00E-09, P0=.0171 Limit=10.6 M
 20-Mar, Cases per 10 M population
 - Prediction without last day</t>
  </si>
  <si>
    <t xml:space="preserve">COVID19 China P(t) = b / {d+[( b/Po - d ) ]* exp(-b*t)}
b=0.222, d=2.74E-06, P0=1537.6493 Limit=562  
 20-Mar, Cases per 10 M population
</t>
  </si>
  <si>
    <t xml:space="preserve">COVID19 Skorea P(t) = b / {d+[( b/Po - d ) ]* exp(-b*t)}
b=0.326, d=3.91E-05, P0=174.6165 Limit=1.62 k
 20-Mar, Cases per 10 M population
log fit from 19th Feb </t>
  </si>
  <si>
    <t xml:space="preserve">COVID19 Tests P(t) = b / {d+[( b/Po - d ) ]* exp(-b*t)}
b=0.202, d=1.00E-10, P0=.0058 Limit=2.50 G
 20-Mar, Cases per 10 M population
</t>
  </si>
  <si>
    <t xml:space="preserve">COVID19 Tests P(t) = b / {d+[( b/Po - d ) ]* exp(-b*t)}
b=0.202, d=1.00E-10, P0=.0058 Limit=2.50 G
 21-Mar, Cases per 10 M population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</si>
</sst>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0.0000"/>
    <numFmt numFmtId="165" formatCode="0.000"/>
    <numFmt numFmtId="166" formatCode="0.000E+00"/>
    <numFmt numFmtId="167" formatCode="0.0"/>
    <numFmt numFmtId="168" formatCode="0.0000000000E+00"/>
    <numFmt numFmtId="169" formatCode="0.00000"/>
    <numFmt numFmtId="170" formatCode="0.000000"/>
    <numFmt numFmtId="171" formatCode="0.00000E+00"/>
    <numFmt numFmtId="172" formatCode="ddd\ dd/mm/yyyy"/>
    <numFmt numFmtId="173" formatCode="dd/mm/yyyy\ hh:mm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Symbol"/>
      <family val="1"/>
      <charset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sz val="11"/>
      <color rgb="FF171717"/>
      <name val="Segoe UI"/>
      <family val="2"/>
    </font>
    <font>
      <sz val="11"/>
      <color rgb="FF171717"/>
      <name val="Segoe UI"/>
      <family val="2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rgb="FF000000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4" fontId="18" fillId="33" borderId="10" xfId="0" applyNumberFormat="1" applyFont="1" applyFill="1" applyBorder="1" applyAlignment="1">
      <alignment horizontal="center" wrapText="1"/>
    </xf>
    <xf numFmtId="0" fontId="18" fillId="33" borderId="11" xfId="0" applyFont="1" applyFill="1" applyBorder="1" applyAlignment="1">
      <alignment horizontal="center"/>
    </xf>
    <xf numFmtId="0" fontId="0" fillId="33" borderId="11" xfId="0" applyFill="1" applyBorder="1"/>
    <xf numFmtId="0" fontId="19" fillId="33" borderId="12" xfId="0" applyFont="1" applyFill="1" applyBorder="1" applyAlignment="1">
      <alignment horizontal="center" wrapText="1"/>
    </xf>
    <xf numFmtId="0" fontId="0" fillId="33" borderId="11" xfId="0" applyFill="1" applyBorder="1" applyAlignment="1">
      <alignment wrapText="1"/>
    </xf>
    <xf numFmtId="0" fontId="0" fillId="33" borderId="10" xfId="0" applyFill="1" applyBorder="1" applyAlignment="1">
      <alignment wrapText="1"/>
    </xf>
    <xf numFmtId="0" fontId="0" fillId="33" borderId="13" xfId="0" applyFill="1" applyBorder="1"/>
    <xf numFmtId="164" fontId="0" fillId="0" borderId="14" xfId="0" quotePrefix="1" applyNumberFormat="1" applyBorder="1"/>
    <xf numFmtId="0" fontId="0" fillId="0" borderId="16" xfId="0" applyBorder="1"/>
    <xf numFmtId="1" fontId="0" fillId="0" borderId="0" xfId="0" applyNumberFormat="1"/>
    <xf numFmtId="165" fontId="0" fillId="0" borderId="0" xfId="0" applyNumberFormat="1"/>
    <xf numFmtId="14" fontId="0" fillId="34" borderId="17" xfId="0" applyNumberFormat="1" applyFont="1" applyFill="1" applyBorder="1"/>
    <xf numFmtId="0" fontId="0" fillId="0" borderId="0" xfId="0" applyAlignment="1">
      <alignment wrapText="1"/>
    </xf>
    <xf numFmtId="0" fontId="20" fillId="0" borderId="0" xfId="42"/>
    <xf numFmtId="0" fontId="20" fillId="34" borderId="18" xfId="42" applyFont="1" applyFill="1" applyBorder="1"/>
    <xf numFmtId="14" fontId="21" fillId="0" borderId="0" xfId="0" quotePrefix="1" applyNumberFormat="1" applyFont="1"/>
    <xf numFmtId="0" fontId="0" fillId="0" borderId="0" xfId="0" applyAlignment="1"/>
    <xf numFmtId="2" fontId="0" fillId="0" borderId="0" xfId="0" applyNumberFormat="1"/>
    <xf numFmtId="0" fontId="0" fillId="33" borderId="0" xfId="0" applyFill="1" applyBorder="1"/>
    <xf numFmtId="167" fontId="0" fillId="0" borderId="0" xfId="0" applyNumberFormat="1"/>
    <xf numFmtId="2" fontId="0" fillId="0" borderId="0" xfId="0" applyNumberFormat="1" applyBorder="1"/>
    <xf numFmtId="164" fontId="0" fillId="0" borderId="0" xfId="0" applyNumberFormat="1" applyBorder="1"/>
    <xf numFmtId="0" fontId="0" fillId="0" borderId="0" xfId="0" applyBorder="1"/>
    <xf numFmtId="166" fontId="0" fillId="0" borderId="0" xfId="0" applyNumberFormat="1" applyBorder="1"/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0" fontId="22" fillId="0" borderId="0" xfId="0" applyFont="1" applyAlignment="1">
      <alignment wrapText="1"/>
    </xf>
    <xf numFmtId="0" fontId="14" fillId="35" borderId="0" xfId="0" applyFont="1" applyFill="1" applyAlignment="1">
      <alignment wrapText="1"/>
    </xf>
    <xf numFmtId="0" fontId="14" fillId="0" borderId="0" xfId="0" applyFont="1"/>
    <xf numFmtId="0" fontId="16" fillId="0" borderId="0" xfId="0" applyFont="1"/>
    <xf numFmtId="0" fontId="0" fillId="0" borderId="0" xfId="0" quotePrefix="1"/>
    <xf numFmtId="9" fontId="0" fillId="0" borderId="0" xfId="0" applyNumberFormat="1"/>
    <xf numFmtId="3" fontId="0" fillId="0" borderId="0" xfId="0" applyNumberFormat="1"/>
    <xf numFmtId="0" fontId="0" fillId="0" borderId="18" xfId="0" applyFont="1" applyBorder="1"/>
    <xf numFmtId="165" fontId="0" fillId="0" borderId="0" xfId="0" applyNumberFormat="1" applyBorder="1"/>
    <xf numFmtId="168" fontId="0" fillId="0" borderId="0" xfId="0" applyNumberFormat="1" applyBorder="1"/>
    <xf numFmtId="166" fontId="0" fillId="0" borderId="14" xfId="0" quotePrefix="1" applyNumberFormat="1" applyBorder="1"/>
    <xf numFmtId="0" fontId="23" fillId="36" borderId="0" xfId="0" applyFont="1" applyFill="1" applyAlignment="1">
      <alignment horizontal="left" wrapText="1"/>
    </xf>
    <xf numFmtId="0" fontId="24" fillId="36" borderId="19" xfId="0" applyFont="1" applyFill="1" applyBorder="1" applyAlignment="1">
      <alignment horizontal="left" vertical="top" wrapText="1"/>
    </xf>
    <xf numFmtId="169" fontId="0" fillId="0" borderId="15" xfId="0" applyNumberFormat="1" applyBorder="1"/>
    <xf numFmtId="170" fontId="0" fillId="0" borderId="15" xfId="0" applyNumberFormat="1" applyBorder="1"/>
    <xf numFmtId="11" fontId="0" fillId="0" borderId="0" xfId="0" applyNumberFormat="1"/>
    <xf numFmtId="0" fontId="0" fillId="37" borderId="0" xfId="0" applyFill="1"/>
    <xf numFmtId="11" fontId="0" fillId="37" borderId="0" xfId="0" applyNumberFormat="1" applyFill="1"/>
    <xf numFmtId="0" fontId="16" fillId="37" borderId="0" xfId="0" applyFont="1" applyFill="1"/>
    <xf numFmtId="0" fontId="0" fillId="38" borderId="0" xfId="0" applyFill="1" applyAlignment="1">
      <alignment wrapText="1"/>
    </xf>
    <xf numFmtId="164" fontId="0" fillId="0" borderId="0" xfId="0" applyNumberFormat="1"/>
    <xf numFmtId="0" fontId="0" fillId="0" borderId="0" xfId="0" quotePrefix="1" applyAlignment="1">
      <alignment horizontal="right"/>
    </xf>
    <xf numFmtId="0" fontId="0" fillId="39" borderId="0" xfId="0" applyFill="1" applyAlignment="1">
      <alignment wrapText="1"/>
    </xf>
    <xf numFmtId="171" fontId="0" fillId="0" borderId="0" xfId="0" applyNumberFormat="1"/>
    <xf numFmtId="172" fontId="0" fillId="0" borderId="0" xfId="0" applyNumberFormat="1" applyBorder="1"/>
    <xf numFmtId="14" fontId="0" fillId="40" borderId="0" xfId="0" applyNumberFormat="1" applyFill="1"/>
    <xf numFmtId="0" fontId="0" fillId="40" borderId="0" xfId="0" applyFill="1"/>
    <xf numFmtId="164" fontId="0" fillId="40" borderId="0" xfId="0" applyNumberFormat="1" applyFill="1"/>
    <xf numFmtId="165" fontId="0" fillId="40" borderId="0" xfId="0" applyNumberFormat="1" applyFill="1"/>
    <xf numFmtId="2" fontId="0" fillId="40" borderId="0" xfId="0" applyNumberFormat="1" applyFill="1"/>
    <xf numFmtId="1" fontId="0" fillId="40" borderId="0" xfId="0" applyNumberFormat="1" applyFill="1"/>
    <xf numFmtId="11" fontId="0" fillId="40" borderId="0" xfId="0" applyNumberFormat="1" applyFill="1"/>
    <xf numFmtId="167" fontId="0" fillId="40" borderId="0" xfId="0" applyNumberFormat="1" applyFill="1"/>
    <xf numFmtId="0" fontId="0" fillId="41" borderId="0" xfId="0" applyFill="1"/>
    <xf numFmtId="14" fontId="0" fillId="41" borderId="0" xfId="0" applyNumberFormat="1" applyFill="1"/>
    <xf numFmtId="165" fontId="0" fillId="41" borderId="0" xfId="0" applyNumberFormat="1" applyFill="1"/>
    <xf numFmtId="2" fontId="0" fillId="41" borderId="0" xfId="0" applyNumberFormat="1" applyFill="1"/>
    <xf numFmtId="0" fontId="0" fillId="41" borderId="0" xfId="0" applyFill="1" applyAlignment="1"/>
    <xf numFmtId="0" fontId="0" fillId="33" borderId="0" xfId="0" applyFill="1" applyBorder="1" applyAlignment="1">
      <alignment wrapText="1"/>
    </xf>
    <xf numFmtId="11" fontId="0" fillId="41" borderId="0" xfId="0" applyNumberFormat="1" applyFill="1"/>
    <xf numFmtId="0" fontId="29" fillId="35" borderId="0" xfId="0" applyFont="1" applyFill="1" applyAlignment="1">
      <alignment wrapText="1"/>
    </xf>
    <xf numFmtId="0" fontId="0" fillId="42" borderId="0" xfId="0" applyFill="1" applyAlignment="1">
      <alignment wrapText="1"/>
    </xf>
    <xf numFmtId="1" fontId="0" fillId="0" borderId="0" xfId="0" applyNumberFormat="1" applyFill="1"/>
    <xf numFmtId="165" fontId="0" fillId="0" borderId="0" xfId="0" applyNumberFormat="1" applyFill="1"/>
    <xf numFmtId="11" fontId="0" fillId="0" borderId="0" xfId="0" applyNumberFormat="1" applyFill="1"/>
    <xf numFmtId="0" fontId="22" fillId="39" borderId="0" xfId="0" applyFont="1" applyFill="1" applyAlignment="1">
      <alignment wrapText="1"/>
    </xf>
    <xf numFmtId="0" fontId="22" fillId="42" borderId="0" xfId="0" applyFont="1" applyFill="1" applyAlignment="1">
      <alignment wrapText="1"/>
    </xf>
    <xf numFmtId="0" fontId="30" fillId="0" borderId="0" xfId="0" applyFont="1"/>
    <xf numFmtId="0" fontId="30" fillId="0" borderId="0" xfId="0" applyFont="1" applyAlignment="1">
      <alignment horizontal="right"/>
    </xf>
    <xf numFmtId="0" fontId="30" fillId="0" borderId="0" xfId="0" quotePrefix="1" applyFont="1"/>
    <xf numFmtId="0" fontId="30" fillId="0" borderId="0" xfId="0" quotePrefix="1" applyFont="1" applyAlignment="1">
      <alignment horizontal="right"/>
    </xf>
    <xf numFmtId="0" fontId="29" fillId="43" borderId="0" xfId="0" applyFont="1" applyFill="1" applyAlignment="1">
      <alignment wrapText="1"/>
    </xf>
    <xf numFmtId="0" fontId="17" fillId="42" borderId="0" xfId="0" applyFont="1" applyFill="1" applyAlignment="1">
      <alignment wrapText="1"/>
    </xf>
    <xf numFmtId="173" fontId="0" fillId="0" borderId="0" xfId="0" applyNumberFormat="1"/>
    <xf numFmtId="22" fontId="0" fillId="0" borderId="0" xfId="0" applyNumberFormat="1"/>
    <xf numFmtId="22" fontId="0" fillId="41" borderId="0" xfId="0" applyNumberFormat="1" applyFill="1"/>
    <xf numFmtId="166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3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7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5" formatCode="0.000"/>
    </dxf>
    <dxf>
      <numFmt numFmtId="165" formatCode="0.000"/>
    </dxf>
    <dxf>
      <numFmt numFmtId="1" formatCode="0"/>
    </dxf>
    <dxf>
      <numFmt numFmtId="0" formatCode="General"/>
    </dxf>
    <dxf>
      <numFmt numFmtId="1" formatCode="0"/>
    </dxf>
    <dxf>
      <numFmt numFmtId="1" formatCode="0"/>
      <fill>
        <patternFill patternType="none">
          <fgColor indexed="64"/>
          <bgColor auto="1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0.0"/>
    </dxf>
    <dxf>
      <numFmt numFmtId="0" formatCode="General"/>
    </dxf>
    <dxf>
      <numFmt numFmtId="164" formatCode="0.0000"/>
    </dxf>
    <dxf>
      <numFmt numFmtId="2" formatCode="0.00"/>
    </dxf>
    <dxf>
      <numFmt numFmtId="164" formatCode="0.0000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2.xml"/><Relationship Id="rId13" Type="http://schemas.openxmlformats.org/officeDocument/2006/relationships/chartsheet" Target="chartsheets/sheet11.xml"/><Relationship Id="rId18" Type="http://schemas.openxmlformats.org/officeDocument/2006/relationships/chartsheet" Target="chartsheets/sheet16.xml"/><Relationship Id="rId26" Type="http://schemas.openxmlformats.org/officeDocument/2006/relationships/sharedStrings" Target="sharedStrings.xml"/><Relationship Id="rId3" Type="http://schemas.openxmlformats.org/officeDocument/2006/relationships/chartsheet" Target="chartsheets/sheet2.xml"/><Relationship Id="rId21" Type="http://schemas.openxmlformats.org/officeDocument/2006/relationships/worksheet" Target="worksheets/sheet5.xml"/><Relationship Id="rId7" Type="http://schemas.openxmlformats.org/officeDocument/2006/relationships/chartsheet" Target="chartsheets/sheet6.xml"/><Relationship Id="rId12" Type="http://schemas.openxmlformats.org/officeDocument/2006/relationships/chartsheet" Target="chartsheets/sheet10.xml"/><Relationship Id="rId17" Type="http://schemas.openxmlformats.org/officeDocument/2006/relationships/chartsheet" Target="chartsheets/sheet15.xml"/><Relationship Id="rId25" Type="http://schemas.openxmlformats.org/officeDocument/2006/relationships/styles" Target="styles.xml"/><Relationship Id="rId2" Type="http://schemas.openxmlformats.org/officeDocument/2006/relationships/chartsheet" Target="chartsheets/sheet1.xml"/><Relationship Id="rId16" Type="http://schemas.openxmlformats.org/officeDocument/2006/relationships/chartsheet" Target="chartsheets/sheet14.xml"/><Relationship Id="rId20" Type="http://schemas.openxmlformats.org/officeDocument/2006/relationships/worksheet" Target="worksheets/sheet4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hartsheet" Target="chartsheets/sheet9.xml"/><Relationship Id="rId24" Type="http://schemas.openxmlformats.org/officeDocument/2006/relationships/theme" Target="theme/theme1.xml"/><Relationship Id="rId5" Type="http://schemas.openxmlformats.org/officeDocument/2006/relationships/chartsheet" Target="chartsheets/sheet4.xml"/><Relationship Id="rId15" Type="http://schemas.openxmlformats.org/officeDocument/2006/relationships/chartsheet" Target="chartsheets/sheet13.xml"/><Relationship Id="rId23" Type="http://schemas.openxmlformats.org/officeDocument/2006/relationships/externalLink" Target="externalLinks/externalLink1.xml"/><Relationship Id="rId28" Type="http://schemas.microsoft.com/office/2006/relationships/vbaProject" Target="vbaProject.bin"/><Relationship Id="rId10" Type="http://schemas.openxmlformats.org/officeDocument/2006/relationships/chartsheet" Target="chartsheets/sheet8.xml"/><Relationship Id="rId19" Type="http://schemas.openxmlformats.org/officeDocument/2006/relationships/worksheet" Target="worksheets/sheet3.xml"/><Relationship Id="rId4" Type="http://schemas.openxmlformats.org/officeDocument/2006/relationships/chartsheet" Target="chartsheets/sheet3.xml"/><Relationship Id="rId9" Type="http://schemas.openxmlformats.org/officeDocument/2006/relationships/chartsheet" Target="chartsheets/sheet7.xml"/><Relationship Id="rId14" Type="http://schemas.openxmlformats.org/officeDocument/2006/relationships/chartsheet" Target="chartsheets/sheet12.xml"/><Relationship Id="rId22" Type="http://schemas.openxmlformats.org/officeDocument/2006/relationships/worksheet" Target="worksheets/sheet6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COVID19</a:t>
            </a:r>
            <a:r>
              <a:rPr lang="en-AU" baseline="0"/>
              <a:t> NSW Cases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4770781879081094E-2"/>
          <c:y val="9.5692523094125223E-2"/>
          <c:w val="0.85045843624183781"/>
          <c:h val="0.66675733941375714"/>
        </c:manualLayout>
      </c:layout>
      <c:scatterChart>
        <c:scatterStyle val="lineMarker"/>
        <c:varyColors val="0"/>
        <c:ser>
          <c:idx val="1"/>
          <c:order val="0"/>
          <c:tx>
            <c:v>NSW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  <c:pt idx="56">
                  <c:v>539.60396039603961</c:v>
                </c:pt>
              </c:numCache>
            </c:numRef>
          </c:yVal>
          <c:smooth val="0"/>
        </c:ser>
        <c:ser>
          <c:idx val="0"/>
          <c:order val="1"/>
          <c:tx>
            <c:v>Logistic Prediction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0</c:v>
                </c:pt>
                <c:pt idx="1">
                  <c:v>6.5668371760367735E-3</c:v>
                </c:pt>
                <c:pt idx="2">
                  <c:v>8.0957390525511312E-3</c:v>
                </c:pt>
                <c:pt idx="3">
                  <c:v>9.9806013354093066E-3</c:v>
                </c:pt>
                <c:pt idx="4">
                  <c:v>1.2304298521319826E-2</c:v>
                </c:pt>
                <c:pt idx="5">
                  <c:v>1.5168999614853435E-2</c:v>
                </c:pt>
                <c:pt idx="6">
                  <c:v>1.8700660050355006E-2</c:v>
                </c:pt>
                <c:pt idx="7">
                  <c:v>2.3054559293697274E-2</c:v>
                </c:pt>
                <c:pt idx="8">
                  <c:v>2.8422127508931781E-2</c:v>
                </c:pt>
                <c:pt idx="9">
                  <c:v>3.5039361302685458E-2</c:v>
                </c:pt>
                <c:pt idx="10">
                  <c:v>4.319719835157973E-2</c:v>
                </c:pt>
                <c:pt idx="11">
                  <c:v>5.3254306729860292E-2</c:v>
                </c:pt>
                <c:pt idx="12">
                  <c:v>6.5652850746616656E-2</c:v>
                </c:pt>
                <c:pt idx="13">
                  <c:v>8.0937925702799993E-2</c:v>
                </c:pt>
                <c:pt idx="14">
                  <c:v>9.9781514881455841E-2</c:v>
                </c:pt>
                <c:pt idx="15">
                  <c:v>0.12301202029099387</c:v>
                </c:pt>
                <c:pt idx="16">
                  <c:v>0.1516506627935062</c:v>
                </c:pt>
                <c:pt idx="17">
                  <c:v>0.18695634783076903</c:v>
                </c:pt>
                <c:pt idx="18">
                  <c:v>0.23048096296645523</c:v>
                </c:pt>
                <c:pt idx="19">
                  <c:v>0.28413752876894738</c:v>
                </c:pt>
                <c:pt idx="20">
                  <c:v>0.35028418458564975</c:v>
                </c:pt>
                <c:pt idx="21">
                  <c:v>0.43182767922132692</c:v>
                </c:pt>
                <c:pt idx="22">
                  <c:v>0.53235088231973038</c:v>
                </c:pt>
                <c:pt idx="23">
                  <c:v>0.65626987045110352</c:v>
                </c:pt>
                <c:pt idx="24">
                  <c:v>0.80902741499361897</c:v>
                </c:pt>
                <c:pt idx="25">
                  <c:v>0.99733125800976163</c:v>
                </c:pt>
                <c:pt idx="26">
                  <c:v>1.2294474686826435</c:v>
                </c:pt>
                <c:pt idx="27">
                  <c:v>1.5155614991990152</c:v>
                </c:pt>
                <c:pt idx="28">
                  <c:v>1.8682223906858584</c:v>
                </c:pt>
                <c:pt idx="29">
                  <c:v>2.3028890159186326</c:v>
                </c:pt>
                <c:pt idx="30">
                  <c:v>2.8386013984874459</c:v>
                </c:pt>
                <c:pt idx="31">
                  <c:v>3.4988051421482815</c:v>
                </c:pt>
                <c:pt idx="32">
                  <c:v>4.3123629706140028</c:v>
                </c:pt>
                <c:pt idx="33">
                  <c:v>5.3147944464555765</c:v>
                </c:pt>
                <c:pt idx="34">
                  <c:v>6.5497932188105352</c:v>
                </c:pt>
                <c:pt idx="35">
                  <c:v>8.0710807069577353</c:v>
                </c:pt>
                <c:pt idx="36">
                  <c:v>9.9446659310667442</c:v>
                </c:pt>
                <c:pt idx="37">
                  <c:v>12.25159305691732</c:v>
                </c:pt>
                <c:pt idx="38">
                  <c:v>15.091270653610515</c:v>
                </c:pt>
                <c:pt idx="39">
                  <c:v>18.585488749042639</c:v>
                </c:pt>
                <c:pt idx="40">
                  <c:v>22.88323988485061</c:v>
                </c:pt>
                <c:pt idx="41">
                  <c:v>28.166465839171799</c:v>
                </c:pt>
                <c:pt idx="42">
                  <c:v>34.656848258804871</c:v>
                </c:pt>
                <c:pt idx="43">
                  <c:v>42.623742642982165</c:v>
                </c:pt>
                <c:pt idx="44">
                  <c:v>52.393311376355804</c:v>
                </c:pt>
                <c:pt idx="45">
                  <c:v>64.358829154120798</c:v>
                </c:pt>
                <c:pt idx="46">
                  <c:v>78.991994433349774</c:v>
                </c:pt>
                <c:pt idx="47">
                  <c:v>96.854859051729477</c:v>
                </c:pt>
                <c:pt idx="48">
                  <c:v>118.61165527951668</c:v>
                </c:pt>
                <c:pt idx="49">
                  <c:v>145.03932351777351</c:v>
                </c:pt>
                <c:pt idx="50">
                  <c:v>177.03489820005046</c:v>
                </c:pt>
                <c:pt idx="51">
                  <c:v>215.61708830699396</c:v>
                </c:pt>
                <c:pt idx="52">
                  <c:v>261.91843309590155</c:v>
                </c:pt>
                <c:pt idx="53">
                  <c:v>317.16345006951468</c:v>
                </c:pt>
                <c:pt idx="54">
                  <c:v>382.62748330154653</c:v>
                </c:pt>
                <c:pt idx="55">
                  <c:v>459.57094877467205</c:v>
                </c:pt>
                <c:pt idx="56">
                  <c:v>549.14498726747604</c:v>
                </c:pt>
                <c:pt idx="57">
                  <c:v>652.26789222819855</c:v>
                </c:pt>
                <c:pt idx="58">
                  <c:v>769.47762022529503</c:v>
                </c:pt>
                <c:pt idx="59">
                  <c:v>900.7741053976489</c:v>
                </c:pt>
                <c:pt idx="60">
                  <c:v>1045.4746492538213</c:v>
                </c:pt>
                <c:pt idx="61">
                  <c:v>1202.1134198547247</c:v>
                </c:pt>
                <c:pt idx="62">
                  <c:v>1368.4179465667205</c:v>
                </c:pt>
                <c:pt idx="63">
                  <c:v>1541.3876541979275</c:v>
                </c:pt>
                <c:pt idx="64">
                  <c:v>1717.480925979138</c:v>
                </c:pt>
                <c:pt idx="65">
                  <c:v>1892.8916726070725</c:v>
                </c:pt>
                <c:pt idx="66">
                  <c:v>2063.8721885906225</c:v>
                </c:pt>
                <c:pt idx="67">
                  <c:v>2941.3726307808315</c:v>
                </c:pt>
                <c:pt idx="68">
                  <c:v>3261.7910977495617</c:v>
                </c:pt>
                <c:pt idx="69">
                  <c:v>3346.0064192518171</c:v>
                </c:pt>
                <c:pt idx="70" formatCode="0.00E+00">
                  <c:v>3366.0861109167863</c:v>
                </c:pt>
                <c:pt idx="71" formatCode="0.00E+00">
                  <c:v>3370.7597472822554</c:v>
                </c:pt>
                <c:pt idx="72" formatCode="0.00E+00">
                  <c:v>3371.8414145494571</c:v>
                </c:pt>
                <c:pt idx="73" formatCode="0.00E+00">
                  <c:v>3372.0914272547952</c:v>
                </c:pt>
                <c:pt idx="74" formatCode="0.00E+00">
                  <c:v>3372.1491967496681</c:v>
                </c:pt>
                <c:pt idx="75" formatCode="0.00E+00">
                  <c:v>3372.1625443925723</c:v>
                </c:pt>
                <c:pt idx="76" formatCode="0.00E+00">
                  <c:v>3372.1656283157108</c:v>
                </c:pt>
                <c:pt idx="77" formatCode="0.00E+00">
                  <c:v>3372.1663408419859</c:v>
                </c:pt>
                <c:pt idx="78" formatCode="0.00E+00">
                  <c:v>3372.166505467766</c:v>
                </c:pt>
                <c:pt idx="79" formatCode="0.00E+00">
                  <c:v>3372.1665435037562</c:v>
                </c:pt>
                <c:pt idx="80" formatCode="0.00E+00">
                  <c:v>3372.1665522917879</c:v>
                </c:pt>
                <c:pt idx="81" formatCode="0.00E+00">
                  <c:v>3372.1665543222189</c:v>
                </c:pt>
                <c:pt idx="82" formatCode="0.00E+00">
                  <c:v>3372.1665547913408</c:v>
                </c:pt>
                <c:pt idx="83" formatCode="0.00E+00">
                  <c:v>3372.1665548997289</c:v>
                </c:pt>
                <c:pt idx="84" formatCode="0.00E+00">
                  <c:v>3372.1665549247709</c:v>
                </c:pt>
                <c:pt idx="85" formatCode="0.00E+00">
                  <c:v>3372.1665549305576</c:v>
                </c:pt>
                <c:pt idx="86" formatCode="0.00E+00">
                  <c:v>3372.1665549318946</c:v>
                </c:pt>
                <c:pt idx="87" formatCode="0.00E+00">
                  <c:v>3372.1665549322029</c:v>
                </c:pt>
                <c:pt idx="88" formatCode="0.00E+00">
                  <c:v>3372.1665549322743</c:v>
                </c:pt>
                <c:pt idx="89" formatCode="0.00E+00">
                  <c:v>3372.1665549322911</c:v>
                </c:pt>
                <c:pt idx="90" formatCode="0.00E+00">
                  <c:v>3372.1665549322947</c:v>
                </c:pt>
                <c:pt idx="91" formatCode="0.00E+00">
                  <c:v>3372.1665549322956</c:v>
                </c:pt>
                <c:pt idx="92" formatCode="0.00E+00">
                  <c:v>3372.1665549322956</c:v>
                </c:pt>
                <c:pt idx="93" formatCode="0.00E+00">
                  <c:v>3372.1665549322956</c:v>
                </c:pt>
                <c:pt idx="94" formatCode="0.00E+00">
                  <c:v>3372.1665549322956</c:v>
                </c:pt>
                <c:pt idx="95" formatCode="0.00E+00">
                  <c:v>3372.1665549322956</c:v>
                </c:pt>
                <c:pt idx="96" formatCode="0.00E+00">
                  <c:v>3372.1665549322956</c:v>
                </c:pt>
                <c:pt idx="97" formatCode="0.00E+00">
                  <c:v>3372.1665549322956</c:v>
                </c:pt>
                <c:pt idx="98" formatCode="0.00E+00">
                  <c:v>3372.1665549322956</c:v>
                </c:pt>
                <c:pt idx="99" formatCode="0.00E+00">
                  <c:v>3372.1665549322956</c:v>
                </c:pt>
                <c:pt idx="100" formatCode="0.00E+00">
                  <c:v>3372.1665549322956</c:v>
                </c:pt>
                <c:pt idx="101" formatCode="0.00E+00">
                  <c:v>3372.1665549322956</c:v>
                </c:pt>
                <c:pt idx="102" formatCode="0.00E+00">
                  <c:v>3372.1665549322956</c:v>
                </c:pt>
                <c:pt idx="103" formatCode="0.00E+00">
                  <c:v>3372.1665549322956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420056"/>
        <c:axId val="747420448"/>
      </c:scatterChart>
      <c:valAx>
        <c:axId val="747420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20448"/>
        <c:crosses val="autoZero"/>
        <c:crossBetween val="midCat"/>
      </c:valAx>
      <c:valAx>
        <c:axId val="747420448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20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542621438983967"/>
          <c:y val="0.21857955690483466"/>
          <c:w val="0.18750031493421657"/>
          <c:h val="0.167378369857047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Logistic Equation Asymptote v's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876130895670227E-2"/>
          <c:y val="7.7413138390551917E-2"/>
          <c:w val="0.90261765137958339"/>
          <c:h val="0.7113688647471057"/>
        </c:manualLayout>
      </c:layout>
      <c:scatterChart>
        <c:scatterStyle val="lineMarker"/>
        <c:varyColors val="0"/>
        <c:ser>
          <c:idx val="0"/>
          <c:order val="0"/>
          <c:tx>
            <c:v>NSW Asymptote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myData!$DR$15:$DR$23</c:f>
              <c:numCache>
                <c:formatCode>m/d/yyyy</c:formatCode>
                <c:ptCount val="9"/>
                <c:pt idx="0">
                  <c:v>43903</c:v>
                </c:pt>
                <c:pt idx="1">
                  <c:v>43904</c:v>
                </c:pt>
                <c:pt idx="2">
                  <c:v>43905</c:v>
                </c:pt>
                <c:pt idx="3">
                  <c:v>43906</c:v>
                </c:pt>
                <c:pt idx="4">
                  <c:v>43907</c:v>
                </c:pt>
                <c:pt idx="5">
                  <c:v>43908</c:v>
                </c:pt>
                <c:pt idx="6">
                  <c:v>43908</c:v>
                </c:pt>
                <c:pt idx="7">
                  <c:v>43910</c:v>
                </c:pt>
                <c:pt idx="8">
                  <c:v>43911</c:v>
                </c:pt>
              </c:numCache>
            </c:numRef>
          </c:xVal>
          <c:yVal>
            <c:numRef>
              <c:f>myData!$DM$15:$DM$23</c:f>
              <c:numCache>
                <c:formatCode>General</c:formatCode>
                <c:ptCount val="9"/>
                <c:pt idx="0">
                  <c:v>698.45143014252619</c:v>
                </c:pt>
                <c:pt idx="1">
                  <c:v>542.39562937001722</c:v>
                </c:pt>
                <c:pt idx="2">
                  <c:v>149466.80778825187</c:v>
                </c:pt>
                <c:pt idx="3">
                  <c:v>1903695418.3668838</c:v>
                </c:pt>
                <c:pt idx="4">
                  <c:v>1906532495.6548798</c:v>
                </c:pt>
                <c:pt idx="5">
                  <c:v>2020947810.4226243</c:v>
                </c:pt>
                <c:pt idx="6">
                  <c:v>2020947810.4226243</c:v>
                </c:pt>
                <c:pt idx="7">
                  <c:v>19837162.818940759</c:v>
                </c:pt>
                <c:pt idx="8">
                  <c:v>2724.7105763852951</c:v>
                </c:pt>
              </c:numCache>
            </c:numRef>
          </c:yVal>
          <c:smooth val="0"/>
        </c:ser>
        <c:ser>
          <c:idx val="1"/>
          <c:order val="1"/>
          <c:tx>
            <c:v>Italy Asymptote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myData!$DR$24:$DR$31</c:f>
              <c:numCache>
                <c:formatCode>m/d/yyyy</c:formatCode>
                <c:ptCount val="8"/>
                <c:pt idx="0">
                  <c:v>43904</c:v>
                </c:pt>
                <c:pt idx="1">
                  <c:v>43905</c:v>
                </c:pt>
                <c:pt idx="2">
                  <c:v>43906</c:v>
                </c:pt>
                <c:pt idx="3">
                  <c:v>43907</c:v>
                </c:pt>
                <c:pt idx="4">
                  <c:v>43907</c:v>
                </c:pt>
                <c:pt idx="5">
                  <c:v>43909</c:v>
                </c:pt>
                <c:pt idx="6">
                  <c:v>43910</c:v>
                </c:pt>
                <c:pt idx="7">
                  <c:v>43911</c:v>
                </c:pt>
              </c:numCache>
            </c:numRef>
          </c:xVal>
          <c:yVal>
            <c:numRef>
              <c:f>myData!$DM$24:$DM$31</c:f>
              <c:numCache>
                <c:formatCode>General</c:formatCode>
                <c:ptCount val="8"/>
                <c:pt idx="0">
                  <c:v>32853.312146806733</c:v>
                </c:pt>
                <c:pt idx="1">
                  <c:v>36357.597379060448</c:v>
                </c:pt>
                <c:pt idx="2">
                  <c:v>42656.90071971056</c:v>
                </c:pt>
                <c:pt idx="3">
                  <c:v>44773.432595385282</c:v>
                </c:pt>
                <c:pt idx="4">
                  <c:v>44773.432595385282</c:v>
                </c:pt>
                <c:pt idx="5">
                  <c:v>47251.221157049207</c:v>
                </c:pt>
                <c:pt idx="6">
                  <c:v>55402.511466544704</c:v>
                </c:pt>
                <c:pt idx="7">
                  <c:v>55402.511466544704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417312"/>
        <c:axId val="747422800"/>
      </c:scatterChart>
      <c:valAx>
        <c:axId val="74741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22800"/>
        <c:crosses val="autoZero"/>
        <c:crossBetween val="midCat"/>
      </c:valAx>
      <c:valAx>
        <c:axId val="74742280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1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865946713561977"/>
          <c:y val="0.68402545755862898"/>
          <c:w val="0.12269632761202429"/>
          <c:h val="7.0442483344547085E-2"/>
        </c:manualLayout>
      </c:layout>
      <c:overlay val="0"/>
      <c:spPr>
        <a:solidFill>
          <a:schemeClr val="bg1">
            <a:lumMod val="95000"/>
            <a:alpha val="71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myData!TitleAllSK</c:f>
          <c:strCache>
            <c:ptCount val="1"/>
            <c:pt idx="0">
              <c:v>COVID 19 Least Sq Err Logistic Eqns at Sat 21-Mar-2020, Cases per 10 M population</c:v>
            </c:pt>
          </c:strCache>
        </c:strRef>
      </c:tx>
      <c:layout>
        <c:manualLayout>
          <c:xMode val="edge"/>
          <c:yMode val="edge"/>
          <c:x val="0.26633965954750155"/>
          <c:y val="1.25412548858638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155249501375E-2"/>
          <c:y val="8.8784482050240948E-2"/>
          <c:w val="0.45877135106010902"/>
          <c:h val="0.76714659526682405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95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  <c:pt idx="56">
                  <c:v>539.60396039603961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3.37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0</c:v>
                </c:pt>
                <c:pt idx="1">
                  <c:v>6.5668371760367735E-3</c:v>
                </c:pt>
                <c:pt idx="2">
                  <c:v>8.0957390525511312E-3</c:v>
                </c:pt>
                <c:pt idx="3">
                  <c:v>9.9806013354093066E-3</c:v>
                </c:pt>
                <c:pt idx="4">
                  <c:v>1.2304298521319826E-2</c:v>
                </c:pt>
                <c:pt idx="5">
                  <c:v>1.5168999614853435E-2</c:v>
                </c:pt>
                <c:pt idx="6">
                  <c:v>1.8700660050355006E-2</c:v>
                </c:pt>
                <c:pt idx="7">
                  <c:v>2.3054559293697274E-2</c:v>
                </c:pt>
                <c:pt idx="8">
                  <c:v>2.8422127508931781E-2</c:v>
                </c:pt>
                <c:pt idx="9">
                  <c:v>3.5039361302685458E-2</c:v>
                </c:pt>
                <c:pt idx="10">
                  <c:v>4.319719835157973E-2</c:v>
                </c:pt>
                <c:pt idx="11">
                  <c:v>5.3254306729860292E-2</c:v>
                </c:pt>
                <c:pt idx="12">
                  <c:v>6.5652850746616656E-2</c:v>
                </c:pt>
                <c:pt idx="13">
                  <c:v>8.0937925702799993E-2</c:v>
                </c:pt>
                <c:pt idx="14">
                  <c:v>9.9781514881455841E-2</c:v>
                </c:pt>
                <c:pt idx="15">
                  <c:v>0.12301202029099387</c:v>
                </c:pt>
                <c:pt idx="16">
                  <c:v>0.1516506627935062</c:v>
                </c:pt>
                <c:pt idx="17">
                  <c:v>0.18695634783076903</c:v>
                </c:pt>
                <c:pt idx="18">
                  <c:v>0.23048096296645523</c:v>
                </c:pt>
                <c:pt idx="19">
                  <c:v>0.28413752876894738</c:v>
                </c:pt>
                <c:pt idx="20">
                  <c:v>0.35028418458564975</c:v>
                </c:pt>
                <c:pt idx="21">
                  <c:v>0.43182767922132692</c:v>
                </c:pt>
                <c:pt idx="22">
                  <c:v>0.53235088231973038</c:v>
                </c:pt>
                <c:pt idx="23">
                  <c:v>0.65626987045110352</c:v>
                </c:pt>
                <c:pt idx="24">
                  <c:v>0.80902741499361897</c:v>
                </c:pt>
                <c:pt idx="25">
                  <c:v>0.99733125800976163</c:v>
                </c:pt>
                <c:pt idx="26">
                  <c:v>1.2294474686826435</c:v>
                </c:pt>
                <c:pt idx="27">
                  <c:v>1.5155614991990152</c:v>
                </c:pt>
                <c:pt idx="28">
                  <c:v>1.8682223906858584</c:v>
                </c:pt>
                <c:pt idx="29">
                  <c:v>2.3028890159186326</c:v>
                </c:pt>
                <c:pt idx="30">
                  <c:v>2.8386013984874459</c:v>
                </c:pt>
                <c:pt idx="31">
                  <c:v>3.4988051421482815</c:v>
                </c:pt>
                <c:pt idx="32">
                  <c:v>4.3123629706140028</c:v>
                </c:pt>
                <c:pt idx="33">
                  <c:v>5.3147944464555765</c:v>
                </c:pt>
                <c:pt idx="34">
                  <c:v>6.5497932188105352</c:v>
                </c:pt>
                <c:pt idx="35">
                  <c:v>8.0710807069577353</c:v>
                </c:pt>
                <c:pt idx="36">
                  <c:v>9.9446659310667442</c:v>
                </c:pt>
                <c:pt idx="37">
                  <c:v>12.25159305691732</c:v>
                </c:pt>
                <c:pt idx="38">
                  <c:v>15.091270653610515</c:v>
                </c:pt>
                <c:pt idx="39">
                  <c:v>18.585488749042639</c:v>
                </c:pt>
                <c:pt idx="40">
                  <c:v>22.88323988485061</c:v>
                </c:pt>
                <c:pt idx="41">
                  <c:v>28.166465839171799</c:v>
                </c:pt>
                <c:pt idx="42">
                  <c:v>34.656848258804871</c:v>
                </c:pt>
                <c:pt idx="43">
                  <c:v>42.623742642982165</c:v>
                </c:pt>
                <c:pt idx="44">
                  <c:v>52.393311376355804</c:v>
                </c:pt>
                <c:pt idx="45">
                  <c:v>64.358829154120798</c:v>
                </c:pt>
                <c:pt idx="46">
                  <c:v>78.991994433349774</c:v>
                </c:pt>
                <c:pt idx="47">
                  <c:v>96.854859051729477</c:v>
                </c:pt>
                <c:pt idx="48">
                  <c:v>118.61165527951668</c:v>
                </c:pt>
                <c:pt idx="49">
                  <c:v>145.03932351777351</c:v>
                </c:pt>
                <c:pt idx="50">
                  <c:v>177.03489820005046</c:v>
                </c:pt>
                <c:pt idx="51">
                  <c:v>215.61708830699396</c:v>
                </c:pt>
                <c:pt idx="52">
                  <c:v>261.91843309590155</c:v>
                </c:pt>
                <c:pt idx="53">
                  <c:v>317.16345006951468</c:v>
                </c:pt>
                <c:pt idx="54">
                  <c:v>382.62748330154653</c:v>
                </c:pt>
                <c:pt idx="55">
                  <c:v>459.57094877467205</c:v>
                </c:pt>
                <c:pt idx="56">
                  <c:v>549.14498726747604</c:v>
                </c:pt>
                <c:pt idx="57">
                  <c:v>652.26789222819855</c:v>
                </c:pt>
                <c:pt idx="58">
                  <c:v>769.47762022529503</c:v>
                </c:pt>
                <c:pt idx="59">
                  <c:v>900.7741053976489</c:v>
                </c:pt>
                <c:pt idx="60">
                  <c:v>1045.4746492538213</c:v>
                </c:pt>
                <c:pt idx="61">
                  <c:v>1202.1134198547247</c:v>
                </c:pt>
                <c:pt idx="62">
                  <c:v>1368.4179465667205</c:v>
                </c:pt>
                <c:pt idx="63">
                  <c:v>1541.3876541979275</c:v>
                </c:pt>
                <c:pt idx="64">
                  <c:v>1717.480925979138</c:v>
                </c:pt>
                <c:pt idx="65">
                  <c:v>1892.8916726070725</c:v>
                </c:pt>
                <c:pt idx="66">
                  <c:v>2063.8721885906225</c:v>
                </c:pt>
                <c:pt idx="67">
                  <c:v>2941.3726307808315</c:v>
                </c:pt>
                <c:pt idx="68">
                  <c:v>3261.7910977495617</c:v>
                </c:pt>
                <c:pt idx="69">
                  <c:v>3346.0064192518171</c:v>
                </c:pt>
                <c:pt idx="70" formatCode="0.00E+00">
                  <c:v>3366.0861109167863</c:v>
                </c:pt>
                <c:pt idx="71" formatCode="0.00E+00">
                  <c:v>3370.7597472822554</c:v>
                </c:pt>
                <c:pt idx="72" formatCode="0.00E+00">
                  <c:v>3371.8414145494571</c:v>
                </c:pt>
                <c:pt idx="73" formatCode="0.00E+00">
                  <c:v>3372.0914272547952</c:v>
                </c:pt>
                <c:pt idx="74" formatCode="0.00E+00">
                  <c:v>3372.1491967496681</c:v>
                </c:pt>
                <c:pt idx="75" formatCode="0.00E+00">
                  <c:v>3372.1625443925723</c:v>
                </c:pt>
                <c:pt idx="76" formatCode="0.00E+00">
                  <c:v>3372.1656283157108</c:v>
                </c:pt>
                <c:pt idx="77" formatCode="0.00E+00">
                  <c:v>3372.1663408419859</c:v>
                </c:pt>
                <c:pt idx="78" formatCode="0.00E+00">
                  <c:v>3372.166505467766</c:v>
                </c:pt>
                <c:pt idx="79" formatCode="0.00E+00">
                  <c:v>3372.1665435037562</c:v>
                </c:pt>
                <c:pt idx="80" formatCode="0.00E+00">
                  <c:v>3372.1665522917879</c:v>
                </c:pt>
                <c:pt idx="81" formatCode="0.00E+00">
                  <c:v>3372.1665543222189</c:v>
                </c:pt>
                <c:pt idx="82" formatCode="0.00E+00">
                  <c:v>3372.1665547913408</c:v>
                </c:pt>
                <c:pt idx="83" formatCode="0.00E+00">
                  <c:v>3372.1665548997289</c:v>
                </c:pt>
                <c:pt idx="84" formatCode="0.00E+00">
                  <c:v>3372.1665549247709</c:v>
                </c:pt>
                <c:pt idx="85" formatCode="0.00E+00">
                  <c:v>3372.1665549305576</c:v>
                </c:pt>
                <c:pt idx="86" formatCode="0.00E+00">
                  <c:v>3372.1665549318946</c:v>
                </c:pt>
                <c:pt idx="87" formatCode="0.00E+00">
                  <c:v>3372.1665549322029</c:v>
                </c:pt>
                <c:pt idx="88" formatCode="0.00E+00">
                  <c:v>3372.1665549322743</c:v>
                </c:pt>
                <c:pt idx="89" formatCode="0.00E+00">
                  <c:v>3372.1665549322911</c:v>
                </c:pt>
                <c:pt idx="90" formatCode="0.00E+00">
                  <c:v>3372.1665549322947</c:v>
                </c:pt>
                <c:pt idx="91" formatCode="0.00E+00">
                  <c:v>3372.1665549322956</c:v>
                </c:pt>
                <c:pt idx="92" formatCode="0.00E+00">
                  <c:v>3372.1665549322956</c:v>
                </c:pt>
                <c:pt idx="93" formatCode="0.00E+00">
                  <c:v>3372.1665549322956</c:v>
                </c:pt>
                <c:pt idx="94" formatCode="0.00E+00">
                  <c:v>3372.1665549322956</c:v>
                </c:pt>
                <c:pt idx="95" formatCode="0.00E+00">
                  <c:v>3372.1665549322956</c:v>
                </c:pt>
                <c:pt idx="96" formatCode="0.00E+00">
                  <c:v>3372.1665549322956</c:v>
                </c:pt>
                <c:pt idx="97" formatCode="0.00E+00">
                  <c:v>3372.1665549322956</c:v>
                </c:pt>
                <c:pt idx="98" formatCode="0.00E+00">
                  <c:v>3372.1665549322956</c:v>
                </c:pt>
                <c:pt idx="99" formatCode="0.00E+00">
                  <c:v>3372.1665549322956</c:v>
                </c:pt>
                <c:pt idx="100" formatCode="0.00E+00">
                  <c:v>3372.1665549322956</c:v>
                </c:pt>
                <c:pt idx="101" formatCode="0.00E+00">
                  <c:v>3372.1665549322956</c:v>
                </c:pt>
                <c:pt idx="102" formatCode="0.00E+00">
                  <c:v>3372.1665549322956</c:v>
                </c:pt>
                <c:pt idx="103" formatCode="0.00E+00">
                  <c:v>3372.1665549322956</c:v>
                </c:pt>
              </c:numCache>
            </c:numRef>
          </c:yVal>
          <c:smooth val="0"/>
        </c:ser>
        <c:ser>
          <c:idx val="1"/>
          <c:order val="2"/>
          <c:tx>
            <c:v>Italy Confirmed Cases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2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7778.4946236559144</c:v>
                </c:pt>
                <c:pt idx="51">
                  <c:v>8863.1927212572373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3"/>
          <c:tx>
            <c:strRef>
              <c:f>myData!ItalySeries</c:f>
              <c:strCache>
                <c:ptCount val="1"/>
                <c:pt idx="0">
                  <c:v>Italy Limit 9.17 k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0</c:v>
                </c:pt>
                <c:pt idx="1">
                  <c:v>9.4848129309458962E-2</c:v>
                </c:pt>
                <c:pt idx="2">
                  <c:v>0.12303702881467997</c:v>
                </c:pt>
                <c:pt idx="3">
                  <c:v>0.15960353390056498</c:v>
                </c:pt>
                <c:pt idx="4">
                  <c:v>0.20703732911384501</c:v>
                </c:pt>
                <c:pt idx="5">
                  <c:v>0.26856792369069077</c:v>
                </c:pt>
                <c:pt idx="6">
                  <c:v>0.34838444847319144</c:v>
                </c:pt>
                <c:pt idx="7">
                  <c:v>0.45192072130958377</c:v>
                </c:pt>
                <c:pt idx="8">
                  <c:v>0.58622494071220788</c:v>
                </c:pt>
                <c:pt idx="9">
                  <c:v>0.76043909521700093</c:v>
                </c:pt>
                <c:pt idx="10">
                  <c:v>0.98642058801477062</c:v>
                </c:pt>
                <c:pt idx="11">
                  <c:v>1.2795481614780602</c:v>
                </c:pt>
                <c:pt idx="12">
                  <c:v>1.6597665895543499</c:v>
                </c:pt>
                <c:pt idx="13">
                  <c:v>2.152940584955545</c:v>
                </c:pt>
                <c:pt idx="14">
                  <c:v>2.7926089535781093</c:v>
                </c:pt>
                <c:pt idx="15">
                  <c:v>3.6222564928425882</c:v>
                </c:pt>
                <c:pt idx="16">
                  <c:v>4.6982550582711546</c:v>
                </c:pt>
                <c:pt idx="17">
                  <c:v>6.0936685592242563</c:v>
                </c:pt>
                <c:pt idx="18">
                  <c:v>7.9031717302330025</c:v>
                </c:pt>
                <c:pt idx="19">
                  <c:v>10.249402087293142</c:v>
                </c:pt>
                <c:pt idx="20">
                  <c:v>13.291151547435698</c:v>
                </c:pt>
                <c:pt idx="21">
                  <c:v>17.233911846123949</c:v>
                </c:pt>
                <c:pt idx="22">
                  <c:v>22.343418727763268</c:v>
                </c:pt>
                <c:pt idx="23">
                  <c:v>28.962994980144742</c:v>
                </c:pt>
                <c:pt idx="24">
                  <c:v>37.535669376149336</c:v>
                </c:pt>
                <c:pt idx="25">
                  <c:v>48.632238375033459</c:v>
                </c:pt>
                <c:pt idx="26">
                  <c:v>62.986618608123891</c:v>
                </c:pt>
                <c:pt idx="27">
                  <c:v>81.539967970545888</c:v>
                </c:pt>
                <c:pt idx="28">
                  <c:v>105.49505337240565</c:v>
                </c:pt>
                <c:pt idx="29">
                  <c:v>136.38207937304625</c:v>
                </c:pt>
                <c:pt idx="30">
                  <c:v>176.13644446274736</c:v>
                </c:pt>
                <c:pt idx="31">
                  <c:v>227.18732102934158</c:v>
                </c:pt>
                <c:pt idx="32">
                  <c:v>292.55306909581014</c:v>
                </c:pt>
                <c:pt idx="33">
                  <c:v>375.93464405405427</c:v>
                </c:pt>
                <c:pt idx="34">
                  <c:v>481.79061827176201</c:v>
                </c:pt>
                <c:pt idx="35">
                  <c:v>615.3666661831561</c:v>
                </c:pt>
                <c:pt idx="36">
                  <c:v>782.6386175913741</c:v>
                </c:pt>
                <c:pt idx="37">
                  <c:v>990.11362702360771</c:v>
                </c:pt>
                <c:pt idx="38">
                  <c:v>1244.4243106656154</c:v>
                </c:pt>
                <c:pt idx="39">
                  <c:v>1551.6565317305783</c:v>
                </c:pt>
                <c:pt idx="40">
                  <c:v>1916.388083537779</c:v>
                </c:pt>
                <c:pt idx="41">
                  <c:v>2340.4970299705597</c:v>
                </c:pt>
                <c:pt idx="42">
                  <c:v>2821.9246256487299</c:v>
                </c:pt>
                <c:pt idx="43">
                  <c:v>3353.7152422562399</c:v>
                </c:pt>
                <c:pt idx="44">
                  <c:v>3923.7298077648074</c:v>
                </c:pt>
                <c:pt idx="45">
                  <c:v>4515.3496848267951</c:v>
                </c:pt>
                <c:pt idx="46">
                  <c:v>5109.2172894874357</c:v>
                </c:pt>
                <c:pt idx="47">
                  <c:v>5685.6815343352391</c:v>
                </c:pt>
                <c:pt idx="48">
                  <c:v>6227.3217555963911</c:v>
                </c:pt>
                <c:pt idx="49">
                  <c:v>6720.8894516355031</c:v>
                </c:pt>
                <c:pt idx="50">
                  <c:v>7158.2545879055615</c:v>
                </c:pt>
                <c:pt idx="51">
                  <c:v>7536.3212756396706</c:v>
                </c:pt>
                <c:pt idx="52">
                  <c:v>7856.1846800451958</c:v>
                </c:pt>
                <c:pt idx="53">
                  <c:v>8121.9239063864607</c:v>
                </c:pt>
                <c:pt idx="54">
                  <c:v>8339.3788498405775</c:v>
                </c:pt>
                <c:pt idx="55">
                  <c:v>8515.1279647826468</c:v>
                </c:pt>
                <c:pt idx="56">
                  <c:v>8655.7507790854434</c:v>
                </c:pt>
                <c:pt idx="57">
                  <c:v>8767.3664995718591</c:v>
                </c:pt>
                <c:pt idx="58">
                  <c:v>8855.3943564857818</c:v>
                </c:pt>
                <c:pt idx="59">
                  <c:v>8924.4700097282766</c:v>
                </c:pt>
                <c:pt idx="60">
                  <c:v>8978.4596618514806</c:v>
                </c:pt>
                <c:pt idx="61">
                  <c:v>9020.5276395734909</c:v>
                </c:pt>
                <c:pt idx="62">
                  <c:v>9141.3253336146699</c:v>
                </c:pt>
                <c:pt idx="63">
                  <c:v>9161.1734364105432</c:v>
                </c:pt>
                <c:pt idx="64">
                  <c:v>9164.392686512816</c:v>
                </c:pt>
                <c:pt idx="65">
                  <c:v>9164.9137290587933</c:v>
                </c:pt>
                <c:pt idx="66">
                  <c:v>9164.9980320658979</c:v>
                </c:pt>
                <c:pt idx="67">
                  <c:v>9165.0116712659801</c:v>
                </c:pt>
                <c:pt idx="68">
                  <c:v>9165.0138779027184</c:v>
                </c:pt>
                <c:pt idx="69">
                  <c:v>9165.0142349059588</c:v>
                </c:pt>
                <c:pt idx="70">
                  <c:v>9165.014292664122</c:v>
                </c:pt>
                <c:pt idx="71">
                  <c:v>9165.0143020085907</c:v>
                </c:pt>
                <c:pt idx="72">
                  <c:v>9165.0143035203946</c:v>
                </c:pt>
                <c:pt idx="73">
                  <c:v>9165.0143037649832</c:v>
                </c:pt>
                <c:pt idx="74">
                  <c:v>9165.0143038045535</c:v>
                </c:pt>
                <c:pt idx="75">
                  <c:v>9165.0143038109563</c:v>
                </c:pt>
                <c:pt idx="76">
                  <c:v>9165.0143038119932</c:v>
                </c:pt>
                <c:pt idx="77">
                  <c:v>9165.0143038121605</c:v>
                </c:pt>
                <c:pt idx="78">
                  <c:v>9165.0143038121878</c:v>
                </c:pt>
                <c:pt idx="79">
                  <c:v>9165.0143038121914</c:v>
                </c:pt>
                <c:pt idx="80">
                  <c:v>9165.0143038121932</c:v>
                </c:pt>
                <c:pt idx="81">
                  <c:v>9165.0143038121932</c:v>
                </c:pt>
                <c:pt idx="82">
                  <c:v>9165.0143038121932</c:v>
                </c:pt>
                <c:pt idx="83">
                  <c:v>9165.0143038121932</c:v>
                </c:pt>
                <c:pt idx="84">
                  <c:v>9165.0143038121932</c:v>
                </c:pt>
                <c:pt idx="85">
                  <c:v>9165.0143038121932</c:v>
                </c:pt>
                <c:pt idx="86">
                  <c:v>9165.0143038121932</c:v>
                </c:pt>
                <c:pt idx="87">
                  <c:v>9165.0143038121932</c:v>
                </c:pt>
                <c:pt idx="88">
                  <c:v>9165.0143038121932</c:v>
                </c:pt>
                <c:pt idx="89">
                  <c:v>9165.0143038121932</c:v>
                </c:pt>
                <c:pt idx="90">
                  <c:v>9165.0143038121932</c:v>
                </c:pt>
                <c:pt idx="91">
                  <c:v>9165.0143038121932</c:v>
                </c:pt>
                <c:pt idx="92">
                  <c:v>9165.0143038121932</c:v>
                </c:pt>
                <c:pt idx="93">
                  <c:v>9165.0143038121932</c:v>
                </c:pt>
                <c:pt idx="94">
                  <c:v>9165.0143038121932</c:v>
                </c:pt>
                <c:pt idx="95">
                  <c:v>9165.0143038121932</c:v>
                </c:pt>
                <c:pt idx="96">
                  <c:v>9165.0143038121932</c:v>
                </c:pt>
                <c:pt idx="97">
                  <c:v>9165.0143038121932</c:v>
                </c:pt>
                <c:pt idx="98">
                  <c:v>9165.0143038121932</c:v>
                </c:pt>
              </c:numCache>
            </c:numRef>
          </c:yVal>
          <c:smooth val="0"/>
        </c:ser>
        <c:ser>
          <c:idx val="2"/>
          <c:order val="4"/>
          <c:tx>
            <c:v>SKorea Confirmed Cases</c:v>
          </c:tx>
          <c:spPr>
            <a:ln w="952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myData!SKoreaDates</c:f>
              <c:numCache>
                <c:formatCode>m/d/yyyy</c:formatCode>
                <c:ptCount val="6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</c:numCache>
            </c:numRef>
          </c:xVal>
          <c:yVal>
            <c:numRef>
              <c:f>myData!SKoreaCases</c:f>
              <c:numCache>
                <c:formatCode>0.00</c:formatCode>
                <c:ptCount val="60"/>
                <c:pt idx="0">
                  <c:v>0.19455252918287938</c:v>
                </c:pt>
                <c:pt idx="1">
                  <c:v>0.19455252918287938</c:v>
                </c:pt>
                <c:pt idx="2">
                  <c:v>0.38910505836575876</c:v>
                </c:pt>
                <c:pt idx="3">
                  <c:v>0.38910505836575876</c:v>
                </c:pt>
                <c:pt idx="4">
                  <c:v>0.58365758754863817</c:v>
                </c:pt>
                <c:pt idx="5">
                  <c:v>0.77821011673151752</c:v>
                </c:pt>
                <c:pt idx="6">
                  <c:v>0.77821011673151752</c:v>
                </c:pt>
                <c:pt idx="7">
                  <c:v>0.77821011673151752</c:v>
                </c:pt>
                <c:pt idx="8">
                  <c:v>0.77821011673151752</c:v>
                </c:pt>
                <c:pt idx="9">
                  <c:v>2.1400778210116731</c:v>
                </c:pt>
                <c:pt idx="10">
                  <c:v>2.3346303501945527</c:v>
                </c:pt>
                <c:pt idx="11">
                  <c:v>2.918287937743191</c:v>
                </c:pt>
                <c:pt idx="12">
                  <c:v>2.918287937743191</c:v>
                </c:pt>
                <c:pt idx="13">
                  <c:v>3.1128404669260701</c:v>
                </c:pt>
                <c:pt idx="14">
                  <c:v>3.6964980544747084</c:v>
                </c:pt>
                <c:pt idx="15">
                  <c:v>4.4747081712062258</c:v>
                </c:pt>
                <c:pt idx="16">
                  <c:v>4.6692607003891053</c:v>
                </c:pt>
                <c:pt idx="17">
                  <c:v>4.6692607003891053</c:v>
                </c:pt>
                <c:pt idx="18">
                  <c:v>4.8638132295719849</c:v>
                </c:pt>
                <c:pt idx="19">
                  <c:v>5.2529182879377432</c:v>
                </c:pt>
                <c:pt idx="20">
                  <c:v>5.4474708171206228</c:v>
                </c:pt>
                <c:pt idx="21">
                  <c:v>5.4474708171206228</c:v>
                </c:pt>
                <c:pt idx="22">
                  <c:v>5.4474708171206228</c:v>
                </c:pt>
                <c:pt idx="23">
                  <c:v>5.4474708171206228</c:v>
                </c:pt>
                <c:pt idx="24">
                  <c:v>5.4474708171206228</c:v>
                </c:pt>
                <c:pt idx="25">
                  <c:v>5.6420233463035023</c:v>
                </c:pt>
                <c:pt idx="26">
                  <c:v>5.8365758754863819</c:v>
                </c:pt>
                <c:pt idx="27">
                  <c:v>6.0311284046692615</c:v>
                </c:pt>
                <c:pt idx="28">
                  <c:v>6.0311284046692615</c:v>
                </c:pt>
                <c:pt idx="29">
                  <c:v>20.233463035019458</c:v>
                </c:pt>
                <c:pt idx="30">
                  <c:v>39.688715953307394</c:v>
                </c:pt>
                <c:pt idx="31">
                  <c:v>84.241245136186777</c:v>
                </c:pt>
                <c:pt idx="32">
                  <c:v>117.1206225680934</c:v>
                </c:pt>
                <c:pt idx="33">
                  <c:v>162.06225680933852</c:v>
                </c:pt>
                <c:pt idx="34">
                  <c:v>190.07782101167317</c:v>
                </c:pt>
                <c:pt idx="35">
                  <c:v>245.33073929961091</c:v>
                </c:pt>
                <c:pt idx="36">
                  <c:v>343.579766536965</c:v>
                </c:pt>
                <c:pt idx="37">
                  <c:v>454.66926070038915</c:v>
                </c:pt>
                <c:pt idx="38">
                  <c:v>612.84046692607012</c:v>
                </c:pt>
                <c:pt idx="39">
                  <c:v>726.84824902723744</c:v>
                </c:pt>
                <c:pt idx="40">
                  <c:v>843.38521400778211</c:v>
                </c:pt>
                <c:pt idx="41">
                  <c:v>1008.9494163424125</c:v>
                </c:pt>
                <c:pt idx="42">
                  <c:v>1093.5797665369651</c:v>
                </c:pt>
                <c:pt idx="43">
                  <c:v>1184.4357976653698</c:v>
                </c:pt>
                <c:pt idx="44">
                  <c:v>1282.6848249027239</c:v>
                </c:pt>
                <c:pt idx="45">
                  <c:v>1369.8443579766538</c:v>
                </c:pt>
                <c:pt idx="46">
                  <c:v>1422.95719844358</c:v>
                </c:pt>
                <c:pt idx="47">
                  <c:v>1454.8638132295721</c:v>
                </c:pt>
                <c:pt idx="48">
                  <c:v>1461.6731517509729</c:v>
                </c:pt>
                <c:pt idx="49">
                  <c:v>1508.7548638132296</c:v>
                </c:pt>
                <c:pt idx="50">
                  <c:v>1530.933852140078</c:v>
                </c:pt>
                <c:pt idx="51">
                  <c:v>1552.3346303501946</c:v>
                </c:pt>
                <c:pt idx="52">
                  <c:v>1573.1517509727628</c:v>
                </c:pt>
                <c:pt idx="53">
                  <c:v>1587.9377431906616</c:v>
                </c:pt>
                <c:pt idx="54">
                  <c:v>1602.3346303501946</c:v>
                </c:pt>
                <c:pt idx="55">
                  <c:v>1618.6770428015566</c:v>
                </c:pt>
                <c:pt idx="56">
                  <c:v>1636.7704280155642</c:v>
                </c:pt>
                <c:pt idx="57">
                  <c:v>1666.342412451362</c:v>
                </c:pt>
                <c:pt idx="58">
                  <c:v>1683.2684824902724</c:v>
                </c:pt>
                <c:pt idx="59">
                  <c:v>1711.8677042801557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myData!SKoreaSeries</c:f>
              <c:strCache>
                <c:ptCount val="1"/>
                <c:pt idx="0">
                  <c:v>Skorea Limit 1.62 k fr 19th Feb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myData!SKoreaLogiDates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myData!SKoreaLogi</c:f>
              <c:numCache>
                <c:formatCode>0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0.0">
                  <c:v>0</c:v>
                </c:pt>
                <c:pt idx="20" formatCode="0.0">
                  <c:v>0</c:v>
                </c:pt>
                <c:pt idx="21" formatCode="0.0">
                  <c:v>0</c:v>
                </c:pt>
                <c:pt idx="22" formatCode="0.0">
                  <c:v>0</c:v>
                </c:pt>
                <c:pt idx="23" formatCode="0.0">
                  <c:v>0</c:v>
                </c:pt>
                <c:pt idx="24" formatCode="0.0">
                  <c:v>0</c:v>
                </c:pt>
                <c:pt idx="25" formatCode="0.0">
                  <c:v>0</c:v>
                </c:pt>
                <c:pt idx="26" formatCode="0.0">
                  <c:v>0</c:v>
                </c:pt>
                <c:pt idx="27" formatCode="0.0">
                  <c:v>0</c:v>
                </c:pt>
                <c:pt idx="28" formatCode="0.0">
                  <c:v>33.97208078123537</c:v>
                </c:pt>
                <c:pt idx="29" formatCode="0.0">
                  <c:v>46.672398108713708</c:v>
                </c:pt>
                <c:pt idx="30" formatCode="0.0">
                  <c:v>63.929121944181304</c:v>
                </c:pt>
                <c:pt idx="31" formatCode="0.0">
                  <c:v>87.212365730357178</c:v>
                </c:pt>
                <c:pt idx="32" formatCode="0.0">
                  <c:v>118.33002173837721</c:v>
                </c:pt>
                <c:pt idx="33" formatCode="0.0">
                  <c:v>159.3948841343192</c:v>
                </c:pt>
                <c:pt idx="34" formatCode="0.0">
                  <c:v>212.69037227468675</c:v>
                </c:pt>
                <c:pt idx="35" formatCode="0.0">
                  <c:v>280.38167601959327</c:v>
                </c:pt>
                <c:pt idx="36" formatCode="0.0">
                  <c:v>364.03804388434719</c:v>
                </c:pt>
                <c:pt idx="37" formatCode="0.0">
                  <c:v>463.99994047207946</c:v>
                </c:pt>
                <c:pt idx="38" formatCode="0.0">
                  <c:v>578.74768820094698</c:v>
                </c:pt>
                <c:pt idx="39" formatCode="0.0">
                  <c:v>704.55586369342927</c:v>
                </c:pt>
                <c:pt idx="40" formatCode="0.0">
                  <c:v>835.73163340861117</c:v>
                </c:pt>
                <c:pt idx="41" formatCode="0.0">
                  <c:v>965.53066224241161</c:v>
                </c:pt>
                <c:pt idx="42" formatCode="0.0">
                  <c:v>1087.4843074954108</c:v>
                </c:pt>
                <c:pt idx="43" formatCode="0.0">
                  <c:v>1196.6159491596554</c:v>
                </c:pt>
                <c:pt idx="44" formatCode="0.0">
                  <c:v>1290.0955274486973</c:v>
                </c:pt>
                <c:pt idx="45" formatCode="0.0">
                  <c:v>1367.2153588108299</c:v>
                </c:pt>
                <c:pt idx="46" formatCode="0.0">
                  <c:v>1428.8905272208078</c:v>
                </c:pt>
                <c:pt idx="47" formatCode="0.0">
                  <c:v>1476.9989120513794</c:v>
                </c:pt>
                <c:pt idx="48" formatCode="0.0">
                  <c:v>1513.7997262165291</c:v>
                </c:pt>
                <c:pt idx="49" formatCode="0.0">
                  <c:v>1541.532747953094</c:v>
                </c:pt>
                <c:pt idx="50" formatCode="0.0">
                  <c:v>1562.1975817268885</c:v>
                </c:pt>
                <c:pt idx="51" formatCode="0.0">
                  <c:v>1577.4664368378792</c:v>
                </c:pt>
                <c:pt idx="52" formatCode="0.0">
                  <c:v>1588.6781926989806</c:v>
                </c:pt>
                <c:pt idx="53" formatCode="0.0">
                  <c:v>1596.8732337121558</c:v>
                </c:pt>
                <c:pt idx="54" formatCode="0.0">
                  <c:v>1602.843221289211</c:v>
                </c:pt>
                <c:pt idx="55" formatCode="0.0">
                  <c:v>1607.1816767544872</c:v>
                </c:pt>
                <c:pt idx="56" formatCode="0.0">
                  <c:v>1610.3288878092474</c:v>
                </c:pt>
                <c:pt idx="57" formatCode="0.0">
                  <c:v>1612.6090049613429</c:v>
                </c:pt>
                <c:pt idx="58" formatCode="0.0">
                  <c:v>1614.2593816556334</c:v>
                </c:pt>
                <c:pt idx="59" formatCode="0.0">
                  <c:v>1615.453137610544</c:v>
                </c:pt>
                <c:pt idx="60" formatCode="0.0">
                  <c:v>1616.3161871787565</c:v>
                </c:pt>
                <c:pt idx="61" formatCode="0.0">
                  <c:v>1616.9399255265625</c:v>
                </c:pt>
                <c:pt idx="62" formatCode="0.0">
                  <c:v>1617.3905950832939</c:v>
                </c:pt>
                <c:pt idx="63" formatCode="0.0">
                  <c:v>1617.7161571865997</c:v>
                </c:pt>
                <c:pt idx="64" formatCode="0.0">
                  <c:v>1617.9513107507994</c:v>
                </c:pt>
                <c:pt idx="65" formatCode="0.0">
                  <c:v>1618.1211458547045</c:v>
                </c:pt>
                <c:pt idx="66" formatCode="0.0">
                  <c:v>1618.2437974353638</c:v>
                </c:pt>
                <c:pt idx="67" formatCode="0.0">
                  <c:v>1618.3323695518145</c:v>
                </c:pt>
                <c:pt idx="68" formatCode="0.0">
                  <c:v>1618.3963290637828</c:v>
                </c:pt>
                <c:pt idx="69" formatCode="0.0">
                  <c:v>1618.4425141633185</c:v>
                </c:pt>
                <c:pt idx="70" formatCode="0.0">
                  <c:v>1618.5502261155125</c:v>
                </c:pt>
                <c:pt idx="71" formatCode="0.0">
                  <c:v>1618.5612482588517</c:v>
                </c:pt>
                <c:pt idx="72" formatCode="0.0">
                  <c:v>1618.5623760783844</c:v>
                </c:pt>
                <c:pt idx="73" formatCode="0.0">
                  <c:v>1618.5624914795626</c:v>
                </c:pt>
                <c:pt idx="74" formatCode="0.0">
                  <c:v>1618.5625032876778</c:v>
                </c:pt>
                <c:pt idx="75" formatCode="0.0">
                  <c:v>1618.5625044959111</c:v>
                </c:pt>
                <c:pt idx="76" formatCode="0.0">
                  <c:v>1618.5625046195405</c:v>
                </c:pt>
                <c:pt idx="77" formatCode="0.0">
                  <c:v>1618.5625046321907</c:v>
                </c:pt>
                <c:pt idx="78" formatCode="0.0">
                  <c:v>1618.5625046334847</c:v>
                </c:pt>
                <c:pt idx="79" formatCode="0.0">
                  <c:v>1618.5625046336172</c:v>
                </c:pt>
                <c:pt idx="80" formatCode="0.0">
                  <c:v>1618.5625046336306</c:v>
                </c:pt>
                <c:pt idx="81" formatCode="0.0">
                  <c:v>1618.562504633632</c:v>
                </c:pt>
                <c:pt idx="82" formatCode="0.0">
                  <c:v>1618.5625046336322</c:v>
                </c:pt>
                <c:pt idx="83" formatCode="0.0">
                  <c:v>1618.5625046336322</c:v>
                </c:pt>
                <c:pt idx="84" formatCode="0.0">
                  <c:v>1618.5625046336322</c:v>
                </c:pt>
                <c:pt idx="85" formatCode="0.0">
                  <c:v>1618.5625046336322</c:v>
                </c:pt>
                <c:pt idx="86" formatCode="0.0">
                  <c:v>1618.5625046336322</c:v>
                </c:pt>
                <c:pt idx="87" formatCode="0.0">
                  <c:v>1618.5625046336322</c:v>
                </c:pt>
                <c:pt idx="88" formatCode="0.0">
                  <c:v>1618.5625046336322</c:v>
                </c:pt>
                <c:pt idx="89" formatCode="0.0">
                  <c:v>1618.5625046336322</c:v>
                </c:pt>
                <c:pt idx="90" formatCode="0.0">
                  <c:v>1618.5625046336322</c:v>
                </c:pt>
                <c:pt idx="91" formatCode="0.0">
                  <c:v>1618.5625046336322</c:v>
                </c:pt>
                <c:pt idx="92" formatCode="0.0">
                  <c:v>1618.5625046336322</c:v>
                </c:pt>
                <c:pt idx="93" formatCode="0.0">
                  <c:v>1618.5625046336322</c:v>
                </c:pt>
                <c:pt idx="94" formatCode="0.0">
                  <c:v>1618.5625046336322</c:v>
                </c:pt>
                <c:pt idx="95" formatCode="0.0">
                  <c:v>1618.5625046336322</c:v>
                </c:pt>
                <c:pt idx="96" formatCode="0.0">
                  <c:v>1618.5625046336322</c:v>
                </c:pt>
                <c:pt idx="97" formatCode="0.0">
                  <c:v>1618.5625046336322</c:v>
                </c:pt>
                <c:pt idx="98" formatCode="0.0">
                  <c:v>1618.5625046336322</c:v>
                </c:pt>
                <c:pt idx="99" formatCode="0.0">
                  <c:v>1618.5625046336322</c:v>
                </c:pt>
                <c:pt idx="100" formatCode="0.0">
                  <c:v>1618.5625046336322</c:v>
                </c:pt>
                <c:pt idx="101" formatCode="0.0">
                  <c:v>1618.5625046336322</c:v>
                </c:pt>
                <c:pt idx="102" formatCode="0.0">
                  <c:v>1618.5625046336322</c:v>
                </c:pt>
                <c:pt idx="103" formatCode="0.0">
                  <c:v>1618.5625046336322</c:v>
                </c:pt>
                <c:pt idx="104" formatCode="0.0">
                  <c:v>1618.5625046336322</c:v>
                </c:pt>
                <c:pt idx="105" formatCode="0.0">
                  <c:v>1618.5625046336322</c:v>
                </c:pt>
                <c:pt idx="106" formatCode="0.0">
                  <c:v>1618.5625046336322</c:v>
                </c:pt>
              </c:numCache>
            </c:numRef>
          </c:yVal>
          <c:smooth val="0"/>
        </c:ser>
        <c:ser>
          <c:idx val="10"/>
          <c:order val="6"/>
          <c:tx>
            <c:v>Au Cases</c:v>
          </c:tx>
          <c:spPr>
            <a:ln w="127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diamond"/>
            <c:size val="3"/>
            <c:spPr>
              <a:noFill/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1.5770383220312254</c:v>
                </c:pt>
                <c:pt idx="2">
                  <c:v>1.9712979025390318</c:v>
                </c:pt>
                <c:pt idx="3">
                  <c:v>1.9712979025390318</c:v>
                </c:pt>
                <c:pt idx="4">
                  <c:v>2.365557483046838</c:v>
                </c:pt>
                <c:pt idx="5">
                  <c:v>3.548336224570257</c:v>
                </c:pt>
                <c:pt idx="6">
                  <c:v>3.548336224570257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4.731114966093676</c:v>
                </c:pt>
                <c:pt idx="10">
                  <c:v>5.1253745466014822</c:v>
                </c:pt>
                <c:pt idx="11">
                  <c:v>5.1253745466014822</c:v>
                </c:pt>
                <c:pt idx="12">
                  <c:v>5.5196341271092884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5.9138937076170954</c:v>
                </c:pt>
                <c:pt idx="35">
                  <c:v>9.856489512695159</c:v>
                </c:pt>
                <c:pt idx="36">
                  <c:v>10.645008673710771</c:v>
                </c:pt>
                <c:pt idx="37">
                  <c:v>11.827787415234191</c:v>
                </c:pt>
                <c:pt idx="38">
                  <c:v>15.376123639804447</c:v>
                </c:pt>
                <c:pt idx="39">
                  <c:v>20.501498186405929</c:v>
                </c:pt>
                <c:pt idx="40">
                  <c:v>21.68427692792935</c:v>
                </c:pt>
                <c:pt idx="41">
                  <c:v>23.655574830468382</c:v>
                </c:pt>
                <c:pt idx="42">
                  <c:v>24.838353571991799</c:v>
                </c:pt>
                <c:pt idx="43">
                  <c:v>29.963728118593281</c:v>
                </c:pt>
                <c:pt idx="44">
                  <c:v>35.87762182621038</c:v>
                </c:pt>
                <c:pt idx="45">
                  <c:v>42.185775114335279</c:v>
                </c:pt>
                <c:pt idx="46">
                  <c:v>50.465226304999213</c:v>
                </c:pt>
                <c:pt idx="47">
                  <c:v>57.167639173631919</c:v>
                </c:pt>
                <c:pt idx="48">
                  <c:v>78.851916101561272</c:v>
                </c:pt>
                <c:pt idx="49">
                  <c:v>98.95915470745939</c:v>
                </c:pt>
                <c:pt idx="50">
                  <c:v>124.58602744046681</c:v>
                </c:pt>
                <c:pt idx="51">
                  <c:v>148.635861851443</c:v>
                </c:pt>
                <c:pt idx="52">
                  <c:v>179.78236871155968</c:v>
                </c:pt>
                <c:pt idx="53">
                  <c:v>223.93944172843399</c:v>
                </c:pt>
                <c:pt idx="54">
                  <c:v>279.92430216054248</c:v>
                </c:pt>
                <c:pt idx="55">
                  <c:v>345.76565210534613</c:v>
                </c:pt>
                <c:pt idx="56">
                  <c:v>423.04052988487621</c:v>
                </c:pt>
              </c:numCache>
            </c:numRef>
          </c:yVal>
          <c:smooth val="0"/>
        </c:ser>
        <c:ser>
          <c:idx val="9"/>
          <c:order val="7"/>
          <c:tx>
            <c:strRef>
              <c:f>myData!AuSeries</c:f>
              <c:strCache>
                <c:ptCount val="1"/>
                <c:pt idx="0">
                  <c:v>Australia Limit 81.4 M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myData!AuLogiDates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4"/>
                <c:pt idx="0">
                  <c:v>4.001834795999977E-3</c:v>
                </c:pt>
                <c:pt idx="1">
                  <c:v>4.9196740007116952E-3</c:v>
                </c:pt>
                <c:pt idx="2">
                  <c:v>6.048023845813994E-3</c:v>
                </c:pt>
                <c:pt idx="3">
                  <c:v>7.4351659142713198E-3</c:v>
                </c:pt>
                <c:pt idx="4">
                  <c:v>9.1404553920183401E-3</c:v>
                </c:pt>
                <c:pt idx="5">
                  <c:v>1.1236860849696837E-2</c:v>
                </c:pt>
                <c:pt idx="6">
                  <c:v>1.3814086535006024E-2</c:v>
                </c:pt>
                <c:pt idx="7">
                  <c:v>1.6982410777152023E-2</c:v>
                </c:pt>
                <c:pt idx="8">
                  <c:v>2.0877404746996477E-2</c:v>
                </c:pt>
                <c:pt idx="9">
                  <c:v>2.5665733486528199E-2</c:v>
                </c:pt>
                <c:pt idx="10">
                  <c:v>3.1552287431098301E-2</c:v>
                </c:pt>
                <c:pt idx="11">
                  <c:v>3.8788949579044392E-2</c:v>
                </c:pt>
                <c:pt idx="12">
                  <c:v>4.7685373451943111E-2</c:v>
                </c:pt>
                <c:pt idx="13">
                  <c:v>5.8622233029552141E-2</c:v>
                </c:pt>
                <c:pt idx="14">
                  <c:v>7.2067511618181382E-2</c:v>
                </c:pt>
                <c:pt idx="15">
                  <c:v>8.8596526645816395E-2</c:v>
                </c:pt>
                <c:pt idx="16">
                  <c:v>0.10891654723592653</c:v>
                </c:pt>
                <c:pt idx="17">
                  <c:v>0.13389705793479745</c:v>
                </c:pt>
                <c:pt idx="18">
                  <c:v>0.16460696356355856</c:v>
                </c:pt>
                <c:pt idx="19">
                  <c:v>0.20236032717361774</c:v>
                </c:pt>
                <c:pt idx="20">
                  <c:v>0.24877259821177924</c:v>
                </c:pt>
                <c:pt idx="21">
                  <c:v>0.30582973687253279</c:v>
                </c:pt>
                <c:pt idx="22">
                  <c:v>0.37597319243683186</c:v>
                </c:pt>
                <c:pt idx="23">
                  <c:v>0.46220437178129997</c:v>
                </c:pt>
                <c:pt idx="24">
                  <c:v>0.56821306821693096</c:v>
                </c:pt>
                <c:pt idx="25">
                  <c:v>0.69853534606730894</c:v>
                </c:pt>
                <c:pt idx="26">
                  <c:v>0.85874763679305799</c:v>
                </c:pt>
                <c:pt idx="27">
                  <c:v>1.055705351943278</c:v>
                </c:pt>
                <c:pt idx="28">
                  <c:v>1.2978362230670493</c:v>
                </c:pt>
                <c:pt idx="29">
                  <c:v>1.595500920456117</c:v>
                </c:pt>
                <c:pt idx="30">
                  <c:v>1.9614363814147033</c:v>
                </c:pt>
                <c:pt idx="31">
                  <c:v>2.4113008178466684</c:v>
                </c:pt>
                <c:pt idx="32">
                  <c:v>2.9643437237486605</c:v>
                </c:pt>
                <c:pt idx="33">
                  <c:v>3.6442295518665495</c:v>
                </c:pt>
                <c:pt idx="34">
                  <c:v>4.4800503041751645</c:v>
                </c:pt>
                <c:pt idx="35">
                  <c:v>5.5075703643307676</c:v>
                </c:pt>
                <c:pt idx="36">
                  <c:v>6.7707568377026259</c:v>
                </c:pt>
                <c:pt idx="37">
                  <c:v>8.3236608812212545</c:v>
                </c:pt>
                <c:pt idx="38">
                  <c:v>10.232730523811119</c:v>
                </c:pt>
                <c:pt idx="39">
                  <c:v>12.579653941212927</c:v>
                </c:pt>
                <c:pt idx="40">
                  <c:v>15.464854846526064</c:v>
                </c:pt>
                <c:pt idx="41">
                  <c:v>19.011789560966641</c:v>
                </c:pt>
                <c:pt idx="42">
                  <c:v>23.372229632006377</c:v>
                </c:pt>
                <c:pt idx="43">
                  <c:v>28.732756035876946</c:v>
                </c:pt>
                <c:pt idx="44">
                  <c:v>35.322742842594572</c:v>
                </c:pt>
                <c:pt idx="45">
                  <c:v>43.424171952100401</c:v>
                </c:pt>
                <c:pt idx="46">
                  <c:v>53.383698856299098</c:v>
                </c:pt>
                <c:pt idx="47">
                  <c:v>65.627485695330421</c:v>
                </c:pt>
                <c:pt idx="48">
                  <c:v>80.679436277356686</c:v>
                </c:pt>
                <c:pt idx="49">
                  <c:v>99.183613284025824</c:v>
                </c:pt>
                <c:pt idx="50">
                  <c:v>121.9317968140261</c:v>
                </c:pt>
                <c:pt idx="51">
                  <c:v>149.89736337703505</c:v>
                </c:pt>
                <c:pt idx="52">
                  <c:v>184.27693484571105</c:v>
                </c:pt>
                <c:pt idx="53">
                  <c:v>226.54157926494975</c:v>
                </c:pt>
                <c:pt idx="54">
                  <c:v>278.49975401421847</c:v>
                </c:pt>
                <c:pt idx="55">
                  <c:v>342.3746840827896</c:v>
                </c:pt>
                <c:pt idx="56">
                  <c:v>420.89948560855566</c:v>
                </c:pt>
                <c:pt idx="57">
                  <c:v>517.43410371811296</c:v>
                </c:pt>
                <c:pt idx="58">
                  <c:v>636.1090664878709</c:v>
                </c:pt>
                <c:pt idx="59">
                  <c:v>782.00220332534184</c:v>
                </c:pt>
                <c:pt idx="60">
                  <c:v>961.35588513604432</c:v>
                </c:pt>
                <c:pt idx="61">
                  <c:v>1181.8440753342218</c:v>
                </c:pt>
                <c:pt idx="62">
                  <c:v>1452.9006087899759</c:v>
                </c:pt>
                <c:pt idx="63">
                  <c:v>1786.1227306598844</c:v>
                </c:pt>
                <c:pt idx="64">
                  <c:v>2195.7671397358358</c:v>
                </c:pt>
                <c:pt idx="65">
                  <c:v>2699.3597276148585</c:v>
                </c:pt>
                <c:pt idx="66">
                  <c:v>3318.4450525186335</c:v>
                </c:pt>
                <c:pt idx="67">
                  <c:v>14080.478014488101</c:v>
                </c:pt>
                <c:pt idx="68">
                  <c:v>59719.203690933333</c:v>
                </c:pt>
                <c:pt idx="69">
                  <c:v>252826.18832696462</c:v>
                </c:pt>
                <c:pt idx="70" formatCode="0.00E+00">
                  <c:v>1062207.3421253909</c:v>
                </c:pt>
                <c:pt idx="71" formatCode="0.00E+00">
                  <c:v>4324617.0653958321</c:v>
                </c:pt>
                <c:pt idx="72" formatCode="0.00E+00">
                  <c:v>15654764.107485486</c:v>
                </c:pt>
                <c:pt idx="73" formatCode="0.00E+00">
                  <c:v>40913914.11015825</c:v>
                </c:pt>
                <c:pt idx="74" formatCode="0.00E+00">
                  <c:v>66013334.181886084</c:v>
                </c:pt>
                <c:pt idx="75" formatCode="0.00E+00">
                  <c:v>77168995.464638099</c:v>
                </c:pt>
                <c:pt idx="76" formatCode="0.00E+00">
                  <c:v>80369471.486134887</c:v>
                </c:pt>
                <c:pt idx="77" formatCode="0.00E+00">
                  <c:v>81162681.027903005</c:v>
                </c:pt>
                <c:pt idx="78" formatCode="0.00E+00">
                  <c:v>81351882.38114959</c:v>
                </c:pt>
                <c:pt idx="79" formatCode="0.00E+00">
                  <c:v>81396595.391286746</c:v>
                </c:pt>
                <c:pt idx="80" formatCode="0.00E+00">
                  <c:v>81407138.983679876</c:v>
                </c:pt>
                <c:pt idx="81" formatCode="0.00E+00">
                  <c:v>81409623.935262606</c:v>
                </c:pt>
                <c:pt idx="82" formatCode="0.00E+00">
                  <c:v>81410209.525902465</c:v>
                </c:pt>
                <c:pt idx="83" formatCode="0.00E+00">
                  <c:v>81410347.519139007</c:v>
                </c:pt>
                <c:pt idx="84" formatCode="0.00E+00">
                  <c:v>81410380.036742032</c:v>
                </c:pt>
                <c:pt idx="85" formatCode="0.00E+00">
                  <c:v>81410387.699384362</c:v>
                </c:pt>
                <c:pt idx="86" formatCode="0.00E+00">
                  <c:v>81410389.505054504</c:v>
                </c:pt>
                <c:pt idx="87" formatCode="0.00E+00">
                  <c:v>81410389.930553213</c:v>
                </c:pt>
                <c:pt idx="88" formatCode="0.00E+00">
                  <c:v>81410390.030820221</c:v>
                </c:pt>
                <c:pt idx="89" formatCode="0.00E+00">
                  <c:v>81410390.05444774</c:v>
                </c:pt>
                <c:pt idx="90" formatCode="0.00E+00">
                  <c:v>81410390.060015455</c:v>
                </c:pt>
                <c:pt idx="91" formatCode="0.00E+00">
                  <c:v>81410390.061327457</c:v>
                </c:pt>
                <c:pt idx="92" formatCode="0.00E+00">
                  <c:v>81410390.061636627</c:v>
                </c:pt>
                <c:pt idx="93" formatCode="0.00E+00">
                  <c:v>81410390.061709493</c:v>
                </c:pt>
                <c:pt idx="94" formatCode="0.00E+00">
                  <c:v>81410390.06172666</c:v>
                </c:pt>
                <c:pt idx="95" formatCode="0.00E+00">
                  <c:v>81410390.061730698</c:v>
                </c:pt>
                <c:pt idx="96" formatCode="0.00E+00">
                  <c:v>81410390.061731666</c:v>
                </c:pt>
                <c:pt idx="97" formatCode="0.00E+00">
                  <c:v>81410390.061731875</c:v>
                </c:pt>
                <c:pt idx="98" formatCode="0.00E+00">
                  <c:v>81410390.061731935</c:v>
                </c:pt>
                <c:pt idx="99" formatCode="0.00E+00">
                  <c:v>81410390.061731949</c:v>
                </c:pt>
                <c:pt idx="100" formatCode="0.00E+00">
                  <c:v>81410390.061731949</c:v>
                </c:pt>
                <c:pt idx="101" formatCode="0.00E+00">
                  <c:v>81410390.061731949</c:v>
                </c:pt>
                <c:pt idx="102" formatCode="0.00E+00">
                  <c:v>81410390.061731949</c:v>
                </c:pt>
                <c:pt idx="103" formatCode="0.00E+00">
                  <c:v>81410390.061731949</c:v>
                </c:pt>
              </c:numCache>
            </c:numRef>
          </c:yVal>
          <c:smooth val="0"/>
        </c:ser>
        <c:ser>
          <c:idx val="7"/>
          <c:order val="8"/>
          <c:tx>
            <c:v>UK Cases</c:v>
          </c:tx>
          <c:spPr>
            <a:ln w="63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myData!UKDates</c:f>
              <c:numCache>
                <c:formatCode>m/d/yyyy</c:formatCode>
                <c:ptCount val="52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</c:numCache>
            </c:numRef>
          </c:xVal>
          <c:yVal>
            <c:numRef>
              <c:f>myData!UKCases</c:f>
              <c:numCache>
                <c:formatCode>0.000</c:formatCode>
                <c:ptCount val="107"/>
                <c:pt idx="0">
                  <c:v>0</c:v>
                </c:pt>
                <c:pt idx="1">
                  <c:v>0.30102347983142685</c:v>
                </c:pt>
                <c:pt idx="2">
                  <c:v>0.30102347983142685</c:v>
                </c:pt>
                <c:pt idx="3">
                  <c:v>0.30102347983142685</c:v>
                </c:pt>
                <c:pt idx="4">
                  <c:v>0.30102347983142685</c:v>
                </c:pt>
                <c:pt idx="5">
                  <c:v>0.30102347983142685</c:v>
                </c:pt>
                <c:pt idx="6">
                  <c:v>0.30102347983142685</c:v>
                </c:pt>
                <c:pt idx="7">
                  <c:v>0.30102347983142685</c:v>
                </c:pt>
                <c:pt idx="8">
                  <c:v>0.45153521974714028</c:v>
                </c:pt>
                <c:pt idx="9">
                  <c:v>0.45153521974714028</c:v>
                </c:pt>
                <c:pt idx="10">
                  <c:v>0.45153521974714028</c:v>
                </c:pt>
                <c:pt idx="11">
                  <c:v>1.2040939193257074</c:v>
                </c:pt>
                <c:pt idx="12">
                  <c:v>1.2040939193257074</c:v>
                </c:pt>
                <c:pt idx="13">
                  <c:v>1.3546056592414208</c:v>
                </c:pt>
                <c:pt idx="14">
                  <c:v>1.3546056592414208</c:v>
                </c:pt>
                <c:pt idx="15">
                  <c:v>1.3546056592414208</c:v>
                </c:pt>
                <c:pt idx="16">
                  <c:v>1.3546056592414208</c:v>
                </c:pt>
                <c:pt idx="17">
                  <c:v>1.3546056592414208</c:v>
                </c:pt>
                <c:pt idx="18">
                  <c:v>1.3546056592414208</c:v>
                </c:pt>
                <c:pt idx="19">
                  <c:v>1.3546056592414208</c:v>
                </c:pt>
                <c:pt idx="20">
                  <c:v>1.3546056592414208</c:v>
                </c:pt>
                <c:pt idx="21">
                  <c:v>1.3546056592414208</c:v>
                </c:pt>
                <c:pt idx="22">
                  <c:v>1.3546056592414208</c:v>
                </c:pt>
                <c:pt idx="23">
                  <c:v>1.3546056592414208</c:v>
                </c:pt>
                <c:pt idx="24">
                  <c:v>1.3546056592414208</c:v>
                </c:pt>
                <c:pt idx="25">
                  <c:v>1.9566526189042746</c:v>
                </c:pt>
                <c:pt idx="26">
                  <c:v>1.9566526189042746</c:v>
                </c:pt>
                <c:pt idx="27">
                  <c:v>1.9566526189042746</c:v>
                </c:pt>
                <c:pt idx="28">
                  <c:v>2.2576760987357014</c:v>
                </c:pt>
                <c:pt idx="29">
                  <c:v>3.0102347983142685</c:v>
                </c:pt>
                <c:pt idx="30">
                  <c:v>3.4617700180614088</c:v>
                </c:pt>
                <c:pt idx="31">
                  <c:v>5.4184226369656834</c:v>
                </c:pt>
                <c:pt idx="32">
                  <c:v>6.0204695966285371</c:v>
                </c:pt>
                <c:pt idx="33">
                  <c:v>7.6760987357013848</c:v>
                </c:pt>
                <c:pt idx="34">
                  <c:v>12.944009632751355</c:v>
                </c:pt>
                <c:pt idx="35">
                  <c:v>17.459361830222758</c:v>
                </c:pt>
                <c:pt idx="36">
                  <c:v>24.683925346177002</c:v>
                </c:pt>
                <c:pt idx="37">
                  <c:v>31.155930162552679</c:v>
                </c:pt>
                <c:pt idx="38">
                  <c:v>41.240216736905481</c:v>
                </c:pt>
                <c:pt idx="39">
                  <c:v>48.464780252859725</c:v>
                </c:pt>
                <c:pt idx="40">
                  <c:v>57.796508127633956</c:v>
                </c:pt>
                <c:pt idx="41">
                  <c:v>69.084888621312459</c:v>
                </c:pt>
                <c:pt idx="42">
                  <c:v>69.084888621312459</c:v>
                </c:pt>
                <c:pt idx="43">
                  <c:v>120.71041541240217</c:v>
                </c:pt>
                <c:pt idx="44">
                  <c:v>172.18543046357615</c:v>
                </c:pt>
                <c:pt idx="45">
                  <c:v>172.33594220349187</c:v>
                </c:pt>
                <c:pt idx="46">
                  <c:v>233.44370860927151</c:v>
                </c:pt>
                <c:pt idx="47">
                  <c:v>295.0030102347983</c:v>
                </c:pt>
                <c:pt idx="48">
                  <c:v>397.65201685731489</c:v>
                </c:pt>
                <c:pt idx="49">
                  <c:v>408.78988561107764</c:v>
                </c:pt>
                <c:pt idx="50">
                  <c:v>604.15412402167362</c:v>
                </c:pt>
                <c:pt idx="51">
                  <c:v>759.93377483443703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6"/>
          <c:order val="9"/>
          <c:tx>
            <c:strRef>
              <c:f>myData!UKSeries</c:f>
              <c:strCache>
                <c:ptCount val="1"/>
                <c:pt idx="0">
                  <c:v>UK Limit 34.7 M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myData!UKLogiDates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myData!UKLogi</c:f>
              <c:numCache>
                <c:formatCode>0</c:formatCode>
                <c:ptCount val="99"/>
                <c:pt idx="0">
                  <c:v>5.7300888856155995E-3</c:v>
                </c:pt>
                <c:pt idx="1">
                  <c:v>7.2161840159393588E-3</c:v>
                </c:pt>
                <c:pt idx="2">
                  <c:v>9.0876970306763491E-3</c:v>
                </c:pt>
                <c:pt idx="3">
                  <c:v>1.1444585827882081E-2</c:v>
                </c:pt>
                <c:pt idx="4">
                  <c:v>1.4412732326718481E-2</c:v>
                </c:pt>
                <c:pt idx="5">
                  <c:v>1.815066584681032E-2</c:v>
                </c:pt>
                <c:pt idx="6">
                  <c:v>2.2858030192001329E-2</c:v>
                </c:pt>
                <c:pt idx="7">
                  <c:v>2.8786246667192344E-2</c:v>
                </c:pt>
                <c:pt idx="8">
                  <c:v>3.6251942542175036E-2</c:v>
                </c:pt>
                <c:pt idx="9">
                  <c:v>4.5653862179456724E-2</c:v>
                </c:pt>
                <c:pt idx="10">
                  <c:v>5.7494164052852542E-2</c:v>
                </c:pt>
                <c:pt idx="11" formatCode="0.0">
                  <c:v>7.2405241134917572E-2</c:v>
                </c:pt>
                <c:pt idx="12" formatCode="0.0">
                  <c:v>9.1183497135503083E-2</c:v>
                </c:pt>
                <c:pt idx="13" formatCode="0.0">
                  <c:v>0.11483188258707373</c:v>
                </c:pt>
                <c:pt idx="14" formatCode="0.0">
                  <c:v>0.14461346263749605</c:v>
                </c:pt>
                <c:pt idx="15" formatCode="0.0">
                  <c:v>0.18211887761654216</c:v>
                </c:pt>
                <c:pt idx="16" formatCode="0.0">
                  <c:v>0.22935129945788255</c:v>
                </c:pt>
                <c:pt idx="17" formatCode="0.0">
                  <c:v>0.28883342151498009</c:v>
                </c:pt>
                <c:pt idx="18" formatCode="0.0">
                  <c:v>0.36374219611644087</c:v>
                </c:pt>
                <c:pt idx="19" formatCode="0.0">
                  <c:v>0.45807851621731016</c:v>
                </c:pt>
                <c:pt idx="20" formatCode="0.0">
                  <c:v>0.57688090387171198</c:v>
                </c:pt>
                <c:pt idx="21" formatCode="0.0">
                  <c:v>0.72649461866169185</c:v>
                </c:pt>
                <c:pt idx="22" formatCode="0.0">
                  <c:v>0.91491055920218656</c:v>
                </c:pt>
                <c:pt idx="23" formatCode="0.0">
                  <c:v>1.1521920584946919</c:v>
                </c:pt>
                <c:pt idx="24" formatCode="0.0">
                  <c:v>1.4510123683150251</c:v>
                </c:pt>
                <c:pt idx="25" formatCode="0.0">
                  <c:v>1.8273315397196759</c:v>
                </c:pt>
                <c:pt idx="26" formatCode="0.0">
                  <c:v>2.3012488518909371</c:v>
                </c:pt>
                <c:pt idx="27" formatCode="0.0">
                  <c:v>2.8980763175508595</c:v>
                </c:pt>
                <c:pt idx="28" formatCode="0.0">
                  <c:v>3.6496906008191234</c:v>
                </c:pt>
                <c:pt idx="29" formatCode="0.0">
                  <c:v>4.5962355532970278</c:v>
                </c:pt>
                <c:pt idx="30" formatCode="0.0">
                  <c:v>5.7882663004994894</c:v>
                </c:pt>
                <c:pt idx="31" formatCode="0.0">
                  <c:v>7.2894493936521831</c:v>
                </c:pt>
                <c:pt idx="32" formatCode="0.0">
                  <c:v>9.1799632408021896</c:v>
                </c:pt>
                <c:pt idx="33" formatCode="0.0">
                  <c:v>11.560780432246883</c:v>
                </c:pt>
                <c:pt idx="34" formatCode="0.0">
                  <c:v>14.559060675846517</c:v>
                </c:pt>
                <c:pt idx="35" formatCode="0.0">
                  <c:v>18.334942373156917</c:v>
                </c:pt>
                <c:pt idx="36" formatCode="0.0">
                  <c:v>23.090095564996883</c:v>
                </c:pt>
                <c:pt idx="37" formatCode="0.0">
                  <c:v>29.07849304379944</c:v>
                </c:pt>
                <c:pt idx="38" formatCode="0.0">
                  <c:v>36.619974892737822</c:v>
                </c:pt>
                <c:pt idx="39" formatCode="0.0">
                  <c:v>46.117330893092891</c:v>
                </c:pt>
                <c:pt idx="40" formatCode="0.0">
                  <c:v>58.077813105980304</c:v>
                </c:pt>
                <c:pt idx="41" formatCode="0.0">
                  <c:v>73.14022751077492</c:v>
                </c:pt>
                <c:pt idx="42" formatCode="0.0">
                  <c:v>92.109051497207403</c:v>
                </c:pt>
                <c:pt idx="43" formatCode="0.0">
                  <c:v>115.99739915901128</c:v>
                </c:pt>
                <c:pt idx="44" formatCode="0.0">
                  <c:v>146.08112873910108</c:v>
                </c:pt>
                <c:pt idx="45" formatCode="0.0">
                  <c:v>183.96698142584711</c:v>
                </c:pt>
                <c:pt idx="46" formatCode="0.0">
                  <c:v>231.67838971290757</c:v>
                </c:pt>
                <c:pt idx="47" formatCode="0.0">
                  <c:v>291.76353662866723</c:v>
                </c:pt>
                <c:pt idx="48" formatCode="0.0">
                  <c:v>367.43143454757598</c:v>
                </c:pt>
                <c:pt idx="49" formatCode="0.0">
                  <c:v>462.72328721400379</c:v>
                </c:pt>
                <c:pt idx="50" formatCode="0.0">
                  <c:v>582.72828053431806</c:v>
                </c:pt>
                <c:pt idx="51" formatCode="0.0">
                  <c:v>733.85531658498007</c:v>
                </c:pt>
                <c:pt idx="52" formatCode="0.0">
                  <c:v>924.17518678848853</c:v>
                </c:pt>
                <c:pt idx="53" formatCode="0.0">
                  <c:v>1163.8514321751827</c:v>
                </c:pt>
                <c:pt idx="54" formatCode="0.0">
                  <c:v>1465.6828592627348</c:v>
                </c:pt>
                <c:pt idx="55" formatCode="0.0">
                  <c:v>1845.7866179747839</c:v>
                </c:pt>
                <c:pt idx="56" formatCode="0.0">
                  <c:v>2324.458214779359</c:v>
                </c:pt>
                <c:pt idx="57" formatCode="0.0">
                  <c:v>2927.2542198590068</c:v>
                </c:pt>
                <c:pt idx="58" formatCode="0.0">
                  <c:v>3686.3552189693628</c:v>
                </c:pt>
                <c:pt idx="59" formatCode="0.0">
                  <c:v>4642.2813664015412</c:v>
                </c:pt>
                <c:pt idx="60" formatCode="0.0">
                  <c:v>5846.0514708869378</c:v>
                </c:pt>
                <c:pt idx="61" formatCode="0.0">
                  <c:v>7361.8998279936359</c:v>
                </c:pt>
                <c:pt idx="62" formatCode="0.0">
                  <c:v>36952.436807307618</c:v>
                </c:pt>
                <c:pt idx="63" formatCode="0.000E+00">
                  <c:v>184846.07350664068</c:v>
                </c:pt>
                <c:pt idx="64" formatCode="0.000E+00">
                  <c:v>909128.87786259572</c:v>
                </c:pt>
                <c:pt idx="65" formatCode="0.000E+00">
                  <c:v>4131717.8701317338</c:v>
                </c:pt>
                <c:pt idx="66" formatCode="0.000E+00">
                  <c:v>14034151.691856464</c:v>
                </c:pt>
                <c:pt idx="67" formatCode="0.000E+00">
                  <c:v>26837844.083246738</c:v>
                </c:pt>
                <c:pt idx="68" formatCode="0.000E+00">
                  <c:v>32793224.416094676</c:v>
                </c:pt>
                <c:pt idx="69" formatCode="0.000E+00">
                  <c:v>34308676.31234102</c:v>
                </c:pt>
                <c:pt idx="70" formatCode="0.000E+00">
                  <c:v>34627207.395594351</c:v>
                </c:pt>
                <c:pt idx="71" formatCode="0.000E+00">
                  <c:v>34691320.233341761</c:v>
                </c:pt>
                <c:pt idx="72" formatCode="0.000E+00">
                  <c:v>34704110.652210645</c:v>
                </c:pt>
                <c:pt idx="73" formatCode="0.000E+00">
                  <c:v>34706657.7935775</c:v>
                </c:pt>
                <c:pt idx="74" formatCode="0.000E+00">
                  <c:v>34707164.863189273</c:v>
                </c:pt>
                <c:pt idx="75" formatCode="0.000E+00">
                  <c:v>34707265.800448626</c:v>
                </c:pt>
                <c:pt idx="76" formatCode="0.000E+00">
                  <c:v>34707285.892734051</c:v>
                </c:pt>
                <c:pt idx="77" formatCode="0.000E+00">
                  <c:v>34707289.892236404</c:v>
                </c:pt>
                <c:pt idx="78" formatCode="0.000E+00">
                  <c:v>34707290.688363366</c:v>
                </c:pt>
                <c:pt idx="79" formatCode="0.000E+00">
                  <c:v>34707290.846837603</c:v>
                </c:pt>
                <c:pt idx="80" formatCode="0.000E+00">
                  <c:v>34707290.878382921</c:v>
                </c:pt>
                <c:pt idx="81" formatCode="0.000E+00">
                  <c:v>34707290.884662218</c:v>
                </c:pt>
                <c:pt idx="82" formatCode="0.000E+00">
                  <c:v>34707290.885912165</c:v>
                </c:pt>
                <c:pt idx="83" formatCode="0.000E+00">
                  <c:v>34707290.88616097</c:v>
                </c:pt>
                <c:pt idx="84" formatCode="0.000E+00">
                  <c:v>34707290.886210494</c:v>
                </c:pt>
                <c:pt idx="85" formatCode="0.000E+00">
                  <c:v>34707290.886220358</c:v>
                </c:pt>
                <c:pt idx="86" formatCode="0.000E+00">
                  <c:v>34707290.886222318</c:v>
                </c:pt>
                <c:pt idx="87" formatCode="0.000E+00">
                  <c:v>34707290.886222698</c:v>
                </c:pt>
                <c:pt idx="88" formatCode="0.000E+00">
                  <c:v>34707290.88622278</c:v>
                </c:pt>
                <c:pt idx="89" formatCode="0.000E+00">
                  <c:v>34707290.886222795</c:v>
                </c:pt>
                <c:pt idx="90" formatCode="0.000E+00">
                  <c:v>34707290.886222802</c:v>
                </c:pt>
                <c:pt idx="91" formatCode="0.000E+00">
                  <c:v>34707290.886222802</c:v>
                </c:pt>
                <c:pt idx="92" formatCode="0.000E+00">
                  <c:v>34707290.886222802</c:v>
                </c:pt>
                <c:pt idx="93" formatCode="0.000E+00">
                  <c:v>34707290.886222802</c:v>
                </c:pt>
                <c:pt idx="94" formatCode="0.000E+00">
                  <c:v>34707290.886222802</c:v>
                </c:pt>
                <c:pt idx="95" formatCode="0.000E+00">
                  <c:v>34707290.886222802</c:v>
                </c:pt>
                <c:pt idx="96" formatCode="0.000E+00">
                  <c:v>34707290.886222802</c:v>
                </c:pt>
                <c:pt idx="97" formatCode="0.000E+00">
                  <c:v>34707290.886222802</c:v>
                </c:pt>
                <c:pt idx="98" formatCode="0.000E+00">
                  <c:v>34707290.886222802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416136"/>
        <c:axId val="747417704"/>
      </c:scatterChart>
      <c:valAx>
        <c:axId val="747416136"/>
        <c:scaling>
          <c:orientation val="minMax"/>
          <c:max val="43952"/>
          <c:min val="4389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17704"/>
        <c:crossesAt val="1.0000000000000002E-2"/>
        <c:crossBetween val="midCat"/>
        <c:majorUnit val="7"/>
        <c:minorUnit val="3.5"/>
      </c:valAx>
      <c:valAx>
        <c:axId val="747417704"/>
        <c:scaling>
          <c:logBase val="10"/>
          <c:orientation val="minMax"/>
          <c:max val="1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16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0785683199390607E-2"/>
          <c:y val="0.75670870730110051"/>
          <c:w val="0.9010158272808505"/>
          <c:h val="7.6020412949619226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myData!$CH$17</c:f>
          <c:strCache>
            <c:ptCount val="1"/>
            <c:pt idx="0">
              <c:v>COVID19 UK P(t) = b / {d+[( b/Po - d ) ]* exp(-b*t)}
b=0.231, d=1.00E-09, P0=.0381 Limit=34.7 M
 21-Mar, Cases per 10 M population
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21155919046030849"/>
          <c:w val="0.43460159270882204"/>
          <c:h val="0.65628108641116001"/>
        </c:manualLayout>
      </c:layout>
      <c:scatterChart>
        <c:scatterStyle val="lineMarker"/>
        <c:varyColors val="0"/>
        <c:ser>
          <c:idx val="1"/>
          <c:order val="0"/>
          <c:tx>
            <c:v>UK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myData!UKDates</c:f>
              <c:numCache>
                <c:formatCode>m/d/yyyy</c:formatCode>
                <c:ptCount val="52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</c:numCache>
            </c:numRef>
          </c:xVal>
          <c:yVal>
            <c:numRef>
              <c:f>myData!UKCases</c:f>
              <c:numCache>
                <c:formatCode>0.000</c:formatCode>
                <c:ptCount val="107"/>
                <c:pt idx="0">
                  <c:v>0</c:v>
                </c:pt>
                <c:pt idx="1">
                  <c:v>0.30102347983142685</c:v>
                </c:pt>
                <c:pt idx="2">
                  <c:v>0.30102347983142685</c:v>
                </c:pt>
                <c:pt idx="3">
                  <c:v>0.30102347983142685</c:v>
                </c:pt>
                <c:pt idx="4">
                  <c:v>0.30102347983142685</c:v>
                </c:pt>
                <c:pt idx="5">
                  <c:v>0.30102347983142685</c:v>
                </c:pt>
                <c:pt idx="6">
                  <c:v>0.30102347983142685</c:v>
                </c:pt>
                <c:pt idx="7">
                  <c:v>0.30102347983142685</c:v>
                </c:pt>
                <c:pt idx="8">
                  <c:v>0.45153521974714028</c:v>
                </c:pt>
                <c:pt idx="9">
                  <c:v>0.45153521974714028</c:v>
                </c:pt>
                <c:pt idx="10">
                  <c:v>0.45153521974714028</c:v>
                </c:pt>
                <c:pt idx="11">
                  <c:v>1.2040939193257074</c:v>
                </c:pt>
                <c:pt idx="12">
                  <c:v>1.2040939193257074</c:v>
                </c:pt>
                <c:pt idx="13">
                  <c:v>1.3546056592414208</c:v>
                </c:pt>
                <c:pt idx="14">
                  <c:v>1.3546056592414208</c:v>
                </c:pt>
                <c:pt idx="15">
                  <c:v>1.3546056592414208</c:v>
                </c:pt>
                <c:pt idx="16">
                  <c:v>1.3546056592414208</c:v>
                </c:pt>
                <c:pt idx="17">
                  <c:v>1.3546056592414208</c:v>
                </c:pt>
                <c:pt idx="18">
                  <c:v>1.3546056592414208</c:v>
                </c:pt>
                <c:pt idx="19">
                  <c:v>1.3546056592414208</c:v>
                </c:pt>
                <c:pt idx="20">
                  <c:v>1.3546056592414208</c:v>
                </c:pt>
                <c:pt idx="21">
                  <c:v>1.3546056592414208</c:v>
                </c:pt>
                <c:pt idx="22">
                  <c:v>1.3546056592414208</c:v>
                </c:pt>
                <c:pt idx="23">
                  <c:v>1.3546056592414208</c:v>
                </c:pt>
                <c:pt idx="24">
                  <c:v>1.3546056592414208</c:v>
                </c:pt>
                <c:pt idx="25">
                  <c:v>1.9566526189042746</c:v>
                </c:pt>
                <c:pt idx="26">
                  <c:v>1.9566526189042746</c:v>
                </c:pt>
                <c:pt idx="27">
                  <c:v>1.9566526189042746</c:v>
                </c:pt>
                <c:pt idx="28">
                  <c:v>2.2576760987357014</c:v>
                </c:pt>
                <c:pt idx="29">
                  <c:v>3.0102347983142685</c:v>
                </c:pt>
                <c:pt idx="30">
                  <c:v>3.4617700180614088</c:v>
                </c:pt>
                <c:pt idx="31">
                  <c:v>5.4184226369656834</c:v>
                </c:pt>
                <c:pt idx="32">
                  <c:v>6.0204695966285371</c:v>
                </c:pt>
                <c:pt idx="33">
                  <c:v>7.6760987357013848</c:v>
                </c:pt>
                <c:pt idx="34">
                  <c:v>12.944009632751355</c:v>
                </c:pt>
                <c:pt idx="35">
                  <c:v>17.459361830222758</c:v>
                </c:pt>
                <c:pt idx="36">
                  <c:v>24.683925346177002</c:v>
                </c:pt>
                <c:pt idx="37">
                  <c:v>31.155930162552679</c:v>
                </c:pt>
                <c:pt idx="38">
                  <c:v>41.240216736905481</c:v>
                </c:pt>
                <c:pt idx="39">
                  <c:v>48.464780252859725</c:v>
                </c:pt>
                <c:pt idx="40">
                  <c:v>57.796508127633956</c:v>
                </c:pt>
                <c:pt idx="41">
                  <c:v>69.084888621312459</c:v>
                </c:pt>
                <c:pt idx="42">
                  <c:v>69.084888621312459</c:v>
                </c:pt>
                <c:pt idx="43">
                  <c:v>120.71041541240217</c:v>
                </c:pt>
                <c:pt idx="44">
                  <c:v>172.18543046357615</c:v>
                </c:pt>
                <c:pt idx="45">
                  <c:v>172.33594220349187</c:v>
                </c:pt>
                <c:pt idx="46">
                  <c:v>233.44370860927151</c:v>
                </c:pt>
                <c:pt idx="47">
                  <c:v>295.0030102347983</c:v>
                </c:pt>
                <c:pt idx="48">
                  <c:v>397.65201685731489</c:v>
                </c:pt>
                <c:pt idx="49">
                  <c:v>408.78988561107764</c:v>
                </c:pt>
                <c:pt idx="50">
                  <c:v>604.15412402167362</c:v>
                </c:pt>
                <c:pt idx="51">
                  <c:v>759.93377483443703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myData!UKSeries</c:f>
              <c:strCache>
                <c:ptCount val="1"/>
                <c:pt idx="0">
                  <c:v>UK Limit 34.7 M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myData!UKLogiDates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myData!UKLogi</c:f>
              <c:numCache>
                <c:formatCode>0</c:formatCode>
                <c:ptCount val="99"/>
                <c:pt idx="0">
                  <c:v>5.7300888856155995E-3</c:v>
                </c:pt>
                <c:pt idx="1">
                  <c:v>7.2161840159393588E-3</c:v>
                </c:pt>
                <c:pt idx="2">
                  <c:v>9.0876970306763491E-3</c:v>
                </c:pt>
                <c:pt idx="3">
                  <c:v>1.1444585827882081E-2</c:v>
                </c:pt>
                <c:pt idx="4">
                  <c:v>1.4412732326718481E-2</c:v>
                </c:pt>
                <c:pt idx="5">
                  <c:v>1.815066584681032E-2</c:v>
                </c:pt>
                <c:pt idx="6">
                  <c:v>2.2858030192001329E-2</c:v>
                </c:pt>
                <c:pt idx="7">
                  <c:v>2.8786246667192344E-2</c:v>
                </c:pt>
                <c:pt idx="8">
                  <c:v>3.6251942542175036E-2</c:v>
                </c:pt>
                <c:pt idx="9">
                  <c:v>4.5653862179456724E-2</c:v>
                </c:pt>
                <c:pt idx="10">
                  <c:v>5.7494164052852542E-2</c:v>
                </c:pt>
                <c:pt idx="11" formatCode="0.0">
                  <c:v>7.2405241134917572E-2</c:v>
                </c:pt>
                <c:pt idx="12" formatCode="0.0">
                  <c:v>9.1183497135503083E-2</c:v>
                </c:pt>
                <c:pt idx="13" formatCode="0.0">
                  <c:v>0.11483188258707373</c:v>
                </c:pt>
                <c:pt idx="14" formatCode="0.0">
                  <c:v>0.14461346263749605</c:v>
                </c:pt>
                <c:pt idx="15" formatCode="0.0">
                  <c:v>0.18211887761654216</c:v>
                </c:pt>
                <c:pt idx="16" formatCode="0.0">
                  <c:v>0.22935129945788255</c:v>
                </c:pt>
                <c:pt idx="17" formatCode="0.0">
                  <c:v>0.28883342151498009</c:v>
                </c:pt>
                <c:pt idx="18" formatCode="0.0">
                  <c:v>0.36374219611644087</c:v>
                </c:pt>
                <c:pt idx="19" formatCode="0.0">
                  <c:v>0.45807851621731016</c:v>
                </c:pt>
                <c:pt idx="20" formatCode="0.0">
                  <c:v>0.57688090387171198</c:v>
                </c:pt>
                <c:pt idx="21" formatCode="0.0">
                  <c:v>0.72649461866169185</c:v>
                </c:pt>
                <c:pt idx="22" formatCode="0.0">
                  <c:v>0.91491055920218656</c:v>
                </c:pt>
                <c:pt idx="23" formatCode="0.0">
                  <c:v>1.1521920584946919</c:v>
                </c:pt>
                <c:pt idx="24" formatCode="0.0">
                  <c:v>1.4510123683150251</c:v>
                </c:pt>
                <c:pt idx="25" formatCode="0.0">
                  <c:v>1.8273315397196759</c:v>
                </c:pt>
                <c:pt idx="26" formatCode="0.0">
                  <c:v>2.3012488518909371</c:v>
                </c:pt>
                <c:pt idx="27" formatCode="0.0">
                  <c:v>2.8980763175508595</c:v>
                </c:pt>
                <c:pt idx="28" formatCode="0.0">
                  <c:v>3.6496906008191234</c:v>
                </c:pt>
                <c:pt idx="29" formatCode="0.0">
                  <c:v>4.5962355532970278</c:v>
                </c:pt>
                <c:pt idx="30" formatCode="0.0">
                  <c:v>5.7882663004994894</c:v>
                </c:pt>
                <c:pt idx="31" formatCode="0.0">
                  <c:v>7.2894493936521831</c:v>
                </c:pt>
                <c:pt idx="32" formatCode="0.0">
                  <c:v>9.1799632408021896</c:v>
                </c:pt>
                <c:pt idx="33" formatCode="0.0">
                  <c:v>11.560780432246883</c:v>
                </c:pt>
                <c:pt idx="34" formatCode="0.0">
                  <c:v>14.559060675846517</c:v>
                </c:pt>
                <c:pt idx="35" formatCode="0.0">
                  <c:v>18.334942373156917</c:v>
                </c:pt>
                <c:pt idx="36" formatCode="0.0">
                  <c:v>23.090095564996883</c:v>
                </c:pt>
                <c:pt idx="37" formatCode="0.0">
                  <c:v>29.07849304379944</c:v>
                </c:pt>
                <c:pt idx="38" formatCode="0.0">
                  <c:v>36.619974892737822</c:v>
                </c:pt>
                <c:pt idx="39" formatCode="0.0">
                  <c:v>46.117330893092891</c:v>
                </c:pt>
                <c:pt idx="40" formatCode="0.0">
                  <c:v>58.077813105980304</c:v>
                </c:pt>
                <c:pt idx="41" formatCode="0.0">
                  <c:v>73.14022751077492</c:v>
                </c:pt>
                <c:pt idx="42" formatCode="0.0">
                  <c:v>92.109051497207403</c:v>
                </c:pt>
                <c:pt idx="43" formatCode="0.0">
                  <c:v>115.99739915901128</c:v>
                </c:pt>
                <c:pt idx="44" formatCode="0.0">
                  <c:v>146.08112873910108</c:v>
                </c:pt>
                <c:pt idx="45" formatCode="0.0">
                  <c:v>183.96698142584711</c:v>
                </c:pt>
                <c:pt idx="46" formatCode="0.0">
                  <c:v>231.67838971290757</c:v>
                </c:pt>
                <c:pt idx="47" formatCode="0.0">
                  <c:v>291.76353662866723</c:v>
                </c:pt>
                <c:pt idx="48" formatCode="0.0">
                  <c:v>367.43143454757598</c:v>
                </c:pt>
                <c:pt idx="49" formatCode="0.0">
                  <c:v>462.72328721400379</c:v>
                </c:pt>
                <c:pt idx="50" formatCode="0.0">
                  <c:v>582.72828053431806</c:v>
                </c:pt>
                <c:pt idx="51" formatCode="0.0">
                  <c:v>733.85531658498007</c:v>
                </c:pt>
                <c:pt idx="52" formatCode="0.0">
                  <c:v>924.17518678848853</c:v>
                </c:pt>
                <c:pt idx="53" formatCode="0.0">
                  <c:v>1163.8514321751827</c:v>
                </c:pt>
                <c:pt idx="54" formatCode="0.0">
                  <c:v>1465.6828592627348</c:v>
                </c:pt>
                <c:pt idx="55" formatCode="0.0">
                  <c:v>1845.7866179747839</c:v>
                </c:pt>
                <c:pt idx="56" formatCode="0.0">
                  <c:v>2324.458214779359</c:v>
                </c:pt>
                <c:pt idx="57" formatCode="0.0">
                  <c:v>2927.2542198590068</c:v>
                </c:pt>
                <c:pt idx="58" formatCode="0.0">
                  <c:v>3686.3552189693628</c:v>
                </c:pt>
                <c:pt idx="59" formatCode="0.0">
                  <c:v>4642.2813664015412</c:v>
                </c:pt>
                <c:pt idx="60" formatCode="0.0">
                  <c:v>5846.0514708869378</c:v>
                </c:pt>
                <c:pt idx="61" formatCode="0.0">
                  <c:v>7361.8998279936359</c:v>
                </c:pt>
                <c:pt idx="62" formatCode="0.0">
                  <c:v>36952.436807307618</c:v>
                </c:pt>
                <c:pt idx="63" formatCode="0.000E+00">
                  <c:v>184846.07350664068</c:v>
                </c:pt>
                <c:pt idx="64" formatCode="0.000E+00">
                  <c:v>909128.87786259572</c:v>
                </c:pt>
                <c:pt idx="65" formatCode="0.000E+00">
                  <c:v>4131717.8701317338</c:v>
                </c:pt>
                <c:pt idx="66" formatCode="0.000E+00">
                  <c:v>14034151.691856464</c:v>
                </c:pt>
                <c:pt idx="67" formatCode="0.000E+00">
                  <c:v>26837844.083246738</c:v>
                </c:pt>
                <c:pt idx="68" formatCode="0.000E+00">
                  <c:v>32793224.416094676</c:v>
                </c:pt>
                <c:pt idx="69" formatCode="0.000E+00">
                  <c:v>34308676.31234102</c:v>
                </c:pt>
                <c:pt idx="70" formatCode="0.000E+00">
                  <c:v>34627207.395594351</c:v>
                </c:pt>
                <c:pt idx="71" formatCode="0.000E+00">
                  <c:v>34691320.233341761</c:v>
                </c:pt>
                <c:pt idx="72" formatCode="0.000E+00">
                  <c:v>34704110.652210645</c:v>
                </c:pt>
                <c:pt idx="73" formatCode="0.000E+00">
                  <c:v>34706657.7935775</c:v>
                </c:pt>
                <c:pt idx="74" formatCode="0.000E+00">
                  <c:v>34707164.863189273</c:v>
                </c:pt>
                <c:pt idx="75" formatCode="0.000E+00">
                  <c:v>34707265.800448626</c:v>
                </c:pt>
                <c:pt idx="76" formatCode="0.000E+00">
                  <c:v>34707285.892734051</c:v>
                </c:pt>
                <c:pt idx="77" formatCode="0.000E+00">
                  <c:v>34707289.892236404</c:v>
                </c:pt>
                <c:pt idx="78" formatCode="0.000E+00">
                  <c:v>34707290.688363366</c:v>
                </c:pt>
                <c:pt idx="79" formatCode="0.000E+00">
                  <c:v>34707290.846837603</c:v>
                </c:pt>
                <c:pt idx="80" formatCode="0.000E+00">
                  <c:v>34707290.878382921</c:v>
                </c:pt>
                <c:pt idx="81" formatCode="0.000E+00">
                  <c:v>34707290.884662218</c:v>
                </c:pt>
                <c:pt idx="82" formatCode="0.000E+00">
                  <c:v>34707290.885912165</c:v>
                </c:pt>
                <c:pt idx="83" formatCode="0.000E+00">
                  <c:v>34707290.88616097</c:v>
                </c:pt>
                <c:pt idx="84" formatCode="0.000E+00">
                  <c:v>34707290.886210494</c:v>
                </c:pt>
                <c:pt idx="85" formatCode="0.000E+00">
                  <c:v>34707290.886220358</c:v>
                </c:pt>
                <c:pt idx="86" formatCode="0.000E+00">
                  <c:v>34707290.886222318</c:v>
                </c:pt>
                <c:pt idx="87" formatCode="0.000E+00">
                  <c:v>34707290.886222698</c:v>
                </c:pt>
                <c:pt idx="88" formatCode="0.000E+00">
                  <c:v>34707290.88622278</c:v>
                </c:pt>
                <c:pt idx="89" formatCode="0.000E+00">
                  <c:v>34707290.886222795</c:v>
                </c:pt>
                <c:pt idx="90" formatCode="0.000E+00">
                  <c:v>34707290.886222802</c:v>
                </c:pt>
                <c:pt idx="91" formatCode="0.000E+00">
                  <c:v>34707290.886222802</c:v>
                </c:pt>
                <c:pt idx="92" formatCode="0.000E+00">
                  <c:v>34707290.886222802</c:v>
                </c:pt>
                <c:pt idx="93" formatCode="0.000E+00">
                  <c:v>34707290.886222802</c:v>
                </c:pt>
                <c:pt idx="94" formatCode="0.000E+00">
                  <c:v>34707290.886222802</c:v>
                </c:pt>
                <c:pt idx="95" formatCode="0.000E+00">
                  <c:v>34707290.886222802</c:v>
                </c:pt>
                <c:pt idx="96" formatCode="0.000E+00">
                  <c:v>34707290.886222802</c:v>
                </c:pt>
                <c:pt idx="97" formatCode="0.000E+00">
                  <c:v>34707290.886222802</c:v>
                </c:pt>
                <c:pt idx="98" formatCode="0.000E+00">
                  <c:v>34707290.886222802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419272"/>
        <c:axId val="747401240"/>
      </c:scatterChart>
      <c:valAx>
        <c:axId val="747419272"/>
        <c:scaling>
          <c:orientation val="minMax"/>
          <c:max val="43951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01240"/>
        <c:crossesAt val="0.1"/>
        <c:crossBetween val="midCat"/>
        <c:majorUnit val="14"/>
        <c:minorUnit val="7"/>
      </c:valAx>
      <c:valAx>
        <c:axId val="747401240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19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275133186791321"/>
          <c:y val="0.58213656994533147"/>
          <c:w val="0.12878276497026317"/>
          <c:h val="0.237215237598062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myData!$CH$16</c:f>
          <c:strCache>
            <c:ptCount val="1"/>
            <c:pt idx="0">
              <c:v>COVID19 Skorea P(t) = b / {d+[( b/Po - d ) ]* exp(-b*t)}
b=0.326, d=3.91E-05, P0=174.6165 Limit=1.62 k
 21-Mar, Cases per 10 M population
log fit from 19th Feb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21155919046030849"/>
          <c:w val="0.43460159270882204"/>
          <c:h val="0.65628108641116001"/>
        </c:manualLayout>
      </c:layout>
      <c:scatterChart>
        <c:scatterStyle val="lineMarker"/>
        <c:varyColors val="0"/>
        <c:ser>
          <c:idx val="1"/>
          <c:order val="0"/>
          <c:tx>
            <c:v>Skorea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myData!SKoreaDates</c:f>
              <c:numCache>
                <c:formatCode>m/d/yyyy</c:formatCode>
                <c:ptCount val="6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</c:numCache>
            </c:numRef>
          </c:xVal>
          <c:yVal>
            <c:numRef>
              <c:f>myData!SKoreaCases</c:f>
              <c:numCache>
                <c:formatCode>0.00</c:formatCode>
                <c:ptCount val="60"/>
                <c:pt idx="0">
                  <c:v>0.19455252918287938</c:v>
                </c:pt>
                <c:pt idx="1">
                  <c:v>0.19455252918287938</c:v>
                </c:pt>
                <c:pt idx="2">
                  <c:v>0.38910505836575876</c:v>
                </c:pt>
                <c:pt idx="3">
                  <c:v>0.38910505836575876</c:v>
                </c:pt>
                <c:pt idx="4">
                  <c:v>0.58365758754863817</c:v>
                </c:pt>
                <c:pt idx="5">
                  <c:v>0.77821011673151752</c:v>
                </c:pt>
                <c:pt idx="6">
                  <c:v>0.77821011673151752</c:v>
                </c:pt>
                <c:pt idx="7">
                  <c:v>0.77821011673151752</c:v>
                </c:pt>
                <c:pt idx="8">
                  <c:v>0.77821011673151752</c:v>
                </c:pt>
                <c:pt idx="9">
                  <c:v>2.1400778210116731</c:v>
                </c:pt>
                <c:pt idx="10">
                  <c:v>2.3346303501945527</c:v>
                </c:pt>
                <c:pt idx="11">
                  <c:v>2.918287937743191</c:v>
                </c:pt>
                <c:pt idx="12">
                  <c:v>2.918287937743191</c:v>
                </c:pt>
                <c:pt idx="13">
                  <c:v>3.1128404669260701</c:v>
                </c:pt>
                <c:pt idx="14">
                  <c:v>3.6964980544747084</c:v>
                </c:pt>
                <c:pt idx="15">
                  <c:v>4.4747081712062258</c:v>
                </c:pt>
                <c:pt idx="16">
                  <c:v>4.6692607003891053</c:v>
                </c:pt>
                <c:pt idx="17">
                  <c:v>4.6692607003891053</c:v>
                </c:pt>
                <c:pt idx="18">
                  <c:v>4.8638132295719849</c:v>
                </c:pt>
                <c:pt idx="19">
                  <c:v>5.2529182879377432</c:v>
                </c:pt>
                <c:pt idx="20">
                  <c:v>5.4474708171206228</c:v>
                </c:pt>
                <c:pt idx="21">
                  <c:v>5.4474708171206228</c:v>
                </c:pt>
                <c:pt idx="22">
                  <c:v>5.4474708171206228</c:v>
                </c:pt>
                <c:pt idx="23">
                  <c:v>5.4474708171206228</c:v>
                </c:pt>
                <c:pt idx="24">
                  <c:v>5.4474708171206228</c:v>
                </c:pt>
                <c:pt idx="25">
                  <c:v>5.6420233463035023</c:v>
                </c:pt>
                <c:pt idx="26">
                  <c:v>5.8365758754863819</c:v>
                </c:pt>
                <c:pt idx="27">
                  <c:v>6.0311284046692615</c:v>
                </c:pt>
                <c:pt idx="28">
                  <c:v>6.0311284046692615</c:v>
                </c:pt>
                <c:pt idx="29">
                  <c:v>20.233463035019458</c:v>
                </c:pt>
                <c:pt idx="30">
                  <c:v>39.688715953307394</c:v>
                </c:pt>
                <c:pt idx="31">
                  <c:v>84.241245136186777</c:v>
                </c:pt>
                <c:pt idx="32">
                  <c:v>117.1206225680934</c:v>
                </c:pt>
                <c:pt idx="33">
                  <c:v>162.06225680933852</c:v>
                </c:pt>
                <c:pt idx="34">
                  <c:v>190.07782101167317</c:v>
                </c:pt>
                <c:pt idx="35">
                  <c:v>245.33073929961091</c:v>
                </c:pt>
                <c:pt idx="36">
                  <c:v>343.579766536965</c:v>
                </c:pt>
                <c:pt idx="37">
                  <c:v>454.66926070038915</c:v>
                </c:pt>
                <c:pt idx="38">
                  <c:v>612.84046692607012</c:v>
                </c:pt>
                <c:pt idx="39">
                  <c:v>726.84824902723744</c:v>
                </c:pt>
                <c:pt idx="40">
                  <c:v>843.38521400778211</c:v>
                </c:pt>
                <c:pt idx="41">
                  <c:v>1008.9494163424125</c:v>
                </c:pt>
                <c:pt idx="42">
                  <c:v>1093.5797665369651</c:v>
                </c:pt>
                <c:pt idx="43">
                  <c:v>1184.4357976653698</c:v>
                </c:pt>
                <c:pt idx="44">
                  <c:v>1282.6848249027239</c:v>
                </c:pt>
                <c:pt idx="45">
                  <c:v>1369.8443579766538</c:v>
                </c:pt>
                <c:pt idx="46">
                  <c:v>1422.95719844358</c:v>
                </c:pt>
                <c:pt idx="47">
                  <c:v>1454.8638132295721</c:v>
                </c:pt>
                <c:pt idx="48">
                  <c:v>1461.6731517509729</c:v>
                </c:pt>
                <c:pt idx="49">
                  <c:v>1508.7548638132296</c:v>
                </c:pt>
                <c:pt idx="50">
                  <c:v>1530.933852140078</c:v>
                </c:pt>
                <c:pt idx="51">
                  <c:v>1552.3346303501946</c:v>
                </c:pt>
                <c:pt idx="52">
                  <c:v>1573.1517509727628</c:v>
                </c:pt>
                <c:pt idx="53">
                  <c:v>1587.9377431906616</c:v>
                </c:pt>
                <c:pt idx="54">
                  <c:v>1602.3346303501946</c:v>
                </c:pt>
                <c:pt idx="55">
                  <c:v>1618.6770428015566</c:v>
                </c:pt>
                <c:pt idx="56">
                  <c:v>1636.7704280155642</c:v>
                </c:pt>
                <c:pt idx="57">
                  <c:v>1666.342412451362</c:v>
                </c:pt>
                <c:pt idx="58">
                  <c:v>1683.2684824902724</c:v>
                </c:pt>
                <c:pt idx="59">
                  <c:v>1711.8677042801557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myData!SKoreaSeries</c:f>
              <c:strCache>
                <c:ptCount val="1"/>
                <c:pt idx="0">
                  <c:v>Skorea Limit 1.62 k fr 19th Feb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myData!SKoreaLogiDates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myData!SKoreaLogi</c:f>
              <c:numCache>
                <c:formatCode>0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0.0">
                  <c:v>0</c:v>
                </c:pt>
                <c:pt idx="20" formatCode="0.0">
                  <c:v>0</c:v>
                </c:pt>
                <c:pt idx="21" formatCode="0.0">
                  <c:v>0</c:v>
                </c:pt>
                <c:pt idx="22" formatCode="0.0">
                  <c:v>0</c:v>
                </c:pt>
                <c:pt idx="23" formatCode="0.0">
                  <c:v>0</c:v>
                </c:pt>
                <c:pt idx="24" formatCode="0.0">
                  <c:v>0</c:v>
                </c:pt>
                <c:pt idx="25" formatCode="0.0">
                  <c:v>0</c:v>
                </c:pt>
                <c:pt idx="26" formatCode="0.0">
                  <c:v>0</c:v>
                </c:pt>
                <c:pt idx="27" formatCode="0.0">
                  <c:v>0</c:v>
                </c:pt>
                <c:pt idx="28" formatCode="0.0">
                  <c:v>33.97208078123537</c:v>
                </c:pt>
                <c:pt idx="29" formatCode="0.0">
                  <c:v>46.672398108713708</c:v>
                </c:pt>
                <c:pt idx="30" formatCode="0.0">
                  <c:v>63.929121944181304</c:v>
                </c:pt>
                <c:pt idx="31" formatCode="0.0">
                  <c:v>87.212365730357178</c:v>
                </c:pt>
                <c:pt idx="32" formatCode="0.0">
                  <c:v>118.33002173837721</c:v>
                </c:pt>
                <c:pt idx="33" formatCode="0.0">
                  <c:v>159.3948841343192</c:v>
                </c:pt>
                <c:pt idx="34" formatCode="0.0">
                  <c:v>212.69037227468675</c:v>
                </c:pt>
                <c:pt idx="35" formatCode="0.0">
                  <c:v>280.38167601959327</c:v>
                </c:pt>
                <c:pt idx="36" formatCode="0.0">
                  <c:v>364.03804388434719</c:v>
                </c:pt>
                <c:pt idx="37" formatCode="0.0">
                  <c:v>463.99994047207946</c:v>
                </c:pt>
                <c:pt idx="38" formatCode="0.0">
                  <c:v>578.74768820094698</c:v>
                </c:pt>
                <c:pt idx="39" formatCode="0.0">
                  <c:v>704.55586369342927</c:v>
                </c:pt>
                <c:pt idx="40" formatCode="0.0">
                  <c:v>835.73163340861117</c:v>
                </c:pt>
                <c:pt idx="41" formatCode="0.0">
                  <c:v>965.53066224241161</c:v>
                </c:pt>
                <c:pt idx="42" formatCode="0.0">
                  <c:v>1087.4843074954108</c:v>
                </c:pt>
                <c:pt idx="43" formatCode="0.0">
                  <c:v>1196.6159491596554</c:v>
                </c:pt>
                <c:pt idx="44" formatCode="0.0">
                  <c:v>1290.0955274486973</c:v>
                </c:pt>
                <c:pt idx="45" formatCode="0.0">
                  <c:v>1367.2153588108299</c:v>
                </c:pt>
                <c:pt idx="46" formatCode="0.0">
                  <c:v>1428.8905272208078</c:v>
                </c:pt>
                <c:pt idx="47" formatCode="0.0">
                  <c:v>1476.9989120513794</c:v>
                </c:pt>
                <c:pt idx="48" formatCode="0.0">
                  <c:v>1513.7997262165291</c:v>
                </c:pt>
                <c:pt idx="49" formatCode="0.0">
                  <c:v>1541.532747953094</c:v>
                </c:pt>
                <c:pt idx="50" formatCode="0.0">
                  <c:v>1562.1975817268885</c:v>
                </c:pt>
                <c:pt idx="51" formatCode="0.0">
                  <c:v>1577.4664368378792</c:v>
                </c:pt>
                <c:pt idx="52" formatCode="0.0">
                  <c:v>1588.6781926989806</c:v>
                </c:pt>
                <c:pt idx="53" formatCode="0.0">
                  <c:v>1596.8732337121558</c:v>
                </c:pt>
                <c:pt idx="54" formatCode="0.0">
                  <c:v>1602.843221289211</c:v>
                </c:pt>
                <c:pt idx="55" formatCode="0.0">
                  <c:v>1607.1816767544872</c:v>
                </c:pt>
                <c:pt idx="56" formatCode="0.0">
                  <c:v>1610.3288878092474</c:v>
                </c:pt>
                <c:pt idx="57" formatCode="0.0">
                  <c:v>1612.6090049613429</c:v>
                </c:pt>
                <c:pt idx="58" formatCode="0.0">
                  <c:v>1614.2593816556334</c:v>
                </c:pt>
                <c:pt idx="59" formatCode="0.0">
                  <c:v>1615.453137610544</c:v>
                </c:pt>
                <c:pt idx="60" formatCode="0.0">
                  <c:v>1616.3161871787565</c:v>
                </c:pt>
                <c:pt idx="61" formatCode="0.0">
                  <c:v>1616.9399255265625</c:v>
                </c:pt>
                <c:pt idx="62" formatCode="0.0">
                  <c:v>1617.3905950832939</c:v>
                </c:pt>
                <c:pt idx="63" formatCode="0.0">
                  <c:v>1617.7161571865997</c:v>
                </c:pt>
                <c:pt idx="64" formatCode="0.0">
                  <c:v>1617.9513107507994</c:v>
                </c:pt>
                <c:pt idx="65" formatCode="0.0">
                  <c:v>1618.1211458547045</c:v>
                </c:pt>
                <c:pt idx="66" formatCode="0.0">
                  <c:v>1618.2437974353638</c:v>
                </c:pt>
                <c:pt idx="67" formatCode="0.0">
                  <c:v>1618.3323695518145</c:v>
                </c:pt>
                <c:pt idx="68" formatCode="0.0">
                  <c:v>1618.3963290637828</c:v>
                </c:pt>
                <c:pt idx="69" formatCode="0.0">
                  <c:v>1618.4425141633185</c:v>
                </c:pt>
                <c:pt idx="70" formatCode="0.0">
                  <c:v>1618.5502261155125</c:v>
                </c:pt>
                <c:pt idx="71" formatCode="0.0">
                  <c:v>1618.5612482588517</c:v>
                </c:pt>
                <c:pt idx="72" formatCode="0.0">
                  <c:v>1618.5623760783844</c:v>
                </c:pt>
                <c:pt idx="73" formatCode="0.0">
                  <c:v>1618.5624914795626</c:v>
                </c:pt>
                <c:pt idx="74" formatCode="0.0">
                  <c:v>1618.5625032876778</c:v>
                </c:pt>
                <c:pt idx="75" formatCode="0.0">
                  <c:v>1618.5625044959111</c:v>
                </c:pt>
                <c:pt idx="76" formatCode="0.0">
                  <c:v>1618.5625046195405</c:v>
                </c:pt>
                <c:pt idx="77" formatCode="0.0">
                  <c:v>1618.5625046321907</c:v>
                </c:pt>
                <c:pt idx="78" formatCode="0.0">
                  <c:v>1618.5625046334847</c:v>
                </c:pt>
                <c:pt idx="79" formatCode="0.0">
                  <c:v>1618.5625046336172</c:v>
                </c:pt>
                <c:pt idx="80" formatCode="0.0">
                  <c:v>1618.5625046336306</c:v>
                </c:pt>
                <c:pt idx="81" formatCode="0.0">
                  <c:v>1618.562504633632</c:v>
                </c:pt>
                <c:pt idx="82" formatCode="0.0">
                  <c:v>1618.5625046336322</c:v>
                </c:pt>
                <c:pt idx="83" formatCode="0.0">
                  <c:v>1618.5625046336322</c:v>
                </c:pt>
                <c:pt idx="84" formatCode="0.0">
                  <c:v>1618.5625046336322</c:v>
                </c:pt>
                <c:pt idx="85" formatCode="0.0">
                  <c:v>1618.5625046336322</c:v>
                </c:pt>
                <c:pt idx="86" formatCode="0.0">
                  <c:v>1618.5625046336322</c:v>
                </c:pt>
                <c:pt idx="87" formatCode="0.0">
                  <c:v>1618.5625046336322</c:v>
                </c:pt>
                <c:pt idx="88" formatCode="0.0">
                  <c:v>1618.5625046336322</c:v>
                </c:pt>
                <c:pt idx="89" formatCode="0.0">
                  <c:v>1618.5625046336322</c:v>
                </c:pt>
                <c:pt idx="90" formatCode="0.0">
                  <c:v>1618.5625046336322</c:v>
                </c:pt>
                <c:pt idx="91" formatCode="0.0">
                  <c:v>1618.5625046336322</c:v>
                </c:pt>
                <c:pt idx="92" formatCode="0.0">
                  <c:v>1618.5625046336322</c:v>
                </c:pt>
                <c:pt idx="93" formatCode="0.0">
                  <c:v>1618.5625046336322</c:v>
                </c:pt>
                <c:pt idx="94" formatCode="0.0">
                  <c:v>1618.5625046336322</c:v>
                </c:pt>
                <c:pt idx="95" formatCode="0.0">
                  <c:v>1618.5625046336322</c:v>
                </c:pt>
                <c:pt idx="96" formatCode="0.0">
                  <c:v>1618.5625046336322</c:v>
                </c:pt>
                <c:pt idx="97" formatCode="0.0">
                  <c:v>1618.5625046336322</c:v>
                </c:pt>
                <c:pt idx="98" formatCode="0.0">
                  <c:v>1618.5625046336322</c:v>
                </c:pt>
                <c:pt idx="99" formatCode="0.0">
                  <c:v>1618.5625046336322</c:v>
                </c:pt>
                <c:pt idx="100" formatCode="0.0">
                  <c:v>1618.5625046336322</c:v>
                </c:pt>
                <c:pt idx="101" formatCode="0.0">
                  <c:v>1618.5625046336322</c:v>
                </c:pt>
                <c:pt idx="102" formatCode="0.0">
                  <c:v>1618.5625046336322</c:v>
                </c:pt>
                <c:pt idx="103" formatCode="0.0">
                  <c:v>1618.5625046336322</c:v>
                </c:pt>
                <c:pt idx="104" formatCode="0.0">
                  <c:v>1618.5625046336322</c:v>
                </c:pt>
                <c:pt idx="105" formatCode="0.0">
                  <c:v>1618.5625046336322</c:v>
                </c:pt>
                <c:pt idx="106" formatCode="0.0">
                  <c:v>1618.5625046336322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391440"/>
        <c:axId val="747399672"/>
      </c:scatterChart>
      <c:valAx>
        <c:axId val="747391440"/>
        <c:scaling>
          <c:orientation val="minMax"/>
          <c:max val="43951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399672"/>
        <c:crossesAt val="0.1"/>
        <c:crossBetween val="midCat"/>
        <c:majorUnit val="14"/>
        <c:minorUnit val="7"/>
      </c:valAx>
      <c:valAx>
        <c:axId val="747399672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391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275133186791321"/>
          <c:y val="0.58213656994533147"/>
          <c:w val="0.12878276497026317"/>
          <c:h val="0.237215237598062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myData!$DZ$13</c:f>
          <c:strCache>
            <c:ptCount val="1"/>
            <c:pt idx="0">
              <c:v>Australia Limit 80.2 k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155249501375E-2"/>
          <c:y val="8.8784482050240948E-2"/>
          <c:w val="0.45877135106010902"/>
          <c:h val="0.76714659526682405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127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  <c:pt idx="56">
                  <c:v>539.60396039603961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3.37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0</c:v>
                </c:pt>
                <c:pt idx="1">
                  <c:v>6.5668371760367735E-3</c:v>
                </c:pt>
                <c:pt idx="2">
                  <c:v>8.0957390525511312E-3</c:v>
                </c:pt>
                <c:pt idx="3">
                  <c:v>9.9806013354093066E-3</c:v>
                </c:pt>
                <c:pt idx="4">
                  <c:v>1.2304298521319826E-2</c:v>
                </c:pt>
                <c:pt idx="5">
                  <c:v>1.5168999614853435E-2</c:v>
                </c:pt>
                <c:pt idx="6">
                  <c:v>1.8700660050355006E-2</c:v>
                </c:pt>
                <c:pt idx="7">
                  <c:v>2.3054559293697274E-2</c:v>
                </c:pt>
                <c:pt idx="8">
                  <c:v>2.8422127508931781E-2</c:v>
                </c:pt>
                <c:pt idx="9">
                  <c:v>3.5039361302685458E-2</c:v>
                </c:pt>
                <c:pt idx="10">
                  <c:v>4.319719835157973E-2</c:v>
                </c:pt>
                <c:pt idx="11">
                  <c:v>5.3254306729860292E-2</c:v>
                </c:pt>
                <c:pt idx="12">
                  <c:v>6.5652850746616656E-2</c:v>
                </c:pt>
                <c:pt idx="13">
                  <c:v>8.0937925702799993E-2</c:v>
                </c:pt>
                <c:pt idx="14">
                  <c:v>9.9781514881455841E-2</c:v>
                </c:pt>
                <c:pt idx="15">
                  <c:v>0.12301202029099387</c:v>
                </c:pt>
                <c:pt idx="16">
                  <c:v>0.1516506627935062</c:v>
                </c:pt>
                <c:pt idx="17">
                  <c:v>0.18695634783076903</c:v>
                </c:pt>
                <c:pt idx="18">
                  <c:v>0.23048096296645523</c:v>
                </c:pt>
                <c:pt idx="19">
                  <c:v>0.28413752876894738</c:v>
                </c:pt>
                <c:pt idx="20">
                  <c:v>0.35028418458564975</c:v>
                </c:pt>
                <c:pt idx="21">
                  <c:v>0.43182767922132692</c:v>
                </c:pt>
                <c:pt idx="22">
                  <c:v>0.53235088231973038</c:v>
                </c:pt>
                <c:pt idx="23">
                  <c:v>0.65626987045110352</c:v>
                </c:pt>
                <c:pt idx="24">
                  <c:v>0.80902741499361897</c:v>
                </c:pt>
                <c:pt idx="25">
                  <c:v>0.99733125800976163</c:v>
                </c:pt>
                <c:pt idx="26">
                  <c:v>1.2294474686826435</c:v>
                </c:pt>
                <c:pt idx="27">
                  <c:v>1.5155614991990152</c:v>
                </c:pt>
                <c:pt idx="28">
                  <c:v>1.8682223906858584</c:v>
                </c:pt>
                <c:pt idx="29">
                  <c:v>2.3028890159186326</c:v>
                </c:pt>
                <c:pt idx="30">
                  <c:v>2.8386013984874459</c:v>
                </c:pt>
                <c:pt idx="31">
                  <c:v>3.4988051421482815</c:v>
                </c:pt>
                <c:pt idx="32">
                  <c:v>4.3123629706140028</c:v>
                </c:pt>
                <c:pt idx="33">
                  <c:v>5.3147944464555765</c:v>
                </c:pt>
                <c:pt idx="34">
                  <c:v>6.5497932188105352</c:v>
                </c:pt>
                <c:pt idx="35">
                  <c:v>8.0710807069577353</c:v>
                </c:pt>
                <c:pt idx="36">
                  <c:v>9.9446659310667442</c:v>
                </c:pt>
                <c:pt idx="37">
                  <c:v>12.25159305691732</c:v>
                </c:pt>
                <c:pt idx="38">
                  <c:v>15.091270653610515</c:v>
                </c:pt>
                <c:pt idx="39">
                  <c:v>18.585488749042639</c:v>
                </c:pt>
                <c:pt idx="40">
                  <c:v>22.88323988485061</c:v>
                </c:pt>
                <c:pt idx="41">
                  <c:v>28.166465839171799</c:v>
                </c:pt>
                <c:pt idx="42">
                  <c:v>34.656848258804871</c:v>
                </c:pt>
                <c:pt idx="43">
                  <c:v>42.623742642982165</c:v>
                </c:pt>
                <c:pt idx="44">
                  <c:v>52.393311376355804</c:v>
                </c:pt>
                <c:pt idx="45">
                  <c:v>64.358829154120798</c:v>
                </c:pt>
                <c:pt idx="46">
                  <c:v>78.991994433349774</c:v>
                </c:pt>
                <c:pt idx="47">
                  <c:v>96.854859051729477</c:v>
                </c:pt>
                <c:pt idx="48">
                  <c:v>118.61165527951668</c:v>
                </c:pt>
                <c:pt idx="49">
                  <c:v>145.03932351777351</c:v>
                </c:pt>
                <c:pt idx="50">
                  <c:v>177.03489820005046</c:v>
                </c:pt>
                <c:pt idx="51">
                  <c:v>215.61708830699396</c:v>
                </c:pt>
                <c:pt idx="52">
                  <c:v>261.91843309590155</c:v>
                </c:pt>
                <c:pt idx="53">
                  <c:v>317.16345006951468</c:v>
                </c:pt>
                <c:pt idx="54">
                  <c:v>382.62748330154653</c:v>
                </c:pt>
                <c:pt idx="55">
                  <c:v>459.57094877467205</c:v>
                </c:pt>
                <c:pt idx="56">
                  <c:v>549.14498726747604</c:v>
                </c:pt>
                <c:pt idx="57">
                  <c:v>652.26789222819855</c:v>
                </c:pt>
                <c:pt idx="58">
                  <c:v>769.47762022529503</c:v>
                </c:pt>
                <c:pt idx="59">
                  <c:v>900.7741053976489</c:v>
                </c:pt>
                <c:pt idx="60">
                  <c:v>1045.4746492538213</c:v>
                </c:pt>
                <c:pt idx="61">
                  <c:v>1202.1134198547247</c:v>
                </c:pt>
                <c:pt idx="62">
                  <c:v>1368.4179465667205</c:v>
                </c:pt>
                <c:pt idx="63">
                  <c:v>1541.3876541979275</c:v>
                </c:pt>
                <c:pt idx="64">
                  <c:v>1717.480925979138</c:v>
                </c:pt>
                <c:pt idx="65">
                  <c:v>1892.8916726070725</c:v>
                </c:pt>
                <c:pt idx="66">
                  <c:v>2063.8721885906225</c:v>
                </c:pt>
                <c:pt idx="67">
                  <c:v>2941.3726307808315</c:v>
                </c:pt>
                <c:pt idx="68">
                  <c:v>3261.7910977495617</c:v>
                </c:pt>
                <c:pt idx="69">
                  <c:v>3346.0064192518171</c:v>
                </c:pt>
                <c:pt idx="70" formatCode="0.00E+00">
                  <c:v>3366.0861109167863</c:v>
                </c:pt>
                <c:pt idx="71" formatCode="0.00E+00">
                  <c:v>3370.7597472822554</c:v>
                </c:pt>
                <c:pt idx="72" formatCode="0.00E+00">
                  <c:v>3371.8414145494571</c:v>
                </c:pt>
                <c:pt idx="73" formatCode="0.00E+00">
                  <c:v>3372.0914272547952</c:v>
                </c:pt>
                <c:pt idx="74" formatCode="0.00E+00">
                  <c:v>3372.1491967496681</c:v>
                </c:pt>
                <c:pt idx="75" formatCode="0.00E+00">
                  <c:v>3372.1625443925723</c:v>
                </c:pt>
                <c:pt idx="76" formatCode="0.00E+00">
                  <c:v>3372.1656283157108</c:v>
                </c:pt>
                <c:pt idx="77" formatCode="0.00E+00">
                  <c:v>3372.1663408419859</c:v>
                </c:pt>
                <c:pt idx="78" formatCode="0.00E+00">
                  <c:v>3372.166505467766</c:v>
                </c:pt>
                <c:pt idx="79" formatCode="0.00E+00">
                  <c:v>3372.1665435037562</c:v>
                </c:pt>
                <c:pt idx="80" formatCode="0.00E+00">
                  <c:v>3372.1665522917879</c:v>
                </c:pt>
                <c:pt idx="81" formatCode="0.00E+00">
                  <c:v>3372.1665543222189</c:v>
                </c:pt>
                <c:pt idx="82" formatCode="0.00E+00">
                  <c:v>3372.1665547913408</c:v>
                </c:pt>
                <c:pt idx="83" formatCode="0.00E+00">
                  <c:v>3372.1665548997289</c:v>
                </c:pt>
                <c:pt idx="84" formatCode="0.00E+00">
                  <c:v>3372.1665549247709</c:v>
                </c:pt>
                <c:pt idx="85" formatCode="0.00E+00">
                  <c:v>3372.1665549305576</c:v>
                </c:pt>
                <c:pt idx="86" formatCode="0.00E+00">
                  <c:v>3372.1665549318946</c:v>
                </c:pt>
                <c:pt idx="87" formatCode="0.00E+00">
                  <c:v>3372.1665549322029</c:v>
                </c:pt>
                <c:pt idx="88" formatCode="0.00E+00">
                  <c:v>3372.1665549322743</c:v>
                </c:pt>
                <c:pt idx="89" formatCode="0.00E+00">
                  <c:v>3372.1665549322911</c:v>
                </c:pt>
                <c:pt idx="90" formatCode="0.00E+00">
                  <c:v>3372.1665549322947</c:v>
                </c:pt>
                <c:pt idx="91" formatCode="0.00E+00">
                  <c:v>3372.1665549322956</c:v>
                </c:pt>
                <c:pt idx="92" formatCode="0.00E+00">
                  <c:v>3372.1665549322956</c:v>
                </c:pt>
                <c:pt idx="93" formatCode="0.00E+00">
                  <c:v>3372.1665549322956</c:v>
                </c:pt>
                <c:pt idx="94" formatCode="0.00E+00">
                  <c:v>3372.1665549322956</c:v>
                </c:pt>
                <c:pt idx="95" formatCode="0.00E+00">
                  <c:v>3372.1665549322956</c:v>
                </c:pt>
                <c:pt idx="96" formatCode="0.00E+00">
                  <c:v>3372.1665549322956</c:v>
                </c:pt>
                <c:pt idx="97" formatCode="0.00E+00">
                  <c:v>3372.1665549322956</c:v>
                </c:pt>
                <c:pt idx="98" formatCode="0.00E+00">
                  <c:v>3372.1665549322956</c:v>
                </c:pt>
                <c:pt idx="99" formatCode="0.00E+00">
                  <c:v>3372.1665549322956</c:v>
                </c:pt>
                <c:pt idx="100" formatCode="0.00E+00">
                  <c:v>3372.1665549322956</c:v>
                </c:pt>
                <c:pt idx="101" formatCode="0.00E+00">
                  <c:v>3372.1665549322956</c:v>
                </c:pt>
                <c:pt idx="102" formatCode="0.00E+00">
                  <c:v>3372.1665549322956</c:v>
                </c:pt>
                <c:pt idx="103" formatCode="0.00E+00">
                  <c:v>3372.1665549322956</c:v>
                </c:pt>
              </c:numCache>
            </c:numRef>
          </c:yVal>
          <c:smooth val="0"/>
        </c:ser>
        <c:ser>
          <c:idx val="2"/>
          <c:order val="2"/>
          <c:tx>
            <c:v>US Confirmed Cases</c:v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2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2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580.14551422406544</c:v>
                </c:pt>
                <c:pt idx="41">
                  <c:v>733.47402499909595</c:v>
                </c:pt>
              </c:numCache>
            </c:numRef>
          </c:yVal>
          <c:smooth val="0"/>
        </c:ser>
        <c:ser>
          <c:idx val="5"/>
          <c:order val="3"/>
          <c:tx>
            <c:strRef>
              <c:f>myData!USSeries</c:f>
              <c:strCache>
                <c:ptCount val="1"/>
                <c:pt idx="0">
                  <c:v>USA Limit 10.6 M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5.193930970840842E-4</c:v>
                </c:pt>
                <c:pt idx="1">
                  <c:v>7.3535715103043595E-4</c:v>
                </c:pt>
                <c:pt idx="2">
                  <c:v>1.0411192266566833E-3</c:v>
                </c:pt>
                <c:pt idx="3">
                  <c:v>1.4740174112433412E-3</c:v>
                </c:pt>
                <c:pt idx="4">
                  <c:v>2.0869149978035724E-3</c:v>
                </c:pt>
                <c:pt idx="5">
                  <c:v>2.9546558776932931E-3</c:v>
                </c:pt>
                <c:pt idx="6">
                  <c:v>4.1832040904767921E-3</c:v>
                </c:pt>
                <c:pt idx="7">
                  <c:v>5.9225836057080839E-3</c:v>
                </c:pt>
                <c:pt idx="8">
                  <c:v>8.385198475984958E-3</c:v>
                </c:pt>
                <c:pt idx="9">
                  <c:v>1.1871770523775842E-2</c:v>
                </c:pt>
                <c:pt idx="10">
                  <c:v>1.6808061938365818E-2</c:v>
                </c:pt>
                <c:pt idx="11">
                  <c:v>2.3796867156692873E-2</c:v>
                </c:pt>
                <c:pt idx="12">
                  <c:v>3.3691623007698512E-2</c:v>
                </c:pt>
                <c:pt idx="13">
                  <c:v>4.770062600998351E-2</c:v>
                </c:pt>
                <c:pt idx="14">
                  <c:v>6.753458329892309E-2</c:v>
                </c:pt>
                <c:pt idx="15">
                  <c:v>9.5615515336067297E-2</c:v>
                </c:pt>
                <c:pt idx="16">
                  <c:v>0.1353725205115737</c:v>
                </c:pt>
                <c:pt idx="17">
                  <c:v>0.1916605188662156</c:v>
                </c:pt>
                <c:pt idx="18">
                  <c:v>0.2713531097141611</c:v>
                </c:pt>
                <c:pt idx="19">
                  <c:v>0.3841819397969588</c:v>
                </c:pt>
                <c:pt idx="20">
                  <c:v>0.54392508110915672</c:v>
                </c:pt>
                <c:pt idx="21">
                  <c:v>0.77008953662744506</c:v>
                </c:pt>
                <c:pt idx="22">
                  <c:v>1.0902933321866461</c:v>
                </c:pt>
                <c:pt idx="23">
                  <c:v>1.5436380819174718</c:v>
                </c:pt>
                <c:pt idx="24">
                  <c:v>2.185483864820378</c:v>
                </c:pt>
                <c:pt idx="25">
                  <c:v>3.0942094903209032</c:v>
                </c:pt>
                <c:pt idx="26">
                  <c:v>4.3807836706384702</c:v>
                </c:pt>
                <c:pt idx="27">
                  <c:v>6.2023158602681345</c:v>
                </c:pt>
                <c:pt idx="28">
                  <c:v>8.781241477299714</c:v>
                </c:pt>
                <c:pt idx="29">
                  <c:v>12.432484218858587</c:v>
                </c:pt>
                <c:pt idx="30">
                  <c:v>17.601912216169257</c:v>
                </c:pt>
                <c:pt idx="31">
                  <c:v>24.920783743050126</c:v>
                </c:pt>
                <c:pt idx="32">
                  <c:v>35.28283039838319</c:v>
                </c:pt>
                <c:pt idx="33">
                  <c:v>49.953389342971647</c:v>
                </c:pt>
                <c:pt idx="34">
                  <c:v>70.723908409874383</c:v>
                </c:pt>
                <c:pt idx="35">
                  <c:v>100.13068574918965</c:v>
                </c:pt>
                <c:pt idx="36">
                  <c:v>141.76454392688726</c:v>
                </c:pt>
                <c:pt idx="37">
                  <c:v>200.70923135585824</c:v>
                </c:pt>
                <c:pt idx="38">
                  <c:v>284.16204042947339</c:v>
                </c:pt>
                <c:pt idx="39">
                  <c:v>402.31233694173619</c:v>
                </c:pt>
                <c:pt idx="40">
                  <c:v>569.58509768037231</c:v>
                </c:pt>
                <c:pt idx="41">
                  <c:v>806.4009406300238</c:v>
                </c:pt>
                <c:pt idx="42">
                  <c:v>1141.6668321834684</c:v>
                </c:pt>
                <c:pt idx="43">
                  <c:v>1616.3001380011358</c:v>
                </c:pt>
                <c:pt idx="44">
                  <c:v>2288.2133797583178</c:v>
                </c:pt>
                <c:pt idx="45">
                  <c:v>3239.3624476806749</c:v>
                </c:pt>
                <c:pt idx="46">
                  <c:v>4585.7070185616276</c:v>
                </c:pt>
                <c:pt idx="47">
                  <c:v>6491.2755880115774</c:v>
                </c:pt>
                <c:pt idx="48">
                  <c:v>9188.0048339360455</c:v>
                </c:pt>
                <c:pt idx="49">
                  <c:v>13003.680360408853</c:v>
                </c:pt>
                <c:pt idx="50">
                  <c:v>18401.199809806461</c:v>
                </c:pt>
                <c:pt idx="51">
                  <c:v>26033.57209292673</c:v>
                </c:pt>
                <c:pt idx="52">
                  <c:v>289435.73659390328</c:v>
                </c:pt>
                <c:pt idx="53">
                  <c:v>2568199.6237219297</c:v>
                </c:pt>
                <c:pt idx="54">
                  <c:v>8296554.6869443115</c:v>
                </c:pt>
                <c:pt idx="55">
                  <c:v>10314066.298710763</c:v>
                </c:pt>
                <c:pt idx="56">
                  <c:v>10538813.850386472</c:v>
                </c:pt>
                <c:pt idx="57">
                  <c:v>10558991.587875744</c:v>
                </c:pt>
                <c:pt idx="58">
                  <c:v>10560764.801574374</c:v>
                </c:pt>
                <c:pt idx="59">
                  <c:v>10560920.335585911</c:v>
                </c:pt>
                <c:pt idx="60">
                  <c:v>10560933.975678036</c:v>
                </c:pt>
                <c:pt idx="61">
                  <c:v>10560935.171875525</c:v>
                </c:pt>
                <c:pt idx="62">
                  <c:v>10560935.276778527</c:v>
                </c:pt>
                <c:pt idx="63">
                  <c:v>10560935.285978211</c:v>
                </c:pt>
                <c:pt idx="64">
                  <c:v>10560935.286784995</c:v>
                </c:pt>
                <c:pt idx="65">
                  <c:v>10560935.28685575</c:v>
                </c:pt>
                <c:pt idx="66">
                  <c:v>10560935.286861954</c:v>
                </c:pt>
                <c:pt idx="67">
                  <c:v>10560935.286862496</c:v>
                </c:pt>
                <c:pt idx="68">
                  <c:v>10560935.286862545</c:v>
                </c:pt>
                <c:pt idx="69">
                  <c:v>10560935.286862548</c:v>
                </c:pt>
                <c:pt idx="70">
                  <c:v>10560935.286862548</c:v>
                </c:pt>
                <c:pt idx="71">
                  <c:v>10560935.286862548</c:v>
                </c:pt>
                <c:pt idx="72">
                  <c:v>10560935.286862548</c:v>
                </c:pt>
                <c:pt idx="73">
                  <c:v>10560935.286862548</c:v>
                </c:pt>
                <c:pt idx="74">
                  <c:v>10560935.286862548</c:v>
                </c:pt>
                <c:pt idx="75">
                  <c:v>10560935.286862548</c:v>
                </c:pt>
                <c:pt idx="76">
                  <c:v>10560935.286862548</c:v>
                </c:pt>
                <c:pt idx="77">
                  <c:v>10560935.286862548</c:v>
                </c:pt>
                <c:pt idx="78">
                  <c:v>10560935.286862548</c:v>
                </c:pt>
                <c:pt idx="79">
                  <c:v>10560935.286862548</c:v>
                </c:pt>
                <c:pt idx="80">
                  <c:v>10560935.286862548</c:v>
                </c:pt>
                <c:pt idx="81">
                  <c:v>10560935.286862548</c:v>
                </c:pt>
                <c:pt idx="82">
                  <c:v>10560935.286862548</c:v>
                </c:pt>
                <c:pt idx="83">
                  <c:v>10560935.286862548</c:v>
                </c:pt>
                <c:pt idx="84">
                  <c:v>10560935.286862548</c:v>
                </c:pt>
                <c:pt idx="85">
                  <c:v>10560935.286862548</c:v>
                </c:pt>
                <c:pt idx="86">
                  <c:v>10560935.286862548</c:v>
                </c:pt>
                <c:pt idx="87">
                  <c:v>10560935.286862548</c:v>
                </c:pt>
                <c:pt idx="88">
                  <c:v>10560935.286862548</c:v>
                </c:pt>
              </c:numCache>
            </c:numRef>
          </c:yVal>
          <c:smooth val="0"/>
        </c:ser>
        <c:ser>
          <c:idx val="8"/>
          <c:order val="4"/>
          <c:tx>
            <c:v>Pop Limit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myData!$CY$11:$CY$12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myData!$DA$11:$DA$12</c:f>
              <c:numCache>
                <c:formatCode>0.00000E+00</c:formatCode>
                <c:ptCount val="2"/>
                <c:pt idx="0">
                  <c:v>10000000</c:v>
                </c:pt>
                <c:pt idx="1">
                  <c:v>10000000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402808"/>
        <c:axId val="747398104"/>
      </c:scatterChart>
      <c:valAx>
        <c:axId val="747402808"/>
        <c:scaling>
          <c:orientation val="minMax"/>
          <c:max val="43968"/>
          <c:min val="4384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398104"/>
        <c:crossesAt val="1.0000000000000002E-2"/>
        <c:crossBetween val="midCat"/>
        <c:majorUnit val="14"/>
        <c:minorUnit val="7"/>
      </c:valAx>
      <c:valAx>
        <c:axId val="747398104"/>
        <c:scaling>
          <c:logBase val="10"/>
          <c:orientation val="minMax"/>
          <c:max val="100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0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6219883231344037"/>
          <c:y val="0.75285835477749941"/>
          <c:w val="0.35869968153221921"/>
          <c:h val="0.22593665455231515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myData!$DZ$12</c:f>
          <c:strCache>
            <c:ptCount val="1"/>
            <c:pt idx="0">
              <c:v>Australia Limit 782 M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155249501375E-2"/>
          <c:y val="8.8784482050240948E-2"/>
          <c:w val="0.45877135106010902"/>
          <c:h val="0.76714659526682405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127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  <c:pt idx="56">
                  <c:v>539.60396039603961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3.37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0</c:v>
                </c:pt>
                <c:pt idx="1">
                  <c:v>6.5668371760367735E-3</c:v>
                </c:pt>
                <c:pt idx="2">
                  <c:v>8.0957390525511312E-3</c:v>
                </c:pt>
                <c:pt idx="3">
                  <c:v>9.9806013354093066E-3</c:v>
                </c:pt>
                <c:pt idx="4">
                  <c:v>1.2304298521319826E-2</c:v>
                </c:pt>
                <c:pt idx="5">
                  <c:v>1.5168999614853435E-2</c:v>
                </c:pt>
                <c:pt idx="6">
                  <c:v>1.8700660050355006E-2</c:v>
                </c:pt>
                <c:pt idx="7">
                  <c:v>2.3054559293697274E-2</c:v>
                </c:pt>
                <c:pt idx="8">
                  <c:v>2.8422127508931781E-2</c:v>
                </c:pt>
                <c:pt idx="9">
                  <c:v>3.5039361302685458E-2</c:v>
                </c:pt>
                <c:pt idx="10">
                  <c:v>4.319719835157973E-2</c:v>
                </c:pt>
                <c:pt idx="11">
                  <c:v>5.3254306729860292E-2</c:v>
                </c:pt>
                <c:pt idx="12">
                  <c:v>6.5652850746616656E-2</c:v>
                </c:pt>
                <c:pt idx="13">
                  <c:v>8.0937925702799993E-2</c:v>
                </c:pt>
                <c:pt idx="14">
                  <c:v>9.9781514881455841E-2</c:v>
                </c:pt>
                <c:pt idx="15">
                  <c:v>0.12301202029099387</c:v>
                </c:pt>
                <c:pt idx="16">
                  <c:v>0.1516506627935062</c:v>
                </c:pt>
                <c:pt idx="17">
                  <c:v>0.18695634783076903</c:v>
                </c:pt>
                <c:pt idx="18">
                  <c:v>0.23048096296645523</c:v>
                </c:pt>
                <c:pt idx="19">
                  <c:v>0.28413752876894738</c:v>
                </c:pt>
                <c:pt idx="20">
                  <c:v>0.35028418458564975</c:v>
                </c:pt>
                <c:pt idx="21">
                  <c:v>0.43182767922132692</c:v>
                </c:pt>
                <c:pt idx="22">
                  <c:v>0.53235088231973038</c:v>
                </c:pt>
                <c:pt idx="23">
                  <c:v>0.65626987045110352</c:v>
                </c:pt>
                <c:pt idx="24">
                  <c:v>0.80902741499361897</c:v>
                </c:pt>
                <c:pt idx="25">
                  <c:v>0.99733125800976163</c:v>
                </c:pt>
                <c:pt idx="26">
                  <c:v>1.2294474686826435</c:v>
                </c:pt>
                <c:pt idx="27">
                  <c:v>1.5155614991990152</c:v>
                </c:pt>
                <c:pt idx="28">
                  <c:v>1.8682223906858584</c:v>
                </c:pt>
                <c:pt idx="29">
                  <c:v>2.3028890159186326</c:v>
                </c:pt>
                <c:pt idx="30">
                  <c:v>2.8386013984874459</c:v>
                </c:pt>
                <c:pt idx="31">
                  <c:v>3.4988051421482815</c:v>
                </c:pt>
                <c:pt idx="32">
                  <c:v>4.3123629706140028</c:v>
                </c:pt>
                <c:pt idx="33">
                  <c:v>5.3147944464555765</c:v>
                </c:pt>
                <c:pt idx="34">
                  <c:v>6.5497932188105352</c:v>
                </c:pt>
                <c:pt idx="35">
                  <c:v>8.0710807069577353</c:v>
                </c:pt>
                <c:pt idx="36">
                  <c:v>9.9446659310667442</c:v>
                </c:pt>
                <c:pt idx="37">
                  <c:v>12.25159305691732</c:v>
                </c:pt>
                <c:pt idx="38">
                  <c:v>15.091270653610515</c:v>
                </c:pt>
                <c:pt idx="39">
                  <c:v>18.585488749042639</c:v>
                </c:pt>
                <c:pt idx="40">
                  <c:v>22.88323988485061</c:v>
                </c:pt>
                <c:pt idx="41">
                  <c:v>28.166465839171799</c:v>
                </c:pt>
                <c:pt idx="42">
                  <c:v>34.656848258804871</c:v>
                </c:pt>
                <c:pt idx="43">
                  <c:v>42.623742642982165</c:v>
                </c:pt>
                <c:pt idx="44">
                  <c:v>52.393311376355804</c:v>
                </c:pt>
                <c:pt idx="45">
                  <c:v>64.358829154120798</c:v>
                </c:pt>
                <c:pt idx="46">
                  <c:v>78.991994433349774</c:v>
                </c:pt>
                <c:pt idx="47">
                  <c:v>96.854859051729477</c:v>
                </c:pt>
                <c:pt idx="48">
                  <c:v>118.61165527951668</c:v>
                </c:pt>
                <c:pt idx="49">
                  <c:v>145.03932351777351</c:v>
                </c:pt>
                <c:pt idx="50">
                  <c:v>177.03489820005046</c:v>
                </c:pt>
                <c:pt idx="51">
                  <c:v>215.61708830699396</c:v>
                </c:pt>
                <c:pt idx="52">
                  <c:v>261.91843309590155</c:v>
                </c:pt>
                <c:pt idx="53">
                  <c:v>317.16345006951468</c:v>
                </c:pt>
                <c:pt idx="54">
                  <c:v>382.62748330154653</c:v>
                </c:pt>
                <c:pt idx="55">
                  <c:v>459.57094877467205</c:v>
                </c:pt>
                <c:pt idx="56">
                  <c:v>549.14498726747604</c:v>
                </c:pt>
                <c:pt idx="57">
                  <c:v>652.26789222819855</c:v>
                </c:pt>
                <c:pt idx="58">
                  <c:v>769.47762022529503</c:v>
                </c:pt>
                <c:pt idx="59">
                  <c:v>900.7741053976489</c:v>
                </c:pt>
                <c:pt idx="60">
                  <c:v>1045.4746492538213</c:v>
                </c:pt>
                <c:pt idx="61">
                  <c:v>1202.1134198547247</c:v>
                </c:pt>
                <c:pt idx="62">
                  <c:v>1368.4179465667205</c:v>
                </c:pt>
                <c:pt idx="63">
                  <c:v>1541.3876541979275</c:v>
                </c:pt>
                <c:pt idx="64">
                  <c:v>1717.480925979138</c:v>
                </c:pt>
                <c:pt idx="65">
                  <c:v>1892.8916726070725</c:v>
                </c:pt>
                <c:pt idx="66">
                  <c:v>2063.8721885906225</c:v>
                </c:pt>
                <c:pt idx="67">
                  <c:v>2941.3726307808315</c:v>
                </c:pt>
                <c:pt idx="68">
                  <c:v>3261.7910977495617</c:v>
                </c:pt>
                <c:pt idx="69">
                  <c:v>3346.0064192518171</c:v>
                </c:pt>
                <c:pt idx="70" formatCode="0.00E+00">
                  <c:v>3366.0861109167863</c:v>
                </c:pt>
                <c:pt idx="71" formatCode="0.00E+00">
                  <c:v>3370.7597472822554</c:v>
                </c:pt>
                <c:pt idx="72" formatCode="0.00E+00">
                  <c:v>3371.8414145494571</c:v>
                </c:pt>
                <c:pt idx="73" formatCode="0.00E+00">
                  <c:v>3372.0914272547952</c:v>
                </c:pt>
                <c:pt idx="74" formatCode="0.00E+00">
                  <c:v>3372.1491967496681</c:v>
                </c:pt>
                <c:pt idx="75" formatCode="0.00E+00">
                  <c:v>3372.1625443925723</c:v>
                </c:pt>
                <c:pt idx="76" formatCode="0.00E+00">
                  <c:v>3372.1656283157108</c:v>
                </c:pt>
                <c:pt idx="77" formatCode="0.00E+00">
                  <c:v>3372.1663408419859</c:v>
                </c:pt>
                <c:pt idx="78" formatCode="0.00E+00">
                  <c:v>3372.166505467766</c:v>
                </c:pt>
                <c:pt idx="79" formatCode="0.00E+00">
                  <c:v>3372.1665435037562</c:v>
                </c:pt>
                <c:pt idx="80" formatCode="0.00E+00">
                  <c:v>3372.1665522917879</c:v>
                </c:pt>
                <c:pt idx="81" formatCode="0.00E+00">
                  <c:v>3372.1665543222189</c:v>
                </c:pt>
                <c:pt idx="82" formatCode="0.00E+00">
                  <c:v>3372.1665547913408</c:v>
                </c:pt>
                <c:pt idx="83" formatCode="0.00E+00">
                  <c:v>3372.1665548997289</c:v>
                </c:pt>
                <c:pt idx="84" formatCode="0.00E+00">
                  <c:v>3372.1665549247709</c:v>
                </c:pt>
                <c:pt idx="85" formatCode="0.00E+00">
                  <c:v>3372.1665549305576</c:v>
                </c:pt>
                <c:pt idx="86" formatCode="0.00E+00">
                  <c:v>3372.1665549318946</c:v>
                </c:pt>
                <c:pt idx="87" formatCode="0.00E+00">
                  <c:v>3372.1665549322029</c:v>
                </c:pt>
                <c:pt idx="88" formatCode="0.00E+00">
                  <c:v>3372.1665549322743</c:v>
                </c:pt>
                <c:pt idx="89" formatCode="0.00E+00">
                  <c:v>3372.1665549322911</c:v>
                </c:pt>
                <c:pt idx="90" formatCode="0.00E+00">
                  <c:v>3372.1665549322947</c:v>
                </c:pt>
                <c:pt idx="91" formatCode="0.00E+00">
                  <c:v>3372.1665549322956</c:v>
                </c:pt>
                <c:pt idx="92" formatCode="0.00E+00">
                  <c:v>3372.1665549322956</c:v>
                </c:pt>
                <c:pt idx="93" formatCode="0.00E+00">
                  <c:v>3372.1665549322956</c:v>
                </c:pt>
                <c:pt idx="94" formatCode="0.00E+00">
                  <c:v>3372.1665549322956</c:v>
                </c:pt>
                <c:pt idx="95" formatCode="0.00E+00">
                  <c:v>3372.1665549322956</c:v>
                </c:pt>
                <c:pt idx="96" formatCode="0.00E+00">
                  <c:v>3372.1665549322956</c:v>
                </c:pt>
                <c:pt idx="97" formatCode="0.00E+00">
                  <c:v>3372.1665549322956</c:v>
                </c:pt>
                <c:pt idx="98" formatCode="0.00E+00">
                  <c:v>3372.1665549322956</c:v>
                </c:pt>
                <c:pt idx="99" formatCode="0.00E+00">
                  <c:v>3372.1665549322956</c:v>
                </c:pt>
                <c:pt idx="100" formatCode="0.00E+00">
                  <c:v>3372.1665549322956</c:v>
                </c:pt>
                <c:pt idx="101" formatCode="0.00E+00">
                  <c:v>3372.1665549322956</c:v>
                </c:pt>
                <c:pt idx="102" formatCode="0.00E+00">
                  <c:v>3372.1665549322956</c:v>
                </c:pt>
                <c:pt idx="103" formatCode="0.00E+00">
                  <c:v>3372.1665549322956</c:v>
                </c:pt>
              </c:numCache>
            </c:numRef>
          </c:yVal>
          <c:smooth val="0"/>
        </c:ser>
        <c:ser>
          <c:idx val="1"/>
          <c:order val="2"/>
          <c:tx>
            <c:v>Italy Confirmed Cases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2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7778.4946236559144</c:v>
                </c:pt>
                <c:pt idx="51">
                  <c:v>8863.1927212572373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3"/>
          <c:tx>
            <c:strRef>
              <c:f>myData!ItalySeries</c:f>
              <c:strCache>
                <c:ptCount val="1"/>
                <c:pt idx="0">
                  <c:v>Italy Limit 9.17 k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0</c:v>
                </c:pt>
                <c:pt idx="1">
                  <c:v>9.4848129309458962E-2</c:v>
                </c:pt>
                <c:pt idx="2">
                  <c:v>0.12303702881467997</c:v>
                </c:pt>
                <c:pt idx="3">
                  <c:v>0.15960353390056498</c:v>
                </c:pt>
                <c:pt idx="4">
                  <c:v>0.20703732911384501</c:v>
                </c:pt>
                <c:pt idx="5">
                  <c:v>0.26856792369069077</c:v>
                </c:pt>
                <c:pt idx="6">
                  <c:v>0.34838444847319144</c:v>
                </c:pt>
                <c:pt idx="7">
                  <c:v>0.45192072130958377</c:v>
                </c:pt>
                <c:pt idx="8">
                  <c:v>0.58622494071220788</c:v>
                </c:pt>
                <c:pt idx="9">
                  <c:v>0.76043909521700093</c:v>
                </c:pt>
                <c:pt idx="10">
                  <c:v>0.98642058801477062</c:v>
                </c:pt>
                <c:pt idx="11">
                  <c:v>1.2795481614780602</c:v>
                </c:pt>
                <c:pt idx="12">
                  <c:v>1.6597665895543499</c:v>
                </c:pt>
                <c:pt idx="13">
                  <c:v>2.152940584955545</c:v>
                </c:pt>
                <c:pt idx="14">
                  <c:v>2.7926089535781093</c:v>
                </c:pt>
                <c:pt idx="15">
                  <c:v>3.6222564928425882</c:v>
                </c:pt>
                <c:pt idx="16">
                  <c:v>4.6982550582711546</c:v>
                </c:pt>
                <c:pt idx="17">
                  <c:v>6.0936685592242563</c:v>
                </c:pt>
                <c:pt idx="18">
                  <c:v>7.9031717302330025</c:v>
                </c:pt>
                <c:pt idx="19">
                  <c:v>10.249402087293142</c:v>
                </c:pt>
                <c:pt idx="20">
                  <c:v>13.291151547435698</c:v>
                </c:pt>
                <c:pt idx="21">
                  <c:v>17.233911846123949</c:v>
                </c:pt>
                <c:pt idx="22">
                  <c:v>22.343418727763268</c:v>
                </c:pt>
                <c:pt idx="23">
                  <c:v>28.962994980144742</c:v>
                </c:pt>
                <c:pt idx="24">
                  <c:v>37.535669376149336</c:v>
                </c:pt>
                <c:pt idx="25">
                  <c:v>48.632238375033459</c:v>
                </c:pt>
                <c:pt idx="26">
                  <c:v>62.986618608123891</c:v>
                </c:pt>
                <c:pt idx="27">
                  <c:v>81.539967970545888</c:v>
                </c:pt>
                <c:pt idx="28">
                  <c:v>105.49505337240565</c:v>
                </c:pt>
                <c:pt idx="29">
                  <c:v>136.38207937304625</c:v>
                </c:pt>
                <c:pt idx="30">
                  <c:v>176.13644446274736</c:v>
                </c:pt>
                <c:pt idx="31">
                  <c:v>227.18732102934158</c:v>
                </c:pt>
                <c:pt idx="32">
                  <c:v>292.55306909581014</c:v>
                </c:pt>
                <c:pt idx="33">
                  <c:v>375.93464405405427</c:v>
                </c:pt>
                <c:pt idx="34">
                  <c:v>481.79061827176201</c:v>
                </c:pt>
                <c:pt idx="35">
                  <c:v>615.3666661831561</c:v>
                </c:pt>
                <c:pt idx="36">
                  <c:v>782.6386175913741</c:v>
                </c:pt>
                <c:pt idx="37">
                  <c:v>990.11362702360771</c:v>
                </c:pt>
                <c:pt idx="38">
                  <c:v>1244.4243106656154</c:v>
                </c:pt>
                <c:pt idx="39">
                  <c:v>1551.6565317305783</c:v>
                </c:pt>
                <c:pt idx="40">
                  <c:v>1916.388083537779</c:v>
                </c:pt>
                <c:pt idx="41">
                  <c:v>2340.4970299705597</c:v>
                </c:pt>
                <c:pt idx="42">
                  <c:v>2821.9246256487299</c:v>
                </c:pt>
                <c:pt idx="43">
                  <c:v>3353.7152422562399</c:v>
                </c:pt>
                <c:pt idx="44">
                  <c:v>3923.7298077648074</c:v>
                </c:pt>
                <c:pt idx="45">
                  <c:v>4515.3496848267951</c:v>
                </c:pt>
                <c:pt idx="46">
                  <c:v>5109.2172894874357</c:v>
                </c:pt>
                <c:pt idx="47">
                  <c:v>5685.6815343352391</c:v>
                </c:pt>
                <c:pt idx="48">
                  <c:v>6227.3217555963911</c:v>
                </c:pt>
                <c:pt idx="49">
                  <c:v>6720.8894516355031</c:v>
                </c:pt>
                <c:pt idx="50">
                  <c:v>7158.2545879055615</c:v>
                </c:pt>
                <c:pt idx="51">
                  <c:v>7536.3212756396706</c:v>
                </c:pt>
                <c:pt idx="52">
                  <c:v>7856.1846800451958</c:v>
                </c:pt>
                <c:pt idx="53">
                  <c:v>8121.9239063864607</c:v>
                </c:pt>
                <c:pt idx="54">
                  <c:v>8339.3788498405775</c:v>
                </c:pt>
                <c:pt idx="55">
                  <c:v>8515.1279647826468</c:v>
                </c:pt>
                <c:pt idx="56">
                  <c:v>8655.7507790854434</c:v>
                </c:pt>
                <c:pt idx="57">
                  <c:v>8767.3664995718591</c:v>
                </c:pt>
                <c:pt idx="58">
                  <c:v>8855.3943564857818</c:v>
                </c:pt>
                <c:pt idx="59">
                  <c:v>8924.4700097282766</c:v>
                </c:pt>
                <c:pt idx="60">
                  <c:v>8978.4596618514806</c:v>
                </c:pt>
                <c:pt idx="61">
                  <c:v>9020.5276395734909</c:v>
                </c:pt>
                <c:pt idx="62">
                  <c:v>9141.3253336146699</c:v>
                </c:pt>
                <c:pt idx="63">
                  <c:v>9161.1734364105432</c:v>
                </c:pt>
                <c:pt idx="64">
                  <c:v>9164.392686512816</c:v>
                </c:pt>
                <c:pt idx="65">
                  <c:v>9164.9137290587933</c:v>
                </c:pt>
                <c:pt idx="66">
                  <c:v>9164.9980320658979</c:v>
                </c:pt>
                <c:pt idx="67">
                  <c:v>9165.0116712659801</c:v>
                </c:pt>
                <c:pt idx="68">
                  <c:v>9165.0138779027184</c:v>
                </c:pt>
                <c:pt idx="69">
                  <c:v>9165.0142349059588</c:v>
                </c:pt>
                <c:pt idx="70">
                  <c:v>9165.014292664122</c:v>
                </c:pt>
                <c:pt idx="71">
                  <c:v>9165.0143020085907</c:v>
                </c:pt>
                <c:pt idx="72">
                  <c:v>9165.0143035203946</c:v>
                </c:pt>
                <c:pt idx="73">
                  <c:v>9165.0143037649832</c:v>
                </c:pt>
                <c:pt idx="74">
                  <c:v>9165.0143038045535</c:v>
                </c:pt>
                <c:pt idx="75">
                  <c:v>9165.0143038109563</c:v>
                </c:pt>
                <c:pt idx="76">
                  <c:v>9165.0143038119932</c:v>
                </c:pt>
                <c:pt idx="77">
                  <c:v>9165.0143038121605</c:v>
                </c:pt>
                <c:pt idx="78">
                  <c:v>9165.0143038121878</c:v>
                </c:pt>
                <c:pt idx="79">
                  <c:v>9165.0143038121914</c:v>
                </c:pt>
                <c:pt idx="80">
                  <c:v>9165.0143038121932</c:v>
                </c:pt>
                <c:pt idx="81">
                  <c:v>9165.0143038121932</c:v>
                </c:pt>
                <c:pt idx="82">
                  <c:v>9165.0143038121932</c:v>
                </c:pt>
                <c:pt idx="83">
                  <c:v>9165.0143038121932</c:v>
                </c:pt>
                <c:pt idx="84">
                  <c:v>9165.0143038121932</c:v>
                </c:pt>
                <c:pt idx="85">
                  <c:v>9165.0143038121932</c:v>
                </c:pt>
                <c:pt idx="86">
                  <c:v>9165.0143038121932</c:v>
                </c:pt>
                <c:pt idx="87">
                  <c:v>9165.0143038121932</c:v>
                </c:pt>
                <c:pt idx="88">
                  <c:v>9165.0143038121932</c:v>
                </c:pt>
                <c:pt idx="89">
                  <c:v>9165.0143038121932</c:v>
                </c:pt>
                <c:pt idx="90">
                  <c:v>9165.0143038121932</c:v>
                </c:pt>
                <c:pt idx="91">
                  <c:v>9165.0143038121932</c:v>
                </c:pt>
                <c:pt idx="92">
                  <c:v>9165.0143038121932</c:v>
                </c:pt>
                <c:pt idx="93">
                  <c:v>9165.0143038121932</c:v>
                </c:pt>
                <c:pt idx="94">
                  <c:v>9165.0143038121932</c:v>
                </c:pt>
                <c:pt idx="95">
                  <c:v>9165.0143038121932</c:v>
                </c:pt>
                <c:pt idx="96">
                  <c:v>9165.0143038121932</c:v>
                </c:pt>
                <c:pt idx="97">
                  <c:v>9165.0143038121932</c:v>
                </c:pt>
                <c:pt idx="98">
                  <c:v>9165.0143038121932</c:v>
                </c:pt>
              </c:numCache>
            </c:numRef>
          </c:yVal>
          <c:smooth val="0"/>
        </c:ser>
        <c:ser>
          <c:idx val="2"/>
          <c:order val="4"/>
          <c:tx>
            <c:v>US Confirmed Cases</c:v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2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2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580.14551422406544</c:v>
                </c:pt>
                <c:pt idx="41">
                  <c:v>733.47402499909595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myData!USSeries</c:f>
              <c:strCache>
                <c:ptCount val="1"/>
                <c:pt idx="0">
                  <c:v>USA Limit 10.6 M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5.193930970840842E-4</c:v>
                </c:pt>
                <c:pt idx="1">
                  <c:v>7.3535715103043595E-4</c:v>
                </c:pt>
                <c:pt idx="2">
                  <c:v>1.0411192266566833E-3</c:v>
                </c:pt>
                <c:pt idx="3">
                  <c:v>1.4740174112433412E-3</c:v>
                </c:pt>
                <c:pt idx="4">
                  <c:v>2.0869149978035724E-3</c:v>
                </c:pt>
                <c:pt idx="5">
                  <c:v>2.9546558776932931E-3</c:v>
                </c:pt>
                <c:pt idx="6">
                  <c:v>4.1832040904767921E-3</c:v>
                </c:pt>
                <c:pt idx="7">
                  <c:v>5.9225836057080839E-3</c:v>
                </c:pt>
                <c:pt idx="8">
                  <c:v>8.385198475984958E-3</c:v>
                </c:pt>
                <c:pt idx="9">
                  <c:v>1.1871770523775842E-2</c:v>
                </c:pt>
                <c:pt idx="10">
                  <c:v>1.6808061938365818E-2</c:v>
                </c:pt>
                <c:pt idx="11">
                  <c:v>2.3796867156692873E-2</c:v>
                </c:pt>
                <c:pt idx="12">
                  <c:v>3.3691623007698512E-2</c:v>
                </c:pt>
                <c:pt idx="13">
                  <c:v>4.770062600998351E-2</c:v>
                </c:pt>
                <c:pt idx="14">
                  <c:v>6.753458329892309E-2</c:v>
                </c:pt>
                <c:pt idx="15">
                  <c:v>9.5615515336067297E-2</c:v>
                </c:pt>
                <c:pt idx="16">
                  <c:v>0.1353725205115737</c:v>
                </c:pt>
                <c:pt idx="17">
                  <c:v>0.1916605188662156</c:v>
                </c:pt>
                <c:pt idx="18">
                  <c:v>0.2713531097141611</c:v>
                </c:pt>
                <c:pt idx="19">
                  <c:v>0.3841819397969588</c:v>
                </c:pt>
                <c:pt idx="20">
                  <c:v>0.54392508110915672</c:v>
                </c:pt>
                <c:pt idx="21">
                  <c:v>0.77008953662744506</c:v>
                </c:pt>
                <c:pt idx="22">
                  <c:v>1.0902933321866461</c:v>
                </c:pt>
                <c:pt idx="23">
                  <c:v>1.5436380819174718</c:v>
                </c:pt>
                <c:pt idx="24">
                  <c:v>2.185483864820378</c:v>
                </c:pt>
                <c:pt idx="25">
                  <c:v>3.0942094903209032</c:v>
                </c:pt>
                <c:pt idx="26">
                  <c:v>4.3807836706384702</c:v>
                </c:pt>
                <c:pt idx="27">
                  <c:v>6.2023158602681345</c:v>
                </c:pt>
                <c:pt idx="28">
                  <c:v>8.781241477299714</c:v>
                </c:pt>
                <c:pt idx="29">
                  <c:v>12.432484218858587</c:v>
                </c:pt>
                <c:pt idx="30">
                  <c:v>17.601912216169257</c:v>
                </c:pt>
                <c:pt idx="31">
                  <c:v>24.920783743050126</c:v>
                </c:pt>
                <c:pt idx="32">
                  <c:v>35.28283039838319</c:v>
                </c:pt>
                <c:pt idx="33">
                  <c:v>49.953389342971647</c:v>
                </c:pt>
                <c:pt idx="34">
                  <c:v>70.723908409874383</c:v>
                </c:pt>
                <c:pt idx="35">
                  <c:v>100.13068574918965</c:v>
                </c:pt>
                <c:pt idx="36">
                  <c:v>141.76454392688726</c:v>
                </c:pt>
                <c:pt idx="37">
                  <c:v>200.70923135585824</c:v>
                </c:pt>
                <c:pt idx="38">
                  <c:v>284.16204042947339</c:v>
                </c:pt>
                <c:pt idx="39">
                  <c:v>402.31233694173619</c:v>
                </c:pt>
                <c:pt idx="40">
                  <c:v>569.58509768037231</c:v>
                </c:pt>
                <c:pt idx="41">
                  <c:v>806.4009406300238</c:v>
                </c:pt>
                <c:pt idx="42">
                  <c:v>1141.6668321834684</c:v>
                </c:pt>
                <c:pt idx="43">
                  <c:v>1616.3001380011358</c:v>
                </c:pt>
                <c:pt idx="44">
                  <c:v>2288.2133797583178</c:v>
                </c:pt>
                <c:pt idx="45">
                  <c:v>3239.3624476806749</c:v>
                </c:pt>
                <c:pt idx="46">
                  <c:v>4585.7070185616276</c:v>
                </c:pt>
                <c:pt idx="47">
                  <c:v>6491.2755880115774</c:v>
                </c:pt>
                <c:pt idx="48">
                  <c:v>9188.0048339360455</c:v>
                </c:pt>
                <c:pt idx="49">
                  <c:v>13003.680360408853</c:v>
                </c:pt>
                <c:pt idx="50">
                  <c:v>18401.199809806461</c:v>
                </c:pt>
                <c:pt idx="51">
                  <c:v>26033.57209292673</c:v>
                </c:pt>
                <c:pt idx="52">
                  <c:v>289435.73659390328</c:v>
                </c:pt>
                <c:pt idx="53">
                  <c:v>2568199.6237219297</c:v>
                </c:pt>
                <c:pt idx="54">
                  <c:v>8296554.6869443115</c:v>
                </c:pt>
                <c:pt idx="55">
                  <c:v>10314066.298710763</c:v>
                </c:pt>
                <c:pt idx="56">
                  <c:v>10538813.850386472</c:v>
                </c:pt>
                <c:pt idx="57">
                  <c:v>10558991.587875744</c:v>
                </c:pt>
                <c:pt idx="58">
                  <c:v>10560764.801574374</c:v>
                </c:pt>
                <c:pt idx="59">
                  <c:v>10560920.335585911</c:v>
                </c:pt>
                <c:pt idx="60">
                  <c:v>10560933.975678036</c:v>
                </c:pt>
                <c:pt idx="61">
                  <c:v>10560935.171875525</c:v>
                </c:pt>
                <c:pt idx="62">
                  <c:v>10560935.276778527</c:v>
                </c:pt>
                <c:pt idx="63">
                  <c:v>10560935.285978211</c:v>
                </c:pt>
                <c:pt idx="64">
                  <c:v>10560935.286784995</c:v>
                </c:pt>
                <c:pt idx="65">
                  <c:v>10560935.28685575</c:v>
                </c:pt>
                <c:pt idx="66">
                  <c:v>10560935.286861954</c:v>
                </c:pt>
                <c:pt idx="67">
                  <c:v>10560935.286862496</c:v>
                </c:pt>
                <c:pt idx="68">
                  <c:v>10560935.286862545</c:v>
                </c:pt>
                <c:pt idx="69">
                  <c:v>10560935.286862548</c:v>
                </c:pt>
                <c:pt idx="70">
                  <c:v>10560935.286862548</c:v>
                </c:pt>
                <c:pt idx="71">
                  <c:v>10560935.286862548</c:v>
                </c:pt>
                <c:pt idx="72">
                  <c:v>10560935.286862548</c:v>
                </c:pt>
                <c:pt idx="73">
                  <c:v>10560935.286862548</c:v>
                </c:pt>
                <c:pt idx="74">
                  <c:v>10560935.286862548</c:v>
                </c:pt>
                <c:pt idx="75">
                  <c:v>10560935.286862548</c:v>
                </c:pt>
                <c:pt idx="76">
                  <c:v>10560935.286862548</c:v>
                </c:pt>
                <c:pt idx="77">
                  <c:v>10560935.286862548</c:v>
                </c:pt>
                <c:pt idx="78">
                  <c:v>10560935.286862548</c:v>
                </c:pt>
                <c:pt idx="79">
                  <c:v>10560935.286862548</c:v>
                </c:pt>
                <c:pt idx="80">
                  <c:v>10560935.286862548</c:v>
                </c:pt>
                <c:pt idx="81">
                  <c:v>10560935.286862548</c:v>
                </c:pt>
                <c:pt idx="82">
                  <c:v>10560935.286862548</c:v>
                </c:pt>
                <c:pt idx="83">
                  <c:v>10560935.286862548</c:v>
                </c:pt>
                <c:pt idx="84">
                  <c:v>10560935.286862548</c:v>
                </c:pt>
                <c:pt idx="85">
                  <c:v>10560935.286862548</c:v>
                </c:pt>
                <c:pt idx="86">
                  <c:v>10560935.286862548</c:v>
                </c:pt>
                <c:pt idx="87">
                  <c:v>10560935.286862548</c:v>
                </c:pt>
                <c:pt idx="88">
                  <c:v>10560935.286862548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myData!ChinaSeries</c:f>
              <c:strCache>
                <c:ptCount val="1"/>
                <c:pt idx="0">
                  <c:v>China Limit 562  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myData!ChinaLogiDates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myData!ChinaLogi</c:f>
              <c:numCache>
                <c:formatCode>0</c:formatCode>
                <c:ptCount val="107"/>
                <c:pt idx="0">
                  <c:v>10.683136966707542</c:v>
                </c:pt>
                <c:pt idx="1">
                  <c:v>13.277829642217627</c:v>
                </c:pt>
                <c:pt idx="2">
                  <c:v>16.483886927833961</c:v>
                </c:pt>
                <c:pt idx="3">
                  <c:v>20.435269467553514</c:v>
                </c:pt>
                <c:pt idx="4">
                  <c:v>25.289967793687335</c:v>
                </c:pt>
                <c:pt idx="5">
                  <c:v>31.231513319186782</c:v>
                </c:pt>
                <c:pt idx="6">
                  <c:v>38.468975247954276</c:v>
                </c:pt>
                <c:pt idx="7">
                  <c:v>47.234479868508544</c:v>
                </c:pt>
                <c:pt idx="8">
                  <c:v>57.777040862636333</c:v>
                </c:pt>
                <c:pt idx="9">
                  <c:v>70.351343273980731</c:v>
                </c:pt>
                <c:pt idx="10">
                  <c:v>85.200230023338264</c:v>
                </c:pt>
                <c:pt idx="11">
                  <c:v>102.53020080641564</c:v>
                </c:pt>
                <c:pt idx="12">
                  <c:v>122.48045184718971</c:v>
                </c:pt>
                <c:pt idx="13">
                  <c:v>145.08794501852279</c:v>
                </c:pt>
                <c:pt idx="14">
                  <c:v>170.25347868794347</c:v>
                </c:pt>
                <c:pt idx="15">
                  <c:v>197.71605475351217</c:v>
                </c:pt>
                <c:pt idx="16">
                  <c:v>227.04385986802606</c:v>
                </c:pt>
                <c:pt idx="17">
                  <c:v>257.64869902945071</c:v>
                </c:pt>
                <c:pt idx="18">
                  <c:v>288.82621181875015</c:v>
                </c:pt>
                <c:pt idx="19">
                  <c:v>319.81754975043282</c:v>
                </c:pt>
                <c:pt idx="20">
                  <c:v>349.88174074963456</c:v>
                </c:pt>
                <c:pt idx="21">
                  <c:v>378.3645053203071</c:v>
                </c:pt>
                <c:pt idx="22">
                  <c:v>404.75045494453434</c:v>
                </c:pt>
                <c:pt idx="23">
                  <c:v>428.69083621819203</c:v>
                </c:pt>
                <c:pt idx="24">
                  <c:v>450.00589022150581</c:v>
                </c:pt>
                <c:pt idx="25">
                  <c:v>468.66671656048743</c:v>
                </c:pt>
                <c:pt idx="26">
                  <c:v>484.76457370445041</c:v>
                </c:pt>
                <c:pt idx="27">
                  <c:v>498.47567855264447</c:v>
                </c:pt>
                <c:pt idx="28">
                  <c:v>510.02775106881523</c:v>
                </c:pt>
                <c:pt idx="29">
                  <c:v>519.67203079618093</c:v>
                </c:pt>
                <c:pt idx="30">
                  <c:v>527.6622097270905</c:v>
                </c:pt>
                <c:pt idx="31">
                  <c:v>534.24012364300825</c:v>
                </c:pt>
                <c:pt idx="32">
                  <c:v>539.62716763085166</c:v>
                </c:pt>
                <c:pt idx="33">
                  <c:v>544.02008949799358</c:v>
                </c:pt>
                <c:pt idx="34">
                  <c:v>547.5898541713924</c:v>
                </c:pt>
                <c:pt idx="35">
                  <c:v>550.48248276750201</c:v>
                </c:pt>
                <c:pt idx="36">
                  <c:v>552.82103115752545</c:v>
                </c:pt>
                <c:pt idx="37">
                  <c:v>554.7081180622265</c:v>
                </c:pt>
                <c:pt idx="38">
                  <c:v>556.22861374817023</c:v>
                </c:pt>
                <c:pt idx="39">
                  <c:v>557.45225149654834</c:v>
                </c:pt>
                <c:pt idx="40">
                  <c:v>558.43603037253479</c:v>
                </c:pt>
                <c:pt idx="41">
                  <c:v>559.22634854182866</c:v>
                </c:pt>
                <c:pt idx="42">
                  <c:v>559.86085077760765</c:v>
                </c:pt>
                <c:pt idx="43">
                  <c:v>560.36999981823215</c:v>
                </c:pt>
                <c:pt idx="44">
                  <c:v>560.77839501454855</c:v>
                </c:pt>
                <c:pt idx="45">
                  <c:v>561.10586769947281</c:v>
                </c:pt>
                <c:pt idx="46">
                  <c:v>561.36838400205613</c:v>
                </c:pt>
                <c:pt idx="47">
                  <c:v>561.57878446099198</c:v>
                </c:pt>
                <c:pt idx="48">
                  <c:v>561.74738707975825</c:v>
                </c:pt>
                <c:pt idx="49">
                  <c:v>561.88247721412995</c:v>
                </c:pt>
                <c:pt idx="50">
                  <c:v>561.99070436525756</c:v>
                </c:pt>
                <c:pt idx="51">
                  <c:v>562.07740282573775</c:v>
                </c:pt>
                <c:pt idx="52">
                  <c:v>562.14685031623685</c:v>
                </c:pt>
                <c:pt idx="53">
                  <c:v>562.20247630033487</c:v>
                </c:pt>
                <c:pt idx="54">
                  <c:v>562.24702957366003</c:v>
                </c:pt>
                <c:pt idx="55">
                  <c:v>562.28271296446189</c:v>
                </c:pt>
                <c:pt idx="56">
                  <c:v>562.31129151991638</c:v>
                </c:pt>
                <c:pt idx="57">
                  <c:v>562.33417934598185</c:v>
                </c:pt>
                <c:pt idx="58">
                  <c:v>562.35250927989307</c:v>
                </c:pt>
                <c:pt idx="59">
                  <c:v>562.36718876807277</c:v>
                </c:pt>
                <c:pt idx="60">
                  <c:v>562.37894466718831</c:v>
                </c:pt>
                <c:pt idx="61">
                  <c:v>562.38835915550999</c:v>
                </c:pt>
                <c:pt idx="62">
                  <c:v>562.39589851297683</c:v>
                </c:pt>
                <c:pt idx="63">
                  <c:v>562.40193618255046</c:v>
                </c:pt>
                <c:pt idx="64">
                  <c:v>562.40677124691047</c:v>
                </c:pt>
                <c:pt idx="65">
                  <c:v>562.41064323047203</c:v>
                </c:pt>
                <c:pt idx="66">
                  <c:v>562.41374395661569</c:v>
                </c:pt>
                <c:pt idx="67">
                  <c:v>562.41622704537917</c:v>
                </c:pt>
                <c:pt idx="68">
                  <c:v>562.41821552076453</c:v>
                </c:pt>
                <c:pt idx="69">
                  <c:v>562.41980790366836</c:v>
                </c:pt>
                <c:pt idx="70">
                  <c:v>562.4210830917425</c:v>
                </c:pt>
                <c:pt idx="71">
                  <c:v>562.42210426759698</c:v>
                </c:pt>
                <c:pt idx="72">
                  <c:v>562.42292202875603</c:v>
                </c:pt>
                <c:pt idx="73">
                  <c:v>562.42357689429673</c:v>
                </c:pt>
                <c:pt idx="74">
                  <c:v>562.42410131227359</c:v>
                </c:pt>
                <c:pt idx="75">
                  <c:v>562.42452126733679</c:v>
                </c:pt>
                <c:pt idx="76">
                  <c:v>562.42485756815756</c:v>
                </c:pt>
                <c:pt idx="77">
                  <c:v>562.42512687842861</c:v>
                </c:pt>
                <c:pt idx="78">
                  <c:v>562.42534254250677</c:v>
                </c:pt>
                <c:pt idx="79">
                  <c:v>562.42551524660166</c:v>
                </c:pt>
                <c:pt idx="80">
                  <c:v>562.42565354826286</c:v>
                </c:pt>
                <c:pt idx="81">
                  <c:v>562.42576430039901</c:v>
                </c:pt>
                <c:pt idx="82">
                  <c:v>562.42585299083419</c:v>
                </c:pt>
                <c:pt idx="83">
                  <c:v>562.42592401422985</c:v>
                </c:pt>
                <c:pt idx="84">
                  <c:v>562.42598088983789</c:v>
                </c:pt>
                <c:pt idx="85">
                  <c:v>562.426026435881</c:v>
                </c:pt>
                <c:pt idx="86">
                  <c:v>562.42606290919616</c:v>
                </c:pt>
                <c:pt idx="87">
                  <c:v>562.4260921170611</c:v>
                </c:pt>
                <c:pt idx="88">
                  <c:v>562.4261155067461</c:v>
                </c:pt>
                <c:pt idx="89">
                  <c:v>562.42613423722707</c:v>
                </c:pt>
                <c:pt idx="90">
                  <c:v>562.4261492366129</c:v>
                </c:pt>
                <c:pt idx="91">
                  <c:v>562.42616124813424</c:v>
                </c:pt>
                <c:pt idx="92">
                  <c:v>562.42617086697101</c:v>
                </c:pt>
                <c:pt idx="93">
                  <c:v>562.42617856974391</c:v>
                </c:pt>
                <c:pt idx="94">
                  <c:v>562.42618473813104</c:v>
                </c:pt>
                <c:pt idx="95">
                  <c:v>562.42618967778083</c:v>
                </c:pt>
                <c:pt idx="96">
                  <c:v>562.42619363345648</c:v>
                </c:pt>
                <c:pt idx="97">
                  <c:v>562.42619680116513</c:v>
                </c:pt>
                <c:pt idx="98">
                  <c:v>562.42619933786875</c:v>
                </c:pt>
                <c:pt idx="99">
                  <c:v>562.42620136926325</c:v>
                </c:pt>
                <c:pt idx="100">
                  <c:v>562.4262029960056</c:v>
                </c:pt>
                <c:pt idx="101">
                  <c:v>562.42620429870226</c:v>
                </c:pt>
                <c:pt idx="102">
                  <c:v>562.42620534190291</c:v>
                </c:pt>
                <c:pt idx="103">
                  <c:v>562.42620617729892</c:v>
                </c:pt>
                <c:pt idx="104">
                  <c:v>562.42620684628457</c:v>
                </c:pt>
                <c:pt idx="105">
                  <c:v>562.42620738200901</c:v>
                </c:pt>
                <c:pt idx="106">
                  <c:v>562.42620781101755</c:v>
                </c:pt>
              </c:numCache>
            </c:numRef>
          </c:yVal>
          <c:smooth val="0"/>
        </c:ser>
        <c:ser>
          <c:idx val="7"/>
          <c:order val="7"/>
          <c:tx>
            <c:v>China Cases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myData!ChinaDates</c:f>
              <c:numCache>
                <c:formatCode>m/d/yyyy</c:formatCode>
                <c:ptCount val="6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</c:numCache>
            </c:numRef>
          </c:xVal>
          <c:yVal>
            <c:numRef>
              <c:f>myData!ChinaCases</c:f>
              <c:numCache>
                <c:formatCode>0.0</c:formatCode>
                <c:ptCount val="107"/>
                <c:pt idx="0">
                  <c:v>3.8073434840556684</c:v>
                </c:pt>
                <c:pt idx="1">
                  <c:v>4.4673756573864862</c:v>
                </c:pt>
                <c:pt idx="2">
                  <c:v>6.391890520677399</c:v>
                </c:pt>
                <c:pt idx="3">
                  <c:v>9.7684761652961125</c:v>
                </c:pt>
                <c:pt idx="4">
                  <c:v>14.416492206962612</c:v>
                </c:pt>
                <c:pt idx="5">
                  <c:v>19.988553291292259</c:v>
                </c:pt>
                <c:pt idx="6">
                  <c:v>38.274918346099774</c:v>
                </c:pt>
                <c:pt idx="7">
                  <c:v>42.290693042786231</c:v>
                </c:pt>
                <c:pt idx="8">
                  <c:v>56.561283400907293</c:v>
                </c:pt>
                <c:pt idx="9">
                  <c:v>68.10142487356508</c:v>
                </c:pt>
                <c:pt idx="10">
                  <c:v>82.615184979755384</c:v>
                </c:pt>
                <c:pt idx="11">
                  <c:v>115.54036886833168</c:v>
                </c:pt>
                <c:pt idx="12">
                  <c:v>136.98099294095175</c:v>
                </c:pt>
                <c:pt idx="13">
                  <c:v>164.7092919279338</c:v>
                </c:pt>
                <c:pt idx="14">
                  <c:v>190.64508248629113</c:v>
                </c:pt>
                <c:pt idx="15">
                  <c:v>212.50951669126044</c:v>
                </c:pt>
                <c:pt idx="16">
                  <c:v>236.98628876120227</c:v>
                </c:pt>
                <c:pt idx="17">
                  <c:v>255.77288872632366</c:v>
                </c:pt>
                <c:pt idx="18">
                  <c:v>276.72022559571752</c:v>
                </c:pt>
                <c:pt idx="19">
                  <c:v>294.26318599214193</c:v>
                </c:pt>
                <c:pt idx="20">
                  <c:v>308.38092679433373</c:v>
                </c:pt>
                <c:pt idx="21">
                  <c:v>310.97242153804314</c:v>
                </c:pt>
                <c:pt idx="22">
                  <c:v>416.13291601736177</c:v>
                </c:pt>
                <c:pt idx="23">
                  <c:v>461.03594692512047</c:v>
                </c:pt>
                <c:pt idx="24">
                  <c:v>475.31348499032924</c:v>
                </c:pt>
                <c:pt idx="25">
                  <c:v>489.90366987448419</c:v>
                </c:pt>
                <c:pt idx="26">
                  <c:v>503.25021518994208</c:v>
                </c:pt>
                <c:pt idx="27">
                  <c:v>515.59629068477227</c:v>
                </c:pt>
                <c:pt idx="28">
                  <c:v>518.43095517655092</c:v>
                </c:pt>
                <c:pt idx="29">
                  <c:v>521.61300502271422</c:v>
                </c:pt>
                <c:pt idx="30">
                  <c:v>524.89927047519291</c:v>
                </c:pt>
                <c:pt idx="31">
                  <c:v>534.98039345943528</c:v>
                </c:pt>
                <c:pt idx="32">
                  <c:v>535.12629530827678</c:v>
                </c:pt>
                <c:pt idx="33">
                  <c:v>536.64784316048156</c:v>
                </c:pt>
                <c:pt idx="34">
                  <c:v>540.21201689646796</c:v>
                </c:pt>
                <c:pt idx="35">
                  <c:v>543.07447221659743</c:v>
                </c:pt>
                <c:pt idx="36">
                  <c:v>546.08977709265605</c:v>
                </c:pt>
                <c:pt idx="37">
                  <c:v>548.36862501741928</c:v>
                </c:pt>
                <c:pt idx="38">
                  <c:v>551.34224365095179</c:v>
                </c:pt>
                <c:pt idx="39">
                  <c:v>555.34412293346293</c:v>
                </c:pt>
                <c:pt idx="40">
                  <c:v>556.7614551793522</c:v>
                </c:pt>
                <c:pt idx="41">
                  <c:v>557.6299185653138</c:v>
                </c:pt>
                <c:pt idx="42">
                  <c:v>558.49838195127541</c:v>
                </c:pt>
                <c:pt idx="43">
                  <c:v>559.54748572151709</c:v>
                </c:pt>
                <c:pt idx="44">
                  <c:v>560.61048490593407</c:v>
                </c:pt>
                <c:pt idx="45">
                  <c:v>561.1663014729495</c:v>
                </c:pt>
                <c:pt idx="46">
                  <c:v>561.5345299485972</c:v>
                </c:pt>
                <c:pt idx="47">
                  <c:v>561.79159511084185</c:v>
                </c:pt>
                <c:pt idx="48">
                  <c:v>561.97918320220958</c:v>
                </c:pt>
                <c:pt idx="49">
                  <c:v>562.21540524319107</c:v>
                </c:pt>
                <c:pt idx="50">
                  <c:v>562.29183002115576</c:v>
                </c:pt>
                <c:pt idx="51">
                  <c:v>562.38215021329574</c:v>
                </c:pt>
                <c:pt idx="52">
                  <c:v>562.60447684010194</c:v>
                </c:pt>
                <c:pt idx="53">
                  <c:v>562.78511722438191</c:v>
                </c:pt>
                <c:pt idx="54">
                  <c:v>562.99354843701269</c:v>
                </c:pt>
                <c:pt idx="55">
                  <c:v>563.16724111420501</c:v>
                </c:pt>
                <c:pt idx="56">
                  <c:v>563.47294022606354</c:v>
                </c:pt>
                <c:pt idx="57">
                  <c:v>563.84811640879889</c:v>
                </c:pt>
                <c:pt idx="58">
                  <c:v>564.50120087504206</c:v>
                </c:pt>
                <c:pt idx="59">
                  <c:v>564.87637705777752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Pop Limit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myData!$CY$11:$CY$12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myData!$DA$11:$DA$12</c:f>
              <c:numCache>
                <c:formatCode>0.00000E+00</c:formatCode>
                <c:ptCount val="2"/>
                <c:pt idx="0">
                  <c:v>10000000</c:v>
                </c:pt>
                <c:pt idx="1">
                  <c:v>10000000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394184"/>
        <c:axId val="747391048"/>
      </c:scatterChart>
      <c:valAx>
        <c:axId val="747394184"/>
        <c:scaling>
          <c:orientation val="minMax"/>
          <c:max val="43968"/>
          <c:min val="4384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391048"/>
        <c:crossesAt val="1.0000000000000002E-2"/>
        <c:crossBetween val="midCat"/>
        <c:majorUnit val="14"/>
        <c:minorUnit val="7"/>
      </c:valAx>
      <c:valAx>
        <c:axId val="747391048"/>
        <c:scaling>
          <c:logBase val="10"/>
          <c:orientation val="minMax"/>
          <c:max val="1000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394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6219883231344037"/>
          <c:y val="0.75285835477749941"/>
          <c:w val="0.35869968153221921"/>
          <c:h val="0.22593665455231515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myData!$CH$12</c:f>
          <c:strCache>
            <c:ptCount val="1"/>
            <c:pt idx="0">
              <c:v>COVID19 NSW P(t) = b / {d+[( b/Po - d ) ]* exp(-b*t)}
b=0.209, d=7.68E-05, P0=.0043 Limit=3.37 k
 21-Mar, Cases per 10 M population</c:v>
            </c:pt>
          </c:strCache>
        </c:strRef>
      </c:tx>
      <c:layout>
        <c:manualLayout>
          <c:xMode val="edge"/>
          <c:yMode val="edge"/>
          <c:x val="0.10423000727656354"/>
          <c:y val="2.0871700833257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7791892379594115"/>
          <c:w val="0.43460159270882204"/>
          <c:h val="0.68992130218377157"/>
        </c:manualLayout>
      </c:layout>
      <c:scatterChart>
        <c:scatterStyle val="lineMarker"/>
        <c:varyColors val="0"/>
        <c:ser>
          <c:idx val="1"/>
          <c:order val="0"/>
          <c:tx>
            <c:v>NSW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  <c:pt idx="56">
                  <c:v>539.60396039603961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myData!$CF$12</c:f>
              <c:strCache>
                <c:ptCount val="1"/>
                <c:pt idx="0">
                  <c:v>NSW Limit 3.37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0</c:v>
                </c:pt>
                <c:pt idx="1">
                  <c:v>6.5668371760367735E-3</c:v>
                </c:pt>
                <c:pt idx="2">
                  <c:v>8.0957390525511312E-3</c:v>
                </c:pt>
                <c:pt idx="3">
                  <c:v>9.9806013354093066E-3</c:v>
                </c:pt>
                <c:pt idx="4">
                  <c:v>1.2304298521319826E-2</c:v>
                </c:pt>
                <c:pt idx="5">
                  <c:v>1.5168999614853435E-2</c:v>
                </c:pt>
                <c:pt idx="6">
                  <c:v>1.8700660050355006E-2</c:v>
                </c:pt>
                <c:pt idx="7">
                  <c:v>2.3054559293697274E-2</c:v>
                </c:pt>
                <c:pt idx="8">
                  <c:v>2.8422127508931781E-2</c:v>
                </c:pt>
                <c:pt idx="9">
                  <c:v>3.5039361302685458E-2</c:v>
                </c:pt>
                <c:pt idx="10">
                  <c:v>4.319719835157973E-2</c:v>
                </c:pt>
                <c:pt idx="11">
                  <c:v>5.3254306729860292E-2</c:v>
                </c:pt>
                <c:pt idx="12">
                  <c:v>6.5652850746616656E-2</c:v>
                </c:pt>
                <c:pt idx="13">
                  <c:v>8.0937925702799993E-2</c:v>
                </c:pt>
                <c:pt idx="14">
                  <c:v>9.9781514881455841E-2</c:v>
                </c:pt>
                <c:pt idx="15">
                  <c:v>0.12301202029099387</c:v>
                </c:pt>
                <c:pt idx="16">
                  <c:v>0.1516506627935062</c:v>
                </c:pt>
                <c:pt idx="17">
                  <c:v>0.18695634783076903</c:v>
                </c:pt>
                <c:pt idx="18">
                  <c:v>0.23048096296645523</c:v>
                </c:pt>
                <c:pt idx="19">
                  <c:v>0.28413752876894738</c:v>
                </c:pt>
                <c:pt idx="20">
                  <c:v>0.35028418458564975</c:v>
                </c:pt>
                <c:pt idx="21">
                  <c:v>0.43182767922132692</c:v>
                </c:pt>
                <c:pt idx="22">
                  <c:v>0.53235088231973038</c:v>
                </c:pt>
                <c:pt idx="23">
                  <c:v>0.65626987045110352</c:v>
                </c:pt>
                <c:pt idx="24">
                  <c:v>0.80902741499361897</c:v>
                </c:pt>
                <c:pt idx="25">
                  <c:v>0.99733125800976163</c:v>
                </c:pt>
                <c:pt idx="26">
                  <c:v>1.2294474686826435</c:v>
                </c:pt>
                <c:pt idx="27">
                  <c:v>1.5155614991990152</c:v>
                </c:pt>
                <c:pt idx="28">
                  <c:v>1.8682223906858584</c:v>
                </c:pt>
                <c:pt idx="29">
                  <c:v>2.3028890159186326</c:v>
                </c:pt>
                <c:pt idx="30">
                  <c:v>2.8386013984874459</c:v>
                </c:pt>
                <c:pt idx="31">
                  <c:v>3.4988051421482815</c:v>
                </c:pt>
                <c:pt idx="32">
                  <c:v>4.3123629706140028</c:v>
                </c:pt>
                <c:pt idx="33">
                  <c:v>5.3147944464555765</c:v>
                </c:pt>
                <c:pt idx="34">
                  <c:v>6.5497932188105352</c:v>
                </c:pt>
                <c:pt idx="35">
                  <c:v>8.0710807069577353</c:v>
                </c:pt>
                <c:pt idx="36">
                  <c:v>9.9446659310667442</c:v>
                </c:pt>
                <c:pt idx="37">
                  <c:v>12.25159305691732</c:v>
                </c:pt>
                <c:pt idx="38">
                  <c:v>15.091270653610515</c:v>
                </c:pt>
                <c:pt idx="39">
                  <c:v>18.585488749042639</c:v>
                </c:pt>
                <c:pt idx="40">
                  <c:v>22.88323988485061</c:v>
                </c:pt>
                <c:pt idx="41">
                  <c:v>28.166465839171799</c:v>
                </c:pt>
                <c:pt idx="42">
                  <c:v>34.656848258804871</c:v>
                </c:pt>
                <c:pt idx="43">
                  <c:v>42.623742642982165</c:v>
                </c:pt>
                <c:pt idx="44">
                  <c:v>52.393311376355804</c:v>
                </c:pt>
                <c:pt idx="45">
                  <c:v>64.358829154120798</c:v>
                </c:pt>
                <c:pt idx="46">
                  <c:v>78.991994433349774</c:v>
                </c:pt>
                <c:pt idx="47">
                  <c:v>96.854859051729477</c:v>
                </c:pt>
                <c:pt idx="48">
                  <c:v>118.61165527951668</c:v>
                </c:pt>
                <c:pt idx="49">
                  <c:v>145.03932351777351</c:v>
                </c:pt>
                <c:pt idx="50">
                  <c:v>177.03489820005046</c:v>
                </c:pt>
                <c:pt idx="51">
                  <c:v>215.61708830699396</c:v>
                </c:pt>
                <c:pt idx="52">
                  <c:v>261.91843309590155</c:v>
                </c:pt>
                <c:pt idx="53">
                  <c:v>317.16345006951468</c:v>
                </c:pt>
                <c:pt idx="54">
                  <c:v>382.62748330154653</c:v>
                </c:pt>
                <c:pt idx="55">
                  <c:v>459.57094877467205</c:v>
                </c:pt>
                <c:pt idx="56">
                  <c:v>549.14498726747604</c:v>
                </c:pt>
                <c:pt idx="57">
                  <c:v>652.26789222819855</c:v>
                </c:pt>
                <c:pt idx="58">
                  <c:v>769.47762022529503</c:v>
                </c:pt>
                <c:pt idx="59">
                  <c:v>900.7741053976489</c:v>
                </c:pt>
                <c:pt idx="60">
                  <c:v>1045.4746492538213</c:v>
                </c:pt>
                <c:pt idx="61">
                  <c:v>1202.1134198547247</c:v>
                </c:pt>
                <c:pt idx="62">
                  <c:v>1368.4179465667205</c:v>
                </c:pt>
                <c:pt idx="63">
                  <c:v>1541.3876541979275</c:v>
                </c:pt>
                <c:pt idx="64">
                  <c:v>1717.480925979138</c:v>
                </c:pt>
                <c:pt idx="65">
                  <c:v>1892.8916726070725</c:v>
                </c:pt>
                <c:pt idx="66">
                  <c:v>2063.8721885906225</c:v>
                </c:pt>
                <c:pt idx="67">
                  <c:v>2941.3726307808315</c:v>
                </c:pt>
                <c:pt idx="68">
                  <c:v>3261.7910977495617</c:v>
                </c:pt>
                <c:pt idx="69">
                  <c:v>3346.0064192518171</c:v>
                </c:pt>
                <c:pt idx="70" formatCode="0.00E+00">
                  <c:v>3366.0861109167863</c:v>
                </c:pt>
                <c:pt idx="71" formatCode="0.00E+00">
                  <c:v>3370.7597472822554</c:v>
                </c:pt>
                <c:pt idx="72" formatCode="0.00E+00">
                  <c:v>3371.8414145494571</c:v>
                </c:pt>
                <c:pt idx="73" formatCode="0.00E+00">
                  <c:v>3372.0914272547952</c:v>
                </c:pt>
                <c:pt idx="74" formatCode="0.00E+00">
                  <c:v>3372.1491967496681</c:v>
                </c:pt>
                <c:pt idx="75" formatCode="0.00E+00">
                  <c:v>3372.1625443925723</c:v>
                </c:pt>
                <c:pt idx="76" formatCode="0.00E+00">
                  <c:v>3372.1656283157108</c:v>
                </c:pt>
                <c:pt idx="77" formatCode="0.00E+00">
                  <c:v>3372.1663408419859</c:v>
                </c:pt>
                <c:pt idx="78" formatCode="0.00E+00">
                  <c:v>3372.166505467766</c:v>
                </c:pt>
                <c:pt idx="79" formatCode="0.00E+00">
                  <c:v>3372.1665435037562</c:v>
                </c:pt>
                <c:pt idx="80" formatCode="0.00E+00">
                  <c:v>3372.1665522917879</c:v>
                </c:pt>
                <c:pt idx="81" formatCode="0.00E+00">
                  <c:v>3372.1665543222189</c:v>
                </c:pt>
                <c:pt idx="82" formatCode="0.00E+00">
                  <c:v>3372.1665547913408</c:v>
                </c:pt>
                <c:pt idx="83" formatCode="0.00E+00">
                  <c:v>3372.1665548997289</c:v>
                </c:pt>
                <c:pt idx="84" formatCode="0.00E+00">
                  <c:v>3372.1665549247709</c:v>
                </c:pt>
                <c:pt idx="85" formatCode="0.00E+00">
                  <c:v>3372.1665549305576</c:v>
                </c:pt>
                <c:pt idx="86" formatCode="0.00E+00">
                  <c:v>3372.1665549318946</c:v>
                </c:pt>
                <c:pt idx="87" formatCode="0.00E+00">
                  <c:v>3372.1665549322029</c:v>
                </c:pt>
                <c:pt idx="88" formatCode="0.00E+00">
                  <c:v>3372.1665549322743</c:v>
                </c:pt>
                <c:pt idx="89" formatCode="0.00E+00">
                  <c:v>3372.1665549322911</c:v>
                </c:pt>
                <c:pt idx="90" formatCode="0.00E+00">
                  <c:v>3372.1665549322947</c:v>
                </c:pt>
                <c:pt idx="91" formatCode="0.00E+00">
                  <c:v>3372.1665549322956</c:v>
                </c:pt>
                <c:pt idx="92" formatCode="0.00E+00">
                  <c:v>3372.1665549322956</c:v>
                </c:pt>
                <c:pt idx="93" formatCode="0.00E+00">
                  <c:v>3372.1665549322956</c:v>
                </c:pt>
                <c:pt idx="94" formatCode="0.00E+00">
                  <c:v>3372.1665549322956</c:v>
                </c:pt>
                <c:pt idx="95" formatCode="0.00E+00">
                  <c:v>3372.1665549322956</c:v>
                </c:pt>
                <c:pt idx="96" formatCode="0.00E+00">
                  <c:v>3372.1665549322956</c:v>
                </c:pt>
                <c:pt idx="97" formatCode="0.00E+00">
                  <c:v>3372.1665549322956</c:v>
                </c:pt>
                <c:pt idx="98" formatCode="0.00E+00">
                  <c:v>3372.1665549322956</c:v>
                </c:pt>
                <c:pt idx="99" formatCode="0.00E+00">
                  <c:v>3372.1665549322956</c:v>
                </c:pt>
                <c:pt idx="100" formatCode="0.00E+00">
                  <c:v>3372.1665549322956</c:v>
                </c:pt>
                <c:pt idx="101" formatCode="0.00E+00">
                  <c:v>3372.1665549322956</c:v>
                </c:pt>
                <c:pt idx="102" formatCode="0.00E+00">
                  <c:v>3372.1665549322956</c:v>
                </c:pt>
                <c:pt idx="103" formatCode="0.00E+00">
                  <c:v>3372.1665549322956</c:v>
                </c:pt>
              </c:numCache>
            </c:numRef>
          </c:yVal>
          <c:smooth val="0"/>
        </c:ser>
        <c:ser>
          <c:idx val="2"/>
          <c:order val="2"/>
          <c:tx>
            <c:v>NSW Population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myData!$CY$11:$CY$12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myData!$CZ$11:$CZ$12</c:f>
              <c:numCache>
                <c:formatCode>0.00E+00</c:formatCode>
                <c:ptCount val="2"/>
                <c:pt idx="0">
                  <c:v>8080000</c:v>
                </c:pt>
                <c:pt idx="1">
                  <c:v>8080000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396536"/>
        <c:axId val="747397712"/>
      </c:scatterChart>
      <c:valAx>
        <c:axId val="747396536"/>
        <c:scaling>
          <c:orientation val="minMax"/>
          <c:max val="43920"/>
          <c:min val="4385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/d/yyyy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397712"/>
        <c:crosses val="autoZero"/>
        <c:crossBetween val="midCat"/>
        <c:majorUnit val="7"/>
        <c:minorUnit val="1"/>
      </c:valAx>
      <c:valAx>
        <c:axId val="747397712"/>
        <c:scaling>
          <c:logBase val="10"/>
          <c:orientation val="minMax"/>
          <c:max val="1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396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963054472852918"/>
          <c:y val="0.73414021904439153"/>
          <c:w val="0.45048715175372056"/>
          <c:h val="3.5221241672273543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myData!$CH$12</c:f>
          <c:strCache>
            <c:ptCount val="1"/>
            <c:pt idx="0">
              <c:v>COVID19 NSW P(t) = b / {d+[( b/Po - d ) ]* exp(-b*t)}
b=0.209, d=7.68E-05, P0=.0043 Limit=3.37 k
 21-Mar, Cases per 10 M population</c:v>
            </c:pt>
          </c:strCache>
        </c:strRef>
      </c:tx>
      <c:layout>
        <c:manualLayout>
          <c:xMode val="edge"/>
          <c:yMode val="edge"/>
          <c:x val="8.1045088920980987E-2"/>
          <c:y val="1.25230204999544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461628446254714"/>
          <c:w val="0.43460159270882204"/>
          <c:h val="0.67322394151716547"/>
        </c:manualLayout>
      </c:layout>
      <c:scatterChart>
        <c:scatterStyle val="lineMarker"/>
        <c:varyColors val="0"/>
        <c:ser>
          <c:idx val="3"/>
          <c:order val="2"/>
          <c:tx>
            <c:v>Au Confirmed Cases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1.5770383220312254</c:v>
                </c:pt>
                <c:pt idx="2">
                  <c:v>1.9712979025390318</c:v>
                </c:pt>
                <c:pt idx="3">
                  <c:v>1.9712979025390318</c:v>
                </c:pt>
                <c:pt idx="4">
                  <c:v>2.365557483046838</c:v>
                </c:pt>
                <c:pt idx="5">
                  <c:v>3.548336224570257</c:v>
                </c:pt>
                <c:pt idx="6">
                  <c:v>3.548336224570257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4.731114966093676</c:v>
                </c:pt>
                <c:pt idx="10">
                  <c:v>5.1253745466014822</c:v>
                </c:pt>
                <c:pt idx="11">
                  <c:v>5.1253745466014822</c:v>
                </c:pt>
                <c:pt idx="12">
                  <c:v>5.5196341271092884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5.9138937076170954</c:v>
                </c:pt>
                <c:pt idx="35">
                  <c:v>9.856489512695159</c:v>
                </c:pt>
                <c:pt idx="36">
                  <c:v>10.645008673710771</c:v>
                </c:pt>
                <c:pt idx="37">
                  <c:v>11.827787415234191</c:v>
                </c:pt>
                <c:pt idx="38">
                  <c:v>15.376123639804447</c:v>
                </c:pt>
                <c:pt idx="39">
                  <c:v>20.501498186405929</c:v>
                </c:pt>
                <c:pt idx="40">
                  <c:v>21.68427692792935</c:v>
                </c:pt>
                <c:pt idx="41">
                  <c:v>23.655574830468382</c:v>
                </c:pt>
                <c:pt idx="42">
                  <c:v>24.838353571991799</c:v>
                </c:pt>
                <c:pt idx="43">
                  <c:v>29.963728118593281</c:v>
                </c:pt>
                <c:pt idx="44">
                  <c:v>35.87762182621038</c:v>
                </c:pt>
                <c:pt idx="45">
                  <c:v>42.185775114335279</c:v>
                </c:pt>
                <c:pt idx="46">
                  <c:v>50.465226304999213</c:v>
                </c:pt>
                <c:pt idx="47">
                  <c:v>57.167639173631919</c:v>
                </c:pt>
                <c:pt idx="48">
                  <c:v>78.851916101561272</c:v>
                </c:pt>
                <c:pt idx="49">
                  <c:v>98.95915470745939</c:v>
                </c:pt>
                <c:pt idx="50">
                  <c:v>124.58602744046681</c:v>
                </c:pt>
                <c:pt idx="51">
                  <c:v>148.635861851443</c:v>
                </c:pt>
                <c:pt idx="52">
                  <c:v>179.78236871155968</c:v>
                </c:pt>
                <c:pt idx="53">
                  <c:v>223.93944172843399</c:v>
                </c:pt>
                <c:pt idx="54">
                  <c:v>279.92430216054248</c:v>
                </c:pt>
                <c:pt idx="55">
                  <c:v>345.76565210534613</c:v>
                </c:pt>
                <c:pt idx="56">
                  <c:v>423.04052988487621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myData!AuSeries</c:f>
              <c:strCache>
                <c:ptCount val="1"/>
                <c:pt idx="0">
                  <c:v>Australia Limit 81.4 M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myData!AuLogiDates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4"/>
                <c:pt idx="0">
                  <c:v>4.001834795999977E-3</c:v>
                </c:pt>
                <c:pt idx="1">
                  <c:v>4.9196740007116952E-3</c:v>
                </c:pt>
                <c:pt idx="2">
                  <c:v>6.048023845813994E-3</c:v>
                </c:pt>
                <c:pt idx="3">
                  <c:v>7.4351659142713198E-3</c:v>
                </c:pt>
                <c:pt idx="4">
                  <c:v>9.1404553920183401E-3</c:v>
                </c:pt>
                <c:pt idx="5">
                  <c:v>1.1236860849696837E-2</c:v>
                </c:pt>
                <c:pt idx="6">
                  <c:v>1.3814086535006024E-2</c:v>
                </c:pt>
                <c:pt idx="7">
                  <c:v>1.6982410777152023E-2</c:v>
                </c:pt>
                <c:pt idx="8">
                  <c:v>2.0877404746996477E-2</c:v>
                </c:pt>
                <c:pt idx="9">
                  <c:v>2.5665733486528199E-2</c:v>
                </c:pt>
                <c:pt idx="10">
                  <c:v>3.1552287431098301E-2</c:v>
                </c:pt>
                <c:pt idx="11">
                  <c:v>3.8788949579044392E-2</c:v>
                </c:pt>
                <c:pt idx="12">
                  <c:v>4.7685373451943111E-2</c:v>
                </c:pt>
                <c:pt idx="13">
                  <c:v>5.8622233029552141E-2</c:v>
                </c:pt>
                <c:pt idx="14">
                  <c:v>7.2067511618181382E-2</c:v>
                </c:pt>
                <c:pt idx="15">
                  <c:v>8.8596526645816395E-2</c:v>
                </c:pt>
                <c:pt idx="16">
                  <c:v>0.10891654723592653</c:v>
                </c:pt>
                <c:pt idx="17">
                  <c:v>0.13389705793479745</c:v>
                </c:pt>
                <c:pt idx="18">
                  <c:v>0.16460696356355856</c:v>
                </c:pt>
                <c:pt idx="19">
                  <c:v>0.20236032717361774</c:v>
                </c:pt>
                <c:pt idx="20">
                  <c:v>0.24877259821177924</c:v>
                </c:pt>
                <c:pt idx="21">
                  <c:v>0.30582973687253279</c:v>
                </c:pt>
                <c:pt idx="22">
                  <c:v>0.37597319243683186</c:v>
                </c:pt>
                <c:pt idx="23">
                  <c:v>0.46220437178129997</c:v>
                </c:pt>
                <c:pt idx="24">
                  <c:v>0.56821306821693096</c:v>
                </c:pt>
                <c:pt idx="25">
                  <c:v>0.69853534606730894</c:v>
                </c:pt>
                <c:pt idx="26">
                  <c:v>0.85874763679305799</c:v>
                </c:pt>
                <c:pt idx="27">
                  <c:v>1.055705351943278</c:v>
                </c:pt>
                <c:pt idx="28">
                  <c:v>1.2978362230670493</c:v>
                </c:pt>
                <c:pt idx="29">
                  <c:v>1.595500920456117</c:v>
                </c:pt>
                <c:pt idx="30">
                  <c:v>1.9614363814147033</c:v>
                </c:pt>
                <c:pt idx="31">
                  <c:v>2.4113008178466684</c:v>
                </c:pt>
                <c:pt idx="32">
                  <c:v>2.9643437237486605</c:v>
                </c:pt>
                <c:pt idx="33">
                  <c:v>3.6442295518665495</c:v>
                </c:pt>
                <c:pt idx="34">
                  <c:v>4.4800503041751645</c:v>
                </c:pt>
                <c:pt idx="35">
                  <c:v>5.5075703643307676</c:v>
                </c:pt>
                <c:pt idx="36">
                  <c:v>6.7707568377026259</c:v>
                </c:pt>
                <c:pt idx="37">
                  <c:v>8.3236608812212545</c:v>
                </c:pt>
                <c:pt idx="38">
                  <c:v>10.232730523811119</c:v>
                </c:pt>
                <c:pt idx="39">
                  <c:v>12.579653941212927</c:v>
                </c:pt>
                <c:pt idx="40">
                  <c:v>15.464854846526064</c:v>
                </c:pt>
                <c:pt idx="41">
                  <c:v>19.011789560966641</c:v>
                </c:pt>
                <c:pt idx="42">
                  <c:v>23.372229632006377</c:v>
                </c:pt>
                <c:pt idx="43">
                  <c:v>28.732756035876946</c:v>
                </c:pt>
                <c:pt idx="44">
                  <c:v>35.322742842594572</c:v>
                </c:pt>
                <c:pt idx="45">
                  <c:v>43.424171952100401</c:v>
                </c:pt>
                <c:pt idx="46">
                  <c:v>53.383698856299098</c:v>
                </c:pt>
                <c:pt idx="47">
                  <c:v>65.627485695330421</c:v>
                </c:pt>
                <c:pt idx="48">
                  <c:v>80.679436277356686</c:v>
                </c:pt>
                <c:pt idx="49">
                  <c:v>99.183613284025824</c:v>
                </c:pt>
                <c:pt idx="50">
                  <c:v>121.9317968140261</c:v>
                </c:pt>
                <c:pt idx="51">
                  <c:v>149.89736337703505</c:v>
                </c:pt>
                <c:pt idx="52">
                  <c:v>184.27693484571105</c:v>
                </c:pt>
                <c:pt idx="53">
                  <c:v>226.54157926494975</c:v>
                </c:pt>
                <c:pt idx="54">
                  <c:v>278.49975401421847</c:v>
                </c:pt>
                <c:pt idx="55">
                  <c:v>342.3746840827896</c:v>
                </c:pt>
                <c:pt idx="56">
                  <c:v>420.89948560855566</c:v>
                </c:pt>
                <c:pt idx="57">
                  <c:v>517.43410371811296</c:v>
                </c:pt>
                <c:pt idx="58">
                  <c:v>636.1090664878709</c:v>
                </c:pt>
                <c:pt idx="59">
                  <c:v>782.00220332534184</c:v>
                </c:pt>
                <c:pt idx="60">
                  <c:v>961.35588513604432</c:v>
                </c:pt>
                <c:pt idx="61">
                  <c:v>1181.8440753342218</c:v>
                </c:pt>
                <c:pt idx="62">
                  <c:v>1452.9006087899759</c:v>
                </c:pt>
                <c:pt idx="63">
                  <c:v>1786.1227306598844</c:v>
                </c:pt>
                <c:pt idx="64">
                  <c:v>2195.7671397358358</c:v>
                </c:pt>
                <c:pt idx="65">
                  <c:v>2699.3597276148585</c:v>
                </c:pt>
                <c:pt idx="66">
                  <c:v>3318.4450525186335</c:v>
                </c:pt>
                <c:pt idx="67">
                  <c:v>14080.478014488101</c:v>
                </c:pt>
                <c:pt idx="68">
                  <c:v>59719.203690933333</c:v>
                </c:pt>
                <c:pt idx="69">
                  <c:v>252826.18832696462</c:v>
                </c:pt>
                <c:pt idx="70" formatCode="0.00E+00">
                  <c:v>1062207.3421253909</c:v>
                </c:pt>
                <c:pt idx="71" formatCode="0.00E+00">
                  <c:v>4324617.0653958321</c:v>
                </c:pt>
                <c:pt idx="72" formatCode="0.00E+00">
                  <c:v>15654764.107485486</c:v>
                </c:pt>
                <c:pt idx="73" formatCode="0.00E+00">
                  <c:v>40913914.11015825</c:v>
                </c:pt>
                <c:pt idx="74" formatCode="0.00E+00">
                  <c:v>66013334.181886084</c:v>
                </c:pt>
                <c:pt idx="75" formatCode="0.00E+00">
                  <c:v>77168995.464638099</c:v>
                </c:pt>
                <c:pt idx="76" formatCode="0.00E+00">
                  <c:v>80369471.486134887</c:v>
                </c:pt>
                <c:pt idx="77" formatCode="0.00E+00">
                  <c:v>81162681.027903005</c:v>
                </c:pt>
                <c:pt idx="78" formatCode="0.00E+00">
                  <c:v>81351882.38114959</c:v>
                </c:pt>
                <c:pt idx="79" formatCode="0.00E+00">
                  <c:v>81396595.391286746</c:v>
                </c:pt>
                <c:pt idx="80" formatCode="0.00E+00">
                  <c:v>81407138.983679876</c:v>
                </c:pt>
                <c:pt idx="81" formatCode="0.00E+00">
                  <c:v>81409623.935262606</c:v>
                </c:pt>
                <c:pt idx="82" formatCode="0.00E+00">
                  <c:v>81410209.525902465</c:v>
                </c:pt>
                <c:pt idx="83" formatCode="0.00E+00">
                  <c:v>81410347.519139007</c:v>
                </c:pt>
                <c:pt idx="84" formatCode="0.00E+00">
                  <c:v>81410380.036742032</c:v>
                </c:pt>
                <c:pt idx="85" formatCode="0.00E+00">
                  <c:v>81410387.699384362</c:v>
                </c:pt>
                <c:pt idx="86" formatCode="0.00E+00">
                  <c:v>81410389.505054504</c:v>
                </c:pt>
                <c:pt idx="87" formatCode="0.00E+00">
                  <c:v>81410389.930553213</c:v>
                </c:pt>
                <c:pt idx="88" formatCode="0.00E+00">
                  <c:v>81410390.030820221</c:v>
                </c:pt>
                <c:pt idx="89" formatCode="0.00E+00">
                  <c:v>81410390.05444774</c:v>
                </c:pt>
                <c:pt idx="90" formatCode="0.00E+00">
                  <c:v>81410390.060015455</c:v>
                </c:pt>
                <c:pt idx="91" formatCode="0.00E+00">
                  <c:v>81410390.061327457</c:v>
                </c:pt>
                <c:pt idx="92" formatCode="0.00E+00">
                  <c:v>81410390.061636627</c:v>
                </c:pt>
                <c:pt idx="93" formatCode="0.00E+00">
                  <c:v>81410390.061709493</c:v>
                </c:pt>
                <c:pt idx="94" formatCode="0.00E+00">
                  <c:v>81410390.06172666</c:v>
                </c:pt>
                <c:pt idx="95" formatCode="0.00E+00">
                  <c:v>81410390.061730698</c:v>
                </c:pt>
                <c:pt idx="96" formatCode="0.00E+00">
                  <c:v>81410390.061731666</c:v>
                </c:pt>
                <c:pt idx="97" formatCode="0.00E+00">
                  <c:v>81410390.061731875</c:v>
                </c:pt>
                <c:pt idx="98" formatCode="0.00E+00">
                  <c:v>81410390.061731935</c:v>
                </c:pt>
                <c:pt idx="99" formatCode="0.00E+00">
                  <c:v>81410390.061731949</c:v>
                </c:pt>
                <c:pt idx="100" formatCode="0.00E+00">
                  <c:v>81410390.061731949</c:v>
                </c:pt>
                <c:pt idx="101" formatCode="0.00E+00">
                  <c:v>81410390.061731949</c:v>
                </c:pt>
                <c:pt idx="102" formatCode="0.00E+00">
                  <c:v>81410390.061731949</c:v>
                </c:pt>
                <c:pt idx="103" formatCode="0.00E+00">
                  <c:v>81410390.061731949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392224"/>
        <c:axId val="747398496"/>
      </c:scatterChart>
      <c:scatterChart>
        <c:scatterStyle val="lineMarker"/>
        <c:varyColors val="0"/>
        <c:ser>
          <c:idx val="1"/>
          <c:order val="0"/>
          <c:tx>
            <c:v>NSW Confirmed Cases</c:v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5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  <c:pt idx="56">
                  <c:v>539.60396039603961</c:v>
                </c:pt>
              </c:numCache>
            </c:numRef>
          </c:yVal>
          <c:smooth val="0"/>
        </c:ser>
        <c:ser>
          <c:idx val="0"/>
          <c:order val="1"/>
          <c:tx>
            <c:v>NSW Logistic Prediction</c:v>
          </c:tx>
          <c:spPr>
            <a:ln w="12700" cap="rnd">
              <a:solidFill>
                <a:schemeClr val="tx2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0</c:v>
                </c:pt>
                <c:pt idx="1">
                  <c:v>6.5668371760367735E-3</c:v>
                </c:pt>
                <c:pt idx="2">
                  <c:v>8.0957390525511312E-3</c:v>
                </c:pt>
                <c:pt idx="3">
                  <c:v>9.9806013354093066E-3</c:v>
                </c:pt>
                <c:pt idx="4">
                  <c:v>1.2304298521319826E-2</c:v>
                </c:pt>
                <c:pt idx="5">
                  <c:v>1.5168999614853435E-2</c:v>
                </c:pt>
                <c:pt idx="6">
                  <c:v>1.8700660050355006E-2</c:v>
                </c:pt>
                <c:pt idx="7">
                  <c:v>2.3054559293697274E-2</c:v>
                </c:pt>
                <c:pt idx="8">
                  <c:v>2.8422127508931781E-2</c:v>
                </c:pt>
                <c:pt idx="9">
                  <c:v>3.5039361302685458E-2</c:v>
                </c:pt>
                <c:pt idx="10">
                  <c:v>4.319719835157973E-2</c:v>
                </c:pt>
                <c:pt idx="11">
                  <c:v>5.3254306729860292E-2</c:v>
                </c:pt>
                <c:pt idx="12">
                  <c:v>6.5652850746616656E-2</c:v>
                </c:pt>
                <c:pt idx="13">
                  <c:v>8.0937925702799993E-2</c:v>
                </c:pt>
                <c:pt idx="14">
                  <c:v>9.9781514881455841E-2</c:v>
                </c:pt>
                <c:pt idx="15">
                  <c:v>0.12301202029099387</c:v>
                </c:pt>
                <c:pt idx="16">
                  <c:v>0.1516506627935062</c:v>
                </c:pt>
                <c:pt idx="17">
                  <c:v>0.18695634783076903</c:v>
                </c:pt>
                <c:pt idx="18">
                  <c:v>0.23048096296645523</c:v>
                </c:pt>
                <c:pt idx="19">
                  <c:v>0.28413752876894738</c:v>
                </c:pt>
                <c:pt idx="20">
                  <c:v>0.35028418458564975</c:v>
                </c:pt>
                <c:pt idx="21">
                  <c:v>0.43182767922132692</c:v>
                </c:pt>
                <c:pt idx="22">
                  <c:v>0.53235088231973038</c:v>
                </c:pt>
                <c:pt idx="23">
                  <c:v>0.65626987045110352</c:v>
                </c:pt>
                <c:pt idx="24">
                  <c:v>0.80902741499361897</c:v>
                </c:pt>
                <c:pt idx="25">
                  <c:v>0.99733125800976163</c:v>
                </c:pt>
                <c:pt idx="26">
                  <c:v>1.2294474686826435</c:v>
                </c:pt>
                <c:pt idx="27">
                  <c:v>1.5155614991990152</c:v>
                </c:pt>
                <c:pt idx="28">
                  <c:v>1.8682223906858584</c:v>
                </c:pt>
                <c:pt idx="29">
                  <c:v>2.3028890159186326</c:v>
                </c:pt>
                <c:pt idx="30">
                  <c:v>2.8386013984874459</c:v>
                </c:pt>
                <c:pt idx="31">
                  <c:v>3.4988051421482815</c:v>
                </c:pt>
                <c:pt idx="32">
                  <c:v>4.3123629706140028</c:v>
                </c:pt>
                <c:pt idx="33">
                  <c:v>5.3147944464555765</c:v>
                </c:pt>
                <c:pt idx="34">
                  <c:v>6.5497932188105352</c:v>
                </c:pt>
                <c:pt idx="35">
                  <c:v>8.0710807069577353</c:v>
                </c:pt>
                <c:pt idx="36">
                  <c:v>9.9446659310667442</c:v>
                </c:pt>
                <c:pt idx="37">
                  <c:v>12.25159305691732</c:v>
                </c:pt>
                <c:pt idx="38">
                  <c:v>15.091270653610515</c:v>
                </c:pt>
                <c:pt idx="39">
                  <c:v>18.585488749042639</c:v>
                </c:pt>
                <c:pt idx="40">
                  <c:v>22.88323988485061</c:v>
                </c:pt>
                <c:pt idx="41">
                  <c:v>28.166465839171799</c:v>
                </c:pt>
                <c:pt idx="42">
                  <c:v>34.656848258804871</c:v>
                </c:pt>
                <c:pt idx="43">
                  <c:v>42.623742642982165</c:v>
                </c:pt>
                <c:pt idx="44">
                  <c:v>52.393311376355804</c:v>
                </c:pt>
                <c:pt idx="45">
                  <c:v>64.358829154120798</c:v>
                </c:pt>
                <c:pt idx="46">
                  <c:v>78.991994433349774</c:v>
                </c:pt>
                <c:pt idx="47">
                  <c:v>96.854859051729477</c:v>
                </c:pt>
                <c:pt idx="48">
                  <c:v>118.61165527951668</c:v>
                </c:pt>
                <c:pt idx="49">
                  <c:v>145.03932351777351</c:v>
                </c:pt>
                <c:pt idx="50">
                  <c:v>177.03489820005046</c:v>
                </c:pt>
                <c:pt idx="51">
                  <c:v>215.61708830699396</c:v>
                </c:pt>
                <c:pt idx="52">
                  <c:v>261.91843309590155</c:v>
                </c:pt>
                <c:pt idx="53">
                  <c:v>317.16345006951468</c:v>
                </c:pt>
                <c:pt idx="54">
                  <c:v>382.62748330154653</c:v>
                </c:pt>
                <c:pt idx="55">
                  <c:v>459.57094877467205</c:v>
                </c:pt>
                <c:pt idx="56">
                  <c:v>549.14498726747604</c:v>
                </c:pt>
                <c:pt idx="57">
                  <c:v>652.26789222819855</c:v>
                </c:pt>
                <c:pt idx="58">
                  <c:v>769.47762022529503</c:v>
                </c:pt>
                <c:pt idx="59">
                  <c:v>900.7741053976489</c:v>
                </c:pt>
                <c:pt idx="60">
                  <c:v>1045.4746492538213</c:v>
                </c:pt>
                <c:pt idx="61">
                  <c:v>1202.1134198547247</c:v>
                </c:pt>
                <c:pt idx="62">
                  <c:v>1368.4179465667205</c:v>
                </c:pt>
                <c:pt idx="63">
                  <c:v>1541.3876541979275</c:v>
                </c:pt>
                <c:pt idx="64">
                  <c:v>1717.480925979138</c:v>
                </c:pt>
                <c:pt idx="65">
                  <c:v>1892.8916726070725</c:v>
                </c:pt>
                <c:pt idx="66">
                  <c:v>2063.8721885906225</c:v>
                </c:pt>
                <c:pt idx="67">
                  <c:v>2941.3726307808315</c:v>
                </c:pt>
                <c:pt idx="68">
                  <c:v>3261.7910977495617</c:v>
                </c:pt>
                <c:pt idx="69">
                  <c:v>3346.0064192518171</c:v>
                </c:pt>
                <c:pt idx="70" formatCode="0.00E+00">
                  <c:v>3366.0861109167863</c:v>
                </c:pt>
                <c:pt idx="71" formatCode="0.00E+00">
                  <c:v>3370.7597472822554</c:v>
                </c:pt>
                <c:pt idx="72" formatCode="0.00E+00">
                  <c:v>3371.8414145494571</c:v>
                </c:pt>
                <c:pt idx="73" formatCode="0.00E+00">
                  <c:v>3372.0914272547952</c:v>
                </c:pt>
                <c:pt idx="74" formatCode="0.00E+00">
                  <c:v>3372.1491967496681</c:v>
                </c:pt>
                <c:pt idx="75" formatCode="0.00E+00">
                  <c:v>3372.1625443925723</c:v>
                </c:pt>
                <c:pt idx="76" formatCode="0.00E+00">
                  <c:v>3372.1656283157108</c:v>
                </c:pt>
                <c:pt idx="77" formatCode="0.00E+00">
                  <c:v>3372.1663408419859</c:v>
                </c:pt>
                <c:pt idx="78" formatCode="0.00E+00">
                  <c:v>3372.166505467766</c:v>
                </c:pt>
                <c:pt idx="79" formatCode="0.00E+00">
                  <c:v>3372.1665435037562</c:v>
                </c:pt>
                <c:pt idx="80" formatCode="0.00E+00">
                  <c:v>3372.1665522917879</c:v>
                </c:pt>
                <c:pt idx="81" formatCode="0.00E+00">
                  <c:v>3372.1665543222189</c:v>
                </c:pt>
                <c:pt idx="82" formatCode="0.00E+00">
                  <c:v>3372.1665547913408</c:v>
                </c:pt>
                <c:pt idx="83" formatCode="0.00E+00">
                  <c:v>3372.1665548997289</c:v>
                </c:pt>
                <c:pt idx="84" formatCode="0.00E+00">
                  <c:v>3372.1665549247709</c:v>
                </c:pt>
                <c:pt idx="85" formatCode="0.00E+00">
                  <c:v>3372.1665549305576</c:v>
                </c:pt>
                <c:pt idx="86" formatCode="0.00E+00">
                  <c:v>3372.1665549318946</c:v>
                </c:pt>
                <c:pt idx="87" formatCode="0.00E+00">
                  <c:v>3372.1665549322029</c:v>
                </c:pt>
                <c:pt idx="88" formatCode="0.00E+00">
                  <c:v>3372.1665549322743</c:v>
                </c:pt>
                <c:pt idx="89" formatCode="0.00E+00">
                  <c:v>3372.1665549322911</c:v>
                </c:pt>
                <c:pt idx="90" formatCode="0.00E+00">
                  <c:v>3372.1665549322947</c:v>
                </c:pt>
                <c:pt idx="91" formatCode="0.00E+00">
                  <c:v>3372.1665549322956</c:v>
                </c:pt>
                <c:pt idx="92" formatCode="0.00E+00">
                  <c:v>3372.1665549322956</c:v>
                </c:pt>
                <c:pt idx="93" formatCode="0.00E+00">
                  <c:v>3372.1665549322956</c:v>
                </c:pt>
                <c:pt idx="94" formatCode="0.00E+00">
                  <c:v>3372.1665549322956</c:v>
                </c:pt>
                <c:pt idx="95" formatCode="0.00E+00">
                  <c:v>3372.1665549322956</c:v>
                </c:pt>
                <c:pt idx="96" formatCode="0.00E+00">
                  <c:v>3372.1665549322956</c:v>
                </c:pt>
                <c:pt idx="97" formatCode="0.00E+00">
                  <c:v>3372.1665549322956</c:v>
                </c:pt>
                <c:pt idx="98" formatCode="0.00E+00">
                  <c:v>3372.1665549322956</c:v>
                </c:pt>
                <c:pt idx="99" formatCode="0.00E+00">
                  <c:v>3372.1665549322956</c:v>
                </c:pt>
                <c:pt idx="100" formatCode="0.00E+00">
                  <c:v>3372.1665549322956</c:v>
                </c:pt>
                <c:pt idx="101" formatCode="0.00E+00">
                  <c:v>3372.1665549322956</c:v>
                </c:pt>
                <c:pt idx="102" formatCode="0.00E+00">
                  <c:v>3372.1665549322956</c:v>
                </c:pt>
                <c:pt idx="103" formatCode="0.00E+00">
                  <c:v>3372.1665549322956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398888"/>
        <c:axId val="747396928"/>
      </c:scatterChart>
      <c:valAx>
        <c:axId val="747392224"/>
        <c:scaling>
          <c:orientation val="minMax"/>
          <c:max val="44012"/>
          <c:min val="4384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398496"/>
        <c:crossesAt val="0.1"/>
        <c:crossBetween val="midCat"/>
        <c:majorUnit val="14"/>
        <c:minorUnit val="7"/>
      </c:valAx>
      <c:valAx>
        <c:axId val="747398496"/>
        <c:scaling>
          <c:logBase val="10"/>
          <c:orientation val="minMax"/>
          <c:max val="10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Australian Cases per 10M pop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392224"/>
        <c:crosses val="autoZero"/>
        <c:crossBetween val="midCat"/>
      </c:valAx>
      <c:valAx>
        <c:axId val="747396928"/>
        <c:scaling>
          <c:logBase val="10"/>
          <c:orientation val="minMax"/>
          <c:max val="10000000"/>
          <c:min val="1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NSW Cases Per 10M Pop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398888"/>
        <c:crosses val="max"/>
        <c:crossBetween val="midCat"/>
      </c:valAx>
      <c:valAx>
        <c:axId val="74739888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47396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581813659836555"/>
          <c:y val="0.69945145225951777"/>
          <c:w val="0.23547747830561738"/>
          <c:h val="0.1374925757552351"/>
        </c:manualLayout>
      </c:layout>
      <c:overlay val="0"/>
      <c:spPr>
        <a:solidFill>
          <a:schemeClr val="bg1">
            <a:alpha val="7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myData!$CH$13</c:f>
          <c:strCache>
            <c:ptCount val="1"/>
            <c:pt idx="0">
              <c:v>COVID19 Italy P(t) = b / {d+[( b/Po - d ) ]* exp(-b*t)}
b=0.26, d=4.70E-06, P0=.442 Limit=9.17 k
 21-Mar, Cases per 10 M population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4034986229607774"/>
          <c:w val="0.43460159270882204"/>
          <c:h val="0.69409564235042309"/>
        </c:manualLayout>
      </c:layout>
      <c:scatterChart>
        <c:scatterStyle val="lineMarker"/>
        <c:varyColors val="0"/>
        <c:ser>
          <c:idx val="1"/>
          <c:order val="0"/>
          <c:tx>
            <c:v>Italy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2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7778.4946236559144</c:v>
                </c:pt>
                <c:pt idx="51">
                  <c:v>8863.1927212572373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ItalyLogistic Prediction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0</c:v>
                </c:pt>
                <c:pt idx="1">
                  <c:v>9.4848129309458962E-2</c:v>
                </c:pt>
                <c:pt idx="2">
                  <c:v>0.12303702881467997</c:v>
                </c:pt>
                <c:pt idx="3">
                  <c:v>0.15960353390056498</c:v>
                </c:pt>
                <c:pt idx="4">
                  <c:v>0.20703732911384501</c:v>
                </c:pt>
                <c:pt idx="5">
                  <c:v>0.26856792369069077</c:v>
                </c:pt>
                <c:pt idx="6">
                  <c:v>0.34838444847319144</c:v>
                </c:pt>
                <c:pt idx="7">
                  <c:v>0.45192072130958377</c:v>
                </c:pt>
                <c:pt idx="8">
                  <c:v>0.58622494071220788</c:v>
                </c:pt>
                <c:pt idx="9">
                  <c:v>0.76043909521700093</c:v>
                </c:pt>
                <c:pt idx="10">
                  <c:v>0.98642058801477062</c:v>
                </c:pt>
                <c:pt idx="11">
                  <c:v>1.2795481614780602</c:v>
                </c:pt>
                <c:pt idx="12">
                  <c:v>1.6597665895543499</c:v>
                </c:pt>
                <c:pt idx="13">
                  <c:v>2.152940584955545</c:v>
                </c:pt>
                <c:pt idx="14">
                  <c:v>2.7926089535781093</c:v>
                </c:pt>
                <c:pt idx="15">
                  <c:v>3.6222564928425882</c:v>
                </c:pt>
                <c:pt idx="16">
                  <c:v>4.6982550582711546</c:v>
                </c:pt>
                <c:pt idx="17">
                  <c:v>6.0936685592242563</c:v>
                </c:pt>
                <c:pt idx="18">
                  <c:v>7.9031717302330025</c:v>
                </c:pt>
                <c:pt idx="19">
                  <c:v>10.249402087293142</c:v>
                </c:pt>
                <c:pt idx="20">
                  <c:v>13.291151547435698</c:v>
                </c:pt>
                <c:pt idx="21">
                  <c:v>17.233911846123949</c:v>
                </c:pt>
                <c:pt idx="22">
                  <c:v>22.343418727763268</c:v>
                </c:pt>
                <c:pt idx="23">
                  <c:v>28.962994980144742</c:v>
                </c:pt>
                <c:pt idx="24">
                  <c:v>37.535669376149336</c:v>
                </c:pt>
                <c:pt idx="25">
                  <c:v>48.632238375033459</c:v>
                </c:pt>
                <c:pt idx="26">
                  <c:v>62.986618608123891</c:v>
                </c:pt>
                <c:pt idx="27">
                  <c:v>81.539967970545888</c:v>
                </c:pt>
                <c:pt idx="28">
                  <c:v>105.49505337240565</c:v>
                </c:pt>
                <c:pt idx="29">
                  <c:v>136.38207937304625</c:v>
                </c:pt>
                <c:pt idx="30">
                  <c:v>176.13644446274736</c:v>
                </c:pt>
                <c:pt idx="31">
                  <c:v>227.18732102934158</c:v>
                </c:pt>
                <c:pt idx="32">
                  <c:v>292.55306909581014</c:v>
                </c:pt>
                <c:pt idx="33">
                  <c:v>375.93464405405427</c:v>
                </c:pt>
                <c:pt idx="34">
                  <c:v>481.79061827176201</c:v>
                </c:pt>
                <c:pt idx="35">
                  <c:v>615.3666661831561</c:v>
                </c:pt>
                <c:pt idx="36">
                  <c:v>782.6386175913741</c:v>
                </c:pt>
                <c:pt idx="37">
                  <c:v>990.11362702360771</c:v>
                </c:pt>
                <c:pt idx="38">
                  <c:v>1244.4243106656154</c:v>
                </c:pt>
                <c:pt idx="39">
                  <c:v>1551.6565317305783</c:v>
                </c:pt>
                <c:pt idx="40">
                  <c:v>1916.388083537779</c:v>
                </c:pt>
                <c:pt idx="41">
                  <c:v>2340.4970299705597</c:v>
                </c:pt>
                <c:pt idx="42">
                  <c:v>2821.9246256487299</c:v>
                </c:pt>
                <c:pt idx="43">
                  <c:v>3353.7152422562399</c:v>
                </c:pt>
                <c:pt idx="44">
                  <c:v>3923.7298077648074</c:v>
                </c:pt>
                <c:pt idx="45">
                  <c:v>4515.3496848267951</c:v>
                </c:pt>
                <c:pt idx="46">
                  <c:v>5109.2172894874357</c:v>
                </c:pt>
                <c:pt idx="47">
                  <c:v>5685.6815343352391</c:v>
                </c:pt>
                <c:pt idx="48">
                  <c:v>6227.3217555963911</c:v>
                </c:pt>
                <c:pt idx="49">
                  <c:v>6720.8894516355031</c:v>
                </c:pt>
                <c:pt idx="50">
                  <c:v>7158.2545879055615</c:v>
                </c:pt>
                <c:pt idx="51">
                  <c:v>7536.3212756396706</c:v>
                </c:pt>
                <c:pt idx="52">
                  <c:v>7856.1846800451958</c:v>
                </c:pt>
                <c:pt idx="53">
                  <c:v>8121.9239063864607</c:v>
                </c:pt>
                <c:pt idx="54">
                  <c:v>8339.3788498405775</c:v>
                </c:pt>
                <c:pt idx="55">
                  <c:v>8515.1279647826468</c:v>
                </c:pt>
                <c:pt idx="56">
                  <c:v>8655.7507790854434</c:v>
                </c:pt>
                <c:pt idx="57">
                  <c:v>8767.3664995718591</c:v>
                </c:pt>
                <c:pt idx="58">
                  <c:v>8855.3943564857818</c:v>
                </c:pt>
                <c:pt idx="59">
                  <c:v>8924.4700097282766</c:v>
                </c:pt>
                <c:pt idx="60">
                  <c:v>8978.4596618514806</c:v>
                </c:pt>
                <c:pt idx="61">
                  <c:v>9020.5276395734909</c:v>
                </c:pt>
                <c:pt idx="62">
                  <c:v>9141.3253336146699</c:v>
                </c:pt>
                <c:pt idx="63">
                  <c:v>9161.1734364105432</c:v>
                </c:pt>
                <c:pt idx="64">
                  <c:v>9164.392686512816</c:v>
                </c:pt>
                <c:pt idx="65">
                  <c:v>9164.9137290587933</c:v>
                </c:pt>
                <c:pt idx="66">
                  <c:v>9164.9980320658979</c:v>
                </c:pt>
                <c:pt idx="67">
                  <c:v>9165.0116712659801</c:v>
                </c:pt>
                <c:pt idx="68">
                  <c:v>9165.0138779027184</c:v>
                </c:pt>
                <c:pt idx="69">
                  <c:v>9165.0142349059588</c:v>
                </c:pt>
                <c:pt idx="70">
                  <c:v>9165.014292664122</c:v>
                </c:pt>
                <c:pt idx="71">
                  <c:v>9165.0143020085907</c:v>
                </c:pt>
                <c:pt idx="72">
                  <c:v>9165.0143035203946</c:v>
                </c:pt>
                <c:pt idx="73">
                  <c:v>9165.0143037649832</c:v>
                </c:pt>
                <c:pt idx="74">
                  <c:v>9165.0143038045535</c:v>
                </c:pt>
                <c:pt idx="75">
                  <c:v>9165.0143038109563</c:v>
                </c:pt>
                <c:pt idx="76">
                  <c:v>9165.0143038119932</c:v>
                </c:pt>
                <c:pt idx="77">
                  <c:v>9165.0143038121605</c:v>
                </c:pt>
                <c:pt idx="78">
                  <c:v>9165.0143038121878</c:v>
                </c:pt>
                <c:pt idx="79">
                  <c:v>9165.0143038121914</c:v>
                </c:pt>
                <c:pt idx="80">
                  <c:v>9165.0143038121932</c:v>
                </c:pt>
                <c:pt idx="81">
                  <c:v>9165.0143038121932</c:v>
                </c:pt>
                <c:pt idx="82">
                  <c:v>9165.0143038121932</c:v>
                </c:pt>
                <c:pt idx="83">
                  <c:v>9165.0143038121932</c:v>
                </c:pt>
                <c:pt idx="84">
                  <c:v>9165.0143038121932</c:v>
                </c:pt>
                <c:pt idx="85">
                  <c:v>9165.0143038121932</c:v>
                </c:pt>
                <c:pt idx="86">
                  <c:v>9165.0143038121932</c:v>
                </c:pt>
                <c:pt idx="87">
                  <c:v>9165.0143038121932</c:v>
                </c:pt>
                <c:pt idx="88">
                  <c:v>9165.0143038121932</c:v>
                </c:pt>
                <c:pt idx="89">
                  <c:v>9165.0143038121932</c:v>
                </c:pt>
                <c:pt idx="90">
                  <c:v>9165.0143038121932</c:v>
                </c:pt>
                <c:pt idx="91">
                  <c:v>9165.0143038121932</c:v>
                </c:pt>
                <c:pt idx="92">
                  <c:v>9165.0143038121932</c:v>
                </c:pt>
                <c:pt idx="93">
                  <c:v>9165.0143038121932</c:v>
                </c:pt>
                <c:pt idx="94">
                  <c:v>9165.0143038121932</c:v>
                </c:pt>
                <c:pt idx="95">
                  <c:v>9165.0143038121932</c:v>
                </c:pt>
                <c:pt idx="96">
                  <c:v>9165.0143038121932</c:v>
                </c:pt>
                <c:pt idx="97">
                  <c:v>9165.0143038121932</c:v>
                </c:pt>
                <c:pt idx="98">
                  <c:v>9165.0143038121932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400848"/>
        <c:axId val="747401632"/>
      </c:scatterChart>
      <c:valAx>
        <c:axId val="747400848"/>
        <c:scaling>
          <c:orientation val="minMax"/>
          <c:max val="43922"/>
          <c:min val="4386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01632"/>
        <c:crossesAt val="0.1"/>
        <c:crossBetween val="midCat"/>
        <c:majorUnit val="7"/>
        <c:minorUnit val="3.5"/>
      </c:valAx>
      <c:valAx>
        <c:axId val="747401632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00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9432251928890691E-2"/>
          <c:y val="0.16096157076147521"/>
          <c:w val="0.13601372844301224"/>
          <c:h val="0.11075724174064068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myData!$CH$13</c:f>
          <c:strCache>
            <c:ptCount val="1"/>
            <c:pt idx="0">
              <c:v>COVID19 Italy P(t) = b / {d+[( b/Po - d ) ]* exp(-b*t)}
b=0.26, d=4.70E-06, P0=.442 Limit=9.17 k
 21-Mar, Cases per 10 M population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4034986229607774"/>
          <c:w val="0.43460159270882204"/>
          <c:h val="0.72749036368363496"/>
        </c:manualLayout>
      </c:layout>
      <c:scatterChart>
        <c:scatterStyle val="lineMarker"/>
        <c:varyColors val="0"/>
        <c:ser>
          <c:idx val="1"/>
          <c:order val="0"/>
          <c:tx>
            <c:v>Italy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2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7778.4946236559144</c:v>
                </c:pt>
                <c:pt idx="51">
                  <c:v>8863.1927212572373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myData!ItalySeries</c:f>
              <c:strCache>
                <c:ptCount val="1"/>
                <c:pt idx="0">
                  <c:v>Italy Limit 9.17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0</c:v>
                </c:pt>
                <c:pt idx="1">
                  <c:v>9.4848129309458962E-2</c:v>
                </c:pt>
                <c:pt idx="2">
                  <c:v>0.12303702881467997</c:v>
                </c:pt>
                <c:pt idx="3">
                  <c:v>0.15960353390056498</c:v>
                </c:pt>
                <c:pt idx="4">
                  <c:v>0.20703732911384501</c:v>
                </c:pt>
                <c:pt idx="5">
                  <c:v>0.26856792369069077</c:v>
                </c:pt>
                <c:pt idx="6">
                  <c:v>0.34838444847319144</c:v>
                </c:pt>
                <c:pt idx="7">
                  <c:v>0.45192072130958377</c:v>
                </c:pt>
                <c:pt idx="8">
                  <c:v>0.58622494071220788</c:v>
                </c:pt>
                <c:pt idx="9">
                  <c:v>0.76043909521700093</c:v>
                </c:pt>
                <c:pt idx="10">
                  <c:v>0.98642058801477062</c:v>
                </c:pt>
                <c:pt idx="11">
                  <c:v>1.2795481614780602</c:v>
                </c:pt>
                <c:pt idx="12">
                  <c:v>1.6597665895543499</c:v>
                </c:pt>
                <c:pt idx="13">
                  <c:v>2.152940584955545</c:v>
                </c:pt>
                <c:pt idx="14">
                  <c:v>2.7926089535781093</c:v>
                </c:pt>
                <c:pt idx="15">
                  <c:v>3.6222564928425882</c:v>
                </c:pt>
                <c:pt idx="16">
                  <c:v>4.6982550582711546</c:v>
                </c:pt>
                <c:pt idx="17">
                  <c:v>6.0936685592242563</c:v>
                </c:pt>
                <c:pt idx="18">
                  <c:v>7.9031717302330025</c:v>
                </c:pt>
                <c:pt idx="19">
                  <c:v>10.249402087293142</c:v>
                </c:pt>
                <c:pt idx="20">
                  <c:v>13.291151547435698</c:v>
                </c:pt>
                <c:pt idx="21">
                  <c:v>17.233911846123949</c:v>
                </c:pt>
                <c:pt idx="22">
                  <c:v>22.343418727763268</c:v>
                </c:pt>
                <c:pt idx="23">
                  <c:v>28.962994980144742</c:v>
                </c:pt>
                <c:pt idx="24">
                  <c:v>37.535669376149336</c:v>
                </c:pt>
                <c:pt idx="25">
                  <c:v>48.632238375033459</c:v>
                </c:pt>
                <c:pt idx="26">
                  <c:v>62.986618608123891</c:v>
                </c:pt>
                <c:pt idx="27">
                  <c:v>81.539967970545888</c:v>
                </c:pt>
                <c:pt idx="28">
                  <c:v>105.49505337240565</c:v>
                </c:pt>
                <c:pt idx="29">
                  <c:v>136.38207937304625</c:v>
                </c:pt>
                <c:pt idx="30">
                  <c:v>176.13644446274736</c:v>
                </c:pt>
                <c:pt idx="31">
                  <c:v>227.18732102934158</c:v>
                </c:pt>
                <c:pt idx="32">
                  <c:v>292.55306909581014</c:v>
                </c:pt>
                <c:pt idx="33">
                  <c:v>375.93464405405427</c:v>
                </c:pt>
                <c:pt idx="34">
                  <c:v>481.79061827176201</c:v>
                </c:pt>
                <c:pt idx="35">
                  <c:v>615.3666661831561</c:v>
                </c:pt>
                <c:pt idx="36">
                  <c:v>782.6386175913741</c:v>
                </c:pt>
                <c:pt idx="37">
                  <c:v>990.11362702360771</c:v>
                </c:pt>
                <c:pt idx="38">
                  <c:v>1244.4243106656154</c:v>
                </c:pt>
                <c:pt idx="39">
                  <c:v>1551.6565317305783</c:v>
                </c:pt>
                <c:pt idx="40">
                  <c:v>1916.388083537779</c:v>
                </c:pt>
                <c:pt idx="41">
                  <c:v>2340.4970299705597</c:v>
                </c:pt>
                <c:pt idx="42">
                  <c:v>2821.9246256487299</c:v>
                </c:pt>
                <c:pt idx="43">
                  <c:v>3353.7152422562399</c:v>
                </c:pt>
                <c:pt idx="44">
                  <c:v>3923.7298077648074</c:v>
                </c:pt>
                <c:pt idx="45">
                  <c:v>4515.3496848267951</c:v>
                </c:pt>
                <c:pt idx="46">
                  <c:v>5109.2172894874357</c:v>
                </c:pt>
                <c:pt idx="47">
                  <c:v>5685.6815343352391</c:v>
                </c:pt>
                <c:pt idx="48">
                  <c:v>6227.3217555963911</c:v>
                </c:pt>
                <c:pt idx="49">
                  <c:v>6720.8894516355031</c:v>
                </c:pt>
                <c:pt idx="50">
                  <c:v>7158.2545879055615</c:v>
                </c:pt>
                <c:pt idx="51">
                  <c:v>7536.3212756396706</c:v>
                </c:pt>
                <c:pt idx="52">
                  <c:v>7856.1846800451958</c:v>
                </c:pt>
                <c:pt idx="53">
                  <c:v>8121.9239063864607</c:v>
                </c:pt>
                <c:pt idx="54">
                  <c:v>8339.3788498405775</c:v>
                </c:pt>
                <c:pt idx="55">
                  <c:v>8515.1279647826468</c:v>
                </c:pt>
                <c:pt idx="56">
                  <c:v>8655.7507790854434</c:v>
                </c:pt>
                <c:pt idx="57">
                  <c:v>8767.3664995718591</c:v>
                </c:pt>
                <c:pt idx="58">
                  <c:v>8855.3943564857818</c:v>
                </c:pt>
                <c:pt idx="59">
                  <c:v>8924.4700097282766</c:v>
                </c:pt>
                <c:pt idx="60">
                  <c:v>8978.4596618514806</c:v>
                </c:pt>
                <c:pt idx="61">
                  <c:v>9020.5276395734909</c:v>
                </c:pt>
                <c:pt idx="62">
                  <c:v>9141.3253336146699</c:v>
                </c:pt>
                <c:pt idx="63">
                  <c:v>9161.1734364105432</c:v>
                </c:pt>
                <c:pt idx="64">
                  <c:v>9164.392686512816</c:v>
                </c:pt>
                <c:pt idx="65">
                  <c:v>9164.9137290587933</c:v>
                </c:pt>
                <c:pt idx="66">
                  <c:v>9164.9980320658979</c:v>
                </c:pt>
                <c:pt idx="67">
                  <c:v>9165.0116712659801</c:v>
                </c:pt>
                <c:pt idx="68">
                  <c:v>9165.0138779027184</c:v>
                </c:pt>
                <c:pt idx="69">
                  <c:v>9165.0142349059588</c:v>
                </c:pt>
                <c:pt idx="70">
                  <c:v>9165.014292664122</c:v>
                </c:pt>
                <c:pt idx="71">
                  <c:v>9165.0143020085907</c:v>
                </c:pt>
                <c:pt idx="72">
                  <c:v>9165.0143035203946</c:v>
                </c:pt>
                <c:pt idx="73">
                  <c:v>9165.0143037649832</c:v>
                </c:pt>
                <c:pt idx="74">
                  <c:v>9165.0143038045535</c:v>
                </c:pt>
                <c:pt idx="75">
                  <c:v>9165.0143038109563</c:v>
                </c:pt>
                <c:pt idx="76">
                  <c:v>9165.0143038119932</c:v>
                </c:pt>
                <c:pt idx="77">
                  <c:v>9165.0143038121605</c:v>
                </c:pt>
                <c:pt idx="78">
                  <c:v>9165.0143038121878</c:v>
                </c:pt>
                <c:pt idx="79">
                  <c:v>9165.0143038121914</c:v>
                </c:pt>
                <c:pt idx="80">
                  <c:v>9165.0143038121932</c:v>
                </c:pt>
                <c:pt idx="81">
                  <c:v>9165.0143038121932</c:v>
                </c:pt>
                <c:pt idx="82">
                  <c:v>9165.0143038121932</c:v>
                </c:pt>
                <c:pt idx="83">
                  <c:v>9165.0143038121932</c:v>
                </c:pt>
                <c:pt idx="84">
                  <c:v>9165.0143038121932</c:v>
                </c:pt>
                <c:pt idx="85">
                  <c:v>9165.0143038121932</c:v>
                </c:pt>
                <c:pt idx="86">
                  <c:v>9165.0143038121932</c:v>
                </c:pt>
                <c:pt idx="87">
                  <c:v>9165.0143038121932</c:v>
                </c:pt>
                <c:pt idx="88">
                  <c:v>9165.0143038121932</c:v>
                </c:pt>
                <c:pt idx="89">
                  <c:v>9165.0143038121932</c:v>
                </c:pt>
                <c:pt idx="90">
                  <c:v>9165.0143038121932</c:v>
                </c:pt>
                <c:pt idx="91">
                  <c:v>9165.0143038121932</c:v>
                </c:pt>
                <c:pt idx="92">
                  <c:v>9165.0143038121932</c:v>
                </c:pt>
                <c:pt idx="93">
                  <c:v>9165.0143038121932</c:v>
                </c:pt>
                <c:pt idx="94">
                  <c:v>9165.0143038121932</c:v>
                </c:pt>
                <c:pt idx="95">
                  <c:v>9165.0143038121932</c:v>
                </c:pt>
                <c:pt idx="96">
                  <c:v>9165.0143038121932</c:v>
                </c:pt>
                <c:pt idx="97">
                  <c:v>9165.0143038121932</c:v>
                </c:pt>
                <c:pt idx="98">
                  <c:v>9165.0143038121932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403200"/>
        <c:axId val="747391832"/>
      </c:scatterChart>
      <c:valAx>
        <c:axId val="747403200"/>
        <c:scaling>
          <c:orientation val="minMax"/>
          <c:max val="43951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391832"/>
        <c:crossesAt val="0.1"/>
        <c:crossBetween val="midCat"/>
        <c:majorUnit val="14"/>
        <c:minorUnit val="7"/>
      </c:valAx>
      <c:valAx>
        <c:axId val="747391832"/>
        <c:scaling>
          <c:logBase val="10"/>
          <c:orientation val="minMax"/>
          <c:max val="1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03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275133186791321"/>
          <c:y val="0.63370188801795979"/>
          <c:w val="0.19456695891080134"/>
          <c:h val="8.98855192163431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myData!$CH$14</c:f>
          <c:strCache>
            <c:ptCount val="1"/>
            <c:pt idx="0">
              <c:v>COVID19 USA P(t) = b / {d+[( b/Po - d ) ]* exp(-b*t)}
b=0.348, d=1.00E-09, P0=.0171 Limit=10.6 M
 21-Mar, Cases per 10 M population
 - Prediction without last day</c:v>
            </c:pt>
          </c:strCache>
        </c:strRef>
      </c:tx>
      <c:layout>
        <c:manualLayout>
          <c:xMode val="edge"/>
          <c:yMode val="edge"/>
          <c:x val="0.11754775083740615"/>
          <c:y val="1.6697360666605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670345454587287"/>
          <c:w val="0.43460159270882204"/>
          <c:h val="0.63774205010062779"/>
        </c:manualLayout>
      </c:layout>
      <c:scatterChart>
        <c:scatterStyle val="lineMarker"/>
        <c:varyColors val="0"/>
        <c:ser>
          <c:idx val="1"/>
          <c:order val="0"/>
          <c:tx>
            <c:v>US Confirmed Cases</c:v>
          </c:tx>
          <c:spPr>
            <a:ln w="19050" cap="rnd">
              <a:solidFill>
                <a:schemeClr val="accent2">
                  <a:alpha val="99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2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2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580.14551422406544</c:v>
                </c:pt>
                <c:pt idx="41">
                  <c:v>733.47402499909595</c:v>
                </c:pt>
              </c:numCache>
            </c:numRef>
          </c:yVal>
          <c:smooth val="0"/>
        </c:ser>
        <c:ser>
          <c:idx val="0"/>
          <c:order val="1"/>
          <c:tx>
            <c:v>US Logistic Prediction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5.193930970840842E-4</c:v>
                </c:pt>
                <c:pt idx="1">
                  <c:v>7.3535715103043595E-4</c:v>
                </c:pt>
                <c:pt idx="2">
                  <c:v>1.0411192266566833E-3</c:v>
                </c:pt>
                <c:pt idx="3">
                  <c:v>1.4740174112433412E-3</c:v>
                </c:pt>
                <c:pt idx="4">
                  <c:v>2.0869149978035724E-3</c:v>
                </c:pt>
                <c:pt idx="5">
                  <c:v>2.9546558776932931E-3</c:v>
                </c:pt>
                <c:pt idx="6">
                  <c:v>4.1832040904767921E-3</c:v>
                </c:pt>
                <c:pt idx="7">
                  <c:v>5.9225836057080839E-3</c:v>
                </c:pt>
                <c:pt idx="8">
                  <c:v>8.385198475984958E-3</c:v>
                </c:pt>
                <c:pt idx="9">
                  <c:v>1.1871770523775842E-2</c:v>
                </c:pt>
                <c:pt idx="10">
                  <c:v>1.6808061938365818E-2</c:v>
                </c:pt>
                <c:pt idx="11">
                  <c:v>2.3796867156692873E-2</c:v>
                </c:pt>
                <c:pt idx="12">
                  <c:v>3.3691623007698512E-2</c:v>
                </c:pt>
                <c:pt idx="13">
                  <c:v>4.770062600998351E-2</c:v>
                </c:pt>
                <c:pt idx="14">
                  <c:v>6.753458329892309E-2</c:v>
                </c:pt>
                <c:pt idx="15">
                  <c:v>9.5615515336067297E-2</c:v>
                </c:pt>
                <c:pt idx="16">
                  <c:v>0.1353725205115737</c:v>
                </c:pt>
                <c:pt idx="17">
                  <c:v>0.1916605188662156</c:v>
                </c:pt>
                <c:pt idx="18">
                  <c:v>0.2713531097141611</c:v>
                </c:pt>
                <c:pt idx="19">
                  <c:v>0.3841819397969588</c:v>
                </c:pt>
                <c:pt idx="20">
                  <c:v>0.54392508110915672</c:v>
                </c:pt>
                <c:pt idx="21">
                  <c:v>0.77008953662744506</c:v>
                </c:pt>
                <c:pt idx="22">
                  <c:v>1.0902933321866461</c:v>
                </c:pt>
                <c:pt idx="23">
                  <c:v>1.5436380819174718</c:v>
                </c:pt>
                <c:pt idx="24">
                  <c:v>2.185483864820378</c:v>
                </c:pt>
                <c:pt idx="25">
                  <c:v>3.0942094903209032</c:v>
                </c:pt>
                <c:pt idx="26">
                  <c:v>4.3807836706384702</c:v>
                </c:pt>
                <c:pt idx="27">
                  <c:v>6.2023158602681345</c:v>
                </c:pt>
                <c:pt idx="28">
                  <c:v>8.781241477299714</c:v>
                </c:pt>
                <c:pt idx="29">
                  <c:v>12.432484218858587</c:v>
                </c:pt>
                <c:pt idx="30">
                  <c:v>17.601912216169257</c:v>
                </c:pt>
                <c:pt idx="31">
                  <c:v>24.920783743050126</c:v>
                </c:pt>
                <c:pt idx="32">
                  <c:v>35.28283039838319</c:v>
                </c:pt>
                <c:pt idx="33">
                  <c:v>49.953389342971647</c:v>
                </c:pt>
                <c:pt idx="34">
                  <c:v>70.723908409874383</c:v>
                </c:pt>
                <c:pt idx="35">
                  <c:v>100.13068574918965</c:v>
                </c:pt>
                <c:pt idx="36">
                  <c:v>141.76454392688726</c:v>
                </c:pt>
                <c:pt idx="37">
                  <c:v>200.70923135585824</c:v>
                </c:pt>
                <c:pt idx="38">
                  <c:v>284.16204042947339</c:v>
                </c:pt>
                <c:pt idx="39">
                  <c:v>402.31233694173619</c:v>
                </c:pt>
                <c:pt idx="40">
                  <c:v>569.58509768037231</c:v>
                </c:pt>
                <c:pt idx="41">
                  <c:v>806.4009406300238</c:v>
                </c:pt>
                <c:pt idx="42">
                  <c:v>1141.6668321834684</c:v>
                </c:pt>
                <c:pt idx="43">
                  <c:v>1616.3001380011358</c:v>
                </c:pt>
                <c:pt idx="44">
                  <c:v>2288.2133797583178</c:v>
                </c:pt>
                <c:pt idx="45">
                  <c:v>3239.3624476806749</c:v>
                </c:pt>
                <c:pt idx="46">
                  <c:v>4585.7070185616276</c:v>
                </c:pt>
                <c:pt idx="47">
                  <c:v>6491.2755880115774</c:v>
                </c:pt>
                <c:pt idx="48">
                  <c:v>9188.0048339360455</c:v>
                </c:pt>
                <c:pt idx="49">
                  <c:v>13003.680360408853</c:v>
                </c:pt>
                <c:pt idx="50">
                  <c:v>18401.199809806461</c:v>
                </c:pt>
                <c:pt idx="51">
                  <c:v>26033.57209292673</c:v>
                </c:pt>
                <c:pt idx="52">
                  <c:v>289435.73659390328</c:v>
                </c:pt>
                <c:pt idx="53">
                  <c:v>2568199.6237219297</c:v>
                </c:pt>
                <c:pt idx="54">
                  <c:v>8296554.6869443115</c:v>
                </c:pt>
                <c:pt idx="55">
                  <c:v>10314066.298710763</c:v>
                </c:pt>
                <c:pt idx="56">
                  <c:v>10538813.850386472</c:v>
                </c:pt>
                <c:pt idx="57">
                  <c:v>10558991.587875744</c:v>
                </c:pt>
                <c:pt idx="58">
                  <c:v>10560764.801574374</c:v>
                </c:pt>
                <c:pt idx="59">
                  <c:v>10560920.335585911</c:v>
                </c:pt>
                <c:pt idx="60">
                  <c:v>10560933.975678036</c:v>
                </c:pt>
                <c:pt idx="61">
                  <c:v>10560935.171875525</c:v>
                </c:pt>
                <c:pt idx="62">
                  <c:v>10560935.276778527</c:v>
                </c:pt>
                <c:pt idx="63">
                  <c:v>10560935.285978211</c:v>
                </c:pt>
                <c:pt idx="64">
                  <c:v>10560935.286784995</c:v>
                </c:pt>
                <c:pt idx="65">
                  <c:v>10560935.28685575</c:v>
                </c:pt>
                <c:pt idx="66">
                  <c:v>10560935.286861954</c:v>
                </c:pt>
                <c:pt idx="67">
                  <c:v>10560935.286862496</c:v>
                </c:pt>
                <c:pt idx="68">
                  <c:v>10560935.286862545</c:v>
                </c:pt>
                <c:pt idx="69">
                  <c:v>10560935.286862548</c:v>
                </c:pt>
                <c:pt idx="70">
                  <c:v>10560935.286862548</c:v>
                </c:pt>
                <c:pt idx="71">
                  <c:v>10560935.286862548</c:v>
                </c:pt>
                <c:pt idx="72">
                  <c:v>10560935.286862548</c:v>
                </c:pt>
                <c:pt idx="73">
                  <c:v>10560935.286862548</c:v>
                </c:pt>
                <c:pt idx="74">
                  <c:v>10560935.286862548</c:v>
                </c:pt>
                <c:pt idx="75">
                  <c:v>10560935.286862548</c:v>
                </c:pt>
                <c:pt idx="76">
                  <c:v>10560935.286862548</c:v>
                </c:pt>
                <c:pt idx="77">
                  <c:v>10560935.286862548</c:v>
                </c:pt>
                <c:pt idx="78">
                  <c:v>10560935.286862548</c:v>
                </c:pt>
                <c:pt idx="79">
                  <c:v>10560935.286862548</c:v>
                </c:pt>
                <c:pt idx="80">
                  <c:v>10560935.286862548</c:v>
                </c:pt>
                <c:pt idx="81">
                  <c:v>10560935.286862548</c:v>
                </c:pt>
                <c:pt idx="82">
                  <c:v>10560935.286862548</c:v>
                </c:pt>
                <c:pt idx="83">
                  <c:v>10560935.286862548</c:v>
                </c:pt>
                <c:pt idx="84">
                  <c:v>10560935.286862548</c:v>
                </c:pt>
                <c:pt idx="85">
                  <c:v>10560935.286862548</c:v>
                </c:pt>
                <c:pt idx="86">
                  <c:v>10560935.286862548</c:v>
                </c:pt>
                <c:pt idx="87">
                  <c:v>10560935.286862548</c:v>
                </c:pt>
                <c:pt idx="88">
                  <c:v>10560935.286862548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394968"/>
        <c:axId val="747393008"/>
      </c:scatterChart>
      <c:valAx>
        <c:axId val="747394968"/>
        <c:scaling>
          <c:orientation val="minMax"/>
          <c:max val="43925"/>
          <c:min val="4388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393008"/>
        <c:crosses val="autoZero"/>
        <c:crossBetween val="midCat"/>
        <c:majorUnit val="7"/>
        <c:minorUnit val="3.5"/>
      </c:valAx>
      <c:valAx>
        <c:axId val="747393008"/>
        <c:scaling>
          <c:logBase val="10"/>
          <c:orientation val="minMax"/>
          <c:max val="1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394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312540860868151"/>
          <c:y val="0.69945145225951777"/>
          <c:w val="0.13601372844301224"/>
          <c:h val="8.9885519216343163E-2"/>
        </c:manualLayout>
      </c:layout>
      <c:overlay val="0"/>
      <c:spPr>
        <a:solidFill>
          <a:schemeClr val="bg1">
            <a:alpha val="5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myData!$CH$14</c:f>
          <c:strCache>
            <c:ptCount val="1"/>
            <c:pt idx="0">
              <c:v>COVID19 USA P(t) = b / {d+[( b/Po - d ) ]* exp(-b*t)}
b=0.348, d=1.00E-09, P0=.0171 Limit=10.6 M
 21-Mar, Cases per 10 M population
 - Prediction without last day</c:v>
            </c:pt>
          </c:strCache>
        </c:strRef>
      </c:tx>
      <c:layout>
        <c:manualLayout>
          <c:xMode val="edge"/>
          <c:yMode val="edge"/>
          <c:x val="0.127094481924999"/>
          <c:y val="8.348680333302984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252911437922138"/>
          <c:w val="0.43460159270882204"/>
          <c:h val="0.64191639026727931"/>
        </c:manualLayout>
      </c:layout>
      <c:scatterChart>
        <c:scatterStyle val="lineMarker"/>
        <c:varyColors val="0"/>
        <c:ser>
          <c:idx val="1"/>
          <c:order val="0"/>
          <c:tx>
            <c:v>US Confirmed Cases</c:v>
          </c:tx>
          <c:spPr>
            <a:ln w="19050" cap="rnd">
              <a:solidFill>
                <a:schemeClr val="accent2">
                  <a:alpha val="99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2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2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580.14551422406544</c:v>
                </c:pt>
                <c:pt idx="41">
                  <c:v>733.47402499909595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myData!$CF$14</c:f>
              <c:strCache>
                <c:ptCount val="1"/>
                <c:pt idx="0">
                  <c:v>USA Limit 10.6 M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5.193930970840842E-4</c:v>
                </c:pt>
                <c:pt idx="1">
                  <c:v>7.3535715103043595E-4</c:v>
                </c:pt>
                <c:pt idx="2">
                  <c:v>1.0411192266566833E-3</c:v>
                </c:pt>
                <c:pt idx="3">
                  <c:v>1.4740174112433412E-3</c:v>
                </c:pt>
                <c:pt idx="4">
                  <c:v>2.0869149978035724E-3</c:v>
                </c:pt>
                <c:pt idx="5">
                  <c:v>2.9546558776932931E-3</c:v>
                </c:pt>
                <c:pt idx="6">
                  <c:v>4.1832040904767921E-3</c:v>
                </c:pt>
                <c:pt idx="7">
                  <c:v>5.9225836057080839E-3</c:v>
                </c:pt>
                <c:pt idx="8">
                  <c:v>8.385198475984958E-3</c:v>
                </c:pt>
                <c:pt idx="9">
                  <c:v>1.1871770523775842E-2</c:v>
                </c:pt>
                <c:pt idx="10">
                  <c:v>1.6808061938365818E-2</c:v>
                </c:pt>
                <c:pt idx="11">
                  <c:v>2.3796867156692873E-2</c:v>
                </c:pt>
                <c:pt idx="12">
                  <c:v>3.3691623007698512E-2</c:v>
                </c:pt>
                <c:pt idx="13">
                  <c:v>4.770062600998351E-2</c:v>
                </c:pt>
                <c:pt idx="14">
                  <c:v>6.753458329892309E-2</c:v>
                </c:pt>
                <c:pt idx="15">
                  <c:v>9.5615515336067297E-2</c:v>
                </c:pt>
                <c:pt idx="16">
                  <c:v>0.1353725205115737</c:v>
                </c:pt>
                <c:pt idx="17">
                  <c:v>0.1916605188662156</c:v>
                </c:pt>
                <c:pt idx="18">
                  <c:v>0.2713531097141611</c:v>
                </c:pt>
                <c:pt idx="19">
                  <c:v>0.3841819397969588</c:v>
                </c:pt>
                <c:pt idx="20">
                  <c:v>0.54392508110915672</c:v>
                </c:pt>
                <c:pt idx="21">
                  <c:v>0.77008953662744506</c:v>
                </c:pt>
                <c:pt idx="22">
                  <c:v>1.0902933321866461</c:v>
                </c:pt>
                <c:pt idx="23">
                  <c:v>1.5436380819174718</c:v>
                </c:pt>
                <c:pt idx="24">
                  <c:v>2.185483864820378</c:v>
                </c:pt>
                <c:pt idx="25">
                  <c:v>3.0942094903209032</c:v>
                </c:pt>
                <c:pt idx="26">
                  <c:v>4.3807836706384702</c:v>
                </c:pt>
                <c:pt idx="27">
                  <c:v>6.2023158602681345</c:v>
                </c:pt>
                <c:pt idx="28">
                  <c:v>8.781241477299714</c:v>
                </c:pt>
                <c:pt idx="29">
                  <c:v>12.432484218858587</c:v>
                </c:pt>
                <c:pt idx="30">
                  <c:v>17.601912216169257</c:v>
                </c:pt>
                <c:pt idx="31">
                  <c:v>24.920783743050126</c:v>
                </c:pt>
                <c:pt idx="32">
                  <c:v>35.28283039838319</c:v>
                </c:pt>
                <c:pt idx="33">
                  <c:v>49.953389342971647</c:v>
                </c:pt>
                <c:pt idx="34">
                  <c:v>70.723908409874383</c:v>
                </c:pt>
                <c:pt idx="35">
                  <c:v>100.13068574918965</c:v>
                </c:pt>
                <c:pt idx="36">
                  <c:v>141.76454392688726</c:v>
                </c:pt>
                <c:pt idx="37">
                  <c:v>200.70923135585824</c:v>
                </c:pt>
                <c:pt idx="38">
                  <c:v>284.16204042947339</c:v>
                </c:pt>
                <c:pt idx="39">
                  <c:v>402.31233694173619</c:v>
                </c:pt>
                <c:pt idx="40">
                  <c:v>569.58509768037231</c:v>
                </c:pt>
                <c:pt idx="41">
                  <c:v>806.4009406300238</c:v>
                </c:pt>
                <c:pt idx="42">
                  <c:v>1141.6668321834684</c:v>
                </c:pt>
                <c:pt idx="43">
                  <c:v>1616.3001380011358</c:v>
                </c:pt>
                <c:pt idx="44">
                  <c:v>2288.2133797583178</c:v>
                </c:pt>
                <c:pt idx="45">
                  <c:v>3239.3624476806749</c:v>
                </c:pt>
                <c:pt idx="46">
                  <c:v>4585.7070185616276</c:v>
                </c:pt>
                <c:pt idx="47">
                  <c:v>6491.2755880115774</c:v>
                </c:pt>
                <c:pt idx="48">
                  <c:v>9188.0048339360455</c:v>
                </c:pt>
                <c:pt idx="49">
                  <c:v>13003.680360408853</c:v>
                </c:pt>
                <c:pt idx="50">
                  <c:v>18401.199809806461</c:v>
                </c:pt>
                <c:pt idx="51">
                  <c:v>26033.57209292673</c:v>
                </c:pt>
                <c:pt idx="52">
                  <c:v>289435.73659390328</c:v>
                </c:pt>
                <c:pt idx="53">
                  <c:v>2568199.6237219297</c:v>
                </c:pt>
                <c:pt idx="54">
                  <c:v>8296554.6869443115</c:v>
                </c:pt>
                <c:pt idx="55">
                  <c:v>10314066.298710763</c:v>
                </c:pt>
                <c:pt idx="56">
                  <c:v>10538813.850386472</c:v>
                </c:pt>
                <c:pt idx="57">
                  <c:v>10558991.587875744</c:v>
                </c:pt>
                <c:pt idx="58">
                  <c:v>10560764.801574374</c:v>
                </c:pt>
                <c:pt idx="59">
                  <c:v>10560920.335585911</c:v>
                </c:pt>
                <c:pt idx="60">
                  <c:v>10560933.975678036</c:v>
                </c:pt>
                <c:pt idx="61">
                  <c:v>10560935.171875525</c:v>
                </c:pt>
                <c:pt idx="62">
                  <c:v>10560935.276778527</c:v>
                </c:pt>
                <c:pt idx="63">
                  <c:v>10560935.285978211</c:v>
                </c:pt>
                <c:pt idx="64">
                  <c:v>10560935.286784995</c:v>
                </c:pt>
                <c:pt idx="65">
                  <c:v>10560935.28685575</c:v>
                </c:pt>
                <c:pt idx="66">
                  <c:v>10560935.286861954</c:v>
                </c:pt>
                <c:pt idx="67">
                  <c:v>10560935.286862496</c:v>
                </c:pt>
                <c:pt idx="68">
                  <c:v>10560935.286862545</c:v>
                </c:pt>
                <c:pt idx="69">
                  <c:v>10560935.286862548</c:v>
                </c:pt>
                <c:pt idx="70">
                  <c:v>10560935.286862548</c:v>
                </c:pt>
                <c:pt idx="71">
                  <c:v>10560935.286862548</c:v>
                </c:pt>
                <c:pt idx="72">
                  <c:v>10560935.286862548</c:v>
                </c:pt>
                <c:pt idx="73">
                  <c:v>10560935.286862548</c:v>
                </c:pt>
                <c:pt idx="74">
                  <c:v>10560935.286862548</c:v>
                </c:pt>
                <c:pt idx="75">
                  <c:v>10560935.286862548</c:v>
                </c:pt>
                <c:pt idx="76">
                  <c:v>10560935.286862548</c:v>
                </c:pt>
                <c:pt idx="77">
                  <c:v>10560935.286862548</c:v>
                </c:pt>
                <c:pt idx="78">
                  <c:v>10560935.286862548</c:v>
                </c:pt>
                <c:pt idx="79">
                  <c:v>10560935.286862548</c:v>
                </c:pt>
                <c:pt idx="80">
                  <c:v>10560935.286862548</c:v>
                </c:pt>
                <c:pt idx="81">
                  <c:v>10560935.286862548</c:v>
                </c:pt>
                <c:pt idx="82">
                  <c:v>10560935.286862548</c:v>
                </c:pt>
                <c:pt idx="83">
                  <c:v>10560935.286862548</c:v>
                </c:pt>
                <c:pt idx="84">
                  <c:v>10560935.286862548</c:v>
                </c:pt>
                <c:pt idx="85">
                  <c:v>10560935.286862548</c:v>
                </c:pt>
                <c:pt idx="86">
                  <c:v>10560935.286862548</c:v>
                </c:pt>
                <c:pt idx="87">
                  <c:v>10560935.286862548</c:v>
                </c:pt>
                <c:pt idx="88">
                  <c:v>10560935.286862548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395360"/>
        <c:axId val="747397320"/>
      </c:scatterChart>
      <c:valAx>
        <c:axId val="747395360"/>
        <c:scaling>
          <c:orientation val="minMax"/>
          <c:max val="43972"/>
          <c:min val="4388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397320"/>
        <c:crosses val="autoZero"/>
        <c:crossBetween val="midCat"/>
        <c:majorUnit val="7"/>
        <c:minorUnit val="3.5"/>
      </c:valAx>
      <c:valAx>
        <c:axId val="747397320"/>
        <c:scaling>
          <c:logBase val="10"/>
          <c:orientation val="minMax"/>
          <c:max val="10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395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994450224267637"/>
          <c:y val="0.68066692150958596"/>
          <c:w val="0.15510721118614859"/>
          <c:h val="0.12119309215726942"/>
        </c:manualLayout>
      </c:layout>
      <c:overlay val="0"/>
      <c:spPr>
        <a:solidFill>
          <a:schemeClr val="bg1">
            <a:alpha val="7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myData!$CH$15</c:f>
          <c:strCache>
            <c:ptCount val="1"/>
            <c:pt idx="0">
              <c:v>COVID19 China P(t) = b / {d+[( b/Po - d ) ]* exp(-b*t)}
b=0.222, d=2.74E-06, P0=1537.6493 Limit=562  
 21-Mar, Cases per 10 M population
</c:v>
            </c:pt>
          </c:strCache>
        </c:strRef>
      </c:tx>
      <c:layout>
        <c:manualLayout>
          <c:xMode val="edge"/>
          <c:yMode val="edge"/>
          <c:x val="0.33870089262443082"/>
          <c:y val="3.3394721333211939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636011458196639E-2"/>
          <c:y val="0.16483581859961077"/>
          <c:w val="0.88715308130366799"/>
          <c:h val="0.67768374738733961"/>
        </c:manualLayout>
      </c:layout>
      <c:scatterChart>
        <c:scatterStyle val="lineMarker"/>
        <c:varyColors val="0"/>
        <c:ser>
          <c:idx val="0"/>
          <c:order val="0"/>
          <c:tx>
            <c:v>China Logi Prediction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myData!ChinaLogiDates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myData!ChinaLogi</c:f>
              <c:numCache>
                <c:formatCode>0</c:formatCode>
                <c:ptCount val="107"/>
                <c:pt idx="0">
                  <c:v>10.683136966707542</c:v>
                </c:pt>
                <c:pt idx="1">
                  <c:v>13.277829642217627</c:v>
                </c:pt>
                <c:pt idx="2">
                  <c:v>16.483886927833961</c:v>
                </c:pt>
                <c:pt idx="3">
                  <c:v>20.435269467553514</c:v>
                </c:pt>
                <c:pt idx="4">
                  <c:v>25.289967793687335</c:v>
                </c:pt>
                <c:pt idx="5">
                  <c:v>31.231513319186782</c:v>
                </c:pt>
                <c:pt idx="6">
                  <c:v>38.468975247954276</c:v>
                </c:pt>
                <c:pt idx="7">
                  <c:v>47.234479868508544</c:v>
                </c:pt>
                <c:pt idx="8">
                  <c:v>57.777040862636333</c:v>
                </c:pt>
                <c:pt idx="9">
                  <c:v>70.351343273980731</c:v>
                </c:pt>
                <c:pt idx="10">
                  <c:v>85.200230023338264</c:v>
                </c:pt>
                <c:pt idx="11">
                  <c:v>102.53020080641564</c:v>
                </c:pt>
                <c:pt idx="12">
                  <c:v>122.48045184718971</c:v>
                </c:pt>
                <c:pt idx="13">
                  <c:v>145.08794501852279</c:v>
                </c:pt>
                <c:pt idx="14">
                  <c:v>170.25347868794347</c:v>
                </c:pt>
                <c:pt idx="15">
                  <c:v>197.71605475351217</c:v>
                </c:pt>
                <c:pt idx="16">
                  <c:v>227.04385986802606</c:v>
                </c:pt>
                <c:pt idx="17">
                  <c:v>257.64869902945071</c:v>
                </c:pt>
                <c:pt idx="18">
                  <c:v>288.82621181875015</c:v>
                </c:pt>
                <c:pt idx="19">
                  <c:v>319.81754975043282</c:v>
                </c:pt>
                <c:pt idx="20">
                  <c:v>349.88174074963456</c:v>
                </c:pt>
                <c:pt idx="21">
                  <c:v>378.3645053203071</c:v>
                </c:pt>
                <c:pt idx="22">
                  <c:v>404.75045494453434</c:v>
                </c:pt>
                <c:pt idx="23">
                  <c:v>428.69083621819203</c:v>
                </c:pt>
                <c:pt idx="24">
                  <c:v>450.00589022150581</c:v>
                </c:pt>
                <c:pt idx="25">
                  <c:v>468.66671656048743</c:v>
                </c:pt>
                <c:pt idx="26">
                  <c:v>484.76457370445041</c:v>
                </c:pt>
                <c:pt idx="27">
                  <c:v>498.47567855264447</c:v>
                </c:pt>
                <c:pt idx="28">
                  <c:v>510.02775106881523</c:v>
                </c:pt>
                <c:pt idx="29">
                  <c:v>519.67203079618093</c:v>
                </c:pt>
                <c:pt idx="30">
                  <c:v>527.6622097270905</c:v>
                </c:pt>
                <c:pt idx="31">
                  <c:v>534.24012364300825</c:v>
                </c:pt>
                <c:pt idx="32">
                  <c:v>539.62716763085166</c:v>
                </c:pt>
                <c:pt idx="33">
                  <c:v>544.02008949799358</c:v>
                </c:pt>
                <c:pt idx="34">
                  <c:v>547.5898541713924</c:v>
                </c:pt>
                <c:pt idx="35">
                  <c:v>550.48248276750201</c:v>
                </c:pt>
                <c:pt idx="36">
                  <c:v>552.82103115752545</c:v>
                </c:pt>
                <c:pt idx="37">
                  <c:v>554.7081180622265</c:v>
                </c:pt>
                <c:pt idx="38">
                  <c:v>556.22861374817023</c:v>
                </c:pt>
                <c:pt idx="39">
                  <c:v>557.45225149654834</c:v>
                </c:pt>
                <c:pt idx="40">
                  <c:v>558.43603037253479</c:v>
                </c:pt>
                <c:pt idx="41">
                  <c:v>559.22634854182866</c:v>
                </c:pt>
                <c:pt idx="42">
                  <c:v>559.86085077760765</c:v>
                </c:pt>
                <c:pt idx="43">
                  <c:v>560.36999981823215</c:v>
                </c:pt>
                <c:pt idx="44">
                  <c:v>560.77839501454855</c:v>
                </c:pt>
                <c:pt idx="45">
                  <c:v>561.10586769947281</c:v>
                </c:pt>
                <c:pt idx="46">
                  <c:v>561.36838400205613</c:v>
                </c:pt>
                <c:pt idx="47">
                  <c:v>561.57878446099198</c:v>
                </c:pt>
                <c:pt idx="48">
                  <c:v>561.74738707975825</c:v>
                </c:pt>
                <c:pt idx="49">
                  <c:v>561.88247721412995</c:v>
                </c:pt>
                <c:pt idx="50">
                  <c:v>561.99070436525756</c:v>
                </c:pt>
                <c:pt idx="51">
                  <c:v>562.07740282573775</c:v>
                </c:pt>
                <c:pt idx="52">
                  <c:v>562.14685031623685</c:v>
                </c:pt>
                <c:pt idx="53">
                  <c:v>562.20247630033487</c:v>
                </c:pt>
                <c:pt idx="54">
                  <c:v>562.24702957366003</c:v>
                </c:pt>
                <c:pt idx="55">
                  <c:v>562.28271296446189</c:v>
                </c:pt>
                <c:pt idx="56">
                  <c:v>562.31129151991638</c:v>
                </c:pt>
                <c:pt idx="57">
                  <c:v>562.33417934598185</c:v>
                </c:pt>
                <c:pt idx="58">
                  <c:v>562.35250927989307</c:v>
                </c:pt>
                <c:pt idx="59">
                  <c:v>562.36718876807277</c:v>
                </c:pt>
                <c:pt idx="60">
                  <c:v>562.37894466718831</c:v>
                </c:pt>
                <c:pt idx="61">
                  <c:v>562.38835915550999</c:v>
                </c:pt>
                <c:pt idx="62">
                  <c:v>562.39589851297683</c:v>
                </c:pt>
                <c:pt idx="63">
                  <c:v>562.40193618255046</c:v>
                </c:pt>
                <c:pt idx="64">
                  <c:v>562.40677124691047</c:v>
                </c:pt>
                <c:pt idx="65">
                  <c:v>562.41064323047203</c:v>
                </c:pt>
                <c:pt idx="66">
                  <c:v>562.41374395661569</c:v>
                </c:pt>
                <c:pt idx="67">
                  <c:v>562.41622704537917</c:v>
                </c:pt>
                <c:pt idx="68">
                  <c:v>562.41821552076453</c:v>
                </c:pt>
                <c:pt idx="69">
                  <c:v>562.41980790366836</c:v>
                </c:pt>
                <c:pt idx="70">
                  <c:v>562.4210830917425</c:v>
                </c:pt>
                <c:pt idx="71">
                  <c:v>562.42210426759698</c:v>
                </c:pt>
                <c:pt idx="72">
                  <c:v>562.42292202875603</c:v>
                </c:pt>
                <c:pt idx="73">
                  <c:v>562.42357689429673</c:v>
                </c:pt>
                <c:pt idx="74">
                  <c:v>562.42410131227359</c:v>
                </c:pt>
                <c:pt idx="75">
                  <c:v>562.42452126733679</c:v>
                </c:pt>
                <c:pt idx="76">
                  <c:v>562.42485756815756</c:v>
                </c:pt>
                <c:pt idx="77">
                  <c:v>562.42512687842861</c:v>
                </c:pt>
                <c:pt idx="78">
                  <c:v>562.42534254250677</c:v>
                </c:pt>
                <c:pt idx="79">
                  <c:v>562.42551524660166</c:v>
                </c:pt>
                <c:pt idx="80">
                  <c:v>562.42565354826286</c:v>
                </c:pt>
                <c:pt idx="81">
                  <c:v>562.42576430039901</c:v>
                </c:pt>
                <c:pt idx="82">
                  <c:v>562.42585299083419</c:v>
                </c:pt>
                <c:pt idx="83">
                  <c:v>562.42592401422985</c:v>
                </c:pt>
                <c:pt idx="84">
                  <c:v>562.42598088983789</c:v>
                </c:pt>
                <c:pt idx="85">
                  <c:v>562.426026435881</c:v>
                </c:pt>
                <c:pt idx="86">
                  <c:v>562.42606290919616</c:v>
                </c:pt>
                <c:pt idx="87">
                  <c:v>562.4260921170611</c:v>
                </c:pt>
                <c:pt idx="88">
                  <c:v>562.4261155067461</c:v>
                </c:pt>
                <c:pt idx="89">
                  <c:v>562.42613423722707</c:v>
                </c:pt>
                <c:pt idx="90">
                  <c:v>562.4261492366129</c:v>
                </c:pt>
                <c:pt idx="91">
                  <c:v>562.42616124813424</c:v>
                </c:pt>
                <c:pt idx="92">
                  <c:v>562.42617086697101</c:v>
                </c:pt>
                <c:pt idx="93">
                  <c:v>562.42617856974391</c:v>
                </c:pt>
                <c:pt idx="94">
                  <c:v>562.42618473813104</c:v>
                </c:pt>
                <c:pt idx="95">
                  <c:v>562.42618967778083</c:v>
                </c:pt>
                <c:pt idx="96">
                  <c:v>562.42619363345648</c:v>
                </c:pt>
                <c:pt idx="97">
                  <c:v>562.42619680116513</c:v>
                </c:pt>
                <c:pt idx="98">
                  <c:v>562.42619933786875</c:v>
                </c:pt>
                <c:pt idx="99">
                  <c:v>562.42620136926325</c:v>
                </c:pt>
                <c:pt idx="100">
                  <c:v>562.4262029960056</c:v>
                </c:pt>
                <c:pt idx="101">
                  <c:v>562.42620429870226</c:v>
                </c:pt>
                <c:pt idx="102">
                  <c:v>562.42620534190291</c:v>
                </c:pt>
                <c:pt idx="103">
                  <c:v>562.42620617729892</c:v>
                </c:pt>
                <c:pt idx="104">
                  <c:v>562.42620684628457</c:v>
                </c:pt>
                <c:pt idx="105">
                  <c:v>562.42620738200901</c:v>
                </c:pt>
                <c:pt idx="106">
                  <c:v>562.42620781101755</c:v>
                </c:pt>
              </c:numCache>
            </c:numRef>
          </c:yVal>
          <c:smooth val="0"/>
        </c:ser>
        <c:ser>
          <c:idx val="1"/>
          <c:order val="1"/>
          <c:tx>
            <c:v>China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myData!ChinaDates</c:f>
              <c:numCache>
                <c:formatCode>m/d/yyyy</c:formatCode>
                <c:ptCount val="6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</c:numCache>
            </c:numRef>
          </c:xVal>
          <c:yVal>
            <c:numRef>
              <c:f>myData!ChinaCases</c:f>
              <c:numCache>
                <c:formatCode>0.0</c:formatCode>
                <c:ptCount val="107"/>
                <c:pt idx="0">
                  <c:v>3.8073434840556684</c:v>
                </c:pt>
                <c:pt idx="1">
                  <c:v>4.4673756573864862</c:v>
                </c:pt>
                <c:pt idx="2">
                  <c:v>6.391890520677399</c:v>
                </c:pt>
                <c:pt idx="3">
                  <c:v>9.7684761652961125</c:v>
                </c:pt>
                <c:pt idx="4">
                  <c:v>14.416492206962612</c:v>
                </c:pt>
                <c:pt idx="5">
                  <c:v>19.988553291292259</c:v>
                </c:pt>
                <c:pt idx="6">
                  <c:v>38.274918346099774</c:v>
                </c:pt>
                <c:pt idx="7">
                  <c:v>42.290693042786231</c:v>
                </c:pt>
                <c:pt idx="8">
                  <c:v>56.561283400907293</c:v>
                </c:pt>
                <c:pt idx="9">
                  <c:v>68.10142487356508</c:v>
                </c:pt>
                <c:pt idx="10">
                  <c:v>82.615184979755384</c:v>
                </c:pt>
                <c:pt idx="11">
                  <c:v>115.54036886833168</c:v>
                </c:pt>
                <c:pt idx="12">
                  <c:v>136.98099294095175</c:v>
                </c:pt>
                <c:pt idx="13">
                  <c:v>164.7092919279338</c:v>
                </c:pt>
                <c:pt idx="14">
                  <c:v>190.64508248629113</c:v>
                </c:pt>
                <c:pt idx="15">
                  <c:v>212.50951669126044</c:v>
                </c:pt>
                <c:pt idx="16">
                  <c:v>236.98628876120227</c:v>
                </c:pt>
                <c:pt idx="17">
                  <c:v>255.77288872632366</c:v>
                </c:pt>
                <c:pt idx="18">
                  <c:v>276.72022559571752</c:v>
                </c:pt>
                <c:pt idx="19">
                  <c:v>294.26318599214193</c:v>
                </c:pt>
                <c:pt idx="20">
                  <c:v>308.38092679433373</c:v>
                </c:pt>
                <c:pt idx="21">
                  <c:v>310.97242153804314</c:v>
                </c:pt>
                <c:pt idx="22">
                  <c:v>416.13291601736177</c:v>
                </c:pt>
                <c:pt idx="23">
                  <c:v>461.03594692512047</c:v>
                </c:pt>
                <c:pt idx="24">
                  <c:v>475.31348499032924</c:v>
                </c:pt>
                <c:pt idx="25">
                  <c:v>489.90366987448419</c:v>
                </c:pt>
                <c:pt idx="26">
                  <c:v>503.25021518994208</c:v>
                </c:pt>
                <c:pt idx="27">
                  <c:v>515.59629068477227</c:v>
                </c:pt>
                <c:pt idx="28">
                  <c:v>518.43095517655092</c:v>
                </c:pt>
                <c:pt idx="29">
                  <c:v>521.61300502271422</c:v>
                </c:pt>
                <c:pt idx="30">
                  <c:v>524.89927047519291</c:v>
                </c:pt>
                <c:pt idx="31">
                  <c:v>534.98039345943528</c:v>
                </c:pt>
                <c:pt idx="32">
                  <c:v>535.12629530827678</c:v>
                </c:pt>
                <c:pt idx="33">
                  <c:v>536.64784316048156</c:v>
                </c:pt>
                <c:pt idx="34">
                  <c:v>540.21201689646796</c:v>
                </c:pt>
                <c:pt idx="35">
                  <c:v>543.07447221659743</c:v>
                </c:pt>
                <c:pt idx="36">
                  <c:v>546.08977709265605</c:v>
                </c:pt>
                <c:pt idx="37">
                  <c:v>548.36862501741928</c:v>
                </c:pt>
                <c:pt idx="38">
                  <c:v>551.34224365095179</c:v>
                </c:pt>
                <c:pt idx="39">
                  <c:v>555.34412293346293</c:v>
                </c:pt>
                <c:pt idx="40">
                  <c:v>556.7614551793522</c:v>
                </c:pt>
                <c:pt idx="41">
                  <c:v>557.6299185653138</c:v>
                </c:pt>
                <c:pt idx="42">
                  <c:v>558.49838195127541</c:v>
                </c:pt>
                <c:pt idx="43">
                  <c:v>559.54748572151709</c:v>
                </c:pt>
                <c:pt idx="44">
                  <c:v>560.61048490593407</c:v>
                </c:pt>
                <c:pt idx="45">
                  <c:v>561.1663014729495</c:v>
                </c:pt>
                <c:pt idx="46">
                  <c:v>561.5345299485972</c:v>
                </c:pt>
                <c:pt idx="47">
                  <c:v>561.79159511084185</c:v>
                </c:pt>
                <c:pt idx="48">
                  <c:v>561.97918320220958</c:v>
                </c:pt>
                <c:pt idx="49">
                  <c:v>562.21540524319107</c:v>
                </c:pt>
                <c:pt idx="50">
                  <c:v>562.29183002115576</c:v>
                </c:pt>
                <c:pt idx="51">
                  <c:v>562.38215021329574</c:v>
                </c:pt>
                <c:pt idx="52">
                  <c:v>562.60447684010194</c:v>
                </c:pt>
                <c:pt idx="53">
                  <c:v>562.78511722438191</c:v>
                </c:pt>
                <c:pt idx="54">
                  <c:v>562.99354843701269</c:v>
                </c:pt>
                <c:pt idx="55">
                  <c:v>563.16724111420501</c:v>
                </c:pt>
                <c:pt idx="56">
                  <c:v>563.47294022606354</c:v>
                </c:pt>
                <c:pt idx="57">
                  <c:v>563.84811640879889</c:v>
                </c:pt>
                <c:pt idx="58">
                  <c:v>564.50120087504206</c:v>
                </c:pt>
                <c:pt idx="59">
                  <c:v>564.87637705777752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1687944"/>
        <c:axId val="751682064"/>
      </c:scatterChart>
      <c:valAx>
        <c:axId val="751687944"/>
        <c:scaling>
          <c:orientation val="minMax"/>
          <c:max val="43920"/>
          <c:min val="438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682064"/>
        <c:crosses val="autoZero"/>
        <c:crossBetween val="midCat"/>
        <c:majorUnit val="14"/>
        <c:minorUnit val="7"/>
      </c:valAx>
      <c:valAx>
        <c:axId val="75168206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687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090512430477899"/>
          <c:y val="0.33565589895072867"/>
          <c:w val="0.12872628493749097"/>
          <c:h val="0.185236837927463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b="1"/>
              <a:t>NSW COVID Testing as at 20h March NSWHealth Media</a:t>
            </a:r>
            <a:r>
              <a:rPr lang="en-AU" b="1" baseline="0"/>
              <a:t> Release</a:t>
            </a:r>
            <a:endParaRPr lang="en-AU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42590462126368E-2"/>
          <c:y val="0.13376673064034708"/>
          <c:w val="0.81918665227118237"/>
          <c:h val="0.67598427743716105"/>
        </c:manualLayout>
      </c:layout>
      <c:scatterChart>
        <c:scatterStyle val="lineMarker"/>
        <c:varyColors val="0"/>
        <c:ser>
          <c:idx val="0"/>
          <c:order val="0"/>
          <c:tx>
            <c:v>NSW Tests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7"/>
            <c:backward val="2"/>
            <c:dispRSqr val="1"/>
            <c:dispEq val="1"/>
            <c:trendlineLbl>
              <c:layout>
                <c:manualLayout>
                  <c:x val="-0.4040796096315315"/>
                  <c:y val="0.3074274987781016"/>
                </c:manualLayout>
              </c:layout>
              <c:numFmt formatCode="General" sourceLinked="0"/>
              <c:spPr>
                <a:solidFill>
                  <a:schemeClr val="accent2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myData!$AH$55:$AH$72</c:f>
              <c:numCache>
                <c:formatCode>General</c:formatCode>
                <c:ptCount val="18"/>
                <c:pt idx="0">
                  <c:v>41</c:v>
                </c:pt>
                <c:pt idx="1">
                  <c:v>42</c:v>
                </c:pt>
                <c:pt idx="2">
                  <c:v>43</c:v>
                </c:pt>
                <c:pt idx="3">
                  <c:v>44</c:v>
                </c:pt>
                <c:pt idx="4">
                  <c:v>45</c:v>
                </c:pt>
                <c:pt idx="5">
                  <c:v>46</c:v>
                </c:pt>
                <c:pt idx="6">
                  <c:v>47</c:v>
                </c:pt>
                <c:pt idx="7">
                  <c:v>48</c:v>
                </c:pt>
                <c:pt idx="8">
                  <c:v>49</c:v>
                </c:pt>
                <c:pt idx="9">
                  <c:v>50</c:v>
                </c:pt>
                <c:pt idx="10">
                  <c:v>51</c:v>
                </c:pt>
                <c:pt idx="11">
                  <c:v>52</c:v>
                </c:pt>
                <c:pt idx="12">
                  <c:v>53</c:v>
                </c:pt>
                <c:pt idx="13">
                  <c:v>54</c:v>
                </c:pt>
                <c:pt idx="14">
                  <c:v>55</c:v>
                </c:pt>
                <c:pt idx="15">
                  <c:v>56</c:v>
                </c:pt>
                <c:pt idx="16">
                  <c:v>57</c:v>
                </c:pt>
                <c:pt idx="17">
                  <c:v>58</c:v>
                </c:pt>
              </c:numCache>
            </c:numRef>
          </c:xVal>
          <c:yVal>
            <c:numRef>
              <c:f>myData!$BB$55:$BB$72</c:f>
              <c:numCache>
                <c:formatCode>0</c:formatCode>
                <c:ptCount val="18"/>
                <c:pt idx="0">
                  <c:v>6217</c:v>
                </c:pt>
                <c:pt idx="1">
                  <c:v>6690</c:v>
                </c:pt>
                <c:pt idx="2">
                  <c:v>7361</c:v>
                </c:pt>
                <c:pt idx="3">
                  <c:v>7848</c:v>
                </c:pt>
                <c:pt idx="4">
                  <c:v>8361</c:v>
                </c:pt>
                <c:pt idx="5">
                  <c:v>9152</c:v>
                </c:pt>
                <c:pt idx="6">
                  <c:v>11040</c:v>
                </c:pt>
                <c:pt idx="7">
                  <c:v>18716</c:v>
                </c:pt>
                <c:pt idx="8">
                  <c:v>18716</c:v>
                </c:pt>
                <c:pt idx="9">
                  <c:v>20511</c:v>
                </c:pt>
                <c:pt idx="10">
                  <c:v>25511</c:v>
                </c:pt>
                <c:pt idx="11">
                  <c:v>28552</c:v>
                </c:pt>
                <c:pt idx="12">
                  <c:v>33387</c:v>
                </c:pt>
                <c:pt idx="13">
                  <c:v>38782</c:v>
                </c:pt>
                <c:pt idx="14">
                  <c:v>40298</c:v>
                </c:pt>
                <c:pt idx="15">
                  <c:v>46456</c:v>
                </c:pt>
              </c:numCache>
            </c:numRef>
          </c:yVal>
          <c:smooth val="0"/>
        </c:ser>
        <c:ser>
          <c:idx val="1"/>
          <c:order val="1"/>
          <c:tx>
            <c:v>NSW Under Investigation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forward val="7"/>
            <c:backward val="2"/>
            <c:dispRSqr val="1"/>
            <c:dispEq val="1"/>
            <c:trendlineLbl>
              <c:layout>
                <c:manualLayout>
                  <c:x val="-0.33324792884643933"/>
                  <c:y val="-0.13157485148610568"/>
                </c:manualLayout>
              </c:layout>
              <c:numFmt formatCode="General" sourceLinked="0"/>
              <c:spPr>
                <a:solidFill>
                  <a:schemeClr val="accent1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myData!$AH$55:$AH$67</c:f>
              <c:numCache>
                <c:formatCode>General</c:formatCode>
                <c:ptCount val="13"/>
                <c:pt idx="0">
                  <c:v>41</c:v>
                </c:pt>
                <c:pt idx="1">
                  <c:v>42</c:v>
                </c:pt>
                <c:pt idx="2">
                  <c:v>43</c:v>
                </c:pt>
                <c:pt idx="3">
                  <c:v>44</c:v>
                </c:pt>
                <c:pt idx="4">
                  <c:v>45</c:v>
                </c:pt>
                <c:pt idx="5">
                  <c:v>46</c:v>
                </c:pt>
                <c:pt idx="6">
                  <c:v>47</c:v>
                </c:pt>
                <c:pt idx="7">
                  <c:v>48</c:v>
                </c:pt>
                <c:pt idx="8">
                  <c:v>49</c:v>
                </c:pt>
                <c:pt idx="9">
                  <c:v>50</c:v>
                </c:pt>
                <c:pt idx="10">
                  <c:v>51</c:v>
                </c:pt>
                <c:pt idx="11">
                  <c:v>52</c:v>
                </c:pt>
                <c:pt idx="12">
                  <c:v>53</c:v>
                </c:pt>
              </c:numCache>
            </c:numRef>
          </c:xVal>
          <c:yVal>
            <c:numRef>
              <c:f>myData!$BC$55:$BC$67</c:f>
              <c:numCache>
                <c:formatCode>0</c:formatCode>
                <c:ptCount val="13"/>
                <c:pt idx="0">
                  <c:v>545</c:v>
                </c:pt>
                <c:pt idx="1">
                  <c:v>488</c:v>
                </c:pt>
                <c:pt idx="2">
                  <c:v>576</c:v>
                </c:pt>
                <c:pt idx="3">
                  <c:v>476</c:v>
                </c:pt>
                <c:pt idx="4">
                  <c:v>618</c:v>
                </c:pt>
                <c:pt idx="5">
                  <c:v>1004</c:v>
                </c:pt>
                <c:pt idx="6">
                  <c:v>1831</c:v>
                </c:pt>
                <c:pt idx="7">
                  <c:v>1668</c:v>
                </c:pt>
                <c:pt idx="8">
                  <c:v>1668</c:v>
                </c:pt>
                <c:pt idx="9">
                  <c:v>1924</c:v>
                </c:pt>
                <c:pt idx="10">
                  <c:v>1282</c:v>
                </c:pt>
                <c:pt idx="11">
                  <c:v>1482</c:v>
                </c:pt>
                <c:pt idx="12">
                  <c:v>2146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myData!$AL$2</c:f>
              <c:strCache>
                <c:ptCount val="1"/>
                <c:pt idx="0">
                  <c:v>Logistic Forecast, Limit 291 k at 22-Mar</c:v>
                </c:pt>
              </c:strCache>
            </c:strRef>
          </c:tx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myData!$AH$55:$AH$79</c:f>
              <c:numCache>
                <c:formatCode>General</c:formatCode>
                <c:ptCount val="25"/>
                <c:pt idx="0">
                  <c:v>41</c:v>
                </c:pt>
                <c:pt idx="1">
                  <c:v>42</c:v>
                </c:pt>
                <c:pt idx="2">
                  <c:v>43</c:v>
                </c:pt>
                <c:pt idx="3">
                  <c:v>44</c:v>
                </c:pt>
                <c:pt idx="4">
                  <c:v>45</c:v>
                </c:pt>
                <c:pt idx="5">
                  <c:v>46</c:v>
                </c:pt>
                <c:pt idx="6">
                  <c:v>47</c:v>
                </c:pt>
                <c:pt idx="7">
                  <c:v>48</c:v>
                </c:pt>
                <c:pt idx="8">
                  <c:v>49</c:v>
                </c:pt>
                <c:pt idx="9">
                  <c:v>50</c:v>
                </c:pt>
                <c:pt idx="10">
                  <c:v>51</c:v>
                </c:pt>
                <c:pt idx="11">
                  <c:v>52</c:v>
                </c:pt>
                <c:pt idx="12">
                  <c:v>53</c:v>
                </c:pt>
                <c:pt idx="13">
                  <c:v>54</c:v>
                </c:pt>
                <c:pt idx="14">
                  <c:v>55</c:v>
                </c:pt>
                <c:pt idx="15">
                  <c:v>56</c:v>
                </c:pt>
                <c:pt idx="16">
                  <c:v>57</c:v>
                </c:pt>
                <c:pt idx="17">
                  <c:v>58</c:v>
                </c:pt>
                <c:pt idx="18">
                  <c:v>59</c:v>
                </c:pt>
                <c:pt idx="19">
                  <c:v>60</c:v>
                </c:pt>
                <c:pt idx="20">
                  <c:v>61</c:v>
                </c:pt>
                <c:pt idx="21">
                  <c:v>62</c:v>
                </c:pt>
                <c:pt idx="22">
                  <c:v>63</c:v>
                </c:pt>
                <c:pt idx="23">
                  <c:v>64</c:v>
                </c:pt>
                <c:pt idx="24">
                  <c:v>65</c:v>
                </c:pt>
              </c:numCache>
            </c:numRef>
          </c:xVal>
          <c:yVal>
            <c:numRef>
              <c:f>myData!$BG$55:$BG$79</c:f>
              <c:numCache>
                <c:formatCode>0</c:formatCode>
                <c:ptCount val="25"/>
                <c:pt idx="0">
                  <c:v>4943.2602326566102</c:v>
                </c:pt>
                <c:pt idx="1">
                  <c:v>5831.3706112455338</c:v>
                </c:pt>
                <c:pt idx="2">
                  <c:v>6875.2112147925036</c:v>
                </c:pt>
                <c:pt idx="3">
                  <c:v>8100.6049825657465</c:v>
                </c:pt>
                <c:pt idx="4">
                  <c:v>9537.0863898022344</c:v>
                </c:pt>
                <c:pt idx="5">
                  <c:v>11218.215202018408</c:v>
                </c:pt>
                <c:pt idx="6">
                  <c:v>13181.826573284892</c:v>
                </c:pt>
                <c:pt idx="7">
                  <c:v>15470.17201149113</c:v>
                </c:pt>
                <c:pt idx="8">
                  <c:v>18129.891717165989</c:v>
                </c:pt>
                <c:pt idx="9">
                  <c:v>21211.743642330875</c:v>
                </c:pt>
                <c:pt idx="10">
                  <c:v>24770.000005985781</c:v>
                </c:pt>
                <c:pt idx="11">
                  <c:v>28861.410853591464</c:v>
                </c:pt>
                <c:pt idx="12">
                  <c:v>33543.630978759677</c:v>
                </c:pt>
                <c:pt idx="13">
                  <c:v>38873.017142243072</c:v>
                </c:pt>
                <c:pt idx="14">
                  <c:v>44901.734221300751</c:v>
                </c:pt>
                <c:pt idx="15">
                  <c:v>51674.168884514424</c:v>
                </c:pt>
                <c:pt idx="16">
                  <c:v>59222.742484940776</c:v>
                </c:pt>
                <c:pt idx="17">
                  <c:v>67563.340223320425</c:v>
                </c:pt>
                <c:pt idx="18">
                  <c:v>76690.720598271175</c:v>
                </c:pt>
                <c:pt idx="19">
                  <c:v>86574.414084765027</c:v>
                </c:pt>
                <c:pt idx="20">
                  <c:v>97155.726134002703</c:v>
                </c:pt>
                <c:pt idx="21">
                  <c:v>108346.48269569721</c:v>
                </c:pt>
                <c:pt idx="22">
                  <c:v>120030.05711722217</c:v>
                </c:pt>
                <c:pt idx="23">
                  <c:v>132064.97818109719</c:v>
                </c:pt>
                <c:pt idx="24">
                  <c:v>144291.06090658344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1689512"/>
        <c:axId val="751686768"/>
      </c:scatterChart>
      <c:valAx>
        <c:axId val="751689512"/>
        <c:scaling>
          <c:orientation val="minMax"/>
          <c:min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</a:t>
                </a:r>
                <a:r>
                  <a:rPr lang="en-AU" baseline="0"/>
                  <a:t> From Outbreak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686768"/>
        <c:crosses val="autoZero"/>
        <c:crossBetween val="midCat"/>
      </c:valAx>
      <c:valAx>
        <c:axId val="751686768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50" b="1"/>
                  <a:t>Number of Tests</a:t>
                </a:r>
              </a:p>
            </c:rich>
          </c:tx>
          <c:layout>
            <c:manualLayout>
              <c:xMode val="edge"/>
              <c:yMode val="edge"/>
              <c:x val="1.6348894204711178E-2"/>
              <c:y val="0.375689022600649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689512"/>
        <c:crosses val="autoZero"/>
        <c:crossBetween val="midCat"/>
        <c:majorUnit val="100"/>
        <c:minorUnit val="1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9635740820736194"/>
          <c:y val="0.52721661299798817"/>
          <c:w val="0.28482883839123813"/>
          <c:h val="0.24811259017149964"/>
        </c:manualLayout>
      </c:layout>
      <c:overlay val="0"/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myData!$CH$11</c:f>
          <c:strCache>
            <c:ptCount val="1"/>
            <c:pt idx="0">
              <c:v>COVID19 Australia P(t) = b / {d+[( b/Po - d ) ]* exp(-b*t)}
b=0.206, d=1.00E-09, P0=.0102 Limit=81.4 M
 21-Mar, Cases per 10 M population</c:v>
            </c:pt>
          </c:strCache>
        </c:strRef>
      </c:tx>
      <c:layout>
        <c:manualLayout>
          <c:xMode val="edge"/>
          <c:yMode val="edge"/>
          <c:x val="8.1045088920980987E-2"/>
          <c:y val="1.25230204999544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461628446254714"/>
          <c:w val="0.43460159270882204"/>
          <c:h val="0.67322394151716547"/>
        </c:manualLayout>
      </c:layout>
      <c:scatterChart>
        <c:scatterStyle val="lineMarker"/>
        <c:varyColors val="0"/>
        <c:ser>
          <c:idx val="1"/>
          <c:order val="0"/>
          <c:tx>
            <c:v>Au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1.5770383220312254</c:v>
                </c:pt>
                <c:pt idx="2">
                  <c:v>1.9712979025390318</c:v>
                </c:pt>
                <c:pt idx="3">
                  <c:v>1.9712979025390318</c:v>
                </c:pt>
                <c:pt idx="4">
                  <c:v>2.365557483046838</c:v>
                </c:pt>
                <c:pt idx="5">
                  <c:v>3.548336224570257</c:v>
                </c:pt>
                <c:pt idx="6">
                  <c:v>3.548336224570257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4.731114966093676</c:v>
                </c:pt>
                <c:pt idx="10">
                  <c:v>5.1253745466014822</c:v>
                </c:pt>
                <c:pt idx="11">
                  <c:v>5.1253745466014822</c:v>
                </c:pt>
                <c:pt idx="12">
                  <c:v>5.5196341271092884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5.9138937076170954</c:v>
                </c:pt>
                <c:pt idx="35">
                  <c:v>9.856489512695159</c:v>
                </c:pt>
                <c:pt idx="36">
                  <c:v>10.645008673710771</c:v>
                </c:pt>
                <c:pt idx="37">
                  <c:v>11.827787415234191</c:v>
                </c:pt>
                <c:pt idx="38">
                  <c:v>15.376123639804447</c:v>
                </c:pt>
                <c:pt idx="39">
                  <c:v>20.501498186405929</c:v>
                </c:pt>
                <c:pt idx="40">
                  <c:v>21.68427692792935</c:v>
                </c:pt>
                <c:pt idx="41">
                  <c:v>23.655574830468382</c:v>
                </c:pt>
                <c:pt idx="42">
                  <c:v>24.838353571991799</c:v>
                </c:pt>
                <c:pt idx="43">
                  <c:v>29.963728118593281</c:v>
                </c:pt>
                <c:pt idx="44">
                  <c:v>35.87762182621038</c:v>
                </c:pt>
                <c:pt idx="45">
                  <c:v>42.185775114335279</c:v>
                </c:pt>
                <c:pt idx="46">
                  <c:v>50.465226304999213</c:v>
                </c:pt>
                <c:pt idx="47">
                  <c:v>57.167639173631919</c:v>
                </c:pt>
                <c:pt idx="48">
                  <c:v>78.851916101561272</c:v>
                </c:pt>
                <c:pt idx="49">
                  <c:v>98.95915470745939</c:v>
                </c:pt>
                <c:pt idx="50">
                  <c:v>124.58602744046681</c:v>
                </c:pt>
                <c:pt idx="51">
                  <c:v>148.635861851443</c:v>
                </c:pt>
                <c:pt idx="52">
                  <c:v>179.78236871155968</c:v>
                </c:pt>
                <c:pt idx="53">
                  <c:v>223.93944172843399</c:v>
                </c:pt>
                <c:pt idx="54">
                  <c:v>279.92430216054248</c:v>
                </c:pt>
                <c:pt idx="55">
                  <c:v>345.76565210534613</c:v>
                </c:pt>
                <c:pt idx="56">
                  <c:v>423.04052988487621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myData!AuSeries</c:f>
              <c:strCache>
                <c:ptCount val="1"/>
                <c:pt idx="0">
                  <c:v>Australia Limit 81.4 M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myData!AuLogiDates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4"/>
                <c:pt idx="0">
                  <c:v>4.001834795999977E-3</c:v>
                </c:pt>
                <c:pt idx="1">
                  <c:v>4.9196740007116952E-3</c:v>
                </c:pt>
                <c:pt idx="2">
                  <c:v>6.048023845813994E-3</c:v>
                </c:pt>
                <c:pt idx="3">
                  <c:v>7.4351659142713198E-3</c:v>
                </c:pt>
                <c:pt idx="4">
                  <c:v>9.1404553920183401E-3</c:v>
                </c:pt>
                <c:pt idx="5">
                  <c:v>1.1236860849696837E-2</c:v>
                </c:pt>
                <c:pt idx="6">
                  <c:v>1.3814086535006024E-2</c:v>
                </c:pt>
                <c:pt idx="7">
                  <c:v>1.6982410777152023E-2</c:v>
                </c:pt>
                <c:pt idx="8">
                  <c:v>2.0877404746996477E-2</c:v>
                </c:pt>
                <c:pt idx="9">
                  <c:v>2.5665733486528199E-2</c:v>
                </c:pt>
                <c:pt idx="10">
                  <c:v>3.1552287431098301E-2</c:v>
                </c:pt>
                <c:pt idx="11">
                  <c:v>3.8788949579044392E-2</c:v>
                </c:pt>
                <c:pt idx="12">
                  <c:v>4.7685373451943111E-2</c:v>
                </c:pt>
                <c:pt idx="13">
                  <c:v>5.8622233029552141E-2</c:v>
                </c:pt>
                <c:pt idx="14">
                  <c:v>7.2067511618181382E-2</c:v>
                </c:pt>
                <c:pt idx="15">
                  <c:v>8.8596526645816395E-2</c:v>
                </c:pt>
                <c:pt idx="16">
                  <c:v>0.10891654723592653</c:v>
                </c:pt>
                <c:pt idx="17">
                  <c:v>0.13389705793479745</c:v>
                </c:pt>
                <c:pt idx="18">
                  <c:v>0.16460696356355856</c:v>
                </c:pt>
                <c:pt idx="19">
                  <c:v>0.20236032717361774</c:v>
                </c:pt>
                <c:pt idx="20">
                  <c:v>0.24877259821177924</c:v>
                </c:pt>
                <c:pt idx="21">
                  <c:v>0.30582973687253279</c:v>
                </c:pt>
                <c:pt idx="22">
                  <c:v>0.37597319243683186</c:v>
                </c:pt>
                <c:pt idx="23">
                  <c:v>0.46220437178129997</c:v>
                </c:pt>
                <c:pt idx="24">
                  <c:v>0.56821306821693096</c:v>
                </c:pt>
                <c:pt idx="25">
                  <c:v>0.69853534606730894</c:v>
                </c:pt>
                <c:pt idx="26">
                  <c:v>0.85874763679305799</c:v>
                </c:pt>
                <c:pt idx="27">
                  <c:v>1.055705351943278</c:v>
                </c:pt>
                <c:pt idx="28">
                  <c:v>1.2978362230670493</c:v>
                </c:pt>
                <c:pt idx="29">
                  <c:v>1.595500920456117</c:v>
                </c:pt>
                <c:pt idx="30">
                  <c:v>1.9614363814147033</c:v>
                </c:pt>
                <c:pt idx="31">
                  <c:v>2.4113008178466684</c:v>
                </c:pt>
                <c:pt idx="32">
                  <c:v>2.9643437237486605</c:v>
                </c:pt>
                <c:pt idx="33">
                  <c:v>3.6442295518665495</c:v>
                </c:pt>
                <c:pt idx="34">
                  <c:v>4.4800503041751645</c:v>
                </c:pt>
                <c:pt idx="35">
                  <c:v>5.5075703643307676</c:v>
                </c:pt>
                <c:pt idx="36">
                  <c:v>6.7707568377026259</c:v>
                </c:pt>
                <c:pt idx="37">
                  <c:v>8.3236608812212545</c:v>
                </c:pt>
                <c:pt idx="38">
                  <c:v>10.232730523811119</c:v>
                </c:pt>
                <c:pt idx="39">
                  <c:v>12.579653941212927</c:v>
                </c:pt>
                <c:pt idx="40">
                  <c:v>15.464854846526064</c:v>
                </c:pt>
                <c:pt idx="41">
                  <c:v>19.011789560966641</c:v>
                </c:pt>
                <c:pt idx="42">
                  <c:v>23.372229632006377</c:v>
                </c:pt>
                <c:pt idx="43">
                  <c:v>28.732756035876946</c:v>
                </c:pt>
                <c:pt idx="44">
                  <c:v>35.322742842594572</c:v>
                </c:pt>
                <c:pt idx="45">
                  <c:v>43.424171952100401</c:v>
                </c:pt>
                <c:pt idx="46">
                  <c:v>53.383698856299098</c:v>
                </c:pt>
                <c:pt idx="47">
                  <c:v>65.627485695330421</c:v>
                </c:pt>
                <c:pt idx="48">
                  <c:v>80.679436277356686</c:v>
                </c:pt>
                <c:pt idx="49">
                  <c:v>99.183613284025824</c:v>
                </c:pt>
                <c:pt idx="50">
                  <c:v>121.9317968140261</c:v>
                </c:pt>
                <c:pt idx="51">
                  <c:v>149.89736337703505</c:v>
                </c:pt>
                <c:pt idx="52">
                  <c:v>184.27693484571105</c:v>
                </c:pt>
                <c:pt idx="53">
                  <c:v>226.54157926494975</c:v>
                </c:pt>
                <c:pt idx="54">
                  <c:v>278.49975401421847</c:v>
                </c:pt>
                <c:pt idx="55">
                  <c:v>342.3746840827896</c:v>
                </c:pt>
                <c:pt idx="56">
                  <c:v>420.89948560855566</c:v>
                </c:pt>
                <c:pt idx="57">
                  <c:v>517.43410371811296</c:v>
                </c:pt>
                <c:pt idx="58">
                  <c:v>636.1090664878709</c:v>
                </c:pt>
                <c:pt idx="59">
                  <c:v>782.00220332534184</c:v>
                </c:pt>
                <c:pt idx="60">
                  <c:v>961.35588513604432</c:v>
                </c:pt>
                <c:pt idx="61">
                  <c:v>1181.8440753342218</c:v>
                </c:pt>
                <c:pt idx="62">
                  <c:v>1452.9006087899759</c:v>
                </c:pt>
                <c:pt idx="63">
                  <c:v>1786.1227306598844</c:v>
                </c:pt>
                <c:pt idx="64">
                  <c:v>2195.7671397358358</c:v>
                </c:pt>
                <c:pt idx="65">
                  <c:v>2699.3597276148585</c:v>
                </c:pt>
                <c:pt idx="66">
                  <c:v>3318.4450525186335</c:v>
                </c:pt>
                <c:pt idx="67">
                  <c:v>14080.478014488101</c:v>
                </c:pt>
                <c:pt idx="68">
                  <c:v>59719.203690933333</c:v>
                </c:pt>
                <c:pt idx="69">
                  <c:v>252826.18832696462</c:v>
                </c:pt>
                <c:pt idx="70" formatCode="0.00E+00">
                  <c:v>1062207.3421253909</c:v>
                </c:pt>
                <c:pt idx="71" formatCode="0.00E+00">
                  <c:v>4324617.0653958321</c:v>
                </c:pt>
                <c:pt idx="72" formatCode="0.00E+00">
                  <c:v>15654764.107485486</c:v>
                </c:pt>
                <c:pt idx="73" formatCode="0.00E+00">
                  <c:v>40913914.11015825</c:v>
                </c:pt>
                <c:pt idx="74" formatCode="0.00E+00">
                  <c:v>66013334.181886084</c:v>
                </c:pt>
                <c:pt idx="75" formatCode="0.00E+00">
                  <c:v>77168995.464638099</c:v>
                </c:pt>
                <c:pt idx="76" formatCode="0.00E+00">
                  <c:v>80369471.486134887</c:v>
                </c:pt>
                <c:pt idx="77" formatCode="0.00E+00">
                  <c:v>81162681.027903005</c:v>
                </c:pt>
                <c:pt idx="78" formatCode="0.00E+00">
                  <c:v>81351882.38114959</c:v>
                </c:pt>
                <c:pt idx="79" formatCode="0.00E+00">
                  <c:v>81396595.391286746</c:v>
                </c:pt>
                <c:pt idx="80" formatCode="0.00E+00">
                  <c:v>81407138.983679876</c:v>
                </c:pt>
                <c:pt idx="81" formatCode="0.00E+00">
                  <c:v>81409623.935262606</c:v>
                </c:pt>
                <c:pt idx="82" formatCode="0.00E+00">
                  <c:v>81410209.525902465</c:v>
                </c:pt>
                <c:pt idx="83" formatCode="0.00E+00">
                  <c:v>81410347.519139007</c:v>
                </c:pt>
                <c:pt idx="84" formatCode="0.00E+00">
                  <c:v>81410380.036742032</c:v>
                </c:pt>
                <c:pt idx="85" formatCode="0.00E+00">
                  <c:v>81410387.699384362</c:v>
                </c:pt>
                <c:pt idx="86" formatCode="0.00E+00">
                  <c:v>81410389.505054504</c:v>
                </c:pt>
                <c:pt idx="87" formatCode="0.00E+00">
                  <c:v>81410389.930553213</c:v>
                </c:pt>
                <c:pt idx="88" formatCode="0.00E+00">
                  <c:v>81410390.030820221</c:v>
                </c:pt>
                <c:pt idx="89" formatCode="0.00E+00">
                  <c:v>81410390.05444774</c:v>
                </c:pt>
                <c:pt idx="90" formatCode="0.00E+00">
                  <c:v>81410390.060015455</c:v>
                </c:pt>
                <c:pt idx="91" formatCode="0.00E+00">
                  <c:v>81410390.061327457</c:v>
                </c:pt>
                <c:pt idx="92" formatCode="0.00E+00">
                  <c:v>81410390.061636627</c:v>
                </c:pt>
                <c:pt idx="93" formatCode="0.00E+00">
                  <c:v>81410390.061709493</c:v>
                </c:pt>
                <c:pt idx="94" formatCode="0.00E+00">
                  <c:v>81410390.06172666</c:v>
                </c:pt>
                <c:pt idx="95" formatCode="0.00E+00">
                  <c:v>81410390.061730698</c:v>
                </c:pt>
                <c:pt idx="96" formatCode="0.00E+00">
                  <c:v>81410390.061731666</c:v>
                </c:pt>
                <c:pt idx="97" formatCode="0.00E+00">
                  <c:v>81410390.061731875</c:v>
                </c:pt>
                <c:pt idx="98" formatCode="0.00E+00">
                  <c:v>81410390.061731935</c:v>
                </c:pt>
                <c:pt idx="99" formatCode="0.00E+00">
                  <c:v>81410390.061731949</c:v>
                </c:pt>
                <c:pt idx="100" formatCode="0.00E+00">
                  <c:v>81410390.061731949</c:v>
                </c:pt>
                <c:pt idx="101" formatCode="0.00E+00">
                  <c:v>81410390.061731949</c:v>
                </c:pt>
                <c:pt idx="102" formatCode="0.00E+00">
                  <c:v>81410390.061731949</c:v>
                </c:pt>
                <c:pt idx="103" formatCode="0.00E+00">
                  <c:v>81410390.061731949</c:v>
                </c:pt>
              </c:numCache>
            </c:numRef>
          </c:yVal>
          <c:smooth val="0"/>
        </c:ser>
        <c:ser>
          <c:idx val="2"/>
          <c:order val="2"/>
          <c:tx>
            <c:v>NSW Population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myData!$CY$11:$CY$12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myData!$CZ$11:$CZ$12</c:f>
              <c:numCache>
                <c:formatCode>0.00E+00</c:formatCode>
                <c:ptCount val="2"/>
                <c:pt idx="0">
                  <c:v>8080000</c:v>
                </c:pt>
                <c:pt idx="1">
                  <c:v>8080000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1686376"/>
        <c:axId val="751678536"/>
      </c:scatterChart>
      <c:valAx>
        <c:axId val="751686376"/>
        <c:scaling>
          <c:orientation val="minMax"/>
          <c:max val="43967"/>
          <c:min val="4385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678536"/>
        <c:crosses val="autoZero"/>
        <c:crossBetween val="midCat"/>
        <c:majorUnit val="14"/>
        <c:minorUnit val="7"/>
      </c:valAx>
      <c:valAx>
        <c:axId val="751678536"/>
        <c:scaling>
          <c:logBase val="10"/>
          <c:orientation val="minMax"/>
          <c:max val="1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686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673269840233468"/>
          <c:y val="0.69945145225951777"/>
          <c:w val="0.19566127381957732"/>
          <c:h val="0.13803096703027251"/>
        </c:manualLayout>
      </c:layout>
      <c:overlay val="0"/>
      <c:spPr>
        <a:solidFill>
          <a:schemeClr val="bg1">
            <a:alpha val="7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myData!$CH$12</c:f>
          <c:strCache>
            <c:ptCount val="1"/>
            <c:pt idx="0">
              <c:v>COVID19 NSW P(t) = b / {d+[( b/Po - d ) ]* exp(-b*t)}
b=0.209, d=7.68E-05, P0=.0043 Limit=3.37 k
 21-Mar, Cases per 10 M population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012874199786517E-2"/>
          <c:y val="0.21199674298138474"/>
          <c:w val="0.45877135106010902"/>
          <c:h val="0.70994083660334528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95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  <c:pt idx="56">
                  <c:v>539.60396039603961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3.37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0</c:v>
                </c:pt>
                <c:pt idx="1">
                  <c:v>6.5668371760367735E-3</c:v>
                </c:pt>
                <c:pt idx="2">
                  <c:v>8.0957390525511312E-3</c:v>
                </c:pt>
                <c:pt idx="3">
                  <c:v>9.9806013354093066E-3</c:v>
                </c:pt>
                <c:pt idx="4">
                  <c:v>1.2304298521319826E-2</c:v>
                </c:pt>
                <c:pt idx="5">
                  <c:v>1.5168999614853435E-2</c:v>
                </c:pt>
                <c:pt idx="6">
                  <c:v>1.8700660050355006E-2</c:v>
                </c:pt>
                <c:pt idx="7">
                  <c:v>2.3054559293697274E-2</c:v>
                </c:pt>
                <c:pt idx="8">
                  <c:v>2.8422127508931781E-2</c:v>
                </c:pt>
                <c:pt idx="9">
                  <c:v>3.5039361302685458E-2</c:v>
                </c:pt>
                <c:pt idx="10">
                  <c:v>4.319719835157973E-2</c:v>
                </c:pt>
                <c:pt idx="11">
                  <c:v>5.3254306729860292E-2</c:v>
                </c:pt>
                <c:pt idx="12">
                  <c:v>6.5652850746616656E-2</c:v>
                </c:pt>
                <c:pt idx="13">
                  <c:v>8.0937925702799993E-2</c:v>
                </c:pt>
                <c:pt idx="14">
                  <c:v>9.9781514881455841E-2</c:v>
                </c:pt>
                <c:pt idx="15">
                  <c:v>0.12301202029099387</c:v>
                </c:pt>
                <c:pt idx="16">
                  <c:v>0.1516506627935062</c:v>
                </c:pt>
                <c:pt idx="17">
                  <c:v>0.18695634783076903</c:v>
                </c:pt>
                <c:pt idx="18">
                  <c:v>0.23048096296645523</c:v>
                </c:pt>
                <c:pt idx="19">
                  <c:v>0.28413752876894738</c:v>
                </c:pt>
                <c:pt idx="20">
                  <c:v>0.35028418458564975</c:v>
                </c:pt>
                <c:pt idx="21">
                  <c:v>0.43182767922132692</c:v>
                </c:pt>
                <c:pt idx="22">
                  <c:v>0.53235088231973038</c:v>
                </c:pt>
                <c:pt idx="23">
                  <c:v>0.65626987045110352</c:v>
                </c:pt>
                <c:pt idx="24">
                  <c:v>0.80902741499361897</c:v>
                </c:pt>
                <c:pt idx="25">
                  <c:v>0.99733125800976163</c:v>
                </c:pt>
                <c:pt idx="26">
                  <c:v>1.2294474686826435</c:v>
                </c:pt>
                <c:pt idx="27">
                  <c:v>1.5155614991990152</c:v>
                </c:pt>
                <c:pt idx="28">
                  <c:v>1.8682223906858584</c:v>
                </c:pt>
                <c:pt idx="29">
                  <c:v>2.3028890159186326</c:v>
                </c:pt>
                <c:pt idx="30">
                  <c:v>2.8386013984874459</c:v>
                </c:pt>
                <c:pt idx="31">
                  <c:v>3.4988051421482815</c:v>
                </c:pt>
                <c:pt idx="32">
                  <c:v>4.3123629706140028</c:v>
                </c:pt>
                <c:pt idx="33">
                  <c:v>5.3147944464555765</c:v>
                </c:pt>
                <c:pt idx="34">
                  <c:v>6.5497932188105352</c:v>
                </c:pt>
                <c:pt idx="35">
                  <c:v>8.0710807069577353</c:v>
                </c:pt>
                <c:pt idx="36">
                  <c:v>9.9446659310667442</c:v>
                </c:pt>
                <c:pt idx="37">
                  <c:v>12.25159305691732</c:v>
                </c:pt>
                <c:pt idx="38">
                  <c:v>15.091270653610515</c:v>
                </c:pt>
                <c:pt idx="39">
                  <c:v>18.585488749042639</c:v>
                </c:pt>
                <c:pt idx="40">
                  <c:v>22.88323988485061</c:v>
                </c:pt>
                <c:pt idx="41">
                  <c:v>28.166465839171799</c:v>
                </c:pt>
                <c:pt idx="42">
                  <c:v>34.656848258804871</c:v>
                </c:pt>
                <c:pt idx="43">
                  <c:v>42.623742642982165</c:v>
                </c:pt>
                <c:pt idx="44">
                  <c:v>52.393311376355804</c:v>
                </c:pt>
                <c:pt idx="45">
                  <c:v>64.358829154120798</c:v>
                </c:pt>
                <c:pt idx="46">
                  <c:v>78.991994433349774</c:v>
                </c:pt>
                <c:pt idx="47">
                  <c:v>96.854859051729477</c:v>
                </c:pt>
                <c:pt idx="48">
                  <c:v>118.61165527951668</c:v>
                </c:pt>
                <c:pt idx="49">
                  <c:v>145.03932351777351</c:v>
                </c:pt>
                <c:pt idx="50">
                  <c:v>177.03489820005046</c:v>
                </c:pt>
                <c:pt idx="51">
                  <c:v>215.61708830699396</c:v>
                </c:pt>
                <c:pt idx="52">
                  <c:v>261.91843309590155</c:v>
                </c:pt>
                <c:pt idx="53">
                  <c:v>317.16345006951468</c:v>
                </c:pt>
                <c:pt idx="54">
                  <c:v>382.62748330154653</c:v>
                </c:pt>
                <c:pt idx="55">
                  <c:v>459.57094877467205</c:v>
                </c:pt>
                <c:pt idx="56">
                  <c:v>549.14498726747604</c:v>
                </c:pt>
                <c:pt idx="57">
                  <c:v>652.26789222819855</c:v>
                </c:pt>
                <c:pt idx="58">
                  <c:v>769.47762022529503</c:v>
                </c:pt>
                <c:pt idx="59">
                  <c:v>900.7741053976489</c:v>
                </c:pt>
                <c:pt idx="60">
                  <c:v>1045.4746492538213</c:v>
                </c:pt>
                <c:pt idx="61">
                  <c:v>1202.1134198547247</c:v>
                </c:pt>
                <c:pt idx="62">
                  <c:v>1368.4179465667205</c:v>
                </c:pt>
                <c:pt idx="63">
                  <c:v>1541.3876541979275</c:v>
                </c:pt>
                <c:pt idx="64">
                  <c:v>1717.480925979138</c:v>
                </c:pt>
                <c:pt idx="65">
                  <c:v>1892.8916726070725</c:v>
                </c:pt>
                <c:pt idx="66">
                  <c:v>2063.8721885906225</c:v>
                </c:pt>
                <c:pt idx="67">
                  <c:v>2941.3726307808315</c:v>
                </c:pt>
                <c:pt idx="68">
                  <c:v>3261.7910977495617</c:v>
                </c:pt>
                <c:pt idx="69">
                  <c:v>3346.0064192518171</c:v>
                </c:pt>
                <c:pt idx="70" formatCode="0.00E+00">
                  <c:v>3366.0861109167863</c:v>
                </c:pt>
                <c:pt idx="71" formatCode="0.00E+00">
                  <c:v>3370.7597472822554</c:v>
                </c:pt>
                <c:pt idx="72" formatCode="0.00E+00">
                  <c:v>3371.8414145494571</c:v>
                </c:pt>
                <c:pt idx="73" formatCode="0.00E+00">
                  <c:v>3372.0914272547952</c:v>
                </c:pt>
                <c:pt idx="74" formatCode="0.00E+00">
                  <c:v>3372.1491967496681</c:v>
                </c:pt>
                <c:pt idx="75" formatCode="0.00E+00">
                  <c:v>3372.1625443925723</c:v>
                </c:pt>
                <c:pt idx="76" formatCode="0.00E+00">
                  <c:v>3372.1656283157108</c:v>
                </c:pt>
                <c:pt idx="77" formatCode="0.00E+00">
                  <c:v>3372.1663408419859</c:v>
                </c:pt>
                <c:pt idx="78" formatCode="0.00E+00">
                  <c:v>3372.166505467766</c:v>
                </c:pt>
                <c:pt idx="79" formatCode="0.00E+00">
                  <c:v>3372.1665435037562</c:v>
                </c:pt>
                <c:pt idx="80" formatCode="0.00E+00">
                  <c:v>3372.1665522917879</c:v>
                </c:pt>
                <c:pt idx="81" formatCode="0.00E+00">
                  <c:v>3372.1665543222189</c:v>
                </c:pt>
                <c:pt idx="82" formatCode="0.00E+00">
                  <c:v>3372.1665547913408</c:v>
                </c:pt>
                <c:pt idx="83" formatCode="0.00E+00">
                  <c:v>3372.1665548997289</c:v>
                </c:pt>
                <c:pt idx="84" formatCode="0.00E+00">
                  <c:v>3372.1665549247709</c:v>
                </c:pt>
                <c:pt idx="85" formatCode="0.00E+00">
                  <c:v>3372.1665549305576</c:v>
                </c:pt>
                <c:pt idx="86" formatCode="0.00E+00">
                  <c:v>3372.1665549318946</c:v>
                </c:pt>
                <c:pt idx="87" formatCode="0.00E+00">
                  <c:v>3372.1665549322029</c:v>
                </c:pt>
                <c:pt idx="88" formatCode="0.00E+00">
                  <c:v>3372.1665549322743</c:v>
                </c:pt>
                <c:pt idx="89" formatCode="0.00E+00">
                  <c:v>3372.1665549322911</c:v>
                </c:pt>
                <c:pt idx="90" formatCode="0.00E+00">
                  <c:v>3372.1665549322947</c:v>
                </c:pt>
                <c:pt idx="91" formatCode="0.00E+00">
                  <c:v>3372.1665549322956</c:v>
                </c:pt>
                <c:pt idx="92" formatCode="0.00E+00">
                  <c:v>3372.1665549322956</c:v>
                </c:pt>
                <c:pt idx="93" formatCode="0.00E+00">
                  <c:v>3372.1665549322956</c:v>
                </c:pt>
                <c:pt idx="94" formatCode="0.00E+00">
                  <c:v>3372.1665549322956</c:v>
                </c:pt>
                <c:pt idx="95" formatCode="0.00E+00">
                  <c:v>3372.1665549322956</c:v>
                </c:pt>
                <c:pt idx="96" formatCode="0.00E+00">
                  <c:v>3372.1665549322956</c:v>
                </c:pt>
                <c:pt idx="97" formatCode="0.00E+00">
                  <c:v>3372.1665549322956</c:v>
                </c:pt>
                <c:pt idx="98" formatCode="0.00E+00">
                  <c:v>3372.1665549322956</c:v>
                </c:pt>
                <c:pt idx="99" formatCode="0.00E+00">
                  <c:v>3372.1665549322956</c:v>
                </c:pt>
                <c:pt idx="100" formatCode="0.00E+00">
                  <c:v>3372.1665549322956</c:v>
                </c:pt>
                <c:pt idx="101" formatCode="0.00E+00">
                  <c:v>3372.1665549322956</c:v>
                </c:pt>
                <c:pt idx="102" formatCode="0.00E+00">
                  <c:v>3372.1665549322956</c:v>
                </c:pt>
                <c:pt idx="103" formatCode="0.00E+00">
                  <c:v>3372.1665549322956</c:v>
                </c:pt>
              </c:numCache>
            </c:numRef>
          </c:yVal>
          <c:smooth val="0"/>
        </c:ser>
        <c:ser>
          <c:idx val="1"/>
          <c:order val="2"/>
          <c:tx>
            <c:v>Italy Confirmed Cases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2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7778.4946236559144</c:v>
                </c:pt>
                <c:pt idx="51">
                  <c:v>8863.1927212572373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3"/>
          <c:tx>
            <c:strRef>
              <c:f>myData!ItalySeries</c:f>
              <c:strCache>
                <c:ptCount val="1"/>
                <c:pt idx="0">
                  <c:v>Italy Limit 9.17 k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0</c:v>
                </c:pt>
                <c:pt idx="1">
                  <c:v>9.4848129309458962E-2</c:v>
                </c:pt>
                <c:pt idx="2">
                  <c:v>0.12303702881467997</c:v>
                </c:pt>
                <c:pt idx="3">
                  <c:v>0.15960353390056498</c:v>
                </c:pt>
                <c:pt idx="4">
                  <c:v>0.20703732911384501</c:v>
                </c:pt>
                <c:pt idx="5">
                  <c:v>0.26856792369069077</c:v>
                </c:pt>
                <c:pt idx="6">
                  <c:v>0.34838444847319144</c:v>
                </c:pt>
                <c:pt idx="7">
                  <c:v>0.45192072130958377</c:v>
                </c:pt>
                <c:pt idx="8">
                  <c:v>0.58622494071220788</c:v>
                </c:pt>
                <c:pt idx="9">
                  <c:v>0.76043909521700093</c:v>
                </c:pt>
                <c:pt idx="10">
                  <c:v>0.98642058801477062</c:v>
                </c:pt>
                <c:pt idx="11">
                  <c:v>1.2795481614780602</c:v>
                </c:pt>
                <c:pt idx="12">
                  <c:v>1.6597665895543499</c:v>
                </c:pt>
                <c:pt idx="13">
                  <c:v>2.152940584955545</c:v>
                </c:pt>
                <c:pt idx="14">
                  <c:v>2.7926089535781093</c:v>
                </c:pt>
                <c:pt idx="15">
                  <c:v>3.6222564928425882</c:v>
                </c:pt>
                <c:pt idx="16">
                  <c:v>4.6982550582711546</c:v>
                </c:pt>
                <c:pt idx="17">
                  <c:v>6.0936685592242563</c:v>
                </c:pt>
                <c:pt idx="18">
                  <c:v>7.9031717302330025</c:v>
                </c:pt>
                <c:pt idx="19">
                  <c:v>10.249402087293142</c:v>
                </c:pt>
                <c:pt idx="20">
                  <c:v>13.291151547435698</c:v>
                </c:pt>
                <c:pt idx="21">
                  <c:v>17.233911846123949</c:v>
                </c:pt>
                <c:pt idx="22">
                  <c:v>22.343418727763268</c:v>
                </c:pt>
                <c:pt idx="23">
                  <c:v>28.962994980144742</c:v>
                </c:pt>
                <c:pt idx="24">
                  <c:v>37.535669376149336</c:v>
                </c:pt>
                <c:pt idx="25">
                  <c:v>48.632238375033459</c:v>
                </c:pt>
                <c:pt idx="26">
                  <c:v>62.986618608123891</c:v>
                </c:pt>
                <c:pt idx="27">
                  <c:v>81.539967970545888</c:v>
                </c:pt>
                <c:pt idx="28">
                  <c:v>105.49505337240565</c:v>
                </c:pt>
                <c:pt idx="29">
                  <c:v>136.38207937304625</c:v>
                </c:pt>
                <c:pt idx="30">
                  <c:v>176.13644446274736</c:v>
                </c:pt>
                <c:pt idx="31">
                  <c:v>227.18732102934158</c:v>
                </c:pt>
                <c:pt idx="32">
                  <c:v>292.55306909581014</c:v>
                </c:pt>
                <c:pt idx="33">
                  <c:v>375.93464405405427</c:v>
                </c:pt>
                <c:pt idx="34">
                  <c:v>481.79061827176201</c:v>
                </c:pt>
                <c:pt idx="35">
                  <c:v>615.3666661831561</c:v>
                </c:pt>
                <c:pt idx="36">
                  <c:v>782.6386175913741</c:v>
                </c:pt>
                <c:pt idx="37">
                  <c:v>990.11362702360771</c:v>
                </c:pt>
                <c:pt idx="38">
                  <c:v>1244.4243106656154</c:v>
                </c:pt>
                <c:pt idx="39">
                  <c:v>1551.6565317305783</c:v>
                </c:pt>
                <c:pt idx="40">
                  <c:v>1916.388083537779</c:v>
                </c:pt>
                <c:pt idx="41">
                  <c:v>2340.4970299705597</c:v>
                </c:pt>
                <c:pt idx="42">
                  <c:v>2821.9246256487299</c:v>
                </c:pt>
                <c:pt idx="43">
                  <c:v>3353.7152422562399</c:v>
                </c:pt>
                <c:pt idx="44">
                  <c:v>3923.7298077648074</c:v>
                </c:pt>
                <c:pt idx="45">
                  <c:v>4515.3496848267951</c:v>
                </c:pt>
                <c:pt idx="46">
                  <c:v>5109.2172894874357</c:v>
                </c:pt>
                <c:pt idx="47">
                  <c:v>5685.6815343352391</c:v>
                </c:pt>
                <c:pt idx="48">
                  <c:v>6227.3217555963911</c:v>
                </c:pt>
                <c:pt idx="49">
                  <c:v>6720.8894516355031</c:v>
                </c:pt>
                <c:pt idx="50">
                  <c:v>7158.2545879055615</c:v>
                </c:pt>
                <c:pt idx="51">
                  <c:v>7536.3212756396706</c:v>
                </c:pt>
                <c:pt idx="52">
                  <c:v>7856.1846800451958</c:v>
                </c:pt>
                <c:pt idx="53">
                  <c:v>8121.9239063864607</c:v>
                </c:pt>
                <c:pt idx="54">
                  <c:v>8339.3788498405775</c:v>
                </c:pt>
                <c:pt idx="55">
                  <c:v>8515.1279647826468</c:v>
                </c:pt>
                <c:pt idx="56">
                  <c:v>8655.7507790854434</c:v>
                </c:pt>
                <c:pt idx="57">
                  <c:v>8767.3664995718591</c:v>
                </c:pt>
                <c:pt idx="58">
                  <c:v>8855.3943564857818</c:v>
                </c:pt>
                <c:pt idx="59">
                  <c:v>8924.4700097282766</c:v>
                </c:pt>
                <c:pt idx="60">
                  <c:v>8978.4596618514806</c:v>
                </c:pt>
                <c:pt idx="61">
                  <c:v>9020.5276395734909</c:v>
                </c:pt>
                <c:pt idx="62">
                  <c:v>9141.3253336146699</c:v>
                </c:pt>
                <c:pt idx="63">
                  <c:v>9161.1734364105432</c:v>
                </c:pt>
                <c:pt idx="64">
                  <c:v>9164.392686512816</c:v>
                </c:pt>
                <c:pt idx="65">
                  <c:v>9164.9137290587933</c:v>
                </c:pt>
                <c:pt idx="66">
                  <c:v>9164.9980320658979</c:v>
                </c:pt>
                <c:pt idx="67">
                  <c:v>9165.0116712659801</c:v>
                </c:pt>
                <c:pt idx="68">
                  <c:v>9165.0138779027184</c:v>
                </c:pt>
                <c:pt idx="69">
                  <c:v>9165.0142349059588</c:v>
                </c:pt>
                <c:pt idx="70">
                  <c:v>9165.014292664122</c:v>
                </c:pt>
                <c:pt idx="71">
                  <c:v>9165.0143020085907</c:v>
                </c:pt>
                <c:pt idx="72">
                  <c:v>9165.0143035203946</c:v>
                </c:pt>
                <c:pt idx="73">
                  <c:v>9165.0143037649832</c:v>
                </c:pt>
                <c:pt idx="74">
                  <c:v>9165.0143038045535</c:v>
                </c:pt>
                <c:pt idx="75">
                  <c:v>9165.0143038109563</c:v>
                </c:pt>
                <c:pt idx="76">
                  <c:v>9165.0143038119932</c:v>
                </c:pt>
                <c:pt idx="77">
                  <c:v>9165.0143038121605</c:v>
                </c:pt>
                <c:pt idx="78">
                  <c:v>9165.0143038121878</c:v>
                </c:pt>
                <c:pt idx="79">
                  <c:v>9165.0143038121914</c:v>
                </c:pt>
                <c:pt idx="80">
                  <c:v>9165.0143038121932</c:v>
                </c:pt>
                <c:pt idx="81">
                  <c:v>9165.0143038121932</c:v>
                </c:pt>
                <c:pt idx="82">
                  <c:v>9165.0143038121932</c:v>
                </c:pt>
                <c:pt idx="83">
                  <c:v>9165.0143038121932</c:v>
                </c:pt>
                <c:pt idx="84">
                  <c:v>9165.0143038121932</c:v>
                </c:pt>
                <c:pt idx="85">
                  <c:v>9165.0143038121932</c:v>
                </c:pt>
                <c:pt idx="86">
                  <c:v>9165.0143038121932</c:v>
                </c:pt>
                <c:pt idx="87">
                  <c:v>9165.0143038121932</c:v>
                </c:pt>
                <c:pt idx="88">
                  <c:v>9165.0143038121932</c:v>
                </c:pt>
                <c:pt idx="89">
                  <c:v>9165.0143038121932</c:v>
                </c:pt>
                <c:pt idx="90">
                  <c:v>9165.0143038121932</c:v>
                </c:pt>
                <c:pt idx="91">
                  <c:v>9165.0143038121932</c:v>
                </c:pt>
                <c:pt idx="92">
                  <c:v>9165.0143038121932</c:v>
                </c:pt>
                <c:pt idx="93">
                  <c:v>9165.0143038121932</c:v>
                </c:pt>
                <c:pt idx="94">
                  <c:v>9165.0143038121932</c:v>
                </c:pt>
                <c:pt idx="95">
                  <c:v>9165.0143038121932</c:v>
                </c:pt>
                <c:pt idx="96">
                  <c:v>9165.0143038121932</c:v>
                </c:pt>
                <c:pt idx="97">
                  <c:v>9165.0143038121932</c:v>
                </c:pt>
                <c:pt idx="98">
                  <c:v>9165.0143038121932</c:v>
                </c:pt>
              </c:numCache>
            </c:numRef>
          </c:yVal>
          <c:smooth val="0"/>
        </c:ser>
        <c:ser>
          <c:idx val="2"/>
          <c:order val="4"/>
          <c:tx>
            <c:v>US Confirmed Cases</c:v>
          </c:tx>
          <c:spPr>
            <a:ln w="952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2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2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580.14551422406544</c:v>
                </c:pt>
                <c:pt idx="41">
                  <c:v>733.47402499909595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myData!USSeries</c:f>
              <c:strCache>
                <c:ptCount val="1"/>
                <c:pt idx="0">
                  <c:v>USA Limit 10.6 M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5.193930970840842E-4</c:v>
                </c:pt>
                <c:pt idx="1">
                  <c:v>7.3535715103043595E-4</c:v>
                </c:pt>
                <c:pt idx="2">
                  <c:v>1.0411192266566833E-3</c:v>
                </c:pt>
                <c:pt idx="3">
                  <c:v>1.4740174112433412E-3</c:v>
                </c:pt>
                <c:pt idx="4">
                  <c:v>2.0869149978035724E-3</c:v>
                </c:pt>
                <c:pt idx="5">
                  <c:v>2.9546558776932931E-3</c:v>
                </c:pt>
                <c:pt idx="6">
                  <c:v>4.1832040904767921E-3</c:v>
                </c:pt>
                <c:pt idx="7">
                  <c:v>5.9225836057080839E-3</c:v>
                </c:pt>
                <c:pt idx="8">
                  <c:v>8.385198475984958E-3</c:v>
                </c:pt>
                <c:pt idx="9">
                  <c:v>1.1871770523775842E-2</c:v>
                </c:pt>
                <c:pt idx="10">
                  <c:v>1.6808061938365818E-2</c:v>
                </c:pt>
                <c:pt idx="11">
                  <c:v>2.3796867156692873E-2</c:v>
                </c:pt>
                <c:pt idx="12">
                  <c:v>3.3691623007698512E-2</c:v>
                </c:pt>
                <c:pt idx="13">
                  <c:v>4.770062600998351E-2</c:v>
                </c:pt>
                <c:pt idx="14">
                  <c:v>6.753458329892309E-2</c:v>
                </c:pt>
                <c:pt idx="15">
                  <c:v>9.5615515336067297E-2</c:v>
                </c:pt>
                <c:pt idx="16">
                  <c:v>0.1353725205115737</c:v>
                </c:pt>
                <c:pt idx="17">
                  <c:v>0.1916605188662156</c:v>
                </c:pt>
                <c:pt idx="18">
                  <c:v>0.2713531097141611</c:v>
                </c:pt>
                <c:pt idx="19">
                  <c:v>0.3841819397969588</c:v>
                </c:pt>
                <c:pt idx="20">
                  <c:v>0.54392508110915672</c:v>
                </c:pt>
                <c:pt idx="21">
                  <c:v>0.77008953662744506</c:v>
                </c:pt>
                <c:pt idx="22">
                  <c:v>1.0902933321866461</c:v>
                </c:pt>
                <c:pt idx="23">
                  <c:v>1.5436380819174718</c:v>
                </c:pt>
                <c:pt idx="24">
                  <c:v>2.185483864820378</c:v>
                </c:pt>
                <c:pt idx="25">
                  <c:v>3.0942094903209032</c:v>
                </c:pt>
                <c:pt idx="26">
                  <c:v>4.3807836706384702</c:v>
                </c:pt>
                <c:pt idx="27">
                  <c:v>6.2023158602681345</c:v>
                </c:pt>
                <c:pt idx="28">
                  <c:v>8.781241477299714</c:v>
                </c:pt>
                <c:pt idx="29">
                  <c:v>12.432484218858587</c:v>
                </c:pt>
                <c:pt idx="30">
                  <c:v>17.601912216169257</c:v>
                </c:pt>
                <c:pt idx="31">
                  <c:v>24.920783743050126</c:v>
                </c:pt>
                <c:pt idx="32">
                  <c:v>35.28283039838319</c:v>
                </c:pt>
                <c:pt idx="33">
                  <c:v>49.953389342971647</c:v>
                </c:pt>
                <c:pt idx="34">
                  <c:v>70.723908409874383</c:v>
                </c:pt>
                <c:pt idx="35">
                  <c:v>100.13068574918965</c:v>
                </c:pt>
                <c:pt idx="36">
                  <c:v>141.76454392688726</c:v>
                </c:pt>
                <c:pt idx="37">
                  <c:v>200.70923135585824</c:v>
                </c:pt>
                <c:pt idx="38">
                  <c:v>284.16204042947339</c:v>
                </c:pt>
                <c:pt idx="39">
                  <c:v>402.31233694173619</c:v>
                </c:pt>
                <c:pt idx="40">
                  <c:v>569.58509768037231</c:v>
                </c:pt>
                <c:pt idx="41">
                  <c:v>806.4009406300238</c:v>
                </c:pt>
                <c:pt idx="42">
                  <c:v>1141.6668321834684</c:v>
                </c:pt>
                <c:pt idx="43">
                  <c:v>1616.3001380011358</c:v>
                </c:pt>
                <c:pt idx="44">
                  <c:v>2288.2133797583178</c:v>
                </c:pt>
                <c:pt idx="45">
                  <c:v>3239.3624476806749</c:v>
                </c:pt>
                <c:pt idx="46">
                  <c:v>4585.7070185616276</c:v>
                </c:pt>
                <c:pt idx="47">
                  <c:v>6491.2755880115774</c:v>
                </c:pt>
                <c:pt idx="48">
                  <c:v>9188.0048339360455</c:v>
                </c:pt>
                <c:pt idx="49">
                  <c:v>13003.680360408853</c:v>
                </c:pt>
                <c:pt idx="50">
                  <c:v>18401.199809806461</c:v>
                </c:pt>
                <c:pt idx="51">
                  <c:v>26033.57209292673</c:v>
                </c:pt>
                <c:pt idx="52">
                  <c:v>289435.73659390328</c:v>
                </c:pt>
                <c:pt idx="53">
                  <c:v>2568199.6237219297</c:v>
                </c:pt>
                <c:pt idx="54">
                  <c:v>8296554.6869443115</c:v>
                </c:pt>
                <c:pt idx="55">
                  <c:v>10314066.298710763</c:v>
                </c:pt>
                <c:pt idx="56">
                  <c:v>10538813.850386472</c:v>
                </c:pt>
                <c:pt idx="57">
                  <c:v>10558991.587875744</c:v>
                </c:pt>
                <c:pt idx="58">
                  <c:v>10560764.801574374</c:v>
                </c:pt>
                <c:pt idx="59">
                  <c:v>10560920.335585911</c:v>
                </c:pt>
                <c:pt idx="60">
                  <c:v>10560933.975678036</c:v>
                </c:pt>
                <c:pt idx="61">
                  <c:v>10560935.171875525</c:v>
                </c:pt>
                <c:pt idx="62">
                  <c:v>10560935.276778527</c:v>
                </c:pt>
                <c:pt idx="63">
                  <c:v>10560935.285978211</c:v>
                </c:pt>
                <c:pt idx="64">
                  <c:v>10560935.286784995</c:v>
                </c:pt>
                <c:pt idx="65">
                  <c:v>10560935.28685575</c:v>
                </c:pt>
                <c:pt idx="66">
                  <c:v>10560935.286861954</c:v>
                </c:pt>
                <c:pt idx="67">
                  <c:v>10560935.286862496</c:v>
                </c:pt>
                <c:pt idx="68">
                  <c:v>10560935.286862545</c:v>
                </c:pt>
                <c:pt idx="69">
                  <c:v>10560935.286862548</c:v>
                </c:pt>
                <c:pt idx="70">
                  <c:v>10560935.286862548</c:v>
                </c:pt>
                <c:pt idx="71">
                  <c:v>10560935.286862548</c:v>
                </c:pt>
                <c:pt idx="72">
                  <c:v>10560935.286862548</c:v>
                </c:pt>
                <c:pt idx="73">
                  <c:v>10560935.286862548</c:v>
                </c:pt>
                <c:pt idx="74">
                  <c:v>10560935.286862548</c:v>
                </c:pt>
                <c:pt idx="75">
                  <c:v>10560935.286862548</c:v>
                </c:pt>
                <c:pt idx="76">
                  <c:v>10560935.286862548</c:v>
                </c:pt>
                <c:pt idx="77">
                  <c:v>10560935.286862548</c:v>
                </c:pt>
                <c:pt idx="78">
                  <c:v>10560935.286862548</c:v>
                </c:pt>
                <c:pt idx="79">
                  <c:v>10560935.286862548</c:v>
                </c:pt>
                <c:pt idx="80">
                  <c:v>10560935.286862548</c:v>
                </c:pt>
                <c:pt idx="81">
                  <c:v>10560935.286862548</c:v>
                </c:pt>
                <c:pt idx="82">
                  <c:v>10560935.286862548</c:v>
                </c:pt>
                <c:pt idx="83">
                  <c:v>10560935.286862548</c:v>
                </c:pt>
                <c:pt idx="84">
                  <c:v>10560935.286862548</c:v>
                </c:pt>
                <c:pt idx="85">
                  <c:v>10560935.286862548</c:v>
                </c:pt>
                <c:pt idx="86">
                  <c:v>10560935.286862548</c:v>
                </c:pt>
                <c:pt idx="87">
                  <c:v>10560935.286862548</c:v>
                </c:pt>
                <c:pt idx="88">
                  <c:v>10560935.286862548</c:v>
                </c:pt>
              </c:numCache>
            </c:numRef>
          </c:yVal>
          <c:smooth val="0"/>
        </c:ser>
        <c:ser>
          <c:idx val="7"/>
          <c:order val="6"/>
          <c:tx>
            <c:v>China Cases</c:v>
          </c:tx>
          <c:spPr>
            <a:ln w="63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myData!ChinaDates</c:f>
              <c:numCache>
                <c:formatCode>m/d/yyyy</c:formatCode>
                <c:ptCount val="6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</c:numCache>
            </c:numRef>
          </c:xVal>
          <c:yVal>
            <c:numRef>
              <c:f>myData!ChinaCases</c:f>
              <c:numCache>
                <c:formatCode>0.0</c:formatCode>
                <c:ptCount val="107"/>
                <c:pt idx="0">
                  <c:v>3.8073434840556684</c:v>
                </c:pt>
                <c:pt idx="1">
                  <c:v>4.4673756573864862</c:v>
                </c:pt>
                <c:pt idx="2">
                  <c:v>6.391890520677399</c:v>
                </c:pt>
                <c:pt idx="3">
                  <c:v>9.7684761652961125</c:v>
                </c:pt>
                <c:pt idx="4">
                  <c:v>14.416492206962612</c:v>
                </c:pt>
                <c:pt idx="5">
                  <c:v>19.988553291292259</c:v>
                </c:pt>
                <c:pt idx="6">
                  <c:v>38.274918346099774</c:v>
                </c:pt>
                <c:pt idx="7">
                  <c:v>42.290693042786231</c:v>
                </c:pt>
                <c:pt idx="8">
                  <c:v>56.561283400907293</c:v>
                </c:pt>
                <c:pt idx="9">
                  <c:v>68.10142487356508</c:v>
                </c:pt>
                <c:pt idx="10">
                  <c:v>82.615184979755384</c:v>
                </c:pt>
                <c:pt idx="11">
                  <c:v>115.54036886833168</c:v>
                </c:pt>
                <c:pt idx="12">
                  <c:v>136.98099294095175</c:v>
                </c:pt>
                <c:pt idx="13">
                  <c:v>164.7092919279338</c:v>
                </c:pt>
                <c:pt idx="14">
                  <c:v>190.64508248629113</c:v>
                </c:pt>
                <c:pt idx="15">
                  <c:v>212.50951669126044</c:v>
                </c:pt>
                <c:pt idx="16">
                  <c:v>236.98628876120227</c:v>
                </c:pt>
                <c:pt idx="17">
                  <c:v>255.77288872632366</c:v>
                </c:pt>
                <c:pt idx="18">
                  <c:v>276.72022559571752</c:v>
                </c:pt>
                <c:pt idx="19">
                  <c:v>294.26318599214193</c:v>
                </c:pt>
                <c:pt idx="20">
                  <c:v>308.38092679433373</c:v>
                </c:pt>
                <c:pt idx="21">
                  <c:v>310.97242153804314</c:v>
                </c:pt>
                <c:pt idx="22">
                  <c:v>416.13291601736177</c:v>
                </c:pt>
                <c:pt idx="23">
                  <c:v>461.03594692512047</c:v>
                </c:pt>
                <c:pt idx="24">
                  <c:v>475.31348499032924</c:v>
                </c:pt>
                <c:pt idx="25">
                  <c:v>489.90366987448419</c:v>
                </c:pt>
                <c:pt idx="26">
                  <c:v>503.25021518994208</c:v>
                </c:pt>
                <c:pt idx="27">
                  <c:v>515.59629068477227</c:v>
                </c:pt>
                <c:pt idx="28">
                  <c:v>518.43095517655092</c:v>
                </c:pt>
                <c:pt idx="29">
                  <c:v>521.61300502271422</c:v>
                </c:pt>
                <c:pt idx="30">
                  <c:v>524.89927047519291</c:v>
                </c:pt>
                <c:pt idx="31">
                  <c:v>534.98039345943528</c:v>
                </c:pt>
                <c:pt idx="32">
                  <c:v>535.12629530827678</c:v>
                </c:pt>
                <c:pt idx="33">
                  <c:v>536.64784316048156</c:v>
                </c:pt>
                <c:pt idx="34">
                  <c:v>540.21201689646796</c:v>
                </c:pt>
                <c:pt idx="35">
                  <c:v>543.07447221659743</c:v>
                </c:pt>
                <c:pt idx="36">
                  <c:v>546.08977709265605</c:v>
                </c:pt>
                <c:pt idx="37">
                  <c:v>548.36862501741928</c:v>
                </c:pt>
                <c:pt idx="38">
                  <c:v>551.34224365095179</c:v>
                </c:pt>
                <c:pt idx="39">
                  <c:v>555.34412293346293</c:v>
                </c:pt>
                <c:pt idx="40">
                  <c:v>556.7614551793522</c:v>
                </c:pt>
                <c:pt idx="41">
                  <c:v>557.6299185653138</c:v>
                </c:pt>
                <c:pt idx="42">
                  <c:v>558.49838195127541</c:v>
                </c:pt>
                <c:pt idx="43">
                  <c:v>559.54748572151709</c:v>
                </c:pt>
                <c:pt idx="44">
                  <c:v>560.61048490593407</c:v>
                </c:pt>
                <c:pt idx="45">
                  <c:v>561.1663014729495</c:v>
                </c:pt>
                <c:pt idx="46">
                  <c:v>561.5345299485972</c:v>
                </c:pt>
                <c:pt idx="47">
                  <c:v>561.79159511084185</c:v>
                </c:pt>
                <c:pt idx="48">
                  <c:v>561.97918320220958</c:v>
                </c:pt>
                <c:pt idx="49">
                  <c:v>562.21540524319107</c:v>
                </c:pt>
                <c:pt idx="50">
                  <c:v>562.29183002115576</c:v>
                </c:pt>
                <c:pt idx="51">
                  <c:v>562.38215021329574</c:v>
                </c:pt>
                <c:pt idx="52">
                  <c:v>562.60447684010194</c:v>
                </c:pt>
                <c:pt idx="53">
                  <c:v>562.78511722438191</c:v>
                </c:pt>
                <c:pt idx="54">
                  <c:v>562.99354843701269</c:v>
                </c:pt>
                <c:pt idx="55">
                  <c:v>563.16724111420501</c:v>
                </c:pt>
                <c:pt idx="56">
                  <c:v>563.47294022606354</c:v>
                </c:pt>
                <c:pt idx="57">
                  <c:v>563.84811640879889</c:v>
                </c:pt>
                <c:pt idx="58">
                  <c:v>564.50120087504206</c:v>
                </c:pt>
                <c:pt idx="59">
                  <c:v>564.87637705777752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0"/>
        </c:ser>
        <c:ser>
          <c:idx val="6"/>
          <c:order val="7"/>
          <c:tx>
            <c:strRef>
              <c:f>myData!ChinaSeries</c:f>
              <c:strCache>
                <c:ptCount val="1"/>
                <c:pt idx="0">
                  <c:v>China Limit 562  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myData!ChinaLogiDates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myData!ChinaLogi</c:f>
              <c:numCache>
                <c:formatCode>0</c:formatCode>
                <c:ptCount val="107"/>
                <c:pt idx="0">
                  <c:v>10.683136966707542</c:v>
                </c:pt>
                <c:pt idx="1">
                  <c:v>13.277829642217627</c:v>
                </c:pt>
                <c:pt idx="2">
                  <c:v>16.483886927833961</c:v>
                </c:pt>
                <c:pt idx="3">
                  <c:v>20.435269467553514</c:v>
                </c:pt>
                <c:pt idx="4">
                  <c:v>25.289967793687335</c:v>
                </c:pt>
                <c:pt idx="5">
                  <c:v>31.231513319186782</c:v>
                </c:pt>
                <c:pt idx="6">
                  <c:v>38.468975247954276</c:v>
                </c:pt>
                <c:pt idx="7">
                  <c:v>47.234479868508544</c:v>
                </c:pt>
                <c:pt idx="8">
                  <c:v>57.777040862636333</c:v>
                </c:pt>
                <c:pt idx="9">
                  <c:v>70.351343273980731</c:v>
                </c:pt>
                <c:pt idx="10">
                  <c:v>85.200230023338264</c:v>
                </c:pt>
                <c:pt idx="11">
                  <c:v>102.53020080641564</c:v>
                </c:pt>
                <c:pt idx="12">
                  <c:v>122.48045184718971</c:v>
                </c:pt>
                <c:pt idx="13">
                  <c:v>145.08794501852279</c:v>
                </c:pt>
                <c:pt idx="14">
                  <c:v>170.25347868794347</c:v>
                </c:pt>
                <c:pt idx="15">
                  <c:v>197.71605475351217</c:v>
                </c:pt>
                <c:pt idx="16">
                  <c:v>227.04385986802606</c:v>
                </c:pt>
                <c:pt idx="17">
                  <c:v>257.64869902945071</c:v>
                </c:pt>
                <c:pt idx="18">
                  <c:v>288.82621181875015</c:v>
                </c:pt>
                <c:pt idx="19">
                  <c:v>319.81754975043282</c:v>
                </c:pt>
                <c:pt idx="20">
                  <c:v>349.88174074963456</c:v>
                </c:pt>
                <c:pt idx="21">
                  <c:v>378.3645053203071</c:v>
                </c:pt>
                <c:pt idx="22">
                  <c:v>404.75045494453434</c:v>
                </c:pt>
                <c:pt idx="23">
                  <c:v>428.69083621819203</c:v>
                </c:pt>
                <c:pt idx="24">
                  <c:v>450.00589022150581</c:v>
                </c:pt>
                <c:pt idx="25">
                  <c:v>468.66671656048743</c:v>
                </c:pt>
                <c:pt idx="26">
                  <c:v>484.76457370445041</c:v>
                </c:pt>
                <c:pt idx="27">
                  <c:v>498.47567855264447</c:v>
                </c:pt>
                <c:pt idx="28">
                  <c:v>510.02775106881523</c:v>
                </c:pt>
                <c:pt idx="29">
                  <c:v>519.67203079618093</c:v>
                </c:pt>
                <c:pt idx="30">
                  <c:v>527.6622097270905</c:v>
                </c:pt>
                <c:pt idx="31">
                  <c:v>534.24012364300825</c:v>
                </c:pt>
                <c:pt idx="32">
                  <c:v>539.62716763085166</c:v>
                </c:pt>
                <c:pt idx="33">
                  <c:v>544.02008949799358</c:v>
                </c:pt>
                <c:pt idx="34">
                  <c:v>547.5898541713924</c:v>
                </c:pt>
                <c:pt idx="35">
                  <c:v>550.48248276750201</c:v>
                </c:pt>
                <c:pt idx="36">
                  <c:v>552.82103115752545</c:v>
                </c:pt>
                <c:pt idx="37">
                  <c:v>554.7081180622265</c:v>
                </c:pt>
                <c:pt idx="38">
                  <c:v>556.22861374817023</c:v>
                </c:pt>
                <c:pt idx="39">
                  <c:v>557.45225149654834</c:v>
                </c:pt>
                <c:pt idx="40">
                  <c:v>558.43603037253479</c:v>
                </c:pt>
                <c:pt idx="41">
                  <c:v>559.22634854182866</c:v>
                </c:pt>
                <c:pt idx="42">
                  <c:v>559.86085077760765</c:v>
                </c:pt>
                <c:pt idx="43">
                  <c:v>560.36999981823215</c:v>
                </c:pt>
                <c:pt idx="44">
                  <c:v>560.77839501454855</c:v>
                </c:pt>
                <c:pt idx="45">
                  <c:v>561.10586769947281</c:v>
                </c:pt>
                <c:pt idx="46">
                  <c:v>561.36838400205613</c:v>
                </c:pt>
                <c:pt idx="47">
                  <c:v>561.57878446099198</c:v>
                </c:pt>
                <c:pt idx="48">
                  <c:v>561.74738707975825</c:v>
                </c:pt>
                <c:pt idx="49">
                  <c:v>561.88247721412995</c:v>
                </c:pt>
                <c:pt idx="50">
                  <c:v>561.99070436525756</c:v>
                </c:pt>
                <c:pt idx="51">
                  <c:v>562.07740282573775</c:v>
                </c:pt>
                <c:pt idx="52">
                  <c:v>562.14685031623685</c:v>
                </c:pt>
                <c:pt idx="53">
                  <c:v>562.20247630033487</c:v>
                </c:pt>
                <c:pt idx="54">
                  <c:v>562.24702957366003</c:v>
                </c:pt>
                <c:pt idx="55">
                  <c:v>562.28271296446189</c:v>
                </c:pt>
                <c:pt idx="56">
                  <c:v>562.31129151991638</c:v>
                </c:pt>
                <c:pt idx="57">
                  <c:v>562.33417934598185</c:v>
                </c:pt>
                <c:pt idx="58">
                  <c:v>562.35250927989307</c:v>
                </c:pt>
                <c:pt idx="59">
                  <c:v>562.36718876807277</c:v>
                </c:pt>
                <c:pt idx="60">
                  <c:v>562.37894466718831</c:v>
                </c:pt>
                <c:pt idx="61">
                  <c:v>562.38835915550999</c:v>
                </c:pt>
                <c:pt idx="62">
                  <c:v>562.39589851297683</c:v>
                </c:pt>
                <c:pt idx="63">
                  <c:v>562.40193618255046</c:v>
                </c:pt>
                <c:pt idx="64">
                  <c:v>562.40677124691047</c:v>
                </c:pt>
                <c:pt idx="65">
                  <c:v>562.41064323047203</c:v>
                </c:pt>
                <c:pt idx="66">
                  <c:v>562.41374395661569</c:v>
                </c:pt>
                <c:pt idx="67">
                  <c:v>562.41622704537917</c:v>
                </c:pt>
                <c:pt idx="68">
                  <c:v>562.41821552076453</c:v>
                </c:pt>
                <c:pt idx="69">
                  <c:v>562.41980790366836</c:v>
                </c:pt>
                <c:pt idx="70">
                  <c:v>562.4210830917425</c:v>
                </c:pt>
                <c:pt idx="71">
                  <c:v>562.42210426759698</c:v>
                </c:pt>
                <c:pt idx="72">
                  <c:v>562.42292202875603</c:v>
                </c:pt>
                <c:pt idx="73">
                  <c:v>562.42357689429673</c:v>
                </c:pt>
                <c:pt idx="74">
                  <c:v>562.42410131227359</c:v>
                </c:pt>
                <c:pt idx="75">
                  <c:v>562.42452126733679</c:v>
                </c:pt>
                <c:pt idx="76">
                  <c:v>562.42485756815756</c:v>
                </c:pt>
                <c:pt idx="77">
                  <c:v>562.42512687842861</c:v>
                </c:pt>
                <c:pt idx="78">
                  <c:v>562.42534254250677</c:v>
                </c:pt>
                <c:pt idx="79">
                  <c:v>562.42551524660166</c:v>
                </c:pt>
                <c:pt idx="80">
                  <c:v>562.42565354826286</c:v>
                </c:pt>
                <c:pt idx="81">
                  <c:v>562.42576430039901</c:v>
                </c:pt>
                <c:pt idx="82">
                  <c:v>562.42585299083419</c:v>
                </c:pt>
                <c:pt idx="83">
                  <c:v>562.42592401422985</c:v>
                </c:pt>
                <c:pt idx="84">
                  <c:v>562.42598088983789</c:v>
                </c:pt>
                <c:pt idx="85">
                  <c:v>562.426026435881</c:v>
                </c:pt>
                <c:pt idx="86">
                  <c:v>562.42606290919616</c:v>
                </c:pt>
                <c:pt idx="87">
                  <c:v>562.4260921170611</c:v>
                </c:pt>
                <c:pt idx="88">
                  <c:v>562.4261155067461</c:v>
                </c:pt>
                <c:pt idx="89">
                  <c:v>562.42613423722707</c:v>
                </c:pt>
                <c:pt idx="90">
                  <c:v>562.4261492366129</c:v>
                </c:pt>
                <c:pt idx="91">
                  <c:v>562.42616124813424</c:v>
                </c:pt>
                <c:pt idx="92">
                  <c:v>562.42617086697101</c:v>
                </c:pt>
                <c:pt idx="93">
                  <c:v>562.42617856974391</c:v>
                </c:pt>
                <c:pt idx="94">
                  <c:v>562.42618473813104</c:v>
                </c:pt>
                <c:pt idx="95">
                  <c:v>562.42618967778083</c:v>
                </c:pt>
                <c:pt idx="96">
                  <c:v>562.42619363345648</c:v>
                </c:pt>
                <c:pt idx="97">
                  <c:v>562.42619680116513</c:v>
                </c:pt>
                <c:pt idx="98">
                  <c:v>562.42619933786875</c:v>
                </c:pt>
                <c:pt idx="99">
                  <c:v>562.42620136926325</c:v>
                </c:pt>
                <c:pt idx="100">
                  <c:v>562.4262029960056</c:v>
                </c:pt>
                <c:pt idx="101">
                  <c:v>562.42620429870226</c:v>
                </c:pt>
                <c:pt idx="102">
                  <c:v>562.42620534190291</c:v>
                </c:pt>
                <c:pt idx="103">
                  <c:v>562.42620617729892</c:v>
                </c:pt>
                <c:pt idx="104">
                  <c:v>562.42620684628457</c:v>
                </c:pt>
                <c:pt idx="105">
                  <c:v>562.42620738200901</c:v>
                </c:pt>
                <c:pt idx="106">
                  <c:v>562.42620781101755</c:v>
                </c:pt>
              </c:numCache>
            </c:numRef>
          </c:yVal>
          <c:smooth val="0"/>
        </c:ser>
        <c:ser>
          <c:idx val="10"/>
          <c:order val="8"/>
          <c:tx>
            <c:v>Au Cases</c:v>
          </c:tx>
          <c:spPr>
            <a:ln w="127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diamond"/>
            <c:size val="3"/>
            <c:spPr>
              <a:noFill/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1.5770383220312254</c:v>
                </c:pt>
                <c:pt idx="2">
                  <c:v>1.9712979025390318</c:v>
                </c:pt>
                <c:pt idx="3">
                  <c:v>1.9712979025390318</c:v>
                </c:pt>
                <c:pt idx="4">
                  <c:v>2.365557483046838</c:v>
                </c:pt>
                <c:pt idx="5">
                  <c:v>3.548336224570257</c:v>
                </c:pt>
                <c:pt idx="6">
                  <c:v>3.548336224570257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4.731114966093676</c:v>
                </c:pt>
                <c:pt idx="10">
                  <c:v>5.1253745466014822</c:v>
                </c:pt>
                <c:pt idx="11">
                  <c:v>5.1253745466014822</c:v>
                </c:pt>
                <c:pt idx="12">
                  <c:v>5.5196341271092884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5.9138937076170954</c:v>
                </c:pt>
                <c:pt idx="35">
                  <c:v>9.856489512695159</c:v>
                </c:pt>
                <c:pt idx="36">
                  <c:v>10.645008673710771</c:v>
                </c:pt>
                <c:pt idx="37">
                  <c:v>11.827787415234191</c:v>
                </c:pt>
                <c:pt idx="38">
                  <c:v>15.376123639804447</c:v>
                </c:pt>
                <c:pt idx="39">
                  <c:v>20.501498186405929</c:v>
                </c:pt>
                <c:pt idx="40">
                  <c:v>21.68427692792935</c:v>
                </c:pt>
                <c:pt idx="41">
                  <c:v>23.655574830468382</c:v>
                </c:pt>
                <c:pt idx="42">
                  <c:v>24.838353571991799</c:v>
                </c:pt>
                <c:pt idx="43">
                  <c:v>29.963728118593281</c:v>
                </c:pt>
                <c:pt idx="44">
                  <c:v>35.87762182621038</c:v>
                </c:pt>
                <c:pt idx="45">
                  <c:v>42.185775114335279</c:v>
                </c:pt>
                <c:pt idx="46">
                  <c:v>50.465226304999213</c:v>
                </c:pt>
                <c:pt idx="47">
                  <c:v>57.167639173631919</c:v>
                </c:pt>
                <c:pt idx="48">
                  <c:v>78.851916101561272</c:v>
                </c:pt>
                <c:pt idx="49">
                  <c:v>98.95915470745939</c:v>
                </c:pt>
                <c:pt idx="50">
                  <c:v>124.58602744046681</c:v>
                </c:pt>
                <c:pt idx="51">
                  <c:v>148.635861851443</c:v>
                </c:pt>
                <c:pt idx="52">
                  <c:v>179.78236871155968</c:v>
                </c:pt>
                <c:pt idx="53">
                  <c:v>223.93944172843399</c:v>
                </c:pt>
                <c:pt idx="54">
                  <c:v>279.92430216054248</c:v>
                </c:pt>
                <c:pt idx="55">
                  <c:v>345.76565210534613</c:v>
                </c:pt>
                <c:pt idx="56">
                  <c:v>423.04052988487621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myData!AuSeries</c:f>
              <c:strCache>
                <c:ptCount val="1"/>
                <c:pt idx="0">
                  <c:v>Australia Limit 81.4 M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myData!AuLogiDates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4"/>
                <c:pt idx="0">
                  <c:v>4.001834795999977E-3</c:v>
                </c:pt>
                <c:pt idx="1">
                  <c:v>4.9196740007116952E-3</c:v>
                </c:pt>
                <c:pt idx="2">
                  <c:v>6.048023845813994E-3</c:v>
                </c:pt>
                <c:pt idx="3">
                  <c:v>7.4351659142713198E-3</c:v>
                </c:pt>
                <c:pt idx="4">
                  <c:v>9.1404553920183401E-3</c:v>
                </c:pt>
                <c:pt idx="5">
                  <c:v>1.1236860849696837E-2</c:v>
                </c:pt>
                <c:pt idx="6">
                  <c:v>1.3814086535006024E-2</c:v>
                </c:pt>
                <c:pt idx="7">
                  <c:v>1.6982410777152023E-2</c:v>
                </c:pt>
                <c:pt idx="8">
                  <c:v>2.0877404746996477E-2</c:v>
                </c:pt>
                <c:pt idx="9">
                  <c:v>2.5665733486528199E-2</c:v>
                </c:pt>
                <c:pt idx="10">
                  <c:v>3.1552287431098301E-2</c:v>
                </c:pt>
                <c:pt idx="11">
                  <c:v>3.8788949579044392E-2</c:v>
                </c:pt>
                <c:pt idx="12">
                  <c:v>4.7685373451943111E-2</c:v>
                </c:pt>
                <c:pt idx="13">
                  <c:v>5.8622233029552141E-2</c:v>
                </c:pt>
                <c:pt idx="14">
                  <c:v>7.2067511618181382E-2</c:v>
                </c:pt>
                <c:pt idx="15">
                  <c:v>8.8596526645816395E-2</c:v>
                </c:pt>
                <c:pt idx="16">
                  <c:v>0.10891654723592653</c:v>
                </c:pt>
                <c:pt idx="17">
                  <c:v>0.13389705793479745</c:v>
                </c:pt>
                <c:pt idx="18">
                  <c:v>0.16460696356355856</c:v>
                </c:pt>
                <c:pt idx="19">
                  <c:v>0.20236032717361774</c:v>
                </c:pt>
                <c:pt idx="20">
                  <c:v>0.24877259821177924</c:v>
                </c:pt>
                <c:pt idx="21">
                  <c:v>0.30582973687253279</c:v>
                </c:pt>
                <c:pt idx="22">
                  <c:v>0.37597319243683186</c:v>
                </c:pt>
                <c:pt idx="23">
                  <c:v>0.46220437178129997</c:v>
                </c:pt>
                <c:pt idx="24">
                  <c:v>0.56821306821693096</c:v>
                </c:pt>
                <c:pt idx="25">
                  <c:v>0.69853534606730894</c:v>
                </c:pt>
                <c:pt idx="26">
                  <c:v>0.85874763679305799</c:v>
                </c:pt>
                <c:pt idx="27">
                  <c:v>1.055705351943278</c:v>
                </c:pt>
                <c:pt idx="28">
                  <c:v>1.2978362230670493</c:v>
                </c:pt>
                <c:pt idx="29">
                  <c:v>1.595500920456117</c:v>
                </c:pt>
                <c:pt idx="30">
                  <c:v>1.9614363814147033</c:v>
                </c:pt>
                <c:pt idx="31">
                  <c:v>2.4113008178466684</c:v>
                </c:pt>
                <c:pt idx="32">
                  <c:v>2.9643437237486605</c:v>
                </c:pt>
                <c:pt idx="33">
                  <c:v>3.6442295518665495</c:v>
                </c:pt>
                <c:pt idx="34">
                  <c:v>4.4800503041751645</c:v>
                </c:pt>
                <c:pt idx="35">
                  <c:v>5.5075703643307676</c:v>
                </c:pt>
                <c:pt idx="36">
                  <c:v>6.7707568377026259</c:v>
                </c:pt>
                <c:pt idx="37">
                  <c:v>8.3236608812212545</c:v>
                </c:pt>
                <c:pt idx="38">
                  <c:v>10.232730523811119</c:v>
                </c:pt>
                <c:pt idx="39">
                  <c:v>12.579653941212927</c:v>
                </c:pt>
                <c:pt idx="40">
                  <c:v>15.464854846526064</c:v>
                </c:pt>
                <c:pt idx="41">
                  <c:v>19.011789560966641</c:v>
                </c:pt>
                <c:pt idx="42">
                  <c:v>23.372229632006377</c:v>
                </c:pt>
                <c:pt idx="43">
                  <c:v>28.732756035876946</c:v>
                </c:pt>
                <c:pt idx="44">
                  <c:v>35.322742842594572</c:v>
                </c:pt>
                <c:pt idx="45">
                  <c:v>43.424171952100401</c:v>
                </c:pt>
                <c:pt idx="46">
                  <c:v>53.383698856299098</c:v>
                </c:pt>
                <c:pt idx="47">
                  <c:v>65.627485695330421</c:v>
                </c:pt>
                <c:pt idx="48">
                  <c:v>80.679436277356686</c:v>
                </c:pt>
                <c:pt idx="49">
                  <c:v>99.183613284025824</c:v>
                </c:pt>
                <c:pt idx="50">
                  <c:v>121.9317968140261</c:v>
                </c:pt>
                <c:pt idx="51">
                  <c:v>149.89736337703505</c:v>
                </c:pt>
                <c:pt idx="52">
                  <c:v>184.27693484571105</c:v>
                </c:pt>
                <c:pt idx="53">
                  <c:v>226.54157926494975</c:v>
                </c:pt>
                <c:pt idx="54">
                  <c:v>278.49975401421847</c:v>
                </c:pt>
                <c:pt idx="55">
                  <c:v>342.3746840827896</c:v>
                </c:pt>
                <c:pt idx="56">
                  <c:v>420.89948560855566</c:v>
                </c:pt>
                <c:pt idx="57">
                  <c:v>517.43410371811296</c:v>
                </c:pt>
                <c:pt idx="58">
                  <c:v>636.1090664878709</c:v>
                </c:pt>
                <c:pt idx="59">
                  <c:v>782.00220332534184</c:v>
                </c:pt>
                <c:pt idx="60">
                  <c:v>961.35588513604432</c:v>
                </c:pt>
                <c:pt idx="61">
                  <c:v>1181.8440753342218</c:v>
                </c:pt>
                <c:pt idx="62">
                  <c:v>1452.9006087899759</c:v>
                </c:pt>
                <c:pt idx="63">
                  <c:v>1786.1227306598844</c:v>
                </c:pt>
                <c:pt idx="64">
                  <c:v>2195.7671397358358</c:v>
                </c:pt>
                <c:pt idx="65">
                  <c:v>2699.3597276148585</c:v>
                </c:pt>
                <c:pt idx="66">
                  <c:v>3318.4450525186335</c:v>
                </c:pt>
                <c:pt idx="67">
                  <c:v>14080.478014488101</c:v>
                </c:pt>
                <c:pt idx="68">
                  <c:v>59719.203690933333</c:v>
                </c:pt>
                <c:pt idx="69">
                  <c:v>252826.18832696462</c:v>
                </c:pt>
                <c:pt idx="70" formatCode="0.00E+00">
                  <c:v>1062207.3421253909</c:v>
                </c:pt>
                <c:pt idx="71" formatCode="0.00E+00">
                  <c:v>4324617.0653958321</c:v>
                </c:pt>
                <c:pt idx="72" formatCode="0.00E+00">
                  <c:v>15654764.107485486</c:v>
                </c:pt>
                <c:pt idx="73" formatCode="0.00E+00">
                  <c:v>40913914.11015825</c:v>
                </c:pt>
                <c:pt idx="74" formatCode="0.00E+00">
                  <c:v>66013334.181886084</c:v>
                </c:pt>
                <c:pt idx="75" formatCode="0.00E+00">
                  <c:v>77168995.464638099</c:v>
                </c:pt>
                <c:pt idx="76" formatCode="0.00E+00">
                  <c:v>80369471.486134887</c:v>
                </c:pt>
                <c:pt idx="77" formatCode="0.00E+00">
                  <c:v>81162681.027903005</c:v>
                </c:pt>
                <c:pt idx="78" formatCode="0.00E+00">
                  <c:v>81351882.38114959</c:v>
                </c:pt>
                <c:pt idx="79" formatCode="0.00E+00">
                  <c:v>81396595.391286746</c:v>
                </c:pt>
                <c:pt idx="80" formatCode="0.00E+00">
                  <c:v>81407138.983679876</c:v>
                </c:pt>
                <c:pt idx="81" formatCode="0.00E+00">
                  <c:v>81409623.935262606</c:v>
                </c:pt>
                <c:pt idx="82" formatCode="0.00E+00">
                  <c:v>81410209.525902465</c:v>
                </c:pt>
                <c:pt idx="83" formatCode="0.00E+00">
                  <c:v>81410347.519139007</c:v>
                </c:pt>
                <c:pt idx="84" formatCode="0.00E+00">
                  <c:v>81410380.036742032</c:v>
                </c:pt>
                <c:pt idx="85" formatCode="0.00E+00">
                  <c:v>81410387.699384362</c:v>
                </c:pt>
                <c:pt idx="86" formatCode="0.00E+00">
                  <c:v>81410389.505054504</c:v>
                </c:pt>
                <c:pt idx="87" formatCode="0.00E+00">
                  <c:v>81410389.930553213</c:v>
                </c:pt>
                <c:pt idx="88" formatCode="0.00E+00">
                  <c:v>81410390.030820221</c:v>
                </c:pt>
                <c:pt idx="89" formatCode="0.00E+00">
                  <c:v>81410390.05444774</c:v>
                </c:pt>
                <c:pt idx="90" formatCode="0.00E+00">
                  <c:v>81410390.060015455</c:v>
                </c:pt>
                <c:pt idx="91" formatCode="0.00E+00">
                  <c:v>81410390.061327457</c:v>
                </c:pt>
                <c:pt idx="92" formatCode="0.00E+00">
                  <c:v>81410390.061636627</c:v>
                </c:pt>
                <c:pt idx="93" formatCode="0.00E+00">
                  <c:v>81410390.061709493</c:v>
                </c:pt>
                <c:pt idx="94" formatCode="0.00E+00">
                  <c:v>81410390.06172666</c:v>
                </c:pt>
                <c:pt idx="95" formatCode="0.00E+00">
                  <c:v>81410390.061730698</c:v>
                </c:pt>
                <c:pt idx="96" formatCode="0.00E+00">
                  <c:v>81410390.061731666</c:v>
                </c:pt>
                <c:pt idx="97" formatCode="0.00E+00">
                  <c:v>81410390.061731875</c:v>
                </c:pt>
                <c:pt idx="98" formatCode="0.00E+00">
                  <c:v>81410390.061731935</c:v>
                </c:pt>
                <c:pt idx="99" formatCode="0.00E+00">
                  <c:v>81410390.061731949</c:v>
                </c:pt>
                <c:pt idx="100" formatCode="0.00E+00">
                  <c:v>81410390.061731949</c:v>
                </c:pt>
                <c:pt idx="101" formatCode="0.00E+00">
                  <c:v>81410390.061731949</c:v>
                </c:pt>
                <c:pt idx="102" formatCode="0.00E+00">
                  <c:v>81410390.061731949</c:v>
                </c:pt>
                <c:pt idx="103" formatCode="0.00E+00">
                  <c:v>81410390.061731949</c:v>
                </c:pt>
              </c:numCache>
            </c:numRef>
          </c:yVal>
          <c:smooth val="0"/>
        </c:ser>
        <c:ser>
          <c:idx val="8"/>
          <c:order val="10"/>
          <c:tx>
            <c:v>Pop Limit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myData!$CY$11:$CY$12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myData!$DA$11:$DA$12</c:f>
              <c:numCache>
                <c:formatCode>0.00000E+00</c:formatCode>
                <c:ptCount val="2"/>
                <c:pt idx="0">
                  <c:v>10000000</c:v>
                </c:pt>
                <c:pt idx="1">
                  <c:v>10000000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1682456"/>
        <c:axId val="751677752"/>
      </c:scatterChart>
      <c:valAx>
        <c:axId val="751682456"/>
        <c:scaling>
          <c:orientation val="minMax"/>
          <c:max val="43947"/>
          <c:min val="4384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677752"/>
        <c:crossesAt val="1.0000000000000002E-2"/>
        <c:crossBetween val="midCat"/>
        <c:majorUnit val="14"/>
        <c:minorUnit val="7"/>
      </c:valAx>
      <c:valAx>
        <c:axId val="751677752"/>
        <c:scaling>
          <c:logBase val="10"/>
          <c:orientation val="minMax"/>
          <c:max val="1000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682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6219883517796521"/>
          <c:y val="0.82106511438545426"/>
          <c:w val="0.43780116768655969"/>
          <c:h val="0.14433720537408071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6"/>
  <sheetViews>
    <sheetView zoomScale="85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17"/>
  <sheetViews>
    <sheetView zoomScale="95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14"/>
  <sheetViews>
    <sheetView zoomScale="98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13"/>
  <sheetViews>
    <sheetView zoomScale="98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12"/>
  <sheetViews>
    <sheetView zoomScale="98" workbookViewId="0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7"/>
  <sheetViews>
    <sheetView zoomScale="98" workbookViewId="0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Chart1"/>
  <sheetViews>
    <sheetView zoomScale="85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 codeName="Chart4"/>
  <sheetViews>
    <sheetView zoomScale="85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>
  <sheetPr codeName="Chart2"/>
  <sheetViews>
    <sheetView zoomScale="85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>
  <sheetPr codeName="Chart3"/>
  <sheetViews>
    <sheetView zoomScale="85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>
  <sheetPr codeName="Chart5"/>
  <sheetViews>
    <sheetView zoomScale="98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>
  <sheetPr codeName="Chart6"/>
  <sheetViews>
    <sheetView zoomScale="98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>
  <sheetPr codeName="Chart8"/>
  <sheetViews>
    <sheetView zoomScale="98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>
  <sheetPr codeName="Chart9"/>
  <sheetViews>
    <sheetView zoomScale="98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>
  <sheetPr codeName="Chart11"/>
  <sheetViews>
    <sheetView zoomScale="98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>
  <sheetPr codeName="Chart10"/>
  <sheetViews>
    <sheetView zoomScale="9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gif"/><Relationship Id="rId3" Type="http://schemas.openxmlformats.org/officeDocument/2006/relationships/image" Target="../media/image4.gif"/><Relationship Id="rId7" Type="http://schemas.openxmlformats.org/officeDocument/2006/relationships/image" Target="../media/image8.gif"/><Relationship Id="rId2" Type="http://schemas.openxmlformats.org/officeDocument/2006/relationships/image" Target="../media/image3.gif"/><Relationship Id="rId1" Type="http://schemas.openxmlformats.org/officeDocument/2006/relationships/image" Target="../media/image2.gif"/><Relationship Id="rId6" Type="http://schemas.openxmlformats.org/officeDocument/2006/relationships/image" Target="../media/image7.gif"/><Relationship Id="rId5" Type="http://schemas.openxmlformats.org/officeDocument/2006/relationships/image" Target="../media/image6.gif"/><Relationship Id="rId4" Type="http://schemas.openxmlformats.org/officeDocument/2006/relationships/image" Target="../media/image5.gif"/><Relationship Id="rId9" Type="http://schemas.openxmlformats.org/officeDocument/2006/relationships/image" Target="../media/image10.gi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62</xdr:col>
      <xdr:colOff>5521</xdr:colOff>
      <xdr:row>54</xdr:row>
      <xdr:rowOff>107056</xdr:rowOff>
    </xdr:from>
    <xdr:to>
      <xdr:col>73</xdr:col>
      <xdr:colOff>57592</xdr:colOff>
      <xdr:row>79</xdr:row>
      <xdr:rowOff>116696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161925</xdr:rowOff>
        </xdr:from>
        <xdr:to>
          <xdr:col>1</xdr:col>
          <xdr:colOff>561975</xdr:colOff>
          <xdr:row>5</xdr:row>
          <xdr:rowOff>171450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GetJHConfirmed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4</xdr:row>
          <xdr:rowOff>19050</xdr:rowOff>
        </xdr:from>
        <xdr:to>
          <xdr:col>2</xdr:col>
          <xdr:colOff>171450</xdr:colOff>
          <xdr:row>5</xdr:row>
          <xdr:rowOff>180975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SolveAll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0.55717</cdr:x>
      <cdr:y>0.09165</cdr:y>
    </cdr:from>
    <cdr:to>
      <cdr:x>0.95197</cdr:x>
      <cdr:y>0.63696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78558" y="556861"/>
          <a:ext cx="3669427" cy="3313297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9554" cy="607785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0.54031</cdr:x>
      <cdr:y>0.2727</cdr:y>
    </cdr:from>
    <cdr:to>
      <cdr:x>0.98315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276702" y="1410425"/>
          <a:ext cx="3505201" cy="3761650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309554" cy="607785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0.54031</cdr:x>
      <cdr:y>0.2727</cdr:y>
    </cdr:from>
    <cdr:to>
      <cdr:x>0.98315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276702" y="1410425"/>
          <a:ext cx="3505201" cy="3761650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1454" cy="607461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0.55717</cdr:x>
      <cdr:y>0.09165</cdr:y>
    </cdr:from>
    <cdr:to>
      <cdr:x>0.95197</cdr:x>
      <cdr:y>0.74006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88370" y="557679"/>
          <a:ext cx="3676412" cy="394544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0.09811</cdr:x>
      <cdr:y>0.23487</cdr:y>
    </cdr:from>
    <cdr:to>
      <cdr:x>0.2016</cdr:x>
      <cdr:y>0.33616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894314" y="1398210"/>
          <a:ext cx="943356" cy="602993"/>
        </a:xfrm>
        <a:prstGeom xmlns:a="http://schemas.openxmlformats.org/drawingml/2006/main" prst="wedgeRectCallout">
          <a:avLst>
            <a:gd name="adj1" fmla="val 72206"/>
            <a:gd name="adj2" fmla="val -190614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/>
            <a:t>Entire Population Infected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1454" cy="607461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0.55717</cdr:x>
      <cdr:y>0.09165</cdr:y>
    </cdr:from>
    <cdr:to>
      <cdr:x>0.95197</cdr:x>
      <cdr:y>0.74006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88370" y="557679"/>
          <a:ext cx="3676412" cy="394544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0.09811</cdr:x>
      <cdr:y>0.23487</cdr:y>
    </cdr:from>
    <cdr:to>
      <cdr:x>0.2016</cdr:x>
      <cdr:y>0.33616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913653" y="1429124"/>
          <a:ext cx="963705" cy="616324"/>
        </a:xfrm>
        <a:prstGeom xmlns:a="http://schemas.openxmlformats.org/drawingml/2006/main" prst="wedgeRectCallout">
          <a:avLst>
            <a:gd name="adj1" fmla="val 91782"/>
            <a:gd name="adj2" fmla="val -108409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/>
            <a:t>Entire Population Infected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2</xdr:col>
          <xdr:colOff>38100</xdr:colOff>
          <xdr:row>3</xdr:row>
          <xdr:rowOff>57150</xdr:rowOff>
        </xdr:to>
        <xdr:sp macro="" textlink="">
          <xdr:nvSpPr>
            <xdr:cNvPr id="11266" name="CreateChartIndex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</a:rPr>
                <a:t>Create Chart Index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333500"/>
          <a:ext cx="60960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5720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0010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1</xdr:col>
      <xdr:colOff>0</xdr:colOff>
      <xdr:row>23</xdr:row>
      <xdr:rowOff>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12395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1</xdr:col>
      <xdr:colOff>0</xdr:colOff>
      <xdr:row>26</xdr:row>
      <xdr:rowOff>0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44780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</xdr:col>
      <xdr:colOff>0</xdr:colOff>
      <xdr:row>29</xdr:row>
      <xdr:rowOff>0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177165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1</xdr:col>
      <xdr:colOff>0</xdr:colOff>
      <xdr:row>32</xdr:row>
      <xdr:rowOff>0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211455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1</xdr:col>
      <xdr:colOff>0</xdr:colOff>
      <xdr:row>35</xdr:row>
      <xdr:rowOff>0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24384000"/>
          <a:ext cx="609600" cy="2857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</xdr:col>
      <xdr:colOff>0</xdr:colOff>
      <xdr:row>38</xdr:row>
      <xdr:rowOff>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27813000"/>
          <a:ext cx="609600" cy="5715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0.5367</cdr:x>
      <cdr:y>0.17525</cdr:y>
    </cdr:from>
    <cdr:to>
      <cdr:x>0.97954</cdr:x>
      <cdr:y>0.90255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997797" y="1066363"/>
          <a:ext cx="4123765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0.62936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860676" y="786216"/>
          <a:ext cx="3294503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0.53429</cdr:x>
      <cdr:y>0.1863</cdr:y>
    </cdr:from>
    <cdr:to>
      <cdr:x>0.97713</cdr:x>
      <cdr:y>0.9136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975384" y="1133598"/>
          <a:ext cx="4123765" cy="442547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0.10229</cdr:x>
      <cdr:y>0.32965</cdr:y>
    </cdr:from>
    <cdr:to>
      <cdr:x>0.20578</cdr:x>
      <cdr:y>0.43094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952501" y="2005852"/>
          <a:ext cx="963705" cy="616324"/>
        </a:xfrm>
        <a:prstGeom xmlns:a="http://schemas.openxmlformats.org/drawingml/2006/main" prst="wedgeRectCallout">
          <a:avLst>
            <a:gd name="adj1" fmla="val 91782"/>
            <a:gd name="adj2" fmla="val -108409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/>
            <a:t>Entire Population Infected</a:t>
          </a:r>
        </a:p>
      </cdr:txBody>
    </cdr:sp>
  </cdr:relSizeAnchor>
  <cdr:relSizeAnchor xmlns:cdr="http://schemas.openxmlformats.org/drawingml/2006/chartDrawing">
    <cdr:from>
      <cdr:x>0.07461</cdr:x>
      <cdr:y>0.27072</cdr:y>
    </cdr:from>
    <cdr:to>
      <cdr:x>0.51625</cdr:x>
      <cdr:y>0.27256</cdr:y>
    </cdr:to>
    <cdr:cxnSp macro="">
      <cdr:nvCxnSpPr>
        <cdr:cNvPr id="5" name="Straight Connector 4"/>
        <cdr:cNvCxnSpPr/>
      </cdr:nvCxnSpPr>
      <cdr:spPr>
        <a:xfrm xmlns:a="http://schemas.openxmlformats.org/drawingml/2006/main" flipV="1">
          <a:off x="694765" y="1647265"/>
          <a:ext cx="4112559" cy="11206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rgbClr val="FF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1454" cy="607461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0.58306</cdr:x>
      <cdr:y>0.16426</cdr:y>
    </cdr:from>
    <cdr:to>
      <cdr:x>0.97786</cdr:x>
      <cdr:y>0.81267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48230" y="948118"/>
          <a:ext cx="3485956" cy="37427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0.72163</cdr:x>
      <cdr:y>0.9505</cdr:y>
    </cdr:from>
    <cdr:to>
      <cdr:x>0.97087</cdr:x>
      <cdr:y>0.99505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6707114" y="5775188"/>
          <a:ext cx="2316535" cy="270683"/>
        </a:xfrm>
        <a:prstGeom xmlns:a="http://schemas.openxmlformats.org/drawingml/2006/main" prst="wedgeRectCallout">
          <a:avLst>
            <a:gd name="adj1" fmla="val 31552"/>
            <a:gd name="adj2" fmla="val -88824"/>
          </a:avLst>
        </a:prstGeom>
        <a:solidFill xmlns:a="http://schemas.openxmlformats.org/drawingml/2006/main">
          <a:schemeClr val="accent4">
            <a:lumMod val="20000"/>
            <a:lumOff val="80000"/>
            <a:alpha val="25000"/>
          </a:schemeClr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>
              <a:solidFill>
                <a:srgbClr val="FF0000"/>
              </a:solidFill>
            </a:rPr>
            <a:t>Entire Population Infected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AlternateStartup" Target="perso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stRefs"/>
    </sheetNames>
    <definedNames>
      <definedName name="CreateChartIndex"/>
    </definedNames>
    <sheetDataSet>
      <sheetData sheetId="0"/>
      <sheetData sheetId="1"/>
    </sheetDataSet>
  </externalBook>
</externalLink>
</file>

<file path=xl/tables/table1.xml><?xml version="1.0" encoding="utf-8"?>
<table xmlns="http://schemas.openxmlformats.org/spreadsheetml/2006/main" id="1" name="tblData" displayName="tblData" ref="B10:BH117" totalsRowShown="0" headerRowDxfId="42">
  <autoFilter ref="B10:BH117"/>
  <tableColumns count="59">
    <tableColumn id="1" name="Date" dataDxfId="41"/>
    <tableColumn id="3" name="From Diamond Princess"/>
    <tableColumn id="12" name="Australian Capital Territory"/>
    <tableColumn id="4" name="New South Wales"/>
    <tableColumn id="5" name="Northern Territory"/>
    <tableColumn id="6" name="Queensland"/>
    <tableColumn id="7" name="South Australia"/>
    <tableColumn id="8" name="Tasmania"/>
    <tableColumn id="9" name="Victoria"/>
    <tableColumn id="10" name="Western Australia"/>
    <tableColumn id="37" name="NSW Cases per Capita" dataDxfId="40">
      <calculatedColumnFormula>tblData[[#This Row],[New South Wales]]/$L$9</calculatedColumnFormula>
    </tableColumn>
    <tableColumn id="27" name="Italy"/>
    <tableColumn id="38" name="Italy Cases per Capita" dataDxfId="39">
      <calculatedColumnFormula>IF(ISNUMBER(tblData[Italy]),tblData[Italy]/$N$9,"")</calculatedColumnFormula>
    </tableColumn>
    <tableColumn id="28" name="US"/>
    <tableColumn id="39" name="US Cases Per Capita" dataDxfId="38">
      <calculatedColumnFormula>IF(ISNUMBER(tblData[US]),tblData[US]/$P$9,"")</calculatedColumnFormula>
    </tableColumn>
    <tableColumn id="49" name="SKorea" dataDxfId="37"/>
    <tableColumn id="50" name="SKorea Cases Per Capita" dataDxfId="36">
      <calculatedColumnFormula>IF(ISNUMBER(tblData[SKorea]),tblData[SKorea]/$R$9,"")</calculatedColumnFormula>
    </tableColumn>
    <tableColumn id="51" name="UK" dataDxfId="35"/>
    <tableColumn id="52" name="UK Cases Per Capita" dataDxfId="34">
      <calculatedColumnFormula>IF(ISNUMBER(tblData[UK]),tblData[UK]/$T$9,"")</calculatedColumnFormula>
    </tableColumn>
    <tableColumn id="31" name="China"/>
    <tableColumn id="40" name="China Cases Per Capita" dataDxfId="33">
      <calculatedColumnFormula>IF(ISNUMBER(tblData[China]),tblData[China]/$V$9,"")</calculatedColumnFormula>
    </tableColumn>
    <tableColumn id="11" name="Days# Italy">
      <calculatedColumnFormula>IF($B11&lt;BM$13,"",$B11-BM$13)</calculatedColumnFormula>
    </tableColumn>
    <tableColumn id="26" name="Days# US"/>
    <tableColumn id="32" name="Days# China"/>
    <tableColumn id="54" name="Days# Skorea" dataDxfId="32">
      <calculatedColumnFormula>IF(tblData[[#This Row],[Date]]&lt;StartDt2Korea,"",tblData[[#This Row],[Date]]-StartDt2Korea)</calculatedColumnFormula>
    </tableColumn>
    <tableColumn id="53" name="Days# UK" dataDxfId="31">
      <calculatedColumnFormula>IF(tblData[[#This Row],[Date]]&lt;UKStart,"",tblData[[#This Row],[Date]]-UKStart)</calculatedColumnFormula>
    </tableColumn>
    <tableColumn id="13" name="Day# Aust" dataDxfId="30">
      <calculatedColumnFormula>IF(tblData[Date]&gt;=StartDt2Au,tblData[Date]-StartDt2Au,"")</calculatedColumnFormula>
    </tableColumn>
    <tableColumn id="14" name="Au">
      <calculatedColumnFormula>SUM(C11:K11)</calculatedColumnFormula>
    </tableColumn>
    <tableColumn id="42" name="Au Cases Per Capita" dataDxfId="29">
      <calculatedColumnFormula>IF(ISNUMBER(tblData[Au]),tblData[Au]/$AA$9,"")</calculatedColumnFormula>
    </tableColumn>
    <tableColumn id="19" name="Au LogiP(t)" dataDxfId="28">
      <calculatedColumnFormula>IF(ISNUMBER(tblData[[#This Row],[Day'# Aust]]),betaAu/(deltaAu+betaPodeltaAu*EXP(-betaAu*tblData[[#This Row],[Day'# Aust]])),"")</calculatedColumnFormula>
    </tableColumn>
    <tableColumn id="47" name="Au LogiP(t) Per Capita" dataDxfId="27">
      <calculatedColumnFormula>IF(ISNUMBER(tblData[Day'# Aust]),tblData[Au LogiP(t)]/$AD$9,"")</calculatedColumnFormula>
    </tableColumn>
    <tableColumn id="48" name="AU Sq Err" dataDxfId="26">
      <calculatedColumnFormula>IF(AND(tblData[Date]&gt;=StartDt2Au,ISNUMBER(tblData[NSW])),(tblData[[#This Row],[Au LogiP(t)]]-tblData[[#This Row],[Au]])^2,"")</calculatedColumnFormula>
    </tableColumn>
    <tableColumn id="15" name="Day # NSW" dataDxfId="25">
      <calculatedColumnFormula>IF(tblData[Date]&gt;StartDt2NSW,tblData[Date]-StartDt2NSW,"")</calculatedColumnFormula>
    </tableColumn>
    <tableColumn id="16" name="NSW">
      <calculatedColumnFormula>E11</calculatedColumnFormula>
    </tableColumn>
    <tableColumn id="17" name="NSW LogiP(t)" dataDxfId="24">
      <calculatedColumnFormula>IF(tblData[Date]&gt;StartDt2NSW,betaNSW/(deltaNSW+betaPodeltaNSW*EXP(-betaNSW*tblData[[#This Row],[Day '# NSW]])),"")</calculatedColumnFormula>
    </tableColumn>
    <tableColumn id="18" name="NSW Sq Err" dataDxfId="23">
      <calculatedColumnFormula>IF(AND(ISNUMBER(tblData[NSW]),tblData[Date]&gt;StartDt2NSW),(tblData[[#This Row],[NSW LogiP(t)]]-tblData[[#This Row],[NSW]])^2,"")</calculatedColumnFormula>
    </tableColumn>
    <tableColumn id="43" name="Nsw LogiP(t) Per Capita" dataDxfId="22">
      <calculatedColumnFormula>IF(AND(tblData[Date]&gt;StartDt2NSW,ISNUMBER(tblData[Day'# Aust])),tblData[NSW LogiP(t)]/$AG$9,"")</calculatedColumnFormula>
    </tableColumn>
    <tableColumn id="20" name="Italy LogiP(t)" dataDxfId="21">
      <calculatedColumnFormula>IF(AND(tblData[Date]&gt;StartDt2Italy,ISNUMBER(tblData[Days'# Italy])),betaItaly/(deltaItaly+betaPodeltaItaly*EXP(-betaItaly*tblData[Days'# Italy])),"")</calculatedColumnFormula>
    </tableColumn>
    <tableColumn id="21" name="Italy Sq Err" dataDxfId="20">
      <calculatedColumnFormula>IF(AND(tblData[Date]&gt;StartDt2Italy,ISNUMBER(tblData[Italy])),(tblData[[#This Row],[Italy LogiP(t)]]-tblData[[#This Row],[Italy]])^2,"")</calculatedColumnFormula>
    </tableColumn>
    <tableColumn id="44" name="Italy LogiP(t) Per Capita" dataDxfId="19">
      <calculatedColumnFormula>IF(AND(tblData[Date]&gt;StartDt2Italy,ISNUMBER(tblData[Days'# Italy])),tblData[[#This Row],[Italy LogiP(t)]]/$AM$9,"")</calculatedColumnFormula>
    </tableColumn>
    <tableColumn id="29" name="US LogiP(t)" dataDxfId="18">
      <calculatedColumnFormula>betaUS/(deltaUS+betaPodeltaUS*EXP(-betaUS*tblData[Days'# US]))</calculatedColumnFormula>
    </tableColumn>
    <tableColumn id="30" name="US Sq Err" dataDxfId="17">
      <calculatedColumnFormula>IF(ISNUMBER(tblData[US]),(tblData[[#This Row],[US LogiP(t)]]-tblData[US])^2,"")</calculatedColumnFormula>
    </tableColumn>
    <tableColumn id="46" name="US LogiP(t) Per Capita" dataDxfId="16">
      <calculatedColumnFormula>IF(ISNUMBER(tblData[[#This Row],[Days'# US]]),tblData[[#This Row],[US LogiP(t)]]/$AP$9,"")</calculatedColumnFormula>
    </tableColumn>
    <tableColumn id="41" name="SKorea LogiP(t)" dataDxfId="15">
      <calculatedColumnFormula>IF(tblData[Date]&gt;=StartDt2Korea,betaSKorea/(deltaSKorea+betaPodeltaSKorea*EXP(-betaSKorea*(tblData[Date]-StartDt2Korea))),"")</calculatedColumnFormula>
    </tableColumn>
    <tableColumn id="55" name="Skorea Sq Err" dataDxfId="14">
      <calculatedColumnFormula>IF(AND(tblData[Date]&gt;=StartDt2Korea,ISNUMBER(tblData[SKorea])),(tblData[[#This Row],[SKorea LogiP(t)]]-tblData[[#This Row],[SKorea]])^2,"")</calculatedColumnFormula>
    </tableColumn>
    <tableColumn id="56" name="Skorea LogiP(t) Per Capita" dataDxfId="13">
      <calculatedColumnFormula>IF(tblData[Date]&gt;=StartDt2Korea,tblData[[#This Row],[SKorea LogiP(t)]]/$AS$9,"")</calculatedColumnFormula>
    </tableColumn>
    <tableColumn id="57" name="UK LogiP(t)" dataDxfId="12">
      <calculatedColumnFormula>IF(ISNUMBER(tblData[Days'# UK]),betaUK/(deltaUK+betaPodeltaUK*EXP(-betaUK*tblData[Days'# UK])),"")</calculatedColumnFormula>
    </tableColumn>
    <tableColumn id="58" name="UK Sq Err" dataDxfId="11">
      <calculatedColumnFormula>IF(ISNUMBER(tblData[UK]),(tblData[[#This Row],[UK LogiP(t)]]-tblData[[#This Row],[UK]])^2,"")</calculatedColumnFormula>
    </tableColumn>
    <tableColumn id="59" name="UK LogiP(t) Per Capita" dataDxfId="10">
      <calculatedColumnFormula>IF(ISNUMBER(tblData[Days'# UK]),tblData[[#This Row],[UK LogiP(t)]]/$AV$9,"")</calculatedColumnFormula>
    </tableColumn>
    <tableColumn id="34" name="China LogiP(t)" dataDxfId="9">
      <calculatedColumnFormula>IF(ISNUMBER(tblData[Days'# China]),betaChina/(deltaChina+betaPodeltaChina*EXP(-betaChina*tblData[Days'# China])),"")</calculatedColumnFormula>
    </tableColumn>
    <tableColumn id="33" name="China Sq Err" dataDxfId="8">
      <calculatedColumnFormula>IF(ISNUMBER(tblData[China]),(tblData[[#This Row],[China LogiP(t)]]-tblData[[#This Row],[China]])^2,"")</calculatedColumnFormula>
    </tableColumn>
    <tableColumn id="45" name="China LogiP(t) Per Capita" dataDxfId="7">
      <calculatedColumnFormula>tblData[[#This Row],[China LogiP(t)]]/$AY$9</calculatedColumnFormula>
    </tableColumn>
    <tableColumn id="22" name="NSW Number of Tests" dataDxfId="6"/>
    <tableColumn id="23" name="NSW Under Investigation'" dataDxfId="5"/>
    <tableColumn id="24" name="Increase NSW Tests/Day " dataDxfId="4">
      <calculatedColumnFormula>IF(ISNUMBER(tblData[[#This Row],[NSW Number of Tests]]),tblData[[#This Row],[NSW Number of Tests]]-BB10,"")</calculatedColumnFormula>
    </tableColumn>
    <tableColumn id="25" name="IncreasNSW Investig" dataDxfId="3">
      <calculatedColumnFormula>IF(ISNUMBER(tblData[[#This Row],[NSW Under Investigation'']]),tblData[[#This Row],[NSW Under Investigation'']]-BC10,"")</calculatedColumnFormula>
    </tableColumn>
    <tableColumn id="36" name="NSW Test Day Number" dataDxfId="2"/>
    <tableColumn id="2" name="NSW Test Logi" dataDxfId="1">
      <calculatedColumnFormula>IF(ISNUMBER(tblData[[#This Row],[NSW Test Day Number]]),betaTest/(deltaTest+betaPodeltaTest*EXP(-betaTest*tblData[[#This Row],[NSW Test Day Number]])),"")</calculatedColumnFormula>
    </tableColumn>
    <tableColumn id="35" name="NSW Test Sq Err" dataDxfId="0">
      <calculatedColumnFormula>IF(ISNUMBER(tblData[[#This Row],[NSW Number of Tests]]),(tblData[[#This Row],[NSW Number of Tests]]-tblData[[#This Row],[NSW Test Logi]])^2,"")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hyperlink" Target="https://www.health.nsw.gov.au/news/Pages/20200312_00.aspx" TargetMode="External"/><Relationship Id="rId1" Type="http://schemas.openxmlformats.org/officeDocument/2006/relationships/hyperlink" Target="https://www.health.gov.au/news/health-alerts/novel-coronavirus-2019-ncov-health-alert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Q129"/>
  <sheetViews>
    <sheetView tabSelected="1" zoomScaleNormal="100" workbookViewId="0">
      <pane xSplit="2" ySplit="10" topLeftCell="C64" activePane="bottomRight" state="frozen"/>
      <selection pane="topRight" activeCell="C1" sqref="C1"/>
      <selection pane="bottomLeft" activeCell="A11" sqref="A11"/>
      <selection pane="bottomRight" activeCell="Y70" sqref="Y70"/>
    </sheetView>
  </sheetViews>
  <sheetFormatPr defaultRowHeight="15" x14ac:dyDescent="0.25"/>
  <cols>
    <col min="1" max="1" width="12.28515625" bestFit="1" customWidth="1"/>
    <col min="2" max="2" width="22.42578125" customWidth="1"/>
    <col min="3" max="3" width="13.28515625" customWidth="1"/>
    <col min="4" max="4" width="21.42578125" customWidth="1"/>
    <col min="5" max="5" width="15" customWidth="1"/>
    <col min="6" max="6" width="24.140625" customWidth="1"/>
    <col min="7" max="7" width="23.140625" customWidth="1"/>
    <col min="8" max="8" width="8.7109375" customWidth="1"/>
    <col min="9" max="9" width="14.85546875" customWidth="1"/>
    <col min="10" max="10" width="15.7109375" customWidth="1"/>
    <col min="11" max="11" width="8.7109375" customWidth="1"/>
    <col min="12" max="12" width="14.140625" customWidth="1"/>
    <col min="13" max="13" width="13.85546875" bestFit="1" customWidth="1"/>
    <col min="14" max="14" width="10.5703125" customWidth="1"/>
    <col min="15" max="15" width="9.28515625" customWidth="1"/>
    <col min="16" max="16" width="10.7109375" customWidth="1"/>
    <col min="17" max="17" width="10.85546875" customWidth="1"/>
    <col min="18" max="18" width="15.140625" customWidth="1"/>
    <col min="19" max="19" width="12.42578125" customWidth="1"/>
    <col min="20" max="20" width="11.42578125" bestFit="1" customWidth="1"/>
    <col min="21" max="21" width="15" customWidth="1"/>
    <col min="22" max="23" width="11.42578125" bestFit="1" customWidth="1"/>
    <col min="24" max="24" width="19.42578125" bestFit="1" customWidth="1"/>
    <col min="25" max="25" width="14.85546875" customWidth="1"/>
    <col min="26" max="26" width="18" customWidth="1"/>
    <col min="27" max="27" width="15.5703125" customWidth="1"/>
    <col min="28" max="29" width="12.28515625" bestFit="1" customWidth="1"/>
    <col min="30" max="30" width="14.5703125" customWidth="1"/>
    <col min="31" max="31" width="15" customWidth="1"/>
    <col min="32" max="32" width="12.28515625" bestFit="1" customWidth="1"/>
    <col min="33" max="33" width="16" customWidth="1"/>
    <col min="34" max="34" width="12.28515625" bestFit="1" customWidth="1"/>
    <col min="35" max="35" width="12.7109375" bestFit="1" customWidth="1"/>
    <col min="36" max="36" width="19.5703125" style="26" customWidth="1"/>
    <col min="37" max="37" width="15.42578125" customWidth="1"/>
    <col min="38" max="45" width="12.7109375" bestFit="1" customWidth="1"/>
    <col min="46" max="46" width="13.85546875" customWidth="1"/>
    <col min="47" max="52" width="11.42578125" bestFit="1" customWidth="1"/>
    <col min="53" max="53" width="12.28515625" bestFit="1" customWidth="1"/>
    <col min="54" max="54" width="12.85546875" customWidth="1"/>
    <col min="56" max="56" width="16.5703125" customWidth="1"/>
    <col min="58" max="58" width="10.7109375" bestFit="1" customWidth="1"/>
    <col min="59" max="59" width="14" customWidth="1"/>
    <col min="63" max="63" width="14.5703125" customWidth="1"/>
    <col min="64" max="64" width="16.85546875" style="26" customWidth="1"/>
    <col min="65" max="65" width="10.7109375" bestFit="1" customWidth="1"/>
    <col min="66" max="66" width="10.7109375" style="26" customWidth="1"/>
    <col min="69" max="69" width="13.140625" customWidth="1"/>
    <col min="71" max="71" width="13.5703125" customWidth="1"/>
    <col min="72" max="72" width="11.28515625" customWidth="1"/>
    <col min="75" max="75" width="13.5703125" customWidth="1"/>
    <col min="76" max="76" width="10.7109375" bestFit="1" customWidth="1"/>
    <col min="77" max="78" width="14.140625" style="26" customWidth="1"/>
    <col min="79" max="79" width="13.42578125" customWidth="1"/>
    <col min="80" max="80" width="12.85546875" customWidth="1"/>
    <col min="83" max="83" width="16.140625" customWidth="1"/>
    <col min="85" max="85" width="15.7109375" customWidth="1"/>
    <col min="86" max="86" width="48" customWidth="1"/>
    <col min="88" max="88" width="10.7109375" bestFit="1" customWidth="1"/>
    <col min="90" max="90" width="10.7109375" bestFit="1" customWidth="1"/>
    <col min="92" max="92" width="44.42578125" customWidth="1"/>
    <col min="94" max="94" width="22.42578125" bestFit="1" customWidth="1"/>
    <col min="102" max="102" width="9.42578125" customWidth="1"/>
    <col min="103" max="103" width="12.140625" customWidth="1"/>
    <col min="110" max="110" width="15.85546875" style="82" bestFit="1" customWidth="1"/>
    <col min="111" max="111" width="14.7109375" style="27" customWidth="1"/>
    <col min="112" max="112" width="12.140625" style="27" bestFit="1" customWidth="1"/>
    <col min="118" max="118" width="9.5703125" bestFit="1" customWidth="1"/>
    <col min="122" max="122" width="11" style="27" bestFit="1" customWidth="1"/>
    <col min="126" max="126" width="13.7109375" style="27" customWidth="1"/>
  </cols>
  <sheetData>
    <row r="1" spans="1:140" ht="45" x14ac:dyDescent="0.25">
      <c r="A1" s="2" t="s">
        <v>205</v>
      </c>
      <c r="B1" s="3" t="s">
        <v>206</v>
      </c>
      <c r="C1" s="4" t="s">
        <v>207</v>
      </c>
      <c r="D1" s="5" t="s">
        <v>208</v>
      </c>
      <c r="E1" s="6" t="s">
        <v>209</v>
      </c>
      <c r="F1" s="7" t="s">
        <v>210</v>
      </c>
      <c r="G1" s="8" t="s">
        <v>211</v>
      </c>
      <c r="J1" s="48" t="s">
        <v>857</v>
      </c>
      <c r="L1" s="26" t="s">
        <v>962</v>
      </c>
      <c r="AC1" s="2" t="s">
        <v>205</v>
      </c>
      <c r="AD1" s="3" t="s">
        <v>206</v>
      </c>
      <c r="AE1" s="4" t="s">
        <v>207</v>
      </c>
      <c r="AF1" s="5" t="s">
        <v>208</v>
      </c>
      <c r="AG1" s="6" t="s">
        <v>209</v>
      </c>
      <c r="AH1" s="7" t="s">
        <v>210</v>
      </c>
      <c r="AI1" s="8" t="s">
        <v>211</v>
      </c>
      <c r="AJ1" s="20"/>
      <c r="AK1" t="s">
        <v>991</v>
      </c>
      <c r="AL1" t="s">
        <v>990</v>
      </c>
    </row>
    <row r="2" spans="1:140" ht="15.75" thickBot="1" x14ac:dyDescent="0.3">
      <c r="A2" s="9">
        <f>betaAu</f>
        <v>0.20648931335259277</v>
      </c>
      <c r="B2" s="39">
        <f>deltaAu</f>
        <v>1.0000000000000768E-9</v>
      </c>
      <c r="C2" s="9">
        <f>PoAu</f>
        <v>1.0150253776574341E-2</v>
      </c>
      <c r="D2" s="9">
        <f>beta/delta</f>
        <v>206489313.35257691</v>
      </c>
      <c r="E2" s="9">
        <f>msqAu</f>
        <v>11.015867690232762</v>
      </c>
      <c r="F2" s="43">
        <f>(beta/Po)-delta</f>
        <v>20.343266078627209</v>
      </c>
      <c r="G2" s="10">
        <f>delta*1000</f>
        <v>1.0000000000000768E-6</v>
      </c>
      <c r="J2">
        <v>1</v>
      </c>
      <c r="L2" s="44">
        <v>10000000</v>
      </c>
      <c r="AC2" s="9">
        <v>0.16833124287870344</v>
      </c>
      <c r="AD2" s="39">
        <v>5.7750090964641499E-7</v>
      </c>
      <c r="AE2" s="9">
        <v>4943.2602326566102</v>
      </c>
      <c r="AF2" s="9">
        <f>AC2/AD2</f>
        <v>291482.21252459526</v>
      </c>
      <c r="AG2" s="9">
        <f>SQRT(SUM(tblData[NSW Test Sq Err])/COUNT(tblData[NSW Test Sq Err]))</f>
        <v>2141.4153557262753</v>
      </c>
      <c r="AH2" s="42">
        <f>(betaTest/PoTest)-deltaTest</f>
        <v>3.3475175857532143E-5</v>
      </c>
      <c r="AI2" s="10">
        <f>deltaTest*1000</f>
        <v>5.7750090964641494E-4</v>
      </c>
      <c r="AJ2" s="53">
        <f t="array" ref="AJ2">MAX(IF(ISNUMBER(tblData[NSW Number of Tests]),tblData[Date]))</f>
        <v>43911</v>
      </c>
      <c r="AK2" t="str">
        <f>"NSW COVID19 Tests at " &amp;TEXT(AJ2,"ddd dd-mmm ")</f>
        <v xml:space="preserve">NSW COVID19 Tests at Sat 21-Mar </v>
      </c>
      <c r="AL2" t="str">
        <f ca="1">"Logistic Forecast, Limit " &amp; Cengnotation(AF2,3) &amp; " at " &amp; TEXT(NOW(),"dd-mmm")</f>
        <v>Logistic Forecast, Limit 291 k at 22-Mar</v>
      </c>
    </row>
    <row r="3" spans="1:140" x14ac:dyDescent="0.25">
      <c r="B3" s="44">
        <v>1E-10</v>
      </c>
      <c r="D3" t="str">
        <f>Cengnotation(D2)</f>
        <v>206 M</v>
      </c>
      <c r="L3" s="26" t="str">
        <f>"Cases per " &amp; Cengnotation(L2,2)  &amp; " population"</f>
        <v>Cases per 10 M population</v>
      </c>
    </row>
    <row r="4" spans="1:140" x14ac:dyDescent="0.25">
      <c r="A4" s="31" t="s">
        <v>490</v>
      </c>
    </row>
    <row r="6" spans="1:140" s="26" customFormat="1" ht="18.75" x14ac:dyDescent="0.3">
      <c r="M6" s="19"/>
      <c r="N6" s="19"/>
      <c r="O6" s="19"/>
      <c r="U6" s="19"/>
      <c r="DF6" s="82"/>
      <c r="DG6" s="27"/>
      <c r="DH6" s="27"/>
      <c r="DR6" s="27"/>
      <c r="DV6" s="27"/>
      <c r="DX6" s="17" t="s">
        <v>220</v>
      </c>
    </row>
    <row r="7" spans="1:140" s="26" customFormat="1" x14ac:dyDescent="0.25">
      <c r="B7" s="26" t="s">
        <v>1339</v>
      </c>
      <c r="M7" s="19"/>
      <c r="N7" s="19"/>
      <c r="O7" s="19"/>
      <c r="U7" s="19"/>
      <c r="DF7" s="82"/>
      <c r="DG7" s="27"/>
      <c r="DH7" s="27"/>
      <c r="DR7" s="27"/>
      <c r="DV7" s="27"/>
    </row>
    <row r="8" spans="1:140" x14ac:dyDescent="0.25">
      <c r="B8" s="47" t="s">
        <v>853</v>
      </c>
      <c r="C8" s="45"/>
      <c r="D8" s="45"/>
      <c r="F8" s="45"/>
      <c r="G8" s="45"/>
      <c r="H8" s="45"/>
      <c r="I8" s="45"/>
      <c r="J8" s="45"/>
      <c r="K8" s="46">
        <f>NSWpop/L9</f>
        <v>10000000</v>
      </c>
      <c r="L8" s="46">
        <v>8080000</v>
      </c>
      <c r="N8" s="46">
        <v>60450000</v>
      </c>
      <c r="P8" s="46">
        <v>329227746</v>
      </c>
      <c r="Q8" s="46"/>
      <c r="R8" s="46">
        <v>51400000</v>
      </c>
      <c r="S8" s="46"/>
      <c r="T8" s="46">
        <v>66440000</v>
      </c>
      <c r="U8" s="46"/>
      <c r="V8" s="46">
        <v>1439323776</v>
      </c>
      <c r="W8" s="45"/>
      <c r="X8" s="45"/>
      <c r="Y8" s="45"/>
      <c r="Z8" s="45"/>
      <c r="AA8" s="46">
        <v>25364000</v>
      </c>
      <c r="AB8" s="45"/>
      <c r="AC8" s="45"/>
      <c r="AD8" s="46">
        <f>AuPop</f>
        <v>25364000</v>
      </c>
      <c r="AE8" s="45"/>
      <c r="AF8" s="45"/>
      <c r="AG8" s="46">
        <f>L8</f>
        <v>8080000</v>
      </c>
      <c r="AH8" s="45"/>
      <c r="AI8" s="45"/>
      <c r="AJ8" s="46">
        <f>AG8</f>
        <v>8080000</v>
      </c>
      <c r="AK8" s="45"/>
      <c r="AL8" s="45"/>
      <c r="AM8" s="46">
        <f>ItalyPop</f>
        <v>60450000</v>
      </c>
      <c r="AN8" s="46"/>
      <c r="AO8" s="45"/>
      <c r="AP8" s="46">
        <f>USpop</f>
        <v>329227746</v>
      </c>
      <c r="AQ8" s="46"/>
      <c r="AR8" s="46"/>
      <c r="AS8" s="46">
        <f>SKoreaPop</f>
        <v>51400000</v>
      </c>
      <c r="AT8" s="46"/>
      <c r="AU8" s="46"/>
      <c r="AV8" s="46">
        <f>UKPop</f>
        <v>66440000</v>
      </c>
      <c r="AW8" s="46"/>
      <c r="AX8" s="46"/>
      <c r="AY8" s="46">
        <f>ChinaPop</f>
        <v>1439323776</v>
      </c>
      <c r="BY8"/>
      <c r="BZ8"/>
      <c r="CC8" s="26"/>
      <c r="CD8" s="26"/>
      <c r="CN8" s="26" t="str">
        <f>"COVID 19 Least Sq Err Logistic Eqns at " &amp; TEXT(MAX(CB16:CB22),"ddd dd-mmm-yyyy")&amp;IF(PopScaling=0,"",", "&amp;PerPersonLabel)</f>
        <v>COVID 19 Least Sq Err Logistic Eqns at Sat 21-Mar-2020, Cases per 10 M population</v>
      </c>
      <c r="DG8" s="27" t="s">
        <v>1337</v>
      </c>
    </row>
    <row r="9" spans="1:140" s="26" customFormat="1" ht="15.75" thickBot="1" x14ac:dyDescent="0.3">
      <c r="B9" s="47" t="s">
        <v>858</v>
      </c>
      <c r="C9" s="45"/>
      <c r="D9" s="45"/>
      <c r="F9" s="45"/>
      <c r="G9" s="45"/>
      <c r="H9" s="45"/>
      <c r="I9" s="45"/>
      <c r="J9" s="45"/>
      <c r="K9" s="45"/>
      <c r="L9" s="46">
        <f>IF(PopScaling=0,1,NSWpop/PerPerson)</f>
        <v>0.80800000000000005</v>
      </c>
      <c r="N9" s="46">
        <f>IF(PopScaling=0,1,ItalyPop/PerPerson)</f>
        <v>6.0449999999999999</v>
      </c>
      <c r="P9" s="46">
        <f>IF(PopScaling=0,1,USpop/PerPerson)</f>
        <v>32.922774599999997</v>
      </c>
      <c r="Q9" s="46"/>
      <c r="R9" s="46">
        <f>IF(PopScaling=0,1,SKoreaPop/PerPerson)</f>
        <v>5.14</v>
      </c>
      <c r="S9" s="46"/>
      <c r="T9" s="46">
        <f>IF(PopScaling=0,1,UKPop/PerPerson)</f>
        <v>6.6440000000000001</v>
      </c>
      <c r="U9" s="46"/>
      <c r="V9" s="46">
        <f>IF(PopScaling=0,1,ChinaPop/PerPerson)</f>
        <v>143.9323776</v>
      </c>
      <c r="W9" s="45"/>
      <c r="X9" s="45"/>
      <c r="Y9" s="45"/>
      <c r="Z9" s="45"/>
      <c r="AA9" s="45">
        <f>IF(PopScaling=0,1,AuPop/PerPerson)</f>
        <v>2.5364</v>
      </c>
      <c r="AB9" s="45"/>
      <c r="AC9" s="45"/>
      <c r="AD9" s="45">
        <f>IF(PopScaling=0,1,AuPop/PerPerson)</f>
        <v>2.5364</v>
      </c>
      <c r="AE9" s="45"/>
      <c r="AF9" s="45"/>
      <c r="AG9" s="46">
        <f>IF(PopScaling=0,1,AG8/10000000)</f>
        <v>0.80800000000000005</v>
      </c>
      <c r="AH9" s="45"/>
      <c r="AI9" s="45"/>
      <c r="AJ9" s="46">
        <f>IF(PopScaling=0,1,AJ8/10000000)</f>
        <v>0.80800000000000005</v>
      </c>
      <c r="AK9" s="45"/>
      <c r="AL9" s="45"/>
      <c r="AM9" s="46">
        <f>IF(PopScaling=0,1,AM8/10000000)</f>
        <v>6.0449999999999999</v>
      </c>
      <c r="AN9" s="46"/>
      <c r="AO9" s="45"/>
      <c r="AP9" s="46">
        <f>IF(PopScaling=0,1,AP8/10000000)</f>
        <v>32.922774599999997</v>
      </c>
      <c r="AQ9" s="46"/>
      <c r="AR9" s="46"/>
      <c r="AS9" s="46">
        <f>IF(PopScaling=0,1,AS8/10000000)</f>
        <v>5.14</v>
      </c>
      <c r="AT9" s="46"/>
      <c r="AU9" s="46"/>
      <c r="AV9" s="46">
        <f>IF(PopScaling=0,1,AV8/10000000)</f>
        <v>6.6440000000000001</v>
      </c>
      <c r="AW9" s="46"/>
      <c r="AX9" s="46"/>
      <c r="AY9" s="46">
        <f>IF(PopScaling=0,1,AY8/10000000)</f>
        <v>143.9323776</v>
      </c>
      <c r="CN9" s="26" t="str">
        <f>"COVID 19 Least Sq Err Logistic Eqns at " &amp; TEXT(MAX(CB16:CB22),"ddd dd-mmm-yyyy")&amp;IF(PopScaling=0,"",", "&amp;PerPersonLabel)</f>
        <v>COVID 19 Least Sq Err Logistic Eqns at Sat 21-Mar-2020, Cases per 10 M population</v>
      </c>
      <c r="CR9" s="26" t="s">
        <v>1037</v>
      </c>
      <c r="DF9" s="82"/>
      <c r="DG9" s="27"/>
      <c r="DH9" s="27"/>
      <c r="DR9" s="27"/>
      <c r="DV9" s="27"/>
    </row>
    <row r="10" spans="1:140" s="14" customFormat="1" ht="69.75" customHeight="1" x14ac:dyDescent="0.25">
      <c r="B10" s="14" t="s">
        <v>203</v>
      </c>
      <c r="C10" s="14" t="s">
        <v>66</v>
      </c>
      <c r="D10" s="69" t="s">
        <v>473</v>
      </c>
      <c r="E10" s="69" t="s">
        <v>47</v>
      </c>
      <c r="F10" s="69" t="s">
        <v>117</v>
      </c>
      <c r="G10" s="69" t="s">
        <v>50</v>
      </c>
      <c r="H10" s="69" t="s">
        <v>62</v>
      </c>
      <c r="I10" s="69" t="s">
        <v>106</v>
      </c>
      <c r="J10" s="69" t="s">
        <v>49</v>
      </c>
      <c r="K10" s="69" t="s">
        <v>95</v>
      </c>
      <c r="L10" s="29" t="s">
        <v>859</v>
      </c>
      <c r="M10" s="70" t="s">
        <v>58</v>
      </c>
      <c r="N10" s="75" t="s">
        <v>860</v>
      </c>
      <c r="O10" s="14" t="s">
        <v>37</v>
      </c>
      <c r="P10" s="29" t="s">
        <v>934</v>
      </c>
      <c r="Q10" s="29" t="s">
        <v>1294</v>
      </c>
      <c r="R10" s="29" t="s">
        <v>1292</v>
      </c>
      <c r="S10" s="29" t="s">
        <v>1252</v>
      </c>
      <c r="T10" s="29" t="s">
        <v>1291</v>
      </c>
      <c r="U10" s="70" t="s">
        <v>225</v>
      </c>
      <c r="V10" s="75" t="s">
        <v>933</v>
      </c>
      <c r="W10" s="14" t="s">
        <v>212</v>
      </c>
      <c r="X10" s="14" t="s">
        <v>489</v>
      </c>
      <c r="Y10" s="14" t="s">
        <v>649</v>
      </c>
      <c r="Z10" s="14" t="s">
        <v>1295</v>
      </c>
      <c r="AA10" s="14" t="s">
        <v>1290</v>
      </c>
      <c r="AB10" s="51" t="s">
        <v>217</v>
      </c>
      <c r="AC10" s="51" t="s">
        <v>992</v>
      </c>
      <c r="AD10" s="74" t="s">
        <v>993</v>
      </c>
      <c r="AE10" s="51" t="s">
        <v>994</v>
      </c>
      <c r="AF10" s="74" t="s">
        <v>996</v>
      </c>
      <c r="AG10" s="51" t="s">
        <v>995</v>
      </c>
      <c r="AH10" s="14" t="s">
        <v>213</v>
      </c>
      <c r="AI10" s="14" t="s">
        <v>202</v>
      </c>
      <c r="AJ10" s="51" t="s">
        <v>214</v>
      </c>
      <c r="AK10" s="51" t="s">
        <v>215</v>
      </c>
      <c r="AL10" s="74" t="s">
        <v>954</v>
      </c>
      <c r="AM10" s="30" t="s">
        <v>223</v>
      </c>
      <c r="AN10" s="30" t="s">
        <v>224</v>
      </c>
      <c r="AO10" s="30" t="s">
        <v>952</v>
      </c>
      <c r="AP10" s="14" t="s">
        <v>487</v>
      </c>
      <c r="AQ10" s="14" t="s">
        <v>488</v>
      </c>
      <c r="AR10" s="14" t="s">
        <v>961</v>
      </c>
      <c r="AS10" s="80" t="s">
        <v>1296</v>
      </c>
      <c r="AT10" s="80" t="s">
        <v>1297</v>
      </c>
      <c r="AU10" s="80" t="s">
        <v>1298</v>
      </c>
      <c r="AV10" s="81" t="s">
        <v>1299</v>
      </c>
      <c r="AW10" s="81" t="s">
        <v>1300</v>
      </c>
      <c r="AX10" s="81" t="s">
        <v>1301</v>
      </c>
      <c r="AY10" s="30" t="s">
        <v>669</v>
      </c>
      <c r="AZ10" s="30" t="s">
        <v>670</v>
      </c>
      <c r="BA10" s="30" t="s">
        <v>953</v>
      </c>
      <c r="BB10" s="29" t="s">
        <v>241</v>
      </c>
      <c r="BC10" s="29" t="s">
        <v>240</v>
      </c>
      <c r="BD10" s="29" t="s">
        <v>244</v>
      </c>
      <c r="BE10" s="29" t="s">
        <v>245</v>
      </c>
      <c r="BF10" s="29" t="s">
        <v>852</v>
      </c>
      <c r="BG10" s="29" t="s">
        <v>850</v>
      </c>
      <c r="BH10" s="29" t="s">
        <v>851</v>
      </c>
      <c r="BJ10" s="1"/>
      <c r="BK10" t="s">
        <v>1338</v>
      </c>
      <c r="BL10" s="26" t="s">
        <v>1340</v>
      </c>
      <c r="BM10" t="s">
        <v>204</v>
      </c>
      <c r="BN10" s="26" t="s">
        <v>1341</v>
      </c>
      <c r="BO10" t="s">
        <v>816</v>
      </c>
      <c r="BP10" s="2" t="s">
        <v>205</v>
      </c>
      <c r="BQ10" s="3" t="s">
        <v>206</v>
      </c>
      <c r="BR10" s="4" t="s">
        <v>207</v>
      </c>
      <c r="BS10" s="5" t="s">
        <v>216</v>
      </c>
      <c r="BT10" s="6" t="s">
        <v>209</v>
      </c>
      <c r="BU10" s="7" t="s">
        <v>210</v>
      </c>
      <c r="BV10" s="8" t="s">
        <v>211</v>
      </c>
      <c r="BW10" s="20" t="s">
        <v>238</v>
      </c>
      <c r="BX10" s="20" t="s">
        <v>239</v>
      </c>
      <c r="BY10" s="20" t="s">
        <v>491</v>
      </c>
      <c r="BZ10" s="20" t="s">
        <v>814</v>
      </c>
      <c r="CA10" s="20" t="s">
        <v>963</v>
      </c>
      <c r="CB10" t="s">
        <v>222</v>
      </c>
      <c r="CC10" t="s">
        <v>221</v>
      </c>
      <c r="CD10" s="20" t="s">
        <v>773</v>
      </c>
      <c r="CE10" s="20" t="s">
        <v>775</v>
      </c>
      <c r="CF10" s="20" t="s">
        <v>815</v>
      </c>
      <c r="CG10" s="20" t="s">
        <v>981</v>
      </c>
      <c r="CH10" t="s">
        <v>774</v>
      </c>
      <c r="CI10" s="20" t="s">
        <v>1023</v>
      </c>
      <c r="CJ10" s="67" t="s">
        <v>1019</v>
      </c>
      <c r="CK10" s="67" t="s">
        <v>1021</v>
      </c>
      <c r="CL10" s="14" t="s">
        <v>1020</v>
      </c>
      <c r="CM10" t="s">
        <v>1022</v>
      </c>
      <c r="CN10"/>
      <c r="CO10"/>
      <c r="CP10"/>
      <c r="CQ10"/>
      <c r="CY10" s="27" t="s">
        <v>203</v>
      </c>
      <c r="CZ10" s="26" t="s">
        <v>964</v>
      </c>
      <c r="DA10" s="23" t="s">
        <v>965</v>
      </c>
      <c r="DB10" s="25"/>
      <c r="DE10" s="26" t="s">
        <v>988</v>
      </c>
      <c r="DF10" s="82" t="s">
        <v>1340</v>
      </c>
      <c r="DG10" s="27" t="s">
        <v>987</v>
      </c>
      <c r="DH10" s="27" t="s">
        <v>1342</v>
      </c>
      <c r="DI10" s="26" t="s">
        <v>816</v>
      </c>
      <c r="DJ10" s="2" t="s">
        <v>205</v>
      </c>
      <c r="DK10" s="3" t="s">
        <v>206</v>
      </c>
      <c r="DL10" s="4" t="s">
        <v>207</v>
      </c>
      <c r="DM10" s="5" t="s">
        <v>216</v>
      </c>
      <c r="DN10" s="6" t="s">
        <v>209</v>
      </c>
      <c r="DO10" s="7" t="s">
        <v>210</v>
      </c>
      <c r="DP10" s="8" t="s">
        <v>211</v>
      </c>
      <c r="DQ10" s="20" t="s">
        <v>238</v>
      </c>
      <c r="DR10" s="27" t="s">
        <v>239</v>
      </c>
      <c r="DS10" s="20" t="s">
        <v>491</v>
      </c>
      <c r="DT10" s="20" t="s">
        <v>814</v>
      </c>
      <c r="DU10" s="20" t="s">
        <v>963</v>
      </c>
      <c r="DV10" s="27" t="s">
        <v>222</v>
      </c>
      <c r="DW10" s="26" t="s">
        <v>221</v>
      </c>
      <c r="DX10" s="20" t="s">
        <v>773</v>
      </c>
      <c r="DY10" s="20" t="s">
        <v>775</v>
      </c>
      <c r="DZ10" s="20" t="s">
        <v>815</v>
      </c>
      <c r="EA10" s="20" t="s">
        <v>981</v>
      </c>
      <c r="EB10" s="26" t="s">
        <v>774</v>
      </c>
      <c r="EC10" s="26"/>
      <c r="ED10" s="26"/>
      <c r="EE10" s="26"/>
      <c r="EF10" s="26"/>
      <c r="EG10" s="26"/>
      <c r="EH10" s="26"/>
      <c r="EI10" s="26"/>
      <c r="EJ10" s="26"/>
    </row>
    <row r="11" spans="1:140" x14ac:dyDescent="0.25">
      <c r="B11" s="1">
        <v>43852</v>
      </c>
      <c r="C11">
        <v>0</v>
      </c>
      <c r="D11" s="26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 s="26" t="str">
        <f>IF(ISNUMBER(tblData[[#This Row],[NSW]]),tblData[[#This Row],[New South Wales]]/$L$9,"")</f>
        <v/>
      </c>
      <c r="M11" s="26"/>
      <c r="N11" s="26" t="str">
        <f>IF(ISNUMBER(tblData[Italy]),tblData[Italy]/$N$9,"")</f>
        <v/>
      </c>
      <c r="P11" s="26" t="str">
        <f>IF(ISNUMBER(tblData[US]),tblData[US]/$P$9,"")</f>
        <v/>
      </c>
      <c r="Q11">
        <v>1</v>
      </c>
      <c r="R11" s="19">
        <f>IF(ISNUMBER(tblData[SKorea]),tblData[SKorea]/$R$9,"")</f>
        <v>0.19455252918287938</v>
      </c>
      <c r="T11" s="26" t="str">
        <f>IF(ISNUMBER(tblData[UK]),tblData[UK]/$T$9,"")</f>
        <v/>
      </c>
      <c r="U11">
        <v>548</v>
      </c>
      <c r="V11" s="21">
        <f>IF(ISNUMBER(tblData[China]),tblData[China]/$V$9,"")</f>
        <v>3.8073434840556684</v>
      </c>
      <c r="W11" s="26" t="str">
        <f>IF(tblData[Date]&gt;=StartDt2Italy,tblData[Date]-StartDt2Italy,"")</f>
        <v/>
      </c>
      <c r="X11" s="26"/>
      <c r="Y11" s="26">
        <f>IF($B14&lt;BM$15+3,"",$B14-BM$15-3)</f>
        <v>0</v>
      </c>
      <c r="Z11" s="26" t="str">
        <f>IF(tblData[[#This Row],[Date]]&lt;StartDt2Korea,"",tblData[[#This Row],[Date]]-StartDt2Korea)</f>
        <v/>
      </c>
      <c r="AA11" s="26" t="str">
        <f>IF(tblData[[#This Row],[Date]]&lt;UKStart,"",tblData[[#This Row],[Date]]-UKStart)</f>
        <v/>
      </c>
      <c r="AB11" t="str">
        <f>IF(tblData[Date]&gt;=StartDt2Au,tblData[Date]-StartDt2Au,"")</f>
        <v/>
      </c>
      <c r="AC11" s="26" t="str">
        <f>IF(tblData[New South Wales]&gt;0,SUM(tblData[[#This Row],[Australian Capital Territory]:[Western Australia]]),"")</f>
        <v/>
      </c>
      <c r="AD11" s="26" t="str">
        <f>IF(ISNUMBER(tblData[Au]),tblData[Au]/$AA$9,"")</f>
        <v/>
      </c>
      <c r="AE11" s="11" t="str">
        <f>IF(ISNUMBER(tblData[[#This Row],[Day'# Aust]]),betaAu/(deltaAu+betaPodeltaAu*EXP(-betaAu*tblData[[#This Row],[Day'# Aust]])),"")</f>
        <v/>
      </c>
      <c r="AF11" s="71" t="str">
        <f>IF(ISNUMBER(tblData[Day'# Aust]),tblData[Au LogiP(t)]/$AD$9,"")</f>
        <v/>
      </c>
      <c r="AG11" s="11" t="str">
        <f>IF(AND(tblData[Date]&gt;=StartDt2Au,ISNUMBER(tblData[NSW])),(tblData[[#This Row],[Au LogiP(t)]]-tblData[[#This Row],[Au]])^2,"")</f>
        <v/>
      </c>
      <c r="AH11" t="str">
        <f>IF(tblData[Date]&gt;StartDt2NSW,tblData[Date]-StartDt2NSW,"")</f>
        <v/>
      </c>
      <c r="AI11" t="str">
        <f>IF(E11&gt;0,E11,"")</f>
        <v/>
      </c>
      <c r="AJ11" s="11" t="str">
        <f>IF(tblData[Date]&gt;StartDt2NSW,betaNSW/(deltaNSW+betaPodeltaNSW*EXP(-betaNSW*tblData[[#This Row],[Day '# NSW]])),"")</f>
        <v/>
      </c>
      <c r="AK11" s="12" t="str">
        <f>IF(AND(ISNUMBER(tblData[NSW]),tblData[Date]&gt;StartDt2NSW),(tblData[[#This Row],[NSW LogiP(t)]]-tblData[[#This Row],[NSW]])^2,"")</f>
        <v/>
      </c>
      <c r="AL11" s="12" t="str">
        <f>IF(AND(tblData[Date]&gt;StartDt2NSW,ISNUMBER(tblData[Day'# Aust])),tblData[NSW LogiP(t)]/$AG$9,"")</f>
        <v/>
      </c>
      <c r="AM11" s="11" t="str">
        <f>IF(AND(tblData[Date]&gt;StartDt2Italy,ISNUMBER(tblData[Days'# Italy])),betaItaly/(deltaItaly+betaPodeltaItaly*EXP(-betaItaly*tblData[Days'# Italy])),"")</f>
        <v/>
      </c>
      <c r="AN11" s="11" t="str">
        <f>IF(AND(tblData[Date]&gt;StartDt2Italy,ISNUMBER(tblData[Italy])),(tblData[[#This Row],[Italy LogiP(t)]]-tblData[[#This Row],[Italy]])^2,"")</f>
        <v/>
      </c>
      <c r="AO11" s="11" t="str">
        <f>IF(AND(tblData[Date]&gt;StartDt2Italy,ISNUMBER(tblData[Days'# Italy])),tblData[[#This Row],[Italy LogiP(t)]]/$AM$9,"")</f>
        <v/>
      </c>
      <c r="AP11" s="11" t="str">
        <f>IF(ISNUMBER(tblData[[#This Row],[Days'# US]]),betaUS/(deltaUS+betaPodeltaUS*EXP(-betaUS*tblData[Days'# US])),"")</f>
        <v/>
      </c>
      <c r="AQ11" s="11"/>
      <c r="AR11" s="11" t="str">
        <f>IF(ISNUMBER(tblData[[#This Row],[Days'# US]]),tblData[[#This Row],[US LogiP(t)]]/$AP$9,"")</f>
        <v/>
      </c>
      <c r="AS11" s="11" t="str">
        <f>IF(tblData[Date]&gt;=StartDt2Korea,betaSKorea/(deltaSKorea+betaPodeltaSKorea*EXP(-betaSKorea*(tblData[Date]-StartDt2Korea))),"")</f>
        <v/>
      </c>
      <c r="AT11" s="11" t="str">
        <f>IF(AND(tblData[Date]&gt;=StartDt2Korea,ISNUMBER(tblData[SKorea])),(tblData[[#This Row],[SKorea LogiP(t)]]-tblData[[#This Row],[SKorea]])^2,"")</f>
        <v/>
      </c>
      <c r="AU11" s="11" t="str">
        <f>IF(tblData[Date]&gt;=StartDt2Korea,tblData[[#This Row],[SKorea LogiP(t)]]/$AS$9,"")</f>
        <v/>
      </c>
      <c r="AV11" s="11" t="str">
        <f>IF(ISNUMBER(tblData[Days'# UK]),betaUK/(deltaUK+betaPodeltaUK*EXP(-betaUK*tblData[Days'# UK])),"")</f>
        <v/>
      </c>
      <c r="AW11" s="11" t="str">
        <f>IF(ISNUMBER(tblData[UK]),(tblData[[#This Row],[UK LogiP(t)]]-tblData[[#This Row],[UK]])^2,"")</f>
        <v/>
      </c>
      <c r="AX11" s="11" t="str">
        <f>IF(ISNUMBER(tblData[Days'# UK]),tblData[[#This Row],[UK LogiP(t)]]/$AV$9,"")</f>
        <v/>
      </c>
      <c r="AY11" s="11">
        <f>IF(ISNUMBER(tblData[Days'# China]),betaChina/(deltaChina+betaPodeltaChina*EXP(-betaChina*tblData[Days'# China])),"")</f>
        <v>1537.6493038446686</v>
      </c>
      <c r="AZ11" s="11">
        <f>IF(ISNUMBER(tblData[China]),(tblData[[#This Row],[China LogiP(t)]]-tblData[[#This Row],[China]])^2,"")</f>
        <v>979405.74460023711</v>
      </c>
      <c r="BA11" s="11">
        <f>tblData[[#This Row],[China LogiP(t)]]/$AY$9</f>
        <v>10.683136966707542</v>
      </c>
      <c r="BB11" s="11"/>
      <c r="BC11" s="11"/>
      <c r="BD11" s="11" t="str">
        <f>IF(ISNUMBER(tblData[[#This Row],[NSW Number of Tests]]),tblData[[#This Row],[NSW Number of Tests]]-#REF!,"")</f>
        <v/>
      </c>
      <c r="BE11" s="11" t="str">
        <f>IF(ISNUMBER(tblData[[#This Row],[NSW Under Investigation'']]),tblData[[#This Row],[NSW Under Investigation'']]-#REF!,"")</f>
        <v/>
      </c>
      <c r="BF11" s="11"/>
      <c r="BG11" s="11" t="str">
        <f>IF(ISNUMBER(tblData[[#This Row],[NSW Test Day Number]]),betaTest/(deltaTest+betaPodeltaTest*EXP(-betaTest*tblData[[#This Row],[NSW Test Day Number]])),"")</f>
        <v/>
      </c>
      <c r="BH11" s="11" t="str">
        <f>IF(ISNUMBER(tblData[[#This Row],[NSW Number of Tests]]),(tblData[[#This Row],[NSW Number of Tests]]-tblData[[#This Row],[NSW Test Logi]])^2,"")</f>
        <v/>
      </c>
      <c r="BJ11" s="1"/>
      <c r="BK11" t="s">
        <v>48</v>
      </c>
      <c r="BL11" s="83">
        <v>43911.898379629631</v>
      </c>
      <c r="BM11" s="1">
        <v>43855</v>
      </c>
      <c r="BN11" s="27">
        <v>43855</v>
      </c>
      <c r="BO11">
        <v>0</v>
      </c>
      <c r="BP11">
        <v>0.20648931335259277</v>
      </c>
      <c r="BQ11">
        <v>1.0000000000000768E-9</v>
      </c>
      <c r="BR11" s="26">
        <v>1.0150253776574341E-2</v>
      </c>
      <c r="BS11">
        <f>betaAu/deltaAu</f>
        <v>206489313.35257691</v>
      </c>
      <c r="BT11" s="49">
        <f>SQRT(SUM(tblData[AU Sq Err])/COUNT(tblData[AU Sq Err]))</f>
        <v>11.015867690232762</v>
      </c>
      <c r="BU11">
        <f>(betaAu/PoAu)-deltaAu</f>
        <v>20.343266078627209</v>
      </c>
      <c r="BV11">
        <f>deltaAu*1000</f>
        <v>1.0000000000000768E-6</v>
      </c>
      <c r="BW11" s="26"/>
      <c r="BX11" s="27">
        <f t="array" ref="BX11">MAX(IF(ISNUMBER(tblData[Au]),tblData[Date]))</f>
        <v>43911</v>
      </c>
      <c r="BY11" s="27" t="str">
        <f t="shared" ref="BY11:BY18" si="0">Cengnotation(BS11,3)</f>
        <v>206 M</v>
      </c>
      <c r="BZ11" s="26">
        <f>MAX(tblData[Au])</f>
        <v>1073</v>
      </c>
      <c r="CA11" s="26" t="str">
        <f>Cengnotation(BS11/(AuPop/PerPerson),3)</f>
        <v>81.4 M</v>
      </c>
      <c r="CB11" s="1">
        <f t="array" ref="CB11">MAX(IF(ISNUMBER(tblData[Au]),tblData[Date]))</f>
        <v>43911</v>
      </c>
      <c r="CC11">
        <f t="array" ref="CC11">COUNT(IF(ISNUMBER(tblData[Au]),tblData[Date]))</f>
        <v>57</v>
      </c>
      <c r="CD11" s="27" t="str">
        <f t="shared" ref="CD11:CD18" si="1">"b="&amp;TEXT(BP11,"##0.###")&amp;", d="&amp;TEXT(BQ11,"0.00E+00")&amp;", P0="&amp;TEXT(BR11,"#.####")&amp;" Limit="&amp;IF(PopScaling=0,BY11,CA11)</f>
        <v>b=0.206, d=1.00E-09, P0=.0102 Limit=81.4 M</v>
      </c>
      <c r="CE11" s="26"/>
      <c r="CF11" s="26" t="str">
        <f t="shared" ref="CF11:CF18" si="2">BK11&amp;" Limit " &amp; IF(PopScaling=0,BY11,CA11)</f>
        <v>Australia Limit 81.4 M</v>
      </c>
      <c r="CG11" s="26"/>
      <c r="CH11" s="18" t="str">
        <f>"COVID19 "&amp;BK11 &amp; " " &amp;LogFormula&amp;CHAR(10)&amp;CD11&amp;CHAR(10)&amp;TEXT(CB11," dd-mmm")&amp;IF(PopScaling=0,"",", "&amp;PerPersonLabel)</f>
        <v>COVID19 Australia P(t) = b / {d+[( b/Po - d ) ]* exp(-b*t)}
b=0.206, d=1.00E-09, P0=.0102 Limit=81.4 M
 21-Mar, Cases per 10 M population</v>
      </c>
      <c r="CI11" s="21">
        <f>MAX(tblData[Au Cases Per Capita])</f>
        <v>423.04052988487621</v>
      </c>
      <c r="CJ11" s="26"/>
      <c r="CK11" s="26"/>
      <c r="CN11" s="26" t="str">
        <f>"At " &amp; TEXT(CB11,"ddd dd-mmm ") &amp; BK11 &amp;  TEXT(AuMaxCasespc," ###0") &amp; " cases per 10M was " &amp; CM13  &amp; " days behind Italy, " &amp; IF(CM14&gt;0, CM14 &amp; " days behind", -CM14 &amp; " days ahead of ") &amp; " USA &amp; " &amp;  CM15 &amp; " days behind China, " &amp; CM16 &amp; " days behind South Korea, " &amp; CM17 &amp; " days behind UK"</f>
        <v>At Sat 21-Mar Australia 423 cases per 10M was 18 days behind Italy, 2 days behind USA &amp; 37 days behind China, 23 days behind South Korea, 2 days behind UK</v>
      </c>
      <c r="CY11" s="27">
        <v>43852</v>
      </c>
      <c r="CZ11" s="44">
        <f>NSWpop</f>
        <v>8080000</v>
      </c>
      <c r="DA11" s="52">
        <f>PerPerson</f>
        <v>10000000</v>
      </c>
      <c r="DE11" s="26" t="s">
        <v>48</v>
      </c>
      <c r="DG11" s="27">
        <v>43855</v>
      </c>
      <c r="DI11" s="26">
        <v>0</v>
      </c>
      <c r="DJ11" s="23">
        <v>0.19828176912463458</v>
      </c>
      <c r="DK11" s="25">
        <v>1.0000000000015669E-10</v>
      </c>
      <c r="DL11" s="22">
        <v>1.5235707215503663E-2</v>
      </c>
      <c r="DM11" s="26">
        <v>1982817691.2432389</v>
      </c>
      <c r="DN11" s="19">
        <v>10.841918819926793</v>
      </c>
      <c r="DO11" s="37">
        <v>13.014280618450188</v>
      </c>
      <c r="DP11" s="24">
        <v>1.0000000000015668E-7</v>
      </c>
      <c r="DQ11" s="12"/>
      <c r="DR11" s="27">
        <v>43908</v>
      </c>
      <c r="DS11" s="27" t="s">
        <v>998</v>
      </c>
      <c r="DT11" s="19">
        <v>565</v>
      </c>
      <c r="DU11" s="19" t="s">
        <v>999</v>
      </c>
      <c r="DV11" s="27">
        <v>43908</v>
      </c>
      <c r="DW11" s="26">
        <v>57</v>
      </c>
      <c r="DX11" s="18" t="s">
        <v>1000</v>
      </c>
      <c r="DY11" s="26"/>
      <c r="DZ11" s="26" t="s">
        <v>1001</v>
      </c>
      <c r="EA11" s="26"/>
      <c r="EB11" s="26" t="s">
        <v>1002</v>
      </c>
      <c r="EC11" s="26"/>
      <c r="ED11" s="26"/>
      <c r="EE11" s="26"/>
      <c r="EF11" s="26"/>
      <c r="EG11" s="26"/>
      <c r="EH11" s="26"/>
      <c r="EI11" s="26"/>
      <c r="EJ11" s="21" t="e">
        <f>(AP15-O15)^2</f>
        <v>#VALUE!</v>
      </c>
    </row>
    <row r="12" spans="1:140" x14ac:dyDescent="0.25">
      <c r="B12" s="1">
        <v>43853</v>
      </c>
      <c r="C12">
        <v>0</v>
      </c>
      <c r="D12" s="26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 s="26" t="str">
        <f>IF(ISNUMBER(tblData[[#This Row],[NSW]]),tblData[[#This Row],[New South Wales]]/$L$9,"")</f>
        <v/>
      </c>
      <c r="M12" s="26"/>
      <c r="N12" s="26" t="str">
        <f>IF(ISNUMBER(tblData[Italy]),tblData[Italy]/$N$9,"")</f>
        <v/>
      </c>
      <c r="P12" s="26" t="str">
        <f>IF(ISNUMBER(tblData[US]),tblData[US]/$P$9,"")</f>
        <v/>
      </c>
      <c r="Q12">
        <v>1</v>
      </c>
      <c r="R12" s="19">
        <f>IF(ISNUMBER(tblData[SKorea]),tblData[SKorea]/$R$9,"")</f>
        <v>0.19455252918287938</v>
      </c>
      <c r="T12" s="26" t="str">
        <f>IF(ISNUMBER(tblData[UK]),tblData[UK]/$T$9,"")</f>
        <v/>
      </c>
      <c r="U12">
        <v>643</v>
      </c>
      <c r="V12" s="21">
        <f>IF(ISNUMBER(tblData[China]),tblData[China]/$V$9,"")</f>
        <v>4.4673756573864862</v>
      </c>
      <c r="W12" s="26" t="str">
        <f>IF(tblData[[#This Row],[Date]]&lt;ItalyStart,"",tblData[[#This Row],[Date]]-ItalyStart)</f>
        <v/>
      </c>
      <c r="X12" s="26"/>
      <c r="Y12" s="26">
        <f>Y11+1</f>
        <v>1</v>
      </c>
      <c r="Z12" s="26" t="str">
        <f>IF(tblData[[#This Row],[Date]]&lt;StartDt2Korea,"",tblData[[#This Row],[Date]]-StartDt2Korea)</f>
        <v/>
      </c>
      <c r="AA12" s="26" t="str">
        <f>IF(tblData[[#This Row],[Date]]&lt;UKStart,"",tblData[[#This Row],[Date]]-UKStart)</f>
        <v/>
      </c>
      <c r="AB12" t="str">
        <f>IF(tblData[Date]&gt;=StartDt2Au,tblData[Date]-StartDt2Au,"")</f>
        <v/>
      </c>
      <c r="AC12" s="26" t="str">
        <f>IF(tblData[New South Wales]&gt;0,SUM(tblData[[#This Row],[Australian Capital Territory]:[Western Australia]]),"")</f>
        <v/>
      </c>
      <c r="AD12" s="26" t="str">
        <f>IF(ISNUMBER(tblData[Au]),tblData[Au]/$AA$9,"")</f>
        <v/>
      </c>
      <c r="AE12" s="11" t="str">
        <f>IF(ISNUMBER(tblData[[#This Row],[Day'# Aust]]),betaAu/(deltaAu+betaPodeltaAu*EXP(-betaAu*tblData[[#This Row],[Day'# Aust]])),"")</f>
        <v/>
      </c>
      <c r="AF12" s="71" t="str">
        <f>IF(ISNUMBER(tblData[Day'# Aust]),tblData[Au LogiP(t)]/$AD$9,"")</f>
        <v/>
      </c>
      <c r="AG12" s="11" t="str">
        <f>IF(AND(tblData[Date]&gt;=StartDt2Au,ISNUMBER(tblData[NSW])),(tblData[[#This Row],[Au LogiP(t)]]-tblData[[#This Row],[Au]])^2,"")</f>
        <v/>
      </c>
      <c r="AH12" t="str">
        <f>IF(tblData[Date]&gt;StartDt2NSW,tblData[Date]-StartDt2NSW,"")</f>
        <v/>
      </c>
      <c r="AI12" t="str">
        <f>IF(E12&gt;0,E12,"")</f>
        <v/>
      </c>
      <c r="AJ12" s="11" t="str">
        <f>IF(tblData[Date]&gt;StartDt2NSW,betaNSW/(deltaNSW+betaPodeltaNSW*EXP(-betaNSW*tblData[[#This Row],[Day '# NSW]])),"")</f>
        <v/>
      </c>
      <c r="AK12" s="12" t="str">
        <f>IF(AND(ISNUMBER(tblData[NSW]),tblData[Date]&gt;StartDt2NSW),(tblData[[#This Row],[NSW LogiP(t)]]-tblData[[#This Row],[NSW]])^2,"")</f>
        <v/>
      </c>
      <c r="AL12" s="12" t="str">
        <f>IF(AND(tblData[Date]&gt;StartDt2NSW,ISNUMBER(tblData[Day'# Aust])),tblData[NSW LogiP(t)]/$AG$9,"")</f>
        <v/>
      </c>
      <c r="AM12" s="11" t="str">
        <f>IF(AND(tblData[Date]&gt;StartDt2Italy,ISNUMBER(tblData[Days'# Italy])),betaItaly/(deltaItaly+betaPodeltaItaly*EXP(-betaItaly*tblData[Days'# Italy])),"")</f>
        <v/>
      </c>
      <c r="AN12" s="11" t="str">
        <f>IF(AND(tblData[Date]&gt;StartDt2Italy,ISNUMBER(tblData[Italy])),(tblData[[#This Row],[Italy LogiP(t)]]-tblData[[#This Row],[Italy]])^2,"")</f>
        <v/>
      </c>
      <c r="AO12" s="11" t="str">
        <f>IF(AND(tblData[Date]&gt;StartDt2Italy,ISNUMBER(tblData[Days'# Italy])),tblData[[#This Row],[Italy LogiP(t)]]/$AM$9,"")</f>
        <v/>
      </c>
      <c r="AP12" s="11" t="str">
        <f>IF(ISNUMBER(tblData[[#This Row],[Days'# US]]),betaUS/(deltaUS+betaPodeltaUS*EXP(-betaUS*tblData[Days'# US])),"")</f>
        <v/>
      </c>
      <c r="AQ12" s="11"/>
      <c r="AR12" s="11" t="str">
        <f>IF(ISNUMBER(tblData[[#This Row],[Days'# US]]),tblData[[#This Row],[US LogiP(t)]]/$AP$9,"")</f>
        <v/>
      </c>
      <c r="AS12" s="11" t="str">
        <f>IF(tblData[Date]&gt;=StartDt2Korea,betaSKorea/(deltaSKorea+betaPodeltaSKorea*EXP(-betaSKorea*(tblData[Date]-StartDt2Korea))),"")</f>
        <v/>
      </c>
      <c r="AT12" s="11" t="str">
        <f>IF(AND(tblData[Date]&gt;=StartDt2Korea,ISNUMBER(tblData[SKorea])),(tblData[[#This Row],[SKorea LogiP(t)]]-tblData[[#This Row],[SKorea]])^2,"")</f>
        <v/>
      </c>
      <c r="AU12" s="11" t="str">
        <f>IF(tblData[Date]&gt;=StartDt2Korea,tblData[[#This Row],[SKorea LogiP(t)]]/$AS$9,"")</f>
        <v/>
      </c>
      <c r="AV12" s="11" t="str">
        <f>IF(ISNUMBER(tblData[Days'# UK]),betaUK/(deltaUK+betaPodeltaUK*EXP(-betaUK*tblData[Days'# UK])),"")</f>
        <v/>
      </c>
      <c r="AW12" s="11" t="str">
        <f>IF(ISNUMBER(tblData[UK]),(tblData[[#This Row],[UK LogiP(t)]]-tblData[[#This Row],[UK]])^2,"")</f>
        <v/>
      </c>
      <c r="AX12" s="11" t="str">
        <f>IF(ISNUMBER(tblData[Days'# UK]),tblData[[#This Row],[UK LogiP(t)]]/$AV$9,"")</f>
        <v/>
      </c>
      <c r="AY12" s="11">
        <f>IF(ISNUMBER(tblData[Days'# China]),betaChina/(deltaChina+betaPodeltaChina*EXP(-betaChina*tblData[Days'# China])),"")</f>
        <v>1911.1095897721405</v>
      </c>
      <c r="AZ12" s="11">
        <f>IF(ISNUMBER(tblData[China]),(tblData[[#This Row],[China LogiP(t)]]-tblData[[#This Row],[China]])^2,"")</f>
        <v>1608101.9316720665</v>
      </c>
      <c r="BA12" s="11">
        <f>tblData[[#This Row],[China LogiP(t)]]/$AY$9</f>
        <v>13.277829642217627</v>
      </c>
      <c r="BB12" s="11"/>
      <c r="BC12" s="11"/>
      <c r="BD12" s="11" t="str">
        <f>IF(ISNUMBER(tblData[[#This Row],[NSW Number of Tests]]),tblData[[#This Row],[NSW Number of Tests]]-BB11,"")</f>
        <v/>
      </c>
      <c r="BE12" s="11" t="str">
        <f>IF(ISNUMBER(tblData[[#This Row],[NSW Under Investigation'']]),tblData[[#This Row],[NSW Under Investigation'']]-BC11,"")</f>
        <v/>
      </c>
      <c r="BF12" s="11"/>
      <c r="BG12" s="11" t="str">
        <f>IF(ISNUMBER(tblData[[#This Row],[NSW Test Day Number]]),betaTest/(deltaTest+betaPodeltaTest*EXP(-betaTest*tblData[[#This Row],[NSW Test Day Number]])),"")</f>
        <v/>
      </c>
      <c r="BH12" s="11" t="str">
        <f>IF(ISNUMBER(tblData[[#This Row],[NSW Number of Tests]]),(tblData[[#This Row],[NSW Number of Tests]]-tblData[[#This Row],[NSW Test Logi]])^2,"")</f>
        <v/>
      </c>
      <c r="BJ12" s="1"/>
      <c r="BK12" s="62" t="s">
        <v>202</v>
      </c>
      <c r="BL12" s="84">
        <v>43911.866284722222</v>
      </c>
      <c r="BM12" s="63">
        <v>43855</v>
      </c>
      <c r="BN12" s="27">
        <v>43855</v>
      </c>
      <c r="BO12" s="62">
        <v>1</v>
      </c>
      <c r="BP12" s="62">
        <v>0.20930602113130264</v>
      </c>
      <c r="BQ12" s="68">
        <v>7.6817707886235747E-5</v>
      </c>
      <c r="BR12" s="62">
        <v>4.3039510033128963E-3</v>
      </c>
      <c r="BS12" s="62">
        <f>betaNSW/deltaNSW</f>
        <v>2724.7105763852951</v>
      </c>
      <c r="BT12" s="64">
        <f>SQRT(SUM(tblData[NSW Sq Err])/COUNT(tblData[NSW Sq Err]))</f>
        <v>4.2004617329616165</v>
      </c>
      <c r="BU12" s="62">
        <f>(betaNSW/PoNSW)-deltaNSW</f>
        <v>48.631057916445158</v>
      </c>
      <c r="BV12" s="62">
        <f>deltaNSW*1000</f>
        <v>7.681770788623575E-2</v>
      </c>
      <c r="BW12" s="64">
        <f>SQRT(SUM(tblData[NSW Sq Err])/COUNT(tblData[NSW Sq Err]))</f>
        <v>4.2004617329616165</v>
      </c>
      <c r="BX12" s="63">
        <f t="array" ref="BX12">MAX(IF(ISNUMBER(tblData[NSW]),tblData[Date]))</f>
        <v>43911</v>
      </c>
      <c r="BY12" s="63" t="str">
        <f t="shared" si="0"/>
        <v>2.72 k</v>
      </c>
      <c r="BZ12" s="62">
        <f>MAX(tblData[NSW])</f>
        <v>436</v>
      </c>
      <c r="CA12" s="62" t="str">
        <f>Cengnotation(BS12/(NSWpop/PerPerson),3)</f>
        <v>3.37 k</v>
      </c>
      <c r="CB12" s="63">
        <f t="array" ref="CB12">MAX(IF(ISNUMBER(tblData[NSW]),tblData[Date]))</f>
        <v>43911</v>
      </c>
      <c r="CC12" s="65">
        <f t="array" ref="CC12">COUNT(IF(ISNUMBER(tblData[NSW]),tblData[Date]))</f>
        <v>57</v>
      </c>
      <c r="CD12" s="63" t="str">
        <f t="shared" si="1"/>
        <v>b=0.209, d=7.68E-05, P0=.0043 Limit=3.37 k</v>
      </c>
      <c r="CE12" s="62"/>
      <c r="CF12" s="62" t="str">
        <f t="shared" si="2"/>
        <v>NSW Limit 3.37 k</v>
      </c>
      <c r="CG12" s="62"/>
      <c r="CH12" s="66" t="str">
        <f>"COVID19 "&amp;BK12 &amp; " " &amp;LogFormula&amp;CHAR(10)&amp;CD12&amp;CHAR(10)&amp;TEXT(CB12," dd-mmm")&amp;IF(PopScaling=0,"",", "&amp;PerPersonLabel)</f>
        <v>COVID19 NSW P(t) = b / {d+[( b/Po - d ) ]* exp(-b*t)}
b=0.209, d=7.68E-05, P0=.0043 Limit=3.37 k
 21-Mar, Cases per 10 M population</v>
      </c>
      <c r="CI12" s="21">
        <f>MAX(tblData[NSW Cases per Capita])</f>
        <v>539.60396039603961</v>
      </c>
      <c r="CJ12" s="65"/>
      <c r="CK12" s="65"/>
      <c r="CM12" s="11"/>
      <c r="CN12" s="26" t="str">
        <f>"At " &amp; TEXT(CB12,"ddd dd-mmm " ) &amp;  BK12  &amp;  TEXT(NSWMaxCasespc," ###0") &amp; " cases per 10M was " &amp; CK13 &amp; " days behind Italy, " &amp; IF(CK14&gt;0, CK14 &amp; " days behind", -CK14 &amp; " days ahead of") &amp; " USA &amp; " &amp;  CK15 &amp; " days behind China, " &amp; CK16 &amp; " days behind South Korea, " &amp; CK17 &amp; " days behind UK"</f>
        <v>At Sat 21-Mar NSW 540 cases per 10M was 16 days behind Italy, 1 days behind USA &amp; 25 days behind China, 21 days behind South Korea, 1 days behind UK</v>
      </c>
      <c r="CY12" s="27">
        <v>44004</v>
      </c>
      <c r="CZ12" s="44">
        <f>CZ11</f>
        <v>8080000</v>
      </c>
      <c r="DA12" s="52">
        <f>PerPerson</f>
        <v>10000000</v>
      </c>
      <c r="DB12">
        <f>delta</f>
        <v>1.0000000000000768E-9</v>
      </c>
      <c r="DE12" s="26" t="s">
        <v>48</v>
      </c>
      <c r="DG12" s="27">
        <v>43855</v>
      </c>
      <c r="DI12" s="26">
        <v>0</v>
      </c>
      <c r="DJ12" s="26">
        <v>0.19828176912463458</v>
      </c>
      <c r="DK12" s="26">
        <v>1.0000000000015669E-10</v>
      </c>
      <c r="DL12" s="26">
        <v>1.5235707215503663E-2</v>
      </c>
      <c r="DM12" s="26">
        <v>1982817691.2432389</v>
      </c>
      <c r="DN12" s="19">
        <v>12.353786198782009</v>
      </c>
      <c r="DO12" s="12">
        <v>13.014280618450188</v>
      </c>
      <c r="DP12" s="26">
        <v>1.0000000000015668E-7</v>
      </c>
      <c r="DQ12" s="26"/>
      <c r="DR12" s="27">
        <v>43908</v>
      </c>
      <c r="DS12" s="27" t="s">
        <v>998</v>
      </c>
      <c r="DT12" s="26">
        <v>636</v>
      </c>
      <c r="DU12" s="26" t="s">
        <v>999</v>
      </c>
      <c r="DV12" s="27">
        <v>43908</v>
      </c>
      <c r="DW12" s="26">
        <v>58</v>
      </c>
      <c r="DX12" s="27" t="s">
        <v>1000</v>
      </c>
      <c r="DY12" s="26"/>
      <c r="DZ12" s="26" t="s">
        <v>1001</v>
      </c>
      <c r="EA12" s="26"/>
      <c r="EB12" s="18" t="s">
        <v>1024</v>
      </c>
      <c r="EC12" s="21">
        <v>250.74909320296484</v>
      </c>
      <c r="ED12" s="26"/>
      <c r="EE12" s="26"/>
      <c r="EF12" s="26"/>
      <c r="EG12" s="26"/>
      <c r="EH12" s="26" t="s">
        <v>1025</v>
      </c>
      <c r="EI12" s="26"/>
      <c r="EJ12" s="26"/>
    </row>
    <row r="13" spans="1:140" x14ac:dyDescent="0.25">
      <c r="B13" s="1">
        <v>43854</v>
      </c>
      <c r="C13">
        <v>0</v>
      </c>
      <c r="D13" s="26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 s="26" t="str">
        <f>IF(ISNUMBER(tblData[[#This Row],[NSW]]),tblData[[#This Row],[New South Wales]]/$L$9,"")</f>
        <v/>
      </c>
      <c r="M13" s="26"/>
      <c r="N13" s="26" t="str">
        <f>IF(ISNUMBER(tblData[Italy]),tblData[Italy]/$N$9,"")</f>
        <v/>
      </c>
      <c r="P13" s="26" t="str">
        <f>IF(ISNUMBER(tblData[US]),tblData[US]/$P$9,"")</f>
        <v/>
      </c>
      <c r="Q13">
        <v>2</v>
      </c>
      <c r="R13" s="19">
        <f>IF(ISNUMBER(tblData[SKorea]),tblData[SKorea]/$R$9,"")</f>
        <v>0.38910505836575876</v>
      </c>
      <c r="T13" s="26" t="str">
        <f>IF(ISNUMBER(tblData[UK]),tblData[UK]/$T$9,"")</f>
        <v/>
      </c>
      <c r="U13">
        <v>920</v>
      </c>
      <c r="V13" s="21">
        <f>IF(ISNUMBER(tblData[China]),tblData[China]/$V$9,"")</f>
        <v>6.391890520677399</v>
      </c>
      <c r="W13" s="26" t="str">
        <f>IF(tblData[[#This Row],[Date]]&lt;ItalyStart,"",tblData[[#This Row],[Date]]-ItalyStart)</f>
        <v/>
      </c>
      <c r="X13" s="26"/>
      <c r="Y13" s="26">
        <f t="shared" ref="Y13:Y76" si="3">Y12+1</f>
        <v>2</v>
      </c>
      <c r="Z13" s="26" t="str">
        <f>IF(tblData[[#This Row],[Date]]&lt;StartDt2Korea,"",tblData[[#This Row],[Date]]-StartDt2Korea)</f>
        <v/>
      </c>
      <c r="AA13" s="26" t="str">
        <f>IF(tblData[[#This Row],[Date]]&lt;UKStart,"",tblData[[#This Row],[Date]]-UKStart)</f>
        <v/>
      </c>
      <c r="AB13" t="str">
        <f>IF(tblData[Date]&gt;=StartDt2Au,tblData[Date]-StartDt2Au,"")</f>
        <v/>
      </c>
      <c r="AC13" s="26" t="str">
        <f>IF(tblData[New South Wales]&gt;0,SUM(tblData[[#This Row],[Australian Capital Territory]:[Western Australia]]),"")</f>
        <v/>
      </c>
      <c r="AD13" s="26" t="str">
        <f>IF(ISNUMBER(tblData[Au]),tblData[Au]/$AA$9,"")</f>
        <v/>
      </c>
      <c r="AE13" s="11" t="str">
        <f>IF(ISNUMBER(tblData[[#This Row],[Day'# Aust]]),betaAu/(deltaAu+betaPodeltaAu*EXP(-betaAu*tblData[[#This Row],[Day'# Aust]])),"")</f>
        <v/>
      </c>
      <c r="AF13" s="71" t="str">
        <f>IF(ISNUMBER(tblData[Day'# Aust]),tblData[Au LogiP(t)]/$AD$9,"")</f>
        <v/>
      </c>
      <c r="AG13" s="11" t="str">
        <f>IF(AND(tblData[Date]&gt;=StartDt2Au,ISNUMBER(tblData[NSW])),(tblData[[#This Row],[Au LogiP(t)]]-tblData[[#This Row],[Au]])^2,"")</f>
        <v/>
      </c>
      <c r="AH13" t="str">
        <f>IF(tblData[Date]&gt;StartDt2NSW,tblData[Date]-StartDt2NSW,"")</f>
        <v/>
      </c>
      <c r="AI13" t="str">
        <f>IF(E13&gt;0,E13,"")</f>
        <v/>
      </c>
      <c r="AJ13" s="11" t="str">
        <f>IF(tblData[Date]&gt;StartDt2NSW,betaNSW/(deltaNSW+betaPodeltaNSW*EXP(-betaNSW*tblData[[#This Row],[Day '# NSW]])),"")</f>
        <v/>
      </c>
      <c r="AK13" s="12" t="str">
        <f>IF(AND(ISNUMBER(tblData[NSW]),tblData[Date]&gt;StartDt2NSW),(tblData[[#This Row],[NSW LogiP(t)]]-tblData[[#This Row],[NSW]])^2,"")</f>
        <v/>
      </c>
      <c r="AL13" s="12" t="str">
        <f>IF(AND(tblData[Date]&gt;StartDt2NSW,ISNUMBER(tblData[Day'# Aust])),tblData[NSW LogiP(t)]/$AG$9,"")</f>
        <v/>
      </c>
      <c r="AM13" s="11" t="str">
        <f>IF(AND(tblData[Date]&gt;StartDt2Italy,ISNUMBER(tblData[Days'# Italy])),betaItaly/(deltaItaly+betaPodeltaItaly*EXP(-betaItaly*tblData[Days'# Italy])),"")</f>
        <v/>
      </c>
      <c r="AN13" s="11" t="str">
        <f>IF(AND(tblData[Date]&gt;StartDt2Italy,ISNUMBER(tblData[Italy])),(tblData[[#This Row],[Italy LogiP(t)]]-tblData[[#This Row],[Italy]])^2,"")</f>
        <v/>
      </c>
      <c r="AO13" s="11" t="str">
        <f>IF(AND(tblData[Date]&gt;StartDt2Italy,ISNUMBER(tblData[Days'# Italy])),tblData[[#This Row],[Italy LogiP(t)]]/$AM$9,"")</f>
        <v/>
      </c>
      <c r="AP13" s="11" t="str">
        <f>IF(ISNUMBER(tblData[[#This Row],[Days'# US]]),betaUS/(deltaUS+betaPodeltaUS*EXP(-betaUS*tblData[Days'# US])),"")</f>
        <v/>
      </c>
      <c r="AQ13" s="11"/>
      <c r="AR13" s="11" t="str">
        <f>IF(ISNUMBER(tblData[[#This Row],[Days'# US]]),tblData[[#This Row],[US LogiP(t)]]/$AP$9,"")</f>
        <v/>
      </c>
      <c r="AS13" s="11" t="str">
        <f>IF(tblData[Date]&gt;=StartDt2Korea,betaSKorea/(deltaSKorea+betaPodeltaSKorea*EXP(-betaSKorea*(tblData[Date]-StartDt2Korea))),"")</f>
        <v/>
      </c>
      <c r="AT13" s="11" t="str">
        <f>IF(AND(tblData[Date]&gt;=StartDt2Korea,ISNUMBER(tblData[SKorea])),(tblData[[#This Row],[SKorea LogiP(t)]]-tblData[[#This Row],[SKorea]])^2,"")</f>
        <v/>
      </c>
      <c r="AU13" s="11" t="str">
        <f>IF(tblData[Date]&gt;=StartDt2Korea,tblData[[#This Row],[SKorea LogiP(t)]]/$AS$9,"")</f>
        <v/>
      </c>
      <c r="AV13" s="11" t="str">
        <f>IF(ISNUMBER(tblData[Days'# UK]),betaUK/(deltaUK+betaPodeltaUK*EXP(-betaUK*tblData[Days'# UK])),"")</f>
        <v/>
      </c>
      <c r="AW13" s="11" t="str">
        <f>IF(ISNUMBER(tblData[UK]),(tblData[[#This Row],[UK LogiP(t)]]-tblData[[#This Row],[UK]])^2,"")</f>
        <v/>
      </c>
      <c r="AX13" s="11" t="str">
        <f>IF(ISNUMBER(tblData[Days'# UK]),tblData[[#This Row],[UK LogiP(t)]]/$AV$9,"")</f>
        <v/>
      </c>
      <c r="AY13" s="11">
        <f>IF(ISNUMBER(tblData[Days'# China]),betaChina/(deltaChina+betaPodeltaChina*EXP(-betaChina*tblData[Days'# China])),"")</f>
        <v>2372.5650376127014</v>
      </c>
      <c r="AZ13" s="11">
        <f>IF(ISNUMBER(tblData[China]),(tblData[[#This Row],[China LogiP(t)]]-tblData[[#This Row],[China]])^2,"")</f>
        <v>2109945.1884947885</v>
      </c>
      <c r="BA13" s="11">
        <f>tblData[[#This Row],[China LogiP(t)]]/$AY$9</f>
        <v>16.483886927833961</v>
      </c>
      <c r="BB13" s="11"/>
      <c r="BC13" s="11"/>
      <c r="BD13" s="11" t="str">
        <f>IF(ISNUMBER(tblData[[#This Row],[NSW Number of Tests]]),tblData[[#This Row],[NSW Number of Tests]]-BB12,"")</f>
        <v/>
      </c>
      <c r="BE13" s="11" t="str">
        <f>IF(ISNUMBER(tblData[[#This Row],[NSW Under Investigation'']]),tblData[[#This Row],[NSW Under Investigation'']]-BC12,"")</f>
        <v/>
      </c>
      <c r="BF13" s="11"/>
      <c r="BG13" s="11" t="str">
        <f>IF(ISNUMBER(tblData[[#This Row],[NSW Test Day Number]]),betaTest/(deltaTest+betaPodeltaTest*EXP(-betaTest*tblData[[#This Row],[NSW Test Day Number]])),"")</f>
        <v/>
      </c>
      <c r="BH13" s="11" t="str">
        <f>IF(ISNUMBER(tblData[[#This Row],[NSW Number of Tests]]),(tblData[[#This Row],[NSW Number of Tests]]-tblData[[#This Row],[NSW Test Logi]])^2,"")</f>
        <v/>
      </c>
      <c r="BJ13" s="1"/>
      <c r="BK13" t="s">
        <v>58</v>
      </c>
      <c r="BL13" s="82">
        <v>43911.866296296299</v>
      </c>
      <c r="BM13" s="1">
        <v>43860</v>
      </c>
      <c r="BN13" s="27">
        <v>43860</v>
      </c>
      <c r="BO13">
        <v>2</v>
      </c>
      <c r="BP13" s="23">
        <v>0.26021145951808367</v>
      </c>
      <c r="BQ13" s="25">
        <v>4.6967448339452021E-6</v>
      </c>
      <c r="BR13" s="22">
        <v>0.44199535332226664</v>
      </c>
      <c r="BS13" s="24">
        <f>betaItaly/deltaItaly</f>
        <v>55402.511466544704</v>
      </c>
      <c r="BT13" s="37">
        <f>SQRT(SUM(tblData[Italy Sq Err])/COUNT(tblData[Italy Sq Err]))</f>
        <v>1583.8727570480373</v>
      </c>
      <c r="BU13" s="24">
        <f>(betaItaly/PoItaly)-deltaItaly</f>
        <v>0.58871520169346225</v>
      </c>
      <c r="BV13" s="24">
        <f>deltaItaly*1000</f>
        <v>4.696744833945202E-3</v>
      </c>
      <c r="BW13" s="24"/>
      <c r="BX13" s="27">
        <f t="array" ref="BX13">MAX(IF(ISNUMBER(tblData[Italy]),tblData[Date]))</f>
        <v>43911</v>
      </c>
      <c r="BY13" s="27" t="str">
        <f t="shared" si="0"/>
        <v>55.4 k</v>
      </c>
      <c r="BZ13" s="26">
        <f>MAX(tblData[Italy])</f>
        <v>53578</v>
      </c>
      <c r="CA13" s="26" t="str">
        <f>Cengnotation(BS13/(ItalyPop/PerPerson),3)</f>
        <v>9.17 k</v>
      </c>
      <c r="CB13" s="1">
        <f t="array" ref="CB13">MAX(IF(ISNUMBER(tblData[Italy]),tblData[Date]))</f>
        <v>43911</v>
      </c>
      <c r="CC13" s="19">
        <f t="array" ref="CC13">COUNT(IF(ISNUMBER(tblData[Italy]),tblData[Date]))</f>
        <v>52</v>
      </c>
      <c r="CD13" s="27" t="str">
        <f t="shared" si="1"/>
        <v>b=0.26, d=4.70E-06, P0=.442 Limit=9.17 k</v>
      </c>
      <c r="CF13" s="26" t="str">
        <f t="shared" si="2"/>
        <v>Italy Limit 9.17 k</v>
      </c>
      <c r="CG13" s="26"/>
      <c r="CH13" s="18" t="str">
        <f>"COVID19 "&amp;BK13 &amp; " " &amp;LogFormula&amp;CHAR(10)&amp;CD13&amp;CHAR(10)&amp;TEXT(CB13," dd-mmm")&amp;IF(PopScaling=0,"",", "&amp;PerPersonLabel)</f>
        <v>COVID19 Italy P(t) = b / {d+[( b/Po - d ) ]* exp(-b*t)}
b=0.26, d=4.70E-06, P0=.442 Limit=9.17 k
 21-Mar, Cases per 10 M population</v>
      </c>
      <c r="CI13" s="21">
        <f>MAX(tblData[Italy Cases per Capita])</f>
        <v>8863.1927212572373</v>
      </c>
      <c r="CJ13" s="27">
        <f>IF(CI13&gt;NSWMaxCasespc,INDEX(tblData[Date],1+MATCH(NSWMaxCasespc,tblData[Italy Cases per Capita],1)),INDEX(tblData[Date],1+MATCH(CI13,tblData[NSW Cases per Capita],1)))</f>
        <v>43895</v>
      </c>
      <c r="CK13" s="11">
        <f>IF(CI13&gt;NSWMaxCasespc,1,-1)*(BX$12-CJ13)</f>
        <v>16</v>
      </c>
      <c r="CL13" s="27">
        <f>IF(CI13&gt;AuMaxCasespc,INDEX(tblData[Date],1+MATCH(AuMaxCasespc,tblData[Italy Cases per Capita],1)),INDEX(tblData[Date],1+MATCH(CI13,tblData[Au Cases Per Capita],1)))</f>
        <v>43894</v>
      </c>
      <c r="CM13" s="11">
        <f>IF(CI13&gt;AuMaxCasespc,1,-1)*(BX$13-CL13+1)</f>
        <v>18</v>
      </c>
      <c r="DE13" s="26" t="s">
        <v>48</v>
      </c>
      <c r="DG13" s="27">
        <v>43855</v>
      </c>
      <c r="DI13" s="26">
        <v>0</v>
      </c>
      <c r="DJ13" s="26">
        <v>0.20329336152663352</v>
      </c>
      <c r="DK13" s="26">
        <v>9.9999999999999995E-7</v>
      </c>
      <c r="DL13" s="26">
        <v>1.1946625698450987E-2</v>
      </c>
      <c r="DM13" s="26">
        <v>203293.36152663353</v>
      </c>
      <c r="DN13" s="19">
        <v>11.355599354824715</v>
      </c>
      <c r="DO13" s="12">
        <v>17.016800786381637</v>
      </c>
      <c r="DP13" s="26">
        <v>1E-3</v>
      </c>
      <c r="DQ13" s="26"/>
      <c r="DR13" s="27">
        <v>43910</v>
      </c>
      <c r="DS13" s="26" t="s">
        <v>1303</v>
      </c>
      <c r="DT13" s="26">
        <v>876</v>
      </c>
      <c r="DU13" s="26" t="s">
        <v>1304</v>
      </c>
      <c r="DV13" s="27">
        <v>43910</v>
      </c>
      <c r="DW13" s="26">
        <v>59</v>
      </c>
      <c r="DX13" s="26" t="s">
        <v>1305</v>
      </c>
      <c r="DY13" s="26"/>
      <c r="DZ13" s="26" t="s">
        <v>1306</v>
      </c>
      <c r="EA13" s="26"/>
      <c r="EB13" s="26" t="s">
        <v>1307</v>
      </c>
      <c r="EC13" s="26">
        <v>345.37139252483837</v>
      </c>
      <c r="ED13" s="26"/>
      <c r="EE13" s="26"/>
      <c r="EF13" s="26"/>
      <c r="EG13" s="26"/>
      <c r="EH13" s="26" t="s">
        <v>1308</v>
      </c>
      <c r="EI13" s="26"/>
      <c r="EJ13" s="26"/>
    </row>
    <row r="14" spans="1:140" ht="18.75" customHeight="1" x14ac:dyDescent="0.25">
      <c r="B14" s="1">
        <v>43855</v>
      </c>
      <c r="C14">
        <v>0</v>
      </c>
      <c r="D14" s="26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 s="26">
        <f>IF(ISNUMBER(tblData[[#This Row],[NSW]]),tblData[[#This Row],[New South Wales]]/$L$9,"")</f>
        <v>0</v>
      </c>
      <c r="M14" s="26"/>
      <c r="N14" s="26" t="str">
        <f>IF(ISNUMBER(tblData[Italy]),tblData[Italy]/$N$9,"")</f>
        <v/>
      </c>
      <c r="P14" s="26" t="str">
        <f>IF(ISNUMBER(tblData[US]),tblData[US]/$P$9,"")</f>
        <v/>
      </c>
      <c r="Q14">
        <v>2</v>
      </c>
      <c r="R14" s="19">
        <f>IF(ISNUMBER(tblData[SKorea]),tblData[SKorea]/$R$9,"")</f>
        <v>0.38910505836575876</v>
      </c>
      <c r="T14" s="26" t="str">
        <f>IF(ISNUMBER(tblData[UK]),tblData[UK]/$T$9,"")</f>
        <v/>
      </c>
      <c r="U14">
        <v>1406</v>
      </c>
      <c r="V14" s="21">
        <f>IF(ISNUMBER(tblData[China]),tblData[China]/$V$9,"")</f>
        <v>9.7684761652961125</v>
      </c>
      <c r="W14" s="26" t="str">
        <f>IF(tblData[[#This Row],[Date]]&lt;ItalyStart,"",tblData[[#This Row],[Date]]-ItalyStart)</f>
        <v/>
      </c>
      <c r="X14" s="26"/>
      <c r="Y14" s="26">
        <f t="shared" si="3"/>
        <v>3</v>
      </c>
      <c r="Z14" s="26" t="str">
        <f>IF(tblData[[#This Row],[Date]]&lt;StartDt2Korea,"",tblData[[#This Row],[Date]]-StartDt2Korea)</f>
        <v/>
      </c>
      <c r="AA14" s="26" t="str">
        <f>IF(tblData[[#This Row],[Date]]&lt;UKStart,"",tblData[[#This Row],[Date]]-UKStart)</f>
        <v/>
      </c>
      <c r="AB14">
        <f>IF(tblData[Date]&gt;=StartDt2Au,tblData[Date]-StartDt2Au,"")</f>
        <v>0</v>
      </c>
      <c r="AC14" s="26">
        <f>IF(tblData[New South Wales]&gt;=0,SUM(tblData[[#This Row],[Australian Capital Territory]:[Western Australia]]),"")</f>
        <v>0</v>
      </c>
      <c r="AD14" s="26">
        <f>IF(ISNUMBER(tblData[Au]),tblData[Au]/$AA$9,"")</f>
        <v>0</v>
      </c>
      <c r="AE14" s="19">
        <f>IF(ISNUMBER(tblData[[#This Row],[Day'# Aust]]),betaAu/(deltaAu+betaPodeltaAu*EXP(-betaAu*tblData[[#This Row],[Day'# Aust]])),"")</f>
        <v>1.0150253776574341E-2</v>
      </c>
      <c r="AF14" s="72">
        <f>IF(ISNUMBER(tblData[Day'# Aust]),tblData[Au LogiP(t)]/$AD$9,"")</f>
        <v>4.001834795999977E-3</v>
      </c>
      <c r="AG14" s="11">
        <f>IF(AND(tblData[Date]&gt;=StartDt2Au,ISNUMBER(tblData[NSW])),(tblData[[#This Row],[Au LogiP(t)]]-tblData[[#This Row],[Au]])^2,"")</f>
        <v>1.0302765172886168E-4</v>
      </c>
      <c r="AH14" t="str">
        <f>IF(tblData[Date]&gt;StartDt2NSW,tblData[Date]-StartDt2NSW,"")</f>
        <v/>
      </c>
      <c r="AI14">
        <v>0</v>
      </c>
      <c r="AJ14" s="11" t="str">
        <f>IF(tblData[Date]&gt;StartDt2NSW,betaNSW/(deltaNSW+betaPodeltaNSW*EXP(-betaNSW*tblData[[#This Row],[Day '# NSW]])),"")</f>
        <v/>
      </c>
      <c r="AK14" s="12" t="str">
        <f>IF(AND(ISNUMBER(tblData[NSW]),tblData[Date]&gt;StartDt2NSW),(tblData[[#This Row],[NSW LogiP(t)]]-tblData[[#This Row],[NSW]])^2,"")</f>
        <v/>
      </c>
      <c r="AL14" s="12" t="str">
        <f>IF(AND(tblData[Date]&gt;StartDt2NSW,ISNUMBER(tblData[Day'# Aust])),tblData[NSW LogiP(t)]/$AG$9,"")</f>
        <v/>
      </c>
      <c r="AM14" s="11" t="str">
        <f>IF(AND(tblData[Date]&gt;StartDt2Italy,ISNUMBER(tblData[Days'# Italy])),betaItaly/(deltaItaly+betaPodeltaItaly*EXP(-betaItaly*tblData[Days'# Italy])),"")</f>
        <v/>
      </c>
      <c r="AN14" s="11" t="str">
        <f>IF(AND(tblData[Date]&gt;StartDt2Italy,ISNUMBER(tblData[Italy])),(tblData[[#This Row],[Italy LogiP(t)]]-tblData[[#This Row],[Italy]])^2,"")</f>
        <v/>
      </c>
      <c r="AO14" s="11" t="str">
        <f>IF(AND(tblData[Date]&gt;StartDt2Italy,ISNUMBER(tblData[Days'# Italy])),tblData[[#This Row],[Italy LogiP(t)]]/$AM$9,"")</f>
        <v/>
      </c>
      <c r="AP14" s="11" t="str">
        <f>IF(ISNUMBER(tblData[[#This Row],[Days'# US]]),betaUS/(deltaUS+betaPodeltaUS*EXP(-betaUS*tblData[Days'# US])),"")</f>
        <v/>
      </c>
      <c r="AQ14" s="11"/>
      <c r="AR14" s="11" t="str">
        <f>IF(ISNUMBER(tblData[[#This Row],[Days'# US]]),tblData[[#This Row],[US LogiP(t)]]/$AP$9,"")</f>
        <v/>
      </c>
      <c r="AS14" s="11" t="str">
        <f>IF(tblData[Date]&gt;=StartDt2Korea,betaSKorea/(deltaSKorea+betaPodeltaSKorea*EXP(-betaSKorea*(tblData[Date]-StartDt2Korea))),"")</f>
        <v/>
      </c>
      <c r="AT14" s="11" t="str">
        <f>IF(AND(tblData[Date]&gt;=StartDt2Korea,ISNUMBER(tblData[SKorea])),(tblData[[#This Row],[SKorea LogiP(t)]]-tblData[[#This Row],[SKorea]])^2,"")</f>
        <v/>
      </c>
      <c r="AU14" s="11" t="str">
        <f>IF(tblData[Date]&gt;=StartDt2Korea,tblData[[#This Row],[SKorea LogiP(t)]]/$AS$9,"")</f>
        <v/>
      </c>
      <c r="AV14" s="11" t="str">
        <f>IF(ISNUMBER(tblData[Days'# UK]),betaUK/(deltaUK+betaPodeltaUK*EXP(-betaUK*tblData[Days'# UK])),"")</f>
        <v/>
      </c>
      <c r="AW14" s="11" t="str">
        <f>IF(ISNUMBER(tblData[UK]),(tblData[[#This Row],[UK LogiP(t)]]-tblData[[#This Row],[UK]])^2,"")</f>
        <v/>
      </c>
      <c r="AX14" s="11" t="str">
        <f>IF(ISNUMBER(tblData[Days'# UK]),tblData[[#This Row],[UK LogiP(t)]]/$AV$9,"")</f>
        <v/>
      </c>
      <c r="AY14" s="11">
        <f>IF(ISNUMBER(tblData[Days'# China]),betaChina/(deltaChina+betaPodeltaChina*EXP(-betaChina*tblData[Days'# China])),"")</f>
        <v>2941.2969213616634</v>
      </c>
      <c r="AZ14" s="11">
        <f>IF(ISNUMBER(tblData[China]),(tblData[[#This Row],[China LogiP(t)]]-tblData[[#This Row],[China]])^2,"")</f>
        <v>2357136.6367426016</v>
      </c>
      <c r="BA14" s="11">
        <f>tblData[[#This Row],[China LogiP(t)]]/$AY$9</f>
        <v>20.435269467553514</v>
      </c>
      <c r="BB14" s="11"/>
      <c r="BC14" s="11"/>
      <c r="BD14" s="11" t="str">
        <f>IF(ISNUMBER(tblData[[#This Row],[NSW Number of Tests]]),tblData[[#This Row],[NSW Number of Tests]]-BB13,"")</f>
        <v/>
      </c>
      <c r="BE14" s="11" t="str">
        <f>IF(ISNUMBER(tblData[[#This Row],[NSW Under Investigation'']]),tblData[[#This Row],[NSW Under Investigation'']]-BC13,"")</f>
        <v/>
      </c>
      <c r="BF14" s="11"/>
      <c r="BG14" s="11" t="str">
        <f>IF(ISNUMBER(tblData[[#This Row],[NSW Test Day Number]]),betaTest/(deltaTest+betaPodeltaTest*EXP(-betaTest*tblData[[#This Row],[NSW Test Day Number]])),"")</f>
        <v/>
      </c>
      <c r="BH14" s="11" t="str">
        <f>IF(ISNUMBER(tblData[[#This Row],[NSW Number of Tests]]),(tblData[[#This Row],[NSW Number of Tests]]-tblData[[#This Row],[NSW Test Logi]])^2,"")</f>
        <v/>
      </c>
      <c r="BJ14" s="27"/>
      <c r="BK14" s="26" t="s">
        <v>486</v>
      </c>
      <c r="BL14" s="83">
        <v>43911.866307870368</v>
      </c>
      <c r="BM14" s="27">
        <v>43852</v>
      </c>
      <c r="BN14" s="27">
        <v>43870</v>
      </c>
      <c r="BO14" s="26">
        <v>3</v>
      </c>
      <c r="BP14" s="23">
        <v>0.34769529201458815</v>
      </c>
      <c r="BQ14" s="25">
        <v>1.0000000000000751E-9</v>
      </c>
      <c r="BR14" s="22">
        <v>1.709986186409522E-2</v>
      </c>
      <c r="BS14" s="24">
        <f>betaUS/deltaUS</f>
        <v>347695292.01456201</v>
      </c>
      <c r="BT14" s="37">
        <f>SQRT(SUM(tblData[US Sq Err])/COUNT(tblData[US Sq Err]))</f>
        <v>484.31974904129981</v>
      </c>
      <c r="BU14" s="24">
        <f>(betaUS/PoUS)-deltaUS</f>
        <v>20.333222265821231</v>
      </c>
      <c r="BV14" s="24">
        <f>deltaUS*1000</f>
        <v>1.0000000000000751E-6</v>
      </c>
      <c r="BW14" s="24"/>
      <c r="BX14" s="27">
        <f t="array" ref="BX14">MAX(IF(ISNUMBER(tblData[US]),tblData[Date]))</f>
        <v>43911</v>
      </c>
      <c r="BY14" s="27" t="str">
        <f t="shared" si="0"/>
        <v>348 M</v>
      </c>
      <c r="BZ14" s="26">
        <f>MAX(tblData[US])</f>
        <v>24148</v>
      </c>
      <c r="CA14" s="26" t="str">
        <f>Cengnotation(BS14/(USpop/PerPerson),3)</f>
        <v>10.6 M</v>
      </c>
      <c r="CB14" s="27">
        <f t="array" ref="CB14">MAX(IF(ISNUMBER(tblData[Italy]),tblData[Date]))</f>
        <v>43911</v>
      </c>
      <c r="CC14" s="19">
        <f t="array" ref="CC14">COUNT(IF(ISNUMBER(tblData[US]),tblData[Date]))</f>
        <v>42</v>
      </c>
      <c r="CD14" s="27" t="str">
        <f t="shared" si="1"/>
        <v>b=0.348, d=1.00E-09, P0=.0171 Limit=10.6 M</v>
      </c>
      <c r="CE14" s="26"/>
      <c r="CF14" s="26" t="str">
        <f t="shared" si="2"/>
        <v>USA Limit 10.6 M</v>
      </c>
      <c r="CG14" s="33" t="s">
        <v>982</v>
      </c>
      <c r="CH14" s="18" t="str">
        <f>"COVID19 "&amp;BK14 &amp; " " &amp;LogFormula&amp;CHAR(10)&amp;CD14&amp;CHAR(10)&amp;TEXT(CB14," dd-mmm")&amp;IF(PopScaling=0,"",", "&amp;PerPersonLabel)&amp;CHAR(10)&amp;CG14</f>
        <v>COVID19 USA P(t) = b / {d+[( b/Po - d ) ]* exp(-b*t)}
b=0.348, d=1.00E-09, P0=.0171 Limit=10.6 M
 21-Mar, Cases per 10 M population
 - Prediction without last day</v>
      </c>
      <c r="CI14" s="21">
        <f>MAX(tblData[US Cases Per Capita])</f>
        <v>733.47402499909595</v>
      </c>
      <c r="CJ14" s="27">
        <f>IF(CI14&gt;NSWMaxCasespc,INDEX(tblData[Date],1+MATCH(NSWMaxCasespc,tblData[US Cases Per Capita],1)),INDEX(tblData[Date],1+MATCH(CI14,tblData[NSW Cases per Capita],1)))</f>
        <v>43910</v>
      </c>
      <c r="CK14" s="11">
        <f>IF(CI14&gt;NSWMaxCasespc,1,-1)*(BX$12-CJ14)</f>
        <v>1</v>
      </c>
      <c r="CL14" s="27">
        <f>IF(CI14&gt;AuMaxCasespc,INDEX(tblData[Date],1+MATCH(AuMaxCasespc,tblData[US Cases Per Capita],1)),INDEX(tblData[Date],1+MATCH(CI14,tblData[Au Cases Per Capita],1)))</f>
        <v>43910</v>
      </c>
      <c r="CM14" s="11">
        <f>IF(CI14&gt;AuMaxCasespc,1,-1)*(BX$13-CL14+1)</f>
        <v>2</v>
      </c>
      <c r="CN14" s="26"/>
      <c r="CP14" s="26"/>
      <c r="CQ14" s="26"/>
      <c r="DE14" s="26" t="s">
        <v>48</v>
      </c>
      <c r="DF14" s="82">
        <v>43911.866249999999</v>
      </c>
      <c r="DG14" s="27">
        <v>43855</v>
      </c>
      <c r="DH14" s="27">
        <v>43855</v>
      </c>
      <c r="DI14" s="26">
        <v>0</v>
      </c>
      <c r="DJ14" s="26">
        <v>0.20648931335259277</v>
      </c>
      <c r="DK14" s="26">
        <v>1.0000000000000768E-9</v>
      </c>
      <c r="DL14" s="26">
        <v>1.0150253776574341E-2</v>
      </c>
      <c r="DM14" s="26">
        <v>206489313.35257691</v>
      </c>
      <c r="DN14" s="19">
        <v>10.992507007919523</v>
      </c>
      <c r="DO14" s="12">
        <v>20.343266078627209</v>
      </c>
      <c r="DP14" s="26">
        <v>1.0000000000000768E-6</v>
      </c>
      <c r="DQ14" s="26"/>
      <c r="DR14" s="27">
        <v>43911</v>
      </c>
      <c r="DS14" s="26" t="s">
        <v>1493</v>
      </c>
      <c r="DT14" s="26">
        <v>1068</v>
      </c>
      <c r="DU14" s="26" t="s">
        <v>1494</v>
      </c>
      <c r="DV14" s="27">
        <v>43911</v>
      </c>
      <c r="DW14" s="26">
        <v>60</v>
      </c>
      <c r="DX14" s="26" t="s">
        <v>1495</v>
      </c>
      <c r="DZ14" s="26" t="s">
        <v>1496</v>
      </c>
      <c r="EA14" s="26"/>
      <c r="EB14" s="26" t="s">
        <v>1497</v>
      </c>
      <c r="EC14" s="26">
        <v>421.06923198233716</v>
      </c>
      <c r="ED14" s="26"/>
      <c r="EE14" s="26"/>
      <c r="EF14" s="26"/>
      <c r="EG14" s="26"/>
      <c r="EH14" s="26" t="s">
        <v>1475</v>
      </c>
      <c r="EI14" s="26"/>
      <c r="EJ14" s="26"/>
    </row>
    <row r="15" spans="1:140" ht="15" customHeight="1" x14ac:dyDescent="0.3">
      <c r="B15" s="1">
        <v>43856</v>
      </c>
      <c r="C15">
        <v>0</v>
      </c>
      <c r="D15" s="26">
        <v>0</v>
      </c>
      <c r="E15">
        <v>3</v>
      </c>
      <c r="F15">
        <v>0</v>
      </c>
      <c r="G15">
        <v>0</v>
      </c>
      <c r="H15">
        <v>0</v>
      </c>
      <c r="I15">
        <v>0</v>
      </c>
      <c r="J15">
        <v>1</v>
      </c>
      <c r="K15">
        <v>0</v>
      </c>
      <c r="L15" s="12">
        <f>IF(ISNUMBER(tblData[[#This Row],[NSW]]),tblData[[#This Row],[New South Wales]]/$L$9,"")</f>
        <v>3.7128712871287126</v>
      </c>
      <c r="M15" s="26"/>
      <c r="N15" s="26" t="str">
        <f>IF(ISNUMBER(tblData[Italy]),tblData[Italy]/$N$9,"")</f>
        <v/>
      </c>
      <c r="P15" s="26" t="str">
        <f>IF(ISNUMBER(tblData[US]),tblData[US]/$P$9,"")</f>
        <v/>
      </c>
      <c r="Q15">
        <v>3</v>
      </c>
      <c r="R15" s="19">
        <f>IF(ISNUMBER(tblData[SKorea]),tblData[SKorea]/$R$9,"")</f>
        <v>0.58365758754863817</v>
      </c>
      <c r="T15" s="26" t="str">
        <f>IF(ISNUMBER(tblData[UK]),tblData[UK]/$T$9,"")</f>
        <v/>
      </c>
      <c r="U15">
        <v>2075</v>
      </c>
      <c r="V15" s="21">
        <f>IF(ISNUMBER(tblData[China]),tblData[China]/$V$9,"")</f>
        <v>14.416492206962612</v>
      </c>
      <c r="W15" s="26" t="str">
        <f>IF(tblData[[#This Row],[Date]]&lt;ItalyStart,"",tblData[[#This Row],[Date]]-ItalyStart)</f>
        <v/>
      </c>
      <c r="X15" s="26"/>
      <c r="Y15" s="26">
        <f t="shared" si="3"/>
        <v>4</v>
      </c>
      <c r="Z15" s="26" t="str">
        <f>IF(tblData[[#This Row],[Date]]&lt;StartDt2Korea,"",tblData[[#This Row],[Date]]-StartDt2Korea)</f>
        <v/>
      </c>
      <c r="AA15" s="26" t="str">
        <f>IF(tblData[[#This Row],[Date]]&lt;UKStart,"",tblData[[#This Row],[Date]]-UKStart)</f>
        <v/>
      </c>
      <c r="AB15">
        <f>IF(tblData[Date]&gt;=StartDt2Au,tblData[Date]-StartDt2Au,"")</f>
        <v>1</v>
      </c>
      <c r="AC15">
        <f>IF(tblData[New South Wales]&gt;0,SUM(tblData[[#This Row],[Australian Capital Territory]:[Western Australia]]),"")</f>
        <v>4</v>
      </c>
      <c r="AD15" s="12">
        <f>IF(ISNUMBER(tblData[Au]),tblData[Au]/$AA$9,"")</f>
        <v>1.5770383220312254</v>
      </c>
      <c r="AE15" s="19">
        <f>IF(ISNUMBER(tblData[[#This Row],[Day'# Aust]]),betaAu/(deltaAu+betaPodeltaAu*EXP(-betaAu*tblData[[#This Row],[Day'# Aust]])),"")</f>
        <v>1.2478261135405143E-2</v>
      </c>
      <c r="AF15" s="72">
        <f>IF(ISNUMBER(tblData[Day'# Aust]),tblData[Au LogiP(t)]/$AD$9,"")</f>
        <v>4.9196740007116952E-3</v>
      </c>
      <c r="AG15" s="11">
        <f>IF(AND(tblData[Date]&gt;=StartDt2Au,ISNUMBER(tblData[NSW])),(tblData[[#This Row],[Au LogiP(t)]]-tblData[[#This Row],[Au]])^2,"")</f>
        <v>15.900329617917723</v>
      </c>
      <c r="AH15">
        <f>IF(tblData[Date]&gt;StartDt2NSW,tblData[Date]-StartDt2NSW,"")</f>
        <v>1</v>
      </c>
      <c r="AI15">
        <f t="shared" ref="AI15:AI62" si="4">IF(E15&gt;0,E15,"")</f>
        <v>3</v>
      </c>
      <c r="AJ15" s="11">
        <f>IF(tblData[Date]&gt;StartDt2NSW,betaNSW/(deltaNSW+betaPodeltaNSW*EXP(-betaNSW*tblData[[#This Row],[Day '# NSW]])),"")</f>
        <v>5.3060044382377131E-3</v>
      </c>
      <c r="AK15" s="12">
        <f>IF(AND(ISNUMBER(tblData[NSW]),tblData[Date]&gt;StartDt2NSW),(tblData[[#This Row],[NSW LogiP(t)]]-tblData[[#This Row],[NSW]])^2,"")</f>
        <v>8.9681921270536709</v>
      </c>
      <c r="AL15" s="12">
        <f>IF(AND(tblData[Date]&gt;StartDt2NSW,ISNUMBER(tblData[Day'# Aust])),tblData[NSW LogiP(t)]/$AG$9,"")</f>
        <v>6.5668371760367735E-3</v>
      </c>
      <c r="AM15" s="11" t="str">
        <f>IF(AND(tblData[Date]&gt;StartDt2Italy,ISNUMBER(tblData[Days'# Italy])),betaItaly/(deltaItaly+betaPodeltaItaly*EXP(-betaItaly*tblData[Days'# Italy])),"")</f>
        <v/>
      </c>
      <c r="AN15" s="11" t="str">
        <f>IF(AND(tblData[Date]&gt;StartDt2Italy,ISNUMBER(tblData[Italy])),(tblData[[#This Row],[Italy LogiP(t)]]-tblData[[#This Row],[Italy]])^2,"")</f>
        <v/>
      </c>
      <c r="AO15" s="11" t="str">
        <f>IF(AND(tblData[Date]&gt;StartDt2Italy,ISNUMBER(tblData[Days'# Italy])),tblData[[#This Row],[Italy LogiP(t)]]/$AM$9,"")</f>
        <v/>
      </c>
      <c r="AP15" s="11" t="str">
        <f>IF(ISNUMBER(tblData[[#This Row],[Days'# US]]),betaUS/(deltaUS+betaPodeltaUS*EXP(-betaUS*tblData[Days'# US])),"")</f>
        <v/>
      </c>
      <c r="AQ15" s="11"/>
      <c r="AR15" s="11" t="str">
        <f>IF(ISNUMBER(tblData[[#This Row],[Days'# US]]),tblData[[#This Row],[US LogiP(t)]]/$AP$9,"")</f>
        <v/>
      </c>
      <c r="AS15" s="11" t="str">
        <f>IF(tblData[Date]&gt;=StartDt2Korea,betaSKorea/(deltaSKorea+betaPodeltaSKorea*EXP(-betaSKorea*(tblData[Date]-StartDt2Korea))),"")</f>
        <v/>
      </c>
      <c r="AT15" s="11" t="str">
        <f>IF(AND(tblData[Date]&gt;=StartDt2Korea,ISNUMBER(tblData[SKorea])),(tblData[[#This Row],[SKorea LogiP(t)]]-tblData[[#This Row],[SKorea]])^2,"")</f>
        <v/>
      </c>
      <c r="AU15" s="11" t="str">
        <f>IF(tblData[Date]&gt;=StartDt2Korea,tblData[[#This Row],[SKorea LogiP(t)]]/$AS$9,"")</f>
        <v/>
      </c>
      <c r="AV15" s="11" t="str">
        <f>IF(ISNUMBER(tblData[Days'# UK]),betaUK/(deltaUK+betaPodeltaUK*EXP(-betaUK*tblData[Days'# UK])),"")</f>
        <v/>
      </c>
      <c r="AW15" s="11" t="str">
        <f>IF(ISNUMBER(tblData[UK]),(tblData[[#This Row],[UK LogiP(t)]]-tblData[[#This Row],[UK]])^2,"")</f>
        <v/>
      </c>
      <c r="AX15" s="11" t="str">
        <f>IF(ISNUMBER(tblData[Days'# UK]),tblData[[#This Row],[UK LogiP(t)]]/$AV$9,"")</f>
        <v/>
      </c>
      <c r="AY15" s="11">
        <f>IF(ISNUMBER(tblData[Days'# China]),betaChina/(deltaChina+betaPodeltaChina*EXP(-betaChina*tblData[Days'# China])),"")</f>
        <v>3640.0451939728446</v>
      </c>
      <c r="AZ15" s="11">
        <f>IF(ISNUMBER(tblData[China]),(tblData[[#This Row],[China LogiP(t)]]-tblData[[#This Row],[China]])^2,"")</f>
        <v>2449366.4591774987</v>
      </c>
      <c r="BA15" s="11">
        <f>tblData[[#This Row],[China LogiP(t)]]/$AY$9</f>
        <v>25.289967793687335</v>
      </c>
      <c r="BB15" s="11"/>
      <c r="BC15" s="11"/>
      <c r="BD15" s="11" t="str">
        <f>IF(ISNUMBER(tblData[[#This Row],[NSW Number of Tests]]),tblData[[#This Row],[NSW Number of Tests]]-BB14,"")</f>
        <v/>
      </c>
      <c r="BE15" s="11" t="str">
        <f>IF(ISNUMBER(tblData[[#This Row],[NSW Under Investigation'']]),tblData[[#This Row],[NSW Under Investigation'']]-BC14,"")</f>
        <v/>
      </c>
      <c r="BF15" s="11"/>
      <c r="BG15" s="11" t="str">
        <f>IF(ISNUMBER(tblData[[#This Row],[NSW Test Day Number]]),betaTest/(deltaTest+betaPodeltaTest*EXP(-betaTest*tblData[[#This Row],[NSW Test Day Number]])),"")</f>
        <v/>
      </c>
      <c r="BH15" s="11" t="str">
        <f>IF(ISNUMBER(tblData[[#This Row],[NSW Number of Tests]]),(tblData[[#This Row],[NSW Number of Tests]]-tblData[[#This Row],[NSW Test Logi]])^2,"")</f>
        <v/>
      </c>
      <c r="BJ15" s="27"/>
      <c r="BK15" s="26" t="s">
        <v>225</v>
      </c>
      <c r="BL15" s="83">
        <v>43911.866319444445</v>
      </c>
      <c r="BM15" s="27">
        <v>43852</v>
      </c>
      <c r="BN15" s="27">
        <v>43852</v>
      </c>
      <c r="BO15" s="26">
        <v>4</v>
      </c>
      <c r="BP15" s="23">
        <v>0.2221429979133962</v>
      </c>
      <c r="BQ15" s="25">
        <v>2.744154619604968E-6</v>
      </c>
      <c r="BR15" s="22">
        <v>1537.6493038446686</v>
      </c>
      <c r="BS15" s="24">
        <f>betaChina/deltaChina</f>
        <v>80951.341563025548</v>
      </c>
      <c r="BT15" s="37">
        <f>SQRT(SUM(tblData[China Sq Err])/COUNT(tblData[China Sq Err]))</f>
        <v>2077.0849314255283</v>
      </c>
      <c r="BU15" s="24">
        <f>(betaChina/PoChina)-deltaChina</f>
        <v>1.4172506691092213E-4</v>
      </c>
      <c r="BV15" s="24">
        <f>deltaChina*1000</f>
        <v>2.744154619604968E-3</v>
      </c>
      <c r="BW15" s="24"/>
      <c r="BX15" s="27">
        <f t="array" ref="BX15">MAX(IF(ISNUMBER(tblData[Italy]),tblData[Date]))</f>
        <v>43911</v>
      </c>
      <c r="BY15" s="27" t="str">
        <f t="shared" si="0"/>
        <v>81.0 k</v>
      </c>
      <c r="BZ15" s="26">
        <f>MAX(tblData[China])</f>
        <v>81304</v>
      </c>
      <c r="CA15" s="26" t="str">
        <f>Cengnotation(BS15/(ChinaPop/PerPerson),3)</f>
        <v xml:space="preserve">562  </v>
      </c>
      <c r="CB15" s="27">
        <f t="array" ref="CB15">MAX(IF(ISNUMBER(tblData[China]),tblData[Date]))</f>
        <v>43911</v>
      </c>
      <c r="CC15" s="19">
        <f t="array" ref="CC15">COUNT(IF(ISNUMBER(tblData[China]),tblData[Date]))</f>
        <v>60</v>
      </c>
      <c r="CD15" s="27" t="str">
        <f t="shared" si="1"/>
        <v xml:space="preserve">b=0.222, d=2.74E-06, P0=1537.6493 Limit=562  </v>
      </c>
      <c r="CE15" s="26"/>
      <c r="CF15" s="26" t="str">
        <f t="shared" si="2"/>
        <v xml:space="preserve">China Limit 562  </v>
      </c>
      <c r="CG15" s="26"/>
      <c r="CH15" s="18" t="str">
        <f>"COVID19 "&amp;BK15 &amp; " " &amp;LogFormula&amp;CHAR(10)&amp;CD15&amp;CHAR(10)&amp;TEXT(CB15," dd-mmm")&amp;IF(PopScaling=0,"",", "&amp;PerPersonLabel)&amp;CHAR(10)&amp;CG15</f>
        <v xml:space="preserve">COVID19 China P(t) = b / {d+[( b/Po - d ) ]* exp(-b*t)}
b=0.222, d=2.74E-06, P0=1537.6493 Limit=562  
 21-Mar, Cases per 10 M population
</v>
      </c>
      <c r="CI15" s="21">
        <f>MAX(tblData[China Cases Per Capita])</f>
        <v>564.87637705777752</v>
      </c>
      <c r="CJ15" s="27">
        <f>IF(CI15&gt;NSWMaxCasespc,INDEX(tblData[Date],1+MATCH(NSWMaxCasespc,tblData[China Cases Per Capita],1)),INDEX(tblData[Date],1+MATCH(CI15,tblData[NSW Cases per Capita],1)))</f>
        <v>43886</v>
      </c>
      <c r="CK15" s="11">
        <f>IF(CI15&gt;NSWMaxCasespc,1,-1)*(BX$12-CJ15)</f>
        <v>25</v>
      </c>
      <c r="CL15" s="27">
        <f>IF(CI15&gt;AuMaxCasespc,INDEX(tblData[Date],1+MATCH(AuMaxCasespc,tblData[China Cases Per Capita],1)),INDEX(tblData[Date],1+MATCH(CI15,tblData[Au Cases Per Capita],1)))</f>
        <v>43875</v>
      </c>
      <c r="CM15" s="11">
        <f>IF(CI15&gt;AuMaxCasespc,1,-1)*(BX$13-CL15+1)</f>
        <v>37</v>
      </c>
      <c r="CN15" s="26"/>
      <c r="CP15" s="26"/>
      <c r="CQ15" s="26"/>
      <c r="DE15" s="26" t="s">
        <v>202</v>
      </c>
      <c r="DG15" s="27">
        <v>43855</v>
      </c>
      <c r="DI15" s="26">
        <v>1</v>
      </c>
      <c r="DJ15" s="23">
        <v>0.19302410780606497</v>
      </c>
      <c r="DK15" s="25">
        <v>2.763601010404924E-4</v>
      </c>
      <c r="DL15" s="22">
        <v>9.6455935044007356E-3</v>
      </c>
      <c r="DM15" s="26">
        <v>698.45143014252619</v>
      </c>
      <c r="DN15" s="19">
        <v>3.2654567368634559</v>
      </c>
      <c r="DO15" s="37">
        <v>20.011359804951844</v>
      </c>
      <c r="DP15" s="24">
        <v>0.27636010104049241</v>
      </c>
      <c r="DQ15" s="12">
        <v>3.5803519373979857</v>
      </c>
      <c r="DR15" s="27">
        <v>43903</v>
      </c>
      <c r="DS15" s="27" t="s">
        <v>769</v>
      </c>
      <c r="DT15" s="19"/>
      <c r="DU15" s="19"/>
      <c r="DW15" s="27"/>
      <c r="DX15" s="27"/>
      <c r="DY15" s="26"/>
      <c r="DZ15" s="17"/>
      <c r="EA15" s="26"/>
      <c r="EB15" s="26"/>
      <c r="EC15" s="26"/>
      <c r="ED15" s="27"/>
      <c r="EE15" s="27"/>
      <c r="EF15" s="26"/>
      <c r="EG15" s="26"/>
      <c r="EI15" s="26"/>
      <c r="EJ15" s="26"/>
    </row>
    <row r="16" spans="1:140" ht="18.75" customHeight="1" x14ac:dyDescent="0.25">
      <c r="B16" s="1">
        <v>43857</v>
      </c>
      <c r="C16">
        <v>0</v>
      </c>
      <c r="D16" s="26">
        <v>0</v>
      </c>
      <c r="E16">
        <v>4</v>
      </c>
      <c r="F16">
        <v>0</v>
      </c>
      <c r="G16">
        <v>0</v>
      </c>
      <c r="H16">
        <v>0</v>
      </c>
      <c r="I16">
        <v>0</v>
      </c>
      <c r="J16">
        <v>1</v>
      </c>
      <c r="K16">
        <v>0</v>
      </c>
      <c r="L16" s="12">
        <f>IF(ISNUMBER(tblData[[#This Row],[NSW]]),tblData[[#This Row],[New South Wales]]/$L$9,"")</f>
        <v>4.9504950495049505</v>
      </c>
      <c r="M16" s="26"/>
      <c r="N16" s="26" t="str">
        <f>IF(ISNUMBER(tblData[Italy]),tblData[Italy]/$N$9,"")</f>
        <v/>
      </c>
      <c r="P16" s="26" t="str">
        <f>IF(ISNUMBER(tblData[US]),tblData[US]/$P$9,"")</f>
        <v/>
      </c>
      <c r="Q16">
        <v>4</v>
      </c>
      <c r="R16" s="19">
        <f>IF(ISNUMBER(tblData[SKorea]),tblData[SKorea]/$R$9,"")</f>
        <v>0.77821011673151752</v>
      </c>
      <c r="T16" s="26" t="str">
        <f>IF(ISNUMBER(tblData[UK]),tblData[UK]/$T$9,"")</f>
        <v/>
      </c>
      <c r="U16">
        <v>2877</v>
      </c>
      <c r="V16" s="21">
        <f>IF(ISNUMBER(tblData[China]),tblData[China]/$V$9,"")</f>
        <v>19.988553291292259</v>
      </c>
      <c r="W16" s="26" t="str">
        <f>IF(tblData[[#This Row],[Date]]&lt;ItalyStart,"",tblData[[#This Row],[Date]]-ItalyStart)</f>
        <v/>
      </c>
      <c r="X16" s="26"/>
      <c r="Y16" s="26">
        <f t="shared" si="3"/>
        <v>5</v>
      </c>
      <c r="Z16" s="26" t="str">
        <f>IF(tblData[[#This Row],[Date]]&lt;StartDt2Korea,"",tblData[[#This Row],[Date]]-StartDt2Korea)</f>
        <v/>
      </c>
      <c r="AA16" s="26" t="str">
        <f>IF(tblData[[#This Row],[Date]]&lt;UKStart,"",tblData[[#This Row],[Date]]-UKStart)</f>
        <v/>
      </c>
      <c r="AB16">
        <f>IF(tblData[Date]&gt;=StartDt2Au,tblData[Date]-StartDt2Au,"")</f>
        <v>2</v>
      </c>
      <c r="AC16" s="26">
        <f>IF(tblData[New South Wales]&gt;0,SUM(tblData[[#This Row],[Australian Capital Territory]:[Western Australia]]),"")</f>
        <v>5</v>
      </c>
      <c r="AD16" s="12">
        <f>IF(ISNUMBER(tblData[Au]),tblData[Au]/$AA$9,"")</f>
        <v>1.9712979025390318</v>
      </c>
      <c r="AE16" s="19">
        <f>IF(ISNUMBER(tblData[[#This Row],[Day'# Aust]]),betaAu/(deltaAu+betaPodeltaAu*EXP(-betaAu*tblData[[#This Row],[Day'# Aust]])),"")</f>
        <v>1.5340207682522615E-2</v>
      </c>
      <c r="AF16" s="72">
        <f>IF(ISNUMBER(tblData[Day'# Aust]),tblData[Au LogiP(t)]/$AD$9,"")</f>
        <v>6.048023845813994E-3</v>
      </c>
      <c r="AG16" s="11">
        <f>IF(AND(tblData[Date]&gt;=StartDt2Au,ISNUMBER(tblData[NSW])),(tblData[[#This Row],[Au LogiP(t)]]-tblData[[#This Row],[Au]])^2,"")</f>
        <v>24.846833245146513</v>
      </c>
      <c r="AH16">
        <f>IF(tblData[Date]&gt;StartDt2NSW,tblData[Date]-StartDt2NSW,"")</f>
        <v>2</v>
      </c>
      <c r="AI16">
        <f t="shared" si="4"/>
        <v>4</v>
      </c>
      <c r="AJ16" s="11">
        <f>IF(tblData[Date]&gt;StartDt2NSW,betaNSW/(deltaNSW+betaPodeltaNSW*EXP(-betaNSW*tblData[[#This Row],[Day '# NSW]])),"")</f>
        <v>6.5413571544613146E-3</v>
      </c>
      <c r="AK16" s="12">
        <f>IF(AND(ISNUMBER(tblData[NSW]),tblData[Date]&gt;StartDt2NSW),(tblData[[#This Row],[NSW LogiP(t)]]-tblData[[#This Row],[NSW]])^2,"")</f>
        <v>15.947711932117731</v>
      </c>
      <c r="AL16" s="12">
        <f>IF(AND(tblData[Date]&gt;StartDt2NSW,ISNUMBER(tblData[Day'# Aust])),tblData[NSW LogiP(t)]/$AG$9,"")</f>
        <v>8.0957390525511312E-3</v>
      </c>
      <c r="AM16" s="11" t="str">
        <f>IF(AND(tblData[Date]&gt;StartDt2Italy,ISNUMBER(tblData[Days'# Italy])),betaItaly/(deltaItaly+betaPodeltaItaly*EXP(-betaItaly*tblData[Days'# Italy])),"")</f>
        <v/>
      </c>
      <c r="AN16" s="11" t="str">
        <f>IF(AND(tblData[Date]&gt;StartDt2Italy,ISNUMBER(tblData[Italy])),(tblData[[#This Row],[Italy LogiP(t)]]-tblData[[#This Row],[Italy]])^2,"")</f>
        <v/>
      </c>
      <c r="AO16" s="11" t="str">
        <f>IF(AND(tblData[Date]&gt;StartDt2Italy,ISNUMBER(tblData[Days'# Italy])),tblData[[#This Row],[Italy LogiP(t)]]/$AM$9,"")</f>
        <v/>
      </c>
      <c r="AP16" s="11" t="str">
        <f>IF(ISNUMBER(tblData[[#This Row],[Days'# US]]),betaUS/(deltaUS+betaPodeltaUS*EXP(-betaUS*tblData[Days'# US])),"")</f>
        <v/>
      </c>
      <c r="AQ16" s="11"/>
      <c r="AR16" s="11" t="str">
        <f>IF(ISNUMBER(tblData[[#This Row],[Days'# US]]),tblData[[#This Row],[US LogiP(t)]]/$AP$9,"")</f>
        <v/>
      </c>
      <c r="AS16" s="11" t="str">
        <f>IF(tblData[Date]&gt;=StartDt2Korea,betaSKorea/(deltaSKorea+betaPodeltaSKorea*EXP(-betaSKorea*(tblData[Date]-StartDt2Korea))),"")</f>
        <v/>
      </c>
      <c r="AT16" s="11" t="str">
        <f>IF(AND(tblData[Date]&gt;=StartDt2Korea,ISNUMBER(tblData[SKorea])),(tblData[[#This Row],[SKorea LogiP(t)]]-tblData[[#This Row],[SKorea]])^2,"")</f>
        <v/>
      </c>
      <c r="AU16" s="11" t="str">
        <f>IF(tblData[Date]&gt;=StartDt2Korea,tblData[[#This Row],[SKorea LogiP(t)]]/$AS$9,"")</f>
        <v/>
      </c>
      <c r="AV16" s="11" t="str">
        <f>IF(ISNUMBER(tblData[Days'# UK]),betaUK/(deltaUK+betaPodeltaUK*EXP(-betaUK*tblData[Days'# UK])),"")</f>
        <v/>
      </c>
      <c r="AW16" s="11" t="str">
        <f>IF(ISNUMBER(tblData[UK]),(tblData[[#This Row],[UK LogiP(t)]]-tblData[[#This Row],[UK]])^2,"")</f>
        <v/>
      </c>
      <c r="AX16" s="11" t="str">
        <f>IF(ISNUMBER(tblData[Days'# UK]),tblData[[#This Row],[UK LogiP(t)]]/$AV$9,"")</f>
        <v/>
      </c>
      <c r="AY16" s="11">
        <f>IF(ISNUMBER(tblData[Days'# China]),betaChina/(deltaChina+betaPodeltaChina*EXP(-betaChina*tblData[Days'# China])),"")</f>
        <v>4495.225968076621</v>
      </c>
      <c r="AZ16" s="11">
        <f>IF(ISNUMBER(tblData[China]),(tblData[[#This Row],[China LogiP(t)]]-tblData[[#This Row],[China]])^2,"")</f>
        <v>2618655.2837575171</v>
      </c>
      <c r="BA16" s="11">
        <f>tblData[[#This Row],[China LogiP(t)]]/$AY$9</f>
        <v>31.231513319186782</v>
      </c>
      <c r="BB16" s="11"/>
      <c r="BC16" s="11"/>
      <c r="BD16" s="11" t="str">
        <f>IF(ISNUMBER(tblData[[#This Row],[NSW Number of Tests]]),tblData[[#This Row],[NSW Number of Tests]]-BB15,"")</f>
        <v/>
      </c>
      <c r="BE16" s="11" t="str">
        <f>IF(ISNUMBER(tblData[[#This Row],[NSW Under Investigation'']]),tblData[[#This Row],[NSW Under Investigation'']]-BC15,"")</f>
        <v/>
      </c>
      <c r="BF16" s="11"/>
      <c r="BG16" s="11" t="str">
        <f>IF(ISNUMBER(tblData[[#This Row],[NSW Test Day Number]]),betaTest/(deltaTest+betaPodeltaTest*EXP(-betaTest*tblData[[#This Row],[NSW Test Day Number]])),"")</f>
        <v/>
      </c>
      <c r="BH16" s="11" t="str">
        <f>IF(ISNUMBER(tblData[[#This Row],[NSW Number of Tests]]),(tblData[[#This Row],[NSW Number of Tests]]-tblData[[#This Row],[NSW Test Logi]])^2,"")</f>
        <v/>
      </c>
      <c r="BJ16" s="27"/>
      <c r="BK16" s="26" t="s">
        <v>1293</v>
      </c>
      <c r="BL16" s="83">
        <v>43911.866331018522</v>
      </c>
      <c r="BM16" s="27">
        <v>43852</v>
      </c>
      <c r="BN16" s="27">
        <v>43880</v>
      </c>
      <c r="BO16" s="26">
        <v>5</v>
      </c>
      <c r="BP16" s="23">
        <v>0.32566109072274135</v>
      </c>
      <c r="BQ16" s="25">
        <v>3.9144727914542807E-5</v>
      </c>
      <c r="BR16" s="22">
        <v>174.6164952155498</v>
      </c>
      <c r="BS16" s="24">
        <f>betaSKorea/deltaSKorea</f>
        <v>8319.4112738168697</v>
      </c>
      <c r="BT16" s="37">
        <f t="array" ref="BT16">SQRT(SUM(tblData[Skorea Sq Err])/COUNT(tblData[Skorea Sq Err]))</f>
        <v>163.05867333145818</v>
      </c>
      <c r="BU16" s="24">
        <f>(betaSKorea/PoSKorea)-deltaSKorea</f>
        <v>1.8258628724312283E-3</v>
      </c>
      <c r="BV16" s="24">
        <f>deltaSKorea*1000</f>
        <v>3.9144727914542807E-2</v>
      </c>
      <c r="BW16" s="24"/>
      <c r="BX16" s="27">
        <f t="array" ref="BX16">MAX(IF(ISNUMBER(tblData[SKorea]),tblData[Date]))</f>
        <v>43911</v>
      </c>
      <c r="BY16" s="27" t="str">
        <f t="shared" si="0"/>
        <v>8.32 k</v>
      </c>
      <c r="BZ16" s="26">
        <f>MAX(tblData[SKorea])</f>
        <v>8799</v>
      </c>
      <c r="CA16" s="26" t="str">
        <f>Cengnotation(BS16/(SKoreaPop/PerPerson),3)</f>
        <v>1.62 k</v>
      </c>
      <c r="CB16" s="27">
        <f t="array" ref="CB16">MAX(IF(ISNUMBER(tblData[SKorea]),tblData[Date]))</f>
        <v>43911</v>
      </c>
      <c r="CC16" s="19">
        <f t="array" ref="CC16">COUNT(IF(ISNUMBER(tblData[SKorea]),tblData[Date]))</f>
        <v>60</v>
      </c>
      <c r="CD16" s="27" t="str">
        <f t="shared" si="1"/>
        <v>b=0.326, d=3.91E-05, P0=174.6165 Limit=1.62 k</v>
      </c>
      <c r="CE16" s="26"/>
      <c r="CF16" s="26" t="str">
        <f>BK16&amp;" Limit " &amp; IF(PopScaling=0,BY16,CA16) &amp; " fr 19th Feb"</f>
        <v>Skorea Limit 1.62 k fr 19th Feb</v>
      </c>
      <c r="CG16" s="33" t="s">
        <v>1302</v>
      </c>
      <c r="CH16" s="18" t="str">
        <f>"COVID19 "&amp;BK16 &amp; " " &amp;LogFormula&amp;CHAR(10)&amp;CD16&amp;CHAR(10)&amp;TEXT(CB16," dd-mmm")&amp;IF(PopScaling=0,"",", "&amp;PerPersonLabel)&amp;CHAR(10)&amp;CG16</f>
        <v xml:space="preserve">COVID19 Skorea P(t) = b / {d+[( b/Po - d ) ]* exp(-b*t)}
b=0.326, d=3.91E-05, P0=174.6165 Limit=1.62 k
 21-Mar, Cases per 10 M population
log fit from 19th Feb </v>
      </c>
      <c r="CI16" s="21">
        <f>MAX(tblData[SKorea Cases Per Capita])</f>
        <v>1711.8677042801557</v>
      </c>
      <c r="CJ16" s="27">
        <f>IF(CI16&gt;NSWMaxCasespc,INDEX(tblData[Date],1+MATCH(NSWMaxCasespc,tblData[SKorea Cases Per Capita],1)),INDEX(tblData[Date],1+MATCH(CI16,tblData[NSW Cases per Capita],1)))</f>
        <v>43890</v>
      </c>
      <c r="CK16" s="11">
        <f>IF(CI16&gt;NSWMaxCasespc,1,-1)*(BX$12-CJ16)</f>
        <v>21</v>
      </c>
      <c r="CL16" s="27">
        <f>IF(CI16&gt;AuMaxCasespc,INDEX(tblData[Date],1+MATCH(AuMaxCasespc,tblData[SKorea Cases Per Capita],1)),INDEX(tblData[Date],1+MATCH(CI16,tblData[Au Cases Per Capita],1)))</f>
        <v>43889</v>
      </c>
      <c r="CM16" s="11">
        <f>IF(CI16&gt;AuMaxCasespc,1,-1)*(BX$13-CL16+1)</f>
        <v>23</v>
      </c>
      <c r="CN16" s="26"/>
      <c r="CO16" s="26"/>
      <c r="CP16" s="26"/>
      <c r="CQ16" s="26"/>
      <c r="CR16" s="26"/>
      <c r="CS16" s="26"/>
      <c r="CT16" s="26"/>
      <c r="CU16" s="26"/>
      <c r="CV16" s="26"/>
      <c r="DE16" s="26" t="s">
        <v>202</v>
      </c>
      <c r="DG16" s="27">
        <v>43855</v>
      </c>
      <c r="DI16" s="26">
        <v>1</v>
      </c>
      <c r="DJ16" s="23">
        <v>0.20197976034974141</v>
      </c>
      <c r="DK16" s="25">
        <v>3.7238456472139586E-4</v>
      </c>
      <c r="DL16" s="23">
        <v>6.7779266478176703E-3</v>
      </c>
      <c r="DM16" s="26">
        <v>542.39562937001722</v>
      </c>
      <c r="DN16" s="19">
        <v>3.1776191206100863</v>
      </c>
      <c r="DO16" s="37">
        <v>29.799265593927426</v>
      </c>
      <c r="DP16" s="24">
        <v>0.37238456472139586</v>
      </c>
      <c r="DQ16" s="12">
        <v>3.1776191206100863</v>
      </c>
      <c r="DR16" s="27">
        <v>43904</v>
      </c>
      <c r="DS16" s="27" t="s">
        <v>770</v>
      </c>
      <c r="DT16" s="19"/>
      <c r="DU16" s="19"/>
      <c r="DW16" s="26"/>
      <c r="DX16" s="18"/>
      <c r="DY16" s="26"/>
      <c r="EA16" s="26"/>
      <c r="EB16" s="26"/>
      <c r="EC16" s="26"/>
      <c r="ED16" s="26"/>
      <c r="EE16" s="26"/>
      <c r="EF16" s="26"/>
      <c r="EG16" s="26"/>
      <c r="EI16" s="26"/>
      <c r="EJ16" s="26"/>
    </row>
    <row r="17" spans="2:140" ht="15" customHeight="1" x14ac:dyDescent="0.3">
      <c r="B17" s="1">
        <v>43858</v>
      </c>
      <c r="C17">
        <v>0</v>
      </c>
      <c r="D17" s="26">
        <v>0</v>
      </c>
      <c r="E17">
        <v>4</v>
      </c>
      <c r="F17">
        <v>0</v>
      </c>
      <c r="G17">
        <v>0</v>
      </c>
      <c r="H17">
        <v>0</v>
      </c>
      <c r="I17">
        <v>0</v>
      </c>
      <c r="J17">
        <v>1</v>
      </c>
      <c r="K17">
        <v>0</v>
      </c>
      <c r="L17" s="12">
        <f>IF(ISNUMBER(tblData[[#This Row],[NSW]]),tblData[[#This Row],[New South Wales]]/$L$9,"")</f>
        <v>4.9504950495049505</v>
      </c>
      <c r="M17" s="26"/>
      <c r="N17" s="26" t="str">
        <f>IF(ISNUMBER(tblData[Italy]),tblData[Italy]/$N$9,"")</f>
        <v/>
      </c>
      <c r="P17" s="26" t="str">
        <f>IF(ISNUMBER(tblData[US]),tblData[US]/$P$9,"")</f>
        <v/>
      </c>
      <c r="Q17">
        <v>4</v>
      </c>
      <c r="R17" s="19">
        <f>IF(ISNUMBER(tblData[SKorea]),tblData[SKorea]/$R$9,"")</f>
        <v>0.77821011673151752</v>
      </c>
      <c r="T17" s="26" t="str">
        <f>IF(ISNUMBER(tblData[UK]),tblData[UK]/$T$9,"")</f>
        <v/>
      </c>
      <c r="U17">
        <v>5509</v>
      </c>
      <c r="V17" s="21">
        <f>IF(ISNUMBER(tblData[China]),tblData[China]/$V$9,"")</f>
        <v>38.274918346099774</v>
      </c>
      <c r="W17" s="26" t="str">
        <f>IF(tblData[[#This Row],[Date]]&lt;ItalyStart,"",tblData[[#This Row],[Date]]-ItalyStart)</f>
        <v/>
      </c>
      <c r="X17" s="26"/>
      <c r="Y17" s="26">
        <f t="shared" si="3"/>
        <v>6</v>
      </c>
      <c r="Z17" s="26" t="str">
        <f>IF(tblData[[#This Row],[Date]]&lt;StartDt2Korea,"",tblData[[#This Row],[Date]]-StartDt2Korea)</f>
        <v/>
      </c>
      <c r="AA17" s="26" t="str">
        <f>IF(tblData[[#This Row],[Date]]&lt;UKStart,"",tblData[[#This Row],[Date]]-UKStart)</f>
        <v/>
      </c>
      <c r="AB17">
        <f>IF(tblData[Date]&gt;=StartDt2Au,tblData[Date]-StartDt2Au,"")</f>
        <v>3</v>
      </c>
      <c r="AC17" s="26">
        <f>IF(tblData[New South Wales]&gt;0,SUM(tblData[[#This Row],[Australian Capital Territory]:[Western Australia]]),"")</f>
        <v>5</v>
      </c>
      <c r="AD17" s="12">
        <f>IF(ISNUMBER(tblData[Au]),tblData[Au]/$AA$9,"")</f>
        <v>1.9712979025390318</v>
      </c>
      <c r="AE17" s="19">
        <f>IF(ISNUMBER(tblData[[#This Row],[Day'# Aust]]),betaAu/(deltaAu+betaPodeltaAu*EXP(-betaAu*tblData[[#This Row],[Day'# Aust]])),"")</f>
        <v>1.8858554824957775E-2</v>
      </c>
      <c r="AF17" s="72">
        <f>IF(ISNUMBER(tblData[Day'# Aust]),tblData[Au LogiP(t)]/$AD$9,"")</f>
        <v>7.4351659142713198E-3</v>
      </c>
      <c r="AG17" s="11">
        <f>IF(AND(tblData[Date]&gt;=StartDt2Au,ISNUMBER(tblData[NSW])),(tblData[[#This Row],[Au LogiP(t)]]-tblData[[#This Row],[Au]])^2,"")</f>
        <v>24.811770096840512</v>
      </c>
      <c r="AH17">
        <f>IF(tblData[Date]&gt;StartDt2NSW,tblData[Date]-StartDt2NSW,"")</f>
        <v>3</v>
      </c>
      <c r="AI17">
        <f t="shared" si="4"/>
        <v>4</v>
      </c>
      <c r="AJ17" s="11">
        <f>IF(tblData[Date]&gt;StartDt2NSW,betaNSW/(deltaNSW+betaPodeltaNSW*EXP(-betaNSW*tblData[[#This Row],[Day '# NSW]])),"")</f>
        <v>8.0643258790107208E-3</v>
      </c>
      <c r="AK17" s="12">
        <f>IF(AND(ISNUMBER(tblData[NSW]),tblData[Date]&gt;StartDt2NSW),(tblData[[#This Row],[NSW LogiP(t)]]-tblData[[#This Row],[NSW]])^2,"")</f>
        <v>15.935550426319798</v>
      </c>
      <c r="AL17" s="12">
        <f>IF(AND(tblData[Date]&gt;StartDt2NSW,ISNUMBER(tblData[Day'# Aust])),tblData[NSW LogiP(t)]/$AG$9,"")</f>
        <v>9.9806013354093066E-3</v>
      </c>
      <c r="AM17" s="11" t="str">
        <f>IF(AND(tblData[Date]&gt;StartDt2Italy,ISNUMBER(tblData[Days'# Italy])),betaItaly/(deltaItaly+betaPodeltaItaly*EXP(-betaItaly*tblData[Days'# Italy])),"")</f>
        <v/>
      </c>
      <c r="AN17" s="11" t="str">
        <f>IF(AND(tblData[Date]&gt;StartDt2Italy,ISNUMBER(tblData[Italy])),(tblData[[#This Row],[Italy LogiP(t)]]-tblData[[#This Row],[Italy]])^2,"")</f>
        <v/>
      </c>
      <c r="AO17" s="11" t="str">
        <f>IF(AND(tblData[Date]&gt;StartDt2Italy,ISNUMBER(tblData[Days'# Italy])),tblData[[#This Row],[Italy LogiP(t)]]/$AM$9,"")</f>
        <v/>
      </c>
      <c r="AP17" s="11" t="str">
        <f>IF(ISNUMBER(tblData[[#This Row],[Days'# US]]),betaUS/(deltaUS+betaPodeltaUS*EXP(-betaUS*tblData[Days'# US])),"")</f>
        <v/>
      </c>
      <c r="AQ17" s="11"/>
      <c r="AR17" s="11" t="str">
        <f>IF(ISNUMBER(tblData[[#This Row],[Days'# US]]),tblData[[#This Row],[US LogiP(t)]]/$AP$9,"")</f>
        <v/>
      </c>
      <c r="AS17" s="11" t="str">
        <f>IF(tblData[Date]&gt;=StartDt2Korea,betaSKorea/(deltaSKorea+betaPodeltaSKorea*EXP(-betaSKorea*(tblData[Date]-StartDt2Korea))),"")</f>
        <v/>
      </c>
      <c r="AT17" s="11" t="str">
        <f>IF(AND(tblData[Date]&gt;=StartDt2Korea,ISNUMBER(tblData[SKorea])),(tblData[[#This Row],[SKorea LogiP(t)]]-tblData[[#This Row],[SKorea]])^2,"")</f>
        <v/>
      </c>
      <c r="AU17" s="11" t="str">
        <f>IF(tblData[Date]&gt;=StartDt2Korea,tblData[[#This Row],[SKorea LogiP(t)]]/$AS$9,"")</f>
        <v/>
      </c>
      <c r="AV17" s="11" t="str">
        <f>IF(ISNUMBER(tblData[Days'# UK]),betaUK/(deltaUK+betaPodeltaUK*EXP(-betaUK*tblData[Days'# UK])),"")</f>
        <v/>
      </c>
      <c r="AW17" s="11" t="str">
        <f>IF(ISNUMBER(tblData[UK]),(tblData[[#This Row],[UK LogiP(t)]]-tblData[[#This Row],[UK]])^2,"")</f>
        <v/>
      </c>
      <c r="AX17" s="11" t="str">
        <f>IF(ISNUMBER(tblData[Days'# UK]),tblData[[#This Row],[UK LogiP(t)]]/$AV$9,"")</f>
        <v/>
      </c>
      <c r="AY17" s="11">
        <f>IF(ISNUMBER(tblData[Days'# China]),betaChina/(deltaChina+betaPodeltaChina*EXP(-betaChina*tblData[Days'# China])),"")</f>
        <v>5536.9310712736078</v>
      </c>
      <c r="AZ17" s="11">
        <f>IF(ISNUMBER(tblData[China]),(tblData[[#This Row],[China LogiP(t)]]-tblData[[#This Row],[China]])^2,"")</f>
        <v>780.14474249135958</v>
      </c>
      <c r="BA17" s="11">
        <f>tblData[[#This Row],[China LogiP(t)]]/$AY$9</f>
        <v>38.468975247954276</v>
      </c>
      <c r="BB17" s="11"/>
      <c r="BC17" s="11"/>
      <c r="BD17" s="11" t="str">
        <f>IF(ISNUMBER(tblData[[#This Row],[NSW Number of Tests]]),tblData[[#This Row],[NSW Number of Tests]]-BB16,"")</f>
        <v/>
      </c>
      <c r="BE17" s="11" t="str">
        <f>IF(ISNUMBER(tblData[[#This Row],[NSW Under Investigation'']]),tblData[[#This Row],[NSW Under Investigation'']]-BC16,"")</f>
        <v/>
      </c>
      <c r="BF17" s="11"/>
      <c r="BG17" s="11" t="str">
        <f>IF(ISNUMBER(tblData[[#This Row],[NSW Test Day Number]]),betaTest/(deltaTest+betaPodeltaTest*EXP(-betaTest*tblData[[#This Row],[NSW Test Day Number]])),"")</f>
        <v/>
      </c>
      <c r="BH17" s="11" t="str">
        <f>IF(ISNUMBER(tblData[[#This Row],[NSW Number of Tests]]),(tblData[[#This Row],[NSW Number of Tests]]-tblData[[#This Row],[NSW Test Logi]])^2,"")</f>
        <v/>
      </c>
      <c r="BJ17" s="27"/>
      <c r="BK17" s="26" t="s">
        <v>1252</v>
      </c>
      <c r="BL17" s="83">
        <v>43911.866331018522</v>
      </c>
      <c r="BM17" s="27">
        <v>43860</v>
      </c>
      <c r="BN17" s="27">
        <v>43860</v>
      </c>
      <c r="BO17" s="26">
        <v>6</v>
      </c>
      <c r="BP17" s="23">
        <v>0.23059524064806408</v>
      </c>
      <c r="BQ17" s="25">
        <v>9.9999999999999903E-10</v>
      </c>
      <c r="BR17" s="22">
        <v>3.8070710556030042E-2</v>
      </c>
      <c r="BS17" s="24">
        <f>betaUK/deltaUK</f>
        <v>230595240.64806432</v>
      </c>
      <c r="BT17" s="37">
        <f>SQRT(SUM(tblData[UK Sq Err])/COUNT(tblData[UK Sq Err]))</f>
        <v>73.997994993668541</v>
      </c>
      <c r="BU17" s="24">
        <f>(betaUK/PoUK)-deltaUK</f>
        <v>6.0570248687798465</v>
      </c>
      <c r="BV17" s="24">
        <f>deltaUK*1000</f>
        <v>9.9999999999999911E-7</v>
      </c>
      <c r="BW17" s="24"/>
      <c r="BX17" s="27">
        <f t="array" ref="BX17">MAX(IF(ISNUMBER(tblData[UK]),tblData[Date]))</f>
        <v>43911</v>
      </c>
      <c r="BY17" s="27" t="str">
        <f t="shared" si="0"/>
        <v>231 M</v>
      </c>
      <c r="BZ17" s="26">
        <f>MAX(tblData[UK])</f>
        <v>5049</v>
      </c>
      <c r="CA17" s="26" t="str">
        <f>Cengnotation(BS17/(UKPop/PerPerson),3)</f>
        <v>34.7 M</v>
      </c>
      <c r="CB17" s="27">
        <f t="array" ref="CB17">MAX(IF(ISNUMBER(tblData[UK]),tblData[Date]))</f>
        <v>43911</v>
      </c>
      <c r="CC17" s="19">
        <f t="array" ref="CC17">COUNT(IF(ISNUMBER(tblData[UK]),tblData[Date]))</f>
        <v>52</v>
      </c>
      <c r="CD17" s="27" t="str">
        <f t="shared" si="1"/>
        <v>b=0.231, d=1.00E-09, P0=.0381 Limit=34.7 M</v>
      </c>
      <c r="CE17" s="26"/>
      <c r="CF17" s="26" t="str">
        <f t="shared" si="2"/>
        <v>UK Limit 34.7 M</v>
      </c>
      <c r="CG17" s="26"/>
      <c r="CH17" s="18" t="str">
        <f>"COVID19 "&amp;BK17 &amp; " " &amp;LogFormula&amp;CHAR(10)&amp;CD17&amp;CHAR(10)&amp;TEXT(CB17," dd-mmm")&amp;IF(PopScaling=0,"",", "&amp;PerPersonLabel)&amp;CHAR(10)&amp;CG17</f>
        <v xml:space="preserve">COVID19 UK P(t) = b / {d+[( b/Po - d ) ]* exp(-b*t)}
b=0.231, d=1.00E-09, P0=.0381 Limit=34.7 M
 21-Mar, Cases per 10 M population
</v>
      </c>
      <c r="CI17" s="21">
        <f>MAX(tblData[UK Cases Per Capita])</f>
        <v>759.93377483443703</v>
      </c>
      <c r="CJ17" s="27">
        <f>IF(CI17&gt;NSWMaxCasespc,INDEX(tblData[Date],1+MATCH(NSWMaxCasespc,tblData[UK Cases Per Capita],1)),INDEX(tblData[Date],1+MATCH(CI17,tblData[NSW Cases per Capita],1)))</f>
        <v>43910</v>
      </c>
      <c r="CK17" s="11">
        <f>IF(CI17&gt;NSWMaxCasespc,1,-1)*(BX$12-CJ17)</f>
        <v>1</v>
      </c>
      <c r="CL17" s="27">
        <f>IF(CI17&gt;AuMaxCasespc,INDEX(tblData[Date],1+MATCH(AuMaxCasespc,tblData[UK Cases Per Capita],1)),INDEX(tblData[Date],1+MATCH(CI17,tblData[Au Cases Per Capita],1)))</f>
        <v>43910</v>
      </c>
      <c r="CM17" s="11">
        <f>IF(CI17&gt;AuMaxCasespc,1,-1)*(BX$13-CL17+1)</f>
        <v>2</v>
      </c>
      <c r="CN17" s="26"/>
      <c r="CO17" s="26"/>
      <c r="CP17" s="26"/>
      <c r="CQ17" s="26"/>
      <c r="CR17" s="26"/>
      <c r="CS17" s="26"/>
      <c r="CT17" s="26"/>
      <c r="CU17" s="26"/>
      <c r="CV17" s="26"/>
      <c r="DE17" s="26" t="s">
        <v>202</v>
      </c>
      <c r="DG17" s="27">
        <v>43855</v>
      </c>
      <c r="DI17" s="26">
        <v>1</v>
      </c>
      <c r="DJ17" s="26">
        <v>0.18458384557537055</v>
      </c>
      <c r="DK17" s="26">
        <v>1.2349487374940706E-6</v>
      </c>
      <c r="DL17" s="26">
        <v>1.3171361296767334E-2</v>
      </c>
      <c r="DM17" s="26">
        <v>149466.80778825187</v>
      </c>
      <c r="DN17" s="19">
        <v>3.1071550624512132</v>
      </c>
      <c r="DO17" s="12">
        <v>14.014028250422166</v>
      </c>
      <c r="DP17" s="26">
        <v>1.2349487374940706E-3</v>
      </c>
      <c r="DQ17" s="12">
        <v>3.1071550624512132</v>
      </c>
      <c r="DR17" s="27">
        <v>43905</v>
      </c>
      <c r="DS17" s="27" t="s">
        <v>771</v>
      </c>
      <c r="DT17" s="19"/>
      <c r="DU17" s="19"/>
      <c r="DW17" s="17"/>
      <c r="DX17" s="18"/>
      <c r="DY17" s="26"/>
      <c r="DZ17" s="26"/>
      <c r="EA17" s="26"/>
      <c r="EB17" s="26"/>
      <c r="EC17" s="26"/>
      <c r="ED17" s="17"/>
      <c r="EE17" s="17"/>
      <c r="EF17" s="26"/>
      <c r="EG17" s="26"/>
      <c r="EH17" s="26"/>
      <c r="EI17" s="26"/>
      <c r="EJ17" s="26"/>
    </row>
    <row r="18" spans="2:140" x14ac:dyDescent="0.25">
      <c r="B18" s="1">
        <v>43859</v>
      </c>
      <c r="C18">
        <v>0</v>
      </c>
      <c r="D18" s="26">
        <v>0</v>
      </c>
      <c r="E18">
        <v>4</v>
      </c>
      <c r="F18">
        <v>0</v>
      </c>
      <c r="G18">
        <v>1</v>
      </c>
      <c r="H18">
        <v>0</v>
      </c>
      <c r="I18">
        <v>0</v>
      </c>
      <c r="J18">
        <v>1</v>
      </c>
      <c r="K18">
        <v>0</v>
      </c>
      <c r="L18" s="12">
        <f>IF(ISNUMBER(tblData[[#This Row],[NSW]]),tblData[[#This Row],[New South Wales]]/$L$9,"")</f>
        <v>4.9504950495049505</v>
      </c>
      <c r="M18" s="26"/>
      <c r="N18" s="26" t="str">
        <f>IF(ISNUMBER(tblData[Italy]),tblData[Italy]/$N$9,"")</f>
        <v/>
      </c>
      <c r="P18" s="26" t="str">
        <f>IF(ISNUMBER(tblData[US]),tblData[US]/$P$9,"")</f>
        <v/>
      </c>
      <c r="Q18">
        <v>4</v>
      </c>
      <c r="R18" s="19">
        <f>IF(ISNUMBER(tblData[SKorea]),tblData[SKorea]/$R$9,"")</f>
        <v>0.77821011673151752</v>
      </c>
      <c r="T18" s="26" t="str">
        <f>IF(ISNUMBER(tblData[UK]),tblData[UK]/$T$9,"")</f>
        <v/>
      </c>
      <c r="U18">
        <v>6087</v>
      </c>
      <c r="V18" s="21">
        <f>IF(ISNUMBER(tblData[China]),tblData[China]/$V$9,"")</f>
        <v>42.290693042786231</v>
      </c>
      <c r="W18" s="26" t="str">
        <f>IF(tblData[[#This Row],[Date]]&lt;ItalyStart,"",tblData[[#This Row],[Date]]-ItalyStart)</f>
        <v/>
      </c>
      <c r="X18" s="26"/>
      <c r="Y18" s="26">
        <f t="shared" si="3"/>
        <v>7</v>
      </c>
      <c r="Z18" s="26" t="str">
        <f>IF(tblData[[#This Row],[Date]]&lt;StartDt2Korea,"",tblData[[#This Row],[Date]]-StartDt2Korea)</f>
        <v/>
      </c>
      <c r="AA18" s="26" t="str">
        <f>IF(tblData[[#This Row],[Date]]&lt;UKStart,"",tblData[[#This Row],[Date]]-UKStart)</f>
        <v/>
      </c>
      <c r="AB18">
        <f>IF(tblData[Date]&gt;=StartDt2Au,tblData[Date]-StartDt2Au,"")</f>
        <v>4</v>
      </c>
      <c r="AC18" s="26">
        <f>IF(tblData[New South Wales]&gt;0,SUM(tblData[[#This Row],[Australian Capital Territory]:[Western Australia]]),"")</f>
        <v>6</v>
      </c>
      <c r="AD18" s="12">
        <f>IF(ISNUMBER(tblData[Au]),tblData[Au]/$AA$9,"")</f>
        <v>2.365557483046838</v>
      </c>
      <c r="AE18" s="19">
        <f>IF(ISNUMBER(tblData[[#This Row],[Day'# Aust]]),betaAu/(deltaAu+betaPodeltaAu*EXP(-betaAu*tblData[[#This Row],[Day'# Aust]])),"")</f>
        <v>2.3183851056315319E-2</v>
      </c>
      <c r="AF18" s="72">
        <f>IF(ISNUMBER(tblData[Day'# Aust]),tblData[Au LogiP(t)]/$AD$9,"")</f>
        <v>9.1404553920183401E-3</v>
      </c>
      <c r="AG18" s="11">
        <f>IF(AND(tblData[Date]&gt;=StartDt2Au,ISNUMBER(tblData[NSW])),(tblData[[#This Row],[Au LogiP(t)]]-tblData[[#This Row],[Au]])^2,"")</f>
        <v>35.722331278274012</v>
      </c>
      <c r="AH18">
        <f>IF(tblData[Date]&gt;StartDt2NSW,tblData[Date]-StartDt2NSW,"")</f>
        <v>4</v>
      </c>
      <c r="AI18">
        <f t="shared" si="4"/>
        <v>4</v>
      </c>
      <c r="AJ18" s="11">
        <f>IF(tblData[Date]&gt;StartDt2NSW,betaNSW/(deltaNSW+betaPodeltaNSW*EXP(-betaNSW*tblData[[#This Row],[Day '# NSW]])),"")</f>
        <v>9.9418732052264196E-3</v>
      </c>
      <c r="AK18" s="12">
        <f>IF(AND(ISNUMBER(tblData[NSW]),tblData[Date]&gt;StartDt2NSW),(tblData[[#This Row],[NSW LogiP(t)]]-tblData[[#This Row],[NSW]])^2,"")</f>
        <v>15.920563855201019</v>
      </c>
      <c r="AL18" s="12">
        <f>IF(AND(tblData[Date]&gt;StartDt2NSW,ISNUMBER(tblData[Day'# Aust])),tblData[NSW LogiP(t)]/$AG$9,"")</f>
        <v>1.2304298521319826E-2</v>
      </c>
      <c r="AM18" s="11" t="str">
        <f>IF(AND(tblData[Date]&gt;StartDt2Italy,ISNUMBER(tblData[Days'# Italy])),betaItaly/(deltaItaly+betaPodeltaItaly*EXP(-betaItaly*tblData[Days'# Italy])),"")</f>
        <v/>
      </c>
      <c r="AN18" s="11" t="str">
        <f>IF(AND(tblData[Date]&gt;StartDt2Italy,ISNUMBER(tblData[Italy])),(tblData[[#This Row],[Italy LogiP(t)]]-tblData[[#This Row],[Italy]])^2,"")</f>
        <v/>
      </c>
      <c r="AO18" s="11" t="str">
        <f>IF(AND(tblData[Date]&gt;StartDt2Italy,ISNUMBER(tblData[Days'# Italy])),tblData[[#This Row],[Italy LogiP(t)]]/$AM$9,"")</f>
        <v/>
      </c>
      <c r="AP18" s="11" t="str">
        <f>IF(ISNUMBER(tblData[[#This Row],[Days'# US]]),betaUS/(deltaUS+betaPodeltaUS*EXP(-betaUS*tblData[Days'# US])),"")</f>
        <v/>
      </c>
      <c r="AQ18" s="11"/>
      <c r="AR18" s="11" t="str">
        <f>IF(ISNUMBER(tblData[[#This Row],[Days'# US]]),tblData[[#This Row],[US LogiP(t)]]/$AP$9,"")</f>
        <v/>
      </c>
      <c r="AS18" s="11" t="str">
        <f>IF(tblData[Date]&gt;=StartDt2Korea,betaSKorea/(deltaSKorea+betaPodeltaSKorea*EXP(-betaSKorea*(tblData[Date]-StartDt2Korea))),"")</f>
        <v/>
      </c>
      <c r="AT18" s="11" t="str">
        <f>IF(AND(tblData[Date]&gt;=StartDt2Korea,ISNUMBER(tblData[SKorea])),(tblData[[#This Row],[SKorea LogiP(t)]]-tblData[[#This Row],[SKorea]])^2,"")</f>
        <v/>
      </c>
      <c r="AU18" s="11" t="str">
        <f>IF(tblData[Date]&gt;=StartDt2Korea,tblData[[#This Row],[SKorea LogiP(t)]]/$AS$9,"")</f>
        <v/>
      </c>
      <c r="AV18" s="11" t="str">
        <f>IF(ISNUMBER(tblData[Days'# UK]),betaUK/(deltaUK+betaPodeltaUK*EXP(-betaUK*tblData[Days'# UK])),"")</f>
        <v/>
      </c>
      <c r="AW18" s="11" t="str">
        <f>IF(ISNUMBER(tblData[UK]),(tblData[[#This Row],[UK LogiP(t)]]-tblData[[#This Row],[UK]])^2,"")</f>
        <v/>
      </c>
      <c r="AX18" s="11" t="str">
        <f>IF(ISNUMBER(tblData[Days'# UK]),tblData[[#This Row],[UK LogiP(t)]]/$AV$9,"")</f>
        <v/>
      </c>
      <c r="AY18" s="11">
        <f>IF(ISNUMBER(tblData[Days'# China]),betaChina/(deltaChina+betaPodeltaChina*EXP(-betaChina*tblData[Days'# China])),"")</f>
        <v>6798.5709921737698</v>
      </c>
      <c r="AZ18" s="11">
        <f>IF(ISNUMBER(tblData[China]),(tblData[[#This Row],[China LogiP(t)]]-tblData[[#This Row],[China]])^2,"")</f>
        <v>506333.27690316318</v>
      </c>
      <c r="BA18" s="11">
        <f>tblData[[#This Row],[China LogiP(t)]]/$AY$9</f>
        <v>47.234479868508544</v>
      </c>
      <c r="BB18" s="11"/>
      <c r="BC18" s="11"/>
      <c r="BD18" s="11" t="str">
        <f>IF(ISNUMBER(tblData[[#This Row],[NSW Number of Tests]]),tblData[[#This Row],[NSW Number of Tests]]-BB17,"")</f>
        <v/>
      </c>
      <c r="BE18" s="11" t="str">
        <f>IF(ISNUMBER(tblData[[#This Row],[NSW Under Investigation'']]),tblData[[#This Row],[NSW Under Investigation'']]-BC17,"")</f>
        <v/>
      </c>
      <c r="BF18" s="11"/>
      <c r="BG18" s="11" t="str">
        <f>IF(ISNUMBER(tblData[[#This Row],[NSW Test Day Number]]),betaTest/(deltaTest+betaPodeltaTest*EXP(-betaTest*tblData[[#This Row],[NSW Test Day Number]])),"")</f>
        <v/>
      </c>
      <c r="BH18" s="11" t="str">
        <f>IF(ISNUMBER(tblData[[#This Row],[NSW Number of Tests]]),(tblData[[#This Row],[NSW Number of Tests]]-tblData[[#This Row],[NSW Test Logi]])^2,"")</f>
        <v/>
      </c>
      <c r="BJ18" s="27"/>
      <c r="BK18" s="26" t="s">
        <v>989</v>
      </c>
      <c r="BL18" s="83">
        <v>43911.89398148148</v>
      </c>
      <c r="BM18" s="27"/>
      <c r="BN18" s="13">
        <v>43896</v>
      </c>
      <c r="BO18" s="26">
        <v>7</v>
      </c>
      <c r="BP18" s="23">
        <v>0.20209478104227763</v>
      </c>
      <c r="BQ18" s="25">
        <v>1.0000000000000751E-10</v>
      </c>
      <c r="BR18" s="22">
        <v>5.7886977342360797E-3</v>
      </c>
      <c r="BS18" s="24">
        <f>betaTests/deltaTests</f>
        <v>2020947810.4226243</v>
      </c>
      <c r="BT18" s="37">
        <f>SQRT(SUM(tblData[NSW Test Sq Err])/COUNT(tblData[NSW Test Sq Err]))</f>
        <v>2141.4153557262753</v>
      </c>
      <c r="BU18" s="24">
        <f>(betaTests/PoTests)-deltaTests</f>
        <v>34.911959532184611</v>
      </c>
      <c r="BV18" s="24">
        <f>deltaTests*1000</f>
        <v>1.0000000000000751E-7</v>
      </c>
      <c r="BW18" s="24"/>
      <c r="BX18" s="27">
        <f t="array" ref="BX18">MAX(IF(ISNUMBER(tblData[NSW Number of Tests]),tblData[Date]))</f>
        <v>43911</v>
      </c>
      <c r="BY18" s="27" t="str">
        <f t="shared" si="0"/>
        <v>2.02 G</v>
      </c>
      <c r="BZ18" s="26">
        <f>MAX(tblData[NSW Number of Tests])</f>
        <v>46456</v>
      </c>
      <c r="CA18" s="26" t="str">
        <f>Cengnotation(BS18/(NSWpop/PerPerson),3)</f>
        <v>2.50 G</v>
      </c>
      <c r="CB18" s="27">
        <f t="array" ref="CB18">MAX(IF(ISNUMBER(tblData[NSW Number of Tests]),tblData[Date]))</f>
        <v>43911</v>
      </c>
      <c r="CC18" s="19">
        <f t="array" ref="CC18">COUNT(IF(ISNUMBER(tblData[NSW Number of Tests]),tblData[Date]))</f>
        <v>16</v>
      </c>
      <c r="CD18" s="27" t="str">
        <f t="shared" si="1"/>
        <v>b=0.202, d=1.00E-10, P0=.0058 Limit=2.50 G</v>
      </c>
      <c r="CE18" s="26"/>
      <c r="CF18" s="26" t="str">
        <f t="shared" si="2"/>
        <v>Tests Limit 2.50 G</v>
      </c>
      <c r="CG18" s="26"/>
      <c r="CH18" s="18" t="str">
        <f>"COVID19 "&amp;BK18 &amp; " " &amp;LogFormula&amp;CHAR(10)&amp;CD18&amp;CHAR(10)&amp;TEXT(CB18," dd-mmm")&amp;IF(PopScaling=0,"",", "&amp;PerPersonLabel)&amp;CHAR(10)&amp;CG18</f>
        <v xml:space="preserve">COVID19 Tests P(t) = b / {d+[( b/Po - d ) ]* exp(-b*t)}
b=0.202, d=1.00E-10, P0=.0058 Limit=2.50 G
 21-Mar, Cases per 10 M population
</v>
      </c>
      <c r="CI18" s="26"/>
      <c r="CJ18" s="19"/>
      <c r="CK18" s="19"/>
      <c r="CL18" s="26"/>
      <c r="CM18" s="26"/>
      <c r="CN18" s="26"/>
      <c r="CO18" s="26"/>
      <c r="CP18" s="26"/>
      <c r="CQ18" s="26"/>
      <c r="DE18" s="26" t="s">
        <v>202</v>
      </c>
      <c r="DG18" s="27">
        <v>43855</v>
      </c>
      <c r="DI18" s="26">
        <v>1</v>
      </c>
      <c r="DJ18" s="23">
        <v>0.19036954183670268</v>
      </c>
      <c r="DK18" s="25">
        <v>1.0000000000000751E-10</v>
      </c>
      <c r="DL18" s="22">
        <v>1.0111170011545663E-2</v>
      </c>
      <c r="DM18" s="26">
        <v>1903695418.3668838</v>
      </c>
      <c r="DN18" s="19">
        <v>3.2111653832176152</v>
      </c>
      <c r="DO18" s="37">
        <v>18.827647207822032</v>
      </c>
      <c r="DP18" s="24">
        <v>1.0000000000000751E-7</v>
      </c>
      <c r="DQ18" s="12">
        <v>3.2111653832176152</v>
      </c>
      <c r="DR18" s="27">
        <v>43906</v>
      </c>
      <c r="DS18" s="27" t="s">
        <v>983</v>
      </c>
      <c r="DT18" s="19">
        <v>171</v>
      </c>
      <c r="DU18" s="19">
        <v>43906</v>
      </c>
      <c r="DV18" s="27">
        <v>52</v>
      </c>
      <c r="DW18" s="26" t="s">
        <v>984</v>
      </c>
      <c r="DX18" s="18"/>
      <c r="DY18" s="26" t="s">
        <v>985</v>
      </c>
      <c r="DZ18" s="26" t="s">
        <v>986</v>
      </c>
      <c r="EA18" s="26"/>
      <c r="EB18" s="26"/>
      <c r="EC18" s="26"/>
      <c r="ED18" s="26"/>
      <c r="EE18" s="26"/>
      <c r="EF18" s="26"/>
      <c r="EG18" s="26"/>
      <c r="EH18" s="26"/>
      <c r="EI18" s="26"/>
      <c r="EJ18" s="26"/>
    </row>
    <row r="19" spans="2:140" x14ac:dyDescent="0.25">
      <c r="B19" s="1">
        <v>43860</v>
      </c>
      <c r="C19">
        <v>0</v>
      </c>
      <c r="D19" s="26">
        <v>0</v>
      </c>
      <c r="E19">
        <v>4</v>
      </c>
      <c r="F19">
        <v>0</v>
      </c>
      <c r="G19">
        <v>3</v>
      </c>
      <c r="H19">
        <v>0</v>
      </c>
      <c r="I19">
        <v>0</v>
      </c>
      <c r="J19">
        <v>2</v>
      </c>
      <c r="K19">
        <v>0</v>
      </c>
      <c r="L19" s="12">
        <f>IF(ISNUMBER(tblData[[#This Row],[NSW]]),tblData[[#This Row],[New South Wales]]/$L$9,"")</f>
        <v>4.9504950495049505</v>
      </c>
      <c r="M19" s="26">
        <v>0</v>
      </c>
      <c r="N19" s="26">
        <f>IF(ISNUMBER(tblData[Italy]),tblData[Italy]/$N$9,"")</f>
        <v>0</v>
      </c>
      <c r="P19" s="26" t="str">
        <f>IF(ISNUMBER(tblData[US]),tblData[US]/$P$9,"")</f>
        <v/>
      </c>
      <c r="Q19">
        <v>4</v>
      </c>
      <c r="R19" s="19">
        <f>IF(ISNUMBER(tblData[SKorea]),tblData[SKorea]/$R$9,"")</f>
        <v>0.77821011673151752</v>
      </c>
      <c r="S19">
        <v>0</v>
      </c>
      <c r="T19" s="12">
        <f>IF(ISNUMBER(tblData[UK]),tblData[UK]/$T$9,"")</f>
        <v>0</v>
      </c>
      <c r="U19">
        <v>8141</v>
      </c>
      <c r="V19" s="21">
        <f>IF(ISNUMBER(tblData[China]),tblData[China]/$V$9,"")</f>
        <v>56.561283400907293</v>
      </c>
      <c r="W19" s="26">
        <f>IF(tblData[[#This Row],[Date]]&lt;ItalyStart,"",tblData[[#This Row],[Date]]-ItalyStart)</f>
        <v>0</v>
      </c>
      <c r="X19" s="26"/>
      <c r="Y19" s="26">
        <f t="shared" si="3"/>
        <v>8</v>
      </c>
      <c r="Z19" s="26" t="str">
        <f>IF(tblData[[#This Row],[Date]]&lt;StartDt2Korea,"",tblData[[#This Row],[Date]]-StartDt2Korea)</f>
        <v/>
      </c>
      <c r="AA19" s="26">
        <f>IF(tblData[[#This Row],[Date]]&lt;UKStart,"",tblData[[#This Row],[Date]]-UKStart)</f>
        <v>0</v>
      </c>
      <c r="AB19">
        <f>IF(tblData[Date]&gt;=StartDt2Au,tblData[Date]-StartDt2Au,"")</f>
        <v>5</v>
      </c>
      <c r="AC19" s="26">
        <f>IF(tblData[New South Wales]&gt;0,SUM(tblData[[#This Row],[Australian Capital Territory]:[Western Australia]]),"")</f>
        <v>9</v>
      </c>
      <c r="AD19" s="12">
        <f>IF(ISNUMBER(tblData[Au]),tblData[Au]/$AA$9,"")</f>
        <v>3.548336224570257</v>
      </c>
      <c r="AE19" s="19">
        <f>IF(ISNUMBER(tblData[[#This Row],[Day'# Aust]]),betaAu/(deltaAu+betaPodeltaAu*EXP(-betaAu*tblData[[#This Row],[Day'# Aust]])),"")</f>
        <v>2.8501173859171058E-2</v>
      </c>
      <c r="AF19" s="72">
        <f>IF(ISNUMBER(tblData[Day'# Aust]),tblData[Au LogiP(t)]/$AD$9,"")</f>
        <v>1.1236860849696837E-2</v>
      </c>
      <c r="AG19" s="11">
        <f>IF(AND(tblData[Date]&gt;=StartDt2Au,ISNUMBER(tblData[NSW])),(tblData[[#This Row],[Au LogiP(t)]]-tblData[[#This Row],[Au]])^2,"")</f>
        <v>80.487791187446277</v>
      </c>
      <c r="AH19">
        <f>IF(tblData[Date]&gt;StartDt2NSW,tblData[Date]-StartDt2NSW,"")</f>
        <v>5</v>
      </c>
      <c r="AI19">
        <f t="shared" si="4"/>
        <v>4</v>
      </c>
      <c r="AJ19" s="11">
        <f>IF(tblData[Date]&gt;StartDt2NSW,betaNSW/(deltaNSW+betaPodeltaNSW*EXP(-betaNSW*tblData[[#This Row],[Day '# NSW]])),"")</f>
        <v>1.2256551688801576E-2</v>
      </c>
      <c r="AK19" s="12">
        <f>IF(AND(ISNUMBER(tblData[NSW]),tblData[Date]&gt;StartDt2NSW),(tblData[[#This Row],[NSW LogiP(t)]]-tblData[[#This Row],[NSW]])^2,"")</f>
        <v>15.902097809548888</v>
      </c>
      <c r="AL19" s="12">
        <f>IF(AND(tblData[Date]&gt;StartDt2NSW,ISNUMBER(tblData[Day'# Aust])),tblData[NSW LogiP(t)]/$AG$9,"")</f>
        <v>1.5168999614853435E-2</v>
      </c>
      <c r="AM19" s="11" t="str">
        <f>IF(AND(tblData[Date]&gt;StartDt2Italy,ISNUMBER(tblData[Days'# Italy])),betaItaly/(deltaItaly+betaPodeltaItaly*EXP(-betaItaly*tblData[Days'# Italy])),"")</f>
        <v/>
      </c>
      <c r="AN19" s="11" t="str">
        <f>IF(AND(tblData[Date]&gt;StartDt2Italy,ISNUMBER(tblData[Italy])),(tblData[[#This Row],[Italy LogiP(t)]]-tblData[[#This Row],[Italy]])^2,"")</f>
        <v/>
      </c>
      <c r="AO19" s="44" t="str">
        <f>IF(AND(tblData[Date]&gt;StartDt2Italy,ISNUMBER(tblData[Days'# Italy])),tblData[[#This Row],[Italy LogiP(t)]]/$AM$9,"")</f>
        <v/>
      </c>
      <c r="AP19" s="11" t="str">
        <f>IF(ISNUMBER(tblData[[#This Row],[Days'# US]]),betaUS/(deltaUS+betaPodeltaUS*EXP(-betaUS*tblData[Days'# US])),"")</f>
        <v/>
      </c>
      <c r="AQ19" s="11"/>
      <c r="AR19" s="11" t="str">
        <f>IF(ISNUMBER(tblData[[#This Row],[Days'# US]]),tblData[[#This Row],[US LogiP(t)]]/$AP$9,"")</f>
        <v/>
      </c>
      <c r="AS19" s="11" t="str">
        <f>IF(tblData[Date]&gt;=StartDt2Korea,betaSKorea/(deltaSKorea+betaPodeltaSKorea*EXP(-betaSKorea*(tblData[Date]-StartDt2Korea))),"")</f>
        <v/>
      </c>
      <c r="AT19" s="11" t="str">
        <f>IF(AND(tblData[Date]&gt;=StartDt2Korea,ISNUMBER(tblData[SKorea])),(tblData[[#This Row],[SKorea LogiP(t)]]-tblData[[#This Row],[SKorea]])^2,"")</f>
        <v/>
      </c>
      <c r="AU19" s="11" t="str">
        <f>IF(tblData[Date]&gt;=StartDt2Korea,tblData[[#This Row],[SKorea LogiP(t)]]/$AS$9,"")</f>
        <v/>
      </c>
      <c r="AV19" s="11">
        <f>IF(ISNUMBER(tblData[Days'# UK]),betaUK/(deltaUK+betaPodeltaUK*EXP(-betaUK*tblData[Days'# UK])),"")</f>
        <v>3.8070710556030042E-2</v>
      </c>
      <c r="AW19" s="11">
        <f>IF(ISNUMBER(tblData[UK]),(tblData[[#This Row],[UK LogiP(t)]]-tblData[[#This Row],[UK]])^2,"")</f>
        <v>1.4493790022410173E-3</v>
      </c>
      <c r="AX19" s="11">
        <f>IF(ISNUMBER(tblData[Days'# UK]),tblData[[#This Row],[UK LogiP(t)]]/$AV$9,"")</f>
        <v>5.7300888856155995E-3</v>
      </c>
      <c r="AY19" s="11">
        <f>IF(ISNUMBER(tblData[Days'# China]),betaChina/(deltaChina+betaPodeltaChina*EXP(-betaChina*tblData[Days'# China])),"")</f>
        <v>8315.9868620516027</v>
      </c>
      <c r="AZ19" s="11">
        <f>IF(ISNUMBER(tblData[China]),(tblData[[#This Row],[China LogiP(t)]]-tblData[[#This Row],[China]])^2,"")</f>
        <v>30620.401890666617</v>
      </c>
      <c r="BA19" s="11">
        <f>tblData[[#This Row],[China LogiP(t)]]/$AY$9</f>
        <v>57.777040862636333</v>
      </c>
      <c r="BB19" s="11"/>
      <c r="BC19" s="11"/>
      <c r="BD19" s="11" t="str">
        <f>IF(ISNUMBER(tblData[[#This Row],[NSW Number of Tests]]),tblData[[#This Row],[NSW Number of Tests]]-BB18,"")</f>
        <v/>
      </c>
      <c r="BE19" s="11" t="str">
        <f>IF(ISNUMBER(tblData[[#This Row],[NSW Under Investigation'']]),tblData[[#This Row],[NSW Under Investigation'']]-BC18,"")</f>
        <v/>
      </c>
      <c r="BF19" s="11"/>
      <c r="BG19" s="11" t="str">
        <f>IF(ISNUMBER(tblData[[#This Row],[NSW Test Day Number]]),betaTest/(deltaTest+betaPodeltaTest*EXP(-betaTest*tblData[[#This Row],[NSW Test Day Number]])),"")</f>
        <v/>
      </c>
      <c r="BH19" s="11" t="str">
        <f>IF(ISNUMBER(tblData[[#This Row],[NSW Number of Tests]]),(tblData[[#This Row],[NSW Number of Tests]]-tblData[[#This Row],[NSW Test Logi]])^2,"")</f>
        <v/>
      </c>
      <c r="BJ19" s="27"/>
      <c r="BK19" s="26"/>
      <c r="BM19" s="27"/>
      <c r="BN19" s="27"/>
      <c r="BO19" s="26"/>
      <c r="BP19" s="23"/>
      <c r="BQ19" s="25"/>
      <c r="BR19" s="22"/>
      <c r="BS19" s="26"/>
      <c r="BT19" s="12"/>
      <c r="BU19" s="26"/>
      <c r="BV19" s="24"/>
      <c r="BW19" s="24"/>
      <c r="BX19" s="24"/>
      <c r="BY19" s="24"/>
      <c r="CA19" s="26"/>
      <c r="CB19" s="27"/>
      <c r="CC19" s="19"/>
      <c r="CD19" s="27"/>
      <c r="CE19" s="26"/>
      <c r="CF19" s="26"/>
      <c r="CG19" s="18"/>
      <c r="CH19" s="26"/>
      <c r="CI19" s="26"/>
      <c r="CJ19" s="19"/>
      <c r="CK19" s="19"/>
      <c r="CL19" s="26"/>
      <c r="CM19" s="26"/>
      <c r="CN19" s="26"/>
      <c r="CO19" s="26"/>
      <c r="CP19" s="26"/>
      <c r="CQ19" s="26"/>
      <c r="DE19" s="26" t="s">
        <v>202</v>
      </c>
      <c r="DG19" s="27">
        <v>43855</v>
      </c>
      <c r="DI19" s="26">
        <v>1</v>
      </c>
      <c r="DJ19" s="23">
        <v>0.19065324956550231</v>
      </c>
      <c r="DK19" s="25">
        <v>1.0000000000000751E-10</v>
      </c>
      <c r="DL19" s="22">
        <v>1.0112692767979454E-2</v>
      </c>
      <c r="DM19" s="26">
        <v>1906532495.6548798</v>
      </c>
      <c r="DN19" s="19">
        <v>3.3224128526326897</v>
      </c>
      <c r="DO19" s="37">
        <v>18.852866782245194</v>
      </c>
      <c r="DP19" s="24">
        <v>1.0000000000000751E-7</v>
      </c>
      <c r="DQ19" s="12">
        <v>3.3224128526326897</v>
      </c>
      <c r="DR19" s="27">
        <v>43907</v>
      </c>
      <c r="DS19" s="27" t="s">
        <v>966</v>
      </c>
      <c r="DT19" s="19">
        <v>210</v>
      </c>
      <c r="DU19" s="19" t="s">
        <v>967</v>
      </c>
      <c r="DV19" s="27">
        <v>43907</v>
      </c>
      <c r="DW19" s="26">
        <v>53</v>
      </c>
      <c r="DX19" s="18" t="s">
        <v>968</v>
      </c>
      <c r="DY19" s="26"/>
      <c r="DZ19" s="26" t="s">
        <v>969</v>
      </c>
      <c r="EA19" s="26"/>
      <c r="EB19" s="26"/>
      <c r="EC19" s="26"/>
      <c r="ED19" s="26"/>
      <c r="EE19" s="26"/>
      <c r="EF19" s="26"/>
      <c r="EG19" s="26"/>
      <c r="EH19" s="26"/>
      <c r="EI19" s="26"/>
      <c r="EJ19" s="26"/>
    </row>
    <row r="20" spans="2:140" x14ac:dyDescent="0.25">
      <c r="B20" s="1">
        <v>43861</v>
      </c>
      <c r="C20">
        <v>0</v>
      </c>
      <c r="D20" s="26">
        <v>0</v>
      </c>
      <c r="E20">
        <v>4</v>
      </c>
      <c r="F20">
        <v>0</v>
      </c>
      <c r="G20">
        <v>2</v>
      </c>
      <c r="H20">
        <v>0</v>
      </c>
      <c r="I20">
        <v>0</v>
      </c>
      <c r="J20">
        <v>3</v>
      </c>
      <c r="K20">
        <v>0</v>
      </c>
      <c r="L20" s="12">
        <f>IF(ISNUMBER(tblData[[#This Row],[NSW]]),tblData[[#This Row],[New South Wales]]/$L$9,"")</f>
        <v>4.9504950495049505</v>
      </c>
      <c r="M20" s="26">
        <v>2</v>
      </c>
      <c r="N20" s="49">
        <f>IF(ISNUMBER(tblData[Italy]),tblData[Italy]/$N$9,"")</f>
        <v>0.33085194375516958</v>
      </c>
      <c r="P20" s="26" t="str">
        <f>IF(ISNUMBER(tblData[US]),tblData[US]/$P$9,"")</f>
        <v/>
      </c>
      <c r="Q20">
        <v>11</v>
      </c>
      <c r="R20" s="19">
        <f>IF(ISNUMBER(tblData[SKorea]),tblData[SKorea]/$R$9,"")</f>
        <v>2.1400778210116731</v>
      </c>
      <c r="S20">
        <v>2</v>
      </c>
      <c r="T20" s="12">
        <f>IF(ISNUMBER(tblData[UK]),tblData[UK]/$T$9,"")</f>
        <v>0.30102347983142685</v>
      </c>
      <c r="U20">
        <v>9802</v>
      </c>
      <c r="V20" s="21">
        <f>IF(ISNUMBER(tblData[China]),tblData[China]/$V$9,"")</f>
        <v>68.10142487356508</v>
      </c>
      <c r="W20" s="26">
        <f>IF(tblData[[#This Row],[Date]]&lt;ItalyStart,"",tblData[[#This Row],[Date]]-ItalyStart)</f>
        <v>1</v>
      </c>
      <c r="X20" s="26"/>
      <c r="Y20" s="26">
        <f t="shared" si="3"/>
        <v>9</v>
      </c>
      <c r="Z20" s="26" t="str">
        <f>IF(tblData[[#This Row],[Date]]&lt;StartDt2Korea,"",tblData[[#This Row],[Date]]-StartDt2Korea)</f>
        <v/>
      </c>
      <c r="AA20" s="26">
        <f>IF(tblData[[#This Row],[Date]]&lt;UKStart,"",tblData[[#This Row],[Date]]-UKStart)</f>
        <v>1</v>
      </c>
      <c r="AB20">
        <f>IF(tblData[Date]&gt;=StartDt2Au,tblData[Date]-StartDt2Au,"")</f>
        <v>6</v>
      </c>
      <c r="AC20" s="26">
        <f>IF(tblData[New South Wales]&gt;0,SUM(tblData[[#This Row],[Australian Capital Territory]:[Western Australia]]),"")</f>
        <v>9</v>
      </c>
      <c r="AD20" s="12">
        <f>IF(ISNUMBER(tblData[Au]),tblData[Au]/$AA$9,"")</f>
        <v>3.548336224570257</v>
      </c>
      <c r="AE20" s="19">
        <f>IF(ISNUMBER(tblData[[#This Row],[Day'# Aust]]),betaAu/(deltaAu+betaPodeltaAu*EXP(-betaAu*tblData[[#This Row],[Day'# Aust]])),"")</f>
        <v>3.5038049087389278E-2</v>
      </c>
      <c r="AF20" s="72">
        <f>IF(ISNUMBER(tblData[Day'# Aust]),tblData[Au LogiP(t)]/$AD$9,"")</f>
        <v>1.3814086535006024E-2</v>
      </c>
      <c r="AG20" s="11">
        <f>IF(AND(tblData[Date]&gt;=StartDt2Au,ISNUMBER(tblData[NSW])),(tblData[[#This Row],[Au LogiP(t)]]-tblData[[#This Row],[Au]])^2,"")</f>
        <v>80.37054278131086</v>
      </c>
      <c r="AH20">
        <f>IF(tblData[Date]&gt;StartDt2NSW,tblData[Date]-StartDt2NSW,"")</f>
        <v>6</v>
      </c>
      <c r="AI20">
        <f t="shared" si="4"/>
        <v>4</v>
      </c>
      <c r="AJ20" s="11">
        <f>IF(tblData[Date]&gt;StartDt2NSW,betaNSW/(deltaNSW+betaPodeltaNSW*EXP(-betaNSW*tblData[[#This Row],[Day '# NSW]])),"")</f>
        <v>1.5110133320686846E-2</v>
      </c>
      <c r="AK20" s="12">
        <f>IF(AND(ISNUMBER(tblData[NSW]),tblData[Date]&gt;StartDt2NSW),(tblData[[#This Row],[NSW LogiP(t)]]-tblData[[#This Row],[NSW]])^2,"")</f>
        <v>15.879347249563473</v>
      </c>
      <c r="AL20" s="12">
        <f>IF(AND(tblData[Date]&gt;StartDt2NSW,ISNUMBER(tblData[Day'# Aust])),tblData[NSW LogiP(t)]/$AG$9,"")</f>
        <v>1.8700660050355006E-2</v>
      </c>
      <c r="AM20" s="11">
        <f>IF(AND(tblData[Date]&gt;StartDt2Italy,ISNUMBER(tblData[Days'# Italy])),betaItaly/(deltaItaly+betaPodeltaItaly*EXP(-betaItaly*tblData[Days'# Italy])),"")</f>
        <v>0.57335694167567941</v>
      </c>
      <c r="AN20" s="11">
        <f>IF(AND(tblData[Date]&gt;StartDt2Italy,ISNUMBER(tblData[Italy])),(tblData[[#This Row],[Italy LogiP(t)]]-tblData[[#This Row],[Italy]])^2,"")</f>
        <v>2.0353104158649709</v>
      </c>
      <c r="AO20" s="44">
        <f>IF(AND(tblData[Date]&gt;StartDt2Italy,ISNUMBER(tblData[Days'# Italy])),tblData[[#This Row],[Italy LogiP(t)]]/$AM$9,"")</f>
        <v>9.4848129309458962E-2</v>
      </c>
      <c r="AP20" s="11" t="str">
        <f>IF(ISNUMBER(tblData[[#This Row],[Days'# US]]),betaUS/(deltaUS+betaPodeltaUS*EXP(-betaUS*tblData[Days'# US])),"")</f>
        <v/>
      </c>
      <c r="AQ20" s="11"/>
      <c r="AR20" s="11" t="str">
        <f>IF(ISNUMBER(tblData[[#This Row],[Days'# US]]),tblData[[#This Row],[US LogiP(t)]]/$AP$9,"")</f>
        <v/>
      </c>
      <c r="AS20" s="11" t="str">
        <f>IF(tblData[Date]&gt;=StartDt2Korea,betaSKorea/(deltaSKorea+betaPodeltaSKorea*EXP(-betaSKorea*(tblData[Date]-StartDt2Korea))),"")</f>
        <v/>
      </c>
      <c r="AT20" s="11" t="str">
        <f>IF(AND(tblData[Date]&gt;=StartDt2Korea,ISNUMBER(tblData[SKorea])),(tblData[[#This Row],[SKorea LogiP(t)]]-tblData[[#This Row],[SKorea]])^2,"")</f>
        <v/>
      </c>
      <c r="AU20" s="11" t="str">
        <f>IF(tblData[Date]&gt;=StartDt2Korea,tblData[[#This Row],[SKorea LogiP(t)]]/$AS$9,"")</f>
        <v/>
      </c>
      <c r="AV20" s="11">
        <f>IF(ISNUMBER(tblData[Days'# UK]),betaUK/(deltaUK+betaPodeltaUK*EXP(-betaUK*tblData[Days'# UK])),"")</f>
        <v>4.7944326601901101E-2</v>
      </c>
      <c r="AW20" s="11">
        <f>IF(ISNUMBER(tblData[UK]),(tblData[[#This Row],[UK LogiP(t)]]-tblData[[#This Row],[UK]])^2,"")</f>
        <v>3.8105213520457055</v>
      </c>
      <c r="AX20" s="11">
        <f>IF(ISNUMBER(tblData[Days'# UK]),tblData[[#This Row],[UK LogiP(t)]]/$AV$9,"")</f>
        <v>7.2161840159393588E-3</v>
      </c>
      <c r="AY20" s="11">
        <f>IF(ISNUMBER(tblData[Days'# China]),betaChina/(deltaChina+betaPodeltaChina*EXP(-betaChina*tblData[Days'# China])),"")</f>
        <v>10125.836104777814</v>
      </c>
      <c r="AZ20" s="11">
        <f>IF(ISNUMBER(tblData[China]),(tblData[[#This Row],[China LogiP(t)]]-tblData[[#This Row],[China]])^2,"")</f>
        <v>104869.82275766759</v>
      </c>
      <c r="BA20" s="11">
        <f>tblData[[#This Row],[China LogiP(t)]]/$AY$9</f>
        <v>70.351343273980731</v>
      </c>
      <c r="BB20" s="11"/>
      <c r="BC20" s="11"/>
      <c r="BD20" s="11" t="str">
        <f>IF(ISNUMBER(tblData[[#This Row],[NSW Number of Tests]]),tblData[[#This Row],[NSW Number of Tests]]-BB19,"")</f>
        <v/>
      </c>
      <c r="BE20" s="11" t="str">
        <f>IF(ISNUMBER(tblData[[#This Row],[NSW Under Investigation'']]),tblData[[#This Row],[NSW Under Investigation'']]-BC19,"")</f>
        <v/>
      </c>
      <c r="BF20" s="11"/>
      <c r="BG20" s="11" t="str">
        <f>IF(ISNUMBER(tblData[[#This Row],[NSW Test Day Number]]),betaTest/(deltaTest+betaPodeltaTest*EXP(-betaTest*tblData[[#This Row],[NSW Test Day Number]])),"")</f>
        <v/>
      </c>
      <c r="BH20" s="11" t="str">
        <f>IF(ISNUMBER(tblData[[#This Row],[NSW Number of Tests]]),(tblData[[#This Row],[NSW Number of Tests]]-tblData[[#This Row],[NSW Test Logi]])^2,"")</f>
        <v/>
      </c>
      <c r="BJ20" s="27"/>
      <c r="BZ20"/>
      <c r="DB20" s="26"/>
      <c r="DE20" s="26" t="s">
        <v>202</v>
      </c>
      <c r="DG20" s="27">
        <v>43855</v>
      </c>
      <c r="DI20" s="26">
        <v>1</v>
      </c>
      <c r="DJ20" s="23">
        <v>0.20209478104227763</v>
      </c>
      <c r="DK20" s="25">
        <v>1.0000000000000751E-10</v>
      </c>
      <c r="DL20" s="22">
        <v>5.7886977342360797E-3</v>
      </c>
      <c r="DM20" s="26">
        <v>2020947810.4226243</v>
      </c>
      <c r="DN20" s="19">
        <v>3.5813561365949553</v>
      </c>
      <c r="DO20" s="37">
        <v>34.911959532184611</v>
      </c>
      <c r="DP20" s="24">
        <v>1.0000000000000751E-7</v>
      </c>
      <c r="DQ20" s="12">
        <v>3.5813561365949553</v>
      </c>
      <c r="DR20" s="27">
        <v>43908</v>
      </c>
      <c r="DS20" s="27" t="s">
        <v>1003</v>
      </c>
      <c r="DT20" s="19">
        <v>267</v>
      </c>
      <c r="DU20" s="19" t="s">
        <v>1004</v>
      </c>
      <c r="DV20" s="27">
        <v>43908</v>
      </c>
      <c r="DW20" s="26">
        <v>54</v>
      </c>
      <c r="DX20" s="18" t="s">
        <v>1005</v>
      </c>
      <c r="DY20" s="26"/>
      <c r="DZ20" s="26" t="s">
        <v>1006</v>
      </c>
      <c r="EA20" s="26"/>
      <c r="EB20" s="26" t="s">
        <v>1007</v>
      </c>
      <c r="EC20" s="26"/>
      <c r="ED20" s="26"/>
      <c r="EE20" s="26"/>
      <c r="EF20" s="26"/>
      <c r="EG20" s="26"/>
      <c r="EH20" s="26"/>
      <c r="EI20" s="26"/>
      <c r="EJ20" s="26"/>
    </row>
    <row r="21" spans="2:140" x14ac:dyDescent="0.25">
      <c r="B21" s="1">
        <v>43862</v>
      </c>
      <c r="C21">
        <v>0</v>
      </c>
      <c r="D21" s="26">
        <v>0</v>
      </c>
      <c r="E21">
        <v>4</v>
      </c>
      <c r="F21">
        <v>0</v>
      </c>
      <c r="G21">
        <v>3</v>
      </c>
      <c r="H21">
        <v>1</v>
      </c>
      <c r="I21">
        <v>0</v>
      </c>
      <c r="J21">
        <v>4</v>
      </c>
      <c r="K21">
        <v>0</v>
      </c>
      <c r="L21" s="12">
        <f>IF(ISNUMBER(tblData[[#This Row],[NSW]]),tblData[[#This Row],[New South Wales]]/$L$9,"")</f>
        <v>4.9504950495049505</v>
      </c>
      <c r="M21" s="26">
        <v>2</v>
      </c>
      <c r="N21" s="49">
        <f>IF(ISNUMBER(tblData[Italy]),tblData[Italy]/$N$9,"")</f>
        <v>0.33085194375516958</v>
      </c>
      <c r="P21" s="26" t="str">
        <f>IF(ISNUMBER(tblData[US]),tblData[US]/$P$9,"")</f>
        <v/>
      </c>
      <c r="Q21">
        <v>12</v>
      </c>
      <c r="R21" s="19">
        <f>IF(ISNUMBER(tblData[SKorea]),tblData[SKorea]/$R$9,"")</f>
        <v>2.3346303501945527</v>
      </c>
      <c r="S21">
        <v>2</v>
      </c>
      <c r="T21" s="12">
        <f>IF(ISNUMBER(tblData[UK]),tblData[UK]/$T$9,"")</f>
        <v>0.30102347983142685</v>
      </c>
      <c r="U21">
        <v>11891</v>
      </c>
      <c r="V21" s="21">
        <f>IF(ISNUMBER(tblData[China]),tblData[China]/$V$9,"")</f>
        <v>82.615184979755384</v>
      </c>
      <c r="W21" s="26">
        <f>IF(tblData[[#This Row],[Date]]&lt;ItalyStart,"",tblData[[#This Row],[Date]]-ItalyStart)</f>
        <v>2</v>
      </c>
      <c r="X21" s="26"/>
      <c r="Y21" s="26">
        <f t="shared" si="3"/>
        <v>10</v>
      </c>
      <c r="Z21" s="26" t="str">
        <f>IF(tblData[[#This Row],[Date]]&lt;StartDt2Korea,"",tblData[[#This Row],[Date]]-StartDt2Korea)</f>
        <v/>
      </c>
      <c r="AA21" s="26">
        <f>IF(tblData[[#This Row],[Date]]&lt;UKStart,"",tblData[[#This Row],[Date]]-UKStart)</f>
        <v>2</v>
      </c>
      <c r="AB21">
        <f>IF(tblData[Date]&gt;=StartDt2Au,tblData[Date]-StartDt2Au,"")</f>
        <v>7</v>
      </c>
      <c r="AC21" s="26">
        <f>IF(tblData[New South Wales]&gt;0,SUM(tblData[[#This Row],[Australian Capital Territory]:[Western Australia]]),"")</f>
        <v>12</v>
      </c>
      <c r="AD21" s="12">
        <f>IF(ISNUMBER(tblData[Au]),tblData[Au]/$AA$9,"")</f>
        <v>4.731114966093676</v>
      </c>
      <c r="AE21" s="19">
        <f>IF(ISNUMBER(tblData[[#This Row],[Day'# Aust]]),betaAu/(deltaAu+betaPodeltaAu*EXP(-betaAu*tblData[[#This Row],[Day'# Aust]])),"")</f>
        <v>4.3074186695168395E-2</v>
      </c>
      <c r="AF21" s="72">
        <f>IF(ISNUMBER(tblData[Day'# Aust]),tblData[Au LogiP(t)]/$AD$9,"")</f>
        <v>1.6982410777152023E-2</v>
      </c>
      <c r="AG21" s="11">
        <f>IF(AND(tblData[Date]&gt;=StartDt2Au,ISNUMBER(tblData[NSW])),(tblData[[#This Row],[Au LogiP(t)]]-tblData[[#This Row],[Au]])^2,"")</f>
        <v>142.96807490487541</v>
      </c>
      <c r="AH21">
        <f>IF(tblData[Date]&gt;StartDt2NSW,tblData[Date]-StartDt2NSW,"")</f>
        <v>7</v>
      </c>
      <c r="AI21">
        <f t="shared" si="4"/>
        <v>4</v>
      </c>
      <c r="AJ21" s="11">
        <f>IF(tblData[Date]&gt;StartDt2NSW,betaNSW/(deltaNSW+betaPodeltaNSW*EXP(-betaNSW*tblData[[#This Row],[Day '# NSW]])),"")</f>
        <v>1.8628083909307397E-2</v>
      </c>
      <c r="AK21" s="12">
        <f>IF(AND(ISNUMBER(tblData[NSW]),tblData[Date]&gt;StartDt2NSW),(tblData[[#This Row],[NSW LogiP(t)]]-tblData[[#This Row],[NSW]])^2,"")</f>
        <v>15.851322334235672</v>
      </c>
      <c r="AL21" s="12">
        <f>IF(AND(tblData[Date]&gt;StartDt2NSW,ISNUMBER(tblData[Day'# Aust])),tblData[NSW LogiP(t)]/$AG$9,"")</f>
        <v>2.3054559293697274E-2</v>
      </c>
      <c r="AM21" s="11">
        <f>IF(AND(tblData[Date]&gt;StartDt2Italy,ISNUMBER(tblData[Days'# Italy])),betaItaly/(deltaItaly+betaPodeltaItaly*EXP(-betaItaly*tblData[Days'# Italy])),"")</f>
        <v>0.74375883918474039</v>
      </c>
      <c r="AN21" s="11">
        <f>IF(AND(tblData[Date]&gt;StartDt2Italy,ISNUMBER(tblData[Italy])),(tblData[[#This Row],[Italy LogiP(t)]]-tblData[[#This Row],[Italy]])^2,"")</f>
        <v>1.5781418541264707</v>
      </c>
      <c r="AO21" s="44">
        <f>IF(AND(tblData[Date]&gt;StartDt2Italy,ISNUMBER(tblData[Days'# Italy])),tblData[[#This Row],[Italy LogiP(t)]]/$AM$9,"")</f>
        <v>0.12303702881467997</v>
      </c>
      <c r="AP21" s="11" t="str">
        <f>IF(ISNUMBER(tblData[[#This Row],[Days'# US]]),betaUS/(deltaUS+betaPodeltaUS*EXP(-betaUS*tblData[Days'# US])),"")</f>
        <v/>
      </c>
      <c r="AQ21" s="11"/>
      <c r="AR21" s="11" t="str">
        <f>IF(ISNUMBER(tblData[[#This Row],[Days'# US]]),tblData[[#This Row],[US LogiP(t)]]/$AP$9,"")</f>
        <v/>
      </c>
      <c r="AS21" s="11" t="str">
        <f>IF(tblData[Date]&gt;=StartDt2Korea,betaSKorea/(deltaSKorea+betaPodeltaSKorea*EXP(-betaSKorea*(tblData[Date]-StartDt2Korea))),"")</f>
        <v/>
      </c>
      <c r="AT21" s="11" t="str">
        <f>IF(AND(tblData[Date]&gt;=StartDt2Korea,ISNUMBER(tblData[SKorea])),(tblData[[#This Row],[SKorea LogiP(t)]]-tblData[[#This Row],[SKorea]])^2,"")</f>
        <v/>
      </c>
      <c r="AU21" s="11" t="str">
        <f>IF(tblData[Date]&gt;=StartDt2Korea,tblData[[#This Row],[SKorea LogiP(t)]]/$AS$9,"")</f>
        <v/>
      </c>
      <c r="AV21" s="11">
        <f>IF(ISNUMBER(tblData[Days'# UK]),betaUK/(deltaUK+betaPodeltaUK*EXP(-betaUK*tblData[Days'# UK])),"")</f>
        <v>6.0378659071813667E-2</v>
      </c>
      <c r="AW21" s="11">
        <f>IF(ISNUMBER(tblData[UK]),(tblData[[#This Row],[UK LogiP(t)]]-tblData[[#This Row],[UK]])^2,"")</f>
        <v>3.762130946184056</v>
      </c>
      <c r="AX21" s="11">
        <f>IF(ISNUMBER(tblData[Days'# UK]),tblData[[#This Row],[UK LogiP(t)]]/$AV$9,"")</f>
        <v>9.0876970306763491E-3</v>
      </c>
      <c r="AY21" s="11">
        <f>IF(ISNUMBER(tblData[Days'# China]),betaChina/(deltaChina+betaPodeltaChina*EXP(-betaChina*tblData[Days'# China])),"")</f>
        <v>12263.07167932598</v>
      </c>
      <c r="AZ21" s="11">
        <f>IF(ISNUMBER(tblData[China]),(tblData[[#This Row],[China LogiP(t)]]-tblData[[#This Row],[China]])^2,"")</f>
        <v>138437.33455645479</v>
      </c>
      <c r="BA21" s="11">
        <f>tblData[[#This Row],[China LogiP(t)]]/$AY$9</f>
        <v>85.200230023338264</v>
      </c>
      <c r="BB21" s="11"/>
      <c r="BC21" s="11"/>
      <c r="BD21" s="11" t="str">
        <f>IF(ISNUMBER(tblData[[#This Row],[NSW Number of Tests]]),tblData[[#This Row],[NSW Number of Tests]]-BB20,"")</f>
        <v/>
      </c>
      <c r="BE21" s="11" t="str">
        <f>IF(ISNUMBER(tblData[[#This Row],[NSW Under Investigation'']]),tblData[[#This Row],[NSW Under Investigation'']]-BC20,"")</f>
        <v/>
      </c>
      <c r="BF21" s="11"/>
      <c r="BG21" s="11" t="str">
        <f>IF(ISNUMBER(tblData[[#This Row],[NSW Test Day Number]]),betaTest/(deltaTest+betaPodeltaTest*EXP(-betaTest*tblData[[#This Row],[NSW Test Day Number]])),"")</f>
        <v/>
      </c>
      <c r="BH21" s="11" t="str">
        <f>IF(ISNUMBER(tblData[[#This Row],[NSW Number of Tests]]),(tblData[[#This Row],[NSW Number of Tests]]-tblData[[#This Row],[NSW Test Logi]])^2,"")</f>
        <v/>
      </c>
      <c r="BJ21" s="27"/>
      <c r="DE21" s="62" t="s">
        <v>202</v>
      </c>
      <c r="DG21" s="27">
        <v>43855</v>
      </c>
      <c r="DI21" s="62">
        <v>1</v>
      </c>
      <c r="DJ21" s="62">
        <v>0.20209478104227763</v>
      </c>
      <c r="DK21" s="62">
        <v>1.0000000000000751E-10</v>
      </c>
      <c r="DL21" s="62">
        <v>5.7886977342360797E-3</v>
      </c>
      <c r="DM21" s="62">
        <v>2020947810.4226243</v>
      </c>
      <c r="DN21" s="65">
        <v>3.8333653054478112</v>
      </c>
      <c r="DO21" s="64">
        <v>34.911959532184611</v>
      </c>
      <c r="DP21" s="62">
        <v>1.0000000000000751E-7</v>
      </c>
      <c r="DQ21" s="64">
        <v>3.8333653054478112</v>
      </c>
      <c r="DR21" s="27">
        <v>43908</v>
      </c>
      <c r="DS21" s="63" t="s">
        <v>1003</v>
      </c>
      <c r="DT21" s="62">
        <v>307</v>
      </c>
      <c r="DU21" s="62" t="s">
        <v>1004</v>
      </c>
      <c r="DV21" s="27">
        <v>43908</v>
      </c>
      <c r="DW21" s="65">
        <v>55</v>
      </c>
      <c r="DX21" s="63" t="s">
        <v>1005</v>
      </c>
      <c r="DY21" s="62"/>
      <c r="DZ21" s="62" t="s">
        <v>1006</v>
      </c>
      <c r="EA21" s="62"/>
      <c r="EB21" s="66" t="s">
        <v>1026</v>
      </c>
      <c r="EC21" s="21">
        <v>379.95049504950492</v>
      </c>
      <c r="ED21" s="65"/>
      <c r="EE21" s="65"/>
      <c r="EF21" s="26"/>
      <c r="EG21" s="11"/>
      <c r="EH21" s="26" t="s">
        <v>1027</v>
      </c>
      <c r="EI21" s="26"/>
      <c r="EJ21" s="26"/>
    </row>
    <row r="22" spans="2:140" ht="18.75" customHeight="1" x14ac:dyDescent="0.25">
      <c r="B22" s="1">
        <v>43863</v>
      </c>
      <c r="C22">
        <v>0</v>
      </c>
      <c r="D22" s="26">
        <v>0</v>
      </c>
      <c r="E22">
        <v>4</v>
      </c>
      <c r="F22">
        <v>0</v>
      </c>
      <c r="G22">
        <v>2</v>
      </c>
      <c r="H22">
        <v>2</v>
      </c>
      <c r="I22">
        <v>0</v>
      </c>
      <c r="J22">
        <v>4</v>
      </c>
      <c r="K22">
        <v>0</v>
      </c>
      <c r="L22" s="12">
        <f>IF(ISNUMBER(tblData[[#This Row],[NSW]]),tblData[[#This Row],[New South Wales]]/$L$9,"")</f>
        <v>4.9504950495049505</v>
      </c>
      <c r="M22" s="26">
        <v>2</v>
      </c>
      <c r="N22" s="49">
        <f>IF(ISNUMBER(tblData[Italy]),tblData[Italy]/$N$9,"")</f>
        <v>0.33085194375516958</v>
      </c>
      <c r="P22" s="26" t="str">
        <f>IF(ISNUMBER(tblData[US]),tblData[US]/$P$9,"")</f>
        <v/>
      </c>
      <c r="Q22">
        <v>15</v>
      </c>
      <c r="R22" s="19">
        <f>IF(ISNUMBER(tblData[SKorea]),tblData[SKorea]/$R$9,"")</f>
        <v>2.918287937743191</v>
      </c>
      <c r="S22">
        <v>2</v>
      </c>
      <c r="T22" s="12">
        <f>IF(ISNUMBER(tblData[UK]),tblData[UK]/$T$9,"")</f>
        <v>0.30102347983142685</v>
      </c>
      <c r="U22">
        <v>16630</v>
      </c>
      <c r="V22" s="21">
        <f>IF(ISNUMBER(tblData[China]),tblData[China]/$V$9,"")</f>
        <v>115.54036886833168</v>
      </c>
      <c r="W22" s="26">
        <f>IF(tblData[[#This Row],[Date]]&lt;ItalyStart,"",tblData[[#This Row],[Date]]-ItalyStart)</f>
        <v>3</v>
      </c>
      <c r="X22" s="26"/>
      <c r="Y22" s="26">
        <f t="shared" si="3"/>
        <v>11</v>
      </c>
      <c r="Z22" s="26" t="str">
        <f>IF(tblData[[#This Row],[Date]]&lt;StartDt2Korea,"",tblData[[#This Row],[Date]]-StartDt2Korea)</f>
        <v/>
      </c>
      <c r="AA22" s="26">
        <f>IF(tblData[[#This Row],[Date]]&lt;UKStart,"",tblData[[#This Row],[Date]]-UKStart)</f>
        <v>3</v>
      </c>
      <c r="AB22">
        <f>IF(tblData[Date]&gt;=StartDt2Au,tblData[Date]-StartDt2Au,"")</f>
        <v>8</v>
      </c>
      <c r="AC22" s="26">
        <f>IF(tblData[New South Wales]&gt;0,SUM(tblData[[#This Row],[Australian Capital Territory]:[Western Australia]]),"")</f>
        <v>12</v>
      </c>
      <c r="AD22" s="12">
        <f>IF(ISNUMBER(tblData[Au]),tblData[Au]/$AA$9,"")</f>
        <v>4.731114966093676</v>
      </c>
      <c r="AE22" s="19">
        <f>IF(ISNUMBER(tblData[[#This Row],[Day'# Aust]]),betaAu/(deltaAu+betaPodeltaAu*EXP(-betaAu*tblData[[#This Row],[Day'# Aust]])),"")</f>
        <v>5.2953449400281863E-2</v>
      </c>
      <c r="AF22" s="72">
        <f>IF(ISNUMBER(tblData[Day'# Aust]),tblData[Au LogiP(t)]/$AD$9,"")</f>
        <v>2.0877404746996477E-2</v>
      </c>
      <c r="AG22" s="11">
        <f>IF(AND(tblData[Date]&gt;=StartDt2Au,ISNUMBER(tblData[NSW])),(tblData[[#This Row],[Au LogiP(t)]]-tblData[[#This Row],[Au]])^2,"")</f>
        <v>142.73192128219665</v>
      </c>
      <c r="AH22">
        <f>IF(tblData[Date]&gt;StartDt2NSW,tblData[Date]-StartDt2NSW,"")</f>
        <v>8</v>
      </c>
      <c r="AI22">
        <f t="shared" si="4"/>
        <v>4</v>
      </c>
      <c r="AJ22" s="11">
        <f>IF(tblData[Date]&gt;StartDt2NSW,betaNSW/(deltaNSW+betaPodeltaNSW*EXP(-betaNSW*tblData[[#This Row],[Day '# NSW]])),"")</f>
        <v>2.2965079027216881E-2</v>
      </c>
      <c r="AK22" s="12">
        <f>IF(AND(ISNUMBER(tblData[NSW]),tblData[Date]&gt;StartDt2NSW),(tblData[[#This Row],[NSW LogiP(t)]]-tblData[[#This Row],[NSW]])^2,"")</f>
        <v>15.816806762636991</v>
      </c>
      <c r="AL22" s="12">
        <f>IF(AND(tblData[Date]&gt;StartDt2NSW,ISNUMBER(tblData[Day'# Aust])),tblData[NSW LogiP(t)]/$AG$9,"")</f>
        <v>2.8422127508931781E-2</v>
      </c>
      <c r="AM22" s="11">
        <f>IF(AND(tblData[Date]&gt;StartDt2Italy,ISNUMBER(tblData[Days'# Italy])),betaItaly/(deltaItaly+betaPodeltaItaly*EXP(-betaItaly*tblData[Days'# Italy])),"")</f>
        <v>0.96480336242891529</v>
      </c>
      <c r="AN22" s="11">
        <f>IF(AND(tblData[Date]&gt;StartDt2Italy,ISNUMBER(tblData[Italy])),(tblData[[#This Row],[Italy LogiP(t)]]-tblData[[#This Row],[Italy]])^2,"")</f>
        <v>1.0716320784384799</v>
      </c>
      <c r="AO22" s="44">
        <f>IF(AND(tblData[Date]&gt;StartDt2Italy,ISNUMBER(tblData[Days'# Italy])),tblData[[#This Row],[Italy LogiP(t)]]/$AM$9,"")</f>
        <v>0.15960353390056498</v>
      </c>
      <c r="AP22" s="11" t="str">
        <f>IF(ISNUMBER(tblData[[#This Row],[Days'# US]]),betaUS/(deltaUS+betaPodeltaUS*EXP(-betaUS*tblData[Days'# US])),"")</f>
        <v/>
      </c>
      <c r="AQ22" s="11"/>
      <c r="AR22" s="11" t="str">
        <f>IF(ISNUMBER(tblData[[#This Row],[Days'# US]]),tblData[[#This Row],[US LogiP(t)]]/$AP$9,"")</f>
        <v/>
      </c>
      <c r="AS22" s="11" t="str">
        <f>IF(tblData[Date]&gt;=StartDt2Korea,betaSKorea/(deltaSKorea+betaPodeltaSKorea*EXP(-betaSKorea*(tblData[Date]-StartDt2Korea))),"")</f>
        <v/>
      </c>
      <c r="AT22" s="11" t="str">
        <f>IF(AND(tblData[Date]&gt;=StartDt2Korea,ISNUMBER(tblData[SKorea])),(tblData[[#This Row],[SKorea LogiP(t)]]-tblData[[#This Row],[SKorea]])^2,"")</f>
        <v/>
      </c>
      <c r="AU22" s="11" t="str">
        <f>IF(tblData[Date]&gt;=StartDt2Korea,tblData[[#This Row],[SKorea LogiP(t)]]/$AS$9,"")</f>
        <v/>
      </c>
      <c r="AV22" s="11">
        <f>IF(ISNUMBER(tblData[Days'# UK]),betaUK/(deltaUK+betaPodeltaUK*EXP(-betaUK*tblData[Days'# UK])),"")</f>
        <v>7.6037828240448552E-2</v>
      </c>
      <c r="AW22" s="11">
        <f>IF(ISNUMBER(tblData[UK]),(tblData[[#This Row],[UK LogiP(t)]]-tblData[[#This Row],[UK]])^2,"")</f>
        <v>3.7016304383617298</v>
      </c>
      <c r="AX22" s="11">
        <f>IF(ISNUMBER(tblData[Days'# UK]),tblData[[#This Row],[UK LogiP(t)]]/$AV$9,"")</f>
        <v>1.1444585827882081E-2</v>
      </c>
      <c r="AY22" s="11">
        <f>IF(ISNUMBER(tblData[Days'# China]),betaChina/(deltaChina+betaPodeltaChina*EXP(-betaChina*tblData[Days'# China])),"")</f>
        <v>14757.41557787284</v>
      </c>
      <c r="AZ22" s="11">
        <f>IF(ISNUMBER(tblData[China]),(tblData[[#This Row],[China LogiP(t)]]-tblData[[#This Row],[China]])^2,"")</f>
        <v>3506572.4179933099</v>
      </c>
      <c r="BA22" s="11">
        <f>tblData[[#This Row],[China LogiP(t)]]/$AY$9</f>
        <v>102.53020080641564</v>
      </c>
      <c r="BB22" s="11"/>
      <c r="BC22" s="11"/>
      <c r="BD22" s="11" t="str">
        <f>IF(ISNUMBER(tblData[[#This Row],[NSW Number of Tests]]),tblData[[#This Row],[NSW Number of Tests]]-BB21,"")</f>
        <v/>
      </c>
      <c r="BE22" s="11" t="str">
        <f>IF(ISNUMBER(tblData[[#This Row],[NSW Under Investigation'']]),tblData[[#This Row],[NSW Under Investigation'']]-BC21,"")</f>
        <v/>
      </c>
      <c r="BF22" s="11"/>
      <c r="BG22" s="11" t="str">
        <f>IF(ISNUMBER(tblData[[#This Row],[NSW Test Day Number]]),betaTest/(deltaTest+betaPodeltaTest*EXP(-betaTest*tblData[[#This Row],[NSW Test Day Number]])),"")</f>
        <v/>
      </c>
      <c r="BH22" s="11" t="str">
        <f>IF(ISNUMBER(tblData[[#This Row],[NSW Number of Tests]]),(tblData[[#This Row],[NSW Number of Tests]]-tblData[[#This Row],[NSW Test Logi]])^2,"")</f>
        <v/>
      </c>
      <c r="BJ22" s="27"/>
      <c r="DE22" s="26" t="s">
        <v>202</v>
      </c>
      <c r="DG22" s="27">
        <v>43855</v>
      </c>
      <c r="DI22" s="26">
        <v>1</v>
      </c>
      <c r="DJ22" s="26">
        <v>0.19837162818971904</v>
      </c>
      <c r="DK22" s="26">
        <v>1.00000000000157E-8</v>
      </c>
      <c r="DL22" s="26">
        <v>6.9460009994493713E-3</v>
      </c>
      <c r="DM22" s="26">
        <v>19837162.818940759</v>
      </c>
      <c r="DN22" s="19">
        <v>3.6531506142049168</v>
      </c>
      <c r="DO22" s="12">
        <v>28.559113097735587</v>
      </c>
      <c r="DP22" s="26">
        <v>1.00000000000157E-5</v>
      </c>
      <c r="DQ22" s="26">
        <v>3.6531506142049168</v>
      </c>
      <c r="DR22" s="27">
        <v>43910</v>
      </c>
      <c r="DS22" s="26" t="s">
        <v>1309</v>
      </c>
      <c r="DT22" s="26">
        <v>382</v>
      </c>
      <c r="DU22" s="26" t="s">
        <v>1310</v>
      </c>
      <c r="DV22" s="27">
        <v>43910</v>
      </c>
      <c r="DW22" s="26">
        <v>56</v>
      </c>
      <c r="DX22" s="26" t="s">
        <v>1311</v>
      </c>
      <c r="DY22" s="26"/>
      <c r="DZ22" s="26" t="s">
        <v>1312</v>
      </c>
      <c r="EA22" s="26"/>
      <c r="EB22" s="26" t="s">
        <v>1313</v>
      </c>
      <c r="EC22" s="26">
        <v>472.77227722772273</v>
      </c>
      <c r="ED22" s="26"/>
      <c r="EE22" s="26"/>
      <c r="EF22" s="26"/>
      <c r="EG22" s="26"/>
      <c r="EH22" s="26" t="s">
        <v>1314</v>
      </c>
      <c r="EI22" s="26"/>
      <c r="EJ22" s="26"/>
    </row>
    <row r="23" spans="2:140" x14ac:dyDescent="0.25">
      <c r="B23" s="1">
        <v>43864</v>
      </c>
      <c r="C23">
        <v>0</v>
      </c>
      <c r="D23" s="26">
        <v>0</v>
      </c>
      <c r="E23">
        <v>4</v>
      </c>
      <c r="F23">
        <v>0</v>
      </c>
      <c r="G23">
        <v>2</v>
      </c>
      <c r="H23">
        <v>2</v>
      </c>
      <c r="I23">
        <v>0</v>
      </c>
      <c r="J23">
        <v>4</v>
      </c>
      <c r="K23">
        <v>0</v>
      </c>
      <c r="L23" s="12">
        <f>IF(ISNUMBER(tblData[[#This Row],[NSW]]),tblData[[#This Row],[New South Wales]]/$L$9,"")</f>
        <v>4.9504950495049505</v>
      </c>
      <c r="M23" s="26">
        <v>2</v>
      </c>
      <c r="N23" s="49">
        <f>IF(ISNUMBER(tblData[Italy]),tblData[Italy]/$N$9,"")</f>
        <v>0.33085194375516958</v>
      </c>
      <c r="P23" s="26" t="str">
        <f>IF(ISNUMBER(tblData[US]),tblData[US]/$P$9,"")</f>
        <v/>
      </c>
      <c r="Q23">
        <v>15</v>
      </c>
      <c r="R23" s="19">
        <f>IF(ISNUMBER(tblData[SKorea]),tblData[SKorea]/$R$9,"")</f>
        <v>2.918287937743191</v>
      </c>
      <c r="S23">
        <v>2</v>
      </c>
      <c r="T23" s="12">
        <f>IF(ISNUMBER(tblData[UK]),tblData[UK]/$T$9,"")</f>
        <v>0.30102347983142685</v>
      </c>
      <c r="U23">
        <v>19716</v>
      </c>
      <c r="V23" s="21">
        <f>IF(ISNUMBER(tblData[China]),tblData[China]/$V$9,"")</f>
        <v>136.98099294095175</v>
      </c>
      <c r="W23" s="26">
        <f>IF(tblData[[#This Row],[Date]]&lt;ItalyStart,"",tblData[[#This Row],[Date]]-ItalyStart)</f>
        <v>4</v>
      </c>
      <c r="X23" s="26"/>
      <c r="Y23" s="26">
        <f t="shared" si="3"/>
        <v>12</v>
      </c>
      <c r="Z23" s="26" t="str">
        <f>IF(tblData[[#This Row],[Date]]&lt;StartDt2Korea,"",tblData[[#This Row],[Date]]-StartDt2Korea)</f>
        <v/>
      </c>
      <c r="AA23" s="26">
        <f>IF(tblData[[#This Row],[Date]]&lt;UKStart,"",tblData[[#This Row],[Date]]-UKStart)</f>
        <v>4</v>
      </c>
      <c r="AB23">
        <f>IF(tblData[Date]&gt;=StartDt2Au,tblData[Date]-StartDt2Au,"")</f>
        <v>9</v>
      </c>
      <c r="AC23" s="26">
        <f>IF(tblData[New South Wales]&gt;0,SUM(tblData[[#This Row],[Australian Capital Territory]:[Western Australia]]),"")</f>
        <v>12</v>
      </c>
      <c r="AD23" s="12">
        <f>IF(ISNUMBER(tblData[Au]),tblData[Au]/$AA$9,"")</f>
        <v>4.731114966093676</v>
      </c>
      <c r="AE23" s="19">
        <f>IF(ISNUMBER(tblData[[#This Row],[Day'# Aust]]),betaAu/(deltaAu+betaPodeltaAu*EXP(-betaAu*tblData[[#This Row],[Day'# Aust]])),"")</f>
        <v>6.5098566415230125E-2</v>
      </c>
      <c r="AF23" s="72">
        <f>IF(ISNUMBER(tblData[Day'# Aust]),tblData[Au LogiP(t)]/$AD$9,"")</f>
        <v>2.5665733486528199E-2</v>
      </c>
      <c r="AG23" s="11">
        <f>IF(AND(tblData[Date]&gt;=StartDt2Au,ISNUMBER(tblData[NSW])),(tblData[[#This Row],[Au LogiP(t)]]-tblData[[#This Row],[Au]])^2,"")</f>
        <v>142.44187222938379</v>
      </c>
      <c r="AH23">
        <f>IF(tblData[Date]&gt;StartDt2NSW,tblData[Date]-StartDt2NSW,"")</f>
        <v>9</v>
      </c>
      <c r="AI23">
        <f t="shared" si="4"/>
        <v>4</v>
      </c>
      <c r="AJ23" s="11">
        <f>IF(tblData[Date]&gt;StartDt2NSW,betaNSW/(deltaNSW+betaPodeltaNSW*EXP(-betaNSW*tblData[[#This Row],[Day '# NSW]])),"")</f>
        <v>2.8311803932569855E-2</v>
      </c>
      <c r="AK23" s="12">
        <f>IF(AND(ISNUMBER(tblData[NSW]),tblData[Date]&gt;StartDt2NSW),(tblData[[#This Row],[NSW LogiP(t)]]-tblData[[#This Row],[NSW]])^2,"")</f>
        <v>15.774307126781357</v>
      </c>
      <c r="AL23" s="12">
        <f>IF(AND(tblData[Date]&gt;StartDt2NSW,ISNUMBER(tblData[Day'# Aust])),tblData[NSW LogiP(t)]/$AG$9,"")</f>
        <v>3.5039361302685458E-2</v>
      </c>
      <c r="AM23" s="11">
        <f>IF(AND(tblData[Date]&gt;StartDt2Italy,ISNUMBER(tblData[Days'# Italy])),betaItaly/(deltaItaly+betaPodeltaItaly*EXP(-betaItaly*tblData[Days'# Italy])),"")</f>
        <v>1.2515406544931931</v>
      </c>
      <c r="AN23" s="11">
        <f>IF(AND(tblData[Date]&gt;StartDt2Italy,ISNUMBER(tblData[Italy])),(tblData[[#This Row],[Italy LogiP(t)]]-tblData[[#This Row],[Italy]])^2,"")</f>
        <v>0.56019139187647782</v>
      </c>
      <c r="AO23" s="44">
        <f>IF(AND(tblData[Date]&gt;StartDt2Italy,ISNUMBER(tblData[Days'# Italy])),tblData[[#This Row],[Italy LogiP(t)]]/$AM$9,"")</f>
        <v>0.20703732911384501</v>
      </c>
      <c r="AP23" s="11" t="str">
        <f>IF(ISNUMBER(tblData[[#This Row],[Days'# US]]),betaUS/(deltaUS+betaPodeltaUS*EXP(-betaUS*tblData[Days'# US])),"")</f>
        <v/>
      </c>
      <c r="AQ23" s="11"/>
      <c r="AR23" s="11" t="str">
        <f>IF(ISNUMBER(tblData[[#This Row],[Days'# US]]),tblData[[#This Row],[US LogiP(t)]]/$AP$9,"")</f>
        <v/>
      </c>
      <c r="AS23" s="11" t="str">
        <f>IF(tblData[Date]&gt;=StartDt2Korea,betaSKorea/(deltaSKorea+betaPodeltaSKorea*EXP(-betaSKorea*(tblData[Date]-StartDt2Korea))),"")</f>
        <v/>
      </c>
      <c r="AT23" s="11" t="str">
        <f>IF(AND(tblData[Date]&gt;=StartDt2Korea,ISNUMBER(tblData[SKorea])),(tblData[[#This Row],[SKorea LogiP(t)]]-tblData[[#This Row],[SKorea]])^2,"")</f>
        <v/>
      </c>
      <c r="AU23" s="11" t="str">
        <f>IF(tblData[Date]&gt;=StartDt2Korea,tblData[[#This Row],[SKorea LogiP(t)]]/$AS$9,"")</f>
        <v/>
      </c>
      <c r="AV23" s="11">
        <f>IF(ISNUMBER(tblData[Days'# UK]),betaUK/(deltaUK+betaPodeltaUK*EXP(-betaUK*tblData[Days'# UK])),"")</f>
        <v>9.5758193578717593E-2</v>
      </c>
      <c r="AW23" s="11">
        <f>IF(ISNUMBER(tblData[UK]),(tblData[[#This Row],[UK LogiP(t)]]-tblData[[#This Row],[UK]])^2,"")</f>
        <v>3.6261368573225892</v>
      </c>
      <c r="AX23" s="11">
        <f>IF(ISNUMBER(tblData[Days'# UK]),tblData[[#This Row],[UK LogiP(t)]]/$AV$9,"")</f>
        <v>1.4412732326718481E-2</v>
      </c>
      <c r="AY23" s="11">
        <f>IF(ISNUMBER(tblData[Days'# China]),betaChina/(deltaChina+betaPodeltaChina*EXP(-betaChina*tblData[Days'# China])),"")</f>
        <v>17628.902643888327</v>
      </c>
      <c r="AZ23" s="11">
        <f>IF(ISNUMBER(tblData[China]),(tblData[[#This Row],[China LogiP(t)]]-tblData[[#This Row],[China]])^2,"")</f>
        <v>4355975.3738883371</v>
      </c>
      <c r="BA23" s="11">
        <f>tblData[[#This Row],[China LogiP(t)]]/$AY$9</f>
        <v>122.48045184718971</v>
      </c>
      <c r="BB23" s="11"/>
      <c r="BC23" s="11"/>
      <c r="BD23" s="11" t="str">
        <f>IF(ISNUMBER(tblData[[#This Row],[NSW Number of Tests]]),tblData[[#This Row],[NSW Number of Tests]]-BB22,"")</f>
        <v/>
      </c>
      <c r="BE23" s="11" t="str">
        <f>IF(ISNUMBER(tblData[[#This Row],[NSW Under Investigation'']]),tblData[[#This Row],[NSW Under Investigation'']]-BC22,"")</f>
        <v/>
      </c>
      <c r="BF23" s="11"/>
      <c r="BG23" s="11" t="str">
        <f>IF(ISNUMBER(tblData[[#This Row],[NSW Test Day Number]]),betaTest/(deltaTest+betaPodeltaTest*EXP(-betaTest*tblData[[#This Row],[NSW Test Day Number]])),"")</f>
        <v/>
      </c>
      <c r="BH23" s="11" t="str">
        <f>IF(ISNUMBER(tblData[[#This Row],[NSW Number of Tests]]),(tblData[[#This Row],[NSW Number of Tests]]-tblData[[#This Row],[NSW Test Logi]])^2,"")</f>
        <v/>
      </c>
      <c r="BJ23" s="27"/>
      <c r="DE23" s="26" t="s">
        <v>202</v>
      </c>
      <c r="DF23" s="82">
        <v>43911.866284722222</v>
      </c>
      <c r="DG23" s="27">
        <v>43855</v>
      </c>
      <c r="DH23" s="27">
        <v>43855</v>
      </c>
      <c r="DI23" s="26">
        <v>1</v>
      </c>
      <c r="DJ23" s="26">
        <v>0.20930602113130264</v>
      </c>
      <c r="DK23" s="26">
        <v>7.6817707886235747E-5</v>
      </c>
      <c r="DL23" s="26">
        <v>4.3039510033128963E-3</v>
      </c>
      <c r="DM23" s="26">
        <v>2724.7105763852951</v>
      </c>
      <c r="DN23" s="19">
        <v>4.2004617329616165</v>
      </c>
      <c r="DO23" s="12">
        <v>48.631057916445158</v>
      </c>
      <c r="DP23" s="26">
        <v>7.681770788623575E-2</v>
      </c>
      <c r="DQ23" s="26">
        <v>4.2004617329616165</v>
      </c>
      <c r="DR23" s="27">
        <v>43911</v>
      </c>
      <c r="DS23" s="26" t="s">
        <v>1487</v>
      </c>
      <c r="DT23" s="26">
        <v>436</v>
      </c>
      <c r="DU23" s="26" t="s">
        <v>1488</v>
      </c>
      <c r="DV23" s="27">
        <v>43911</v>
      </c>
      <c r="DW23" s="26">
        <v>57</v>
      </c>
      <c r="DX23" s="26" t="s">
        <v>1489</v>
      </c>
      <c r="DY23" s="26"/>
      <c r="DZ23" s="26" t="s">
        <v>1490</v>
      </c>
      <c r="EA23" s="26"/>
      <c r="EB23" s="26" t="s">
        <v>1491</v>
      </c>
      <c r="EC23" s="26">
        <v>539.60396039603961</v>
      </c>
      <c r="ED23" s="26"/>
      <c r="EE23" s="26"/>
      <c r="EF23" s="26"/>
      <c r="EG23" s="26"/>
      <c r="EH23" s="26" t="s">
        <v>1476</v>
      </c>
      <c r="EI23" s="26"/>
      <c r="EJ23" s="26"/>
    </row>
    <row r="24" spans="2:140" x14ac:dyDescent="0.25">
      <c r="B24" s="1">
        <v>43865</v>
      </c>
      <c r="C24">
        <v>0</v>
      </c>
      <c r="D24" s="26">
        <v>0</v>
      </c>
      <c r="E24">
        <v>4</v>
      </c>
      <c r="F24">
        <v>0</v>
      </c>
      <c r="G24">
        <v>3</v>
      </c>
      <c r="H24">
        <v>2</v>
      </c>
      <c r="I24">
        <v>0</v>
      </c>
      <c r="J24">
        <v>4</v>
      </c>
      <c r="K24">
        <v>0</v>
      </c>
      <c r="L24" s="12">
        <f>IF(ISNUMBER(tblData[[#This Row],[NSW]]),tblData[[#This Row],[New South Wales]]/$L$9,"")</f>
        <v>4.9504950495049505</v>
      </c>
      <c r="M24" s="26">
        <v>2</v>
      </c>
      <c r="N24" s="49">
        <f>IF(ISNUMBER(tblData[Italy]),tblData[Italy]/$N$9,"")</f>
        <v>0.33085194375516958</v>
      </c>
      <c r="P24" s="26" t="str">
        <f>IF(ISNUMBER(tblData[US]),tblData[US]/$P$9,"")</f>
        <v/>
      </c>
      <c r="Q24">
        <v>16</v>
      </c>
      <c r="R24" s="19">
        <f>IF(ISNUMBER(tblData[SKorea]),tblData[SKorea]/$R$9,"")</f>
        <v>3.1128404669260701</v>
      </c>
      <c r="S24">
        <v>2</v>
      </c>
      <c r="T24" s="12">
        <f>IF(ISNUMBER(tblData[UK]),tblData[UK]/$T$9,"")</f>
        <v>0.30102347983142685</v>
      </c>
      <c r="U24">
        <v>23707</v>
      </c>
      <c r="V24" s="21">
        <f>IF(ISNUMBER(tblData[China]),tblData[China]/$V$9,"")</f>
        <v>164.7092919279338</v>
      </c>
      <c r="W24" s="26">
        <f>IF(tblData[[#This Row],[Date]]&lt;ItalyStart,"",tblData[[#This Row],[Date]]-ItalyStart)</f>
        <v>5</v>
      </c>
      <c r="X24" s="26"/>
      <c r="Y24" s="26">
        <f t="shared" si="3"/>
        <v>13</v>
      </c>
      <c r="Z24" s="26" t="str">
        <f>IF(tblData[[#This Row],[Date]]&lt;StartDt2Korea,"",tblData[[#This Row],[Date]]-StartDt2Korea)</f>
        <v/>
      </c>
      <c r="AA24" s="26">
        <f>IF(tblData[[#This Row],[Date]]&lt;UKStart,"",tblData[[#This Row],[Date]]-UKStart)</f>
        <v>5</v>
      </c>
      <c r="AB24">
        <f>IF(tblData[Date]&gt;=StartDt2Au,tblData[Date]-StartDt2Au,"")</f>
        <v>10</v>
      </c>
      <c r="AC24" s="26">
        <f>IF(tblData[New South Wales]&gt;0,SUM(tblData[[#This Row],[Australian Capital Territory]:[Western Australia]]),"")</f>
        <v>13</v>
      </c>
      <c r="AD24" s="12">
        <f>IF(ISNUMBER(tblData[Au]),tblData[Au]/$AA$9,"")</f>
        <v>5.1253745466014822</v>
      </c>
      <c r="AE24" s="19">
        <f>IF(ISNUMBER(tblData[[#This Row],[Day'# Aust]]),betaAu/(deltaAu+betaPodeltaAu*EXP(-betaAu*tblData[[#This Row],[Day'# Aust]])),"")</f>
        <v>8.0029221840237724E-2</v>
      </c>
      <c r="AF24" s="72">
        <f>IF(ISNUMBER(tblData[Day'# Aust]),tblData[Au LogiP(t)]/$AD$9,"")</f>
        <v>3.1552287431098301E-2</v>
      </c>
      <c r="AG24" s="11">
        <f>IF(AND(tblData[Date]&gt;=StartDt2Au,ISNUMBER(tblData[NSW])),(tblData[[#This Row],[Au LogiP(t)]]-tblData[[#This Row],[Au]])^2,"")</f>
        <v>166.92564490850216</v>
      </c>
      <c r="AH24">
        <f>IF(tblData[Date]&gt;StartDt2NSW,tblData[Date]-StartDt2NSW,"")</f>
        <v>10</v>
      </c>
      <c r="AI24">
        <f t="shared" si="4"/>
        <v>4</v>
      </c>
      <c r="AJ24" s="11">
        <f>IF(tblData[Date]&gt;StartDt2NSW,betaNSW/(deltaNSW+betaPodeltaNSW*EXP(-betaNSW*tblData[[#This Row],[Day '# NSW]])),"")</f>
        <v>3.4903336268076422E-2</v>
      </c>
      <c r="AK24" s="12">
        <f>IF(AND(ISNUMBER(tblData[NSW]),tblData[Date]&gt;StartDt2NSW),(tblData[[#This Row],[NSW LogiP(t)]]-tblData[[#This Row],[NSW]])^2,"")</f>
        <v>15.721991552738031</v>
      </c>
      <c r="AL24" s="12">
        <f>IF(AND(tblData[Date]&gt;StartDt2NSW,ISNUMBER(tblData[Day'# Aust])),tblData[NSW LogiP(t)]/$AG$9,"")</f>
        <v>4.319719835157973E-2</v>
      </c>
      <c r="AM24" s="11">
        <f>IF(AND(tblData[Date]&gt;StartDt2Italy,ISNUMBER(tblData[Days'# Italy])),betaItaly/(deltaItaly+betaPodeltaItaly*EXP(-betaItaly*tblData[Days'# Italy])),"")</f>
        <v>1.6234930987102256</v>
      </c>
      <c r="AN24" s="11">
        <f>IF(AND(tblData[Date]&gt;StartDt2Italy,ISNUMBER(tblData[Italy])),(tblData[[#This Row],[Italy LogiP(t)]]-tblData[[#This Row],[Italy]])^2,"")</f>
        <v>0.1417574467188279</v>
      </c>
      <c r="AO24" s="44">
        <f>IF(AND(tblData[Date]&gt;StartDt2Italy,ISNUMBER(tblData[Days'# Italy])),tblData[[#This Row],[Italy LogiP(t)]]/$AM$9,"")</f>
        <v>0.26856792369069077</v>
      </c>
      <c r="AP24" s="11" t="str">
        <f>IF(ISNUMBER(tblData[[#This Row],[Days'# US]]),betaUS/(deltaUS+betaPodeltaUS*EXP(-betaUS*tblData[Days'# US])),"")</f>
        <v/>
      </c>
      <c r="AQ24" s="11"/>
      <c r="AR24" s="11" t="str">
        <f>IF(ISNUMBER(tblData[[#This Row],[Days'# US]]),tblData[[#This Row],[US LogiP(t)]]/$AP$9,"")</f>
        <v/>
      </c>
      <c r="AS24" s="11" t="str">
        <f>IF(tblData[Date]&gt;=StartDt2Korea,betaSKorea/(deltaSKorea+betaPodeltaSKorea*EXP(-betaSKorea*(tblData[Date]-StartDt2Korea))),"")</f>
        <v/>
      </c>
      <c r="AT24" s="11" t="str">
        <f>IF(AND(tblData[Date]&gt;=StartDt2Korea,ISNUMBER(tblData[SKorea])),(tblData[[#This Row],[SKorea LogiP(t)]]-tblData[[#This Row],[SKorea]])^2,"")</f>
        <v/>
      </c>
      <c r="AU24" s="11" t="str">
        <f>IF(tblData[Date]&gt;=StartDt2Korea,tblData[[#This Row],[SKorea LogiP(t)]]/$AS$9,"")</f>
        <v/>
      </c>
      <c r="AV24" s="11">
        <f>IF(ISNUMBER(tblData[Days'# UK]),betaUK/(deltaUK+betaPodeltaUK*EXP(-betaUK*tblData[Days'# UK])),"")</f>
        <v>0.12059302388620777</v>
      </c>
      <c r="AW24" s="11">
        <f>IF(ISNUMBER(tblData[UK]),(tblData[[#This Row],[UK LogiP(t)]]-tblData[[#This Row],[UK]])^2,"")</f>
        <v>3.5321705818651883</v>
      </c>
      <c r="AX24" s="11">
        <f>IF(ISNUMBER(tblData[Days'# UK]),tblData[[#This Row],[UK LogiP(t)]]/$AV$9,"")</f>
        <v>1.815066584681032E-2</v>
      </c>
      <c r="AY24" s="11">
        <f>IF(ISNUMBER(tblData[Days'# China]),betaChina/(deltaChina+betaPodeltaChina*EXP(-betaChina*tblData[Days'# China])),"")</f>
        <v>20882.852887614059</v>
      </c>
      <c r="AZ24" s="11">
        <f>IF(ISNUMBER(tblData[China]),(tblData[[#This Row],[China LogiP(t)]]-tblData[[#This Row],[China]])^2,"")</f>
        <v>7975806.9123978484</v>
      </c>
      <c r="BA24" s="11">
        <f>tblData[[#This Row],[China LogiP(t)]]/$AY$9</f>
        <v>145.08794501852279</v>
      </c>
      <c r="BB24" s="11"/>
      <c r="BC24" s="11"/>
      <c r="BD24" s="11" t="str">
        <f>IF(ISNUMBER(tblData[[#This Row],[NSW Number of Tests]]),tblData[[#This Row],[NSW Number of Tests]]-BB23,"")</f>
        <v/>
      </c>
      <c r="BE24" s="11" t="str">
        <f>IF(ISNUMBER(tblData[[#This Row],[NSW Under Investigation'']]),tblData[[#This Row],[NSW Under Investigation'']]-BC23,"")</f>
        <v/>
      </c>
      <c r="BF24" s="11"/>
      <c r="BG24" s="11" t="str">
        <f>IF(ISNUMBER(tblData[[#This Row],[NSW Test Day Number]]),betaTest/(deltaTest+betaPodeltaTest*EXP(-betaTest*tblData[[#This Row],[NSW Test Day Number]])),"")</f>
        <v/>
      </c>
      <c r="BH24" s="11" t="str">
        <f>IF(ISNUMBER(tblData[[#This Row],[NSW Number of Tests]]),(tblData[[#This Row],[NSW Number of Tests]]-tblData[[#This Row],[NSW Test Logi]])^2,"")</f>
        <v/>
      </c>
      <c r="BJ24" s="27"/>
      <c r="DE24" s="26" t="s">
        <v>58</v>
      </c>
      <c r="DG24" s="27">
        <v>43860</v>
      </c>
      <c r="DI24" s="26">
        <v>2</v>
      </c>
      <c r="DJ24" s="23">
        <v>0.26341245608301456</v>
      </c>
      <c r="DK24" s="25">
        <v>8.0178356113971791E-6</v>
      </c>
      <c r="DL24" s="22">
        <v>0.43807876080500274</v>
      </c>
      <c r="DM24" s="26">
        <v>32853.312146806733</v>
      </c>
      <c r="DN24" s="19">
        <v>317.87708238738571</v>
      </c>
      <c r="DO24" s="37">
        <v>0.60128216021130942</v>
      </c>
      <c r="DP24" s="24">
        <v>8.0178356113971786E-3</v>
      </c>
      <c r="DQ24" s="12"/>
      <c r="DR24" s="27">
        <v>43904</v>
      </c>
      <c r="DS24" s="27" t="s">
        <v>492</v>
      </c>
      <c r="DT24" s="19"/>
      <c r="DU24" s="19"/>
      <c r="DW24" s="26"/>
      <c r="DX24" s="18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</row>
    <row r="25" spans="2:140" x14ac:dyDescent="0.25">
      <c r="B25" s="1">
        <v>43866</v>
      </c>
      <c r="C25">
        <v>0</v>
      </c>
      <c r="D25" s="26">
        <v>0</v>
      </c>
      <c r="E25">
        <v>4</v>
      </c>
      <c r="F25">
        <v>0</v>
      </c>
      <c r="G25">
        <v>3</v>
      </c>
      <c r="H25">
        <v>2</v>
      </c>
      <c r="I25">
        <v>0</v>
      </c>
      <c r="J25">
        <v>4</v>
      </c>
      <c r="K25">
        <v>0</v>
      </c>
      <c r="L25" s="12">
        <f>IF(ISNUMBER(tblData[[#This Row],[NSW]]),tblData[[#This Row],[New South Wales]]/$L$9,"")</f>
        <v>4.9504950495049505</v>
      </c>
      <c r="M25" s="26">
        <v>2</v>
      </c>
      <c r="N25" s="49">
        <f>IF(ISNUMBER(tblData[Italy]),tblData[Italy]/$N$9,"")</f>
        <v>0.33085194375516958</v>
      </c>
      <c r="P25" s="26" t="str">
        <f>IF(ISNUMBER(tblData[US]),tblData[US]/$P$9,"")</f>
        <v/>
      </c>
      <c r="Q25">
        <v>19</v>
      </c>
      <c r="R25" s="19">
        <f>IF(ISNUMBER(tblData[SKorea]),tblData[SKorea]/$R$9,"")</f>
        <v>3.6964980544747084</v>
      </c>
      <c r="S25">
        <v>2</v>
      </c>
      <c r="T25" s="12">
        <f>IF(ISNUMBER(tblData[UK]),tblData[UK]/$T$9,"")</f>
        <v>0.30102347983142685</v>
      </c>
      <c r="U25">
        <v>27440</v>
      </c>
      <c r="V25" s="21">
        <f>IF(ISNUMBER(tblData[China]),tblData[China]/$V$9,"")</f>
        <v>190.64508248629113</v>
      </c>
      <c r="W25" s="26">
        <f>IF(tblData[[#This Row],[Date]]&lt;ItalyStart,"",tblData[[#This Row],[Date]]-ItalyStart)</f>
        <v>6</v>
      </c>
      <c r="X25" s="26"/>
      <c r="Y25" s="26">
        <f t="shared" si="3"/>
        <v>14</v>
      </c>
      <c r="Z25" s="26" t="str">
        <f>IF(tblData[[#This Row],[Date]]&lt;StartDt2Korea,"",tblData[[#This Row],[Date]]-StartDt2Korea)</f>
        <v/>
      </c>
      <c r="AA25" s="26">
        <f>IF(tblData[[#This Row],[Date]]&lt;UKStart,"",tblData[[#This Row],[Date]]-UKStart)</f>
        <v>6</v>
      </c>
      <c r="AB25">
        <f>IF(tblData[Date]&gt;=StartDt2Au,tblData[Date]-StartDt2Au,"")</f>
        <v>11</v>
      </c>
      <c r="AC25" s="26">
        <f>IF(tblData[New South Wales]&gt;0,SUM(tblData[[#This Row],[Australian Capital Territory]:[Western Australia]]),"")</f>
        <v>13</v>
      </c>
      <c r="AD25" s="12">
        <f>IF(ISNUMBER(tblData[Au]),tblData[Au]/$AA$9,"")</f>
        <v>5.1253745466014822</v>
      </c>
      <c r="AE25" s="19">
        <f>IF(ISNUMBER(tblData[[#This Row],[Day'# Aust]]),betaAu/(deltaAu+betaPodeltaAu*EXP(-betaAu*tblData[[#This Row],[Day'# Aust]])),"")</f>
        <v>9.8384291712288199E-2</v>
      </c>
      <c r="AF25" s="72">
        <f>IF(ISNUMBER(tblData[Day'# Aust]),tblData[Au LogiP(t)]/$AD$9,"")</f>
        <v>3.8788949579044392E-2</v>
      </c>
      <c r="AG25" s="11">
        <f>IF(AND(tblData[Date]&gt;=StartDt2Au,ISNUMBER(tblData[NSW])),(tblData[[#This Row],[Au LogiP(t)]]-tblData[[#This Row],[Au]])^2,"")</f>
        <v>166.45168788433625</v>
      </c>
      <c r="AH25">
        <f>IF(tblData[Date]&gt;StartDt2NSW,tblData[Date]-StartDt2NSW,"")</f>
        <v>11</v>
      </c>
      <c r="AI25">
        <f t="shared" si="4"/>
        <v>4</v>
      </c>
      <c r="AJ25" s="11">
        <f>IF(tblData[Date]&gt;StartDt2NSW,betaNSW/(deltaNSW+betaPodeltaNSW*EXP(-betaNSW*tblData[[#This Row],[Day '# NSW]])),"")</f>
        <v>4.3029479837727119E-2</v>
      </c>
      <c r="AK25" s="12">
        <f>IF(AND(ISNUMBER(tblData[NSW]),tblData[Date]&gt;StartDt2NSW),(tblData[[#This Row],[NSW LogiP(t)]]-tblData[[#This Row],[NSW]])^2,"")</f>
        <v>15.657615697433288</v>
      </c>
      <c r="AL25" s="12">
        <f>IF(AND(tblData[Date]&gt;StartDt2NSW,ISNUMBER(tblData[Day'# Aust])),tblData[NSW LogiP(t)]/$AG$9,"")</f>
        <v>5.3254306729860292E-2</v>
      </c>
      <c r="AM25" s="11">
        <f>IF(AND(tblData[Date]&gt;StartDt2Italy,ISNUMBER(tblData[Days'# Italy])),betaItaly/(deltaItaly+betaPodeltaItaly*EXP(-betaItaly*tblData[Days'# Italy])),"")</f>
        <v>2.1059839910204423</v>
      </c>
      <c r="AN25" s="11">
        <f>IF(AND(tblData[Date]&gt;StartDt2Italy,ISNUMBER(tblData[Italy])),(tblData[[#This Row],[Italy LogiP(t)]]-tblData[[#This Row],[Italy]])^2,"")</f>
        <v>1.1232606352621197E-2</v>
      </c>
      <c r="AO25" s="44">
        <f>IF(AND(tblData[Date]&gt;StartDt2Italy,ISNUMBER(tblData[Days'# Italy])),tblData[[#This Row],[Italy LogiP(t)]]/$AM$9,"")</f>
        <v>0.34838444847319144</v>
      </c>
      <c r="AP25" s="11" t="str">
        <f>IF(ISNUMBER(tblData[[#This Row],[Days'# US]]),betaUS/(deltaUS+betaPodeltaUS*EXP(-betaUS*tblData[Days'# US])),"")</f>
        <v/>
      </c>
      <c r="AQ25" s="11"/>
      <c r="AR25" s="11" t="str">
        <f>IF(ISNUMBER(tblData[[#This Row],[Days'# US]]),tblData[[#This Row],[US LogiP(t)]]/$AP$9,"")</f>
        <v/>
      </c>
      <c r="AS25" s="11" t="str">
        <f>IF(tblData[Date]&gt;=StartDt2Korea,betaSKorea/(deltaSKorea+betaPodeltaSKorea*EXP(-betaSKorea*(tblData[Date]-StartDt2Korea))),"")</f>
        <v/>
      </c>
      <c r="AT25" s="11" t="str">
        <f>IF(AND(tblData[Date]&gt;=StartDt2Korea,ISNUMBER(tblData[SKorea])),(tblData[[#This Row],[SKorea LogiP(t)]]-tblData[[#This Row],[SKorea]])^2,"")</f>
        <v/>
      </c>
      <c r="AU25" s="11" t="str">
        <f>IF(tblData[Date]&gt;=StartDt2Korea,tblData[[#This Row],[SKorea LogiP(t)]]/$AS$9,"")</f>
        <v/>
      </c>
      <c r="AV25" s="11">
        <f>IF(ISNUMBER(tblData[Days'# UK]),betaUK/(deltaUK+betaPodeltaUK*EXP(-betaUK*tblData[Days'# UK])),"")</f>
        <v>0.15186875259565683</v>
      </c>
      <c r="AW25" s="11">
        <f>IF(ISNUMBER(tblData[UK]),(tblData[[#This Row],[UK LogiP(t)]]-tblData[[#This Row],[UK]])^2,"")</f>
        <v>3.4155891076323335</v>
      </c>
      <c r="AX25" s="11">
        <f>IF(ISNUMBER(tblData[Days'# UK]),tblData[[#This Row],[UK LogiP(t)]]/$AV$9,"")</f>
        <v>2.2858030192001329E-2</v>
      </c>
      <c r="AY25" s="11">
        <f>IF(ISNUMBER(tblData[Days'# China]),betaChina/(deltaChina+betaPodeltaChina*EXP(-betaChina*tblData[Days'# China])),"")</f>
        <v>24504.98798222663</v>
      </c>
      <c r="AZ25" s="11">
        <f>IF(ISNUMBER(tblData[China]),(tblData[[#This Row],[China LogiP(t)]]-tblData[[#This Row],[China]])^2,"")</f>
        <v>8614295.5444741081</v>
      </c>
      <c r="BA25" s="11">
        <f>tblData[[#This Row],[China LogiP(t)]]/$AY$9</f>
        <v>170.25347868794347</v>
      </c>
      <c r="BB25" s="11"/>
      <c r="BC25" s="11"/>
      <c r="BD25" s="11" t="str">
        <f>IF(ISNUMBER(tblData[[#This Row],[NSW Number of Tests]]),tblData[[#This Row],[NSW Number of Tests]]-BB24,"")</f>
        <v/>
      </c>
      <c r="BE25" s="11" t="str">
        <f>IF(ISNUMBER(tblData[[#This Row],[NSW Under Investigation'']]),tblData[[#This Row],[NSW Under Investigation'']]-BC24,"")</f>
        <v/>
      </c>
      <c r="BF25" s="11"/>
      <c r="BG25" s="11" t="str">
        <f>IF(ISNUMBER(tblData[[#This Row],[NSW Test Day Number]]),betaTest/(deltaTest+betaPodeltaTest*EXP(-betaTest*tblData[[#This Row],[NSW Test Day Number]])),"")</f>
        <v/>
      </c>
      <c r="BH25" s="11" t="str">
        <f>IF(ISNUMBER(tblData[[#This Row],[NSW Number of Tests]]),(tblData[[#This Row],[NSW Number of Tests]]-tblData[[#This Row],[NSW Test Logi]])^2,"")</f>
        <v/>
      </c>
      <c r="BJ25" s="27"/>
      <c r="DE25" s="26" t="s">
        <v>58</v>
      </c>
      <c r="DG25" s="27">
        <v>43860</v>
      </c>
      <c r="DI25" s="26">
        <v>2</v>
      </c>
      <c r="DJ25" s="23">
        <v>0.26295149930522799</v>
      </c>
      <c r="DK25" s="25">
        <v>7.2323673251486775E-6</v>
      </c>
      <c r="DL25" s="22">
        <v>0.43947505980618701</v>
      </c>
      <c r="DM25" s="24">
        <v>36357.597379060448</v>
      </c>
      <c r="DN25" s="22">
        <v>403.75439893608279</v>
      </c>
      <c r="DO25" s="37">
        <v>0.59832364770853697</v>
      </c>
      <c r="DP25" s="24">
        <v>7.2323673251486779E-3</v>
      </c>
      <c r="DQ25" s="24"/>
      <c r="DR25" s="27">
        <v>43905</v>
      </c>
      <c r="DS25" s="27" t="s">
        <v>768</v>
      </c>
      <c r="DT25" s="26"/>
      <c r="DU25" s="26"/>
      <c r="DW25" s="19"/>
      <c r="DX25" s="18"/>
      <c r="DY25" s="26"/>
      <c r="DZ25" s="26"/>
      <c r="EA25" s="26"/>
      <c r="EB25" s="26"/>
      <c r="EC25" s="26"/>
      <c r="ED25" s="19"/>
      <c r="EE25" s="19"/>
      <c r="EF25" s="26"/>
      <c r="EG25" s="26"/>
      <c r="EH25" s="26"/>
      <c r="EI25" s="26"/>
      <c r="EJ25" s="26"/>
    </row>
    <row r="26" spans="2:140" ht="15" customHeight="1" x14ac:dyDescent="0.25">
      <c r="B26" s="1">
        <v>43867</v>
      </c>
      <c r="C26">
        <v>0</v>
      </c>
      <c r="D26" s="26">
        <v>0</v>
      </c>
      <c r="E26">
        <v>4</v>
      </c>
      <c r="F26">
        <v>0</v>
      </c>
      <c r="G26">
        <v>4</v>
      </c>
      <c r="H26">
        <v>2</v>
      </c>
      <c r="I26">
        <v>0</v>
      </c>
      <c r="J26">
        <v>4</v>
      </c>
      <c r="K26">
        <v>0</v>
      </c>
      <c r="L26" s="12">
        <f>IF(ISNUMBER(tblData[[#This Row],[NSW]]),tblData[[#This Row],[New South Wales]]/$L$9,"")</f>
        <v>4.9504950495049505</v>
      </c>
      <c r="M26" s="26">
        <v>2</v>
      </c>
      <c r="N26" s="49">
        <f>IF(ISNUMBER(tblData[Italy]),tblData[Italy]/$N$9,"")</f>
        <v>0.33085194375516958</v>
      </c>
      <c r="P26" s="26" t="str">
        <f>IF(ISNUMBER(tblData[US]),tblData[US]/$P$9,"")</f>
        <v/>
      </c>
      <c r="Q26">
        <v>23</v>
      </c>
      <c r="R26" s="19">
        <f>IF(ISNUMBER(tblData[SKorea]),tblData[SKorea]/$R$9,"")</f>
        <v>4.4747081712062258</v>
      </c>
      <c r="S26">
        <v>2</v>
      </c>
      <c r="T26" s="12">
        <f>IF(ISNUMBER(tblData[UK]),tblData[UK]/$T$9,"")</f>
        <v>0.30102347983142685</v>
      </c>
      <c r="U26">
        <v>30587</v>
      </c>
      <c r="V26" s="21">
        <f>IF(ISNUMBER(tblData[China]),tblData[China]/$V$9,"")</f>
        <v>212.50951669126044</v>
      </c>
      <c r="W26" s="26">
        <f>IF(tblData[[#This Row],[Date]]&lt;ItalyStart,"",tblData[[#This Row],[Date]]-ItalyStart)</f>
        <v>7</v>
      </c>
      <c r="X26" s="26"/>
      <c r="Y26" s="26">
        <f t="shared" si="3"/>
        <v>15</v>
      </c>
      <c r="Z26" s="26" t="str">
        <f>IF(tblData[[#This Row],[Date]]&lt;StartDt2Korea,"",tblData[[#This Row],[Date]]-StartDt2Korea)</f>
        <v/>
      </c>
      <c r="AA26" s="26">
        <f>IF(tblData[[#This Row],[Date]]&lt;UKStart,"",tblData[[#This Row],[Date]]-UKStart)</f>
        <v>7</v>
      </c>
      <c r="AB26">
        <f>IF(tblData[Date]&gt;=StartDt2Au,tblData[Date]-StartDt2Au,"")</f>
        <v>12</v>
      </c>
      <c r="AC26" s="26">
        <f>IF(tblData[New South Wales]&gt;0,SUM(tblData[[#This Row],[Australian Capital Territory]:[Western Australia]]),"")</f>
        <v>14</v>
      </c>
      <c r="AD26" s="12">
        <f>IF(ISNUMBER(tblData[Au]),tblData[Au]/$AA$9,"")</f>
        <v>5.5196341271092884</v>
      </c>
      <c r="AE26" s="19">
        <f>IF(ISNUMBER(tblData[[#This Row],[Day'# Aust]]),betaAu/(deltaAu+betaPodeltaAu*EXP(-betaAu*tblData[[#This Row],[Day'# Aust]])),"")</f>
        <v>0.12094918122350851</v>
      </c>
      <c r="AF26" s="72">
        <f>IF(ISNUMBER(tblData[Day'# Aust]),tblData[Au LogiP(t)]/$AD$9,"")</f>
        <v>4.7685373451943111E-2</v>
      </c>
      <c r="AG26" s="11">
        <f>IF(AND(tblData[Date]&gt;=StartDt2Au,ISNUMBER(tblData[NSW])),(tblData[[#This Row],[Au LogiP(t)]]-tblData[[#This Row],[Au]])^2,"")</f>
        <v>192.62805163018041</v>
      </c>
      <c r="AH26">
        <f>IF(tblData[Date]&gt;StartDt2NSW,tblData[Date]-StartDt2NSW,"")</f>
        <v>12</v>
      </c>
      <c r="AI26">
        <f t="shared" si="4"/>
        <v>4</v>
      </c>
      <c r="AJ26" s="11">
        <f>IF(tblData[Date]&gt;StartDt2NSW,betaNSW/(deltaNSW+betaPodeltaNSW*EXP(-betaNSW*tblData[[#This Row],[Day '# NSW]])),"")</f>
        <v>5.3047503403266257E-2</v>
      </c>
      <c r="AK26" s="12">
        <f>IF(AND(ISNUMBER(tblData[NSW]),tblData[Date]&gt;StartDt2NSW),(tblData[[#This Row],[NSW LogiP(t)]]-tblData[[#This Row],[NSW]])^2,"")</f>
        <v>15.578434010391188</v>
      </c>
      <c r="AL26" s="12">
        <f>IF(AND(tblData[Date]&gt;StartDt2NSW,ISNUMBER(tblData[Day'# Aust])),tblData[NSW LogiP(t)]/$AG$9,"")</f>
        <v>6.5652850746616656E-2</v>
      </c>
      <c r="AM26" s="11">
        <f>IF(AND(tblData[Date]&gt;StartDt2Italy,ISNUMBER(tblData[Days'# Italy])),betaItaly/(deltaItaly+betaPodeltaItaly*EXP(-betaItaly*tblData[Days'# Italy])),"")</f>
        <v>2.731860760316434</v>
      </c>
      <c r="AN26" s="11">
        <f>IF(AND(tblData[Date]&gt;StartDt2Italy,ISNUMBER(tblData[Italy])),(tblData[[#This Row],[Italy LogiP(t)]]-tblData[[#This Row],[Italy]])^2,"")</f>
        <v>0.53562017249094884</v>
      </c>
      <c r="AO26" s="44">
        <f>IF(AND(tblData[Date]&gt;StartDt2Italy,ISNUMBER(tblData[Days'# Italy])),tblData[[#This Row],[Italy LogiP(t)]]/$AM$9,"")</f>
        <v>0.45192072130958377</v>
      </c>
      <c r="AP26" s="11" t="str">
        <f>IF(ISNUMBER(tblData[[#This Row],[Days'# US]]),betaUS/(deltaUS+betaPodeltaUS*EXP(-betaUS*tblData[Days'# US])),"")</f>
        <v/>
      </c>
      <c r="AQ26" s="11"/>
      <c r="AR26" s="11" t="str">
        <f>IF(ISNUMBER(tblData[[#This Row],[Days'# US]]),tblData[[#This Row],[US LogiP(t)]]/$AP$9,"")</f>
        <v/>
      </c>
      <c r="AS26" s="11" t="str">
        <f>IF(tblData[Date]&gt;=StartDt2Korea,betaSKorea/(deltaSKorea+betaPodeltaSKorea*EXP(-betaSKorea*(tblData[Date]-StartDt2Korea))),"")</f>
        <v/>
      </c>
      <c r="AT26" s="11" t="str">
        <f>IF(AND(tblData[Date]&gt;=StartDt2Korea,ISNUMBER(tblData[SKorea])),(tblData[[#This Row],[SKorea LogiP(t)]]-tblData[[#This Row],[SKorea]])^2,"")</f>
        <v/>
      </c>
      <c r="AU26" s="11" t="str">
        <f>IF(tblData[Date]&gt;=StartDt2Korea,tblData[[#This Row],[SKorea LogiP(t)]]/$AS$9,"")</f>
        <v/>
      </c>
      <c r="AV26" s="11">
        <f>IF(ISNUMBER(tblData[Days'# UK]),betaUK/(deltaUK+betaPodeltaUK*EXP(-betaUK*tblData[Days'# UK])),"")</f>
        <v>0.19125582285682594</v>
      </c>
      <c r="AW26" s="11">
        <f>IF(ISNUMBER(tblData[UK]),(tblData[[#This Row],[UK LogiP(t)]]-tblData[[#This Row],[UK]])^2,"")</f>
        <v>3.2715554983493376</v>
      </c>
      <c r="AX26" s="11">
        <f>IF(ISNUMBER(tblData[Days'# UK]),tblData[[#This Row],[UK LogiP(t)]]/$AV$9,"")</f>
        <v>2.8786246667192344E-2</v>
      </c>
      <c r="AY26" s="11">
        <f>IF(ISNUMBER(tblData[Days'# China]),betaChina/(deltaChina+betaPodeltaChina*EXP(-betaChina*tblData[Days'# China])),"")</f>
        <v>28457.741850364786</v>
      </c>
      <c r="AZ26" s="11">
        <f>IF(ISNUMBER(tblData[China]),(tblData[[#This Row],[China LogiP(t)]]-tblData[[#This Row],[China]])^2,"")</f>
        <v>4533740.2677879753</v>
      </c>
      <c r="BA26" s="11">
        <f>tblData[[#This Row],[China LogiP(t)]]/$AY$9</f>
        <v>197.71605475351217</v>
      </c>
      <c r="BB26" s="11"/>
      <c r="BC26" s="11"/>
      <c r="BD26" s="11" t="str">
        <f>IF(ISNUMBER(tblData[[#This Row],[NSW Number of Tests]]),tblData[[#This Row],[NSW Number of Tests]]-BB25,"")</f>
        <v/>
      </c>
      <c r="BE26" s="11" t="str">
        <f>IF(ISNUMBER(tblData[[#This Row],[NSW Under Investigation'']]),tblData[[#This Row],[NSW Under Investigation'']]-BC25,"")</f>
        <v/>
      </c>
      <c r="BF26" s="11"/>
      <c r="BG26" s="11" t="str">
        <f>IF(ISNUMBER(tblData[[#This Row],[NSW Test Day Number]]),betaTest/(deltaTest+betaPodeltaTest*EXP(-betaTest*tblData[[#This Row],[NSW Test Day Number]])),"")</f>
        <v/>
      </c>
      <c r="BH26" s="11" t="str">
        <f>IF(ISNUMBER(tblData[[#This Row],[NSW Number of Tests]]),(tblData[[#This Row],[NSW Number of Tests]]-tblData[[#This Row],[NSW Test Logi]])^2,"")</f>
        <v/>
      </c>
      <c r="BJ26" s="27"/>
      <c r="DE26" s="26" t="s">
        <v>58</v>
      </c>
      <c r="DG26" s="27">
        <v>43860</v>
      </c>
      <c r="DI26" s="26">
        <v>2</v>
      </c>
      <c r="DJ26" s="23">
        <v>0.26191421074859073</v>
      </c>
      <c r="DK26" s="25">
        <v>6.140019699733307E-6</v>
      </c>
      <c r="DL26" s="22">
        <v>0.44086139601669905</v>
      </c>
      <c r="DM26" s="26">
        <v>42656.90071971056</v>
      </c>
      <c r="DN26" s="19">
        <v>414.31666978327439</v>
      </c>
      <c r="DO26" s="37">
        <v>0.59409035632825868</v>
      </c>
      <c r="DP26" s="24">
        <v>6.1400196997333069E-3</v>
      </c>
      <c r="DQ26" s="12"/>
      <c r="DR26" s="27">
        <v>43906</v>
      </c>
      <c r="DS26" s="27" t="s">
        <v>970</v>
      </c>
      <c r="DT26" s="19">
        <v>27980</v>
      </c>
      <c r="DU26" s="19" t="s">
        <v>971</v>
      </c>
      <c r="DV26" s="27">
        <v>43906</v>
      </c>
      <c r="DW26" s="26">
        <v>47</v>
      </c>
      <c r="DX26" s="18" t="s">
        <v>972</v>
      </c>
      <c r="DY26" s="26"/>
      <c r="DZ26" s="26" t="s">
        <v>973</v>
      </c>
      <c r="EA26" s="26"/>
      <c r="EB26" s="26"/>
      <c r="EC26" s="26"/>
      <c r="ED26" s="26"/>
      <c r="EE26" s="26"/>
      <c r="EF26" s="26"/>
      <c r="EG26" s="26"/>
      <c r="EH26" s="26"/>
      <c r="EI26" s="26"/>
      <c r="EJ26" s="26"/>
    </row>
    <row r="27" spans="2:140" x14ac:dyDescent="0.25">
      <c r="B27" s="1">
        <v>43868</v>
      </c>
      <c r="C27">
        <v>0</v>
      </c>
      <c r="D27" s="26">
        <v>0</v>
      </c>
      <c r="E27">
        <v>4</v>
      </c>
      <c r="F27">
        <v>0</v>
      </c>
      <c r="G27">
        <v>5</v>
      </c>
      <c r="H27">
        <v>2</v>
      </c>
      <c r="I27">
        <v>0</v>
      </c>
      <c r="J27">
        <v>4</v>
      </c>
      <c r="K27">
        <v>0</v>
      </c>
      <c r="L27" s="12">
        <f>IF(ISNUMBER(tblData[[#This Row],[NSW]]),tblData[[#This Row],[New South Wales]]/$L$9,"")</f>
        <v>4.9504950495049505</v>
      </c>
      <c r="M27" s="26">
        <v>3</v>
      </c>
      <c r="N27" s="49">
        <f>IF(ISNUMBER(tblData[Italy]),tblData[Italy]/$N$9,"")</f>
        <v>0.49627791563275436</v>
      </c>
      <c r="P27" s="26" t="str">
        <f>IF(ISNUMBER(tblData[US]),tblData[US]/$P$9,"")</f>
        <v/>
      </c>
      <c r="Q27">
        <v>24</v>
      </c>
      <c r="R27" s="19">
        <f>IF(ISNUMBER(tblData[SKorea]),tblData[SKorea]/$R$9,"")</f>
        <v>4.6692607003891053</v>
      </c>
      <c r="S27">
        <v>3</v>
      </c>
      <c r="T27" s="12">
        <f>IF(ISNUMBER(tblData[UK]),tblData[UK]/$T$9,"")</f>
        <v>0.45153521974714028</v>
      </c>
      <c r="U27">
        <v>34110</v>
      </c>
      <c r="V27" s="21">
        <f>IF(ISNUMBER(tblData[China]),tblData[China]/$V$9,"")</f>
        <v>236.98628876120227</v>
      </c>
      <c r="W27" s="26">
        <f>IF(tblData[[#This Row],[Date]]&lt;ItalyStart,"",tblData[[#This Row],[Date]]-ItalyStart)</f>
        <v>8</v>
      </c>
      <c r="X27" s="26" t="str">
        <f>IF($B27&lt;BM$14+19,"",$B27-BM$14-19)</f>
        <v/>
      </c>
      <c r="Y27" s="26">
        <f t="shared" si="3"/>
        <v>16</v>
      </c>
      <c r="Z27" s="26" t="str">
        <f>IF(tblData[[#This Row],[Date]]&lt;StartDt2Korea,"",tblData[[#This Row],[Date]]-StartDt2Korea)</f>
        <v/>
      </c>
      <c r="AA27" s="26">
        <f>IF(tblData[[#This Row],[Date]]&lt;UKStart,"",tblData[[#This Row],[Date]]-UKStart)</f>
        <v>8</v>
      </c>
      <c r="AB27">
        <f>IF(tblData[Date]&gt;=StartDt2Au,tblData[Date]-StartDt2Au,"")</f>
        <v>13</v>
      </c>
      <c r="AC27" s="26">
        <f>IF(tblData[New South Wales]&gt;0,SUM(tblData[[#This Row],[Australian Capital Territory]:[Western Australia]]),"")</f>
        <v>15</v>
      </c>
      <c r="AD27" s="12">
        <f>IF(ISNUMBER(tblData[Au]),tblData[Au]/$AA$9,"")</f>
        <v>5.9138937076170954</v>
      </c>
      <c r="AE27" s="19">
        <f>IF(ISNUMBER(tblData[[#This Row],[Day'# Aust]]),betaAu/(deltaAu+betaPodeltaAu*EXP(-betaAu*tblData[[#This Row],[Day'# Aust]])),"")</f>
        <v>0.14868943185615605</v>
      </c>
      <c r="AF27" s="72">
        <f>IF(ISNUMBER(tblData[Day'# Aust]),tblData[Au LogiP(t)]/$AD$9,"")</f>
        <v>5.8622233029552141E-2</v>
      </c>
      <c r="AG27" s="11">
        <f>IF(AND(tblData[Date]&gt;=StartDt2Au,ISNUMBER(tblData[NSW])),(tblData[[#This Row],[Au LogiP(t)]]-tblData[[#This Row],[Au]])^2,"")</f>
        <v>220.56142559146105</v>
      </c>
      <c r="AH27">
        <f>IF(tblData[Date]&gt;StartDt2NSW,tblData[Date]-StartDt2NSW,"")</f>
        <v>13</v>
      </c>
      <c r="AI27">
        <f t="shared" si="4"/>
        <v>4</v>
      </c>
      <c r="AJ27" s="11">
        <f>IF(tblData[Date]&gt;StartDt2NSW,betaNSW/(deltaNSW+betaPodeltaNSW*EXP(-betaNSW*tblData[[#This Row],[Day '# NSW]])),"")</f>
        <v>6.5397843967862399E-2</v>
      </c>
      <c r="AK27" s="12">
        <f>IF(AND(ISNUMBER(tblData[NSW]),tblData[Date]&gt;StartDt2NSW),(tblData[[#This Row],[NSW LogiP(t)]]-tblData[[#This Row],[NSW]])^2,"")</f>
        <v>15.481094126252748</v>
      </c>
      <c r="AL27" s="12">
        <f>IF(AND(tblData[Date]&gt;StartDt2NSW,ISNUMBER(tblData[Day'# Aust])),tblData[NSW LogiP(t)]/$AG$9,"")</f>
        <v>8.0937925702799993E-2</v>
      </c>
      <c r="AM27" s="11">
        <f>IF(AND(tblData[Date]&gt;StartDt2Italy,ISNUMBER(tblData[Days'# Italy])),betaItaly/(deltaItaly+betaPodeltaItaly*EXP(-betaItaly*tblData[Days'# Italy])),"")</f>
        <v>3.5437297666052965</v>
      </c>
      <c r="AN27" s="11">
        <f>IF(AND(tblData[Date]&gt;StartDt2Italy,ISNUMBER(tblData[Italy])),(tblData[[#This Row],[Italy LogiP(t)]]-tblData[[#This Row],[Italy]])^2,"")</f>
        <v>0.29564205909265018</v>
      </c>
      <c r="AO27" s="44">
        <f>IF(AND(tblData[Date]&gt;StartDt2Italy,ISNUMBER(tblData[Days'# Italy])),tblData[[#This Row],[Italy LogiP(t)]]/$AM$9,"")</f>
        <v>0.58622494071220788</v>
      </c>
      <c r="AP27" s="11" t="str">
        <f>IF(ISNUMBER(tblData[[#This Row],[Days'# US]]),betaUS/(deltaUS+betaPodeltaUS*EXP(-betaUS*tblData[Days'# US])),"")</f>
        <v/>
      </c>
      <c r="AQ27" s="11"/>
      <c r="AR27" s="11" t="str">
        <f>IF(ISNUMBER(tblData[[#This Row],[Days'# US]]),tblData[[#This Row],[US LogiP(t)]]/$AP$9,"")</f>
        <v/>
      </c>
      <c r="AS27" s="11" t="str">
        <f>IF(tblData[Date]&gt;=StartDt2Korea,betaSKorea/(deltaSKorea+betaPodeltaSKorea*EXP(-betaSKorea*(tblData[Date]-StartDt2Korea))),"")</f>
        <v/>
      </c>
      <c r="AT27" s="11" t="str">
        <f>IF(AND(tblData[Date]&gt;=StartDt2Korea,ISNUMBER(tblData[SKorea])),(tblData[[#This Row],[SKorea LogiP(t)]]-tblData[[#This Row],[SKorea]])^2,"")</f>
        <v/>
      </c>
      <c r="AU27" s="11" t="str">
        <f>IF(tblData[Date]&gt;=StartDt2Korea,tblData[[#This Row],[SKorea LogiP(t)]]/$AS$9,"")</f>
        <v/>
      </c>
      <c r="AV27" s="11">
        <f>IF(ISNUMBER(tblData[Days'# UK]),betaUK/(deltaUK+betaPodeltaUK*EXP(-betaUK*tblData[Days'# UK])),"")</f>
        <v>0.24085790625021095</v>
      </c>
      <c r="AW27" s="11">
        <f>IF(ISNUMBER(tblData[UK]),(tblData[[#This Row],[UK LogiP(t)]]-tblData[[#This Row],[UK]])^2,"")</f>
        <v>7.6128650935019699</v>
      </c>
      <c r="AX27" s="11">
        <f>IF(ISNUMBER(tblData[Days'# UK]),tblData[[#This Row],[UK LogiP(t)]]/$AV$9,"")</f>
        <v>3.6251942542175036E-2</v>
      </c>
      <c r="AY27" s="11">
        <f>IF(ISNUMBER(tblData[Days'# China]),betaChina/(deltaChina+betaPodeltaChina*EXP(-betaChina*tblData[Days'# China])),"")</f>
        <v>32678.96257028621</v>
      </c>
      <c r="AZ27" s="11">
        <f>IF(ISNUMBER(tblData[China]),(tblData[[#This Row],[China LogiP(t)]]-tblData[[#This Row],[China]])^2,"")</f>
        <v>2047868.1252418493</v>
      </c>
      <c r="BA27" s="11">
        <f>tblData[[#This Row],[China LogiP(t)]]/$AY$9</f>
        <v>227.04385986802606</v>
      </c>
      <c r="BB27" s="11"/>
      <c r="BC27" s="11"/>
      <c r="BD27" s="11" t="str">
        <f>IF(ISNUMBER(tblData[[#This Row],[NSW Number of Tests]]),tblData[[#This Row],[NSW Number of Tests]]-BB26,"")</f>
        <v/>
      </c>
      <c r="BE27" s="11" t="str">
        <f>IF(ISNUMBER(tblData[[#This Row],[NSW Under Investigation'']]),tblData[[#This Row],[NSW Under Investigation'']]-BC26,"")</f>
        <v/>
      </c>
      <c r="BF27" s="11"/>
      <c r="BG27" s="11" t="str">
        <f>IF(ISNUMBER(tblData[[#This Row],[NSW Test Day Number]]),betaTest/(deltaTest+betaPodeltaTest*EXP(-betaTest*tblData[[#This Row],[NSW Test Day Number]])),"")</f>
        <v/>
      </c>
      <c r="BH27" s="11" t="str">
        <f>IF(ISNUMBER(tblData[[#This Row],[NSW Number of Tests]]),(tblData[[#This Row],[NSW Number of Tests]]-tblData[[#This Row],[NSW Test Logi]])^2,"")</f>
        <v/>
      </c>
      <c r="BJ27" s="27"/>
      <c r="DE27" s="26" t="s">
        <v>58</v>
      </c>
      <c r="DG27" s="27">
        <v>43860</v>
      </c>
      <c r="DI27" s="26">
        <v>2</v>
      </c>
      <c r="DJ27" s="23">
        <v>0.2615655981515827</v>
      </c>
      <c r="DK27" s="25">
        <v>5.8419822423564144E-6</v>
      </c>
      <c r="DL27" s="22">
        <v>0.44095476463112465</v>
      </c>
      <c r="DM27" s="26">
        <v>44773.432595385282</v>
      </c>
      <c r="DN27" s="19">
        <v>467.53213903899575</v>
      </c>
      <c r="DO27" s="37">
        <v>0.59317427337583117</v>
      </c>
      <c r="DP27" s="24">
        <v>5.8419822423564144E-3</v>
      </c>
      <c r="DQ27" s="12"/>
      <c r="DR27" s="27">
        <v>43907</v>
      </c>
      <c r="DS27" s="27" t="s">
        <v>1008</v>
      </c>
      <c r="DT27" s="19">
        <v>31506</v>
      </c>
      <c r="DU27" s="19" t="s">
        <v>1009</v>
      </c>
      <c r="DV27" s="27">
        <v>43907</v>
      </c>
      <c r="DW27" s="26">
        <v>48</v>
      </c>
      <c r="DX27" s="18" t="s">
        <v>1010</v>
      </c>
      <c r="DY27" s="26"/>
      <c r="DZ27" s="26" t="s">
        <v>1011</v>
      </c>
      <c r="EA27" s="26"/>
      <c r="EB27" s="26" t="s">
        <v>1012</v>
      </c>
      <c r="EC27" s="26"/>
      <c r="ED27" s="26"/>
      <c r="EE27" s="26"/>
      <c r="EF27" s="26"/>
      <c r="EG27" s="26"/>
      <c r="EH27" s="26"/>
      <c r="EI27" s="26"/>
      <c r="EJ27" s="26"/>
    </row>
    <row r="28" spans="2:140" x14ac:dyDescent="0.25">
      <c r="B28" s="1">
        <v>43869</v>
      </c>
      <c r="C28">
        <v>0</v>
      </c>
      <c r="D28" s="26">
        <v>0</v>
      </c>
      <c r="E28">
        <v>4</v>
      </c>
      <c r="F28">
        <v>0</v>
      </c>
      <c r="G28">
        <v>5</v>
      </c>
      <c r="H28">
        <v>2</v>
      </c>
      <c r="I28">
        <v>0</v>
      </c>
      <c r="J28">
        <v>4</v>
      </c>
      <c r="K28">
        <v>0</v>
      </c>
      <c r="L28" s="12">
        <f>IF(ISNUMBER(tblData[[#This Row],[NSW]]),tblData[[#This Row],[New South Wales]]/$L$9,"")</f>
        <v>4.9504950495049505</v>
      </c>
      <c r="M28" s="26">
        <v>3</v>
      </c>
      <c r="N28" s="49">
        <f>IF(ISNUMBER(tblData[Italy]),tblData[Italy]/$N$9,"")</f>
        <v>0.49627791563275436</v>
      </c>
      <c r="P28" s="26" t="str">
        <f>IF(ISNUMBER(tblData[US]),tblData[US]/$P$9,"")</f>
        <v/>
      </c>
      <c r="Q28">
        <v>24</v>
      </c>
      <c r="R28" s="19">
        <f>IF(ISNUMBER(tblData[SKorea]),tblData[SKorea]/$R$9,"")</f>
        <v>4.6692607003891053</v>
      </c>
      <c r="S28">
        <v>3</v>
      </c>
      <c r="T28" s="12">
        <f>IF(ISNUMBER(tblData[UK]),tblData[UK]/$T$9,"")</f>
        <v>0.45153521974714028</v>
      </c>
      <c r="U28">
        <v>36814</v>
      </c>
      <c r="V28" s="21">
        <f>IF(ISNUMBER(tblData[China]),tblData[China]/$V$9,"")</f>
        <v>255.77288872632366</v>
      </c>
      <c r="W28" s="26">
        <f>IF(tblData[[#This Row],[Date]]&lt;ItalyStart,"",tblData[[#This Row],[Date]]-ItalyStart)</f>
        <v>9</v>
      </c>
      <c r="X28" s="26" t="str">
        <f>IF($B28&lt;BM$14+19,"",$B28-BM$14-19)</f>
        <v/>
      </c>
      <c r="Y28" s="26">
        <f t="shared" si="3"/>
        <v>17</v>
      </c>
      <c r="Z28" s="26" t="str">
        <f>IF(tblData[[#This Row],[Date]]&lt;StartDt2Korea,"",tblData[[#This Row],[Date]]-StartDt2Korea)</f>
        <v/>
      </c>
      <c r="AA28" s="26">
        <f>IF(tblData[[#This Row],[Date]]&lt;UKStart,"",tblData[[#This Row],[Date]]-UKStart)</f>
        <v>9</v>
      </c>
      <c r="AB28">
        <f>IF(tblData[Date]&gt;=StartDt2Au,tblData[Date]-StartDt2Au,"")</f>
        <v>14</v>
      </c>
      <c r="AC28" s="26">
        <f>IF(tblData[New South Wales]&gt;0,SUM(tblData[[#This Row],[Australian Capital Territory]:[Western Australia]]),"")</f>
        <v>15</v>
      </c>
      <c r="AD28" s="12">
        <f>IF(ISNUMBER(tblData[Au]),tblData[Au]/$AA$9,"")</f>
        <v>5.9138937076170954</v>
      </c>
      <c r="AE28" s="19">
        <f>IF(ISNUMBER(tblData[[#This Row],[Day'# Aust]]),betaAu/(deltaAu+betaPodeltaAu*EXP(-betaAu*tblData[[#This Row],[Day'# Aust]])),"")</f>
        <v>0.18279203646835526</v>
      </c>
      <c r="AF28" s="72">
        <f>IF(ISNUMBER(tblData[Day'# Aust]),tblData[Au LogiP(t)]/$AD$9,"")</f>
        <v>7.2067511618181382E-2</v>
      </c>
      <c r="AG28" s="11">
        <f>IF(AND(tblData[Date]&gt;=StartDt2Au,ISNUMBER(tblData[NSW])),(tblData[[#This Row],[Au LogiP(t)]]-tblData[[#This Row],[Au]])^2,"")</f>
        <v>219.54965183454561</v>
      </c>
      <c r="AH28">
        <f>IF(tblData[Date]&gt;StartDt2NSW,tblData[Date]-StartDt2NSW,"")</f>
        <v>14</v>
      </c>
      <c r="AI28">
        <f t="shared" si="4"/>
        <v>4</v>
      </c>
      <c r="AJ28" s="11">
        <f>IF(tblData[Date]&gt;StartDt2NSW,betaNSW/(deltaNSW+betaPodeltaNSW*EXP(-betaNSW*tblData[[#This Row],[Day '# NSW]])),"")</f>
        <v>8.0623464024216329E-2</v>
      </c>
      <c r="AK28" s="12">
        <f>IF(AND(ISNUMBER(tblData[NSW]),tblData[Date]&gt;StartDt2NSW),(tblData[[#This Row],[NSW LogiP(t)]]-tblData[[#This Row],[NSW]])^2,"")</f>
        <v>15.361512430757532</v>
      </c>
      <c r="AL28" s="12">
        <f>IF(AND(tblData[Date]&gt;StartDt2NSW,ISNUMBER(tblData[Day'# Aust])),tblData[NSW LogiP(t)]/$AG$9,"")</f>
        <v>9.9781514881455841E-2</v>
      </c>
      <c r="AM28" s="11">
        <f>IF(AND(tblData[Date]&gt;StartDt2Italy,ISNUMBER(tblData[Days'# Italy])),betaItaly/(deltaItaly+betaPodeltaItaly*EXP(-betaItaly*tblData[Days'# Italy])),"")</f>
        <v>4.5968543305867708</v>
      </c>
      <c r="AN28" s="11">
        <f>IF(AND(tblData[Date]&gt;StartDt2Italy,ISNUMBER(tblData[Italy])),(tblData[[#This Row],[Italy LogiP(t)]]-tblData[[#This Row],[Italy]])^2,"")</f>
        <v>2.5499437531137241</v>
      </c>
      <c r="AO28" s="44">
        <f>IF(AND(tblData[Date]&gt;StartDt2Italy,ISNUMBER(tblData[Days'# Italy])),tblData[[#This Row],[Italy LogiP(t)]]/$AM$9,"")</f>
        <v>0.76043909521700093</v>
      </c>
      <c r="AP28" s="11" t="str">
        <f>IF(ISNUMBER(tblData[[#This Row],[Days'# US]]),betaUS/(deltaUS+betaPodeltaUS*EXP(-betaUS*tblData[Days'# US])),"")</f>
        <v/>
      </c>
      <c r="AQ28" s="11"/>
      <c r="AR28" s="11" t="str">
        <f>IF(ISNUMBER(tblData[[#This Row],[Days'# US]]),tblData[[#This Row],[US LogiP(t)]]/$AP$9,"")</f>
        <v/>
      </c>
      <c r="AS28" s="11" t="str">
        <f>IF(tblData[Date]&gt;=StartDt2Korea,betaSKorea/(deltaSKorea+betaPodeltaSKorea*EXP(-betaSKorea*(tblData[Date]-StartDt2Korea))),"")</f>
        <v/>
      </c>
      <c r="AT28" s="11" t="str">
        <f>IF(AND(tblData[Date]&gt;=StartDt2Korea,ISNUMBER(tblData[SKorea])),(tblData[[#This Row],[SKorea LogiP(t)]]-tblData[[#This Row],[SKorea]])^2,"")</f>
        <v/>
      </c>
      <c r="AU28" s="11" t="str">
        <f>IF(tblData[Date]&gt;=StartDt2Korea,tblData[[#This Row],[SKorea LogiP(t)]]/$AS$9,"")</f>
        <v/>
      </c>
      <c r="AV28" s="11">
        <f>IF(ISNUMBER(tblData[Days'# UK]),betaUK/(deltaUK+betaPodeltaUK*EXP(-betaUK*tblData[Days'# UK])),"")</f>
        <v>0.30332426032031046</v>
      </c>
      <c r="AW28" s="11">
        <f>IF(ISNUMBER(tblData[UK]),(tblData[[#This Row],[UK LogiP(t)]]-tblData[[#This Row],[UK]])^2,"")</f>
        <v>7.2720600449770005</v>
      </c>
      <c r="AX28" s="11">
        <f>IF(ISNUMBER(tblData[Days'# UK]),tblData[[#This Row],[UK LogiP(t)]]/$AV$9,"")</f>
        <v>4.5653862179456724E-2</v>
      </c>
      <c r="AY28" s="11">
        <f>IF(ISNUMBER(tblData[Days'# China]),betaChina/(deltaChina+betaPodeltaChina*EXP(-betaChina*tblData[Days'# China])),"")</f>
        <v>37083.989836855653</v>
      </c>
      <c r="AZ28" s="11">
        <f>IF(ISNUMBER(tblData[China]),(tblData[[#This Row],[China LogiP(t)]]-tblData[[#This Row],[China]])^2,"")</f>
        <v>72894.512005342272</v>
      </c>
      <c r="BA28" s="11">
        <f>tblData[[#This Row],[China LogiP(t)]]/$AY$9</f>
        <v>257.64869902945071</v>
      </c>
      <c r="BB28" s="11"/>
      <c r="BC28" s="11"/>
      <c r="BD28" s="11" t="str">
        <f>IF(ISNUMBER(tblData[[#This Row],[NSW Number of Tests]]),tblData[[#This Row],[NSW Number of Tests]]-BB27,"")</f>
        <v/>
      </c>
      <c r="BE28" s="11" t="str">
        <f>IF(ISNUMBER(tblData[[#This Row],[NSW Under Investigation'']]),tblData[[#This Row],[NSW Under Investigation'']]-BC27,"")</f>
        <v/>
      </c>
      <c r="BF28" s="11"/>
      <c r="BG28" s="11" t="str">
        <f>IF(ISNUMBER(tblData[[#This Row],[NSW Test Day Number]]),betaTest/(deltaTest+betaPodeltaTest*EXP(-betaTest*tblData[[#This Row],[NSW Test Day Number]])),"")</f>
        <v/>
      </c>
      <c r="BH28" s="11" t="str">
        <f>IF(ISNUMBER(tblData[[#This Row],[NSW Number of Tests]]),(tblData[[#This Row],[NSW Number of Tests]]-tblData[[#This Row],[NSW Test Logi]])^2,"")</f>
        <v/>
      </c>
      <c r="BJ28" s="27"/>
      <c r="DE28" s="26" t="s">
        <v>58</v>
      </c>
      <c r="DG28" s="27">
        <v>43860</v>
      </c>
      <c r="DI28" s="26">
        <v>2</v>
      </c>
      <c r="DJ28" s="23">
        <v>0.2615655981515827</v>
      </c>
      <c r="DK28" s="25">
        <v>5.8419822423564144E-6</v>
      </c>
      <c r="DL28" s="22">
        <v>0.44095476463112465</v>
      </c>
      <c r="DM28" s="24">
        <v>44773.432595385282</v>
      </c>
      <c r="DN28" s="22">
        <v>606.55052647767229</v>
      </c>
      <c r="DO28" s="37">
        <v>0.59317427337583117</v>
      </c>
      <c r="DP28" s="24">
        <v>5.8419822423564144E-3</v>
      </c>
      <c r="DQ28" s="24"/>
      <c r="DR28" s="27">
        <v>43907</v>
      </c>
      <c r="DS28" s="27" t="s">
        <v>1008</v>
      </c>
      <c r="DT28" s="26">
        <v>35713</v>
      </c>
      <c r="DU28" s="26" t="s">
        <v>1009</v>
      </c>
      <c r="DV28" s="27">
        <v>43907</v>
      </c>
      <c r="DW28" s="19">
        <v>49</v>
      </c>
      <c r="DX28" s="27" t="s">
        <v>1010</v>
      </c>
      <c r="DY28" s="26"/>
      <c r="DZ28" s="26" t="s">
        <v>1011</v>
      </c>
      <c r="EA28" s="26"/>
      <c r="EB28" s="18" t="s">
        <v>1028</v>
      </c>
      <c r="EC28" s="21">
        <v>5907.8577336641856</v>
      </c>
      <c r="ED28" s="27">
        <v>43893</v>
      </c>
      <c r="EE28" s="11">
        <v>16</v>
      </c>
      <c r="EF28" s="27">
        <v>43891</v>
      </c>
      <c r="EG28" s="11">
        <v>18</v>
      </c>
      <c r="EH28" s="26"/>
      <c r="EI28" s="26"/>
      <c r="EJ28" s="26"/>
    </row>
    <row r="29" spans="2:140" x14ac:dyDescent="0.25">
      <c r="B29" s="1">
        <v>43870</v>
      </c>
      <c r="C29">
        <v>0</v>
      </c>
      <c r="D29" s="26">
        <v>0</v>
      </c>
      <c r="E29">
        <v>4</v>
      </c>
      <c r="F29">
        <v>0</v>
      </c>
      <c r="G29">
        <v>5</v>
      </c>
      <c r="H29">
        <v>2</v>
      </c>
      <c r="I29">
        <v>0</v>
      </c>
      <c r="J29">
        <v>4</v>
      </c>
      <c r="K29">
        <v>0</v>
      </c>
      <c r="L29" s="12">
        <f>IF(ISNUMBER(tblData[[#This Row],[NSW]]),tblData[[#This Row],[New South Wales]]/$L$9,"")</f>
        <v>4.9504950495049505</v>
      </c>
      <c r="M29" s="26">
        <v>3</v>
      </c>
      <c r="N29" s="49">
        <f>IF(ISNUMBER(tblData[Italy]),tblData[Italy]/$N$9,"")</f>
        <v>0.49627791563275436</v>
      </c>
      <c r="O29">
        <v>0</v>
      </c>
      <c r="P29" s="44">
        <f>IF(ISNUMBER(tblData[US]),tblData[US]/$P$9,"")</f>
        <v>0</v>
      </c>
      <c r="Q29">
        <v>25</v>
      </c>
      <c r="R29" s="19">
        <f>IF(ISNUMBER(tblData[SKorea]),tblData[SKorea]/$R$9,"")</f>
        <v>4.8638132295719849</v>
      </c>
      <c r="S29">
        <v>3</v>
      </c>
      <c r="T29" s="12">
        <f>IF(ISNUMBER(tblData[UK]),tblData[UK]/$T$9,"")</f>
        <v>0.45153521974714028</v>
      </c>
      <c r="U29">
        <v>39829</v>
      </c>
      <c r="V29" s="21">
        <f>IF(ISNUMBER(tblData[China]),tblData[China]/$V$9,"")</f>
        <v>276.72022559571752</v>
      </c>
      <c r="W29" s="26">
        <f>IF(tblData[[#This Row],[Date]]&lt;ItalyStart,"",tblData[[#This Row],[Date]]-ItalyStart)</f>
        <v>10</v>
      </c>
      <c r="X29" s="26">
        <f t="shared" ref="X29:X60" si="5">IF($B29&lt;BM$14+18,"",$B29-BM$14-18)</f>
        <v>0</v>
      </c>
      <c r="Y29" s="26">
        <f t="shared" si="3"/>
        <v>18</v>
      </c>
      <c r="Z29" s="26" t="str">
        <f>IF(tblData[[#This Row],[Date]]&lt;StartDt2Korea,"",tblData[[#This Row],[Date]]-StartDt2Korea)</f>
        <v/>
      </c>
      <c r="AA29" s="26">
        <f>IF(tblData[[#This Row],[Date]]&lt;UKStart,"",tblData[[#This Row],[Date]]-UKStart)</f>
        <v>10</v>
      </c>
      <c r="AB29">
        <f>IF(tblData[Date]&gt;=StartDt2Au,tblData[Date]-StartDt2Au,"")</f>
        <v>15</v>
      </c>
      <c r="AC29" s="26">
        <f>IF(tblData[New South Wales]&gt;0,SUM(tblData[[#This Row],[Australian Capital Territory]:[Western Australia]]),"")</f>
        <v>15</v>
      </c>
      <c r="AD29" s="12">
        <f>IF(ISNUMBER(tblData[Au]),tblData[Au]/$AA$9,"")</f>
        <v>5.9138937076170954</v>
      </c>
      <c r="AE29" s="19">
        <f>IF(ISNUMBER(tblData[[#This Row],[Day'# Aust]]),betaAu/(deltaAu+betaPodeltaAu*EXP(-betaAu*tblData[[#This Row],[Day'# Aust]])),"")</f>
        <v>0.2247162301844487</v>
      </c>
      <c r="AF29" s="72">
        <f>IF(ISNUMBER(tblData[Day'# Aust]),tblData[Au LogiP(t)]/$AD$9,"")</f>
        <v>8.8596526645816395E-2</v>
      </c>
      <c r="AG29" s="11">
        <f>IF(AND(tblData[Date]&gt;=StartDt2Au,ISNUMBER(tblData[NSW])),(tblData[[#This Row],[Au LogiP(t)]]-tblData[[#This Row],[Au]])^2,"")</f>
        <v>218.30901047857486</v>
      </c>
      <c r="AH29">
        <f>IF(tblData[Date]&gt;StartDt2NSW,tblData[Date]-StartDt2NSW,"")</f>
        <v>15</v>
      </c>
      <c r="AI29">
        <f t="shared" si="4"/>
        <v>4</v>
      </c>
      <c r="AJ29" s="11">
        <f>IF(tblData[Date]&gt;StartDt2NSW,betaNSW/(deltaNSW+betaPodeltaNSW*EXP(-betaNSW*tblData[[#This Row],[Day '# NSW]])),"")</f>
        <v>9.9393712395123054E-2</v>
      </c>
      <c r="AK29" s="12">
        <f>IF(AND(ISNUMBER(tblData[NSW]),tblData[Date]&gt;StartDt2NSW),(tblData[[#This Row],[NSW LogiP(t)]]-tblData[[#This Row],[NSW]])^2,"")</f>
        <v>15.2147294109027</v>
      </c>
      <c r="AL29" s="12">
        <f>IF(AND(tblData[Date]&gt;StartDt2NSW,ISNUMBER(tblData[Day'# Aust])),tblData[NSW LogiP(t)]/$AG$9,"")</f>
        <v>0.12301202029099387</v>
      </c>
      <c r="AM29" s="11">
        <f>IF(AND(tblData[Date]&gt;StartDt2Italy,ISNUMBER(tblData[Days'# Italy])),betaItaly/(deltaItaly+betaPodeltaItaly*EXP(-betaItaly*tblData[Days'# Italy])),"")</f>
        <v>5.9629124545492882</v>
      </c>
      <c r="AN29" s="11">
        <f>IF(AND(tblData[Date]&gt;StartDt2Italy,ISNUMBER(tblData[Italy])),(tblData[[#This Row],[Italy LogiP(t)]]-tblData[[#This Row],[Italy]])^2,"")</f>
        <v>8.7788502133232882</v>
      </c>
      <c r="AO29" s="44">
        <f>IF(AND(tblData[Date]&gt;StartDt2Italy,ISNUMBER(tblData[Days'# Italy])),tblData[[#This Row],[Italy LogiP(t)]]/$AM$9,"")</f>
        <v>0.98642058801477062</v>
      </c>
      <c r="AP29" s="11">
        <f>IF(ISNUMBER(tblData[[#This Row],[Days'# US]]),betaUS/(deltaUS+betaPodeltaUS*EXP(-betaUS*tblData[Days'# US])),"")</f>
        <v>1.709986186409522E-2</v>
      </c>
      <c r="AQ29" s="11">
        <f>IF(ISNUMBER(tblData[US]),(tblData[[#This Row],[US LogiP(t)]]-tblData[US])^2,"")</f>
        <v>2.9240527577113805E-4</v>
      </c>
      <c r="AR29" s="11">
        <f>IF(ISNUMBER(tblData[[#This Row],[Days'# US]]),tblData[[#This Row],[US LogiP(t)]]/$AP$9,"")</f>
        <v>5.193930970840842E-4</v>
      </c>
      <c r="AS29" s="11" t="str">
        <f>IF(tblData[Date]&gt;=StartDt2Korea,betaSKorea/(deltaSKorea+betaPodeltaSKorea*EXP(-betaSKorea*(tblData[Date]-StartDt2Korea))),"")</f>
        <v/>
      </c>
      <c r="AT29" s="11" t="str">
        <f>IF(AND(tblData[Date]&gt;=StartDt2Korea,ISNUMBER(tblData[SKorea])),(tblData[[#This Row],[SKorea LogiP(t)]]-tblData[[#This Row],[SKorea]])^2,"")</f>
        <v/>
      </c>
      <c r="AU29" s="11" t="str">
        <f>IF(tblData[Date]&gt;=StartDt2Korea,tblData[[#This Row],[SKorea LogiP(t)]]/$AS$9,"")</f>
        <v/>
      </c>
      <c r="AV29" s="11">
        <f>IF(ISNUMBER(tblData[Days'# UK]),betaUK/(deltaUK+betaPodeltaUK*EXP(-betaUK*tblData[Days'# UK])),"")</f>
        <v>0.38199122596715229</v>
      </c>
      <c r="AW29" s="11">
        <f>IF(ISNUMBER(tblData[UK]),(tblData[[#This Row],[UK LogiP(t)]]-tblData[[#This Row],[UK]])^2,"")</f>
        <v>6.8539699409129744</v>
      </c>
      <c r="AX29" s="11">
        <f>IF(ISNUMBER(tblData[Days'# UK]),tblData[[#This Row],[UK LogiP(t)]]/$AV$9,"")</f>
        <v>5.7494164052852542E-2</v>
      </c>
      <c r="AY29" s="11">
        <f>IF(ISNUMBER(tblData[Days'# China]),betaChina/(deltaChina+betaPodeltaChina*EXP(-betaChina*tblData[Days'# China])),"")</f>
        <v>41571.44338027393</v>
      </c>
      <c r="AZ29" s="11">
        <f>IF(ISNUMBER(tblData[China]),(tblData[[#This Row],[China LogiP(t)]]-tblData[[#This Row],[China]])^2,"")</f>
        <v>3036108.9334604377</v>
      </c>
      <c r="BA29" s="11">
        <f>tblData[[#This Row],[China LogiP(t)]]/$AY$9</f>
        <v>288.82621181875015</v>
      </c>
      <c r="BB29" s="11"/>
      <c r="BC29" s="11"/>
      <c r="BD29" s="11" t="str">
        <f>IF(ISNUMBER(tblData[[#This Row],[NSW Number of Tests]]),tblData[[#This Row],[NSW Number of Tests]]-BB28,"")</f>
        <v/>
      </c>
      <c r="BE29" s="11" t="str">
        <f>IF(ISNUMBER(tblData[[#This Row],[NSW Under Investigation'']]),tblData[[#This Row],[NSW Under Investigation'']]-BC28,"")</f>
        <v/>
      </c>
      <c r="BF29" s="11"/>
      <c r="BG29" s="11" t="str">
        <f>IF(ISNUMBER(tblData[[#This Row],[NSW Test Day Number]]),betaTest/(deltaTest+betaPodeltaTest*EXP(-betaTest*tblData[[#This Row],[NSW Test Day Number]])),"")</f>
        <v/>
      </c>
      <c r="BH29" s="11" t="str">
        <f>IF(ISNUMBER(tblData[[#This Row],[NSW Number of Tests]]),(tblData[[#This Row],[NSW Number of Tests]]-tblData[[#This Row],[NSW Test Logi]])^2,"")</f>
        <v/>
      </c>
      <c r="BJ29" s="27"/>
      <c r="DE29" s="26" t="s">
        <v>58</v>
      </c>
      <c r="DG29" s="27">
        <v>43860</v>
      </c>
      <c r="DI29" s="26">
        <v>2</v>
      </c>
      <c r="DJ29" s="26">
        <v>0.26124939657046986</v>
      </c>
      <c r="DK29" s="26">
        <v>5.5289448647719272E-6</v>
      </c>
      <c r="DL29" s="26">
        <v>0.44118045186898547</v>
      </c>
      <c r="DM29" s="26">
        <v>47251.221157049207</v>
      </c>
      <c r="DN29" s="19">
        <v>861.88192352690567</v>
      </c>
      <c r="DO29" s="12">
        <v>0.59215442615679836</v>
      </c>
      <c r="DP29" s="26">
        <v>5.5289448647719269E-3</v>
      </c>
      <c r="DQ29" s="26"/>
      <c r="DR29" s="27">
        <v>43909</v>
      </c>
      <c r="DS29" s="26" t="s">
        <v>1315</v>
      </c>
      <c r="DT29" s="26">
        <v>41035</v>
      </c>
      <c r="DU29" s="26" t="s">
        <v>1316</v>
      </c>
      <c r="DV29" s="27">
        <v>43909</v>
      </c>
      <c r="DW29" s="26">
        <v>50</v>
      </c>
      <c r="DX29" s="26" t="s">
        <v>1317</v>
      </c>
      <c r="DY29" s="26"/>
      <c r="DZ29" s="26" t="s">
        <v>1318</v>
      </c>
      <c r="EA29" s="26"/>
      <c r="EB29" s="26" t="s">
        <v>1319</v>
      </c>
      <c r="EC29" s="26">
        <v>6788.2547559966915</v>
      </c>
      <c r="ED29" s="26">
        <v>43894</v>
      </c>
      <c r="EE29" s="26">
        <v>16</v>
      </c>
      <c r="EF29" s="26">
        <v>43893</v>
      </c>
      <c r="EG29" s="26">
        <v>17</v>
      </c>
      <c r="EH29" s="26"/>
      <c r="EI29" s="26"/>
      <c r="EJ29" s="26"/>
    </row>
    <row r="30" spans="2:140" x14ac:dyDescent="0.25">
      <c r="B30" s="1">
        <v>43871</v>
      </c>
      <c r="C30">
        <v>0</v>
      </c>
      <c r="D30" s="26">
        <v>0</v>
      </c>
      <c r="E30">
        <v>4</v>
      </c>
      <c r="F30">
        <v>0</v>
      </c>
      <c r="G30">
        <v>5</v>
      </c>
      <c r="H30">
        <v>2</v>
      </c>
      <c r="I30">
        <v>0</v>
      </c>
      <c r="J30">
        <v>4</v>
      </c>
      <c r="K30">
        <v>0</v>
      </c>
      <c r="L30" s="12">
        <f>IF(ISNUMBER(tblData[[#This Row],[NSW]]),tblData[[#This Row],[New South Wales]]/$L$9,"")</f>
        <v>4.9504950495049505</v>
      </c>
      <c r="M30" s="26">
        <v>3</v>
      </c>
      <c r="N30" s="49">
        <f>IF(ISNUMBER(tblData[Italy]),tblData[Italy]/$N$9,"")</f>
        <v>0.49627791563275436</v>
      </c>
      <c r="O30">
        <v>11</v>
      </c>
      <c r="P30" s="49">
        <f>IF(ISNUMBER(tblData[US]),tblData[US]/$P$9,"")</f>
        <v>0.33411521761595392</v>
      </c>
      <c r="Q30">
        <v>27</v>
      </c>
      <c r="R30" s="19">
        <f>IF(ISNUMBER(tblData[SKorea]),tblData[SKorea]/$R$9,"")</f>
        <v>5.2529182879377432</v>
      </c>
      <c r="S30">
        <v>8</v>
      </c>
      <c r="T30" s="12">
        <f>IF(ISNUMBER(tblData[UK]),tblData[UK]/$T$9,"")</f>
        <v>1.2040939193257074</v>
      </c>
      <c r="U30">
        <v>42354</v>
      </c>
      <c r="V30" s="21">
        <f>IF(ISNUMBER(tblData[China]),tblData[China]/$V$9,"")</f>
        <v>294.26318599214193</v>
      </c>
      <c r="W30" s="26">
        <f>IF(tblData[[#This Row],[Date]]&lt;ItalyStart,"",tblData[[#This Row],[Date]]-ItalyStart)</f>
        <v>11</v>
      </c>
      <c r="X30" s="26">
        <f t="shared" si="5"/>
        <v>1</v>
      </c>
      <c r="Y30" s="26">
        <f t="shared" si="3"/>
        <v>19</v>
      </c>
      <c r="Z30" s="26" t="str">
        <f>IF(tblData[[#This Row],[Date]]&lt;StartDt2Korea,"",tblData[[#This Row],[Date]]-StartDt2Korea)</f>
        <v/>
      </c>
      <c r="AA30" s="26">
        <f>IF(tblData[[#This Row],[Date]]&lt;UKStart,"",tblData[[#This Row],[Date]]-UKStart)</f>
        <v>11</v>
      </c>
      <c r="AB30">
        <f>IF(tblData[Date]&gt;=StartDt2Au,tblData[Date]-StartDt2Au,"")</f>
        <v>16</v>
      </c>
      <c r="AC30" s="26">
        <f>IF(tblData[New South Wales]&gt;0,SUM(tblData[[#This Row],[Australian Capital Territory]:[Western Australia]]),"")</f>
        <v>15</v>
      </c>
      <c r="AD30" s="12">
        <f>IF(ISNUMBER(tblData[Au]),tblData[Au]/$AA$9,"")</f>
        <v>5.9138937076170954</v>
      </c>
      <c r="AE30" s="19">
        <f>IF(ISNUMBER(tblData[[#This Row],[Day'# Aust]]),betaAu/(deltaAu+betaPodeltaAu*EXP(-betaAu*tblData[[#This Row],[Day'# Aust]])),"")</f>
        <v>0.27625593040920404</v>
      </c>
      <c r="AF30" s="72">
        <f>IF(ISNUMBER(tblData[Day'# Aust]),tblData[Au LogiP(t)]/$AD$9,"")</f>
        <v>0.10891654723592653</v>
      </c>
      <c r="AG30" s="11">
        <f>IF(AND(tblData[Date]&gt;=StartDt2Au,ISNUMBER(tblData[NSW])),(tblData[[#This Row],[Au LogiP(t)]]-tblData[[#This Row],[Au]])^2,"")</f>
        <v>216.78863942681011</v>
      </c>
      <c r="AH30">
        <f>IF(tblData[Date]&gt;StartDt2NSW,tblData[Date]-StartDt2NSW,"")</f>
        <v>16</v>
      </c>
      <c r="AI30">
        <f t="shared" si="4"/>
        <v>4</v>
      </c>
      <c r="AJ30" s="11">
        <f>IF(tblData[Date]&gt;StartDt2NSW,betaNSW/(deltaNSW+betaPodeltaNSW*EXP(-betaNSW*tblData[[#This Row],[Day '# NSW]])),"")</f>
        <v>0.12253373553715302</v>
      </c>
      <c r="AK30" s="12">
        <f>IF(AND(ISNUMBER(tblData[NSW]),tblData[Date]&gt;StartDt2NSW),(tblData[[#This Row],[NSW LogiP(t)]]-tblData[[#This Row],[NSW]])^2,"")</f>
        <v>15.034744632047463</v>
      </c>
      <c r="AL30" s="12">
        <f>IF(AND(tblData[Date]&gt;StartDt2NSW,ISNUMBER(tblData[Day'# Aust])),tblData[NSW LogiP(t)]/$AG$9,"")</f>
        <v>0.1516506627935062</v>
      </c>
      <c r="AM30" s="11">
        <f>IF(AND(tblData[Date]&gt;StartDt2Italy,ISNUMBER(tblData[Days'# Italy])),betaItaly/(deltaItaly+betaPodeltaItaly*EXP(-betaItaly*tblData[Days'# Italy])),"")</f>
        <v>7.7348686361348733</v>
      </c>
      <c r="AN30" s="11">
        <f>IF(AND(tblData[Date]&gt;StartDt2Italy,ISNUMBER(tblData[Italy])),(tblData[[#This Row],[Italy LogiP(t)]]-tblData[[#This Row],[Italy]])^2,"")</f>
        <v>22.418981001453716</v>
      </c>
      <c r="AO30" s="44">
        <f>IF(AND(tblData[Date]&gt;StartDt2Italy,ISNUMBER(tblData[Days'# Italy])),tblData[[#This Row],[Italy LogiP(t)]]/$AM$9,"")</f>
        <v>1.2795481614780602</v>
      </c>
      <c r="AP30" s="21">
        <f>IF(ISNUMBER(tblData[[#This Row],[Days'# US]]),betaUS/(deltaUS+betaPodeltaUS*EXP(-betaUS*tblData[Days'# US])),"")</f>
        <v>2.4209997733873199E-2</v>
      </c>
      <c r="AQ30" s="11">
        <f>IF(ISNUMBER(tblData[US]),(tblData[[#This Row],[US LogiP(t)]]-tblData[US])^2,"")</f>
        <v>120.46796617384506</v>
      </c>
      <c r="AR30" s="21">
        <f>IF(ISNUMBER(tblData[[#This Row],[Days'# US]]),tblData[[#This Row],[US LogiP(t)]]/$AP$9,"")</f>
        <v>7.3535715103043595E-4</v>
      </c>
      <c r="AS30" s="21" t="str">
        <f>IF(tblData[Date]&gt;=StartDt2Korea,betaSKorea/(deltaSKorea+betaPodeltaSKorea*EXP(-betaSKorea*(tblData[Date]-StartDt2Korea))),"")</f>
        <v/>
      </c>
      <c r="AT30" s="21" t="str">
        <f>IF(AND(tblData[Date]&gt;=StartDt2Korea,ISNUMBER(tblData[SKorea])),(tblData[[#This Row],[SKorea LogiP(t)]]-tblData[[#This Row],[SKorea]])^2,"")</f>
        <v/>
      </c>
      <c r="AU30" s="21" t="str">
        <f>IF(tblData[Date]&gt;=StartDt2Korea,tblData[[#This Row],[SKorea LogiP(t)]]/$AS$9,"")</f>
        <v/>
      </c>
      <c r="AV30" s="11">
        <f>IF(ISNUMBER(tblData[Days'# UK]),betaUK/(deltaUK+betaPodeltaUK*EXP(-betaUK*tblData[Days'# UK])),"")</f>
        <v>0.4810604221003924</v>
      </c>
      <c r="AW30" s="21">
        <f>IF(ISNUMBER(tblData[UK]),(tblData[[#This Row],[UK LogiP(t)]]-tblData[[#This Row],[UK]])^2,"")</f>
        <v>56.534452376105129</v>
      </c>
      <c r="AX30" s="21">
        <f>IF(ISNUMBER(tblData[Days'# UK]),tblData[[#This Row],[UK LogiP(t)]]/$AV$9,"")</f>
        <v>7.2405241134917572E-2</v>
      </c>
      <c r="AY30" s="11">
        <f>IF(ISNUMBER(tblData[Days'# China]),betaChina/(deltaChina+betaPodeltaChina*EXP(-betaChina*tblData[Days'# China])),"")</f>
        <v>46032.100333786082</v>
      </c>
      <c r="AZ30" s="11">
        <f>IF(ISNUMBER(tblData[China]),(tblData[[#This Row],[China LogiP(t)]]-tblData[[#This Row],[China]])^2,"")</f>
        <v>13528422.065397289</v>
      </c>
      <c r="BA30" s="11">
        <f>tblData[[#This Row],[China LogiP(t)]]/$AY$9</f>
        <v>319.81754975043282</v>
      </c>
      <c r="BB30" s="11"/>
      <c r="BC30" s="11"/>
      <c r="BD30" s="11" t="str">
        <f>IF(ISNUMBER(tblData[[#This Row],[NSW Number of Tests]]),tblData[[#This Row],[NSW Number of Tests]]-BB29,"")</f>
        <v/>
      </c>
      <c r="BE30" s="11" t="str">
        <f>IF(ISNUMBER(tblData[[#This Row],[NSW Under Investigation'']]),tblData[[#This Row],[NSW Under Investigation'']]-BC29,"")</f>
        <v/>
      </c>
      <c r="BF30" s="11"/>
      <c r="BG30" s="11" t="str">
        <f>IF(ISNUMBER(tblData[[#This Row],[NSW Test Day Number]]),betaTest/(deltaTest+betaPodeltaTest*EXP(-betaTest*tblData[[#This Row],[NSW Test Day Number]])),"")</f>
        <v/>
      </c>
      <c r="BH30" s="11" t="str">
        <f>IF(ISNUMBER(tblData[[#This Row],[NSW Number of Tests]]),(tblData[[#This Row],[NSW Number of Tests]]-tblData[[#This Row],[NSW Test Logi]])^2,"")</f>
        <v/>
      </c>
      <c r="BJ30" s="27"/>
      <c r="DE30" s="26" t="s">
        <v>58</v>
      </c>
      <c r="DF30" s="82">
        <v>43911.866296296299</v>
      </c>
      <c r="DG30" s="27">
        <v>43860</v>
      </c>
      <c r="DH30" s="27">
        <v>43860</v>
      </c>
      <c r="DI30" s="26">
        <v>2</v>
      </c>
      <c r="DJ30" s="26">
        <v>0.26021145951808367</v>
      </c>
      <c r="DK30" s="26">
        <v>4.6967448339452021E-6</v>
      </c>
      <c r="DL30" s="26">
        <v>0.44199535332226664</v>
      </c>
      <c r="DM30" s="26">
        <v>55402.511466544704</v>
      </c>
      <c r="DN30" s="19">
        <v>1127.8816766057491</v>
      </c>
      <c r="DO30" s="12">
        <v>0.58871520169346225</v>
      </c>
      <c r="DP30" s="26">
        <v>4.696744833945202E-3</v>
      </c>
      <c r="DQ30" s="26"/>
      <c r="DR30" s="27">
        <v>43910</v>
      </c>
      <c r="DS30" s="26" t="s">
        <v>1343</v>
      </c>
      <c r="DT30" s="26">
        <v>47021</v>
      </c>
      <c r="DU30" s="26" t="s">
        <v>1344</v>
      </c>
      <c r="DV30" s="27">
        <v>43910</v>
      </c>
      <c r="DW30" s="26">
        <v>51</v>
      </c>
      <c r="DX30" s="26" t="s">
        <v>1345</v>
      </c>
      <c r="DY30" s="26"/>
      <c r="DZ30" s="26" t="s">
        <v>1346</v>
      </c>
      <c r="EA30" s="26"/>
      <c r="EB30" s="26" t="s">
        <v>1498</v>
      </c>
      <c r="EC30" s="26">
        <v>7778.4946236559144</v>
      </c>
      <c r="ED30" s="26">
        <v>43895</v>
      </c>
      <c r="EE30" s="26">
        <v>16</v>
      </c>
      <c r="EF30" s="26">
        <v>43894</v>
      </c>
      <c r="EG30" s="26">
        <v>17</v>
      </c>
      <c r="EH30" s="26"/>
    </row>
    <row r="31" spans="2:140" x14ac:dyDescent="0.25">
      <c r="B31" s="1">
        <v>43872</v>
      </c>
      <c r="C31">
        <v>0</v>
      </c>
      <c r="D31" s="26">
        <v>0</v>
      </c>
      <c r="E31">
        <v>4</v>
      </c>
      <c r="F31">
        <v>0</v>
      </c>
      <c r="G31">
        <v>5</v>
      </c>
      <c r="H31">
        <v>2</v>
      </c>
      <c r="I31">
        <v>0</v>
      </c>
      <c r="J31">
        <v>4</v>
      </c>
      <c r="K31">
        <v>0</v>
      </c>
      <c r="L31" s="12">
        <f>IF(ISNUMBER(tblData[[#This Row],[NSW]]),tblData[[#This Row],[New South Wales]]/$L$9,"")</f>
        <v>4.9504950495049505</v>
      </c>
      <c r="M31" s="26">
        <v>3</v>
      </c>
      <c r="N31" s="49">
        <f>IF(ISNUMBER(tblData[Italy]),tblData[Italy]/$N$9,"")</f>
        <v>0.49627791563275436</v>
      </c>
      <c r="O31">
        <v>12</v>
      </c>
      <c r="P31" s="49">
        <f>IF(ISNUMBER(tblData[US]),tblData[US]/$P$9,"")</f>
        <v>0.36448932830831338</v>
      </c>
      <c r="Q31">
        <v>28</v>
      </c>
      <c r="R31" s="19">
        <f>IF(ISNUMBER(tblData[SKorea]),tblData[SKorea]/$R$9,"")</f>
        <v>5.4474708171206228</v>
      </c>
      <c r="S31">
        <v>8</v>
      </c>
      <c r="T31" s="12">
        <f>IF(ISNUMBER(tblData[UK]),tblData[UK]/$T$9,"")</f>
        <v>1.2040939193257074</v>
      </c>
      <c r="U31">
        <v>44386</v>
      </c>
      <c r="V31" s="21">
        <f>IF(ISNUMBER(tblData[China]),tblData[China]/$V$9,"")</f>
        <v>308.38092679433373</v>
      </c>
      <c r="W31" s="26">
        <f>IF(tblData[[#This Row],[Date]]&lt;ItalyStart,"",tblData[[#This Row],[Date]]-ItalyStart)</f>
        <v>12</v>
      </c>
      <c r="X31" s="26">
        <f t="shared" si="5"/>
        <v>2</v>
      </c>
      <c r="Y31" s="26">
        <f t="shared" si="3"/>
        <v>20</v>
      </c>
      <c r="Z31" s="26" t="str">
        <f>IF(tblData[[#This Row],[Date]]&lt;StartDt2Korea,"",tblData[[#This Row],[Date]]-StartDt2Korea)</f>
        <v/>
      </c>
      <c r="AA31" s="26">
        <f>IF(tblData[[#This Row],[Date]]&lt;UKStart,"",tblData[[#This Row],[Date]]-UKStart)</f>
        <v>12</v>
      </c>
      <c r="AB31">
        <f>IF(tblData[Date]&gt;=StartDt2Au,tblData[Date]-StartDt2Au,"")</f>
        <v>17</v>
      </c>
      <c r="AC31" s="26">
        <f>IF(tblData[New South Wales]&gt;0,SUM(tblData[[#This Row],[Australian Capital Territory]:[Western Australia]]),"")</f>
        <v>15</v>
      </c>
      <c r="AD31" s="12">
        <f>IF(ISNUMBER(tblData[Au]),tblData[Au]/$AA$9,"")</f>
        <v>5.9138937076170954</v>
      </c>
      <c r="AE31" s="19">
        <f>IF(ISNUMBER(tblData[[#This Row],[Day'# Aust]]),betaAu/(deltaAu+betaPodeltaAu*EXP(-betaAu*tblData[[#This Row],[Day'# Aust]])),"")</f>
        <v>0.33961649774582026</v>
      </c>
      <c r="AF31" s="72">
        <f>IF(ISNUMBER(tblData[Day'# Aust]),tblData[Au LogiP(t)]/$AD$9,"")</f>
        <v>0.13389705793479745</v>
      </c>
      <c r="AG31" s="11">
        <f>IF(AND(tblData[Date]&gt;=StartDt2Au,ISNUMBER(tblData[NSW])),(tblData[[#This Row],[Au LogiP(t)]]-tblData[[#This Row],[Au]])^2,"")</f>
        <v>214.92684443316651</v>
      </c>
      <c r="AH31">
        <f>IF(tblData[Date]&gt;StartDt2NSW,tblData[Date]-StartDt2NSW,"")</f>
        <v>17</v>
      </c>
      <c r="AI31">
        <f t="shared" si="4"/>
        <v>4</v>
      </c>
      <c r="AJ31" s="11">
        <f>IF(tblData[Date]&gt;StartDt2NSW,betaNSW/(deltaNSW+betaPodeltaNSW*EXP(-betaNSW*tblData[[#This Row],[Day '# NSW]])),"")</f>
        <v>0.15106072904726139</v>
      </c>
      <c r="AK31" s="12">
        <f>IF(AND(ISNUMBER(tblData[NSW]),tblData[Date]&gt;StartDt2NSW),(tblData[[#This Row],[NSW LogiP(t)]]-tblData[[#This Row],[NSW]])^2,"")</f>
        <v>14.814333511482198</v>
      </c>
      <c r="AL31" s="12">
        <f>IF(AND(tblData[Date]&gt;StartDt2NSW,ISNUMBER(tblData[Day'# Aust])),tblData[NSW LogiP(t)]/$AG$9,"")</f>
        <v>0.18695634783076903</v>
      </c>
      <c r="AM31" s="11">
        <f>IF(AND(tblData[Date]&gt;StartDt2Italy,ISNUMBER(tblData[Days'# Italy])),betaItaly/(deltaItaly+betaPodeltaItaly*EXP(-betaItaly*tblData[Days'# Italy])),"")</f>
        <v>10.033289033856045</v>
      </c>
      <c r="AN31" s="11">
        <f>IF(AND(tblData[Date]&gt;StartDt2Italy,ISNUMBER(tblData[Italy])),(tblData[[#This Row],[Italy LogiP(t)]]-tblData[[#This Row],[Italy]])^2,"")</f>
        <v>49.467154633759698</v>
      </c>
      <c r="AO31" s="44">
        <f>IF(AND(tblData[Date]&gt;StartDt2Italy,ISNUMBER(tblData[Days'# Italy])),tblData[[#This Row],[Italy LogiP(t)]]/$AM$9,"")</f>
        <v>1.6597665895543499</v>
      </c>
      <c r="AP31" s="21">
        <f>IF(ISNUMBER(tblData[[#This Row],[Days'# US]]),betaUS/(deltaUS+betaPodeltaUS*EXP(-betaUS*tblData[Days'# US])),"")</f>
        <v>3.4276533630944295E-2</v>
      </c>
      <c r="AQ31" s="11">
        <f>IF(ISNUMBER(tblData[US]),(tblData[[#This Row],[US LogiP(t)]]-tblData[US])^2,"")</f>
        <v>143.1785380736151</v>
      </c>
      <c r="AR31" s="21">
        <f>IF(ISNUMBER(tblData[[#This Row],[Days'# US]]),tblData[[#This Row],[US LogiP(t)]]/$AP$9,"")</f>
        <v>1.0411192266566833E-3</v>
      </c>
      <c r="AS31" s="21" t="str">
        <f>IF(tblData[Date]&gt;=StartDt2Korea,betaSKorea/(deltaSKorea+betaPodeltaSKorea*EXP(-betaSKorea*(tblData[Date]-StartDt2Korea))),"")</f>
        <v/>
      </c>
      <c r="AT31" s="21" t="str">
        <f>IF(AND(tblData[Date]&gt;=StartDt2Korea,ISNUMBER(tblData[SKorea])),(tblData[[#This Row],[SKorea LogiP(t)]]-tblData[[#This Row],[SKorea]])^2,"")</f>
        <v/>
      </c>
      <c r="AU31" s="21" t="str">
        <f>IF(tblData[Date]&gt;=StartDt2Korea,tblData[[#This Row],[SKorea LogiP(t)]]/$AS$9,"")</f>
        <v/>
      </c>
      <c r="AV31" s="11">
        <f>IF(ISNUMBER(tblData[Days'# UK]),betaUK/(deltaUK+betaPodeltaUK*EXP(-betaUK*tblData[Days'# UK])),"")</f>
        <v>0.60582315496828254</v>
      </c>
      <c r="AW31" s="21">
        <f>IF(ISNUMBER(tblData[UK]),(tblData[[#This Row],[UK LogiP(t)]]-tblData[[#This Row],[UK]])^2,"")</f>
        <v>54.6738512156032</v>
      </c>
      <c r="AX31" s="21">
        <f>IF(ISNUMBER(tblData[Days'# UK]),tblData[[#This Row],[UK LogiP(t)]]/$AV$9,"")</f>
        <v>9.1183497135503083E-2</v>
      </c>
      <c r="AY31" s="11">
        <f>IF(ISNUMBER(tblData[Days'# China]),betaChina/(deltaChina+betaPodeltaChina*EXP(-betaChina*tblData[Days'# China])),"")</f>
        <v>50359.310824921704</v>
      </c>
      <c r="AZ31" s="11">
        <f>IF(ISNUMBER(tblData[China]),(tblData[[#This Row],[China LogiP(t)]]-tblData[[#This Row],[China]])^2,"")</f>
        <v>35680442.211126804</v>
      </c>
      <c r="BA31" s="11">
        <f>tblData[[#This Row],[China LogiP(t)]]/$AY$9</f>
        <v>349.88174074963456</v>
      </c>
      <c r="BB31" s="11"/>
      <c r="BC31" s="11"/>
      <c r="BD31" s="11" t="str">
        <f>IF(ISNUMBER(tblData[[#This Row],[NSW Number of Tests]]),tblData[[#This Row],[NSW Number of Tests]]-BB30,"")</f>
        <v/>
      </c>
      <c r="BE31" s="11" t="str">
        <f>IF(ISNUMBER(tblData[[#This Row],[NSW Under Investigation'']]),tblData[[#This Row],[NSW Under Investigation'']]-BC30,"")</f>
        <v/>
      </c>
      <c r="BF31" s="11"/>
      <c r="BG31" s="11" t="str">
        <f>IF(ISNUMBER(tblData[[#This Row],[NSW Test Day Number]]),betaTest/(deltaTest+betaPodeltaTest*EXP(-betaTest*tblData[[#This Row],[NSW Test Day Number]])),"")</f>
        <v/>
      </c>
      <c r="BH31" s="11" t="str">
        <f>IF(ISNUMBER(tblData[[#This Row],[NSW Number of Tests]]),(tblData[[#This Row],[NSW Number of Tests]]-tblData[[#This Row],[NSW Test Logi]])^2,"")</f>
        <v/>
      </c>
      <c r="BJ31" s="27"/>
      <c r="DE31" s="26" t="s">
        <v>58</v>
      </c>
      <c r="DG31" s="27">
        <v>43860</v>
      </c>
      <c r="DI31" s="26">
        <v>2</v>
      </c>
      <c r="DJ31" s="23">
        <v>0.26238091349277259</v>
      </c>
      <c r="DK31" s="25">
        <v>6.5504048686306527E-6</v>
      </c>
      <c r="DL31" s="22">
        <v>0.44060114064329331</v>
      </c>
      <c r="DM31" s="24">
        <f>betaItaly/deltaItaly</f>
        <v>55402.511466544704</v>
      </c>
      <c r="DN31" s="22">
        <f>SQRT(SUM(tblData[Italy Sq Err])/COUNT(tblData[Italy Sq Err]))</f>
        <v>1583.8727570480373</v>
      </c>
      <c r="DO31" s="37">
        <f>(betaItaly/PoItaly)-deltaItaly</f>
        <v>0.58871520169346225</v>
      </c>
      <c r="DP31" s="24">
        <f>deltaItaly*1000</f>
        <v>4.696744833945202E-3</v>
      </c>
      <c r="DQ31" s="24"/>
      <c r="DR31" s="27">
        <f t="array" ref="DR31">MAX(IF(ISNUMBER(tblData[Italy]),tblData[Date]))</f>
        <v>43911</v>
      </c>
      <c r="DS31" s="27" t="str">
        <f>Cengnotation(DM31,3)</f>
        <v>55.4 k</v>
      </c>
      <c r="DT31" s="19"/>
      <c r="DU31" s="19"/>
      <c r="DW31" s="26"/>
      <c r="DX31" s="18"/>
      <c r="DY31" s="26"/>
      <c r="DZ31" s="26"/>
      <c r="EA31" s="26"/>
      <c r="EB31" s="26"/>
      <c r="EC31" s="26"/>
      <c r="ED31" s="26"/>
      <c r="EE31" s="26"/>
      <c r="EF31" s="26"/>
      <c r="EG31" s="26"/>
      <c r="EH31" s="26"/>
    </row>
    <row r="32" spans="2:140" x14ac:dyDescent="0.25">
      <c r="B32" s="1">
        <v>43873</v>
      </c>
      <c r="C32">
        <v>0</v>
      </c>
      <c r="D32" s="26">
        <v>0</v>
      </c>
      <c r="E32">
        <v>4</v>
      </c>
      <c r="F32">
        <v>0</v>
      </c>
      <c r="G32">
        <v>5</v>
      </c>
      <c r="H32">
        <v>2</v>
      </c>
      <c r="I32">
        <v>0</v>
      </c>
      <c r="J32">
        <v>4</v>
      </c>
      <c r="K32">
        <v>0</v>
      </c>
      <c r="L32" s="12">
        <f>IF(ISNUMBER(tblData[[#This Row],[NSW]]),tblData[[#This Row],[New South Wales]]/$L$9,"")</f>
        <v>4.9504950495049505</v>
      </c>
      <c r="M32" s="26">
        <v>3</v>
      </c>
      <c r="N32" s="49">
        <f>IF(ISNUMBER(tblData[Italy]),tblData[Italy]/$N$9,"")</f>
        <v>0.49627791563275436</v>
      </c>
      <c r="O32">
        <v>12</v>
      </c>
      <c r="P32" s="49">
        <f>IF(ISNUMBER(tblData[US]),tblData[US]/$P$9,"")</f>
        <v>0.36448932830831338</v>
      </c>
      <c r="Q32">
        <v>28</v>
      </c>
      <c r="R32" s="19">
        <f>IF(ISNUMBER(tblData[SKorea]),tblData[SKorea]/$R$9,"")</f>
        <v>5.4474708171206228</v>
      </c>
      <c r="S32">
        <v>9</v>
      </c>
      <c r="T32" s="12">
        <f>IF(ISNUMBER(tblData[UK]),tblData[UK]/$T$9,"")</f>
        <v>1.3546056592414208</v>
      </c>
      <c r="U32">
        <v>44759</v>
      </c>
      <c r="V32" s="21">
        <f>IF(ISNUMBER(tblData[China]),tblData[China]/$V$9,"")</f>
        <v>310.97242153804314</v>
      </c>
      <c r="W32" s="26">
        <f>IF(tblData[[#This Row],[Date]]&lt;ItalyStart,"",tblData[[#This Row],[Date]]-ItalyStart)</f>
        <v>13</v>
      </c>
      <c r="X32" s="26">
        <f t="shared" si="5"/>
        <v>3</v>
      </c>
      <c r="Y32" s="26">
        <f t="shared" si="3"/>
        <v>21</v>
      </c>
      <c r="Z32" s="26" t="str">
        <f>IF(tblData[[#This Row],[Date]]&lt;StartDt2Korea,"",tblData[[#This Row],[Date]]-StartDt2Korea)</f>
        <v/>
      </c>
      <c r="AA32" s="26">
        <f>IF(tblData[[#This Row],[Date]]&lt;UKStart,"",tblData[[#This Row],[Date]]-UKStart)</f>
        <v>13</v>
      </c>
      <c r="AB32">
        <f>IF(tblData[Date]&gt;=StartDt2Au,tblData[Date]-StartDt2Au,"")</f>
        <v>18</v>
      </c>
      <c r="AC32" s="26">
        <f>IF(tblData[New South Wales]&gt;0,SUM(tblData[[#This Row],[Australian Capital Territory]:[Western Australia]]),"")</f>
        <v>15</v>
      </c>
      <c r="AD32" s="12">
        <f>IF(ISNUMBER(tblData[Au]),tblData[Au]/$AA$9,"")</f>
        <v>5.9138937076170954</v>
      </c>
      <c r="AE32" s="19">
        <f>IF(ISNUMBER(tblData[[#This Row],[Day'# Aust]]),betaAu/(deltaAu+betaPodeltaAu*EXP(-betaAu*tblData[[#This Row],[Day'# Aust]])),"")</f>
        <v>0.41750910238260991</v>
      </c>
      <c r="AF32" s="72">
        <f>IF(ISNUMBER(tblData[Day'# Aust]),tblData[Au LogiP(t)]/$AD$9,"")</f>
        <v>0.16460696356355856</v>
      </c>
      <c r="AG32" s="11">
        <f>IF(AND(tblData[Date]&gt;=StartDt2Au,ISNUMBER(tblData[NSW])),(tblData[[#This Row],[Au LogiP(t)]]-tblData[[#This Row],[Au]])^2,"")</f>
        <v>212.64904077909404</v>
      </c>
      <c r="AH32">
        <f>IF(tblData[Date]&gt;StartDt2NSW,tblData[Date]-StartDt2NSW,"")</f>
        <v>18</v>
      </c>
      <c r="AI32">
        <f t="shared" si="4"/>
        <v>4</v>
      </c>
      <c r="AJ32" s="11">
        <f>IF(tblData[Date]&gt;StartDt2NSW,betaNSW/(deltaNSW+betaPodeltaNSW*EXP(-betaNSW*tblData[[#This Row],[Day '# NSW]])),"")</f>
        <v>0.18622861807689584</v>
      </c>
      <c r="AK32" s="12">
        <f>IF(AND(ISNUMBER(tblData[NSW]),tblData[Date]&gt;StartDt2NSW),(tblData[[#This Row],[NSW LogiP(t)]]-tblData[[#This Row],[NSW]])^2,"")</f>
        <v>14.544852153575665</v>
      </c>
      <c r="AL32" s="12">
        <f>IF(AND(tblData[Date]&gt;StartDt2NSW,ISNUMBER(tblData[Day'# Aust])),tblData[NSW LogiP(t)]/$AG$9,"")</f>
        <v>0.23048096296645523</v>
      </c>
      <c r="AM32" s="11">
        <f>IF(AND(tblData[Date]&gt;StartDt2Italy,ISNUMBER(tblData[Days'# Italy])),betaItaly/(deltaItaly+betaPodeltaItaly*EXP(-betaItaly*tblData[Days'# Italy])),"")</f>
        <v>13.01452583605627</v>
      </c>
      <c r="AN32" s="11">
        <f>IF(AND(tblData[Date]&gt;StartDt2Italy,ISNUMBER(tblData[Italy])),(tblData[[#This Row],[Italy LogiP(t)]]-tblData[[#This Row],[Italy]])^2,"")</f>
        <v>100.29072772103854</v>
      </c>
      <c r="AO32" s="44">
        <f>IF(AND(tblData[Date]&gt;StartDt2Italy,ISNUMBER(tblData[Days'# Italy])),tblData[[#This Row],[Italy LogiP(t)]]/$AM$9,"")</f>
        <v>2.152940584955545</v>
      </c>
      <c r="AP32" s="21">
        <f>IF(ISNUMBER(tblData[[#This Row],[Days'# US]]),betaUS/(deltaUS+betaPodeltaUS*EXP(-betaUS*tblData[Days'# US])),"")</f>
        <v>4.8528742986840026E-2</v>
      </c>
      <c r="AQ32" s="11">
        <f>IF(ISNUMBER(tblData[US]),(tblData[[#This Row],[US LogiP(t)]]-tblData[US])^2,"")</f>
        <v>142.83766520721173</v>
      </c>
      <c r="AR32" s="21">
        <f>IF(ISNUMBER(tblData[[#This Row],[Days'# US]]),tblData[[#This Row],[US LogiP(t)]]/$AP$9,"")</f>
        <v>1.4740174112433412E-3</v>
      </c>
      <c r="AS32" s="21" t="str">
        <f>IF(tblData[Date]&gt;=StartDt2Korea,betaSKorea/(deltaSKorea+betaPodeltaSKorea*EXP(-betaSKorea*(tblData[Date]-StartDt2Korea))),"")</f>
        <v/>
      </c>
      <c r="AT32" s="21" t="str">
        <f>IF(AND(tblData[Date]&gt;=StartDt2Korea,ISNUMBER(tblData[SKorea])),(tblData[[#This Row],[SKorea LogiP(t)]]-tblData[[#This Row],[SKorea]])^2,"")</f>
        <v/>
      </c>
      <c r="AU32" s="21" t="str">
        <f>IF(tblData[Date]&gt;=StartDt2Korea,tblData[[#This Row],[SKorea LogiP(t)]]/$AS$9,"")</f>
        <v/>
      </c>
      <c r="AV32" s="11">
        <f>IF(ISNUMBER(tblData[Days'# UK]),betaUK/(deltaUK+betaPodeltaUK*EXP(-betaUK*tblData[Days'# UK])),"")</f>
        <v>0.76294302790851787</v>
      </c>
      <c r="AW32" s="21">
        <f>IF(ISNUMBER(tblData[UK]),(tblData[[#This Row],[UK LogiP(t)]]-tblData[[#This Row],[UK]])^2,"")</f>
        <v>67.849107561480892</v>
      </c>
      <c r="AX32" s="21">
        <f>IF(ISNUMBER(tblData[Days'# UK]),tblData[[#This Row],[UK LogiP(t)]]/$AV$9,"")</f>
        <v>0.11483188258707373</v>
      </c>
      <c r="AY32" s="11">
        <f>IF(ISNUMBER(tblData[Days'# China]),betaChina/(deltaChina+betaPodeltaChina*EXP(-betaChina*tblData[Days'# China])),"")</f>
        <v>54458.902850199651</v>
      </c>
      <c r="AZ32" s="11">
        <f>IF(ISNUMBER(tblData[China]),(tblData[[#This Row],[China LogiP(t)]]-tblData[[#This Row],[China]])^2,"")</f>
        <v>94088115.303311303</v>
      </c>
      <c r="BA32" s="11">
        <f>tblData[[#This Row],[China LogiP(t)]]/$AY$9</f>
        <v>378.3645053203071</v>
      </c>
      <c r="BB32" s="11"/>
      <c r="BC32" s="11"/>
      <c r="BD32" s="11" t="str">
        <f>IF(ISNUMBER(tblData[[#This Row],[NSW Number of Tests]]),tblData[[#This Row],[NSW Number of Tests]]-BB31,"")</f>
        <v/>
      </c>
      <c r="BE32" s="11" t="str">
        <f>IF(ISNUMBER(tblData[[#This Row],[NSW Under Investigation'']]),tblData[[#This Row],[NSW Under Investigation'']]-BC31,"")</f>
        <v/>
      </c>
      <c r="BF32" s="11"/>
      <c r="BG32" s="11" t="str">
        <f>IF(ISNUMBER(tblData[[#This Row],[NSW Test Day Number]]),betaTest/(deltaTest+betaPodeltaTest*EXP(-betaTest*tblData[[#This Row],[NSW Test Day Number]])),"")</f>
        <v/>
      </c>
      <c r="BH32" s="11" t="str">
        <f>IF(ISNUMBER(tblData[[#This Row],[NSW Number of Tests]]),(tblData[[#This Row],[NSW Number of Tests]]-tblData[[#This Row],[NSW Test Logi]])^2,"")</f>
        <v/>
      </c>
      <c r="BJ32" s="27"/>
      <c r="DE32" s="26" t="s">
        <v>486</v>
      </c>
      <c r="DG32" s="27">
        <v>43852</v>
      </c>
      <c r="DI32" s="26">
        <v>3</v>
      </c>
      <c r="DJ32" s="23">
        <v>0.23690262188948924</v>
      </c>
      <c r="DK32" s="25">
        <v>1.0000000000010001E-8</v>
      </c>
      <c r="DL32" s="22">
        <v>1</v>
      </c>
      <c r="DM32" s="26">
        <v>23690262.188925233</v>
      </c>
      <c r="DN32" s="19">
        <v>70.768652159383493</v>
      </c>
      <c r="DO32" s="37">
        <v>0.23690261188948925</v>
      </c>
      <c r="DP32" s="24">
        <v>1.0000000000010001E-5</v>
      </c>
      <c r="DQ32" s="12"/>
      <c r="DR32" s="27">
        <v>43904</v>
      </c>
      <c r="DS32" s="27" t="s">
        <v>493</v>
      </c>
      <c r="DT32" s="19"/>
      <c r="DU32" s="19"/>
      <c r="DW32" s="26"/>
      <c r="DX32" s="18"/>
      <c r="DY32" s="26"/>
      <c r="DZ32" s="26"/>
      <c r="EA32" s="26"/>
      <c r="EB32" s="26"/>
      <c r="EC32" s="26"/>
      <c r="ED32" s="26"/>
      <c r="EE32" s="26"/>
      <c r="EF32" s="26"/>
      <c r="EG32" s="26"/>
      <c r="EH32" s="26"/>
    </row>
    <row r="33" spans="2:138" x14ac:dyDescent="0.25">
      <c r="B33" s="1">
        <v>43874</v>
      </c>
      <c r="C33">
        <v>0</v>
      </c>
      <c r="D33" s="26">
        <v>0</v>
      </c>
      <c r="E33">
        <v>4</v>
      </c>
      <c r="F33">
        <v>0</v>
      </c>
      <c r="G33">
        <v>5</v>
      </c>
      <c r="H33">
        <v>2</v>
      </c>
      <c r="I33">
        <v>0</v>
      </c>
      <c r="J33">
        <v>4</v>
      </c>
      <c r="K33">
        <v>0</v>
      </c>
      <c r="L33" s="12">
        <f>IF(ISNUMBER(tblData[[#This Row],[NSW]]),tblData[[#This Row],[New South Wales]]/$L$9,"")</f>
        <v>4.9504950495049505</v>
      </c>
      <c r="M33" s="26">
        <v>3</v>
      </c>
      <c r="N33" s="49">
        <f>IF(ISNUMBER(tblData[Italy]),tblData[Italy]/$N$9,"")</f>
        <v>0.49627791563275436</v>
      </c>
      <c r="O33">
        <v>13</v>
      </c>
      <c r="P33" s="49">
        <f>IF(ISNUMBER(tblData[US]),tblData[US]/$P$9,"")</f>
        <v>0.39486343900067283</v>
      </c>
      <c r="Q33">
        <v>28</v>
      </c>
      <c r="R33" s="19">
        <f>IF(ISNUMBER(tblData[SKorea]),tblData[SKorea]/$R$9,"")</f>
        <v>5.4474708171206228</v>
      </c>
      <c r="S33">
        <v>9</v>
      </c>
      <c r="T33" s="12">
        <f>IF(ISNUMBER(tblData[UK]),tblData[UK]/$T$9,"")</f>
        <v>1.3546056592414208</v>
      </c>
      <c r="U33">
        <v>59895</v>
      </c>
      <c r="V33" s="21">
        <f>IF(ISNUMBER(tblData[China]),tblData[China]/$V$9,"")</f>
        <v>416.13291601736177</v>
      </c>
      <c r="W33" s="26">
        <f>IF(tblData[[#This Row],[Date]]&lt;ItalyStart,"",tblData[[#This Row],[Date]]-ItalyStart)</f>
        <v>14</v>
      </c>
      <c r="X33" s="26">
        <f t="shared" si="5"/>
        <v>4</v>
      </c>
      <c r="Y33" s="26">
        <f t="shared" si="3"/>
        <v>22</v>
      </c>
      <c r="Z33" s="26" t="str">
        <f>IF(tblData[[#This Row],[Date]]&lt;StartDt2Korea,"",tblData[[#This Row],[Date]]-StartDt2Korea)</f>
        <v/>
      </c>
      <c r="AA33" s="26">
        <f>IF(tblData[[#This Row],[Date]]&lt;UKStart,"",tblData[[#This Row],[Date]]-UKStart)</f>
        <v>14</v>
      </c>
      <c r="AB33">
        <f>IF(tblData[Date]&gt;=StartDt2Au,tblData[Date]-StartDt2Au,"")</f>
        <v>19</v>
      </c>
      <c r="AC33" s="26">
        <f>IF(tblData[New South Wales]&gt;0,SUM(tblData[[#This Row],[Australian Capital Territory]:[Western Australia]]),"")</f>
        <v>15</v>
      </c>
      <c r="AD33" s="12">
        <f>IF(ISNUMBER(tblData[Au]),tblData[Au]/$AA$9,"")</f>
        <v>5.9138937076170954</v>
      </c>
      <c r="AE33" s="19">
        <f>IF(ISNUMBER(tblData[[#This Row],[Day'# Aust]]),betaAu/(deltaAu+betaPodeltaAu*EXP(-betaAu*tblData[[#This Row],[Day'# Aust]])),"")</f>
        <v>0.51326673384316401</v>
      </c>
      <c r="AF33" s="72">
        <f>IF(ISNUMBER(tblData[Day'# Aust]),tblData[Au LogiP(t)]/$AD$9,"")</f>
        <v>0.20236032717361774</v>
      </c>
      <c r="AG33" s="11">
        <f>IF(AND(tblData[Date]&gt;=StartDt2Au,ISNUMBER(tblData[NSW])),(tblData[[#This Row],[Au LogiP(t)]]-tblData[[#This Row],[Au]])^2,"")</f>
        <v>209.86544072477511</v>
      </c>
      <c r="AH33">
        <f>IF(tblData[Date]&gt;StartDt2NSW,tblData[Date]-StartDt2NSW,"")</f>
        <v>19</v>
      </c>
      <c r="AI33">
        <f t="shared" si="4"/>
        <v>4</v>
      </c>
      <c r="AJ33" s="11">
        <f>IF(tblData[Date]&gt;StartDt2NSW,betaNSW/(deltaNSW+betaPodeltaNSW*EXP(-betaNSW*tblData[[#This Row],[Day '# NSW]])),"")</f>
        <v>0.22958312324530949</v>
      </c>
      <c r="AK33" s="12">
        <f>IF(AND(ISNUMBER(tblData[NSW]),tblData[Date]&gt;StartDt2NSW),(tblData[[#This Row],[NSW LogiP(t)]]-tblData[[#This Row],[NSW]])^2,"")</f>
        <v>14.216043424516595</v>
      </c>
      <c r="AL33" s="12">
        <f>IF(AND(tblData[Date]&gt;StartDt2NSW,ISNUMBER(tblData[Day'# Aust])),tblData[NSW LogiP(t)]/$AG$9,"")</f>
        <v>0.28413752876894738</v>
      </c>
      <c r="AM33" s="11">
        <f>IF(AND(tblData[Date]&gt;StartDt2Italy,ISNUMBER(tblData[Days'# Italy])),betaItaly/(deltaItaly+betaPodeltaItaly*EXP(-betaItaly*tblData[Days'# Italy])),"")</f>
        <v>16.881321124379671</v>
      </c>
      <c r="AN33" s="11">
        <f>IF(AND(tblData[Date]&gt;StartDt2Italy,ISNUMBER(tblData[Italy])),(tblData[[#This Row],[Italy LogiP(t)]]-tblData[[#This Row],[Italy]])^2,"")</f>
        <v>192.69107615814929</v>
      </c>
      <c r="AO33" s="44">
        <f>IF(AND(tblData[Date]&gt;StartDt2Italy,ISNUMBER(tblData[Days'# Italy])),tblData[[#This Row],[Italy LogiP(t)]]/$AM$9,"")</f>
        <v>2.7926089535781093</v>
      </c>
      <c r="AP33" s="21">
        <f>IF(ISNUMBER(tblData[[#This Row],[Days'# US]]),betaUS/(deltaUS+betaPodeltaUS*EXP(-betaUS*tblData[Days'# US])),"")</f>
        <v>6.870703208204651E-2</v>
      </c>
      <c r="AQ33" s="11">
        <f>IF(ISNUMBER(tblData[US]),(tblData[[#This Row],[US LogiP(t)]]-tblData[US])^2,"")</f>
        <v>167.21833782212431</v>
      </c>
      <c r="AR33" s="21">
        <f>IF(ISNUMBER(tblData[[#This Row],[Days'# US]]),tblData[[#This Row],[US LogiP(t)]]/$AP$9,"")</f>
        <v>2.0869149978035724E-3</v>
      </c>
      <c r="AS33" s="21" t="str">
        <f>IF(tblData[Date]&gt;=StartDt2Korea,betaSKorea/(deltaSKorea+betaPodeltaSKorea*EXP(-betaSKorea*(tblData[Date]-StartDt2Korea))),"")</f>
        <v/>
      </c>
      <c r="AT33" s="21" t="str">
        <f>IF(AND(tblData[Date]&gt;=StartDt2Korea,ISNUMBER(tblData[SKorea])),(tblData[[#This Row],[SKorea LogiP(t)]]-tblData[[#This Row],[SKorea]])^2,"")</f>
        <v/>
      </c>
      <c r="AU33" s="21" t="str">
        <f>IF(tblData[Date]&gt;=StartDt2Korea,tblData[[#This Row],[SKorea LogiP(t)]]/$AS$9,"")</f>
        <v/>
      </c>
      <c r="AV33" s="11">
        <f>IF(ISNUMBER(tblData[Days'# UK]),betaUK/(deltaUK+betaPodeltaUK*EXP(-betaUK*tblData[Days'# UK])),"")</f>
        <v>0.96081184576352374</v>
      </c>
      <c r="AW33" s="21">
        <f>IF(ISNUMBER(tblData[UK]),(tblData[[#This Row],[UK LogiP(t)]]-tblData[[#This Row],[UK]])^2,"")</f>
        <v>64.628546179216102</v>
      </c>
      <c r="AX33" s="21">
        <f>IF(ISNUMBER(tblData[Days'# UK]),tblData[[#This Row],[UK LogiP(t)]]/$AV$9,"")</f>
        <v>0.14461346263749605</v>
      </c>
      <c r="AY33" s="11">
        <f>IF(ISNUMBER(tblData[Days'# China]),betaChina/(deltaChina+betaPodeltaChina*EXP(-betaChina*tblData[Days'# China])),"")</f>
        <v>58256.695314848504</v>
      </c>
      <c r="AZ33" s="11">
        <f>IF(ISNUMBER(tblData[China]),(tblData[[#This Row],[China LogiP(t)]]-tblData[[#This Row],[China]])^2,"")</f>
        <v>2684042.2413893407</v>
      </c>
      <c r="BA33" s="11">
        <f>tblData[[#This Row],[China LogiP(t)]]/$AY$9</f>
        <v>404.75045494453434</v>
      </c>
      <c r="BB33" s="11"/>
      <c r="BC33" s="11"/>
      <c r="BD33" s="11" t="str">
        <f>IF(ISNUMBER(tblData[[#This Row],[NSW Number of Tests]]),tblData[[#This Row],[NSW Number of Tests]]-BB32,"")</f>
        <v/>
      </c>
      <c r="BE33" s="11" t="str">
        <f>IF(ISNUMBER(tblData[[#This Row],[NSW Under Investigation'']]),tblData[[#This Row],[NSW Under Investigation'']]-BC32,"")</f>
        <v/>
      </c>
      <c r="BF33" s="11"/>
      <c r="BG33" s="11" t="str">
        <f>IF(ISNUMBER(tblData[[#This Row],[NSW Test Day Number]]),betaTest/(deltaTest+betaPodeltaTest*EXP(-betaTest*tblData[[#This Row],[NSW Test Day Number]])),"")</f>
        <v/>
      </c>
      <c r="BH33" s="11" t="str">
        <f>IF(ISNUMBER(tblData[[#This Row],[NSW Number of Tests]]),(tblData[[#This Row],[NSW Number of Tests]]-tblData[[#This Row],[NSW Test Logi]])^2,"")</f>
        <v/>
      </c>
      <c r="BJ33" s="27"/>
      <c r="DE33" s="26" t="s">
        <v>486</v>
      </c>
      <c r="DG33" s="27">
        <v>43852</v>
      </c>
      <c r="DI33" s="26">
        <v>3</v>
      </c>
      <c r="DJ33" s="23">
        <v>0.32325497596799352</v>
      </c>
      <c r="DK33" s="38">
        <v>3.2192747767709561E-5</v>
      </c>
      <c r="DL33" s="22">
        <v>8.8068098227311528E-2</v>
      </c>
      <c r="DM33" s="24">
        <v>10041.235942345667</v>
      </c>
      <c r="DN33" s="22">
        <v>0</v>
      </c>
      <c r="DO33" s="37">
        <v>3.6704794053753567</v>
      </c>
      <c r="DP33" s="24">
        <v>3.2192747767709563E-2</v>
      </c>
      <c r="DQ33" s="24"/>
      <c r="DR33" s="27">
        <v>43905</v>
      </c>
      <c r="DS33" s="27" t="s">
        <v>772</v>
      </c>
      <c r="DT33" s="19"/>
      <c r="DU33" s="19"/>
      <c r="DW33" s="26"/>
      <c r="DX33" s="18"/>
      <c r="DY33" s="26"/>
      <c r="DZ33" s="26"/>
      <c r="EA33" s="26"/>
      <c r="EB33" s="26"/>
      <c r="EC33" s="26"/>
      <c r="ED33" s="26"/>
      <c r="EE33" s="26"/>
      <c r="EF33" s="26"/>
      <c r="EG33" s="26"/>
      <c r="EH33" s="26"/>
    </row>
    <row r="34" spans="2:138" x14ac:dyDescent="0.25">
      <c r="B34" s="1">
        <v>43875</v>
      </c>
      <c r="C34">
        <v>0</v>
      </c>
      <c r="D34" s="26">
        <v>0</v>
      </c>
      <c r="E34">
        <v>4</v>
      </c>
      <c r="F34">
        <v>0</v>
      </c>
      <c r="G34">
        <v>5</v>
      </c>
      <c r="H34">
        <v>2</v>
      </c>
      <c r="I34">
        <v>0</v>
      </c>
      <c r="J34">
        <v>4</v>
      </c>
      <c r="K34">
        <v>0</v>
      </c>
      <c r="L34" s="12">
        <f>IF(ISNUMBER(tblData[[#This Row],[NSW]]),tblData[[#This Row],[New South Wales]]/$L$9,"")</f>
        <v>4.9504950495049505</v>
      </c>
      <c r="M34" s="26">
        <v>3</v>
      </c>
      <c r="N34" s="49">
        <f>IF(ISNUMBER(tblData[Italy]),tblData[Italy]/$N$9,"")</f>
        <v>0.49627791563275436</v>
      </c>
      <c r="O34">
        <v>13</v>
      </c>
      <c r="P34" s="49">
        <f>IF(ISNUMBER(tblData[US]),tblData[US]/$P$9,"")</f>
        <v>0.39486343900067283</v>
      </c>
      <c r="Q34">
        <v>28</v>
      </c>
      <c r="R34" s="19">
        <f>IF(ISNUMBER(tblData[SKorea]),tblData[SKorea]/$R$9,"")</f>
        <v>5.4474708171206228</v>
      </c>
      <c r="S34">
        <v>9</v>
      </c>
      <c r="T34" s="12">
        <f>IF(ISNUMBER(tblData[UK]),tblData[UK]/$T$9,"")</f>
        <v>1.3546056592414208</v>
      </c>
      <c r="U34">
        <v>66358</v>
      </c>
      <c r="V34" s="21">
        <f>IF(ISNUMBER(tblData[China]),tblData[China]/$V$9,"")</f>
        <v>461.03594692512047</v>
      </c>
      <c r="W34" s="26">
        <f>IF(tblData[[#This Row],[Date]]&lt;ItalyStart,"",tblData[[#This Row],[Date]]-ItalyStart)</f>
        <v>15</v>
      </c>
      <c r="X34" s="26">
        <f t="shared" si="5"/>
        <v>5</v>
      </c>
      <c r="Y34" s="26">
        <f t="shared" si="3"/>
        <v>23</v>
      </c>
      <c r="Z34" s="26" t="str">
        <f>IF(tblData[[#This Row],[Date]]&lt;StartDt2Korea,"",tblData[[#This Row],[Date]]-StartDt2Korea)</f>
        <v/>
      </c>
      <c r="AA34" s="26">
        <f>IF(tblData[[#This Row],[Date]]&lt;UKStart,"",tblData[[#This Row],[Date]]-UKStart)</f>
        <v>15</v>
      </c>
      <c r="AB34">
        <f>IF(tblData[Date]&gt;=StartDt2Au,tblData[Date]-StartDt2Au,"")</f>
        <v>20</v>
      </c>
      <c r="AC34" s="26">
        <f>IF(tblData[New South Wales]&gt;0,SUM(tblData[[#This Row],[Australian Capital Territory]:[Western Australia]]),"")</f>
        <v>15</v>
      </c>
      <c r="AD34" s="12">
        <f>IF(ISNUMBER(tblData[Au]),tblData[Au]/$AA$9,"")</f>
        <v>5.9138937076170954</v>
      </c>
      <c r="AE34" s="19">
        <f>IF(ISNUMBER(tblData[[#This Row],[Day'# Aust]]),betaAu/(deltaAu+betaPodeltaAu*EXP(-betaAu*tblData[[#This Row],[Day'# Aust]])),"")</f>
        <v>0.63098681810435686</v>
      </c>
      <c r="AF34" s="72">
        <f>IF(ISNUMBER(tblData[Day'# Aust]),tblData[Au LogiP(t)]/$AD$9,"")</f>
        <v>0.24877259821177924</v>
      </c>
      <c r="AG34" s="11">
        <f>IF(AND(tblData[Date]&gt;=StartDt2Au,ISNUMBER(tblData[NSW])),(tblData[[#This Row],[Au LogiP(t)]]-tblData[[#This Row],[Au]])^2,"")</f>
        <v>206.46853982149074</v>
      </c>
      <c r="AH34">
        <f>IF(tblData[Date]&gt;StartDt2NSW,tblData[Date]-StartDt2NSW,"")</f>
        <v>20</v>
      </c>
      <c r="AI34">
        <f t="shared" si="4"/>
        <v>4</v>
      </c>
      <c r="AJ34" s="11">
        <f>IF(tblData[Date]&gt;StartDt2NSW,betaNSW/(deltaNSW+betaPodeltaNSW*EXP(-betaNSW*tblData[[#This Row],[Day '# NSW]])),"")</f>
        <v>0.28302962114520502</v>
      </c>
      <c r="AK34" s="12">
        <f>IF(AND(ISNUMBER(tblData[NSW]),tblData[Date]&gt;StartDt2NSW),(tblData[[#This Row],[NSW LogiP(t)]]-tblData[[#This Row],[NSW]])^2,"")</f>
        <v>13.815868797283958</v>
      </c>
      <c r="AL34" s="12">
        <f>IF(AND(tblData[Date]&gt;StartDt2NSW,ISNUMBER(tblData[Day'# Aust])),tblData[NSW LogiP(t)]/$AG$9,"")</f>
        <v>0.35028418458564975</v>
      </c>
      <c r="AM34" s="11">
        <f>IF(AND(tblData[Date]&gt;StartDt2Italy,ISNUMBER(tblData[Days'# Italy])),betaItaly/(deltaItaly+betaPodeltaItaly*EXP(-betaItaly*tblData[Days'# Italy])),"")</f>
        <v>21.896540499233446</v>
      </c>
      <c r="AN34" s="11">
        <f>IF(AND(tblData[Date]&gt;StartDt2Italy,ISNUMBER(tblData[Italy])),(tblData[[#This Row],[Italy LogiP(t)]]-tblData[[#This Row],[Italy]])^2,"")</f>
        <v>357.07924283916981</v>
      </c>
      <c r="AO34" s="44">
        <f>IF(AND(tblData[Date]&gt;StartDt2Italy,ISNUMBER(tblData[Days'# Italy])),tblData[[#This Row],[Italy LogiP(t)]]/$AM$9,"")</f>
        <v>3.6222564928425882</v>
      </c>
      <c r="AP34" s="21">
        <f>IF(ISNUMBER(tblData[[#This Row],[Days'# US]]),betaUS/(deltaUS+betaPodeltaUS*EXP(-betaUS*tblData[Days'# US])),"")</f>
        <v>9.7275469481861443E-2</v>
      </c>
      <c r="AQ34" s="11">
        <f>IF(ISNUMBER(tblData[US]),(tblData[[#This Row],[US LogiP(t)]]-tblData[US])^2,"")</f>
        <v>166.48030031043453</v>
      </c>
      <c r="AR34" s="21">
        <f>IF(ISNUMBER(tblData[[#This Row],[Days'# US]]),tblData[[#This Row],[US LogiP(t)]]/$AP$9,"")</f>
        <v>2.9546558776932931E-3</v>
      </c>
      <c r="AS34" s="21" t="str">
        <f>IF(tblData[Date]&gt;=StartDt2Korea,betaSKorea/(deltaSKorea+betaPodeltaSKorea*EXP(-betaSKorea*(tblData[Date]-StartDt2Korea))),"")</f>
        <v/>
      </c>
      <c r="AT34" s="21" t="str">
        <f>IF(AND(tblData[Date]&gt;=StartDt2Korea,ISNUMBER(tblData[SKorea])),(tblData[[#This Row],[SKorea LogiP(t)]]-tblData[[#This Row],[SKorea]])^2,"")</f>
        <v/>
      </c>
      <c r="AU34" s="21" t="str">
        <f>IF(tblData[Date]&gt;=StartDt2Korea,tblData[[#This Row],[SKorea LogiP(t)]]/$AS$9,"")</f>
        <v/>
      </c>
      <c r="AV34" s="11">
        <f>IF(ISNUMBER(tblData[Days'# UK]),betaUK/(deltaUK+betaPodeltaUK*EXP(-betaUK*tblData[Days'# UK])),"")</f>
        <v>1.2099978228843062</v>
      </c>
      <c r="AW34" s="21">
        <f>IF(ISNUMBER(tblData[UK]),(tblData[[#This Row],[UK LogiP(t)]]-tblData[[#This Row],[UK]])^2,"")</f>
        <v>60.68413391946725</v>
      </c>
      <c r="AX34" s="21">
        <f>IF(ISNUMBER(tblData[Days'# UK]),tblData[[#This Row],[UK LogiP(t)]]/$AV$9,"")</f>
        <v>0.18211887761654216</v>
      </c>
      <c r="AY34" s="11">
        <f>IF(ISNUMBER(tblData[Days'# China]),betaChina/(deltaChina+betaPodeltaChina*EXP(-betaChina*tblData[Days'# China])),"")</f>
        <v>61702.491312216567</v>
      </c>
      <c r="AZ34" s="11">
        <f>IF(ISNUMBER(tblData[China]),(tblData[[#This Row],[China LogiP(t)]]-tblData[[#This Row],[China]])^2,"")</f>
        <v>21673761.14202702</v>
      </c>
      <c r="BA34" s="11">
        <f>tblData[[#This Row],[China LogiP(t)]]/$AY$9</f>
        <v>428.69083621819203</v>
      </c>
      <c r="BB34" s="11"/>
      <c r="BC34" s="11"/>
      <c r="BD34" s="11" t="str">
        <f>IF(ISNUMBER(tblData[[#This Row],[NSW Number of Tests]]),tblData[[#This Row],[NSW Number of Tests]]-BB33,"")</f>
        <v/>
      </c>
      <c r="BE34" s="11" t="str">
        <f>IF(ISNUMBER(tblData[[#This Row],[NSW Under Investigation'']]),tblData[[#This Row],[NSW Under Investigation'']]-BC33,"")</f>
        <v/>
      </c>
      <c r="BF34" s="11"/>
      <c r="BG34" s="11" t="str">
        <f>IF(ISNUMBER(tblData[[#This Row],[NSW Test Day Number]]),betaTest/(deltaTest+betaPodeltaTest*EXP(-betaTest*tblData[[#This Row],[NSW Test Day Number]])),"")</f>
        <v/>
      </c>
      <c r="BH34" s="11" t="str">
        <f>IF(ISNUMBER(tblData[[#This Row],[NSW Number of Tests]]),(tblData[[#This Row],[NSW Number of Tests]]-tblData[[#This Row],[NSW Test Logi]])^2,"")</f>
        <v/>
      </c>
      <c r="BJ34" s="27"/>
      <c r="DE34" s="26" t="s">
        <v>486</v>
      </c>
      <c r="DG34" s="27">
        <v>43852</v>
      </c>
      <c r="DI34" s="26">
        <v>3</v>
      </c>
      <c r="DJ34" s="23">
        <v>0.36149962702652205</v>
      </c>
      <c r="DK34" s="25">
        <v>4.559608796995672E-5</v>
      </c>
      <c r="DL34" s="22">
        <v>2.9311946911653858E-2</v>
      </c>
      <c r="DM34" s="26">
        <v>7928.3035699184175</v>
      </c>
      <c r="DN34" s="19">
        <v>80.421636650241254</v>
      </c>
      <c r="DO34" s="37">
        <v>12.332796985678472</v>
      </c>
      <c r="DP34" s="24">
        <v>4.559608796995672E-2</v>
      </c>
      <c r="DQ34" s="12"/>
      <c r="DR34" s="27">
        <v>43907</v>
      </c>
      <c r="DS34" s="27" t="s">
        <v>974</v>
      </c>
      <c r="DT34" s="19">
        <v>4736</v>
      </c>
      <c r="DU34" s="19" t="s">
        <v>975</v>
      </c>
      <c r="DV34" s="27">
        <v>43906</v>
      </c>
      <c r="DW34" s="26">
        <v>38</v>
      </c>
      <c r="DX34" s="18" t="s">
        <v>976</v>
      </c>
      <c r="DY34" s="26"/>
      <c r="DZ34" s="26" t="s">
        <v>977</v>
      </c>
      <c r="EA34" s="26"/>
      <c r="EB34" s="26"/>
      <c r="EC34" s="26"/>
      <c r="ED34" s="26"/>
      <c r="EE34" s="26"/>
      <c r="EF34" s="26"/>
      <c r="EG34" s="26"/>
      <c r="EH34" s="26"/>
    </row>
    <row r="35" spans="2:138" x14ac:dyDescent="0.25">
      <c r="B35" s="1">
        <v>43876</v>
      </c>
      <c r="C35">
        <v>0</v>
      </c>
      <c r="D35" s="26">
        <v>0</v>
      </c>
      <c r="E35">
        <v>4</v>
      </c>
      <c r="F35">
        <v>0</v>
      </c>
      <c r="G35">
        <v>5</v>
      </c>
      <c r="H35">
        <v>2</v>
      </c>
      <c r="I35">
        <v>0</v>
      </c>
      <c r="J35">
        <v>4</v>
      </c>
      <c r="K35">
        <v>0</v>
      </c>
      <c r="L35" s="12">
        <f>IF(ISNUMBER(tblData[[#This Row],[NSW]]),tblData[[#This Row],[New South Wales]]/$L$9,"")</f>
        <v>4.9504950495049505</v>
      </c>
      <c r="M35" s="26">
        <v>3</v>
      </c>
      <c r="N35" s="49">
        <f>IF(ISNUMBER(tblData[Italy]),tblData[Italy]/$N$9,"")</f>
        <v>0.49627791563275436</v>
      </c>
      <c r="O35">
        <v>13</v>
      </c>
      <c r="P35" s="49">
        <f>IF(ISNUMBER(tblData[US]),tblData[US]/$P$9,"")</f>
        <v>0.39486343900067283</v>
      </c>
      <c r="Q35">
        <v>28</v>
      </c>
      <c r="R35" s="19">
        <f>IF(ISNUMBER(tblData[SKorea]),tblData[SKorea]/$R$9,"")</f>
        <v>5.4474708171206228</v>
      </c>
      <c r="S35">
        <v>9</v>
      </c>
      <c r="T35" s="12">
        <f>IF(ISNUMBER(tblData[UK]),tblData[UK]/$T$9,"")</f>
        <v>1.3546056592414208</v>
      </c>
      <c r="U35">
        <v>68413</v>
      </c>
      <c r="V35" s="21">
        <f>IF(ISNUMBER(tblData[China]),tblData[China]/$V$9,"")</f>
        <v>475.31348499032924</v>
      </c>
      <c r="W35" s="26">
        <f>IF(tblData[[#This Row],[Date]]&lt;ItalyStart,"",tblData[[#This Row],[Date]]-ItalyStart)</f>
        <v>16</v>
      </c>
      <c r="X35" s="26">
        <f t="shared" si="5"/>
        <v>6</v>
      </c>
      <c r="Y35" s="26">
        <f t="shared" si="3"/>
        <v>24</v>
      </c>
      <c r="Z35" s="26" t="str">
        <f>IF(tblData[[#This Row],[Date]]&lt;StartDt2Korea,"",tblData[[#This Row],[Date]]-StartDt2Korea)</f>
        <v/>
      </c>
      <c r="AA35" s="26">
        <f>IF(tblData[[#This Row],[Date]]&lt;UKStart,"",tblData[[#This Row],[Date]]-UKStart)</f>
        <v>16</v>
      </c>
      <c r="AB35">
        <f>IF(tblData[Date]&gt;=StartDt2Au,tblData[Date]-StartDt2Au,"")</f>
        <v>21</v>
      </c>
      <c r="AC35" s="26">
        <f>IF(tblData[New South Wales]&gt;0,SUM(tblData[[#This Row],[Australian Capital Territory]:[Western Australia]]),"")</f>
        <v>15</v>
      </c>
      <c r="AD35" s="12">
        <f>IF(ISNUMBER(tblData[Au]),tblData[Au]/$AA$9,"")</f>
        <v>5.9138937076170954</v>
      </c>
      <c r="AE35" s="19">
        <f>IF(ISNUMBER(tblData[[#This Row],[Day'# Aust]]),betaAu/(deltaAu+betaPodeltaAu*EXP(-betaAu*tblData[[#This Row],[Day'# Aust]])),"")</f>
        <v>0.77570654460349209</v>
      </c>
      <c r="AF35" s="72">
        <f>IF(ISNUMBER(tblData[Day'# Aust]),tblData[Au LogiP(t)]/$AD$9,"")</f>
        <v>0.30582973687253279</v>
      </c>
      <c r="AG35" s="11">
        <f>IF(AND(tblData[Date]&gt;=StartDt2Au,ISNUMBER(tblData[NSW])),(tblData[[#This Row],[Au LogiP(t)]]-tblData[[#This Row],[Au]])^2,"")</f>
        <v>202.33052430523591</v>
      </c>
      <c r="AH35">
        <f>IF(tblData[Date]&gt;StartDt2NSW,tblData[Date]-StartDt2NSW,"")</f>
        <v>21</v>
      </c>
      <c r="AI35">
        <f t="shared" si="4"/>
        <v>4</v>
      </c>
      <c r="AJ35" s="11">
        <f>IF(tblData[Date]&gt;StartDt2NSW,betaNSW/(deltaNSW+betaPodeltaNSW*EXP(-betaNSW*tblData[[#This Row],[Day '# NSW]])),"")</f>
        <v>0.34891676481083217</v>
      </c>
      <c r="AK35" s="12">
        <f>IF(AND(ISNUMBER(tblData[NSW]),tblData[Date]&gt;StartDt2NSW),(tblData[[#This Row],[NSW LogiP(t)]]-tblData[[#This Row],[NSW]])^2,"")</f>
        <v>13.330408790279401</v>
      </c>
      <c r="AL35" s="12">
        <f>IF(AND(tblData[Date]&gt;StartDt2NSW,ISNUMBER(tblData[Day'# Aust])),tblData[NSW LogiP(t)]/$AG$9,"")</f>
        <v>0.43182767922132692</v>
      </c>
      <c r="AM35" s="11">
        <f>IF(AND(tblData[Date]&gt;StartDt2Italy,ISNUMBER(tblData[Days'# Italy])),betaItaly/(deltaItaly+betaPodeltaItaly*EXP(-betaItaly*tblData[Days'# Italy])),"")</f>
        <v>28.400951827249127</v>
      </c>
      <c r="AN35" s="11">
        <f>IF(AND(tblData[Date]&gt;StartDt2Italy,ISNUMBER(tblData[Italy])),(tblData[[#This Row],[Italy LogiP(t)]]-tblData[[#This Row],[Italy]])^2,"")</f>
        <v>645.20835373023078</v>
      </c>
      <c r="AO35" s="44">
        <f>IF(AND(tblData[Date]&gt;StartDt2Italy,ISNUMBER(tblData[Days'# Italy])),tblData[[#This Row],[Italy LogiP(t)]]/$AM$9,"")</f>
        <v>4.6982550582711546</v>
      </c>
      <c r="AP35" s="21">
        <f>IF(ISNUMBER(tblData[[#This Row],[Days'# US]]),betaUS/(deltaUS+betaPodeltaUS*EXP(-betaUS*tblData[Days'# US])),"")</f>
        <v>0.13772268537656543</v>
      </c>
      <c r="AQ35" s="11">
        <f>IF(ISNUMBER(tblData[US]),(tblData[[#This Row],[US LogiP(t)]]-tblData[US])^2,"")</f>
        <v>165.43817771827662</v>
      </c>
      <c r="AR35" s="21">
        <f>IF(ISNUMBER(tblData[[#This Row],[Days'# US]]),tblData[[#This Row],[US LogiP(t)]]/$AP$9,"")</f>
        <v>4.1832040904767921E-3</v>
      </c>
      <c r="AS35" s="21" t="str">
        <f>IF(tblData[Date]&gt;=StartDt2Korea,betaSKorea/(deltaSKorea+betaPodeltaSKorea*EXP(-betaSKorea*(tblData[Date]-StartDt2Korea))),"")</f>
        <v/>
      </c>
      <c r="AT35" s="21" t="str">
        <f>IF(AND(tblData[Date]&gt;=StartDt2Korea,ISNUMBER(tblData[SKorea])),(tblData[[#This Row],[SKorea LogiP(t)]]-tblData[[#This Row],[SKorea]])^2,"")</f>
        <v/>
      </c>
      <c r="AU35" s="21" t="str">
        <f>IF(tblData[Date]&gt;=StartDt2Korea,tblData[[#This Row],[SKorea LogiP(t)]]/$AS$9,"")</f>
        <v/>
      </c>
      <c r="AV35" s="11">
        <f>IF(ISNUMBER(tblData[Days'# UK]),betaUK/(deltaUK+betaPodeltaUK*EXP(-betaUK*tblData[Days'# UK])),"")</f>
        <v>1.5238100335981717</v>
      </c>
      <c r="AW35" s="21">
        <f>IF(ISNUMBER(tblData[UK]),(tblData[[#This Row],[UK LogiP(t)]]-tblData[[#This Row],[UK]])^2,"")</f>
        <v>55.893416413727373</v>
      </c>
      <c r="AX35" s="21">
        <f>IF(ISNUMBER(tblData[Days'# UK]),tblData[[#This Row],[UK LogiP(t)]]/$AV$9,"")</f>
        <v>0.22935129945788255</v>
      </c>
      <c r="AY35" s="11">
        <f>IF(ISNUMBER(tblData[Days'# China]),betaChina/(deltaChina+betaPodeltaChina*EXP(-betaChina*tblData[Days'# China])),"")</f>
        <v>64770.417713585921</v>
      </c>
      <c r="AZ35" s="11">
        <f>IF(ISNUMBER(tblData[China]),(tblData[[#This Row],[China LogiP(t)]]-tblData[[#This Row],[China]])^2,"")</f>
        <v>13268405.71329762</v>
      </c>
      <c r="BA35" s="11">
        <f>tblData[[#This Row],[China LogiP(t)]]/$AY$9</f>
        <v>450.00589022150581</v>
      </c>
      <c r="BB35" s="11"/>
      <c r="BC35" s="11"/>
      <c r="BD35" s="11" t="str">
        <f>IF(ISNUMBER(tblData[[#This Row],[NSW Number of Tests]]),tblData[[#This Row],[NSW Number of Tests]]-BB34,"")</f>
        <v/>
      </c>
      <c r="BE35" s="11" t="str">
        <f>IF(ISNUMBER(tblData[[#This Row],[NSW Under Investigation'']]),tblData[[#This Row],[NSW Under Investigation'']]-BC34,"")</f>
        <v/>
      </c>
      <c r="BF35" s="11"/>
      <c r="BG35" s="11" t="str">
        <f>IF(ISNUMBER(tblData[[#This Row],[NSW Test Day Number]]),betaTest/(deltaTest+betaPodeltaTest*EXP(-betaTest*tblData[[#This Row],[NSW Test Day Number]])),"")</f>
        <v/>
      </c>
      <c r="BH35" s="11" t="str">
        <f>IF(ISNUMBER(tblData[[#This Row],[NSW Number of Tests]]),(tblData[[#This Row],[NSW Number of Tests]]-tblData[[#This Row],[NSW Test Logi]])^2,"")</f>
        <v/>
      </c>
      <c r="BJ35" s="27"/>
      <c r="DE35" s="26" t="s">
        <v>486</v>
      </c>
      <c r="DG35" s="27">
        <v>43852</v>
      </c>
      <c r="DI35" s="26">
        <v>3</v>
      </c>
      <c r="DJ35" s="23">
        <v>0.27693699134998795</v>
      </c>
      <c r="DK35" s="25">
        <v>9.9999999999976868E-11</v>
      </c>
      <c r="DL35" s="22">
        <v>0.29473541562593031</v>
      </c>
      <c r="DM35" s="26">
        <v>2769369913.5005202</v>
      </c>
      <c r="DN35" s="19">
        <v>50.62824539226316</v>
      </c>
      <c r="DO35" s="37">
        <v>0.93961219669642571</v>
      </c>
      <c r="DP35" s="24">
        <v>9.9999999999976874E-8</v>
      </c>
      <c r="DQ35" s="12"/>
      <c r="DR35" s="27">
        <v>43907</v>
      </c>
      <c r="DS35" s="27" t="s">
        <v>1013</v>
      </c>
      <c r="DT35" s="19">
        <v>6421</v>
      </c>
      <c r="DU35" s="19" t="s">
        <v>1014</v>
      </c>
      <c r="DV35" s="27">
        <v>43907</v>
      </c>
      <c r="DW35" s="26">
        <v>38</v>
      </c>
      <c r="DX35" s="18" t="s">
        <v>1015</v>
      </c>
      <c r="DY35" s="26"/>
      <c r="DZ35" s="26" t="s">
        <v>1016</v>
      </c>
      <c r="EA35" s="26" t="s">
        <v>982</v>
      </c>
      <c r="EB35" s="26" t="s">
        <v>1017</v>
      </c>
      <c r="EC35" s="26"/>
      <c r="ED35" s="26"/>
      <c r="EE35" s="26"/>
      <c r="EF35" s="26"/>
      <c r="EG35" s="26"/>
      <c r="EH35" s="26"/>
    </row>
    <row r="36" spans="2:138" x14ac:dyDescent="0.25">
      <c r="B36" s="1">
        <v>43877</v>
      </c>
      <c r="C36">
        <v>0</v>
      </c>
      <c r="D36" s="26">
        <v>0</v>
      </c>
      <c r="E36">
        <v>4</v>
      </c>
      <c r="F36">
        <v>0</v>
      </c>
      <c r="G36">
        <v>5</v>
      </c>
      <c r="H36">
        <v>2</v>
      </c>
      <c r="I36">
        <v>0</v>
      </c>
      <c r="J36">
        <v>4</v>
      </c>
      <c r="K36">
        <v>0</v>
      </c>
      <c r="L36" s="12">
        <f>IF(ISNUMBER(tblData[[#This Row],[NSW]]),tblData[[#This Row],[New South Wales]]/$L$9,"")</f>
        <v>4.9504950495049505</v>
      </c>
      <c r="M36" s="26">
        <v>3</v>
      </c>
      <c r="N36" s="49">
        <f>IF(ISNUMBER(tblData[Italy]),tblData[Italy]/$N$9,"")</f>
        <v>0.49627791563275436</v>
      </c>
      <c r="O36">
        <v>13</v>
      </c>
      <c r="P36" s="49">
        <f>IF(ISNUMBER(tblData[US]),tblData[US]/$P$9,"")</f>
        <v>0.39486343900067283</v>
      </c>
      <c r="Q36">
        <v>29</v>
      </c>
      <c r="R36" s="19">
        <f>IF(ISNUMBER(tblData[SKorea]),tblData[SKorea]/$R$9,"")</f>
        <v>5.6420233463035023</v>
      </c>
      <c r="S36">
        <v>9</v>
      </c>
      <c r="T36" s="12">
        <f>IF(ISNUMBER(tblData[UK]),tblData[UK]/$T$9,"")</f>
        <v>1.3546056592414208</v>
      </c>
      <c r="U36">
        <v>70513</v>
      </c>
      <c r="V36" s="21">
        <f>IF(ISNUMBER(tblData[China]),tblData[China]/$V$9,"")</f>
        <v>489.90366987448419</v>
      </c>
      <c r="W36" s="26">
        <f>IF(tblData[[#This Row],[Date]]&lt;ItalyStart,"",tblData[[#This Row],[Date]]-ItalyStart)</f>
        <v>17</v>
      </c>
      <c r="X36" s="26">
        <f t="shared" si="5"/>
        <v>7</v>
      </c>
      <c r="Y36" s="26">
        <f t="shared" si="3"/>
        <v>25</v>
      </c>
      <c r="Z36" s="26" t="str">
        <f>IF(tblData[[#This Row],[Date]]&lt;StartDt2Korea,"",tblData[[#This Row],[Date]]-StartDt2Korea)</f>
        <v/>
      </c>
      <c r="AA36" s="26">
        <f>IF(tblData[[#This Row],[Date]]&lt;UKStart,"",tblData[[#This Row],[Date]]-UKStart)</f>
        <v>17</v>
      </c>
      <c r="AB36">
        <f>IF(tblData[Date]&gt;=StartDt2Au,tblData[Date]-StartDt2Au,"")</f>
        <v>22</v>
      </c>
      <c r="AC36" s="26">
        <f>IF(tblData[New South Wales]&gt;0,SUM(tblData[[#This Row],[Australian Capital Territory]:[Western Australia]]),"")</f>
        <v>15</v>
      </c>
      <c r="AD36" s="12">
        <f>IF(ISNUMBER(tblData[Au]),tblData[Au]/$AA$9,"")</f>
        <v>5.9138937076170954</v>
      </c>
      <c r="AE36" s="19">
        <f>IF(ISNUMBER(tblData[[#This Row],[Day'# Aust]]),betaAu/(deltaAu+betaPodeltaAu*EXP(-betaAu*tblData[[#This Row],[Day'# Aust]])),"")</f>
        <v>0.95361840529678032</v>
      </c>
      <c r="AF36" s="72">
        <f>IF(ISNUMBER(tblData[Day'# Aust]),tblData[Au LogiP(t)]/$AD$9,"")</f>
        <v>0.37597319243683186</v>
      </c>
      <c r="AG36" s="11">
        <f>IF(AND(tblData[Date]&gt;=StartDt2Au,ISNUMBER(tblData[NSW])),(tblData[[#This Row],[Au LogiP(t)]]-tblData[[#This Row],[Au]])^2,"")</f>
        <v>197.30083590401739</v>
      </c>
      <c r="AH36">
        <f>IF(tblData[Date]&gt;StartDt2NSW,tblData[Date]-StartDt2NSW,"")</f>
        <v>22</v>
      </c>
      <c r="AI36">
        <f t="shared" si="4"/>
        <v>4</v>
      </c>
      <c r="AJ36" s="11">
        <f>IF(tblData[Date]&gt;StartDt2NSW,betaNSW/(deltaNSW+betaPodeltaNSW*EXP(-betaNSW*tblData[[#This Row],[Day '# NSW]])),"")</f>
        <v>0.43013951291434216</v>
      </c>
      <c r="AK36" s="12">
        <f>IF(AND(ISNUMBER(tblData[NSW]),tblData[Date]&gt;StartDt2NSW),(tblData[[#This Row],[NSW LogiP(t)]]-tblData[[#This Row],[NSW]])^2,"")</f>
        <v>12.74390389725545</v>
      </c>
      <c r="AL36" s="12">
        <f>IF(AND(tblData[Date]&gt;StartDt2NSW,ISNUMBER(tblData[Day'# Aust])),tblData[NSW LogiP(t)]/$AG$9,"")</f>
        <v>0.53235088231973038</v>
      </c>
      <c r="AM36" s="11">
        <f>IF(AND(tblData[Date]&gt;StartDt2Italy,ISNUMBER(tblData[Days'# Italy])),betaItaly/(deltaItaly+betaPodeltaItaly*EXP(-betaItaly*tblData[Days'# Italy])),"")</f>
        <v>36.836226440510629</v>
      </c>
      <c r="AN36" s="11">
        <f>IF(AND(tblData[Date]&gt;StartDt2Italy,ISNUMBER(tblData[Italy])),(tblData[[#This Row],[Italy LogiP(t)]]-tblData[[#This Row],[Italy]])^2,"")</f>
        <v>1144.8902197335105</v>
      </c>
      <c r="AO36" s="44">
        <f>IF(AND(tblData[Date]&gt;StartDt2Italy,ISNUMBER(tblData[Days'# Italy])),tblData[[#This Row],[Italy LogiP(t)]]/$AM$9,"")</f>
        <v>6.0936685592242563</v>
      </c>
      <c r="AP36" s="21">
        <f>IF(ISNUMBER(tblData[[#This Row],[Days'# US]]),betaUS/(deltaUS+betaPodeltaUS*EXP(-betaUS*tblData[Days'# US])),"")</f>
        <v>0.19498788510038251</v>
      </c>
      <c r="AQ36" s="11">
        <f>IF(ISNUMBER(tblData[US]),(tblData[[#This Row],[US LogiP(t)]]-tblData[US])^2,"")</f>
        <v>163.96833526272599</v>
      </c>
      <c r="AR36" s="21">
        <f>IF(ISNUMBER(tblData[[#This Row],[Days'# US]]),tblData[[#This Row],[US LogiP(t)]]/$AP$9,"")</f>
        <v>5.9225836057080839E-3</v>
      </c>
      <c r="AS36" s="21" t="str">
        <f>IF(tblData[Date]&gt;=StartDt2Korea,betaSKorea/(deltaSKorea+betaPodeltaSKorea*EXP(-betaSKorea*(tblData[Date]-StartDt2Korea))),"")</f>
        <v/>
      </c>
      <c r="AT36" s="21" t="str">
        <f>IF(AND(tblData[Date]&gt;=StartDt2Korea,ISNUMBER(tblData[SKorea])),(tblData[[#This Row],[SKorea LogiP(t)]]-tblData[[#This Row],[SKorea]])^2,"")</f>
        <v/>
      </c>
      <c r="AU36" s="21" t="str">
        <f>IF(tblData[Date]&gt;=StartDt2Korea,tblData[[#This Row],[SKorea LogiP(t)]]/$AS$9,"")</f>
        <v/>
      </c>
      <c r="AV36" s="11">
        <f>IF(ISNUMBER(tblData[Days'# UK]),betaUK/(deltaUK+betaPodeltaUK*EXP(-betaUK*tblData[Days'# UK])),"")</f>
        <v>1.9190092525455278</v>
      </c>
      <c r="AW36" s="21">
        <f>IF(ISNUMBER(tblData[UK]),(tblData[[#This Row],[UK LogiP(t)]]-tblData[[#This Row],[UK]])^2,"")</f>
        <v>50.140429965535851</v>
      </c>
      <c r="AX36" s="21">
        <f>IF(ISNUMBER(tblData[Days'# UK]),tblData[[#This Row],[UK LogiP(t)]]/$AV$9,"")</f>
        <v>0.28883342151498009</v>
      </c>
      <c r="AY36" s="11">
        <f>IF(ISNUMBER(tblData[Days'# China]),betaChina/(deltaChina+betaPodeltaChina*EXP(-betaChina*tblData[Days'# China])),"")</f>
        <v>67456.314816536251</v>
      </c>
      <c r="AZ36" s="11">
        <f>IF(ISNUMBER(tblData[China]),(tblData[[#This Row],[China LogiP(t)]]-tblData[[#This Row],[China]])^2,"")</f>
        <v>9343324.3108068146</v>
      </c>
      <c r="BA36" s="11">
        <f>tblData[[#This Row],[China LogiP(t)]]/$AY$9</f>
        <v>468.66671656048743</v>
      </c>
      <c r="BB36" s="11"/>
      <c r="BC36" s="11"/>
      <c r="BD36" s="11" t="str">
        <f>IF(ISNUMBER(tblData[[#This Row],[NSW Number of Tests]]),tblData[[#This Row],[NSW Number of Tests]]-BB35,"")</f>
        <v/>
      </c>
      <c r="BE36" s="11" t="str">
        <f>IF(ISNUMBER(tblData[[#This Row],[NSW Under Investigation'']]),tblData[[#This Row],[NSW Under Investigation'']]-BC35,"")</f>
        <v/>
      </c>
      <c r="BF36" s="11"/>
      <c r="BG36" s="11" t="str">
        <f>IF(ISNUMBER(tblData[[#This Row],[NSW Test Day Number]]),betaTest/(deltaTest+betaPodeltaTest*EXP(-betaTest*tblData[[#This Row],[NSW Test Day Number]])),"")</f>
        <v/>
      </c>
      <c r="BH36" s="11" t="str">
        <f>IF(ISNUMBER(tblData[[#This Row],[NSW Number of Tests]]),(tblData[[#This Row],[NSW Number of Tests]]-tblData[[#This Row],[NSW Test Logi]])^2,"")</f>
        <v/>
      </c>
      <c r="BJ36" s="27"/>
      <c r="DE36" t="s">
        <v>486</v>
      </c>
      <c r="DG36" s="27">
        <v>43852</v>
      </c>
      <c r="DI36">
        <v>3</v>
      </c>
      <c r="DJ36" s="23">
        <v>0.26960395783553237</v>
      </c>
      <c r="DK36" s="25">
        <v>9.0234118240884196E-8</v>
      </c>
      <c r="DL36" s="22">
        <v>0.28960505152543209</v>
      </c>
      <c r="DM36" s="24">
        <v>2987827.2552718031</v>
      </c>
      <c r="DN36" s="22">
        <v>77.269010204642242</v>
      </c>
      <c r="DO36" s="37">
        <v>0.9309365644114127</v>
      </c>
      <c r="DP36" s="24">
        <v>9.0234118240884196E-5</v>
      </c>
      <c r="DQ36" s="24"/>
      <c r="DR36" s="27">
        <v>43907</v>
      </c>
      <c r="DS36" s="27" t="s">
        <v>1029</v>
      </c>
      <c r="DT36" s="26">
        <v>7786</v>
      </c>
      <c r="DU36" s="26" t="s">
        <v>1030</v>
      </c>
      <c r="DV36" s="27">
        <v>43907</v>
      </c>
      <c r="DW36" s="19">
        <v>39</v>
      </c>
      <c r="DX36" s="27" t="s">
        <v>1031</v>
      </c>
      <c r="DZ36" t="s">
        <v>1032</v>
      </c>
      <c r="EA36" s="33" t="s">
        <v>982</v>
      </c>
      <c r="EB36" s="18" t="s">
        <v>1033</v>
      </c>
      <c r="EC36" s="21">
        <v>236.49282585071069</v>
      </c>
      <c r="ED36" s="27">
        <v>43907</v>
      </c>
      <c r="EE36" s="11">
        <v>-2</v>
      </c>
      <c r="EF36" s="27">
        <v>43909</v>
      </c>
      <c r="EG36" s="11">
        <v>0</v>
      </c>
    </row>
    <row r="37" spans="2:138" x14ac:dyDescent="0.25">
      <c r="B37" s="1">
        <v>43878</v>
      </c>
      <c r="C37">
        <v>0</v>
      </c>
      <c r="D37" s="26">
        <v>0</v>
      </c>
      <c r="E37">
        <v>4</v>
      </c>
      <c r="F37">
        <v>0</v>
      </c>
      <c r="G37">
        <v>5</v>
      </c>
      <c r="H37">
        <v>2</v>
      </c>
      <c r="I37">
        <v>0</v>
      </c>
      <c r="J37">
        <v>4</v>
      </c>
      <c r="K37">
        <v>0</v>
      </c>
      <c r="L37" s="12">
        <f>IF(ISNUMBER(tblData[[#This Row],[NSW]]),tblData[[#This Row],[New South Wales]]/$L$9,"")</f>
        <v>4.9504950495049505</v>
      </c>
      <c r="M37" s="26">
        <v>3</v>
      </c>
      <c r="N37" s="49">
        <f>IF(ISNUMBER(tblData[Italy]),tblData[Italy]/$N$9,"")</f>
        <v>0.49627791563275436</v>
      </c>
      <c r="O37">
        <v>13</v>
      </c>
      <c r="P37" s="49">
        <f>IF(ISNUMBER(tblData[US]),tblData[US]/$P$9,"")</f>
        <v>0.39486343900067283</v>
      </c>
      <c r="Q37">
        <v>30</v>
      </c>
      <c r="R37" s="19">
        <f>IF(ISNUMBER(tblData[SKorea]),tblData[SKorea]/$R$9,"")</f>
        <v>5.8365758754863819</v>
      </c>
      <c r="S37">
        <v>9</v>
      </c>
      <c r="T37" s="12">
        <f>IF(ISNUMBER(tblData[UK]),tblData[UK]/$T$9,"")</f>
        <v>1.3546056592414208</v>
      </c>
      <c r="U37">
        <v>72434</v>
      </c>
      <c r="V37" s="21">
        <f>IF(ISNUMBER(tblData[China]),tblData[China]/$V$9,"")</f>
        <v>503.25021518994208</v>
      </c>
      <c r="W37" s="26">
        <f>IF(tblData[[#This Row],[Date]]&lt;ItalyStart,"",tblData[[#This Row],[Date]]-ItalyStart)</f>
        <v>18</v>
      </c>
      <c r="X37" s="26">
        <f t="shared" si="5"/>
        <v>8</v>
      </c>
      <c r="Y37" s="26">
        <f t="shared" si="3"/>
        <v>26</v>
      </c>
      <c r="Z37" s="26" t="str">
        <f>IF(tblData[[#This Row],[Date]]&lt;StartDt2Korea,"",tblData[[#This Row],[Date]]-StartDt2Korea)</f>
        <v/>
      </c>
      <c r="AA37" s="26">
        <f>IF(tblData[[#This Row],[Date]]&lt;UKStart,"",tblData[[#This Row],[Date]]-UKStart)</f>
        <v>18</v>
      </c>
      <c r="AB37">
        <f>IF(tblData[Date]&gt;=StartDt2Au,tblData[Date]-StartDt2Au,"")</f>
        <v>23</v>
      </c>
      <c r="AC37" s="26">
        <f>IF(tblData[New South Wales]&gt;0,SUM(tblData[[#This Row],[Australian Capital Territory]:[Western Australia]]),"")</f>
        <v>15</v>
      </c>
      <c r="AD37" s="12">
        <f>IF(ISNUMBER(tblData[Au]),tblData[Au]/$AA$9,"")</f>
        <v>5.9138937076170954</v>
      </c>
      <c r="AE37" s="19">
        <f>IF(ISNUMBER(tblData[[#This Row],[Day'# Aust]]),betaAu/(deltaAu+betaPodeltaAu*EXP(-betaAu*tblData[[#This Row],[Day'# Aust]])),"")</f>
        <v>1.1723351685860892</v>
      </c>
      <c r="AF37" s="72">
        <f>IF(ISNUMBER(tblData[Day'# Aust]),tblData[Au LogiP(t)]/$AD$9,"")</f>
        <v>0.46220437178129997</v>
      </c>
      <c r="AG37" s="11">
        <f>IF(AND(tblData[Date]&gt;=StartDt2Au,ISNUMBER(tblData[NSW])),(tblData[[#This Row],[Au LogiP(t)]]-tblData[[#This Row],[Au]])^2,"")</f>
        <v>191.20431468992109</v>
      </c>
      <c r="AH37">
        <f>IF(tblData[Date]&gt;StartDt2NSW,tblData[Date]-StartDt2NSW,"")</f>
        <v>23</v>
      </c>
      <c r="AI37">
        <f t="shared" si="4"/>
        <v>4</v>
      </c>
      <c r="AJ37" s="11">
        <f>IF(tblData[Date]&gt;StartDt2NSW,betaNSW/(deltaNSW+betaPodeltaNSW*EXP(-betaNSW*tblData[[#This Row],[Day '# NSW]])),"")</f>
        <v>0.53026605532449167</v>
      </c>
      <c r="AK37" s="12">
        <f>IF(AND(ISNUMBER(tblData[NSW]),tblData[Date]&gt;StartDt2NSW),(tblData[[#This Row],[NSW LogiP(t)]]-tblData[[#This Row],[NSW]])^2,"")</f>
        <v>12.039053646833462</v>
      </c>
      <c r="AL37" s="12">
        <f>IF(AND(tblData[Date]&gt;StartDt2NSW,ISNUMBER(tblData[Day'# Aust])),tblData[NSW LogiP(t)]/$AG$9,"")</f>
        <v>0.65626987045110352</v>
      </c>
      <c r="AM37" s="11">
        <f>IF(AND(tblData[Date]&gt;StartDt2Italy,ISNUMBER(tblData[Days'# Italy])),betaItaly/(deltaItaly+betaPodeltaItaly*EXP(-betaItaly*tblData[Days'# Italy])),"")</f>
        <v>47.774673109258501</v>
      </c>
      <c r="AN37" s="11">
        <f>IF(AND(tblData[Date]&gt;StartDt2Italy,ISNUMBER(tblData[Italy])),(tblData[[#This Row],[Italy LogiP(t)]]-tblData[[#This Row],[Italy]])^2,"")</f>
        <v>2004.7713520409563</v>
      </c>
      <c r="AO37" s="44">
        <f>IF(AND(tblData[Date]&gt;StartDt2Italy,ISNUMBER(tblData[Days'# Italy])),tblData[[#This Row],[Italy LogiP(t)]]/$AM$9,"")</f>
        <v>7.9031717302330025</v>
      </c>
      <c r="AP37" s="21">
        <f>IF(ISNUMBER(tblData[[#This Row],[Days'# US]]),betaUS/(deltaUS+betaPodeltaUS*EXP(-betaUS*tblData[Days'# US])),"")</f>
        <v>0.27606399940111626</v>
      </c>
      <c r="AQ37" s="11">
        <f>IF(ISNUMBER(tblData[US]),(tblData[[#This Row],[US LogiP(t)]]-tblData[US])^2,"")</f>
        <v>161.89854734733629</v>
      </c>
      <c r="AR37" s="21">
        <f>IF(ISNUMBER(tblData[[#This Row],[Days'# US]]),tblData[[#This Row],[US LogiP(t)]]/$AP$9,"")</f>
        <v>8.385198475984958E-3</v>
      </c>
      <c r="AS37" s="21" t="str">
        <f>IF(tblData[Date]&gt;=StartDt2Korea,betaSKorea/(deltaSKorea+betaPodeltaSKorea*EXP(-betaSKorea*(tblData[Date]-StartDt2Korea))),"")</f>
        <v/>
      </c>
      <c r="AT37" s="21" t="str">
        <f>IF(AND(tblData[Date]&gt;=StartDt2Korea,ISNUMBER(tblData[SKorea])),(tblData[[#This Row],[SKorea LogiP(t)]]-tblData[[#This Row],[SKorea]])^2,"")</f>
        <v/>
      </c>
      <c r="AU37" s="21" t="str">
        <f>IF(tblData[Date]&gt;=StartDt2Korea,tblData[[#This Row],[SKorea LogiP(t)]]/$AS$9,"")</f>
        <v/>
      </c>
      <c r="AV37" s="11">
        <f>IF(ISNUMBER(tblData[Days'# UK]),betaUK/(deltaUK+betaPodeltaUK*EXP(-betaUK*tblData[Days'# UK])),"")</f>
        <v>2.4167031509976331</v>
      </c>
      <c r="AW37" s="21">
        <f>IF(ISNUMBER(tblData[UK]),(tblData[[#This Row],[UK LogiP(t)]]-tblData[[#This Row],[UK]])^2,"")</f>
        <v>43.339797402084493</v>
      </c>
      <c r="AX37" s="21">
        <f>IF(ISNUMBER(tblData[Days'# UK]),tblData[[#This Row],[UK LogiP(t)]]/$AV$9,"")</f>
        <v>0.36374219611644087</v>
      </c>
      <c r="AY37" s="11">
        <f>IF(ISNUMBER(tblData[Days'# China]),betaChina/(deltaChina+betaPodeltaChina*EXP(-betaChina*tblData[Days'# China])),"")</f>
        <v>69773.317669531985</v>
      </c>
      <c r="AZ37" s="11">
        <f>IF(ISNUMBER(tblData[China]),(tblData[[#This Row],[China LogiP(t)]]-tblData[[#This Row],[China]])^2,"")</f>
        <v>7079230.4636647059</v>
      </c>
      <c r="BA37" s="11">
        <f>tblData[[#This Row],[China LogiP(t)]]/$AY$9</f>
        <v>484.76457370445041</v>
      </c>
      <c r="BB37" s="11"/>
      <c r="BC37" s="11"/>
      <c r="BD37" s="11" t="str">
        <f>IF(ISNUMBER(tblData[[#This Row],[NSW Number of Tests]]),tblData[[#This Row],[NSW Number of Tests]]-BB36,"")</f>
        <v/>
      </c>
      <c r="BE37" s="11" t="str">
        <f>IF(ISNUMBER(tblData[[#This Row],[NSW Under Investigation'']]),tblData[[#This Row],[NSW Under Investigation'']]-BC36,"")</f>
        <v/>
      </c>
      <c r="BF37" s="11"/>
      <c r="BG37" s="11" t="str">
        <f>IF(ISNUMBER(tblData[[#This Row],[NSW Test Day Number]]),betaTest/(deltaTest+betaPodeltaTest*EXP(-betaTest*tblData[[#This Row],[NSW Test Day Number]])),"")</f>
        <v/>
      </c>
      <c r="BH37" s="11" t="str">
        <f>IF(ISNUMBER(tblData[[#This Row],[NSW Number of Tests]]),(tblData[[#This Row],[NSW Number of Tests]]-tblData[[#This Row],[NSW Test Logi]])^2,"")</f>
        <v/>
      </c>
      <c r="BJ37" s="27"/>
      <c r="DE37" t="s">
        <v>486</v>
      </c>
      <c r="DF37" s="82">
        <v>43911.866307870368</v>
      </c>
      <c r="DG37" s="27">
        <v>43852</v>
      </c>
      <c r="DH37" s="27">
        <v>43870</v>
      </c>
      <c r="DI37">
        <v>3</v>
      </c>
      <c r="DJ37" s="26">
        <v>0.34769529201458815</v>
      </c>
      <c r="DK37" s="26">
        <v>1.0000000000000751E-9</v>
      </c>
      <c r="DL37" s="26">
        <v>1.709986186409522E-2</v>
      </c>
      <c r="DM37">
        <v>347695292.01456201</v>
      </c>
      <c r="DN37" s="19">
        <v>315.73237932545749</v>
      </c>
      <c r="DO37" s="12">
        <v>20.333222265821231</v>
      </c>
      <c r="DP37" s="26">
        <v>1.0000000000000751E-6</v>
      </c>
      <c r="DQ37" s="26"/>
      <c r="DR37" s="27">
        <v>43910</v>
      </c>
      <c r="DS37" s="26" t="s">
        <v>1499</v>
      </c>
      <c r="DT37" s="26">
        <v>19100</v>
      </c>
      <c r="DU37" s="26" t="s">
        <v>1500</v>
      </c>
      <c r="DV37" s="27">
        <v>43910</v>
      </c>
      <c r="DW37">
        <v>41</v>
      </c>
      <c r="DX37" s="26" t="s">
        <v>1501</v>
      </c>
      <c r="DZ37" t="s">
        <v>1502</v>
      </c>
      <c r="EA37" t="s">
        <v>982</v>
      </c>
      <c r="EB37" t="s">
        <v>1503</v>
      </c>
      <c r="EC37">
        <v>580.14551422406544</v>
      </c>
      <c r="ED37" s="26">
        <v>43910</v>
      </c>
      <c r="EE37" s="26">
        <v>1</v>
      </c>
      <c r="EF37">
        <v>43910</v>
      </c>
      <c r="EG37">
        <v>1</v>
      </c>
    </row>
    <row r="38" spans="2:138" x14ac:dyDescent="0.25">
      <c r="B38" s="1">
        <v>43879</v>
      </c>
      <c r="C38">
        <v>0</v>
      </c>
      <c r="D38" s="26">
        <v>0</v>
      </c>
      <c r="E38">
        <v>4</v>
      </c>
      <c r="F38">
        <v>0</v>
      </c>
      <c r="G38">
        <v>5</v>
      </c>
      <c r="H38">
        <v>2</v>
      </c>
      <c r="I38">
        <v>0</v>
      </c>
      <c r="J38">
        <v>4</v>
      </c>
      <c r="K38">
        <v>0</v>
      </c>
      <c r="L38" s="12">
        <f>IF(ISNUMBER(tblData[[#This Row],[NSW]]),tblData[[#This Row],[New South Wales]]/$L$9,"")</f>
        <v>4.9504950495049505</v>
      </c>
      <c r="M38" s="26">
        <v>3</v>
      </c>
      <c r="N38" s="49">
        <f>IF(ISNUMBER(tblData[Italy]),tblData[Italy]/$N$9,"")</f>
        <v>0.49627791563275436</v>
      </c>
      <c r="O38">
        <v>13</v>
      </c>
      <c r="P38" s="49">
        <f>IF(ISNUMBER(tblData[US]),tblData[US]/$P$9,"")</f>
        <v>0.39486343900067283</v>
      </c>
      <c r="Q38">
        <v>31</v>
      </c>
      <c r="R38" s="19">
        <f>IF(ISNUMBER(tblData[SKorea]),tblData[SKorea]/$R$9,"")</f>
        <v>6.0311284046692615</v>
      </c>
      <c r="S38">
        <v>9</v>
      </c>
      <c r="T38" s="12">
        <f>IF(ISNUMBER(tblData[UK]),tblData[UK]/$T$9,"")</f>
        <v>1.3546056592414208</v>
      </c>
      <c r="U38">
        <v>74211</v>
      </c>
      <c r="V38" s="21">
        <f>IF(ISNUMBER(tblData[China]),tblData[China]/$V$9,"")</f>
        <v>515.59629068477227</v>
      </c>
      <c r="W38" s="26">
        <f>IF(tblData[[#This Row],[Date]]&lt;ItalyStart,"",tblData[[#This Row],[Date]]-ItalyStart)</f>
        <v>19</v>
      </c>
      <c r="X38" s="26">
        <f t="shared" si="5"/>
        <v>9</v>
      </c>
      <c r="Y38" s="26">
        <f t="shared" si="3"/>
        <v>27</v>
      </c>
      <c r="Z38" s="26" t="str">
        <f>IF(tblData[[#This Row],[Date]]&lt;StartDt2Korea,"",tblData[[#This Row],[Date]]-StartDt2Korea)</f>
        <v/>
      </c>
      <c r="AA38" s="26">
        <f>IF(tblData[[#This Row],[Date]]&lt;UKStart,"",tblData[[#This Row],[Date]]-UKStart)</f>
        <v>19</v>
      </c>
      <c r="AB38">
        <f>IF(tblData[Date]&gt;=StartDt2Au,tblData[Date]-StartDt2Au,"")</f>
        <v>24</v>
      </c>
      <c r="AC38" s="26">
        <f>IF(tblData[New South Wales]&gt;0,SUM(tblData[[#This Row],[Australian Capital Territory]:[Western Australia]]),"")</f>
        <v>15</v>
      </c>
      <c r="AD38" s="12">
        <f>IF(ISNUMBER(tblData[Au]),tblData[Au]/$AA$9,"")</f>
        <v>5.9138937076170954</v>
      </c>
      <c r="AE38" s="19">
        <f>IF(ISNUMBER(tblData[[#This Row],[Day'# Aust]]),betaAu/(deltaAu+betaPodeltaAu*EXP(-betaAu*tblData[[#This Row],[Day'# Aust]])),"")</f>
        <v>1.4412156262254237</v>
      </c>
      <c r="AF38" s="72">
        <f>IF(ISNUMBER(tblData[Day'# Aust]),tblData[Au LogiP(t)]/$AD$9,"")</f>
        <v>0.56821306821693096</v>
      </c>
      <c r="AG38" s="11">
        <f>IF(AND(tblData[Date]&gt;=StartDt2Au,ISNUMBER(tblData[NSW])),(tblData[[#This Row],[Au LogiP(t)]]-tblData[[#This Row],[Au]])^2,"")</f>
        <v>183.84063369451366</v>
      </c>
      <c r="AH38">
        <f>IF(tblData[Date]&gt;StartDt2NSW,tblData[Date]-StartDt2NSW,"")</f>
        <v>24</v>
      </c>
      <c r="AI38">
        <f t="shared" si="4"/>
        <v>4</v>
      </c>
      <c r="AJ38" s="11">
        <f>IF(tblData[Date]&gt;StartDt2NSW,betaNSW/(deltaNSW+betaPodeltaNSW*EXP(-betaNSW*tblData[[#This Row],[Day '# NSW]])),"")</f>
        <v>0.65369415131484421</v>
      </c>
      <c r="AK38" s="12">
        <f>IF(AND(ISNUMBER(tblData[NSW]),tblData[Date]&gt;StartDt2NSW),(tblData[[#This Row],[NSW LogiP(t)]]-tblData[[#This Row],[NSW]])^2,"")</f>
        <v>11.197762832944482</v>
      </c>
      <c r="AL38" s="12">
        <f>IF(AND(tblData[Date]&gt;StartDt2NSW,ISNUMBER(tblData[Day'# Aust])),tblData[NSW LogiP(t)]/$AG$9,"")</f>
        <v>0.80902741499361897</v>
      </c>
      <c r="AM38" s="11">
        <f>IF(AND(tblData[Date]&gt;StartDt2Italy,ISNUMBER(tblData[Days'# Italy])),betaItaly/(deltaItaly+betaPodeltaItaly*EXP(-betaItaly*tblData[Days'# Italy])),"")</f>
        <v>61.957635617687039</v>
      </c>
      <c r="AN38" s="11">
        <f>IF(AND(tblData[Date]&gt;StartDt2Italy,ISNUMBER(tblData[Italy])),(tblData[[#This Row],[Italy LogiP(t)]]-tblData[[#This Row],[Italy]])^2,"")</f>
        <v>3476.0027976279594</v>
      </c>
      <c r="AO38" s="44">
        <f>IF(AND(tblData[Date]&gt;StartDt2Italy,ISNUMBER(tblData[Days'# Italy])),tblData[[#This Row],[Italy LogiP(t)]]/$AM$9,"")</f>
        <v>10.249402087293142</v>
      </c>
      <c r="AP38" s="21">
        <f>IF(ISNUMBER(tblData[[#This Row],[Days'# US]]),betaUS/(deltaUS+betaPodeltaUS*EXP(-betaUS*tblData[Days'# US])),"")</f>
        <v>0.39085162505719595</v>
      </c>
      <c r="AQ38" s="11">
        <f>IF(ISNUMBER(tblData[US]),(tblData[[#This Row],[US LogiP(t)]]-tblData[US])^2,"")</f>
        <v>158.99062274132274</v>
      </c>
      <c r="AR38" s="21">
        <f>IF(ISNUMBER(tblData[[#This Row],[Days'# US]]),tblData[[#This Row],[US LogiP(t)]]/$AP$9,"")</f>
        <v>1.1871770523775842E-2</v>
      </c>
      <c r="AS38" s="21" t="str">
        <f>IF(tblData[Date]&gt;=StartDt2Korea,betaSKorea/(deltaSKorea+betaPodeltaSKorea*EXP(-betaSKorea*(tblData[Date]-StartDt2Korea))),"")</f>
        <v/>
      </c>
      <c r="AT38" s="21" t="str">
        <f>IF(AND(tblData[Date]&gt;=StartDt2Korea,ISNUMBER(tblData[SKorea])),(tblData[[#This Row],[SKorea LogiP(t)]]-tblData[[#This Row],[SKorea]])^2,"")</f>
        <v/>
      </c>
      <c r="AU38" s="21" t="str">
        <f>IF(tblData[Date]&gt;=StartDt2Korea,tblData[[#This Row],[SKorea LogiP(t)]]/$AS$9,"")</f>
        <v/>
      </c>
      <c r="AV38" s="11">
        <f>IF(ISNUMBER(tblData[Days'# UK]),betaUK/(deltaUK+betaPodeltaUK*EXP(-betaUK*tblData[Days'# UK])),"")</f>
        <v>3.0434736617478086</v>
      </c>
      <c r="AW38" s="21">
        <f>IF(ISNUMBER(tblData[UK]),(tblData[[#This Row],[UK LogiP(t)]]-tblData[[#This Row],[UK]])^2,"")</f>
        <v>35.480206018292051</v>
      </c>
      <c r="AX38" s="21">
        <f>IF(ISNUMBER(tblData[Days'# UK]),tblData[[#This Row],[UK LogiP(t)]]/$AV$9,"")</f>
        <v>0.45807851621731016</v>
      </c>
      <c r="AY38" s="11">
        <f>IF(ISNUMBER(tblData[Days'# China]),betaChina/(deltaChina+betaPodeltaChina*EXP(-betaChina*tblData[Days'# China])),"")</f>
        <v>71746.789589855442</v>
      </c>
      <c r="AZ38" s="11">
        <f>IF(ISNUMBER(tblData[China]),(tblData[[#This Row],[China LogiP(t)]]-tblData[[#This Row],[China]])^2,"")</f>
        <v>6072332.9454648132</v>
      </c>
      <c r="BA38" s="11">
        <f>tblData[[#This Row],[China LogiP(t)]]/$AY$9</f>
        <v>498.47567855264447</v>
      </c>
      <c r="BB38" s="11"/>
      <c r="BC38" s="11"/>
      <c r="BD38" s="11" t="str">
        <f>IF(ISNUMBER(tblData[[#This Row],[NSW Number of Tests]]),tblData[[#This Row],[NSW Number of Tests]]-BB37,"")</f>
        <v/>
      </c>
      <c r="BE38" s="11" t="str">
        <f>IF(ISNUMBER(tblData[[#This Row],[NSW Under Investigation'']]),tblData[[#This Row],[NSW Under Investigation'']]-BC37,"")</f>
        <v/>
      </c>
      <c r="BF38" s="11"/>
      <c r="BG38" s="11" t="str">
        <f>IF(ISNUMBER(tblData[[#This Row],[NSW Test Day Number]]),betaTest/(deltaTest+betaPodeltaTest*EXP(-betaTest*tblData[[#This Row],[NSW Test Day Number]])),"")</f>
        <v/>
      </c>
      <c r="BH38" s="11" t="str">
        <f>IF(ISNUMBER(tblData[[#This Row],[NSW Number of Tests]]),(tblData[[#This Row],[NSW Number of Tests]]-tblData[[#This Row],[NSW Test Logi]])^2,"")</f>
        <v/>
      </c>
      <c r="DE38" t="s">
        <v>486</v>
      </c>
      <c r="DG38" s="27">
        <v>43852</v>
      </c>
      <c r="DI38">
        <v>3</v>
      </c>
      <c r="DJ38" s="26">
        <v>0.26960395737241599</v>
      </c>
      <c r="DK38" s="26">
        <v>2.2999968774326208E-6</v>
      </c>
      <c r="DL38" s="26">
        <v>0.28960505147680476</v>
      </c>
      <c r="DM38" s="26">
        <v>117219.27104238607</v>
      </c>
      <c r="DN38" s="19">
        <v>681.80877800845474</v>
      </c>
      <c r="DO38" s="12">
        <v>0.9309343532058354</v>
      </c>
      <c r="DP38" s="26">
        <v>2.2999968774326208E-3</v>
      </c>
      <c r="DQ38" s="26"/>
      <c r="DR38" s="27">
        <v>43910</v>
      </c>
      <c r="DS38" s="26" t="s">
        <v>1320</v>
      </c>
      <c r="DT38">
        <v>14366</v>
      </c>
      <c r="DU38" t="s">
        <v>1321</v>
      </c>
      <c r="DV38" s="27">
        <v>43909</v>
      </c>
      <c r="DW38" s="26">
        <v>41</v>
      </c>
      <c r="DX38" s="26" t="s">
        <v>1322</v>
      </c>
      <c r="DZ38" t="s">
        <v>1323</v>
      </c>
      <c r="EA38" t="s">
        <v>982</v>
      </c>
      <c r="EB38" s="26" t="s">
        <v>1324</v>
      </c>
      <c r="EC38" s="26">
        <v>436.35447420643584</v>
      </c>
      <c r="ED38" s="26">
        <v>43910</v>
      </c>
      <c r="EE38" s="26">
        <v>0</v>
      </c>
      <c r="EF38" s="26">
        <v>43909</v>
      </c>
      <c r="EG38" s="26">
        <v>1</v>
      </c>
    </row>
    <row r="39" spans="2:138" x14ac:dyDescent="0.25">
      <c r="B39" s="1">
        <v>43880</v>
      </c>
      <c r="C39">
        <v>0</v>
      </c>
      <c r="D39" s="26">
        <v>0</v>
      </c>
      <c r="E39">
        <v>4</v>
      </c>
      <c r="F39">
        <v>0</v>
      </c>
      <c r="G39">
        <v>5</v>
      </c>
      <c r="H39">
        <v>2</v>
      </c>
      <c r="I39">
        <v>0</v>
      </c>
      <c r="J39">
        <v>4</v>
      </c>
      <c r="K39">
        <v>0</v>
      </c>
      <c r="L39" s="12">
        <f>IF(ISNUMBER(tblData[[#This Row],[NSW]]),tblData[[#This Row],[New South Wales]]/$L$9,"")</f>
        <v>4.9504950495049505</v>
      </c>
      <c r="M39" s="26">
        <v>3</v>
      </c>
      <c r="N39" s="49">
        <f>IF(ISNUMBER(tblData[Italy]),tblData[Italy]/$N$9,"")</f>
        <v>0.49627791563275436</v>
      </c>
      <c r="O39">
        <v>13</v>
      </c>
      <c r="P39" s="49">
        <f>IF(ISNUMBER(tblData[US]),tblData[US]/$P$9,"")</f>
        <v>0.39486343900067283</v>
      </c>
      <c r="Q39">
        <v>31</v>
      </c>
      <c r="R39" s="19">
        <f>IF(ISNUMBER(tblData[SKorea]),tblData[SKorea]/$R$9,"")</f>
        <v>6.0311284046692615</v>
      </c>
      <c r="S39">
        <v>9</v>
      </c>
      <c r="T39" s="12">
        <f>IF(ISNUMBER(tblData[UK]),tblData[UK]/$T$9,"")</f>
        <v>1.3546056592414208</v>
      </c>
      <c r="U39">
        <v>74619</v>
      </c>
      <c r="V39" s="21">
        <f>IF(ISNUMBER(tblData[China]),tblData[China]/$V$9,"")</f>
        <v>518.43095517655092</v>
      </c>
      <c r="W39" s="26">
        <f>IF(tblData[[#This Row],[Date]]&lt;ItalyStart,"",tblData[[#This Row],[Date]]-ItalyStart)</f>
        <v>20</v>
      </c>
      <c r="X39" s="26">
        <f t="shared" si="5"/>
        <v>10</v>
      </c>
      <c r="Y39" s="26">
        <f t="shared" si="3"/>
        <v>28</v>
      </c>
      <c r="Z39" s="26">
        <f>IF(tblData[[#This Row],[Date]]&lt;StartDt2Korea,"",tblData[[#This Row],[Date]]-StartDt2Korea)</f>
        <v>0</v>
      </c>
      <c r="AA39" s="26">
        <f>IF(tblData[[#This Row],[Date]]&lt;UKStart,"",tblData[[#This Row],[Date]]-UKStart)</f>
        <v>20</v>
      </c>
      <c r="AB39">
        <f>IF(tblData[Date]&gt;=StartDt2Au,tblData[Date]-StartDt2Au,"")</f>
        <v>25</v>
      </c>
      <c r="AC39" s="26">
        <f>IF(tblData[New South Wales]&gt;0,SUM(tblData[[#This Row],[Australian Capital Territory]:[Western Australia]]),"")</f>
        <v>15</v>
      </c>
      <c r="AD39" s="12">
        <f>IF(ISNUMBER(tblData[Au]),tblData[Au]/$AA$9,"")</f>
        <v>5.9138937076170954</v>
      </c>
      <c r="AE39" s="19">
        <f>IF(ISNUMBER(tblData[[#This Row],[Day'# Aust]]),betaAu/(deltaAu+betaPodeltaAu*EXP(-betaAu*tblData[[#This Row],[Day'# Aust]])),"")</f>
        <v>1.7717650517651224</v>
      </c>
      <c r="AF39" s="72">
        <f>IF(ISNUMBER(tblData[Day'# Aust]),tblData[Au LogiP(t)]/$AD$9,"")</f>
        <v>0.69853534606730894</v>
      </c>
      <c r="AG39" s="11">
        <f>IF(AND(tblData[Date]&gt;=StartDt2Au,ISNUMBER(tblData[NSW])),(tblData[[#This Row],[Au LogiP(t)]]-tblData[[#This Row],[Au]])^2,"")</f>
        <v>174.9861998457026</v>
      </c>
      <c r="AH39">
        <f>IF(tblData[Date]&gt;StartDt2NSW,tblData[Date]-StartDt2NSW,"")</f>
        <v>25</v>
      </c>
      <c r="AI39">
        <f t="shared" si="4"/>
        <v>4</v>
      </c>
      <c r="AJ39" s="11">
        <f>IF(tblData[Date]&gt;StartDt2NSW,betaNSW/(deltaNSW+betaPodeltaNSW*EXP(-betaNSW*tblData[[#This Row],[Day '# NSW]])),"")</f>
        <v>0.80584365647188749</v>
      </c>
      <c r="AK39" s="12">
        <f>IF(AND(ISNUMBER(tblData[NSW]),tblData[Date]&gt;StartDt2NSW),(tblData[[#This Row],[NSW LogiP(t)]]-tblData[[#This Row],[NSW]])^2,"")</f>
        <v>10.202634746900882</v>
      </c>
      <c r="AL39" s="12">
        <f>IF(AND(tblData[Date]&gt;StartDt2NSW,ISNUMBER(tblData[Day'# Aust])),tblData[NSW LogiP(t)]/$AG$9,"")</f>
        <v>0.99733125800976163</v>
      </c>
      <c r="AM39" s="11">
        <f>IF(AND(tblData[Date]&gt;StartDt2Italy,ISNUMBER(tblData[Days'# Italy])),betaItaly/(deltaItaly+betaPodeltaItaly*EXP(-betaItaly*tblData[Days'# Italy])),"")</f>
        <v>80.345011104248798</v>
      </c>
      <c r="AN39" s="11">
        <f>IF(AND(tblData[Date]&gt;StartDt2Italy,ISNUMBER(tblData[Italy])),(tblData[[#This Row],[Italy LogiP(t)]]-tblData[[#This Row],[Italy]])^2,"")</f>
        <v>5982.25074271637</v>
      </c>
      <c r="AO39" s="44">
        <f>IF(AND(tblData[Date]&gt;StartDt2Italy,ISNUMBER(tblData[Days'# Italy])),tblData[[#This Row],[Italy LogiP(t)]]/$AM$9,"")</f>
        <v>13.291151547435698</v>
      </c>
      <c r="AP39" s="21">
        <f>IF(ISNUMBER(tblData[[#This Row],[Days'# US]]),betaUS/(deltaUS+betaPodeltaUS*EXP(-betaUS*tblData[Days'# US])),"")</f>
        <v>0.55336803465965689</v>
      </c>
      <c r="AQ39" s="11">
        <f>IF(ISNUMBER(tblData[US]),(tblData[[#This Row],[US LogiP(t)]]-tblData[US])^2,"")</f>
        <v>154.918647280632</v>
      </c>
      <c r="AR39" s="21">
        <f>IF(ISNUMBER(tblData[[#This Row],[Days'# US]]),tblData[[#This Row],[US LogiP(t)]]/$AP$9,"")</f>
        <v>1.6808061938365818E-2</v>
      </c>
      <c r="AS39" s="21">
        <f>IF(tblData[Date]&gt;=StartDt2Korea,betaSKorea/(deltaSKorea+betaPodeltaSKorea*EXP(-betaSKorea*(tblData[Date]-StartDt2Korea))),"")</f>
        <v>174.6164952155498</v>
      </c>
      <c r="AT39" s="21">
        <f>IF(AND(tblData[Date]&gt;=StartDt2Korea,ISNUMBER(tblData[SKorea])),(tblData[[#This Row],[SKorea LogiP(t)]]-tblData[[#This Row],[SKorea]])^2,"")</f>
        <v>20625.697697998039</v>
      </c>
      <c r="AU39" s="21">
        <f>IF(tblData[Date]&gt;=StartDt2Korea,tblData[[#This Row],[SKorea LogiP(t)]]/$AS$9,"")</f>
        <v>33.97208078123537</v>
      </c>
      <c r="AV39" s="11">
        <f>IF(ISNUMBER(tblData[Days'# UK]),betaUK/(deltaUK+betaPodeltaUK*EXP(-betaUK*tblData[Days'# UK])),"")</f>
        <v>3.8327967253236546</v>
      </c>
      <c r="AW39" s="21">
        <f>IF(ISNUMBER(tblData[UK]),(tblData[[#This Row],[UK LogiP(t)]]-tblData[[#This Row],[UK]])^2,"")</f>
        <v>26.699989681825947</v>
      </c>
      <c r="AX39" s="21">
        <f>IF(ISNUMBER(tblData[Days'# UK]),tblData[[#This Row],[UK LogiP(t)]]/$AV$9,"")</f>
        <v>0.57688090387171198</v>
      </c>
      <c r="AY39" s="11">
        <f>IF(ISNUMBER(tblData[Days'# China]),betaChina/(deltaChina+betaPodeltaChina*EXP(-betaChina*tblData[Days'# China])),"")</f>
        <v>73409.506853315514</v>
      </c>
      <c r="AZ39" s="11">
        <f>IF(ISNUMBER(tblData[China]),(tblData[[#This Row],[China LogiP(t)]]-tblData[[#This Row],[China]])^2,"")</f>
        <v>1462873.6718767406</v>
      </c>
      <c r="BA39" s="11">
        <f>tblData[[#This Row],[China LogiP(t)]]/$AY$9</f>
        <v>510.02775106881523</v>
      </c>
      <c r="BB39" s="11"/>
      <c r="BC39" s="11"/>
      <c r="BD39" s="11" t="str">
        <f>IF(ISNUMBER(tblData[[#This Row],[NSW Number of Tests]]),tblData[[#This Row],[NSW Number of Tests]]-BB38,"")</f>
        <v/>
      </c>
      <c r="BE39" s="11" t="str">
        <f>IF(ISNUMBER(tblData[[#This Row],[NSW Under Investigation'']]),tblData[[#This Row],[NSW Under Investigation'']]-BC38,"")</f>
        <v/>
      </c>
      <c r="BF39" s="11"/>
      <c r="BG39" s="11" t="str">
        <f>IF(ISNUMBER(tblData[[#This Row],[NSW Test Day Number]]),betaTest/(deltaTest+betaPodeltaTest*EXP(-betaTest*tblData[[#This Row],[NSW Test Day Number]])),"")</f>
        <v/>
      </c>
      <c r="BH39" s="11" t="str">
        <f>IF(ISNUMBER(tblData[[#This Row],[NSW Number of Tests]]),(tblData[[#This Row],[NSW Number of Tests]]-tblData[[#This Row],[NSW Test Logi]])^2,"")</f>
        <v/>
      </c>
      <c r="DE39" t="s">
        <v>225</v>
      </c>
      <c r="DG39" s="27">
        <v>43852</v>
      </c>
      <c r="DI39">
        <v>4</v>
      </c>
      <c r="DJ39" s="23">
        <v>0.2221429979133962</v>
      </c>
      <c r="DK39" s="25">
        <v>2.745882625476671E-6</v>
      </c>
      <c r="DL39" s="22">
        <v>1537.6493038446686</v>
      </c>
      <c r="DM39" s="24">
        <v>80900.398237099929</v>
      </c>
      <c r="DN39" s="22">
        <v>2208.2653303765946</v>
      </c>
      <c r="DO39" s="37">
        <v>1.4172333890505041E-4</v>
      </c>
      <c r="DP39" s="24">
        <v>2.7458826254766712E-3</v>
      </c>
      <c r="DQ39" s="24"/>
      <c r="DR39" s="27">
        <v>43905</v>
      </c>
      <c r="DS39" s="27" t="s">
        <v>767</v>
      </c>
      <c r="DT39" s="19"/>
      <c r="DU39" s="19"/>
      <c r="DX39" s="18"/>
      <c r="EA39" s="18"/>
      <c r="ED39" s="26"/>
      <c r="EE39" s="26"/>
    </row>
    <row r="40" spans="2:138" x14ac:dyDescent="0.25">
      <c r="B40" s="1">
        <v>43881</v>
      </c>
      <c r="C40">
        <v>0</v>
      </c>
      <c r="D40" s="26">
        <v>0</v>
      </c>
      <c r="E40">
        <v>4</v>
      </c>
      <c r="F40">
        <v>0</v>
      </c>
      <c r="G40">
        <v>5</v>
      </c>
      <c r="H40">
        <v>2</v>
      </c>
      <c r="I40">
        <v>0</v>
      </c>
      <c r="J40">
        <v>4</v>
      </c>
      <c r="K40">
        <v>0</v>
      </c>
      <c r="L40" s="12">
        <f>IF(ISNUMBER(tblData[[#This Row],[NSW]]),tblData[[#This Row],[New South Wales]]/$L$9,"")</f>
        <v>4.9504950495049505</v>
      </c>
      <c r="M40" s="26">
        <v>3</v>
      </c>
      <c r="N40" s="49">
        <f>IF(ISNUMBER(tblData[Italy]),tblData[Italy]/$N$9,"")</f>
        <v>0.49627791563275436</v>
      </c>
      <c r="O40">
        <v>13</v>
      </c>
      <c r="P40" s="49">
        <f>IF(ISNUMBER(tblData[US]),tblData[US]/$P$9,"")</f>
        <v>0.39486343900067283</v>
      </c>
      <c r="Q40">
        <v>104</v>
      </c>
      <c r="R40" s="19">
        <f>IF(ISNUMBER(tblData[SKorea]),tblData[SKorea]/$R$9,"")</f>
        <v>20.233463035019458</v>
      </c>
      <c r="S40">
        <v>9</v>
      </c>
      <c r="T40" s="12">
        <f>IF(ISNUMBER(tblData[UK]),tblData[UK]/$T$9,"")</f>
        <v>1.3546056592414208</v>
      </c>
      <c r="U40">
        <v>75077</v>
      </c>
      <c r="V40" s="21">
        <f>IF(ISNUMBER(tblData[China]),tblData[China]/$V$9,"")</f>
        <v>521.61300502271422</v>
      </c>
      <c r="W40" s="26">
        <f>IF(tblData[[#This Row],[Date]]&lt;ItalyStart,"",tblData[[#This Row],[Date]]-ItalyStart)</f>
        <v>21</v>
      </c>
      <c r="X40" s="26">
        <f t="shared" si="5"/>
        <v>11</v>
      </c>
      <c r="Y40" s="26">
        <f t="shared" si="3"/>
        <v>29</v>
      </c>
      <c r="Z40" s="26">
        <f>IF(tblData[[#This Row],[Date]]&lt;StartDt2Korea,"",tblData[[#This Row],[Date]]-StartDt2Korea)</f>
        <v>1</v>
      </c>
      <c r="AA40" s="26">
        <f>IF(tblData[[#This Row],[Date]]&lt;UKStart,"",tblData[[#This Row],[Date]]-UKStart)</f>
        <v>21</v>
      </c>
      <c r="AB40">
        <f>IF(tblData[Date]&gt;=StartDt2Au,tblData[Date]-StartDt2Au,"")</f>
        <v>26</v>
      </c>
      <c r="AC40" s="26">
        <f>IF(tblData[New South Wales]&gt;0,SUM(tblData[[#This Row],[Australian Capital Territory]:[Western Australia]]),"")</f>
        <v>15</v>
      </c>
      <c r="AD40" s="12">
        <f>IF(ISNUMBER(tblData[Au]),tblData[Au]/$AA$9,"")</f>
        <v>5.9138937076170954</v>
      </c>
      <c r="AE40" s="19">
        <f>IF(ISNUMBER(tblData[[#This Row],[Day'# Aust]]),betaAu/(deltaAu+betaPodeltaAu*EXP(-betaAu*tblData[[#This Row],[Day'# Aust]])),"")</f>
        <v>2.1781275059619123</v>
      </c>
      <c r="AF40" s="72">
        <f>IF(ISNUMBER(tblData[Day'# Aust]),tblData[Au LogiP(t)]/$AD$9,"")</f>
        <v>0.85874763679305799</v>
      </c>
      <c r="AG40" s="11">
        <f>IF(AND(tblData[Date]&gt;=StartDt2Au,ISNUMBER(tblData[NSW])),(tblData[[#This Row],[Au LogiP(t)]]-tblData[[#This Row],[Au]])^2,"")</f>
        <v>164.40041425337049</v>
      </c>
      <c r="AH40">
        <f>IF(tblData[Date]&gt;StartDt2NSW,tblData[Date]-StartDt2NSW,"")</f>
        <v>26</v>
      </c>
      <c r="AI40">
        <f t="shared" si="4"/>
        <v>4</v>
      </c>
      <c r="AJ40" s="11">
        <f>IF(tblData[Date]&gt;StartDt2NSW,betaNSW/(deltaNSW+betaPodeltaNSW*EXP(-betaNSW*tblData[[#This Row],[Day '# NSW]])),"")</f>
        <v>0.99339355469557611</v>
      </c>
      <c r="AK40" s="12">
        <f>IF(AND(ISNUMBER(tblData[NSW]),tblData[Date]&gt;StartDt2NSW),(tblData[[#This Row],[NSW LogiP(t)]]-tblData[[#This Row],[NSW]])^2,"")</f>
        <v>9.0396823169461058</v>
      </c>
      <c r="AL40" s="12">
        <f>IF(AND(tblData[Date]&gt;StartDt2NSW,ISNUMBER(tblData[Day'# Aust])),tblData[NSW LogiP(t)]/$AG$9,"")</f>
        <v>1.2294474686826435</v>
      </c>
      <c r="AM40" s="11">
        <f>IF(AND(tblData[Date]&gt;StartDt2Italy,ISNUMBER(tblData[Days'# Italy])),betaItaly/(deltaItaly+betaPodeltaItaly*EXP(-betaItaly*tblData[Days'# Italy])),"")</f>
        <v>104.17899710981926</v>
      </c>
      <c r="AN40" s="11">
        <f>IF(AND(tblData[Date]&gt;StartDt2Italy,ISNUMBER(tblData[Italy])),(tblData[[#This Row],[Italy LogiP(t)]]-tblData[[#This Row],[Italy]])^2,"")</f>
        <v>10237.189456148815</v>
      </c>
      <c r="AO40" s="44">
        <f>IF(AND(tblData[Date]&gt;StartDt2Italy,ISNUMBER(tblData[Days'# Italy])),tblData[[#This Row],[Italy LogiP(t)]]/$AM$9,"")</f>
        <v>17.233911846123949</v>
      </c>
      <c r="AP40" s="21">
        <f>IF(ISNUMBER(tblData[[#This Row],[Days'# US]]),betaUS/(deltaUS+betaPodeltaUS*EXP(-betaUS*tblData[Days'# US])),"")</f>
        <v>0.78345889358594223</v>
      </c>
      <c r="AQ40" s="11">
        <f>IF(ISNUMBER(tblData[US]),(tblData[[#This Row],[US LogiP(t)]]-tblData[US])^2,"")</f>
        <v>149.24387660470441</v>
      </c>
      <c r="AR40" s="21">
        <f>IF(ISNUMBER(tblData[[#This Row],[Days'# US]]),tblData[[#This Row],[US LogiP(t)]]/$AP$9,"")</f>
        <v>2.3796867156692873E-2</v>
      </c>
      <c r="AS40" s="21">
        <f>IF(tblData[Date]&gt;=StartDt2Korea,betaSKorea/(deltaSKorea+betaPodeltaSKorea*EXP(-betaSKorea*(tblData[Date]-StartDt2Korea))),"")</f>
        <v>239.89612627878844</v>
      </c>
      <c r="AT40" s="21">
        <f>IF(AND(tblData[Date]&gt;=StartDt2Korea,ISNUMBER(tblData[SKorea])),(tblData[[#This Row],[SKorea LogiP(t)]]-tblData[[#This Row],[SKorea]])^2,"")</f>
        <v>18467.757137580415</v>
      </c>
      <c r="AU40" s="21">
        <f>IF(tblData[Date]&gt;=StartDt2Korea,tblData[[#This Row],[SKorea LogiP(t)]]/$AS$9,"")</f>
        <v>46.672398108713708</v>
      </c>
      <c r="AV40" s="11">
        <f>IF(ISNUMBER(tblData[Days'# UK]),betaUK/(deltaUK+betaPodeltaUK*EXP(-betaUK*tblData[Days'# UK])),"")</f>
        <v>4.8268302463882806</v>
      </c>
      <c r="AW40" s="21">
        <f>IF(ISNUMBER(tblData[UK]),(tblData[[#This Row],[UK LogiP(t)]]-tblData[[#This Row],[UK]])^2,"")</f>
        <v>17.4153457924597</v>
      </c>
      <c r="AX40" s="21">
        <f>IF(ISNUMBER(tblData[Days'# UK]),tblData[[#This Row],[UK LogiP(t)]]/$AV$9,"")</f>
        <v>0.72649461866169185</v>
      </c>
      <c r="AY40" s="11">
        <f>IF(ISNUMBER(tblData[Days'# China]),betaChina/(deltaChina+betaPodeltaChina*EXP(-betaChina*tblData[Days'# China])),"")</f>
        <v>74797.630964714743</v>
      </c>
      <c r="AZ40" s="11">
        <f>IF(ISNUMBER(tblData[China]),(tblData[[#This Row],[China LogiP(t)]]-tblData[[#This Row],[China]])^2,"")</f>
        <v>78047.057876215316</v>
      </c>
      <c r="BA40" s="11">
        <f>tblData[[#This Row],[China LogiP(t)]]/$AY$9</f>
        <v>519.67203079618093</v>
      </c>
      <c r="BB40" s="11"/>
      <c r="BC40" s="11"/>
      <c r="BD40" s="11" t="str">
        <f>IF(ISNUMBER(tblData[[#This Row],[NSW Number of Tests]]),tblData[[#This Row],[NSW Number of Tests]]-BB39,"")</f>
        <v/>
      </c>
      <c r="BE40" s="11" t="str">
        <f>IF(ISNUMBER(tblData[[#This Row],[NSW Under Investigation'']]),tblData[[#This Row],[NSW Under Investigation'']]-BC39,"")</f>
        <v/>
      </c>
      <c r="BF40" s="11"/>
      <c r="BG40" s="11" t="str">
        <f>IF(ISNUMBER(tblData[[#This Row],[NSW Test Day Number]]),betaTest/(deltaTest+betaPodeltaTest*EXP(-betaTest*tblData[[#This Row],[NSW Test Day Number]])),"")</f>
        <v/>
      </c>
      <c r="BH40" s="11" t="str">
        <f>IF(ISNUMBER(tblData[[#This Row],[NSW Number of Tests]]),(tblData[[#This Row],[NSW Number of Tests]]-tblData[[#This Row],[NSW Test Logi]])^2,"")</f>
        <v/>
      </c>
      <c r="DE40" t="s">
        <v>225</v>
      </c>
      <c r="DG40" s="27">
        <v>43852</v>
      </c>
      <c r="DI40">
        <v>4</v>
      </c>
      <c r="DJ40" s="23">
        <v>0.2221429979133962</v>
      </c>
      <c r="DK40" s="25">
        <v>2.745543785173982E-6</v>
      </c>
      <c r="DL40" s="22">
        <v>1537.6493038446686</v>
      </c>
      <c r="DM40">
        <v>80910.382530766758</v>
      </c>
      <c r="DN40" s="19">
        <v>2167.9126784143218</v>
      </c>
      <c r="DO40" s="37">
        <v>1.4172367774535312E-4</v>
      </c>
      <c r="DP40" s="24">
        <v>2.7455437851739819E-3</v>
      </c>
      <c r="DQ40" s="12"/>
      <c r="DR40" s="27">
        <v>43906</v>
      </c>
      <c r="DS40" s="27" t="s">
        <v>767</v>
      </c>
      <c r="DT40" s="19">
        <v>81033</v>
      </c>
      <c r="DU40" s="19" t="s">
        <v>978</v>
      </c>
      <c r="DV40" s="27">
        <v>43906</v>
      </c>
      <c r="DW40">
        <v>55</v>
      </c>
      <c r="DX40" s="18" t="s">
        <v>979</v>
      </c>
      <c r="DZ40" t="s">
        <v>980</v>
      </c>
      <c r="ED40" s="26"/>
      <c r="EE40" s="26"/>
    </row>
    <row r="41" spans="2:138" x14ac:dyDescent="0.25">
      <c r="B41" s="1">
        <v>43882</v>
      </c>
      <c r="C41">
        <v>4</v>
      </c>
      <c r="D41" s="26">
        <v>0</v>
      </c>
      <c r="E41">
        <v>4</v>
      </c>
      <c r="F41">
        <v>0</v>
      </c>
      <c r="G41">
        <v>5</v>
      </c>
      <c r="H41">
        <v>2</v>
      </c>
      <c r="I41">
        <v>0</v>
      </c>
      <c r="J41">
        <v>4</v>
      </c>
      <c r="K41">
        <v>0</v>
      </c>
      <c r="L41" s="12">
        <f>IF(ISNUMBER(tblData[[#This Row],[NSW]]),tblData[[#This Row],[New South Wales]]/$L$9,"")</f>
        <v>4.9504950495049505</v>
      </c>
      <c r="M41" s="26">
        <v>20</v>
      </c>
      <c r="N41" s="49">
        <f>IF(ISNUMBER(tblData[Italy]),tblData[Italy]/$N$9,"")</f>
        <v>3.3085194375516958</v>
      </c>
      <c r="O41">
        <v>15</v>
      </c>
      <c r="P41" s="49">
        <f>IF(ISNUMBER(tblData[US]),tblData[US]/$P$9,"")</f>
        <v>0.45561166038539175</v>
      </c>
      <c r="Q41">
        <v>204</v>
      </c>
      <c r="R41" s="19">
        <f>IF(ISNUMBER(tblData[SKorea]),tblData[SKorea]/$R$9,"")</f>
        <v>39.688715953307394</v>
      </c>
      <c r="S41">
        <v>9</v>
      </c>
      <c r="T41" s="12">
        <f>IF(ISNUMBER(tblData[UK]),tblData[UK]/$T$9,"")</f>
        <v>1.3546056592414208</v>
      </c>
      <c r="U41">
        <v>75550</v>
      </c>
      <c r="V41" s="21">
        <f>IF(ISNUMBER(tblData[China]),tblData[China]/$V$9,"")</f>
        <v>524.89927047519291</v>
      </c>
      <c r="W41" s="26">
        <f>IF(tblData[[#This Row],[Date]]&lt;ItalyStart,"",tblData[[#This Row],[Date]]-ItalyStart)</f>
        <v>22</v>
      </c>
      <c r="X41" s="26">
        <f t="shared" si="5"/>
        <v>12</v>
      </c>
      <c r="Y41" s="26">
        <f t="shared" si="3"/>
        <v>30</v>
      </c>
      <c r="Z41" s="26">
        <f>IF(tblData[[#This Row],[Date]]&lt;StartDt2Korea,"",tblData[[#This Row],[Date]]-StartDt2Korea)</f>
        <v>2</v>
      </c>
      <c r="AA41" s="26">
        <f>IF(tblData[[#This Row],[Date]]&lt;UKStart,"",tblData[[#This Row],[Date]]-UKStart)</f>
        <v>22</v>
      </c>
      <c r="AB41">
        <f>IF(tblData[Date]&gt;=StartDt2Au,tblData[Date]-StartDt2Au,"")</f>
        <v>27</v>
      </c>
      <c r="AC41" s="26">
        <f>IF(tblData[New South Wales]&gt;0,SUM(tblData[[#This Row],[Australian Capital Territory]:[Western Australia]]),"")</f>
        <v>15</v>
      </c>
      <c r="AD41" s="12">
        <f>IF(ISNUMBER(tblData[Au]),tblData[Au]/$AA$9,"")</f>
        <v>5.9138937076170954</v>
      </c>
      <c r="AE41" s="19">
        <f>IF(ISNUMBER(tblData[[#This Row],[Day'# Aust]]),betaAu/(deltaAu+betaPodeltaAu*EXP(-betaAu*tblData[[#This Row],[Day'# Aust]])),"")</f>
        <v>2.6776910546689301</v>
      </c>
      <c r="AF41" s="72">
        <f>IF(ISNUMBER(tblData[Day'# Aust]),tblData[Au LogiP(t)]/$AD$9,"")</f>
        <v>1.055705351943278</v>
      </c>
      <c r="AG41" s="11">
        <f>IF(AND(tblData[Date]&gt;=StartDt2Au,ISNUMBER(tblData[NSW])),(tblData[[#This Row],[Au LogiP(t)]]-tblData[[#This Row],[Au]])^2,"")</f>
        <v>151.8392977441861</v>
      </c>
      <c r="AH41">
        <f>IF(tblData[Date]&gt;StartDt2NSW,tblData[Date]-StartDt2NSW,"")</f>
        <v>27</v>
      </c>
      <c r="AI41">
        <f t="shared" si="4"/>
        <v>4</v>
      </c>
      <c r="AJ41" s="11">
        <f>IF(tblData[Date]&gt;StartDt2NSW,betaNSW/(deltaNSW+betaPodeltaNSW*EXP(-betaNSW*tblData[[#This Row],[Day '# NSW]])),"")</f>
        <v>1.2245736913528042</v>
      </c>
      <c r="AK41" s="12">
        <f>IF(AND(ISNUMBER(tblData[NSW]),tblData[Date]&gt;StartDt2NSW),(tblData[[#This Row],[NSW LogiP(t)]]-tblData[[#This Row],[NSW]])^2,"")</f>
        <v>7.7029911947309992</v>
      </c>
      <c r="AL41" s="12">
        <f>IF(AND(tblData[Date]&gt;StartDt2NSW,ISNUMBER(tblData[Day'# Aust])),tblData[NSW LogiP(t)]/$AG$9,"")</f>
        <v>1.5155614991990152</v>
      </c>
      <c r="AM41" s="11">
        <f>IF(AND(tblData[Date]&gt;StartDt2Italy,ISNUMBER(tblData[Days'# Italy])),betaItaly/(deltaItaly+betaPodeltaItaly*EXP(-betaItaly*tblData[Days'# Italy])),"")</f>
        <v>135.06596620932896</v>
      </c>
      <c r="AN41" s="11">
        <f>IF(AND(tblData[Date]&gt;StartDt2Italy,ISNUMBER(tblData[Italy])),(tblData[[#This Row],[Italy LogiP(t)]]-tblData[[#This Row],[Italy]])^2,"")</f>
        <v>13240.176579686435</v>
      </c>
      <c r="AO41" s="44">
        <f>IF(AND(tblData[Date]&gt;StartDt2Italy,ISNUMBER(tblData[Days'# Italy])),tblData[[#This Row],[Italy LogiP(t)]]/$AM$9,"")</f>
        <v>22.343418727763268</v>
      </c>
      <c r="AP41" s="21">
        <f>IF(ISNUMBER(tblData[[#This Row],[Days'# US]]),betaUS/(deltaUS+betaPodeltaUS*EXP(-betaUS*tblData[Days'# US])),"")</f>
        <v>1.1092217101906321</v>
      </c>
      <c r="AQ41" s="11">
        <f>IF(ISNUMBER(tblData[US]),(tblData[[#This Row],[US LogiP(t)]]-tblData[US])^2,"")</f>
        <v>192.95372149663928</v>
      </c>
      <c r="AR41" s="21">
        <f>IF(ISNUMBER(tblData[[#This Row],[Days'# US]]),tblData[[#This Row],[US LogiP(t)]]/$AP$9,"")</f>
        <v>3.3691623007698512E-2</v>
      </c>
      <c r="AS41" s="21">
        <f>IF(tblData[Date]&gt;=StartDt2Korea,betaSKorea/(deltaSKorea+betaPodeltaSKorea*EXP(-betaSKorea*(tblData[Date]-StartDt2Korea))),"")</f>
        <v>328.59568679309189</v>
      </c>
      <c r="AT41" s="21">
        <f>IF(AND(tblData[Date]&gt;=StartDt2Korea,ISNUMBER(tblData[SKorea])),(tblData[[#This Row],[SKorea LogiP(t)]]-tblData[[#This Row],[SKorea]])^2,"")</f>
        <v>15524.085167442252</v>
      </c>
      <c r="AU41" s="21">
        <f>IF(tblData[Date]&gt;=StartDt2Korea,tblData[[#This Row],[SKorea LogiP(t)]]/$AS$9,"")</f>
        <v>63.929121944181304</v>
      </c>
      <c r="AV41" s="11">
        <f>IF(ISNUMBER(tblData[Days'# UK]),betaUK/(deltaUK+betaPodeltaUK*EXP(-betaUK*tblData[Days'# UK])),"")</f>
        <v>6.078665755339328</v>
      </c>
      <c r="AW41" s="21">
        <f>IF(ISNUMBER(tblData[UK]),(tblData[[#This Row],[UK LogiP(t)]]-tblData[[#This Row],[UK]])^2,"")</f>
        <v>8.534193769027139</v>
      </c>
      <c r="AX41" s="21">
        <f>IF(ISNUMBER(tblData[Days'# UK]),tblData[[#This Row],[UK LogiP(t)]]/$AV$9,"")</f>
        <v>0.91491055920218656</v>
      </c>
      <c r="AY41" s="11">
        <f>IF(ISNUMBER(tblData[Days'# China]),betaChina/(deltaChina+betaPodeltaChina*EXP(-betaChina*tblData[Days'# China])),"")</f>
        <v>75947.676415689974</v>
      </c>
      <c r="AZ41" s="11">
        <f>IF(ISNUMBER(tblData[China]),(tblData[[#This Row],[China LogiP(t)]]-tblData[[#This Row],[China]])^2,"")</f>
        <v>158146.53159602461</v>
      </c>
      <c r="BA41" s="11">
        <f>tblData[[#This Row],[China LogiP(t)]]/$AY$9</f>
        <v>527.6622097270905</v>
      </c>
      <c r="BB41" s="11"/>
      <c r="BC41" s="11"/>
      <c r="BD41" s="11" t="str">
        <f>IF(ISNUMBER(tblData[[#This Row],[NSW Number of Tests]]),tblData[[#This Row],[NSW Number of Tests]]-BB40,"")</f>
        <v/>
      </c>
      <c r="BE41" s="11" t="str">
        <f>IF(ISNUMBER(tblData[[#This Row],[NSW Under Investigation'']]),tblData[[#This Row],[NSW Under Investigation'']]-BC40,"")</f>
        <v/>
      </c>
      <c r="BF41" s="11"/>
      <c r="BG41" s="11" t="str">
        <f>IF(ISNUMBER(tblData[[#This Row],[NSW Test Day Number]]),betaTest/(deltaTest+betaPodeltaTest*EXP(-betaTest*tblData[[#This Row],[NSW Test Day Number]])),"")</f>
        <v/>
      </c>
      <c r="BH41" s="11" t="str">
        <f>IF(ISNUMBER(tblData[[#This Row],[NSW Number of Tests]]),(tblData[[#This Row],[NSW Number of Tests]]-tblData[[#This Row],[NSW Test Logi]])^2,"")</f>
        <v/>
      </c>
      <c r="DE41" t="s">
        <v>225</v>
      </c>
      <c r="DG41" s="27">
        <v>43852</v>
      </c>
      <c r="DI41">
        <v>4</v>
      </c>
      <c r="DJ41" s="23">
        <v>0.2221429979133962</v>
      </c>
      <c r="DK41" s="25">
        <v>2.7453499609305866E-6</v>
      </c>
      <c r="DL41" s="22">
        <v>1537.6493038446686</v>
      </c>
      <c r="DM41">
        <v>80916.09487851843</v>
      </c>
      <c r="DN41" s="19">
        <v>2148.5827606526632</v>
      </c>
      <c r="DO41" s="37">
        <v>1.4172387156959651E-4</v>
      </c>
      <c r="DP41" s="24">
        <v>2.7453499609305866E-3</v>
      </c>
      <c r="DQ41" s="12"/>
      <c r="DR41" s="27">
        <v>43907</v>
      </c>
      <c r="DS41" s="27" t="s">
        <v>767</v>
      </c>
      <c r="DT41" s="19">
        <v>81058</v>
      </c>
      <c r="DU41" s="19" t="s">
        <v>978</v>
      </c>
      <c r="DV41" s="27">
        <v>43907</v>
      </c>
      <c r="DW41">
        <v>56</v>
      </c>
      <c r="DX41" s="18" t="s">
        <v>979</v>
      </c>
      <c r="DZ41" t="s">
        <v>980</v>
      </c>
      <c r="EB41" t="s">
        <v>1018</v>
      </c>
      <c r="ED41" s="26"/>
      <c r="EE41" s="26"/>
    </row>
    <row r="42" spans="2:138" x14ac:dyDescent="0.25">
      <c r="B42" s="1">
        <v>43883</v>
      </c>
      <c r="C42">
        <v>7</v>
      </c>
      <c r="D42" s="26">
        <v>0</v>
      </c>
      <c r="E42">
        <v>4</v>
      </c>
      <c r="F42">
        <v>0</v>
      </c>
      <c r="G42">
        <v>5</v>
      </c>
      <c r="H42">
        <v>2</v>
      </c>
      <c r="I42">
        <v>0</v>
      </c>
      <c r="J42">
        <v>4</v>
      </c>
      <c r="K42">
        <v>0</v>
      </c>
      <c r="L42" s="12">
        <f>IF(ISNUMBER(tblData[[#This Row],[NSW]]),tblData[[#This Row],[New South Wales]]/$L$9,"")</f>
        <v>4.9504950495049505</v>
      </c>
      <c r="M42" s="26">
        <v>62</v>
      </c>
      <c r="N42" s="49">
        <f>IF(ISNUMBER(tblData[Italy]),tblData[Italy]/$N$9,"")</f>
        <v>10.256410256410257</v>
      </c>
      <c r="O42">
        <v>15</v>
      </c>
      <c r="P42" s="49">
        <f>IF(ISNUMBER(tblData[US]),tblData[US]/$P$9,"")</f>
        <v>0.45561166038539175</v>
      </c>
      <c r="Q42">
        <v>433</v>
      </c>
      <c r="R42" s="19">
        <f>IF(ISNUMBER(tblData[SKorea]),tblData[SKorea]/$R$9,"")</f>
        <v>84.241245136186777</v>
      </c>
      <c r="S42">
        <v>9</v>
      </c>
      <c r="T42" s="12">
        <f>IF(ISNUMBER(tblData[UK]),tblData[UK]/$T$9,"")</f>
        <v>1.3546056592414208</v>
      </c>
      <c r="U42">
        <v>77001</v>
      </c>
      <c r="V42" s="21">
        <f>IF(ISNUMBER(tblData[China]),tblData[China]/$V$9,"")</f>
        <v>534.98039345943528</v>
      </c>
      <c r="W42" s="26">
        <f>IF(tblData[[#This Row],[Date]]&lt;ItalyStart,"",tblData[[#This Row],[Date]]-ItalyStart)</f>
        <v>23</v>
      </c>
      <c r="X42" s="26">
        <f t="shared" si="5"/>
        <v>13</v>
      </c>
      <c r="Y42" s="26">
        <f t="shared" si="3"/>
        <v>31</v>
      </c>
      <c r="Z42" s="26">
        <f>IF(tblData[[#This Row],[Date]]&lt;StartDt2Korea,"",tblData[[#This Row],[Date]]-StartDt2Korea)</f>
        <v>3</v>
      </c>
      <c r="AA42" s="26">
        <f>IF(tblData[[#This Row],[Date]]&lt;UKStart,"",tblData[[#This Row],[Date]]-UKStart)</f>
        <v>23</v>
      </c>
      <c r="AB42">
        <f>IF(tblData[Date]&gt;=StartDt2Au,tblData[Date]-StartDt2Au,"")</f>
        <v>28</v>
      </c>
      <c r="AC42" s="26">
        <f>IF(tblData[New South Wales]&gt;0,SUM(tblData[[#This Row],[Australian Capital Territory]:[Western Australia]]),"")</f>
        <v>15</v>
      </c>
      <c r="AD42" s="12">
        <f>IF(ISNUMBER(tblData[Au]),tblData[Au]/$AA$9,"")</f>
        <v>5.9138937076170954</v>
      </c>
      <c r="AE42" s="19">
        <f>IF(ISNUMBER(tblData[[#This Row],[Day'# Aust]]),betaAu/(deltaAu+betaPodeltaAu*EXP(-betaAu*tblData[[#This Row],[Day'# Aust]])),"")</f>
        <v>3.2918317961872638</v>
      </c>
      <c r="AF42" s="72">
        <f>IF(ISNUMBER(tblData[Day'# Aust]),tblData[Au LogiP(t)]/$AD$9,"")</f>
        <v>1.2978362230670493</v>
      </c>
      <c r="AG42" s="11">
        <f>IF(AND(tblData[Date]&gt;=StartDt2Au,ISNUMBER(tblData[NSW])),(tblData[[#This Row],[Au LogiP(t)]]-tblData[[#This Row],[Au]])^2,"")</f>
        <v>137.08120268877155</v>
      </c>
      <c r="AH42">
        <f>IF(tblData[Date]&gt;StartDt2NSW,tblData[Date]-StartDt2NSW,"")</f>
        <v>28</v>
      </c>
      <c r="AI42">
        <f t="shared" si="4"/>
        <v>4</v>
      </c>
      <c r="AJ42" s="11">
        <f>IF(tblData[Date]&gt;StartDt2NSW,betaNSW/(deltaNSW+betaPodeltaNSW*EXP(-betaNSW*tblData[[#This Row],[Day '# NSW]])),"")</f>
        <v>1.5095236916741737</v>
      </c>
      <c r="AK42" s="12">
        <f>IF(AND(ISNUMBER(tblData[NSW]),tblData[Date]&gt;StartDt2NSW),(tblData[[#This Row],[NSW LogiP(t)]]-tblData[[#This Row],[NSW]])^2,"")</f>
        <v>6.2024722423322363</v>
      </c>
      <c r="AL42" s="12">
        <f>IF(AND(tblData[Date]&gt;StartDt2NSW,ISNUMBER(tblData[Day'# Aust])),tblData[NSW LogiP(t)]/$AG$9,"")</f>
        <v>1.8682223906858584</v>
      </c>
      <c r="AM42" s="11">
        <f>IF(AND(tblData[Date]&gt;StartDt2Italy,ISNUMBER(tblData[Days'# Italy])),betaItaly/(deltaItaly+betaPodeltaItaly*EXP(-betaItaly*tblData[Days'# Italy])),"")</f>
        <v>175.08130465497496</v>
      </c>
      <c r="AN42" s="11">
        <f>IF(AND(tblData[Date]&gt;StartDt2Italy,ISNUMBER(tblData[Italy])),(tblData[[#This Row],[Italy LogiP(t)]]-tblData[[#This Row],[Italy]])^2,"")</f>
        <v>12787.381462471261</v>
      </c>
      <c r="AO42" s="44">
        <f>IF(AND(tblData[Date]&gt;StartDt2Italy,ISNUMBER(tblData[Days'# Italy])),tblData[[#This Row],[Italy LogiP(t)]]/$AM$9,"")</f>
        <v>28.962994980144742</v>
      </c>
      <c r="AP42" s="21">
        <f>IF(ISNUMBER(tblData[[#This Row],[Days'# US]]),betaUS/(deltaUS+betaPodeltaUS*EXP(-betaUS*tblData[Days'# US])),"")</f>
        <v>1.5704369584055844</v>
      </c>
      <c r="AQ42" s="11">
        <f>IF(ISNUMBER(tblData[US]),(tblData[[#This Row],[US LogiP(t)]]-tblData[US])^2,"")</f>
        <v>180.35316348815863</v>
      </c>
      <c r="AR42" s="21">
        <f>IF(ISNUMBER(tblData[[#This Row],[Days'# US]]),tblData[[#This Row],[US LogiP(t)]]/$AP$9,"")</f>
        <v>4.770062600998351E-2</v>
      </c>
      <c r="AS42" s="21">
        <f>IF(tblData[Date]&gt;=StartDt2Korea,betaSKorea/(deltaSKorea+betaPodeltaSKorea*EXP(-betaSKorea*(tblData[Date]-StartDt2Korea))),"")</f>
        <v>448.2715598540359</v>
      </c>
      <c r="AT42" s="21">
        <f>IF(AND(tblData[Date]&gt;=StartDt2Korea,ISNUMBER(tblData[SKorea])),(tblData[[#This Row],[SKorea LogiP(t)]]-tblData[[#This Row],[SKorea]])^2,"")</f>
        <v>233.22054037540099</v>
      </c>
      <c r="AU42" s="21">
        <f>IF(tblData[Date]&gt;=StartDt2Korea,tblData[[#This Row],[SKorea LogiP(t)]]/$AS$9,"")</f>
        <v>87.212365730357178</v>
      </c>
      <c r="AV42" s="11">
        <f>IF(ISNUMBER(tblData[Days'# UK]),betaUK/(deltaUK+betaPodeltaUK*EXP(-betaUK*tblData[Days'# UK])),"")</f>
        <v>7.655164036638733</v>
      </c>
      <c r="AW42" s="21">
        <f>IF(ISNUMBER(tblData[UK]),(tblData[[#This Row],[UK LogiP(t)]]-tblData[[#This Row],[UK]])^2,"")</f>
        <v>1.8085837683498269</v>
      </c>
      <c r="AX42" s="21">
        <f>IF(ISNUMBER(tblData[Days'# UK]),tblData[[#This Row],[UK LogiP(t)]]/$AV$9,"")</f>
        <v>1.1521920584946919</v>
      </c>
      <c r="AY42" s="11">
        <f>IF(ISNUMBER(tblData[Days'# China]),betaChina/(deltaChina+betaPodeltaChina*EXP(-betaChina*tblData[Days'# China])),"")</f>
        <v>76894.451205256148</v>
      </c>
      <c r="AZ42" s="11">
        <f>IF(ISNUMBER(tblData[China]),(tblData[[#This Row],[China LogiP(t)]]-tblData[[#This Row],[China]])^2,"")</f>
        <v>11352.645661367576</v>
      </c>
      <c r="BA42" s="11">
        <f>tblData[[#This Row],[China LogiP(t)]]/$AY$9</f>
        <v>534.24012364300825</v>
      </c>
      <c r="BB42" s="11"/>
      <c r="BC42" s="11"/>
      <c r="BD42" s="11" t="str">
        <f>IF(ISNUMBER(tblData[[#This Row],[NSW Number of Tests]]),tblData[[#This Row],[NSW Number of Tests]]-BB41,"")</f>
        <v/>
      </c>
      <c r="BE42" s="11" t="str">
        <f>IF(ISNUMBER(tblData[[#This Row],[NSW Under Investigation'']]),tblData[[#This Row],[NSW Under Investigation'']]-BC41,"")</f>
        <v/>
      </c>
      <c r="BF42" s="11"/>
      <c r="BG42" s="11" t="str">
        <f>IF(ISNUMBER(tblData[[#This Row],[NSW Test Day Number]]),betaTest/(deltaTest+betaPodeltaTest*EXP(-betaTest*tblData[[#This Row],[NSW Test Day Number]])),"")</f>
        <v/>
      </c>
      <c r="BH42" s="11" t="str">
        <f>IF(ISNUMBER(tblData[[#This Row],[NSW Number of Tests]]),(tblData[[#This Row],[NSW Number of Tests]]-tblData[[#This Row],[NSW Test Logi]])^2,"")</f>
        <v/>
      </c>
      <c r="DE42" t="s">
        <v>225</v>
      </c>
      <c r="DG42" s="27">
        <v>43852</v>
      </c>
      <c r="DI42">
        <v>4</v>
      </c>
      <c r="DJ42" s="23">
        <v>0.2221429979133962</v>
      </c>
      <c r="DK42" s="25">
        <v>2.7453499609305866E-6</v>
      </c>
      <c r="DL42" s="22">
        <v>1537.6493038446686</v>
      </c>
      <c r="DM42" s="24">
        <v>80916.09487851843</v>
      </c>
      <c r="DN42" s="22">
        <v>2129.8209279691509</v>
      </c>
      <c r="DO42" s="37">
        <v>1.4172387156959651E-4</v>
      </c>
      <c r="DP42" s="24">
        <v>2.7453499609305866E-3</v>
      </c>
      <c r="DQ42" s="24"/>
      <c r="DR42" s="27">
        <v>43907</v>
      </c>
      <c r="DS42" s="27" t="s">
        <v>767</v>
      </c>
      <c r="DT42">
        <v>81102</v>
      </c>
      <c r="DU42" t="s">
        <v>978</v>
      </c>
      <c r="DV42" s="27">
        <v>43907</v>
      </c>
      <c r="DW42" s="19">
        <v>57</v>
      </c>
      <c r="DX42" s="27" t="s">
        <v>979</v>
      </c>
      <c r="DZ42" t="s">
        <v>980</v>
      </c>
      <c r="EB42" s="18" t="s">
        <v>1034</v>
      </c>
      <c r="EC42" s="21">
        <v>563.47294022606354</v>
      </c>
      <c r="ED42" s="27">
        <v>43874</v>
      </c>
      <c r="EE42" s="11">
        <v>35</v>
      </c>
      <c r="EF42" s="27">
        <v>43869</v>
      </c>
      <c r="EG42" s="11">
        <v>40</v>
      </c>
    </row>
    <row r="43" spans="2:138" x14ac:dyDescent="0.25">
      <c r="B43" s="1">
        <v>43884</v>
      </c>
      <c r="C43">
        <v>7</v>
      </c>
      <c r="D43" s="26">
        <v>0</v>
      </c>
      <c r="E43">
        <v>4</v>
      </c>
      <c r="F43">
        <v>0</v>
      </c>
      <c r="G43">
        <v>5</v>
      </c>
      <c r="H43">
        <v>2</v>
      </c>
      <c r="I43">
        <v>0</v>
      </c>
      <c r="J43">
        <v>4</v>
      </c>
      <c r="K43">
        <v>0</v>
      </c>
      <c r="L43" s="12">
        <f>IF(ISNUMBER(tblData[[#This Row],[NSW]]),tblData[[#This Row],[New South Wales]]/$L$9,"")</f>
        <v>4.9504950495049505</v>
      </c>
      <c r="M43" s="26">
        <v>155</v>
      </c>
      <c r="N43" s="49">
        <f>IF(ISNUMBER(tblData[Italy]),tblData[Italy]/$N$9,"")</f>
        <v>25.641025641025642</v>
      </c>
      <c r="O43">
        <v>15</v>
      </c>
      <c r="P43" s="49">
        <f>IF(ISNUMBER(tblData[US]),tblData[US]/$P$9,"")</f>
        <v>0.45561166038539175</v>
      </c>
      <c r="Q43">
        <v>602</v>
      </c>
      <c r="R43" s="19">
        <f>IF(ISNUMBER(tblData[SKorea]),tblData[SKorea]/$R$9,"")</f>
        <v>117.1206225680934</v>
      </c>
      <c r="S43">
        <v>9</v>
      </c>
      <c r="T43" s="12">
        <f>IF(ISNUMBER(tblData[UK]),tblData[UK]/$T$9,"")</f>
        <v>1.3546056592414208</v>
      </c>
      <c r="U43">
        <v>77022</v>
      </c>
      <c r="V43" s="21">
        <f>IF(ISNUMBER(tblData[China]),tblData[China]/$V$9,"")</f>
        <v>535.12629530827678</v>
      </c>
      <c r="W43" s="26">
        <f>IF(tblData[[#This Row],[Date]]&lt;ItalyStart,"",tblData[[#This Row],[Date]]-ItalyStart)</f>
        <v>24</v>
      </c>
      <c r="X43" s="26">
        <f t="shared" si="5"/>
        <v>14</v>
      </c>
      <c r="Y43" s="26">
        <f t="shared" si="3"/>
        <v>32</v>
      </c>
      <c r="Z43" s="26">
        <f>IF(tblData[[#This Row],[Date]]&lt;StartDt2Korea,"",tblData[[#This Row],[Date]]-StartDt2Korea)</f>
        <v>4</v>
      </c>
      <c r="AA43" s="26">
        <f>IF(tblData[[#This Row],[Date]]&lt;UKStart,"",tblData[[#This Row],[Date]]-UKStart)</f>
        <v>24</v>
      </c>
      <c r="AB43">
        <f>IF(tblData[Date]&gt;=StartDt2Au,tblData[Date]-StartDt2Au,"")</f>
        <v>29</v>
      </c>
      <c r="AC43" s="26">
        <f>IF(tblData[New South Wales]&gt;0,SUM(tblData[[#This Row],[Australian Capital Territory]:[Western Australia]]),"")</f>
        <v>15</v>
      </c>
      <c r="AD43" s="12">
        <f>IF(ISNUMBER(tblData[Au]),tblData[Au]/$AA$9,"")</f>
        <v>5.9138937076170954</v>
      </c>
      <c r="AE43" s="19">
        <f>IF(ISNUMBER(tblData[[#This Row],[Day'# Aust]]),betaAu/(deltaAu+betaPodeltaAu*EXP(-betaAu*tblData[[#This Row],[Day'# Aust]])),"")</f>
        <v>4.0468285346448951</v>
      </c>
      <c r="AF43" s="72">
        <f>IF(ISNUMBER(tblData[Day'# Aust]),tblData[Au LogiP(t)]/$AD$9,"")</f>
        <v>1.595500920456117</v>
      </c>
      <c r="AG43" s="11">
        <f>IF(AND(tblData[Date]&gt;=StartDt2Au,ISNUMBER(tblData[NSW])),(tblData[[#This Row],[Au LogiP(t)]]-tblData[[#This Row],[Au]])^2,"")</f>
        <v>119.9719651494693</v>
      </c>
      <c r="AH43">
        <f>IF(tblData[Date]&gt;StartDt2NSW,tblData[Date]-StartDt2NSW,"")</f>
        <v>29</v>
      </c>
      <c r="AI43">
        <f t="shared" si="4"/>
        <v>4</v>
      </c>
      <c r="AJ43" s="11">
        <f>IF(tblData[Date]&gt;StartDt2NSW,betaNSW/(deltaNSW+betaPodeltaNSW*EXP(-betaNSW*tblData[[#This Row],[Day '# NSW]])),"")</f>
        <v>1.8607343248622554</v>
      </c>
      <c r="AK43" s="12">
        <f>IF(AND(ISNUMBER(tblData[NSW]),tblData[Date]&gt;StartDt2NSW),(tblData[[#This Row],[NSW LogiP(t)]]-tblData[[#This Row],[NSW]])^2,"")</f>
        <v>4.5764576288225509</v>
      </c>
      <c r="AL43" s="12">
        <f>IF(AND(tblData[Date]&gt;StartDt2NSW,ISNUMBER(tblData[Day'# Aust])),tblData[NSW LogiP(t)]/$AG$9,"")</f>
        <v>2.3028890159186326</v>
      </c>
      <c r="AM43" s="11">
        <f>IF(AND(tblData[Date]&gt;StartDt2Italy,ISNUMBER(tblData[Days'# Italy])),betaItaly/(deltaItaly+betaPodeltaItaly*EXP(-betaItaly*tblData[Days'# Italy])),"")</f>
        <v>226.90312137882273</v>
      </c>
      <c r="AN43" s="11">
        <f>IF(AND(tblData[Date]&gt;StartDt2Italy,ISNUMBER(tblData[Italy])),(tblData[[#This Row],[Italy LogiP(t)]]-tblData[[#This Row],[Italy]])^2,"")</f>
        <v>5170.0588640177148</v>
      </c>
      <c r="AO43" s="44">
        <f>IF(AND(tblData[Date]&gt;StartDt2Italy,ISNUMBER(tblData[Days'# Italy])),tblData[[#This Row],[Italy LogiP(t)]]/$AM$9,"")</f>
        <v>37.535669376149336</v>
      </c>
      <c r="AP43" s="21">
        <f>IF(ISNUMBER(tblData[[#This Row],[Days'# US]]),betaUS/(deltaUS+betaPodeltaUS*EXP(-betaUS*tblData[Days'# US])),"")</f>
        <v>2.2234258636553692</v>
      </c>
      <c r="AQ43" s="11">
        <f>IF(ISNUMBER(tblData[US]),(tblData[[#This Row],[US LogiP(t)]]-tblData[US])^2,"")</f>
        <v>163.24084666151057</v>
      </c>
      <c r="AR43" s="21">
        <f>IF(ISNUMBER(tblData[[#This Row],[Days'# US]]),tblData[[#This Row],[US LogiP(t)]]/$AP$9,"")</f>
        <v>6.753458329892309E-2</v>
      </c>
      <c r="AS43" s="21">
        <f>IF(tblData[Date]&gt;=StartDt2Korea,betaSKorea/(deltaSKorea+betaPodeltaSKorea*EXP(-betaSKorea*(tblData[Date]-StartDt2Korea))),"")</f>
        <v>608.21631173525884</v>
      </c>
      <c r="AT43" s="21">
        <f>IF(AND(tblData[Date]&gt;=StartDt2Korea,ISNUMBER(tblData[SKorea])),(tblData[[#This Row],[SKorea LogiP(t)]]-tblData[[#This Row],[SKorea]])^2,"")</f>
        <v>38.642531589916793</v>
      </c>
      <c r="AU43" s="21">
        <f>IF(tblData[Date]&gt;=StartDt2Korea,tblData[[#This Row],[SKorea LogiP(t)]]/$AS$9,"")</f>
        <v>118.33002173837721</v>
      </c>
      <c r="AV43" s="11">
        <f>IF(ISNUMBER(tblData[Days'# UK]),betaUK/(deltaUK+betaPodeltaUK*EXP(-betaUK*tblData[Days'# UK])),"")</f>
        <v>9.6405261750850268</v>
      </c>
      <c r="AW43" s="21">
        <f>IF(ISNUMBER(tblData[UK]),(tblData[[#This Row],[UK LogiP(t)]]-tblData[[#This Row],[UK]])^2,"")</f>
        <v>0.41027378096905448</v>
      </c>
      <c r="AX43" s="21">
        <f>IF(ISNUMBER(tblData[Days'# UK]),tblData[[#This Row],[UK LogiP(t)]]/$AV$9,"")</f>
        <v>1.4510123683150251</v>
      </c>
      <c r="AY43" s="11">
        <f>IF(ISNUMBER(tblData[Days'# China]),betaChina/(deltaChina+betaPodeltaChina*EXP(-betaChina*tblData[Days'# China])),"")</f>
        <v>77669.821254662238</v>
      </c>
      <c r="AZ43" s="11">
        <f>IF(ISNUMBER(tblData[China]),(tblData[[#This Row],[China LogiP(t)]]-tblData[[#This Row],[China]])^2,"")</f>
        <v>419672.37799215631</v>
      </c>
      <c r="BA43" s="11">
        <f>tblData[[#This Row],[China LogiP(t)]]/$AY$9</f>
        <v>539.62716763085166</v>
      </c>
      <c r="BB43" s="11"/>
      <c r="BC43" s="11"/>
      <c r="BD43" s="11" t="str">
        <f>IF(ISNUMBER(tblData[[#This Row],[NSW Number of Tests]]),tblData[[#This Row],[NSW Number of Tests]]-BB42,"")</f>
        <v/>
      </c>
      <c r="BE43" s="11" t="str">
        <f>IF(ISNUMBER(tblData[[#This Row],[NSW Under Investigation'']]),tblData[[#This Row],[NSW Under Investigation'']]-BC42,"")</f>
        <v/>
      </c>
      <c r="BF43" s="11"/>
      <c r="BG43" s="11" t="str">
        <f>IF(ISNUMBER(tblData[[#This Row],[NSW Test Day Number]]),betaTest/(deltaTest+betaPodeltaTest*EXP(-betaTest*tblData[[#This Row],[NSW Test Day Number]])),"")</f>
        <v/>
      </c>
      <c r="BH43" s="11" t="str">
        <f>IF(ISNUMBER(tblData[[#This Row],[NSW Number of Tests]]),(tblData[[#This Row],[NSW Number of Tests]]-tblData[[#This Row],[NSW Test Logi]])^2,"")</f>
        <v/>
      </c>
      <c r="DE43" t="s">
        <v>225</v>
      </c>
      <c r="DG43" s="27">
        <v>43852</v>
      </c>
      <c r="DI43">
        <v>4</v>
      </c>
      <c r="DJ43">
        <v>0.2221429979133962</v>
      </c>
      <c r="DK43">
        <v>2.7451241687424546E-6</v>
      </c>
      <c r="DL43">
        <v>1537.6493038446686</v>
      </c>
      <c r="DM43">
        <v>80922.750396081436</v>
      </c>
      <c r="DN43" s="19">
        <v>2111.6231171407408</v>
      </c>
      <c r="DO43" s="12">
        <v>1.4172409736178465E-4</v>
      </c>
      <c r="DP43">
        <v>2.7451241687424547E-3</v>
      </c>
      <c r="DR43" s="27">
        <v>43909</v>
      </c>
      <c r="DS43" t="s">
        <v>767</v>
      </c>
      <c r="DT43">
        <v>81156</v>
      </c>
      <c r="DU43" t="s">
        <v>978</v>
      </c>
      <c r="DV43" s="27">
        <v>43909</v>
      </c>
      <c r="DW43">
        <v>58</v>
      </c>
      <c r="DX43" t="s">
        <v>979</v>
      </c>
      <c r="DZ43" t="s">
        <v>980</v>
      </c>
      <c r="EB43" t="s">
        <v>1325</v>
      </c>
      <c r="EC43">
        <v>563.84811640879889</v>
      </c>
      <c r="ED43" s="26">
        <v>43876</v>
      </c>
      <c r="EE43" s="26">
        <v>34</v>
      </c>
      <c r="EF43">
        <v>43874</v>
      </c>
      <c r="EG43">
        <v>36</v>
      </c>
    </row>
    <row r="44" spans="2:138" x14ac:dyDescent="0.25">
      <c r="B44" s="1">
        <v>43885</v>
      </c>
      <c r="C44">
        <v>7</v>
      </c>
      <c r="D44" s="26">
        <v>0</v>
      </c>
      <c r="E44">
        <v>4</v>
      </c>
      <c r="F44">
        <v>0</v>
      </c>
      <c r="G44">
        <v>5</v>
      </c>
      <c r="H44">
        <v>2</v>
      </c>
      <c r="I44">
        <v>0</v>
      </c>
      <c r="J44">
        <v>4</v>
      </c>
      <c r="K44">
        <v>0</v>
      </c>
      <c r="L44" s="12">
        <f>IF(ISNUMBER(tblData[[#This Row],[NSW]]),tblData[[#This Row],[New South Wales]]/$L$9,"")</f>
        <v>4.9504950495049505</v>
      </c>
      <c r="M44" s="26">
        <v>229</v>
      </c>
      <c r="N44" s="49">
        <f>IF(ISNUMBER(tblData[Italy]),tblData[Italy]/$N$9,"")</f>
        <v>37.882547559966916</v>
      </c>
      <c r="O44">
        <v>51</v>
      </c>
      <c r="P44" s="49">
        <f>IF(ISNUMBER(tblData[US]),tblData[US]/$P$9,"")</f>
        <v>1.5490796453103319</v>
      </c>
      <c r="Q44">
        <v>833</v>
      </c>
      <c r="R44" s="19">
        <f>IF(ISNUMBER(tblData[SKorea]),tblData[SKorea]/$R$9,"")</f>
        <v>162.06225680933852</v>
      </c>
      <c r="S44">
        <v>13</v>
      </c>
      <c r="T44" s="12">
        <f>IF(ISNUMBER(tblData[UK]),tblData[UK]/$T$9,"")</f>
        <v>1.9566526189042746</v>
      </c>
      <c r="U44">
        <v>77241</v>
      </c>
      <c r="V44" s="21">
        <f>IF(ISNUMBER(tblData[China]),tblData[China]/$V$9,"")</f>
        <v>536.64784316048156</v>
      </c>
      <c r="W44" s="26">
        <f>IF(tblData[[#This Row],[Date]]&lt;ItalyStart,"",tblData[[#This Row],[Date]]-ItalyStart)</f>
        <v>25</v>
      </c>
      <c r="X44" s="26">
        <f t="shared" si="5"/>
        <v>15</v>
      </c>
      <c r="Y44" s="26">
        <f t="shared" si="3"/>
        <v>33</v>
      </c>
      <c r="Z44" s="26">
        <f>IF(tblData[[#This Row],[Date]]&lt;StartDt2Korea,"",tblData[[#This Row],[Date]]-StartDt2Korea)</f>
        <v>5</v>
      </c>
      <c r="AA44" s="26">
        <f>IF(tblData[[#This Row],[Date]]&lt;UKStart,"",tblData[[#This Row],[Date]]-UKStart)</f>
        <v>25</v>
      </c>
      <c r="AB44">
        <f>IF(tblData[Date]&gt;=StartDt2Au,tblData[Date]-StartDt2Au,"")</f>
        <v>30</v>
      </c>
      <c r="AC44" s="26">
        <f>IF(tblData[New South Wales]&gt;0,SUM(tblData[[#This Row],[Australian Capital Territory]:[Western Australia]]),"")</f>
        <v>15</v>
      </c>
      <c r="AD44" s="12">
        <f>IF(ISNUMBER(tblData[Au]),tblData[Au]/$AA$9,"")</f>
        <v>5.9138937076170954</v>
      </c>
      <c r="AE44" s="19">
        <f>IF(ISNUMBER(tblData[[#This Row],[Day'# Aust]]),betaAu/(deltaAu+betaPodeltaAu*EXP(-betaAu*tblData[[#This Row],[Day'# Aust]])),"")</f>
        <v>4.9749872378202538</v>
      </c>
      <c r="AF44" s="72">
        <f>IF(ISNUMBER(tblData[Day'# Aust]),tblData[Au LogiP(t)]/$AD$9,"")</f>
        <v>1.9614363814147033</v>
      </c>
      <c r="AG44" s="11">
        <f>IF(AND(tblData[Date]&gt;=StartDt2Au,ISNUMBER(tblData[NSW])),(tblData[[#This Row],[Au LogiP(t)]]-tblData[[#This Row],[Au]])^2,"")</f>
        <v>100.50088088186676</v>
      </c>
      <c r="AH44">
        <f>IF(tblData[Date]&gt;StartDt2NSW,tblData[Date]-StartDt2NSW,"")</f>
        <v>30</v>
      </c>
      <c r="AI44">
        <f t="shared" si="4"/>
        <v>4</v>
      </c>
      <c r="AJ44" s="11">
        <f>IF(tblData[Date]&gt;StartDt2NSW,betaNSW/(deltaNSW+betaPodeltaNSW*EXP(-betaNSW*tblData[[#This Row],[Day '# NSW]])),"")</f>
        <v>2.2935899299778564</v>
      </c>
      <c r="AK44" s="12">
        <f>IF(AND(ISNUMBER(tblData[NSW]),tblData[Date]&gt;StartDt2NSW),(tblData[[#This Row],[NSW LogiP(t)]]-tblData[[#This Row],[NSW]])^2,"")</f>
        <v>2.9118353270729771</v>
      </c>
      <c r="AL44" s="12">
        <f>IF(AND(tblData[Date]&gt;StartDt2NSW,ISNUMBER(tblData[Day'# Aust])),tblData[NSW LogiP(t)]/$AG$9,"")</f>
        <v>2.8386013984874459</v>
      </c>
      <c r="AM44" s="11">
        <f>IF(AND(tblData[Date]&gt;StartDt2Italy,ISNUMBER(tblData[Days'# Italy])),betaItaly/(deltaItaly+betaPodeltaItaly*EXP(-betaItaly*tblData[Days'# Italy])),"")</f>
        <v>293.98188097707725</v>
      </c>
      <c r="AN44" s="11">
        <f>IF(AND(tblData[Date]&gt;StartDt2Italy,ISNUMBER(tblData[Italy])),(tblData[[#This Row],[Italy LogiP(t)]]-tblData[[#This Row],[Italy]])^2,"")</f>
        <v>4222.6448553190348</v>
      </c>
      <c r="AO44" s="44">
        <f>IF(AND(tblData[Date]&gt;StartDt2Italy,ISNUMBER(tblData[Days'# Italy])),tblData[[#This Row],[Italy LogiP(t)]]/$AM$9,"")</f>
        <v>48.632238375033459</v>
      </c>
      <c r="AP44" s="21">
        <f>IF(ISNUMBER(tblData[[#This Row],[Days'# US]]),betaUS/(deltaUS+betaPodeltaUS*EXP(-betaUS*tblData[Days'# US])),"")</f>
        <v>3.1479280596721866</v>
      </c>
      <c r="AQ44" s="11">
        <f>IF(ISNUMBER(tblData[US]),(tblData[[#This Row],[US LogiP(t)]]-tblData[US])^2,"")</f>
        <v>2289.8207889823084</v>
      </c>
      <c r="AR44" s="21">
        <f>IF(ISNUMBER(tblData[[#This Row],[Days'# US]]),tblData[[#This Row],[US LogiP(t)]]/$AP$9,"")</f>
        <v>9.5615515336067297E-2</v>
      </c>
      <c r="AS44" s="21">
        <f>IF(tblData[Date]&gt;=StartDt2Korea,betaSKorea/(deltaSKorea+betaPodeltaSKorea*EXP(-betaSKorea*(tblData[Date]-StartDt2Korea))),"")</f>
        <v>819.28970445040068</v>
      </c>
      <c r="AT44" s="21">
        <f>IF(AND(tblData[Date]&gt;=StartDt2Korea,ISNUMBER(tblData[SKorea])),(tblData[[#This Row],[SKorea LogiP(t)]]-tblData[[#This Row],[SKorea]])^2,"")</f>
        <v>187.972204057363</v>
      </c>
      <c r="AU44" s="21">
        <f>IF(tblData[Date]&gt;=StartDt2Korea,tblData[[#This Row],[SKorea LogiP(t)]]/$AS$9,"")</f>
        <v>159.3948841343192</v>
      </c>
      <c r="AV44" s="11">
        <f>IF(ISNUMBER(tblData[Days'# UK]),betaUK/(deltaUK+betaPodeltaUK*EXP(-betaUK*tblData[Days'# UK])),"")</f>
        <v>12.140790749897526</v>
      </c>
      <c r="AW44" s="21">
        <f>IF(ISNUMBER(tblData[UK]),(tblData[[#This Row],[UK LogiP(t)]]-tblData[[#This Row],[UK]])^2,"")</f>
        <v>0.73824053546165525</v>
      </c>
      <c r="AX44" s="21">
        <f>IF(ISNUMBER(tblData[Days'# UK]),tblData[[#This Row],[UK LogiP(t)]]/$AV$9,"")</f>
        <v>1.8273315397196759</v>
      </c>
      <c r="AY44" s="11">
        <f>IF(ISNUMBER(tblData[Days'# China]),betaChina/(deltaChina+betaPodeltaChina*EXP(-betaChina*tblData[Days'# China])),"")</f>
        <v>78302.104943611004</v>
      </c>
      <c r="AZ44" s="11">
        <f>IF(ISNUMBER(tblData[China]),(tblData[[#This Row],[China LogiP(t)]]-tblData[[#This Row],[China]])^2,"")</f>
        <v>1125943.7013557125</v>
      </c>
      <c r="BA44" s="11">
        <f>tblData[[#This Row],[China LogiP(t)]]/$AY$9</f>
        <v>544.02008949799358</v>
      </c>
      <c r="BB44" s="11"/>
      <c r="BC44" s="11"/>
      <c r="BD44" s="11" t="str">
        <f>IF(ISNUMBER(tblData[[#This Row],[NSW Number of Tests]]),tblData[[#This Row],[NSW Number of Tests]]-BB43,"")</f>
        <v/>
      </c>
      <c r="BE44" s="11" t="str">
        <f>IF(ISNUMBER(tblData[[#This Row],[NSW Under Investigation'']]),tblData[[#This Row],[NSW Under Investigation'']]-BC43,"")</f>
        <v/>
      </c>
      <c r="BF44" s="11"/>
      <c r="BG44" s="11" t="str">
        <f>IF(ISNUMBER(tblData[[#This Row],[NSW Test Day Number]]),betaTest/(deltaTest+betaPodeltaTest*EXP(-betaTest*tblData[[#This Row],[NSW Test Day Number]])),"")</f>
        <v/>
      </c>
      <c r="BH44" s="11" t="str">
        <f>IF(ISNUMBER(tblData[[#This Row],[NSW Number of Tests]]),(tblData[[#This Row],[NSW Number of Tests]]-tblData[[#This Row],[NSW Test Logi]])^2,"")</f>
        <v/>
      </c>
      <c r="DE44" t="s">
        <v>225</v>
      </c>
      <c r="DF44" s="82">
        <v>43911.866319444445</v>
      </c>
      <c r="DG44" s="27">
        <v>43852</v>
      </c>
      <c r="DH44" s="27">
        <v>43852</v>
      </c>
      <c r="DI44">
        <v>4</v>
      </c>
      <c r="DJ44">
        <v>0.2221429979133962</v>
      </c>
      <c r="DK44">
        <v>2.744154619604968E-6</v>
      </c>
      <c r="DL44">
        <v>1537.6493038446686</v>
      </c>
      <c r="DM44">
        <v>80951.341563025548</v>
      </c>
      <c r="DN44" s="19">
        <v>2094.0856057837377</v>
      </c>
      <c r="DO44" s="12">
        <v>1.4172506691092213E-4</v>
      </c>
      <c r="DP44">
        <v>2.744154619604968E-3</v>
      </c>
      <c r="DR44" s="27">
        <v>43910</v>
      </c>
      <c r="DS44" t="s">
        <v>1478</v>
      </c>
      <c r="DT44">
        <v>81250</v>
      </c>
      <c r="DU44" t="s">
        <v>978</v>
      </c>
      <c r="DV44" s="27">
        <v>43910</v>
      </c>
      <c r="DW44">
        <v>59</v>
      </c>
      <c r="DX44" t="s">
        <v>1477</v>
      </c>
      <c r="DZ44" t="s">
        <v>980</v>
      </c>
      <c r="EB44" t="s">
        <v>1504</v>
      </c>
      <c r="EC44">
        <v>564.50120087504206</v>
      </c>
      <c r="ED44">
        <v>43886</v>
      </c>
      <c r="EE44">
        <v>25</v>
      </c>
      <c r="EF44">
        <v>43875</v>
      </c>
      <c r="EG44">
        <v>36</v>
      </c>
    </row>
    <row r="45" spans="2:138" x14ac:dyDescent="0.25">
      <c r="B45" s="1">
        <v>43886</v>
      </c>
      <c r="C45">
        <v>7</v>
      </c>
      <c r="D45" s="26">
        <v>0</v>
      </c>
      <c r="E45">
        <v>4</v>
      </c>
      <c r="F45">
        <v>0</v>
      </c>
      <c r="G45">
        <v>5</v>
      </c>
      <c r="H45">
        <v>2</v>
      </c>
      <c r="I45">
        <v>0</v>
      </c>
      <c r="J45">
        <v>4</v>
      </c>
      <c r="K45">
        <v>0</v>
      </c>
      <c r="L45" s="12">
        <f>IF(ISNUMBER(tblData[[#This Row],[NSW]]),tblData[[#This Row],[New South Wales]]/$L$9,"")</f>
        <v>4.9504950495049505</v>
      </c>
      <c r="M45" s="26">
        <v>322</v>
      </c>
      <c r="N45" s="49">
        <f>IF(ISNUMBER(tblData[Italy]),tblData[Italy]/$N$9,"")</f>
        <v>53.267162944582303</v>
      </c>
      <c r="O45">
        <v>51</v>
      </c>
      <c r="P45" s="49">
        <f>IF(ISNUMBER(tblData[US]),tblData[US]/$P$9,"")</f>
        <v>1.5490796453103319</v>
      </c>
      <c r="Q45">
        <v>977</v>
      </c>
      <c r="R45" s="19">
        <f>IF(ISNUMBER(tblData[SKorea]),tblData[SKorea]/$R$9,"")</f>
        <v>190.07782101167317</v>
      </c>
      <c r="S45">
        <v>13</v>
      </c>
      <c r="T45" s="12">
        <f>IF(ISNUMBER(tblData[UK]),tblData[UK]/$T$9,"")</f>
        <v>1.9566526189042746</v>
      </c>
      <c r="U45">
        <v>77754</v>
      </c>
      <c r="V45" s="21">
        <f>IF(ISNUMBER(tblData[China]),tblData[China]/$V$9,"")</f>
        <v>540.21201689646796</v>
      </c>
      <c r="W45" s="26">
        <f>IF(tblData[[#This Row],[Date]]&lt;ItalyStart,"",tblData[[#This Row],[Date]]-ItalyStart)</f>
        <v>26</v>
      </c>
      <c r="X45" s="26">
        <f t="shared" si="5"/>
        <v>16</v>
      </c>
      <c r="Y45" s="26">
        <f t="shared" si="3"/>
        <v>34</v>
      </c>
      <c r="Z45" s="26">
        <f>IF(tblData[[#This Row],[Date]]&lt;StartDt2Korea,"",tblData[[#This Row],[Date]]-StartDt2Korea)</f>
        <v>6</v>
      </c>
      <c r="AA45" s="26">
        <f>IF(tblData[[#This Row],[Date]]&lt;UKStart,"",tblData[[#This Row],[Date]]-UKStart)</f>
        <v>26</v>
      </c>
      <c r="AB45">
        <f>IF(tblData[Date]&gt;=StartDt2Au,tblData[Date]-StartDt2Au,"")</f>
        <v>31</v>
      </c>
      <c r="AC45" s="26">
        <f>IF(tblData[New South Wales]&gt;0,SUM(tblData[[#This Row],[Australian Capital Territory]:[Western Australia]]),"")</f>
        <v>15</v>
      </c>
      <c r="AD45" s="12">
        <f>IF(ISNUMBER(tblData[Au]),tblData[Au]/$AA$9,"")</f>
        <v>5.9138937076170954</v>
      </c>
      <c r="AE45" s="19">
        <f>IF(ISNUMBER(tblData[[#This Row],[Day'# Aust]]),betaAu/(deltaAu+betaPodeltaAu*EXP(-betaAu*tblData[[#This Row],[Day'# Aust]])),"")</f>
        <v>6.1160233943862901</v>
      </c>
      <c r="AF45" s="72">
        <f>IF(ISNUMBER(tblData[Day'# Aust]),tblData[Au LogiP(t)]/$AD$9,"")</f>
        <v>2.4113008178466684</v>
      </c>
      <c r="AG45" s="11">
        <f>IF(AND(tblData[Date]&gt;=StartDt2Au,ISNUMBER(tblData[NSW])),(tblData[[#This Row],[Au LogiP(t)]]-tblData[[#This Row],[Au]])^2,"")</f>
        <v>78.925040329091715</v>
      </c>
      <c r="AH45">
        <f>IF(tblData[Date]&gt;StartDt2NSW,tblData[Date]-StartDt2NSW,"")</f>
        <v>31</v>
      </c>
      <c r="AI45">
        <f t="shared" si="4"/>
        <v>4</v>
      </c>
      <c r="AJ45" s="11">
        <f>IF(tblData[Date]&gt;StartDt2NSW,betaNSW/(deltaNSW+betaPodeltaNSW*EXP(-betaNSW*tblData[[#This Row],[Day '# NSW]])),"")</f>
        <v>2.8270345548558118</v>
      </c>
      <c r="AK45" s="12">
        <f>IF(AND(ISNUMBER(tblData[NSW]),tblData[Date]&gt;StartDt2NSW),(tblData[[#This Row],[NSW LogiP(t)]]-tblData[[#This Row],[NSW]])^2,"")</f>
        <v>1.3758479355023037</v>
      </c>
      <c r="AL45" s="12">
        <f>IF(AND(tblData[Date]&gt;StartDt2NSW,ISNUMBER(tblData[Day'# Aust])),tblData[NSW LogiP(t)]/$AG$9,"")</f>
        <v>3.4988051421482815</v>
      </c>
      <c r="AM45" s="11">
        <f>IF(AND(tblData[Date]&gt;StartDt2Italy,ISNUMBER(tblData[Days'# Italy])),betaItaly/(deltaItaly+betaPodeltaItaly*EXP(-betaItaly*tblData[Days'# Italy])),"")</f>
        <v>380.75410948610892</v>
      </c>
      <c r="AN45" s="11">
        <f>IF(AND(tblData[Date]&gt;StartDt2Italy,ISNUMBER(tblData[Italy])),(tblData[[#This Row],[Italy LogiP(t)]]-tblData[[#This Row],[Italy]])^2,"")</f>
        <v>3452.045381505674</v>
      </c>
      <c r="AO45" s="44">
        <f>IF(AND(tblData[Date]&gt;StartDt2Italy,ISNUMBER(tblData[Days'# Italy])),tblData[[#This Row],[Italy LogiP(t)]]/$AM$9,"")</f>
        <v>62.986618608123891</v>
      </c>
      <c r="AP45" s="21">
        <f>IF(ISNUMBER(tblData[[#This Row],[Days'# US]]),betaUS/(deltaUS+betaPodeltaUS*EXP(-betaUS*tblData[Days'# US])),"")</f>
        <v>4.4568389798364167</v>
      </c>
      <c r="AQ45" s="11">
        <f>IF(ISNUMBER(tblData[US]),(tblData[[#This Row],[US LogiP(t)]]-tblData[US])^2,"")</f>
        <v>2166.2658377488747</v>
      </c>
      <c r="AR45" s="21">
        <f>IF(ISNUMBER(tblData[[#This Row],[Days'# US]]),tblData[[#This Row],[US LogiP(t)]]/$AP$9,"")</f>
        <v>0.1353725205115737</v>
      </c>
      <c r="AS45" s="21">
        <f>IF(tblData[Date]&gt;=StartDt2Korea,betaSKorea/(deltaSKorea+betaPodeltaSKorea*EXP(-betaSKorea*(tblData[Date]-StartDt2Korea))),"")</f>
        <v>1093.2285134918898</v>
      </c>
      <c r="AT45" s="21">
        <f>IF(AND(tblData[Date]&gt;=StartDt2Korea,ISNUMBER(tblData[SKorea])),(tblData[[#This Row],[SKorea LogiP(t)]]-tblData[[#This Row],[SKorea]])^2,"")</f>
        <v>13509.067348534403</v>
      </c>
      <c r="AU45" s="21">
        <f>IF(tblData[Date]&gt;=StartDt2Korea,tblData[[#This Row],[SKorea LogiP(t)]]/$AS$9,"")</f>
        <v>212.69037227468675</v>
      </c>
      <c r="AV45" s="11">
        <f>IF(ISNUMBER(tblData[Days'# UK]),betaUK/(deltaUK+betaPodeltaUK*EXP(-betaUK*tblData[Days'# UK])),"")</f>
        <v>15.289497371963387</v>
      </c>
      <c r="AW45" s="21">
        <f>IF(ISNUMBER(tblData[UK]),(tblData[[#This Row],[UK LogiP(t)]]-tblData[[#This Row],[UK]])^2,"")</f>
        <v>5.2417982162272558</v>
      </c>
      <c r="AX45" s="21">
        <f>IF(ISNUMBER(tblData[Days'# UK]),tblData[[#This Row],[UK LogiP(t)]]/$AV$9,"")</f>
        <v>2.3012488518909371</v>
      </c>
      <c r="AY45" s="11">
        <f>IF(ISNUMBER(tblData[Days'# China]),betaChina/(deltaChina+betaPodeltaChina*EXP(-betaChina*tblData[Days'# China])),"")</f>
        <v>78815.90966052578</v>
      </c>
      <c r="AZ45" s="11">
        <f>IF(ISNUMBER(tblData[China]),(tblData[[#This Row],[China LogiP(t)]]-tblData[[#This Row],[China]])^2,"")</f>
        <v>1127652.1271179775</v>
      </c>
      <c r="BA45" s="11">
        <f>tblData[[#This Row],[China LogiP(t)]]/$AY$9</f>
        <v>547.5898541713924</v>
      </c>
      <c r="BB45" s="11"/>
      <c r="BC45" s="11"/>
      <c r="BD45" s="11" t="str">
        <f>IF(ISNUMBER(tblData[[#This Row],[NSW Number of Tests]]),tblData[[#This Row],[NSW Number of Tests]]-BB44,"")</f>
        <v/>
      </c>
      <c r="BE45" s="11" t="str">
        <f>IF(ISNUMBER(tblData[[#This Row],[NSW Under Investigation'']]),tblData[[#This Row],[NSW Under Investigation'']]-BC44,"")</f>
        <v/>
      </c>
      <c r="BF45" s="11"/>
      <c r="BG45" s="11" t="str">
        <f>IF(ISNUMBER(tblData[[#This Row],[NSW Test Day Number]]),betaTest/(deltaTest+betaPodeltaTest*EXP(-betaTest*tblData[[#This Row],[NSW Test Day Number]])),"")</f>
        <v/>
      </c>
      <c r="BH45" s="11" t="str">
        <f>IF(ISNUMBER(tblData[[#This Row],[NSW Number of Tests]]),(tblData[[#This Row],[NSW Number of Tests]]-tblData[[#This Row],[NSW Test Logi]])^2,"")</f>
        <v/>
      </c>
      <c r="DE45" t="s">
        <v>1293</v>
      </c>
      <c r="DF45" s="82">
        <v>43911.866331018522</v>
      </c>
      <c r="DG45" s="27">
        <v>43852</v>
      </c>
      <c r="DH45" s="27">
        <v>43880</v>
      </c>
      <c r="DI45">
        <v>5</v>
      </c>
      <c r="DJ45">
        <v>0.32566109072274135</v>
      </c>
      <c r="DK45">
        <v>3.9144727914542807E-5</v>
      </c>
      <c r="DL45">
        <v>174.6164952155498</v>
      </c>
      <c r="DM45">
        <v>8319.4112738168697</v>
      </c>
      <c r="DN45" s="19">
        <v>139.72665717739883</v>
      </c>
      <c r="DO45" s="12">
        <v>1.8258628724312283E-3</v>
      </c>
      <c r="DP45">
        <v>3.9144727914542807E-2</v>
      </c>
      <c r="DR45" s="27">
        <v>43910</v>
      </c>
      <c r="DS45" t="s">
        <v>1479</v>
      </c>
      <c r="DT45">
        <v>8652</v>
      </c>
      <c r="DU45" t="s">
        <v>1480</v>
      </c>
      <c r="DV45" s="27">
        <v>43910</v>
      </c>
      <c r="DW45">
        <v>59</v>
      </c>
      <c r="DX45" t="s">
        <v>1481</v>
      </c>
      <c r="DZ45" t="s">
        <v>1482</v>
      </c>
      <c r="EA45" t="s">
        <v>1302</v>
      </c>
      <c r="EB45" t="s">
        <v>1505</v>
      </c>
      <c r="EC45">
        <v>1683.2684824902724</v>
      </c>
      <c r="ED45">
        <v>43890</v>
      </c>
      <c r="EE45">
        <v>21</v>
      </c>
      <c r="EF45">
        <v>43889</v>
      </c>
      <c r="EG45">
        <v>22</v>
      </c>
    </row>
    <row r="46" spans="2:138" x14ac:dyDescent="0.25">
      <c r="B46" s="1">
        <v>43887</v>
      </c>
      <c r="C46">
        <v>7</v>
      </c>
      <c r="D46" s="26">
        <v>0</v>
      </c>
      <c r="E46">
        <v>4</v>
      </c>
      <c r="F46">
        <v>0</v>
      </c>
      <c r="G46">
        <v>5</v>
      </c>
      <c r="H46">
        <v>2</v>
      </c>
      <c r="I46">
        <v>0</v>
      </c>
      <c r="J46">
        <v>4</v>
      </c>
      <c r="K46">
        <v>0</v>
      </c>
      <c r="L46" s="12">
        <f>IF(ISNUMBER(tblData[[#This Row],[NSW]]),tblData[[#This Row],[New South Wales]]/$L$9,"")</f>
        <v>4.9504950495049505</v>
      </c>
      <c r="M46" s="26">
        <v>453</v>
      </c>
      <c r="N46" s="49">
        <f>IF(ISNUMBER(tblData[Italy]),tblData[Italy]/$N$9,"")</f>
        <v>74.937965260545909</v>
      </c>
      <c r="O46">
        <v>57</v>
      </c>
      <c r="P46" s="49">
        <f>IF(ISNUMBER(tblData[US]),tblData[US]/$P$9,"")</f>
        <v>1.7313243094644886</v>
      </c>
      <c r="Q46">
        <v>1261</v>
      </c>
      <c r="R46" s="19">
        <f>IF(ISNUMBER(tblData[SKorea]),tblData[SKorea]/$R$9,"")</f>
        <v>245.33073929961091</v>
      </c>
      <c r="S46">
        <v>13</v>
      </c>
      <c r="T46" s="12">
        <f>IF(ISNUMBER(tblData[UK]),tblData[UK]/$T$9,"")</f>
        <v>1.9566526189042746</v>
      </c>
      <c r="U46">
        <v>78166</v>
      </c>
      <c r="V46" s="21">
        <f>IF(ISNUMBER(tblData[China]),tblData[China]/$V$9,"")</f>
        <v>543.07447221659743</v>
      </c>
      <c r="W46" s="26">
        <f>IF(tblData[[#This Row],[Date]]&lt;ItalyStart,"",tblData[[#This Row],[Date]]-ItalyStart)</f>
        <v>27</v>
      </c>
      <c r="X46" s="26">
        <f t="shared" si="5"/>
        <v>17</v>
      </c>
      <c r="Y46" s="26">
        <f t="shared" si="3"/>
        <v>35</v>
      </c>
      <c r="Z46" s="26">
        <f>IF(tblData[[#This Row],[Date]]&lt;StartDt2Korea,"",tblData[[#This Row],[Date]]-StartDt2Korea)</f>
        <v>7</v>
      </c>
      <c r="AA46" s="26">
        <f>IF(tblData[[#This Row],[Date]]&lt;UKStart,"",tblData[[#This Row],[Date]]-UKStart)</f>
        <v>27</v>
      </c>
      <c r="AB46">
        <f>IF(tblData[Date]&gt;=StartDt2Au,tblData[Date]-StartDt2Au,"")</f>
        <v>32</v>
      </c>
      <c r="AC46" s="26">
        <f>IF(tblData[New South Wales]&gt;0,SUM(tblData[[#This Row],[Australian Capital Territory]:[Western Australia]]),"")</f>
        <v>15</v>
      </c>
      <c r="AD46" s="12">
        <f>IF(ISNUMBER(tblData[Au]),tblData[Au]/$AA$9,"")</f>
        <v>5.9138937076170954</v>
      </c>
      <c r="AE46" s="19">
        <f>IF(ISNUMBER(tblData[[#This Row],[Day'# Aust]]),betaAu/(deltaAu+betaPodeltaAu*EXP(-betaAu*tblData[[#This Row],[Day'# Aust]])),"")</f>
        <v>7.5187614209161024</v>
      </c>
      <c r="AF46" s="72">
        <f>IF(ISNUMBER(tblData[Day'# Aust]),tblData[Au LogiP(t)]/$AD$9,"")</f>
        <v>2.9643437237486605</v>
      </c>
      <c r="AG46" s="11">
        <f>IF(AND(tblData[Date]&gt;=StartDt2Au,ISNUMBER(tblData[NSW])),(tblData[[#This Row],[Au LogiP(t)]]-tblData[[#This Row],[Au]])^2,"")</f>
        <v>55.968930677173255</v>
      </c>
      <c r="AH46">
        <f>IF(tblData[Date]&gt;StartDt2NSW,tblData[Date]-StartDt2NSW,"")</f>
        <v>32</v>
      </c>
      <c r="AI46">
        <f t="shared" si="4"/>
        <v>4</v>
      </c>
      <c r="AJ46" s="11">
        <f>IF(tblData[Date]&gt;StartDt2NSW,betaNSW/(deltaNSW+betaPodeltaNSW*EXP(-betaNSW*tblData[[#This Row],[Day '# NSW]])),"")</f>
        <v>3.4843892802561145</v>
      </c>
      <c r="AK46" s="12">
        <f>IF(AND(ISNUMBER(tblData[NSW]),tblData[Date]&gt;StartDt2NSW),(tblData[[#This Row],[NSW LogiP(t)]]-tblData[[#This Row],[NSW]])^2,"")</f>
        <v>0.26585441431480766</v>
      </c>
      <c r="AL46" s="12">
        <f>IF(AND(tblData[Date]&gt;StartDt2NSW,ISNUMBER(tblData[Day'# Aust])),tblData[NSW LogiP(t)]/$AG$9,"")</f>
        <v>4.3123629706140028</v>
      </c>
      <c r="AM46" s="11">
        <f>IF(AND(tblData[Date]&gt;StartDt2Italy,ISNUMBER(tblData[Days'# Italy])),betaItaly/(deltaItaly+betaPodeltaItaly*EXP(-betaItaly*tblData[Days'# Italy])),"")</f>
        <v>492.90910638194993</v>
      </c>
      <c r="AN46" s="11">
        <f>IF(AND(tblData[Date]&gt;StartDt2Italy,ISNUMBER(tblData[Italy])),(tblData[[#This Row],[Italy LogiP(t)]]-tblData[[#This Row],[Italy]])^2,"")</f>
        <v>1592.7367722057963</v>
      </c>
      <c r="AO46" s="44">
        <f>IF(AND(tblData[Date]&gt;StartDt2Italy,ISNUMBER(tblData[Days'# Italy])),tblData[[#This Row],[Italy LogiP(t)]]/$AM$9,"")</f>
        <v>81.539967970545888</v>
      </c>
      <c r="AP46" s="21">
        <f>IF(ISNUMBER(tblData[[#This Row],[Days'# US]]),betaUS/(deltaUS+betaPodeltaUS*EXP(-betaUS*tblData[Days'# US])),"")</f>
        <v>6.3099960623514635</v>
      </c>
      <c r="AQ46" s="11">
        <f>IF(ISNUMBER(tblData[US]),(tblData[[#This Row],[US LogiP(t)]]-tblData[US])^2,"")</f>
        <v>2569.4764991988241</v>
      </c>
      <c r="AR46" s="21">
        <f>IF(ISNUMBER(tblData[[#This Row],[Days'# US]]),tblData[[#This Row],[US LogiP(t)]]/$AP$9,"")</f>
        <v>0.1916605188662156</v>
      </c>
      <c r="AS46" s="21">
        <f>IF(tblData[Date]&gt;=StartDt2Korea,betaSKorea/(deltaSKorea+betaPodeltaSKorea*EXP(-betaSKorea*(tblData[Date]-StartDt2Korea))),"")</f>
        <v>1441.1618147407094</v>
      </c>
      <c r="AT46" s="21">
        <f>IF(AND(tblData[Date]&gt;=StartDt2Korea,ISNUMBER(tblData[SKorea])),(tblData[[#This Row],[SKorea LogiP(t)]]-tblData[[#This Row],[SKorea]])^2,"")</f>
        <v>32458.279490665682</v>
      </c>
      <c r="AU46" s="21">
        <f>IF(tblData[Date]&gt;=StartDt2Korea,tblData[[#This Row],[SKorea LogiP(t)]]/$AS$9,"")</f>
        <v>280.38167601959327</v>
      </c>
      <c r="AV46" s="11">
        <f>IF(ISNUMBER(tblData[Days'# UK]),betaUK/(deltaUK+betaPodeltaUK*EXP(-betaUK*tblData[Days'# UK])),"")</f>
        <v>19.25481905380791</v>
      </c>
      <c r="AW46" s="21">
        <f>IF(ISNUMBER(tblData[UK]),(tblData[[#This Row],[UK LogiP(t)]]-tblData[[#This Row],[UK]])^2,"")</f>
        <v>39.122761395878484</v>
      </c>
      <c r="AX46" s="21">
        <f>IF(ISNUMBER(tblData[Days'# UK]),tblData[[#This Row],[UK LogiP(t)]]/$AV$9,"")</f>
        <v>2.8980763175508595</v>
      </c>
      <c r="AY46" s="11">
        <f>IF(ISNUMBER(tblData[Days'# China]),betaChina/(deltaChina+betaPodeltaChina*EXP(-betaChina*tblData[Days'# China])),"")</f>
        <v>79232.252571877587</v>
      </c>
      <c r="AZ46" s="11">
        <f>IF(ISNUMBER(tblData[China]),(tblData[[#This Row],[China LogiP(t)]]-tblData[[#This Row],[China]])^2,"")</f>
        <v>1136894.5470355686</v>
      </c>
      <c r="BA46" s="11">
        <f>tblData[[#This Row],[China LogiP(t)]]/$AY$9</f>
        <v>550.48248276750201</v>
      </c>
      <c r="BB46" s="11"/>
      <c r="BC46" s="11"/>
      <c r="BD46" s="11" t="str">
        <f>IF(ISNUMBER(tblData[[#This Row],[NSW Number of Tests]]),tblData[[#This Row],[NSW Number of Tests]]-BB45,"")</f>
        <v/>
      </c>
      <c r="BE46" s="11" t="str">
        <f>IF(ISNUMBER(tblData[[#This Row],[NSW Under Investigation'']]),tblData[[#This Row],[NSW Under Investigation'']]-BC45,"")</f>
        <v/>
      </c>
      <c r="BF46" s="11"/>
      <c r="BG46" s="11" t="str">
        <f>IF(ISNUMBER(tblData[[#This Row],[NSW Test Day Number]]),betaTest/(deltaTest+betaPodeltaTest*EXP(-betaTest*tblData[[#This Row],[NSW Test Day Number]])),"")</f>
        <v/>
      </c>
      <c r="BH46" s="11" t="str">
        <f>IF(ISNUMBER(tblData[[#This Row],[NSW Number of Tests]]),(tblData[[#This Row],[NSW Number of Tests]]-tblData[[#This Row],[NSW Test Logi]])^2,"")</f>
        <v/>
      </c>
      <c r="DE46" t="s">
        <v>1293</v>
      </c>
      <c r="DG46" s="27">
        <v>43852</v>
      </c>
      <c r="DI46">
        <v>5</v>
      </c>
      <c r="DJ46">
        <v>0.33457917057724718</v>
      </c>
      <c r="DK46">
        <v>4.0721909397092568E-5</v>
      </c>
      <c r="DL46">
        <v>161.50151869158597</v>
      </c>
      <c r="DM46">
        <v>8216.19554512184</v>
      </c>
      <c r="DN46" s="19">
        <v>148.73667220847148</v>
      </c>
      <c r="DO46" s="12">
        <v>2.0309562598725215E-3</v>
      </c>
      <c r="DP46">
        <v>4.0721909397092568E-2</v>
      </c>
      <c r="DR46" s="27">
        <v>43910</v>
      </c>
      <c r="DS46" t="s">
        <v>1326</v>
      </c>
      <c r="DT46">
        <v>8652</v>
      </c>
      <c r="DU46" t="s">
        <v>1327</v>
      </c>
      <c r="DV46" s="27">
        <v>43910</v>
      </c>
      <c r="DW46">
        <v>59</v>
      </c>
      <c r="DX46" t="s">
        <v>1328</v>
      </c>
      <c r="DZ46" t="s">
        <v>1329</v>
      </c>
      <c r="EA46" t="s">
        <v>1302</v>
      </c>
      <c r="EB46" t="s">
        <v>1330</v>
      </c>
      <c r="EC46">
        <v>1683.2684824902724</v>
      </c>
      <c r="ED46">
        <v>43890</v>
      </c>
      <c r="EE46">
        <v>20</v>
      </c>
      <c r="EF46">
        <v>43889</v>
      </c>
      <c r="EG46">
        <v>21</v>
      </c>
    </row>
    <row r="47" spans="2:138" x14ac:dyDescent="0.25">
      <c r="B47" s="1">
        <v>43888</v>
      </c>
      <c r="C47">
        <v>8</v>
      </c>
      <c r="D47" s="26">
        <v>0</v>
      </c>
      <c r="E47">
        <v>4</v>
      </c>
      <c r="F47">
        <v>0</v>
      </c>
      <c r="G47">
        <v>5</v>
      </c>
      <c r="H47">
        <v>2</v>
      </c>
      <c r="I47">
        <v>0</v>
      </c>
      <c r="J47">
        <v>4</v>
      </c>
      <c r="K47">
        <v>0</v>
      </c>
      <c r="L47" s="12">
        <f>IF(ISNUMBER(tblData[[#This Row],[NSW]]),tblData[[#This Row],[New South Wales]]/$L$9,"")</f>
        <v>4.9504950495049505</v>
      </c>
      <c r="M47" s="26">
        <v>655</v>
      </c>
      <c r="N47" s="49">
        <f>IF(ISNUMBER(tblData[Italy]),tblData[Italy]/$N$9,"")</f>
        <v>108.35401157981804</v>
      </c>
      <c r="O47">
        <v>58</v>
      </c>
      <c r="P47" s="49">
        <f>IF(ISNUMBER(tblData[US]),tblData[US]/$P$9,"")</f>
        <v>1.761698420156848</v>
      </c>
      <c r="Q47">
        <v>1766</v>
      </c>
      <c r="R47" s="19">
        <f>IF(ISNUMBER(tblData[SKorea]),tblData[SKorea]/$R$9,"")</f>
        <v>343.579766536965</v>
      </c>
      <c r="S47">
        <v>15</v>
      </c>
      <c r="T47" s="12">
        <f>IF(ISNUMBER(tblData[UK]),tblData[UK]/$T$9,"")</f>
        <v>2.2576760987357014</v>
      </c>
      <c r="U47">
        <v>78600</v>
      </c>
      <c r="V47" s="21">
        <f>IF(ISNUMBER(tblData[China]),tblData[China]/$V$9,"")</f>
        <v>546.08977709265605</v>
      </c>
      <c r="W47" s="26">
        <f>IF(tblData[[#This Row],[Date]]&lt;ItalyStart,"",tblData[[#This Row],[Date]]-ItalyStart)</f>
        <v>28</v>
      </c>
      <c r="X47" s="26">
        <f t="shared" si="5"/>
        <v>18</v>
      </c>
      <c r="Y47" s="26">
        <f t="shared" si="3"/>
        <v>36</v>
      </c>
      <c r="Z47" s="26">
        <f>IF(tblData[[#This Row],[Date]]&lt;StartDt2Korea,"",tblData[[#This Row],[Date]]-StartDt2Korea)</f>
        <v>8</v>
      </c>
      <c r="AA47" s="26">
        <f>IF(tblData[[#This Row],[Date]]&lt;UKStart,"",tblData[[#This Row],[Date]]-UKStart)</f>
        <v>28</v>
      </c>
      <c r="AB47">
        <f>IF(tblData[Date]&gt;=StartDt2Au,tblData[Date]-StartDt2Au,"")</f>
        <v>33</v>
      </c>
      <c r="AC47" s="26">
        <f>IF(tblData[New South Wales]&gt;0,SUM(tblData[[#This Row],[Australian Capital Territory]:[Western Australia]]),"")</f>
        <v>15</v>
      </c>
      <c r="AD47" s="12">
        <f>IF(ISNUMBER(tblData[Au]),tblData[Au]/$AA$9,"")</f>
        <v>5.9138937076170954</v>
      </c>
      <c r="AE47" s="19">
        <f>IF(ISNUMBER(tblData[[#This Row],[Day'# Aust]]),betaAu/(deltaAu+betaPodeltaAu*EXP(-betaAu*tblData[[#This Row],[Day'# Aust]])),"")</f>
        <v>9.2432238353543159</v>
      </c>
      <c r="AF47" s="72">
        <f>IF(ISNUMBER(tblData[Day'# Aust]),tblData[Au LogiP(t)]/$AD$9,"")</f>
        <v>3.6442295518665495</v>
      </c>
      <c r="AG47" s="11">
        <f>IF(AND(tblData[Date]&gt;=StartDt2Au,ISNUMBER(tblData[NSW])),(tblData[[#This Row],[Au LogiP(t)]]-tblData[[#This Row],[Au]])^2,"")</f>
        <v>33.140471809832675</v>
      </c>
      <c r="AH47">
        <f>IF(tblData[Date]&gt;StartDt2NSW,tblData[Date]-StartDt2NSW,"")</f>
        <v>33</v>
      </c>
      <c r="AI47">
        <f t="shared" si="4"/>
        <v>4</v>
      </c>
      <c r="AJ47" s="11">
        <f>IF(tblData[Date]&gt;StartDt2NSW,betaNSW/(deltaNSW+betaPodeltaNSW*EXP(-betaNSW*tblData[[#This Row],[Day '# NSW]])),"")</f>
        <v>4.2943539127361063</v>
      </c>
      <c r="AK47" s="12">
        <f>IF(AND(ISNUMBER(tblData[NSW]),tblData[Date]&gt;StartDt2NSW),(tblData[[#This Row],[NSW LogiP(t)]]-tblData[[#This Row],[NSW]])^2,"")</f>
        <v>8.6644225943055306E-2</v>
      </c>
      <c r="AL47" s="12">
        <f>IF(AND(tblData[Date]&gt;StartDt2NSW,ISNUMBER(tblData[Day'# Aust])),tblData[NSW LogiP(t)]/$AG$9,"")</f>
        <v>5.3147944464555765</v>
      </c>
      <c r="AM47" s="11">
        <f>IF(AND(tblData[Date]&gt;StartDt2Italy,ISNUMBER(tblData[Days'# Italy])),betaItaly/(deltaItaly+betaPodeltaItaly*EXP(-betaItaly*tblData[Days'# Italy])),"")</f>
        <v>637.71759763619218</v>
      </c>
      <c r="AN47" s="11">
        <f>IF(AND(tblData[Date]&gt;StartDt2Italy,ISNUMBER(tblData[Italy])),(tblData[[#This Row],[Italy LogiP(t)]]-tblData[[#This Row],[Italy]])^2,"")</f>
        <v>298.68143146455009</v>
      </c>
      <c r="AO47" s="44">
        <f>IF(AND(tblData[Date]&gt;StartDt2Italy,ISNUMBER(tblData[Days'# Italy])),tblData[[#This Row],[Italy LogiP(t)]]/$AM$9,"")</f>
        <v>105.49505337240565</v>
      </c>
      <c r="AP47" s="21">
        <f>IF(ISNUMBER(tblData[[#This Row],[Days'# US]]),betaUS/(deltaUS+betaPodeltaUS*EXP(-betaUS*tblData[Days'# US])),"")</f>
        <v>8.9336972681283946</v>
      </c>
      <c r="AQ47" s="11">
        <f>IF(ISNUMBER(tblData[US]),(tblData[[#This Row],[US LogiP(t)]]-tblData[US])^2,"")</f>
        <v>2407.5020637756706</v>
      </c>
      <c r="AR47" s="21">
        <f>IF(ISNUMBER(tblData[[#This Row],[Days'# US]]),tblData[[#This Row],[US LogiP(t)]]/$AP$9,"")</f>
        <v>0.2713531097141611</v>
      </c>
      <c r="AS47" s="21">
        <f>IF(tblData[Date]&gt;=StartDt2Korea,betaSKorea/(deltaSKorea+betaPodeltaSKorea*EXP(-betaSKorea*(tblData[Date]-StartDt2Korea))),"")</f>
        <v>1871.1555455655443</v>
      </c>
      <c r="AT47" s="21">
        <f>IF(AND(tblData[Date]&gt;=StartDt2Korea,ISNUMBER(tblData[SKorea])),(tblData[[#This Row],[SKorea LogiP(t)]]-tblData[[#This Row],[SKorea]])^2,"")</f>
        <v>11057.688763187272</v>
      </c>
      <c r="AU47" s="21">
        <f>IF(tblData[Date]&gt;=StartDt2Korea,tblData[[#This Row],[SKorea LogiP(t)]]/$AS$9,"")</f>
        <v>364.03804388434719</v>
      </c>
      <c r="AV47" s="11">
        <f>IF(ISNUMBER(tblData[Days'# UK]),betaUK/(deltaUK+betaPodeltaUK*EXP(-betaUK*tblData[Days'# UK])),"")</f>
        <v>24.248544351842256</v>
      </c>
      <c r="AW47" s="21">
        <f>IF(ISNUMBER(tblData[UK]),(tblData[[#This Row],[UK LogiP(t)]]-tblData[[#This Row],[UK]])^2,"")</f>
        <v>85.53557262799329</v>
      </c>
      <c r="AX47" s="21">
        <f>IF(ISNUMBER(tblData[Days'# UK]),tblData[[#This Row],[UK LogiP(t)]]/$AV$9,"")</f>
        <v>3.6496906008191234</v>
      </c>
      <c r="AY47" s="11">
        <f>IF(ISNUMBER(tblData[Days'# China]),betaChina/(deltaChina+betaPodeltaChina*EXP(-betaChina*tblData[Days'# China])),"")</f>
        <v>79568.845401786311</v>
      </c>
      <c r="AZ47" s="11">
        <f>IF(ISNUMBER(tblData[China]),(tblData[[#This Row],[China LogiP(t)]]-tblData[[#This Row],[China]])^2,"")</f>
        <v>938661.41256247915</v>
      </c>
      <c r="BA47" s="11">
        <f>tblData[[#This Row],[China LogiP(t)]]/$AY$9</f>
        <v>552.82103115752545</v>
      </c>
      <c r="BB47" s="11"/>
      <c r="BC47" s="11"/>
      <c r="BD47" s="11" t="str">
        <f>IF(ISNUMBER(tblData[[#This Row],[NSW Number of Tests]]),tblData[[#This Row],[NSW Number of Tests]]-BB46,"")</f>
        <v/>
      </c>
      <c r="BE47" s="11" t="str">
        <f>IF(ISNUMBER(tblData[[#This Row],[NSW Under Investigation'']]),tblData[[#This Row],[NSW Under Investigation'']]-BC46,"")</f>
        <v/>
      </c>
      <c r="BF47" s="11"/>
      <c r="BG47" s="11" t="str">
        <f>IF(ISNUMBER(tblData[[#This Row],[NSW Test Day Number]]),betaTest/(deltaTest+betaPodeltaTest*EXP(-betaTest*tblData[[#This Row],[NSW Test Day Number]])),"")</f>
        <v/>
      </c>
      <c r="BH47" s="11" t="str">
        <f>IF(ISNUMBER(tblData[[#This Row],[NSW Number of Tests]]),(tblData[[#This Row],[NSW Number of Tests]]-tblData[[#This Row],[NSW Test Logi]])^2,"")</f>
        <v/>
      </c>
      <c r="DE47" t="s">
        <v>1252</v>
      </c>
      <c r="DF47" s="82">
        <v>43911.866331018522</v>
      </c>
      <c r="DG47" s="27">
        <v>43860</v>
      </c>
      <c r="DH47" s="27">
        <v>43860</v>
      </c>
      <c r="DI47">
        <v>6</v>
      </c>
      <c r="DJ47">
        <v>0.23059524064806408</v>
      </c>
      <c r="DK47">
        <v>9.9999999999999903E-10</v>
      </c>
      <c r="DL47">
        <v>3.8070710556030042E-2</v>
      </c>
      <c r="DM47">
        <v>230595240.64806432</v>
      </c>
      <c r="DN47" s="19">
        <v>70.671251275874369</v>
      </c>
      <c r="DO47" s="12">
        <v>6.0570248687798465</v>
      </c>
      <c r="DP47">
        <v>9.9999999999999911E-7</v>
      </c>
      <c r="DR47" s="27">
        <v>43910</v>
      </c>
      <c r="DS47" t="s">
        <v>1483</v>
      </c>
      <c r="DT47">
        <v>4014</v>
      </c>
      <c r="DU47" t="s">
        <v>1484</v>
      </c>
      <c r="DV47" s="27">
        <v>43910</v>
      </c>
      <c r="DW47">
        <v>51</v>
      </c>
      <c r="DX47" t="s">
        <v>1485</v>
      </c>
      <c r="DZ47" t="s">
        <v>1486</v>
      </c>
      <c r="EB47" t="s">
        <v>1492</v>
      </c>
      <c r="EC47">
        <v>604.15412402167362</v>
      </c>
      <c r="ED47">
        <v>43910</v>
      </c>
      <c r="EE47">
        <v>1</v>
      </c>
      <c r="EF47">
        <v>43910</v>
      </c>
      <c r="EG47">
        <v>1</v>
      </c>
    </row>
    <row r="48" spans="2:138" x14ac:dyDescent="0.25">
      <c r="B48" s="1">
        <v>43889</v>
      </c>
      <c r="C48">
        <v>8</v>
      </c>
      <c r="D48" s="26">
        <v>0</v>
      </c>
      <c r="E48">
        <v>4</v>
      </c>
      <c r="F48">
        <v>0</v>
      </c>
      <c r="G48">
        <v>5</v>
      </c>
      <c r="H48">
        <v>2</v>
      </c>
      <c r="I48">
        <v>0</v>
      </c>
      <c r="J48">
        <v>4</v>
      </c>
      <c r="K48">
        <v>0</v>
      </c>
      <c r="L48" s="12">
        <f>IF(ISNUMBER(tblData[[#This Row],[NSW]]),tblData[[#This Row],[New South Wales]]/$L$9,"")</f>
        <v>4.9504950495049505</v>
      </c>
      <c r="M48" s="26">
        <v>888</v>
      </c>
      <c r="N48" s="49">
        <f>IF(ISNUMBER(tblData[Italy]),tblData[Italy]/$N$9,"")</f>
        <v>146.89826302729529</v>
      </c>
      <c r="O48">
        <v>60</v>
      </c>
      <c r="P48" s="49">
        <f>IF(ISNUMBER(tblData[US]),tblData[US]/$P$9,"")</f>
        <v>1.822446641541567</v>
      </c>
      <c r="Q48">
        <v>2337</v>
      </c>
      <c r="R48" s="19">
        <f>IF(ISNUMBER(tblData[SKorea]),tblData[SKorea]/$R$9,"")</f>
        <v>454.66926070038915</v>
      </c>
      <c r="S48">
        <v>20</v>
      </c>
      <c r="T48" s="12">
        <f>IF(ISNUMBER(tblData[UK]),tblData[UK]/$T$9,"")</f>
        <v>3.0102347983142685</v>
      </c>
      <c r="U48">
        <v>78928</v>
      </c>
      <c r="V48" s="21">
        <f>IF(ISNUMBER(tblData[China]),tblData[China]/$V$9,"")</f>
        <v>548.36862501741928</v>
      </c>
      <c r="W48" s="26">
        <f>IF(tblData[[#This Row],[Date]]&lt;ItalyStart,"",tblData[[#This Row],[Date]]-ItalyStart)</f>
        <v>29</v>
      </c>
      <c r="X48" s="26">
        <f t="shared" si="5"/>
        <v>19</v>
      </c>
      <c r="Y48" s="26">
        <f t="shared" si="3"/>
        <v>37</v>
      </c>
      <c r="Z48" s="26">
        <f>IF(tblData[[#This Row],[Date]]&lt;StartDt2Korea,"",tblData[[#This Row],[Date]]-StartDt2Korea)</f>
        <v>9</v>
      </c>
      <c r="AA48" s="26">
        <f>IF(tblData[[#This Row],[Date]]&lt;UKStart,"",tblData[[#This Row],[Date]]-UKStart)</f>
        <v>29</v>
      </c>
      <c r="AB48">
        <f>IF(tblData[Date]&gt;=StartDt2Au,tblData[Date]-StartDt2Au,"")</f>
        <v>34</v>
      </c>
      <c r="AC48" s="26">
        <f>IF(tblData[New South Wales]&gt;0,SUM(tblData[[#This Row],[Australian Capital Territory]:[Western Australia]]),"")</f>
        <v>15</v>
      </c>
      <c r="AD48" s="12">
        <f>IF(ISNUMBER(tblData[Au]),tblData[Au]/$AA$9,"")</f>
        <v>5.9138937076170954</v>
      </c>
      <c r="AE48" s="19">
        <f>IF(ISNUMBER(tblData[[#This Row],[Day'# Aust]]),betaAu/(deltaAu+betaPodeltaAu*EXP(-betaAu*tblData[[#This Row],[Day'# Aust]])),"")</f>
        <v>11.363199591509886</v>
      </c>
      <c r="AF48" s="72">
        <f>IF(ISNUMBER(tblData[Day'# Aust]),tblData[Au LogiP(t)]/$AD$9,"")</f>
        <v>4.4800503041751645</v>
      </c>
      <c r="AG48" s="11">
        <f>IF(AND(tblData[Date]&gt;=StartDt2Au,ISNUMBER(tblData[NSW])),(tblData[[#This Row],[Au LogiP(t)]]-tblData[[#This Row],[Au]])^2,"")</f>
        <v>13.226317211193859</v>
      </c>
      <c r="AH48" s="26">
        <f>IF(tblData[Date]&gt;StartDt2NSW,tblData[Date]-StartDt2NSW,"")</f>
        <v>34</v>
      </c>
      <c r="AI48">
        <f t="shared" si="4"/>
        <v>4</v>
      </c>
      <c r="AJ48" s="11">
        <f>IF(tblData[Date]&gt;StartDt2NSW,betaNSW/(deltaNSW+betaPodeltaNSW*EXP(-betaNSW*tblData[[#This Row],[Day '# NSW]])),"")</f>
        <v>5.2922329207989129</v>
      </c>
      <c r="AK48" s="12">
        <f>IF(AND(ISNUMBER(tblData[NSW]),tblData[Date]&gt;StartDt2NSW),(tblData[[#This Row],[NSW LogiP(t)]]-tblData[[#This Row],[NSW]])^2,"")</f>
        <v>1.6698659215964895</v>
      </c>
      <c r="AL48" s="12">
        <f>IF(AND(tblData[Date]&gt;StartDt2NSW,ISNUMBER(tblData[Day'# Aust])),tblData[NSW LogiP(t)]/$AG$9,"")</f>
        <v>6.5497932188105352</v>
      </c>
      <c r="AM48" s="11">
        <f>IF(AND(tblData[Date]&gt;StartDt2Italy,ISNUMBER(tblData[Days'# Italy])),betaItaly/(deltaItaly+betaPodeltaItaly*EXP(-betaItaly*tblData[Days'# Italy])),"")</f>
        <v>824.42966981006452</v>
      </c>
      <c r="AN48" s="11">
        <f>IF(AND(tblData[Date]&gt;StartDt2Italy,ISNUMBER(tblData[Italy])),(tblData[[#This Row],[Italy LogiP(t)]]-tblData[[#This Row],[Italy]])^2,"")</f>
        <v>4041.1868804574219</v>
      </c>
      <c r="AO48" s="44">
        <f>IF(AND(tblData[Date]&gt;StartDt2Italy,ISNUMBER(tblData[Days'# Italy])),tblData[[#This Row],[Italy LogiP(t)]]/$AM$9,"")</f>
        <v>136.38207937304625</v>
      </c>
      <c r="AP48" s="21">
        <f>IF(ISNUMBER(tblData[[#This Row],[Days'# US]]),betaUS/(deltaUS+betaPodeltaUS*EXP(-betaUS*tblData[Days'# US])),"")</f>
        <v>12.648335409326043</v>
      </c>
      <c r="AQ48" s="11">
        <f>IF(ISNUMBER(tblData[US]),(tblData[[#This Row],[US LogiP(t)]]-tblData[US])^2,"")</f>
        <v>2242.1801395076859</v>
      </c>
      <c r="AR48" s="21">
        <f>IF(ISNUMBER(tblData[[#This Row],[Days'# US]]),tblData[[#This Row],[US LogiP(t)]]/$AP$9,"")</f>
        <v>0.3841819397969588</v>
      </c>
      <c r="AS48" s="21">
        <f>IF(tblData[Date]&gt;=StartDt2Korea,betaSKorea/(deltaSKorea+betaPodeltaSKorea*EXP(-betaSKorea*(tblData[Date]-StartDt2Korea))),"")</f>
        <v>2384.9596940264883</v>
      </c>
      <c r="AT48" s="21">
        <f>IF(AND(tblData[Date]&gt;=StartDt2Korea,ISNUMBER(tblData[SKorea])),(tblData[[#This Row],[SKorea LogiP(t)]]-tblData[[#This Row],[SKorea]])^2,"")</f>
        <v>2300.1322511143726</v>
      </c>
      <c r="AU48" s="21">
        <f>IF(tblData[Date]&gt;=StartDt2Korea,tblData[[#This Row],[SKorea LogiP(t)]]/$AS$9,"")</f>
        <v>463.99994047207946</v>
      </c>
      <c r="AV48" s="11">
        <f>IF(ISNUMBER(tblData[Days'# UK]),betaUK/(deltaUK+betaPodeltaUK*EXP(-betaUK*tblData[Days'# UK])),"")</f>
        <v>30.537389016105454</v>
      </c>
      <c r="AW48" s="21">
        <f>IF(ISNUMBER(tblData[UK]),(tblData[[#This Row],[UK LogiP(t)]]-tblData[[#This Row],[UK]])^2,"")</f>
        <v>111.03656727673987</v>
      </c>
      <c r="AX48" s="21">
        <f>IF(ISNUMBER(tblData[Days'# UK]),tblData[[#This Row],[UK LogiP(t)]]/$AV$9,"")</f>
        <v>4.5962355532970278</v>
      </c>
      <c r="AY48" s="11">
        <f>IF(ISNUMBER(tblData[Days'# China]),betaChina/(deltaChina+betaPodeltaChina*EXP(-betaChina*tblData[Days'# China])),"")</f>
        <v>79840.458306717759</v>
      </c>
      <c r="AZ48" s="11">
        <f>IF(ISNUMBER(tblData[China]),(tblData[[#This Row],[China LogiP(t)]]-tblData[[#This Row],[China]])^2,"")</f>
        <v>832580.1614982402</v>
      </c>
      <c r="BA48" s="11">
        <f>tblData[[#This Row],[China LogiP(t)]]/$AY$9</f>
        <v>554.7081180622265</v>
      </c>
      <c r="BB48" s="11"/>
      <c r="BC48" s="11"/>
      <c r="BD48" s="11" t="str">
        <f>IF(ISNUMBER(tblData[[#This Row],[NSW Number of Tests]]),tblData[[#This Row],[NSW Number of Tests]]-BB47,"")</f>
        <v/>
      </c>
      <c r="BE48" s="11" t="str">
        <f>IF(ISNUMBER(tblData[[#This Row],[NSW Under Investigation'']]),tblData[[#This Row],[NSW Under Investigation'']]-BC47,"")</f>
        <v/>
      </c>
      <c r="BF48" s="11"/>
      <c r="BG48" s="11" t="str">
        <f>IF(ISNUMBER(tblData[[#This Row],[NSW Test Day Number]]),betaTest/(deltaTest+betaPodeltaTest*EXP(-betaTest*tblData[[#This Row],[NSW Test Day Number]])),"")</f>
        <v/>
      </c>
      <c r="BH48" s="11" t="str">
        <f>IF(ISNUMBER(tblData[[#This Row],[NSW Number of Tests]]),(tblData[[#This Row],[NSW Number of Tests]]-tblData[[#This Row],[NSW Test Logi]])^2,"")</f>
        <v/>
      </c>
      <c r="DE48" t="s">
        <v>1252</v>
      </c>
      <c r="DG48" s="27">
        <v>43860</v>
      </c>
      <c r="DI48">
        <v>6</v>
      </c>
      <c r="DJ48">
        <v>0.24137990934722836</v>
      </c>
      <c r="DK48">
        <v>9.9999999999999995E-7</v>
      </c>
      <c r="DL48">
        <v>2.4074005303217398E-2</v>
      </c>
      <c r="DM48">
        <v>241379.90934722839</v>
      </c>
      <c r="DN48" s="19">
        <v>146.85588583547002</v>
      </c>
      <c r="DO48" s="12">
        <v>10.026577722858754</v>
      </c>
      <c r="DP48">
        <v>1E-3</v>
      </c>
      <c r="DR48" s="27">
        <v>43910</v>
      </c>
      <c r="DS48" t="s">
        <v>1331</v>
      </c>
      <c r="DT48">
        <v>3269</v>
      </c>
      <c r="DU48" t="s">
        <v>1332</v>
      </c>
      <c r="DV48" s="27">
        <v>43910</v>
      </c>
      <c r="DW48">
        <v>51</v>
      </c>
      <c r="DX48" t="s">
        <v>1333</v>
      </c>
      <c r="DZ48" t="s">
        <v>1334</v>
      </c>
      <c r="EB48" t="s">
        <v>1335</v>
      </c>
      <c r="EC48">
        <v>492.0228777844672</v>
      </c>
      <c r="ED48">
        <v>43910</v>
      </c>
      <c r="EE48">
        <v>0</v>
      </c>
      <c r="EF48">
        <v>43908</v>
      </c>
      <c r="EG48">
        <v>2</v>
      </c>
    </row>
    <row r="49" spans="2:173" x14ac:dyDescent="0.25">
      <c r="B49" s="1">
        <v>43890</v>
      </c>
      <c r="C49">
        <v>0</v>
      </c>
      <c r="D49" s="26">
        <v>0</v>
      </c>
      <c r="E49">
        <v>4</v>
      </c>
      <c r="F49">
        <v>0</v>
      </c>
      <c r="G49">
        <v>9</v>
      </c>
      <c r="H49">
        <v>3</v>
      </c>
      <c r="I49">
        <v>0</v>
      </c>
      <c r="J49">
        <v>7</v>
      </c>
      <c r="K49">
        <v>2</v>
      </c>
      <c r="L49" s="12">
        <f>IF(ISNUMBER(tblData[[#This Row],[NSW]]),tblData[[#This Row],[New South Wales]]/$L$9,"")</f>
        <v>4.9504950495049505</v>
      </c>
      <c r="M49" s="26">
        <v>1128</v>
      </c>
      <c r="N49" s="49">
        <f>IF(ISNUMBER(tblData[Italy]),tblData[Italy]/$N$9,"")</f>
        <v>186.60049627791562</v>
      </c>
      <c r="O49">
        <v>68</v>
      </c>
      <c r="P49" s="49">
        <f>IF(ISNUMBER(tblData[US]),tblData[US]/$P$9,"")</f>
        <v>2.0654395270804424</v>
      </c>
      <c r="Q49">
        <v>3150</v>
      </c>
      <c r="R49" s="19">
        <f>IF(ISNUMBER(tblData[SKorea]),tblData[SKorea]/$R$9,"")</f>
        <v>612.84046692607012</v>
      </c>
      <c r="S49">
        <v>23</v>
      </c>
      <c r="T49" s="12">
        <f>IF(ISNUMBER(tblData[UK]),tblData[UK]/$T$9,"")</f>
        <v>3.4617700180614088</v>
      </c>
      <c r="U49">
        <v>79356</v>
      </c>
      <c r="V49" s="21">
        <f>IF(ISNUMBER(tblData[China]),tblData[China]/$V$9,"")</f>
        <v>551.34224365095179</v>
      </c>
      <c r="W49" s="26">
        <f>IF(tblData[[#This Row],[Date]]&lt;ItalyStart,"",tblData[[#This Row],[Date]]-ItalyStart)</f>
        <v>30</v>
      </c>
      <c r="X49" s="26">
        <f t="shared" si="5"/>
        <v>20</v>
      </c>
      <c r="Y49" s="26">
        <f t="shared" si="3"/>
        <v>38</v>
      </c>
      <c r="Z49" s="26">
        <f>IF(tblData[[#This Row],[Date]]&lt;StartDt2Korea,"",tblData[[#This Row],[Date]]-StartDt2Korea)</f>
        <v>10</v>
      </c>
      <c r="AA49" s="26">
        <f>IF(tblData[[#This Row],[Date]]&lt;UKStart,"",tblData[[#This Row],[Date]]-UKStart)</f>
        <v>30</v>
      </c>
      <c r="AB49">
        <f>IF(tblData[Date]&gt;=StartDt2Au,tblData[Date]-StartDt2Au,"")</f>
        <v>35</v>
      </c>
      <c r="AC49" s="26">
        <f>IF(tblData[New South Wales]&gt;0,SUM(tblData[[#This Row],[Australian Capital Territory]:[Western Australia]]),"")</f>
        <v>25</v>
      </c>
      <c r="AD49" s="12">
        <f>IF(ISNUMBER(tblData[Au]),tblData[Au]/$AA$9,"")</f>
        <v>9.856489512695159</v>
      </c>
      <c r="AE49" s="19">
        <f>IF(ISNUMBER(tblData[[#This Row],[Day'# Aust]]),betaAu/(deltaAu+betaPodeltaAu*EXP(-betaAu*tblData[[#This Row],[Day'# Aust]])),"")</f>
        <v>13.969401472088558</v>
      </c>
      <c r="AF49" s="72">
        <f>IF(ISNUMBER(tblData[Day'# Aust]),tblData[Au LogiP(t)]/$AD$9,"")</f>
        <v>5.5075703643307676</v>
      </c>
      <c r="AG49" s="11">
        <f>IF(AND(tblData[Date]&gt;=StartDt2Au,ISNUMBER(tblData[NSW])),(tblData[[#This Row],[Au LogiP(t)]]-tblData[[#This Row],[Au]])^2,"")</f>
        <v>121.67410388396208</v>
      </c>
      <c r="AH49" s="26">
        <f>IF(tblData[Date]&gt;StartDt2NSW,tblData[Date]-StartDt2NSW,"")</f>
        <v>35</v>
      </c>
      <c r="AI49">
        <f t="shared" si="4"/>
        <v>4</v>
      </c>
      <c r="AJ49" s="11">
        <f>IF(tblData[Date]&gt;StartDt2NSW,betaNSW/(deltaNSW+betaPodeltaNSW*EXP(-betaNSW*tblData[[#This Row],[Day '# NSW]])),"")</f>
        <v>6.5214332112218498</v>
      </c>
      <c r="AK49" s="12">
        <f>IF(AND(ISNUMBER(tblData[NSW]),tblData[Date]&gt;StartDt2NSW),(tblData[[#This Row],[NSW LogiP(t)]]-tblData[[#This Row],[NSW]])^2,"")</f>
        <v>6.3576254386525299</v>
      </c>
      <c r="AL49" s="12">
        <f>IF(AND(tblData[Date]&gt;StartDt2NSW,ISNUMBER(tblData[Day'# Aust])),tblData[NSW LogiP(t)]/$AG$9,"")</f>
        <v>8.0710807069577353</v>
      </c>
      <c r="AM49" s="11">
        <f>IF(AND(tblData[Date]&gt;StartDt2Italy,ISNUMBER(tblData[Days'# Italy])),betaItaly/(deltaItaly+betaPodeltaItaly*EXP(-betaItaly*tblData[Days'# Italy])),"")</f>
        <v>1064.7448067773078</v>
      </c>
      <c r="AN49" s="11">
        <f>IF(AND(tblData[Date]&gt;StartDt2Italy,ISNUMBER(tblData[Italy])),(tblData[[#This Row],[Italy LogiP(t)]]-tblData[[#This Row],[Italy]])^2,"")</f>
        <v>4001.2194696401307</v>
      </c>
      <c r="AO49" s="44">
        <f>IF(AND(tblData[Date]&gt;StartDt2Italy,ISNUMBER(tblData[Days'# Italy])),tblData[[#This Row],[Italy LogiP(t)]]/$AM$9,"")</f>
        <v>176.13644446274736</v>
      </c>
      <c r="AP49" s="21">
        <f>IF(ISNUMBER(tblData[[#This Row],[Days'# US]]),betaUS/(deltaUS+betaPodeltaUS*EXP(-betaUS*tblData[Days'# US])),"")</f>
        <v>17.907522844643484</v>
      </c>
      <c r="AQ49" s="11">
        <f>IF(ISNUMBER(tblData[US]),(tblData[[#This Row],[US LogiP(t)]]-tblData[US])^2,"")</f>
        <v>2509.2562675599147</v>
      </c>
      <c r="AR49" s="21">
        <f>IF(ISNUMBER(tblData[[#This Row],[Days'# US]]),tblData[[#This Row],[US LogiP(t)]]/$AP$9,"")</f>
        <v>0.54392508110915672</v>
      </c>
      <c r="AS49" s="21">
        <f>IF(tblData[Date]&gt;=StartDt2Korea,betaSKorea/(deltaSKorea+betaPodeltaSKorea*EXP(-betaSKorea*(tblData[Date]-StartDt2Korea))),"")</f>
        <v>2974.7631173528671</v>
      </c>
      <c r="AT49" s="21">
        <f>IF(AND(tblData[Date]&gt;=StartDt2Korea,ISNUMBER(tblData[SKorea])),(tblData[[#This Row],[SKorea LogiP(t)]]-tblData[[#This Row],[SKorea]])^2,"")</f>
        <v>30707.965039885032</v>
      </c>
      <c r="AU49" s="21">
        <f>IF(tblData[Date]&gt;=StartDt2Korea,tblData[[#This Row],[SKorea LogiP(t)]]/$AS$9,"")</f>
        <v>578.74768820094698</v>
      </c>
      <c r="AV49" s="11">
        <f>IF(ISNUMBER(tblData[Days'# UK]),betaUK/(deltaUK+betaPodeltaUK*EXP(-betaUK*tblData[Days'# UK])),"")</f>
        <v>38.457241300518611</v>
      </c>
      <c r="AW49" s="21">
        <f>IF(ISNUMBER(tblData[UK]),(tblData[[#This Row],[UK LogiP(t)]]-tblData[[#This Row],[UK]])^2,"")</f>
        <v>238.92630862245827</v>
      </c>
      <c r="AX49" s="21">
        <f>IF(ISNUMBER(tblData[Days'# UK]),tblData[[#This Row],[UK LogiP(t)]]/$AV$9,"")</f>
        <v>5.7882663004994894</v>
      </c>
      <c r="AY49" s="11">
        <f>IF(ISNUMBER(tblData[Days'# China]),betaChina/(deltaChina+betaPodeltaChina*EXP(-betaChina*tblData[Days'# China])),"")</f>
        <v>80059.306865926192</v>
      </c>
      <c r="AZ49" s="11">
        <f>IF(ISNUMBER(tblData[China]),(tblData[[#This Row],[China LogiP(t)]]-tblData[[#This Row],[China]])^2,"")</f>
        <v>494640.54765892215</v>
      </c>
      <c r="BA49" s="11">
        <f>tblData[[#This Row],[China LogiP(t)]]/$AY$9</f>
        <v>556.22861374817023</v>
      </c>
      <c r="BB49" s="11"/>
      <c r="BC49" s="11"/>
      <c r="BD49" s="11" t="str">
        <f>IF(ISNUMBER(tblData[[#This Row],[NSW Number of Tests]]),tblData[[#This Row],[NSW Number of Tests]]-BB48,"")</f>
        <v/>
      </c>
      <c r="BE49" s="11" t="str">
        <f>IF(ISNUMBER(tblData[[#This Row],[NSW Under Investigation'']]),tblData[[#This Row],[NSW Under Investigation'']]-BC48,"")</f>
        <v/>
      </c>
      <c r="BF49" s="11"/>
      <c r="BG49" s="11" t="str">
        <f>IF(ISNUMBER(tblData[[#This Row],[NSW Test Day Number]]),betaTest/(deltaTest+betaPodeltaTest*EXP(-betaTest*tblData[[#This Row],[NSW Test Day Number]])),"")</f>
        <v/>
      </c>
      <c r="BH49" s="11" t="str">
        <f>IF(ISNUMBER(tblData[[#This Row],[NSW Number of Tests]]),(tblData[[#This Row],[NSW Number of Tests]]-tblData[[#This Row],[NSW Test Logi]])^2,"")</f>
        <v/>
      </c>
      <c r="DE49" t="s">
        <v>989</v>
      </c>
      <c r="DI49">
        <v>7</v>
      </c>
      <c r="DJ49" s="23">
        <v>0.20209478104227763</v>
      </c>
      <c r="DK49" s="25">
        <v>1.0000000000000751E-10</v>
      </c>
      <c r="DL49" s="22">
        <v>5.7886977342360797E-3</v>
      </c>
      <c r="DM49" s="24">
        <v>2020947810.4226243</v>
      </c>
      <c r="DN49" s="22">
        <v>1385.0469640460797</v>
      </c>
      <c r="DO49" s="37">
        <v>34.911959532184611</v>
      </c>
      <c r="DP49" s="24">
        <v>1.0000000000000751E-7</v>
      </c>
      <c r="DQ49" s="24"/>
      <c r="DR49" s="27">
        <v>43908</v>
      </c>
      <c r="DS49" s="27" t="s">
        <v>1003</v>
      </c>
      <c r="DT49">
        <v>33387</v>
      </c>
      <c r="DU49" t="s">
        <v>1004</v>
      </c>
      <c r="DV49" s="27">
        <v>43908</v>
      </c>
      <c r="DW49" s="19">
        <v>13</v>
      </c>
      <c r="DX49" s="27" t="s">
        <v>1005</v>
      </c>
      <c r="DZ49" t="s">
        <v>1035</v>
      </c>
      <c r="EB49" s="18" t="s">
        <v>1036</v>
      </c>
      <c r="ED49" s="19"/>
      <c r="EE49" s="19"/>
    </row>
    <row r="50" spans="2:173" x14ac:dyDescent="0.25">
      <c r="B50" s="1">
        <v>43891</v>
      </c>
      <c r="C50">
        <v>0</v>
      </c>
      <c r="D50" s="26">
        <v>0</v>
      </c>
      <c r="E50">
        <v>6</v>
      </c>
      <c r="F50">
        <v>0</v>
      </c>
      <c r="G50">
        <v>9</v>
      </c>
      <c r="H50">
        <v>3</v>
      </c>
      <c r="I50">
        <v>0</v>
      </c>
      <c r="J50">
        <v>7</v>
      </c>
      <c r="K50">
        <v>2</v>
      </c>
      <c r="L50" s="12">
        <f>IF(ISNUMBER(tblData[[#This Row],[NSW]]),tblData[[#This Row],[New South Wales]]/$L$9,"")</f>
        <v>7.4257425742574252</v>
      </c>
      <c r="M50" s="26">
        <v>1694</v>
      </c>
      <c r="N50" s="49">
        <f>IF(ISNUMBER(tblData[Italy]),tblData[Italy]/$N$9,"")</f>
        <v>280.2315963606286</v>
      </c>
      <c r="O50">
        <v>74</v>
      </c>
      <c r="P50" s="49">
        <f>IF(ISNUMBER(tblData[US]),tblData[US]/$P$9,"")</f>
        <v>2.2476841912345993</v>
      </c>
      <c r="Q50">
        <v>3736</v>
      </c>
      <c r="R50" s="19">
        <f>IF(ISNUMBER(tblData[SKorea]),tblData[SKorea]/$R$9,"")</f>
        <v>726.84824902723744</v>
      </c>
      <c r="S50">
        <v>36</v>
      </c>
      <c r="T50" s="12">
        <f>IF(ISNUMBER(tblData[UK]),tblData[UK]/$T$9,"")</f>
        <v>5.4184226369656834</v>
      </c>
      <c r="U50">
        <v>79932</v>
      </c>
      <c r="V50" s="21">
        <f>IF(ISNUMBER(tblData[China]),tblData[China]/$V$9,"")</f>
        <v>555.34412293346293</v>
      </c>
      <c r="W50" s="26">
        <f>IF(tblData[[#This Row],[Date]]&lt;ItalyStart,"",tblData[[#This Row],[Date]]-ItalyStart)</f>
        <v>31</v>
      </c>
      <c r="X50" s="26">
        <f t="shared" si="5"/>
        <v>21</v>
      </c>
      <c r="Y50" s="26">
        <f t="shared" si="3"/>
        <v>39</v>
      </c>
      <c r="Z50" s="26">
        <f>IF(tblData[[#This Row],[Date]]&lt;StartDt2Korea,"",tblData[[#This Row],[Date]]-StartDt2Korea)</f>
        <v>11</v>
      </c>
      <c r="AA50" s="26">
        <f>IF(tblData[[#This Row],[Date]]&lt;UKStart,"",tblData[[#This Row],[Date]]-UKStart)</f>
        <v>31</v>
      </c>
      <c r="AB50">
        <f>IF(tblData[Date]&gt;=StartDt2Au,tblData[Date]-StartDt2Au,"")</f>
        <v>36</v>
      </c>
      <c r="AC50" s="26">
        <f>IF(tblData[New South Wales]&gt;0,SUM(tblData[[#This Row],[Australian Capital Territory]:[Western Australia]]),"")</f>
        <v>27</v>
      </c>
      <c r="AD50" s="12">
        <f>IF(ISNUMBER(tblData[Au]),tblData[Au]/$AA$9,"")</f>
        <v>10.645008673710771</v>
      </c>
      <c r="AE50" s="19">
        <f>IF(ISNUMBER(tblData[[#This Row],[Day'# Aust]]),betaAu/(deltaAu+betaPodeltaAu*EXP(-betaAu*tblData[[#This Row],[Day'# Aust]])),"")</f>
        <v>17.17334764314894</v>
      </c>
      <c r="AF50" s="72">
        <f>IF(ISNUMBER(tblData[Day'# Aust]),tblData[Au LogiP(t)]/$AD$9,"")</f>
        <v>6.7707568377026259</v>
      </c>
      <c r="AG50" s="11">
        <f>IF(AND(tblData[Date]&gt;=StartDt2Au,ISNUMBER(tblData[NSW])),(tblData[[#This Row],[Au LogiP(t)]]-tblData[[#This Row],[Au]])^2,"")</f>
        <v>96.563096542406498</v>
      </c>
      <c r="AH50" s="26">
        <f>IF(tblData[Date]&gt;StartDt2NSW,tblData[Date]-StartDt2NSW,"")</f>
        <v>36</v>
      </c>
      <c r="AI50">
        <f t="shared" si="4"/>
        <v>6</v>
      </c>
      <c r="AJ50" s="11">
        <f>IF(tblData[Date]&gt;StartDt2NSW,betaNSW/(deltaNSW+betaPodeltaNSW*EXP(-betaNSW*tblData[[#This Row],[Day '# NSW]])),"")</f>
        <v>8.0352900723019296</v>
      </c>
      <c r="AK50" s="12">
        <f>IF(AND(ISNUMBER(tblData[NSW]),tblData[Date]&gt;StartDt2NSW),(tblData[[#This Row],[NSW LogiP(t)]]-tblData[[#This Row],[NSW]])^2,"")</f>
        <v>4.1424056784107934</v>
      </c>
      <c r="AL50" s="12">
        <f>IF(AND(tblData[Date]&gt;StartDt2NSW,ISNUMBER(tblData[Day'# Aust])),tblData[NSW LogiP(t)]/$AG$9,"")</f>
        <v>9.9446659310667442</v>
      </c>
      <c r="AM50" s="11">
        <f>IF(AND(tblData[Date]&gt;StartDt2Italy,ISNUMBER(tblData[Days'# Italy])),betaItaly/(deltaItaly+betaPodeltaItaly*EXP(-betaItaly*tblData[Days'# Italy])),"")</f>
        <v>1373.3473556223698</v>
      </c>
      <c r="AN50" s="11">
        <f>IF(AND(tblData[Date]&gt;StartDt2Italy,ISNUMBER(tblData[Italy])),(tblData[[#This Row],[Italy LogiP(t)]]-tblData[[#This Row],[Italy]])^2,"")</f>
        <v>102818.11834636696</v>
      </c>
      <c r="AO50" s="44">
        <f>IF(AND(tblData[Date]&gt;StartDt2Italy,ISNUMBER(tblData[Days'# Italy])),tblData[[#This Row],[Italy LogiP(t)]]/$AM$9,"")</f>
        <v>227.18732102934158</v>
      </c>
      <c r="AP50" s="21">
        <f>IF(ISNUMBER(tblData[[#This Row],[Days'# US]]),betaUS/(deltaUS+betaPodeltaUS*EXP(-betaUS*tblData[Days'# US])),"")</f>
        <v>25.353484236203816</v>
      </c>
      <c r="AQ50" s="11">
        <f>IF(ISNUMBER(tblData[US]),(tblData[[#This Row],[US LogiP(t)]]-tblData[US])^2,"")</f>
        <v>2366.4834959572709</v>
      </c>
      <c r="AR50" s="21">
        <f>IF(ISNUMBER(tblData[[#This Row],[Days'# US]]),tblData[[#This Row],[US LogiP(t)]]/$AP$9,"")</f>
        <v>0.77008953662744506</v>
      </c>
      <c r="AS50" s="21">
        <f>IF(tblData[Date]&gt;=StartDt2Korea,betaSKorea/(deltaSKorea+betaPodeltaSKorea*EXP(-betaSKorea*(tblData[Date]-StartDt2Korea))),"")</f>
        <v>3621.4171393842262</v>
      </c>
      <c r="AT50" s="21">
        <f>IF(AND(tblData[Date]&gt;=StartDt2Korea,ISNUMBER(tblData[SKorea])),(tblData[[#This Row],[SKorea LogiP(t)]]-tblData[[#This Row],[SKorea]])^2,"")</f>
        <v>13129.231946893853</v>
      </c>
      <c r="AU50" s="21">
        <f>IF(tblData[Date]&gt;=StartDt2Korea,tblData[[#This Row],[SKorea LogiP(t)]]/$AS$9,"")</f>
        <v>704.55586369342927</v>
      </c>
      <c r="AV50" s="11">
        <f>IF(ISNUMBER(tblData[Days'# UK]),betaUK/(deltaUK+betaPodeltaUK*EXP(-betaUK*tblData[Days'# UK])),"")</f>
        <v>48.431101771425105</v>
      </c>
      <c r="AW50" s="21">
        <f>IF(ISNUMBER(tblData[UK]),(tblData[[#This Row],[UK LogiP(t)]]-tblData[[#This Row],[UK]])^2,"")</f>
        <v>154.53229125152839</v>
      </c>
      <c r="AX50" s="21">
        <f>IF(ISNUMBER(tblData[Days'# UK]),tblData[[#This Row],[UK LogiP(t)]]/$AV$9,"")</f>
        <v>7.2894493936521831</v>
      </c>
      <c r="AY50" s="11">
        <f>IF(ISNUMBER(tblData[Days'# China]),betaChina/(deltaChina+betaPodeltaChina*EXP(-betaChina*tblData[Days'# China])),"")</f>
        <v>80235.427956371364</v>
      </c>
      <c r="AZ50" s="11">
        <f>IF(ISNUMBER(tblData[China]),(tblData[[#This Row],[China LogiP(t)]]-tblData[[#This Row],[China]])^2,"")</f>
        <v>92068.524707702629</v>
      </c>
      <c r="BA50" s="11">
        <f>tblData[[#This Row],[China LogiP(t)]]/$AY$9</f>
        <v>557.45225149654834</v>
      </c>
      <c r="BB50" s="11"/>
      <c r="BC50" s="11"/>
      <c r="BD50" s="11" t="str">
        <f>IF(ISNUMBER(tblData[[#This Row],[NSW Number of Tests]]),tblData[[#This Row],[NSW Number of Tests]]-BB49,"")</f>
        <v/>
      </c>
      <c r="BE50" s="11" t="str">
        <f>IF(ISNUMBER(tblData[[#This Row],[NSW Under Investigation'']]),tblData[[#This Row],[NSW Under Investigation'']]-BC49,"")</f>
        <v/>
      </c>
      <c r="BF50" s="11"/>
      <c r="BG50" s="11" t="str">
        <f>IF(ISNUMBER(tblData[[#This Row],[NSW Test Day Number]]),betaTest/(deltaTest+betaPodeltaTest*EXP(-betaTest*tblData[[#This Row],[NSW Test Day Number]])),"")</f>
        <v/>
      </c>
      <c r="BH50" s="11" t="str">
        <f>IF(ISNUMBER(tblData[[#This Row],[NSW Number of Tests]]),(tblData[[#This Row],[NSW Number of Tests]]-tblData[[#This Row],[NSW Test Logi]])^2,"")</f>
        <v/>
      </c>
      <c r="DE50" t="s">
        <v>989</v>
      </c>
      <c r="DF50" s="82">
        <v>43911.866342592592</v>
      </c>
      <c r="DH50" s="27">
        <v>43896</v>
      </c>
      <c r="DI50">
        <v>7</v>
      </c>
      <c r="DJ50">
        <v>0.20209478104227763</v>
      </c>
      <c r="DK50">
        <v>1.0000000000000751E-10</v>
      </c>
      <c r="DL50">
        <v>5.7886977342360797E-3</v>
      </c>
      <c r="DM50">
        <v>2020947810.4226243</v>
      </c>
      <c r="DN50" s="19">
        <v>1753.8770216205796</v>
      </c>
      <c r="DO50" s="12">
        <v>34.911959532184611</v>
      </c>
      <c r="DP50">
        <v>1.0000000000000751E-7</v>
      </c>
      <c r="DR50" s="27">
        <v>43910</v>
      </c>
      <c r="DS50" t="s">
        <v>1003</v>
      </c>
      <c r="DT50">
        <v>40298</v>
      </c>
      <c r="DU50" t="s">
        <v>1004</v>
      </c>
      <c r="DV50" s="27">
        <v>43910</v>
      </c>
      <c r="DW50">
        <v>15</v>
      </c>
      <c r="DX50" t="s">
        <v>1005</v>
      </c>
      <c r="DZ50" t="s">
        <v>1035</v>
      </c>
      <c r="EB50" t="s">
        <v>1506</v>
      </c>
    </row>
    <row r="51" spans="2:173" x14ac:dyDescent="0.25">
      <c r="B51" s="1">
        <v>43892</v>
      </c>
      <c r="C51">
        <v>0</v>
      </c>
      <c r="D51" s="26">
        <v>0</v>
      </c>
      <c r="E51">
        <v>6</v>
      </c>
      <c r="F51">
        <v>0</v>
      </c>
      <c r="G51">
        <v>9</v>
      </c>
      <c r="H51">
        <v>3</v>
      </c>
      <c r="I51">
        <v>1</v>
      </c>
      <c r="J51">
        <v>9</v>
      </c>
      <c r="K51">
        <v>2</v>
      </c>
      <c r="L51" s="12">
        <f>IF(ISNUMBER(tblData[[#This Row],[NSW]]),tblData[[#This Row],[New South Wales]]/$L$9,"")</f>
        <v>7.4257425742574252</v>
      </c>
      <c r="M51" s="26">
        <v>2036</v>
      </c>
      <c r="N51" s="49">
        <f>IF(ISNUMBER(tblData[Italy]),tblData[Italy]/$N$9,"")</f>
        <v>336.80727874276261</v>
      </c>
      <c r="O51">
        <v>98</v>
      </c>
      <c r="P51" s="49">
        <f>IF(ISNUMBER(tblData[US]),tblData[US]/$P$9,"")</f>
        <v>2.9766628478512263</v>
      </c>
      <c r="Q51">
        <v>4335</v>
      </c>
      <c r="R51" s="19">
        <f>IF(ISNUMBER(tblData[SKorea]),tblData[SKorea]/$R$9,"")</f>
        <v>843.38521400778211</v>
      </c>
      <c r="S51">
        <v>40</v>
      </c>
      <c r="T51" s="12">
        <f>IF(ISNUMBER(tblData[UK]),tblData[UK]/$T$9,"")</f>
        <v>6.0204695966285371</v>
      </c>
      <c r="U51">
        <v>80136</v>
      </c>
      <c r="V51" s="21">
        <f>IF(ISNUMBER(tblData[China]),tblData[China]/$V$9,"")</f>
        <v>556.7614551793522</v>
      </c>
      <c r="W51" s="26">
        <f>IF(tblData[[#This Row],[Date]]&lt;ItalyStart,"",tblData[[#This Row],[Date]]-ItalyStart)</f>
        <v>32</v>
      </c>
      <c r="X51" s="26">
        <f t="shared" si="5"/>
        <v>22</v>
      </c>
      <c r="Y51" s="26">
        <f t="shared" si="3"/>
        <v>40</v>
      </c>
      <c r="Z51" s="26">
        <f>IF(tblData[[#This Row],[Date]]&lt;StartDt2Korea,"",tblData[[#This Row],[Date]]-StartDt2Korea)</f>
        <v>12</v>
      </c>
      <c r="AA51" s="26">
        <f>IF(tblData[[#This Row],[Date]]&lt;UKStart,"",tblData[[#This Row],[Date]]-UKStart)</f>
        <v>32</v>
      </c>
      <c r="AB51">
        <f>IF(tblData[Date]&gt;=StartDt2Au,tblData[Date]-StartDt2Au,"")</f>
        <v>37</v>
      </c>
      <c r="AC51" s="26">
        <f>IF(tblData[New South Wales]&gt;0,SUM(tblData[[#This Row],[Australian Capital Territory]:[Western Australia]]),"")</f>
        <v>30</v>
      </c>
      <c r="AD51" s="12">
        <f>IF(ISNUMBER(tblData[Au]),tblData[Au]/$AA$9,"")</f>
        <v>11.827787415234191</v>
      </c>
      <c r="AE51" s="19">
        <f>IF(ISNUMBER(tblData[[#This Row],[Day'# Aust]]),betaAu/(deltaAu+betaPodeltaAu*EXP(-betaAu*tblData[[#This Row],[Day'# Aust]])),"")</f>
        <v>21.112133459129591</v>
      </c>
      <c r="AF51" s="72">
        <f>IF(ISNUMBER(tblData[Day'# Aust]),tblData[Au LogiP(t)]/$AD$9,"")</f>
        <v>8.3236608812212545</v>
      </c>
      <c r="AG51" s="11">
        <f>IF(AND(tblData[Date]&gt;=StartDt2Au,ISNUMBER(tblData[NSW])),(tblData[[#This Row],[Au LogiP(t)]]-tblData[[#This Row],[Au]])^2,"")</f>
        <v>78.994171648323729</v>
      </c>
      <c r="AH51" s="26">
        <f>IF(tblData[Date]&gt;StartDt2NSW,tblData[Date]-StartDt2NSW,"")</f>
        <v>37</v>
      </c>
      <c r="AI51">
        <f t="shared" si="4"/>
        <v>6</v>
      </c>
      <c r="AJ51" s="11">
        <f>IF(tblData[Date]&gt;StartDt2NSW,betaNSW/(deltaNSW+betaPodeltaNSW*EXP(-betaNSW*tblData[[#This Row],[Day '# NSW]])),"")</f>
        <v>9.8992871899891952</v>
      </c>
      <c r="AK51" s="12">
        <f>IF(AND(ISNUMBER(tblData[NSW]),tblData[Date]&gt;StartDt2NSW),(tblData[[#This Row],[NSW LogiP(t)]]-tblData[[#This Row],[NSW]])^2,"")</f>
        <v>15.204440590013833</v>
      </c>
      <c r="AL51" s="12">
        <f>IF(AND(tblData[Date]&gt;StartDt2NSW,ISNUMBER(tblData[Day'# Aust])),tblData[NSW LogiP(t)]/$AG$9,"")</f>
        <v>12.25159305691732</v>
      </c>
      <c r="AM51" s="11">
        <f>IF(AND(tblData[Date]&gt;StartDt2Italy,ISNUMBER(tblData[Days'# Italy])),betaItaly/(deltaItaly+betaPodeltaItaly*EXP(-betaItaly*tblData[Days'# Italy])),"")</f>
        <v>1768.4833026841723</v>
      </c>
      <c r="AN51" s="11">
        <f>IF(AND(tblData[Date]&gt;StartDt2Italy,ISNUMBER(tblData[Italy])),(tblData[[#This Row],[Italy LogiP(t)]]-tblData[[#This Row],[Italy]])^2,"")</f>
        <v>71565.1833427682</v>
      </c>
      <c r="AO51" s="44">
        <f>IF(AND(tblData[Date]&gt;StartDt2Italy,ISNUMBER(tblData[Days'# Italy])),tblData[[#This Row],[Italy LogiP(t)]]/$AM$9,"")</f>
        <v>292.55306909581014</v>
      </c>
      <c r="AP51" s="21">
        <f>IF(ISNUMBER(tblData[[#This Row],[Days'# US]]),betaUS/(deltaUS+betaPodeltaUS*EXP(-betaUS*tblData[Days'# US])),"")</f>
        <v>35.895481623463873</v>
      </c>
      <c r="AQ51" s="11">
        <f>IF(ISNUMBER(tblData[US]),(tblData[[#This Row],[US LogiP(t)]]-tblData[US])^2,"")</f>
        <v>3856.9712027815135</v>
      </c>
      <c r="AR51" s="21">
        <f>IF(ISNUMBER(tblData[[#This Row],[Days'# US]]),tblData[[#This Row],[US LogiP(t)]]/$AP$9,"")</f>
        <v>1.0902933321866461</v>
      </c>
      <c r="AS51" s="21">
        <f>IF(tblData[Date]&gt;=StartDt2Korea,betaSKorea/(deltaSKorea+betaPodeltaSKorea*EXP(-betaSKorea*(tblData[Date]-StartDt2Korea))),"")</f>
        <v>4295.660595720261</v>
      </c>
      <c r="AT51" s="21">
        <f>IF(AND(tblData[Date]&gt;=StartDt2Korea,ISNUMBER(tblData[SKorea])),(tblData[[#This Row],[SKorea LogiP(t)]]-tblData[[#This Row],[SKorea]])^2,"")</f>
        <v>1547.5887290847493</v>
      </c>
      <c r="AU51" s="21">
        <f>IF(tblData[Date]&gt;=StartDt2Korea,tblData[[#This Row],[SKorea LogiP(t)]]/$AS$9,"")</f>
        <v>835.73163340861117</v>
      </c>
      <c r="AV51" s="11">
        <f>IF(ISNUMBER(tblData[Days'# UK]),betaUK/(deltaUK+betaPodeltaUK*EXP(-betaUK*tblData[Days'# UK])),"")</f>
        <v>60.991675771889746</v>
      </c>
      <c r="AW51" s="21">
        <f>IF(ISNUMBER(tblData[UK]),(tblData[[#This Row],[UK LogiP(t)]]-tblData[[#This Row],[UK]])^2,"")</f>
        <v>440.65045171214297</v>
      </c>
      <c r="AX51" s="21">
        <f>IF(ISNUMBER(tblData[Days'# UK]),tblData[[#This Row],[UK LogiP(t)]]/$AV$9,"")</f>
        <v>9.1799632408021896</v>
      </c>
      <c r="AY51" s="11">
        <f>IF(ISNUMBER(tblData[Days'# China]),betaChina/(deltaChina+betaPodeltaChina*EXP(-betaChina*tblData[Days'# China])),"")</f>
        <v>80377.02558902475</v>
      </c>
      <c r="AZ51" s="11">
        <f>IF(ISNUMBER(tblData[China]),(tblData[[#This Row],[China LogiP(t)]]-tblData[[#This Row],[China]])^2,"")</f>
        <v>58093.334564727658</v>
      </c>
      <c r="BA51" s="11">
        <f>tblData[[#This Row],[China LogiP(t)]]/$AY$9</f>
        <v>558.43603037253479</v>
      </c>
      <c r="BB51" s="11"/>
      <c r="BC51" s="11"/>
      <c r="BD51" s="11" t="str">
        <f>IF(ISNUMBER(tblData[[#This Row],[NSW Number of Tests]]),tblData[[#This Row],[NSW Number of Tests]]-BB50,"")</f>
        <v/>
      </c>
      <c r="BE51" s="11" t="str">
        <f>IF(ISNUMBER(tblData[[#This Row],[NSW Under Investigation'']]),tblData[[#This Row],[NSW Under Investigation'']]-BC50,"")</f>
        <v/>
      </c>
      <c r="BF51" s="11"/>
      <c r="BG51" s="11" t="str">
        <f>IF(ISNUMBER(tblData[[#This Row],[NSW Test Day Number]]),betaTest/(deltaTest+betaPodeltaTest*EXP(-betaTest*tblData[[#This Row],[NSW Test Day Number]])),"")</f>
        <v/>
      </c>
      <c r="BH51" s="11" t="str">
        <f>IF(ISNUMBER(tblData[[#This Row],[NSW Number of Tests]]),(tblData[[#This Row],[NSW Number of Tests]]-tblData[[#This Row],[NSW Test Logi]])^2,"")</f>
        <v/>
      </c>
      <c r="DE51" t="s">
        <v>989</v>
      </c>
      <c r="DI51">
        <v>7</v>
      </c>
      <c r="DJ51">
        <v>0.20209478104227763</v>
      </c>
      <c r="DK51">
        <v>1.0000000000000751E-10</v>
      </c>
      <c r="DL51">
        <v>5.7886977342360797E-3</v>
      </c>
      <c r="DM51">
        <v>2020947810.4226243</v>
      </c>
      <c r="DN51" s="19">
        <v>1753.8770216205796</v>
      </c>
      <c r="DO51" s="12">
        <v>34.911959532184611</v>
      </c>
      <c r="DP51">
        <v>1.0000000000000751E-7</v>
      </c>
      <c r="DR51" s="27">
        <v>43910</v>
      </c>
      <c r="DS51" t="s">
        <v>1003</v>
      </c>
      <c r="DT51">
        <v>40298</v>
      </c>
      <c r="DU51" t="s">
        <v>1004</v>
      </c>
      <c r="DV51" s="27">
        <v>43910</v>
      </c>
      <c r="DW51">
        <v>15</v>
      </c>
      <c r="DX51" t="s">
        <v>1005</v>
      </c>
      <c r="DZ51" t="s">
        <v>1035</v>
      </c>
      <c r="EB51" t="s">
        <v>1336</v>
      </c>
    </row>
    <row r="52" spans="2:173" x14ac:dyDescent="0.25">
      <c r="B52" s="1">
        <v>43893</v>
      </c>
      <c r="C52">
        <v>0</v>
      </c>
      <c r="D52" s="26">
        <v>0</v>
      </c>
      <c r="E52">
        <v>13</v>
      </c>
      <c r="F52">
        <v>0</v>
      </c>
      <c r="G52">
        <v>11</v>
      </c>
      <c r="H52">
        <v>3</v>
      </c>
      <c r="I52">
        <v>1</v>
      </c>
      <c r="J52">
        <v>9</v>
      </c>
      <c r="K52">
        <v>2</v>
      </c>
      <c r="L52" s="12">
        <f>IF(ISNUMBER(tblData[[#This Row],[NSW]]),tblData[[#This Row],[New South Wales]]/$L$9,"")</f>
        <v>16.089108910891088</v>
      </c>
      <c r="M52" s="26">
        <v>2502</v>
      </c>
      <c r="N52" s="49">
        <f>IF(ISNUMBER(tblData[Italy]),tblData[Italy]/$N$9,"")</f>
        <v>413.89578163771711</v>
      </c>
      <c r="O52">
        <v>118</v>
      </c>
      <c r="P52" s="49">
        <f>IF(ISNUMBER(tblData[US]),tblData[US]/$P$9,"")</f>
        <v>3.5841450616984152</v>
      </c>
      <c r="Q52">
        <v>5186</v>
      </c>
      <c r="R52" s="19">
        <f>IF(ISNUMBER(tblData[SKorea]),tblData[SKorea]/$R$9,"")</f>
        <v>1008.9494163424125</v>
      </c>
      <c r="S52">
        <v>51</v>
      </c>
      <c r="T52" s="12">
        <f>IF(ISNUMBER(tblData[UK]),tblData[UK]/$T$9,"")</f>
        <v>7.6760987357013848</v>
      </c>
      <c r="U52">
        <v>80261</v>
      </c>
      <c r="V52" s="21">
        <f>IF(ISNUMBER(tblData[China]),tblData[China]/$V$9,"")</f>
        <v>557.6299185653138</v>
      </c>
      <c r="W52" s="26">
        <f>IF(tblData[[#This Row],[Date]]&lt;ItalyStart,"",tblData[[#This Row],[Date]]-ItalyStart)</f>
        <v>33</v>
      </c>
      <c r="X52" s="26">
        <f t="shared" si="5"/>
        <v>23</v>
      </c>
      <c r="Y52" s="26">
        <f t="shared" si="3"/>
        <v>41</v>
      </c>
      <c r="Z52" s="26">
        <f>IF(tblData[[#This Row],[Date]]&lt;StartDt2Korea,"",tblData[[#This Row],[Date]]-StartDt2Korea)</f>
        <v>13</v>
      </c>
      <c r="AA52" s="26">
        <f>IF(tblData[[#This Row],[Date]]&lt;UKStart,"",tblData[[#This Row],[Date]]-UKStart)</f>
        <v>33</v>
      </c>
      <c r="AB52">
        <f>IF(tblData[Date]&gt;=StartDt2Au,tblData[Date]-StartDt2Au,"")</f>
        <v>38</v>
      </c>
      <c r="AC52" s="26">
        <f>IF(tblData[New South Wales]&gt;0,SUM(tblData[[#This Row],[Australian Capital Territory]:[Western Australia]]),"")</f>
        <v>39</v>
      </c>
      <c r="AD52" s="12">
        <f>IF(ISNUMBER(tblData[Au]),tblData[Au]/$AA$9,"")</f>
        <v>15.376123639804447</v>
      </c>
      <c r="AE52" s="19">
        <f>IF(ISNUMBER(tblData[[#This Row],[Day'# Aust]]),betaAu/(deltaAu+betaPodeltaAu*EXP(-betaAu*tblData[[#This Row],[Day'# Aust]])),"")</f>
        <v>25.954297700594523</v>
      </c>
      <c r="AF52" s="72">
        <f>IF(ISNUMBER(tblData[Day'# Aust]),tblData[Au LogiP(t)]/$AD$9,"")</f>
        <v>10.232730523811119</v>
      </c>
      <c r="AG52" s="11">
        <f>IF(AND(tblData[Date]&gt;=StartDt2Au,ISNUMBER(tblData[NSW])),(tblData[[#This Row],[Au LogiP(t)]]-tblData[[#This Row],[Au]])^2,"")</f>
        <v>170.19034848471335</v>
      </c>
      <c r="AH52">
        <f>IF(tblData[Date]&gt;StartDt2NSW,tblData[Date]-StartDt2NSW,"")</f>
        <v>38</v>
      </c>
      <c r="AI52">
        <f t="shared" si="4"/>
        <v>13</v>
      </c>
      <c r="AJ52" s="11">
        <f>IF(tblData[Date]&gt;StartDt2NSW,betaNSW/(deltaNSW+betaPodeltaNSW*EXP(-betaNSW*tblData[[#This Row],[Day '# NSW]])),"")</f>
        <v>12.193746688117297</v>
      </c>
      <c r="AK52" s="12">
        <f>IF(AND(ISNUMBER(tblData[NSW]),tblData[Date]&gt;StartDt2NSW),(tblData[[#This Row],[NSW LogiP(t)]]-tblData[[#This Row],[NSW]])^2,"")</f>
        <v>0.65004440292182664</v>
      </c>
      <c r="AL52" s="12">
        <f>IF(AND(tblData[Date]&gt;StartDt2NSW,ISNUMBER(tblData[Day'# Aust])),tblData[NSW LogiP(t)]/$AG$9,"")</f>
        <v>15.091270653610515</v>
      </c>
      <c r="AM52" s="11">
        <f>IF(AND(tblData[Date]&gt;StartDt2Italy,ISNUMBER(tblData[Days'# Italy])),betaItaly/(deltaItaly+betaPodeltaItaly*EXP(-betaItaly*tblData[Days'# Italy])),"")</f>
        <v>2272.524923306758</v>
      </c>
      <c r="AN52" s="11">
        <f>IF(AND(tblData[Date]&gt;StartDt2Italy,ISNUMBER(tblData[Italy])),(tblData[[#This Row],[Italy LogiP(t)]]-tblData[[#This Row],[Italy]])^2,"")</f>
        <v>52658.81082336932</v>
      </c>
      <c r="AO52" s="44">
        <f>IF(AND(tblData[Date]&gt;StartDt2Italy,ISNUMBER(tblData[Days'# Italy])),tblData[[#This Row],[Italy LogiP(t)]]/$AM$9,"")</f>
        <v>375.93464405405427</v>
      </c>
      <c r="AP52" s="21">
        <f>IF(ISNUMBER(tblData[[#This Row],[Days'# US]]),betaUS/(deltaUS+betaPodeltaUS*EXP(-betaUS*tblData[Days'# US])),"")</f>
        <v>50.820848634945257</v>
      </c>
      <c r="AQ52" s="11">
        <f>IF(ISNUMBER(tblData[US]),(tblData[[#This Row],[US LogiP(t)]]-tblData[US])^2,"")</f>
        <v>4513.0383781289356</v>
      </c>
      <c r="AR52" s="21">
        <f>IF(ISNUMBER(tblData[[#This Row],[Days'# US]]),tblData[[#This Row],[US LogiP(t)]]/$AP$9,"")</f>
        <v>1.5436380819174718</v>
      </c>
      <c r="AS52" s="21">
        <f>IF(tblData[Date]&gt;=StartDt2Korea,betaSKorea/(deltaSKorea+betaPodeltaSKorea*EXP(-betaSKorea*(tblData[Date]-StartDt2Korea))),"")</f>
        <v>4962.8276039259954</v>
      </c>
      <c r="AT52" s="21">
        <f>IF(AND(tblData[Date]&gt;=StartDt2Korea,ISNUMBER(tblData[SKorea])),(tblData[[#This Row],[SKorea LogiP(t)]]-tblData[[#This Row],[SKorea]])^2,"")</f>
        <v>49805.918369412386</v>
      </c>
      <c r="AU52" s="21">
        <f>IF(tblData[Date]&gt;=StartDt2Korea,tblData[[#This Row],[SKorea LogiP(t)]]/$AS$9,"")</f>
        <v>965.53066224241161</v>
      </c>
      <c r="AV52" s="11">
        <f>IF(ISNUMBER(tblData[Days'# UK]),betaUK/(deltaUK+betaPodeltaUK*EXP(-betaUK*tblData[Days'# UK])),"")</f>
        <v>76.80982519184829</v>
      </c>
      <c r="AW52" s="21">
        <f>IF(ISNUMBER(tblData[UK]),(tblData[[#This Row],[UK LogiP(t)]]-tblData[[#This Row],[UK]])^2,"")</f>
        <v>666.14707643376664</v>
      </c>
      <c r="AX52" s="21">
        <f>IF(ISNUMBER(tblData[Days'# UK]),tblData[[#This Row],[UK LogiP(t)]]/$AV$9,"")</f>
        <v>11.560780432246883</v>
      </c>
      <c r="AY52" s="11">
        <f>IF(ISNUMBER(tblData[Days'# China]),betaChina/(deltaChina+betaPodeltaChina*EXP(-betaChina*tblData[Days'# China])),"")</f>
        <v>80490.777962191685</v>
      </c>
      <c r="AZ52" s="11">
        <f>IF(ISNUMBER(tblData[China]),(tblData[[#This Row],[China LogiP(t)]]-tblData[[#This Row],[China]])^2,"")</f>
        <v>52797.911908963521</v>
      </c>
      <c r="BA52" s="11">
        <f>tblData[[#This Row],[China LogiP(t)]]/$AY$9</f>
        <v>559.22634854182866</v>
      </c>
      <c r="BB52" s="11"/>
      <c r="BC52" s="11"/>
      <c r="BD52" s="11" t="str">
        <f>IF(ISNUMBER(tblData[[#This Row],[NSW Number of Tests]]),tblData[[#This Row],[NSW Number of Tests]]-BB51,"")</f>
        <v/>
      </c>
      <c r="BE52" s="11" t="str">
        <f>IF(ISNUMBER(tblData[[#This Row],[NSW Under Investigation'']]),tblData[[#This Row],[NSW Under Investigation'']]-BC51,"")</f>
        <v/>
      </c>
      <c r="BF52" s="11"/>
      <c r="BG52" s="11" t="str">
        <f>IF(ISNUMBER(tblData[[#This Row],[NSW Test Day Number]]),betaTest/(deltaTest+betaPodeltaTest*EXP(-betaTest*tblData[[#This Row],[NSW Test Day Number]])),"")</f>
        <v/>
      </c>
      <c r="BH52" s="11" t="str">
        <f>IF(ISNUMBER(tblData[[#This Row],[NSW Number of Tests]]),(tblData[[#This Row],[NSW Number of Tests]]-tblData[[#This Row],[NSW Test Logi]])^2,"")</f>
        <v/>
      </c>
      <c r="DE52" t="s">
        <v>989</v>
      </c>
      <c r="DF52" s="82">
        <v>43911.89398148148</v>
      </c>
      <c r="DH52" s="27">
        <v>43896</v>
      </c>
      <c r="DI52">
        <v>7</v>
      </c>
      <c r="DJ52">
        <v>0.20209478104227763</v>
      </c>
      <c r="DK52">
        <v>1.0000000000000751E-10</v>
      </c>
      <c r="DL52">
        <v>5.7886977342360797E-3</v>
      </c>
      <c r="DM52">
        <v>2020947810.4226243</v>
      </c>
      <c r="DN52">
        <v>2141.4153557262753</v>
      </c>
      <c r="DO52">
        <v>34.911959532184611</v>
      </c>
      <c r="DP52">
        <v>1.0000000000000751E-7</v>
      </c>
      <c r="DR52" s="27">
        <v>43911</v>
      </c>
      <c r="DS52" t="s">
        <v>1003</v>
      </c>
      <c r="DT52">
        <v>46456</v>
      </c>
      <c r="DU52" t="s">
        <v>1004</v>
      </c>
      <c r="DV52" s="27">
        <v>43911</v>
      </c>
      <c r="DW52">
        <v>16</v>
      </c>
      <c r="DX52" t="s">
        <v>1005</v>
      </c>
      <c r="DZ52" t="s">
        <v>1035</v>
      </c>
      <c r="EB52" t="s">
        <v>1507</v>
      </c>
    </row>
    <row r="53" spans="2:173" x14ac:dyDescent="0.25">
      <c r="B53" s="1">
        <v>43894</v>
      </c>
      <c r="C53">
        <v>0</v>
      </c>
      <c r="D53" s="26">
        <v>0</v>
      </c>
      <c r="E53">
        <v>22</v>
      </c>
      <c r="F53">
        <v>1</v>
      </c>
      <c r="G53">
        <v>11</v>
      </c>
      <c r="H53">
        <v>5</v>
      </c>
      <c r="I53">
        <v>1</v>
      </c>
      <c r="J53">
        <v>10</v>
      </c>
      <c r="K53">
        <v>2</v>
      </c>
      <c r="L53" s="12">
        <f>IF(ISNUMBER(tblData[[#This Row],[NSW]]),tblData[[#This Row],[New South Wales]]/$L$9,"")</f>
        <v>27.227722772277225</v>
      </c>
      <c r="M53" s="26">
        <v>3089</v>
      </c>
      <c r="N53" s="49">
        <f>IF(ISNUMBER(tblData[Italy]),tblData[Italy]/$N$9,"")</f>
        <v>511.00082712985937</v>
      </c>
      <c r="O53">
        <v>149</v>
      </c>
      <c r="P53" s="49">
        <f>IF(ISNUMBER(tblData[US]),tblData[US]/$P$9,"")</f>
        <v>4.525742493161558</v>
      </c>
      <c r="Q53">
        <v>5621</v>
      </c>
      <c r="R53" s="19">
        <f>IF(ISNUMBER(tblData[SKorea]),tblData[SKorea]/$R$9,"")</f>
        <v>1093.5797665369651</v>
      </c>
      <c r="S53">
        <v>86</v>
      </c>
      <c r="T53" s="12">
        <f>IF(ISNUMBER(tblData[UK]),tblData[UK]/$T$9,"")</f>
        <v>12.944009632751355</v>
      </c>
      <c r="U53">
        <v>80386</v>
      </c>
      <c r="V53" s="21">
        <f>IF(ISNUMBER(tblData[China]),tblData[China]/$V$9,"")</f>
        <v>558.49838195127541</v>
      </c>
      <c r="W53" s="26">
        <f>IF(tblData[[#This Row],[Date]]&lt;ItalyStart,"",tblData[[#This Row],[Date]]-ItalyStart)</f>
        <v>34</v>
      </c>
      <c r="X53" s="26">
        <f t="shared" si="5"/>
        <v>24</v>
      </c>
      <c r="Y53" s="26">
        <f t="shared" si="3"/>
        <v>42</v>
      </c>
      <c r="Z53" s="26">
        <f>IF(tblData[[#This Row],[Date]]&lt;StartDt2Korea,"",tblData[[#This Row],[Date]]-StartDt2Korea)</f>
        <v>14</v>
      </c>
      <c r="AA53" s="26">
        <f>IF(tblData[[#This Row],[Date]]&lt;UKStart,"",tblData[[#This Row],[Date]]-UKStart)</f>
        <v>34</v>
      </c>
      <c r="AB53">
        <f>IF(tblData[Date]&gt;=StartDt2Au,tblData[Date]-StartDt2Au,"")</f>
        <v>39</v>
      </c>
      <c r="AC53" s="26">
        <f>IF(tblData[New South Wales]&gt;0,SUM(tblData[[#This Row],[Australian Capital Territory]:[Western Australia]]),"")</f>
        <v>52</v>
      </c>
      <c r="AD53" s="12">
        <f>IF(ISNUMBER(tblData[Au]),tblData[Au]/$AA$9,"")</f>
        <v>20.501498186405929</v>
      </c>
      <c r="AE53" s="19">
        <f>IF(ISNUMBER(tblData[[#This Row],[Day'# Aust]]),betaAu/(deltaAu+betaPodeltaAu*EXP(-betaAu*tblData[[#This Row],[Day'# Aust]])),"")</f>
        <v>31.907034256492466</v>
      </c>
      <c r="AF53" s="72">
        <f>IF(ISNUMBER(tblData[Day'# Aust]),tblData[Au LogiP(t)]/$AD$9,"")</f>
        <v>12.579653941212927</v>
      </c>
      <c r="AG53" s="11">
        <f>IF(AND(tblData[Date]&gt;=StartDt2Au,ISNUMBER(tblData[NSW])),(tblData[[#This Row],[Au LogiP(t)]]-tblData[[#This Row],[Au]])^2,"")</f>
        <v>403.72727236976726</v>
      </c>
      <c r="AH53">
        <f>IF(tblData[Date]&gt;StartDt2NSW,tblData[Date]-StartDt2NSW,"")</f>
        <v>39</v>
      </c>
      <c r="AI53">
        <f t="shared" si="4"/>
        <v>22</v>
      </c>
      <c r="AJ53" s="11">
        <f>IF(tblData[Date]&gt;StartDt2NSW,betaNSW/(deltaNSW+betaPodeltaNSW*EXP(-betaNSW*tblData[[#This Row],[Day '# NSW]])),"")</f>
        <v>15.017074909226453</v>
      </c>
      <c r="AK53" s="12">
        <f>IF(AND(ISNUMBER(tblData[NSW]),tblData[Date]&gt;StartDt2NSW),(tblData[[#This Row],[NSW LogiP(t)]]-tblData[[#This Row],[NSW]])^2,"")</f>
        <v>48.761242823354749</v>
      </c>
      <c r="AL53" s="12">
        <f>IF(AND(tblData[Date]&gt;StartDt2NSW,ISNUMBER(tblData[Day'# Aust])),tblData[NSW LogiP(t)]/$AG$9,"")</f>
        <v>18.585488749042639</v>
      </c>
      <c r="AM53" s="11">
        <f>IF(AND(tblData[Date]&gt;StartDt2Italy,ISNUMBER(tblData[Days'# Italy])),betaItaly/(deltaItaly+betaPodeltaItaly*EXP(-betaItaly*tblData[Days'# Italy])),"")</f>
        <v>2912.4242874528013</v>
      </c>
      <c r="AN53" s="11">
        <f>IF(AND(tblData[Date]&gt;StartDt2Italy,ISNUMBER(tblData[Italy])),(tblData[[#This Row],[Italy LogiP(t)]]-tblData[[#This Row],[Italy]])^2,"")</f>
        <v>31178.98226155094</v>
      </c>
      <c r="AO53" s="44">
        <f>IF(AND(tblData[Date]&gt;StartDt2Italy,ISNUMBER(tblData[Days'# Italy])),tblData[[#This Row],[Italy LogiP(t)]]/$AM$9,"")</f>
        <v>481.79061827176201</v>
      </c>
      <c r="AP53" s="21">
        <f>IF(ISNUMBER(tblData[[#This Row],[Days'# US]]),betaUS/(deltaUS+betaPodeltaUS*EXP(-betaUS*tblData[Days'# US])),"")</f>
        <v>71.952192673418168</v>
      </c>
      <c r="AQ53" s="11">
        <f>IF(ISNUMBER(tblData[US]),(tblData[[#This Row],[US LogiP(t)]]-tblData[US])^2,"")</f>
        <v>5936.3646138340773</v>
      </c>
      <c r="AR53" s="21">
        <f>IF(ISNUMBER(tblData[[#This Row],[Days'# US]]),tblData[[#This Row],[US LogiP(t)]]/$AP$9,"")</f>
        <v>2.185483864820378</v>
      </c>
      <c r="AS53" s="21">
        <f>IF(tblData[Date]&gt;=StartDt2Korea,betaSKorea/(deltaSKorea+betaPodeltaSKorea*EXP(-betaSKorea*(tblData[Date]-StartDt2Korea))),"")</f>
        <v>5589.6693405264114</v>
      </c>
      <c r="AT53" s="21">
        <f>IF(AND(tblData[Date]&gt;=StartDt2Korea,ISNUMBER(tblData[SKorea])),(tblData[[#This Row],[SKorea LogiP(t)]]-tblData[[#This Row],[SKorea]])^2,"")</f>
        <v>981.61022304996959</v>
      </c>
      <c r="AU53" s="21">
        <f>IF(tblData[Date]&gt;=StartDt2Korea,tblData[[#This Row],[SKorea LogiP(t)]]/$AS$9,"")</f>
        <v>1087.4843074954108</v>
      </c>
      <c r="AV53" s="11">
        <f>IF(ISNUMBER(tblData[Days'# UK]),betaUK/(deltaUK+betaPodeltaUK*EXP(-betaUK*tblData[Days'# UK])),"")</f>
        <v>96.730399130324258</v>
      </c>
      <c r="AW53" s="21">
        <f>IF(ISNUMBER(tblData[UK]),(tblData[[#This Row],[UK LogiP(t)]]-tblData[[#This Row],[UK]])^2,"")</f>
        <v>115.1414654960636</v>
      </c>
      <c r="AX53" s="21">
        <f>IF(ISNUMBER(tblData[Days'# UK]),tblData[[#This Row],[UK LogiP(t)]]/$AV$9,"")</f>
        <v>14.559060675846517</v>
      </c>
      <c r="AY53" s="11">
        <f>IF(ISNUMBER(tblData[Days'# China]),betaChina/(deltaChina+betaPodeltaChina*EXP(-betaChina*tblData[Days'# China])),"")</f>
        <v>80582.103377579871</v>
      </c>
      <c r="AZ53" s="11">
        <f>IF(ISNUMBER(tblData[China]),(tblData[[#This Row],[China LogiP(t)]]-tblData[[#This Row],[China]])^2,"")</f>
        <v>38456.534698233627</v>
      </c>
      <c r="BA53" s="11">
        <f>tblData[[#This Row],[China LogiP(t)]]/$AY$9</f>
        <v>559.86085077760765</v>
      </c>
      <c r="BB53" s="11"/>
      <c r="BC53" s="11"/>
      <c r="BD53" s="11" t="str">
        <f>IF(ISNUMBER(tblData[[#This Row],[NSW Number of Tests]]),tblData[[#This Row],[NSW Number of Tests]]-BB52,"")</f>
        <v/>
      </c>
      <c r="BE53" s="11" t="str">
        <f>IF(ISNUMBER(tblData[[#This Row],[NSW Under Investigation'']]),tblData[[#This Row],[NSW Under Investigation'']]-BC52,"")</f>
        <v/>
      </c>
      <c r="BF53" s="11"/>
      <c r="BG53" s="11" t="str">
        <f>IF(ISNUMBER(tblData[[#This Row],[NSW Test Day Number]]),betaTest/(deltaTest+betaPodeltaTest*EXP(-betaTest*tblData[[#This Row],[NSW Test Day Number]])),"")</f>
        <v/>
      </c>
      <c r="BH53" s="11" t="str">
        <f>IF(ISNUMBER(tblData[[#This Row],[NSW Number of Tests]]),(tblData[[#This Row],[NSW Number of Tests]]-tblData[[#This Row],[NSW Test Logi]])^2,"")</f>
        <v/>
      </c>
      <c r="DE53" t="s">
        <v>48</v>
      </c>
      <c r="DF53" s="82">
        <v>43911.898379629631</v>
      </c>
      <c r="DG53" s="27">
        <v>43855</v>
      </c>
      <c r="DH53" s="27">
        <v>43855</v>
      </c>
      <c r="DI53">
        <v>0</v>
      </c>
      <c r="DJ53">
        <v>0.20648931335259277</v>
      </c>
      <c r="DK53">
        <v>1.0000000000000768E-9</v>
      </c>
      <c r="DL53">
        <v>1.0150253776574341E-2</v>
      </c>
      <c r="DM53">
        <v>206489313.35257691</v>
      </c>
      <c r="DN53">
        <v>10.992507007919523</v>
      </c>
      <c r="DO53">
        <v>20.343266078627209</v>
      </c>
      <c r="DP53">
        <v>1.0000000000000768E-6</v>
      </c>
      <c r="DR53" s="27">
        <v>43911</v>
      </c>
      <c r="DS53" t="s">
        <v>1493</v>
      </c>
      <c r="DT53">
        <v>1068</v>
      </c>
      <c r="DU53" t="s">
        <v>1494</v>
      </c>
      <c r="DV53" s="27">
        <v>43911</v>
      </c>
      <c r="DW53">
        <v>57</v>
      </c>
      <c r="DX53" t="s">
        <v>1495</v>
      </c>
      <c r="DZ53" t="s">
        <v>1496</v>
      </c>
      <c r="EB53" t="s">
        <v>1497</v>
      </c>
      <c r="EC53">
        <v>421.06923198233716</v>
      </c>
      <c r="EH53" t="s">
        <v>1475</v>
      </c>
    </row>
    <row r="54" spans="2:173" x14ac:dyDescent="0.25">
      <c r="B54" s="1">
        <v>43895</v>
      </c>
      <c r="C54">
        <v>0</v>
      </c>
      <c r="D54" s="26">
        <v>0</v>
      </c>
      <c r="E54">
        <v>22</v>
      </c>
      <c r="F54">
        <v>1</v>
      </c>
      <c r="G54">
        <v>13</v>
      </c>
      <c r="H54">
        <v>5</v>
      </c>
      <c r="I54">
        <v>1</v>
      </c>
      <c r="J54">
        <v>10</v>
      </c>
      <c r="K54">
        <v>3</v>
      </c>
      <c r="L54" s="12">
        <f>IF(ISNUMBER(tblData[[#This Row],[NSW]]),tblData[[#This Row],[New South Wales]]/$L$9,"")</f>
        <v>27.227722772277225</v>
      </c>
      <c r="M54" s="26">
        <v>3858</v>
      </c>
      <c r="N54" s="49">
        <f>IF(ISNUMBER(tblData[Italy]),tblData[Italy]/$N$9,"")</f>
        <v>638.21339950372214</v>
      </c>
      <c r="O54">
        <v>217</v>
      </c>
      <c r="P54" s="49">
        <f>IF(ISNUMBER(tblData[US]),tblData[US]/$P$9,"")</f>
        <v>6.5911820202420008</v>
      </c>
      <c r="Q54">
        <v>6088</v>
      </c>
      <c r="R54" s="19">
        <f>IF(ISNUMBER(tblData[SKorea]),tblData[SKorea]/$R$9,"")</f>
        <v>1184.4357976653698</v>
      </c>
      <c r="S54">
        <v>116</v>
      </c>
      <c r="T54" s="12">
        <f>IF(ISNUMBER(tblData[UK]),tblData[UK]/$T$9,"")</f>
        <v>17.459361830222758</v>
      </c>
      <c r="U54">
        <v>80537</v>
      </c>
      <c r="V54" s="21">
        <f>IF(ISNUMBER(tblData[China]),tblData[China]/$V$9,"")</f>
        <v>559.54748572151709</v>
      </c>
      <c r="W54" s="26">
        <f>IF(tblData[[#This Row],[Date]]&lt;ItalyStart,"",tblData[[#This Row],[Date]]-ItalyStart)</f>
        <v>35</v>
      </c>
      <c r="X54" s="26">
        <f t="shared" si="5"/>
        <v>25</v>
      </c>
      <c r="Y54" s="26">
        <f t="shared" si="3"/>
        <v>43</v>
      </c>
      <c r="Z54" s="26">
        <f>IF(tblData[[#This Row],[Date]]&lt;StartDt2Korea,"",tblData[[#This Row],[Date]]-StartDt2Korea)</f>
        <v>15</v>
      </c>
      <c r="AA54" s="26">
        <f>IF(tblData[[#This Row],[Date]]&lt;UKStart,"",tblData[[#This Row],[Date]]-UKStart)</f>
        <v>35</v>
      </c>
      <c r="AB54">
        <f>IF(tblData[Date]&gt;=StartDt2Au,tblData[Date]-StartDt2Au,"")</f>
        <v>40</v>
      </c>
      <c r="AC54" s="26">
        <f>IF(tblData[New South Wales]&gt;0,SUM(tblData[[#This Row],[Australian Capital Territory]:[Western Australia]]),"")</f>
        <v>55</v>
      </c>
      <c r="AD54" s="12">
        <f>IF(ISNUMBER(tblData[Au]),tblData[Au]/$AA$9,"")</f>
        <v>21.68427692792935</v>
      </c>
      <c r="AE54" s="19">
        <f>IF(ISNUMBER(tblData[[#This Row],[Day'# Aust]]),betaAu/(deltaAu+betaPodeltaAu*EXP(-betaAu*tblData[[#This Row],[Day'# Aust]])),"")</f>
        <v>39.225057832728709</v>
      </c>
      <c r="AF54" s="72">
        <f>IF(ISNUMBER(tblData[Day'# Aust]),tblData[Au LogiP(t)]/$AD$9,"")</f>
        <v>15.464854846526064</v>
      </c>
      <c r="AG54" s="11">
        <f>IF(AND(tblData[Date]&gt;=StartDt2Au,ISNUMBER(tblData[NSW])),(tblData[[#This Row],[Au LogiP(t)]]-tblData[[#This Row],[Au]])^2,"")</f>
        <v>248.84880038075386</v>
      </c>
      <c r="AH54">
        <f>IF(tblData[Date]&gt;StartDt2NSW,tblData[Date]-StartDt2NSW,"")</f>
        <v>40</v>
      </c>
      <c r="AI54">
        <f t="shared" si="4"/>
        <v>22</v>
      </c>
      <c r="AJ54" s="11">
        <f>IF(tblData[Date]&gt;StartDt2NSW,betaNSW/(deltaNSW+betaPodeltaNSW*EXP(-betaNSW*tblData[[#This Row],[Day '# NSW]])),"")</f>
        <v>18.489657826959295</v>
      </c>
      <c r="AK54" s="12">
        <f>IF(AND(ISNUMBER(tblData[NSW]),tblData[Date]&gt;StartDt2NSW),(tblData[[#This Row],[NSW LogiP(t)]]-tblData[[#This Row],[NSW]])^2,"")</f>
        <v>12.322502171828139</v>
      </c>
      <c r="AL54" s="12">
        <f>IF(AND(tblData[Date]&gt;StartDt2NSW,ISNUMBER(tblData[Day'# Aust])),tblData[NSW LogiP(t)]/$AG$9,"")</f>
        <v>22.88323988485061</v>
      </c>
      <c r="AM54" s="11">
        <f>IF(AND(tblData[Date]&gt;StartDt2Italy,ISNUMBER(tblData[Days'# Italy])),betaItaly/(deltaItaly+betaPodeltaItaly*EXP(-betaItaly*tblData[Days'# Italy])),"")</f>
        <v>3719.8914970771784</v>
      </c>
      <c r="AN54" s="11">
        <f>IF(AND(tblData[Date]&gt;StartDt2Italy,ISNUMBER(tblData[Italy])),(tblData[[#This Row],[Italy LogiP(t)]]-tblData[[#This Row],[Italy]])^2,"")</f>
        <v>19073.958579583013</v>
      </c>
      <c r="AO54" s="44">
        <f>IF(AND(tblData[Date]&gt;StartDt2Italy,ISNUMBER(tblData[Days'# Italy])),tblData[[#This Row],[Italy LogiP(t)]]/$AM$9,"")</f>
        <v>615.3666661831561</v>
      </c>
      <c r="AP54" s="21">
        <f>IF(ISNUMBER(tblData[[#This Row],[Days'# US]]),betaUS/(deltaUS+betaPodeltaUS*EXP(-betaUS*tblData[Days'# US])),"")</f>
        <v>101.86996161501597</v>
      </c>
      <c r="AQ54" s="11">
        <f>IF(ISNUMBER(tblData[US]),(tblData[[#This Row],[US LogiP(t)]]-tblData[US])^2,"")</f>
        <v>13254.925738527896</v>
      </c>
      <c r="AR54" s="21">
        <f>IF(ISNUMBER(tblData[[#This Row],[Days'# US]]),tblData[[#This Row],[US LogiP(t)]]/$AP$9,"")</f>
        <v>3.0942094903209032</v>
      </c>
      <c r="AS54" s="21">
        <f>IF(tblData[Date]&gt;=StartDt2Korea,betaSKorea/(deltaSKorea+betaPodeltaSKorea*EXP(-betaSKorea*(tblData[Date]-StartDt2Korea))),"")</f>
        <v>6150.6059786806291</v>
      </c>
      <c r="AT54" s="21">
        <f>IF(AND(tblData[Date]&gt;=StartDt2Korea,ISNUMBER(tblData[SKorea])),(tblData[[#This Row],[SKorea LogiP(t)]]-tblData[[#This Row],[SKorea]])^2,"")</f>
        <v>3919.5085665593792</v>
      </c>
      <c r="AU54" s="21">
        <f>IF(tblData[Date]&gt;=StartDt2Korea,tblData[[#This Row],[SKorea LogiP(t)]]/$AS$9,"")</f>
        <v>1196.6159491596554</v>
      </c>
      <c r="AV54" s="11">
        <f>IF(ISNUMBER(tblData[Days'# UK]),betaUK/(deltaUK+betaPodeltaUK*EXP(-betaUK*tblData[Days'# UK])),"")</f>
        <v>121.81735712725457</v>
      </c>
      <c r="AW54" s="21">
        <f>IF(ISNUMBER(tblData[UK]),(tblData[[#This Row],[UK LogiP(t)]]-tblData[[#This Row],[UK]])^2,"")</f>
        <v>33.841643946019509</v>
      </c>
      <c r="AX54" s="21">
        <f>IF(ISNUMBER(tblData[Days'# UK]),tblData[[#This Row],[UK LogiP(t)]]/$AV$9,"")</f>
        <v>18.334942373156917</v>
      </c>
      <c r="AY54" s="11">
        <f>IF(ISNUMBER(tblData[Days'# China]),betaChina/(deltaChina+betaPodeltaChina*EXP(-betaChina*tblData[Days'# China])),"")</f>
        <v>80655.386409549712</v>
      </c>
      <c r="AZ54" s="11">
        <f>IF(ISNUMBER(tblData[China]),(tblData[[#This Row],[China LogiP(t)]]-tblData[[#This Row],[China]])^2,"")</f>
        <v>14015.341966072134</v>
      </c>
      <c r="BA54" s="11">
        <f>tblData[[#This Row],[China LogiP(t)]]/$AY$9</f>
        <v>560.36999981823215</v>
      </c>
      <c r="BB54" s="11"/>
      <c r="BC54" s="11"/>
      <c r="BD54" s="11" t="str">
        <f>IF(ISNUMBER(tblData[[#This Row],[NSW Number of Tests]]),tblData[[#This Row],[NSW Number of Tests]]-BB53,"")</f>
        <v/>
      </c>
      <c r="BE54" s="11" t="str">
        <f>IF(ISNUMBER(tblData[[#This Row],[NSW Under Investigation'']]),tblData[[#This Row],[NSW Under Investigation'']]-BC53,"")</f>
        <v/>
      </c>
      <c r="BF54" s="11"/>
      <c r="BG54" s="11" t="str">
        <f>IF(ISNUMBER(tblData[[#This Row],[NSW Test Day Number]]),betaTest/(deltaTest+betaPodeltaTest*EXP(-betaTest*tblData[[#This Row],[NSW Test Day Number]])),"")</f>
        <v/>
      </c>
      <c r="BH54" s="11" t="str">
        <f>IF(ISNUMBER(tblData[[#This Row],[NSW Number of Tests]]),(tblData[[#This Row],[NSW Number of Tests]]-tblData[[#This Row],[NSW Test Logi]])^2,"")</f>
        <v/>
      </c>
    </row>
    <row r="55" spans="2:173" x14ac:dyDescent="0.25">
      <c r="B55" s="1">
        <v>43896</v>
      </c>
      <c r="C55">
        <v>0</v>
      </c>
      <c r="D55" s="26">
        <v>0</v>
      </c>
      <c r="E55">
        <v>26</v>
      </c>
      <c r="F55">
        <v>0</v>
      </c>
      <c r="G55">
        <v>13</v>
      </c>
      <c r="H55">
        <v>7</v>
      </c>
      <c r="I55">
        <v>1</v>
      </c>
      <c r="J55">
        <v>10</v>
      </c>
      <c r="K55">
        <v>3</v>
      </c>
      <c r="L55" s="12">
        <f>IF(ISNUMBER(tblData[[#This Row],[NSW]]),tblData[[#This Row],[New South Wales]]/$L$9,"")</f>
        <v>32.178217821782177</v>
      </c>
      <c r="M55" s="26">
        <v>4636</v>
      </c>
      <c r="N55" s="49">
        <f>IF(ISNUMBER(tblData[Italy]),tblData[Italy]/$N$9,"")</f>
        <v>766.91480562448305</v>
      </c>
      <c r="O55">
        <v>262</v>
      </c>
      <c r="P55" s="49">
        <f>IF(ISNUMBER(tblData[US]),tblData[US]/$P$9,"")</f>
        <v>7.9580170013981757</v>
      </c>
      <c r="Q55">
        <v>6593</v>
      </c>
      <c r="R55" s="19">
        <f>IF(ISNUMBER(tblData[SKorea]),tblData[SKorea]/$R$9,"")</f>
        <v>1282.6848249027239</v>
      </c>
      <c r="S55">
        <v>164</v>
      </c>
      <c r="T55" s="12">
        <f>IF(ISNUMBER(tblData[UK]),tblData[UK]/$T$9,"")</f>
        <v>24.683925346177002</v>
      </c>
      <c r="U55">
        <v>80690</v>
      </c>
      <c r="V55" s="21">
        <f>IF(ISNUMBER(tblData[China]),tblData[China]/$V$9,"")</f>
        <v>560.61048490593407</v>
      </c>
      <c r="W55" s="26">
        <f>IF(tblData[[#This Row],[Date]]&lt;ItalyStart,"",tblData[[#This Row],[Date]]-ItalyStart)</f>
        <v>36</v>
      </c>
      <c r="X55" s="26">
        <f t="shared" si="5"/>
        <v>26</v>
      </c>
      <c r="Y55" s="26">
        <f t="shared" si="3"/>
        <v>44</v>
      </c>
      <c r="Z55" s="26">
        <f>IF(tblData[[#This Row],[Date]]&lt;StartDt2Korea,"",tblData[[#This Row],[Date]]-StartDt2Korea)</f>
        <v>16</v>
      </c>
      <c r="AA55" s="26">
        <f>IF(tblData[[#This Row],[Date]]&lt;UKStart,"",tblData[[#This Row],[Date]]-UKStart)</f>
        <v>36</v>
      </c>
      <c r="AB55">
        <f>IF(tblData[Date]&gt;=StartDt2Au,tblData[Date]-StartDt2Au,"")</f>
        <v>41</v>
      </c>
      <c r="AC55" s="26">
        <f>IF(tblData[New South Wales]&gt;0,SUM(tblData[[#This Row],[Australian Capital Territory]:[Western Australia]]),"")</f>
        <v>60</v>
      </c>
      <c r="AD55" s="12">
        <f>IF(ISNUMBER(tblData[Au]),tblData[Au]/$AA$9,"")</f>
        <v>23.655574830468382</v>
      </c>
      <c r="AE55" s="19">
        <f>IF(ISNUMBER(tblData[[#This Row],[Day'# Aust]]),betaAu/(deltaAu+betaPodeltaAu*EXP(-betaAu*tblData[[#This Row],[Day'# Aust]])),"")</f>
        <v>48.221503042435785</v>
      </c>
      <c r="AF55" s="72">
        <f>IF(ISNUMBER(tblData[Day'# Aust]),tblData[Au LogiP(t)]/$AD$9,"")</f>
        <v>19.011789560966641</v>
      </c>
      <c r="AG55" s="11">
        <f>IF(AND(tblData[Date]&gt;=StartDt2Au,ISNUMBER(tblData[NSW])),(tblData[[#This Row],[Au LogiP(t)]]-tblData[[#This Row],[Au]])^2,"")</f>
        <v>138.73299057934946</v>
      </c>
      <c r="AH55">
        <f>IF(tblData[Date]&gt;StartDt2NSW,tblData[Date]-StartDt2NSW,"")</f>
        <v>41</v>
      </c>
      <c r="AI55">
        <f t="shared" si="4"/>
        <v>26</v>
      </c>
      <c r="AJ55" s="11">
        <f>IF(tblData[Date]&gt;StartDt2NSW,betaNSW/(deltaNSW+betaPodeltaNSW*EXP(-betaNSW*tblData[[#This Row],[Day '# NSW]])),"")</f>
        <v>22.758504398050814</v>
      </c>
      <c r="AK55" s="12">
        <f>IF(AND(ISNUMBER(tblData[NSW]),tblData[Date]&gt;StartDt2NSW),(tblData[[#This Row],[NSW LogiP(t)]]-tblData[[#This Row],[NSW]])^2,"")</f>
        <v>10.507293737455916</v>
      </c>
      <c r="AL55" s="12">
        <f>IF(AND(tblData[Date]&gt;StartDt2NSW,ISNUMBER(tblData[Day'# Aust])),tblData[NSW LogiP(t)]/$AG$9,"")</f>
        <v>28.166465839171799</v>
      </c>
      <c r="AM55" s="11">
        <f>IF(AND(tblData[Date]&gt;StartDt2Italy,ISNUMBER(tblData[Days'# Italy])),betaItaly/(deltaItaly+betaPodeltaItaly*EXP(-betaItaly*tblData[Days'# Italy])),"")</f>
        <v>4731.0504433398564</v>
      </c>
      <c r="AN55" s="11">
        <f>IF(AND(tblData[Date]&gt;StartDt2Italy,ISNUMBER(tblData[Italy])),(tblData[[#This Row],[Italy LogiP(t)]]-tblData[[#This Row],[Italy]])^2,"")</f>
        <v>9034.5867791032579</v>
      </c>
      <c r="AO55" s="44">
        <f>IF(AND(tblData[Date]&gt;StartDt2Italy,ISNUMBER(tblData[Days'# Italy])),tblData[[#This Row],[Italy LogiP(t)]]/$AM$9,"")</f>
        <v>782.6386175913741</v>
      </c>
      <c r="AP55" s="21">
        <f>IF(ISNUMBER(tblData[[#This Row],[Days'# US]]),betaUS/(deltaUS+betaPodeltaUS*EXP(-betaUS*tblData[Days'# US])),"")</f>
        <v>144.22755335979099</v>
      </c>
      <c r="AQ55" s="11">
        <f>IF(ISNUMBER(tblData[US]),(tblData[[#This Row],[US LogiP(t)]]-tblData[US])^2,"")</f>
        <v>13870.349187620879</v>
      </c>
      <c r="AR55" s="21">
        <f>IF(ISNUMBER(tblData[[#This Row],[Days'# US]]),tblData[[#This Row],[US LogiP(t)]]/$AP$9,"")</f>
        <v>4.3807836706384702</v>
      </c>
      <c r="AS55" s="21">
        <f>IF(tblData[Date]&gt;=StartDt2Korea,betaSKorea/(deltaSKorea+betaPodeltaSKorea*EXP(-betaSKorea*(tblData[Date]-StartDt2Korea))),"")</f>
        <v>6631.0910110863042</v>
      </c>
      <c r="AT55" s="21">
        <f>IF(AND(tblData[Date]&gt;=StartDt2Korea,ISNUMBER(tblData[SKorea])),(tblData[[#This Row],[SKorea LogiP(t)]]-tblData[[#This Row],[SKorea]])^2,"")</f>
        <v>1450.92512557695</v>
      </c>
      <c r="AU55" s="21">
        <f>IF(tblData[Date]&gt;=StartDt2Korea,tblData[[#This Row],[SKorea LogiP(t)]]/$AS$9,"")</f>
        <v>1290.0955274486973</v>
      </c>
      <c r="AV55" s="11">
        <f>IF(ISNUMBER(tblData[Days'# UK]),betaUK/(deltaUK+betaPodeltaUK*EXP(-betaUK*tblData[Days'# UK])),"")</f>
        <v>153.41059493383929</v>
      </c>
      <c r="AW55" s="21">
        <f>IF(ISNUMBER(tblData[UK]),(tblData[[#This Row],[UK LogiP(t)]]-tblData[[#This Row],[UK]])^2,"")</f>
        <v>112.13549965523008</v>
      </c>
      <c r="AX55" s="21">
        <f>IF(ISNUMBER(tblData[Days'# UK]),tblData[[#This Row],[UK LogiP(t)]]/$AV$9,"")</f>
        <v>23.090095564996883</v>
      </c>
      <c r="AY55" s="11">
        <f>IF(ISNUMBER(tblData[Days'# China]),betaChina/(deltaChina+betaPodeltaChina*EXP(-betaChina*tblData[Days'# China])),"")</f>
        <v>80714.167701155951</v>
      </c>
      <c r="AZ55" s="11">
        <f>IF(ISNUMBER(tblData[China]),(tblData[[#This Row],[China LogiP(t)]]-tblData[[#This Row],[China]])^2,"")</f>
        <v>584.07777916337284</v>
      </c>
      <c r="BA55" s="11">
        <f>tblData[[#This Row],[China LogiP(t)]]/$AY$9</f>
        <v>560.77839501454855</v>
      </c>
      <c r="BB55" s="11">
        <v>6217</v>
      </c>
      <c r="BC55" s="11">
        <v>545</v>
      </c>
      <c r="BD55" s="11">
        <f>IF(ISNUMBER(tblData[[#This Row],[NSW Number of Tests]]),tblData[[#This Row],[NSW Number of Tests]]-BB54,"")</f>
        <v>6217</v>
      </c>
      <c r="BE55" s="11">
        <f>IF(ISNUMBER(tblData[[#This Row],[NSW Under Investigation'']]),tblData[[#This Row],[NSW Under Investigation'']]-BC54,"")</f>
        <v>545</v>
      </c>
      <c r="BF55" s="11">
        <v>0</v>
      </c>
      <c r="BG55" s="11">
        <f>IF(ISNUMBER(tblData[[#This Row],[NSW Test Day Number]]),betaTest/(deltaTest+betaPodeltaTest*EXP(-betaTest*tblData[[#This Row],[NSW Test Day Number]])),"")</f>
        <v>4943.2602326566102</v>
      </c>
      <c r="BH55" s="11">
        <f>IF(ISNUMBER(tblData[[#This Row],[NSW Number of Tests]]),(tblData[[#This Row],[NSW Number of Tests]]-tblData[[#This Row],[NSW Test Logi]])^2,"")</f>
        <v>1622412.9949119927</v>
      </c>
      <c r="BY55"/>
      <c r="BZ55"/>
      <c r="CJ55" s="26"/>
      <c r="CK55" s="26"/>
    </row>
    <row r="56" spans="2:173" x14ac:dyDescent="0.25">
      <c r="B56" s="1">
        <v>43897</v>
      </c>
      <c r="C56">
        <v>0</v>
      </c>
      <c r="D56" s="26">
        <v>0</v>
      </c>
      <c r="E56">
        <v>28</v>
      </c>
      <c r="F56">
        <v>0</v>
      </c>
      <c r="G56">
        <v>13</v>
      </c>
      <c r="H56">
        <v>7</v>
      </c>
      <c r="I56">
        <v>1</v>
      </c>
      <c r="J56">
        <v>11</v>
      </c>
      <c r="K56">
        <v>3</v>
      </c>
      <c r="L56" s="12">
        <f>IF(ISNUMBER(tblData[[#This Row],[NSW]]),tblData[[#This Row],[New South Wales]]/$L$9,"")</f>
        <v>34.653465346534652</v>
      </c>
      <c r="M56" s="26">
        <v>5883</v>
      </c>
      <c r="N56" s="49">
        <f>IF(ISNUMBER(tblData[Italy]),tblData[Italy]/$N$9,"")</f>
        <v>973.20099255583125</v>
      </c>
      <c r="O56">
        <v>401</v>
      </c>
      <c r="P56" s="49">
        <f>IF(ISNUMBER(tblData[US]),tblData[US]/$P$9,"")</f>
        <v>12.180018387636139</v>
      </c>
      <c r="Q56">
        <v>7041</v>
      </c>
      <c r="R56" s="19">
        <f>IF(ISNUMBER(tblData[SKorea]),tblData[SKorea]/$R$9,"")</f>
        <v>1369.8443579766538</v>
      </c>
      <c r="S56">
        <v>207</v>
      </c>
      <c r="T56" s="12">
        <f>IF(ISNUMBER(tblData[UK]),tblData[UK]/$T$9,"")</f>
        <v>31.155930162552679</v>
      </c>
      <c r="U56">
        <v>80770</v>
      </c>
      <c r="V56" s="21">
        <f>IF(ISNUMBER(tblData[China]),tblData[China]/$V$9,"")</f>
        <v>561.1663014729495</v>
      </c>
      <c r="W56" s="26">
        <f>IF(tblData[[#This Row],[Date]]&lt;ItalyStart,"",tblData[[#This Row],[Date]]-ItalyStart)</f>
        <v>37</v>
      </c>
      <c r="X56" s="26">
        <f t="shared" si="5"/>
        <v>27</v>
      </c>
      <c r="Y56" s="26">
        <f t="shared" si="3"/>
        <v>45</v>
      </c>
      <c r="Z56" s="26">
        <f>IF(tblData[[#This Row],[Date]]&lt;StartDt2Korea,"",tblData[[#This Row],[Date]]-StartDt2Korea)</f>
        <v>17</v>
      </c>
      <c r="AA56" s="26">
        <f>IF(tblData[[#This Row],[Date]]&lt;UKStart,"",tblData[[#This Row],[Date]]-UKStart)</f>
        <v>37</v>
      </c>
      <c r="AB56">
        <f>IF(tblData[Date]&gt;=StartDt2Au,tblData[Date]-StartDt2Au,"")</f>
        <v>42</v>
      </c>
      <c r="AC56" s="26">
        <f>IF(tblData[New South Wales]&gt;0,SUM(tblData[[#This Row],[Australian Capital Territory]:[Western Australia]]),"")</f>
        <v>63</v>
      </c>
      <c r="AD56" s="12">
        <f>IF(ISNUMBER(tblData[Au]),tblData[Au]/$AA$9,"")</f>
        <v>24.838353571991799</v>
      </c>
      <c r="AE56" s="19">
        <f>IF(ISNUMBER(tblData[[#This Row],[Day'# Aust]]),betaAu/(deltaAu+betaPodeltaAu*EXP(-betaAu*tblData[[#This Row],[Day'# Aust]])),"")</f>
        <v>59.281323238620971</v>
      </c>
      <c r="AF56" s="72">
        <f>IF(ISNUMBER(tblData[Day'# Aust]),tblData[Au LogiP(t)]/$AD$9,"")</f>
        <v>23.372229632006377</v>
      </c>
      <c r="AG56" s="11">
        <f>IF(AND(tblData[Date]&gt;=StartDt2Au,ISNUMBER(tblData[NSW])),(tblData[[#This Row],[Au LogiP(t)]]-tblData[[#This Row],[Au]])^2,"")</f>
        <v>13.828556855620427</v>
      </c>
      <c r="AH56">
        <f>IF(tblData[Date]&gt;StartDt2NSW,tblData[Date]-StartDt2NSW,"")</f>
        <v>42</v>
      </c>
      <c r="AI56">
        <f t="shared" si="4"/>
        <v>28</v>
      </c>
      <c r="AJ56" s="11">
        <f>IF(tblData[Date]&gt;StartDt2NSW,betaNSW/(deltaNSW+betaPodeltaNSW*EXP(-betaNSW*tblData[[#This Row],[Day '# NSW]])),"")</f>
        <v>28.002733393114337</v>
      </c>
      <c r="AK56" s="12">
        <f>IF(AND(ISNUMBER(tblData[NSW]),tblData[Date]&gt;StartDt2NSW),(tblData[[#This Row],[NSW LogiP(t)]]-tblData[[#This Row],[NSW]])^2,"")</f>
        <v>7.4714379175034759E-6</v>
      </c>
      <c r="AL56" s="12">
        <f>IF(AND(tblData[Date]&gt;StartDt2NSW,ISNUMBER(tblData[Day'# Aust])),tblData[NSW LogiP(t)]/$AG$9,"")</f>
        <v>34.656848258804871</v>
      </c>
      <c r="AM56" s="11">
        <f>IF(AND(tblData[Date]&gt;StartDt2Italy,ISNUMBER(tblData[Days'# Italy])),betaItaly/(deltaItaly+betaPodeltaItaly*EXP(-betaItaly*tblData[Days'# Italy])),"")</f>
        <v>5985.2368753577084</v>
      </c>
      <c r="AN56" s="11">
        <f>IF(AND(tblData[Date]&gt;StartDt2Italy,ISNUMBER(tblData[Italy])),(tblData[[#This Row],[Italy LogiP(t)]]-tblData[[#This Row],[Italy]])^2,"")</f>
        <v>10452.378682907605</v>
      </c>
      <c r="AO56" s="44">
        <f>IF(AND(tblData[Date]&gt;StartDt2Italy,ISNUMBER(tblData[Days'# Italy])),tblData[[#This Row],[Italy LogiP(t)]]/$AM$9,"")</f>
        <v>990.11362702360771</v>
      </c>
      <c r="AP56" s="21">
        <f>IF(ISNUMBER(tblData[[#This Row],[Days'# US]]),betaUS/(deltaUS+betaPodeltaUS*EXP(-betaUS*tblData[Days'# US])),"")</f>
        <v>204.19744706561286</v>
      </c>
      <c r="AQ56" s="11">
        <f>IF(ISNUMBER(tblData[US]),(tblData[[#This Row],[US LogiP(t)]]-tblData[US])^2,"")</f>
        <v>38731.244841492255</v>
      </c>
      <c r="AR56" s="21">
        <f>IF(ISNUMBER(tblData[[#This Row],[Days'# US]]),tblData[[#This Row],[US LogiP(t)]]/$AP$9,"")</f>
        <v>6.2023158602681345</v>
      </c>
      <c r="AS56" s="21">
        <f>IF(tblData[Date]&gt;=StartDt2Korea,betaSKorea/(deltaSKorea+betaPodeltaSKorea*EXP(-betaSKorea*(tblData[Date]-StartDt2Korea))),"")</f>
        <v>7027.4869442876652</v>
      </c>
      <c r="AT56" s="21">
        <f>IF(AND(tblData[Date]&gt;=StartDt2Korea,ISNUMBER(tblData[SKorea])),(tblData[[#This Row],[SKorea LogiP(t)]]-tblData[[#This Row],[SKorea]])^2,"")</f>
        <v>182.6026746846639</v>
      </c>
      <c r="AU56" s="21">
        <f>IF(tblData[Date]&gt;=StartDt2Korea,tblData[[#This Row],[SKorea LogiP(t)]]/$AS$9,"")</f>
        <v>1367.2153588108299</v>
      </c>
      <c r="AV56" s="11">
        <f>IF(ISNUMBER(tblData[Days'# UK]),betaUK/(deltaUK+betaPodeltaUK*EXP(-betaUK*tblData[Days'# UK])),"")</f>
        <v>193.19750778300349</v>
      </c>
      <c r="AW56" s="21">
        <f>IF(ISNUMBER(tblData[UK]),(tblData[[#This Row],[UK LogiP(t)]]-tblData[[#This Row],[UK]])^2,"")</f>
        <v>190.50879140024929</v>
      </c>
      <c r="AX56" s="21">
        <f>IF(ISNUMBER(tblData[Days'# UK]),tblData[[#This Row],[UK LogiP(t)]]/$AV$9,"")</f>
        <v>29.07849304379944</v>
      </c>
      <c r="AY56" s="11">
        <f>IF(ISNUMBER(tblData[Days'# China]),betaChina/(deltaChina+betaPodeltaChina*EXP(-betaChina*tblData[Days'# China])),"")</f>
        <v>80761.301623296167</v>
      </c>
      <c r="AZ56" s="11">
        <f>IF(ISNUMBER(tblData[China]),(tblData[[#This Row],[China LogiP(t)]]-tblData[[#This Row],[China]])^2,"")</f>
        <v>75.661757281780538</v>
      </c>
      <c r="BA56" s="11">
        <f>tblData[[#This Row],[China LogiP(t)]]/$AY$9</f>
        <v>561.10586769947281</v>
      </c>
      <c r="BB56" s="11">
        <v>6690</v>
      </c>
      <c r="BC56" s="11">
        <v>488</v>
      </c>
      <c r="BD56" s="11">
        <f>IF(ISNUMBER(tblData[[#This Row],[NSW Number of Tests]]),tblData[[#This Row],[NSW Number of Tests]]-BB55,"")</f>
        <v>473</v>
      </c>
      <c r="BE56" s="11">
        <f>IF(ISNUMBER(tblData[[#This Row],[NSW Under Investigation'']]),tblData[[#This Row],[NSW Under Investigation'']]-BC55,"")</f>
        <v>-57</v>
      </c>
      <c r="BF56" s="11">
        <f>BF55+1</f>
        <v>1</v>
      </c>
      <c r="BG56" s="11">
        <f>IF(ISNUMBER(tblData[[#This Row],[NSW Test Day Number]]),betaTest/(deltaTest+betaPodeltaTest*EXP(-betaTest*tblData[[#This Row],[NSW Test Day Number]])),"")</f>
        <v>5831.3706112455338</v>
      </c>
      <c r="BH56" s="11">
        <f>IF(ISNUMBER(tblData[[#This Row],[NSW Number of Tests]]),(tblData[[#This Row],[NSW Number of Tests]]-tblData[[#This Row],[NSW Test Logi]])^2,"")</f>
        <v>737244.42723286815</v>
      </c>
      <c r="BY56"/>
      <c r="BZ56"/>
      <c r="CJ56" s="26"/>
      <c r="CK56" s="26"/>
    </row>
    <row r="57" spans="2:173" x14ac:dyDescent="0.25">
      <c r="B57" s="1">
        <v>43898</v>
      </c>
      <c r="C57">
        <v>0</v>
      </c>
      <c r="D57" s="26">
        <v>0</v>
      </c>
      <c r="E57">
        <v>38</v>
      </c>
      <c r="F57">
        <v>0</v>
      </c>
      <c r="G57">
        <v>15</v>
      </c>
      <c r="H57">
        <v>7</v>
      </c>
      <c r="I57">
        <v>2</v>
      </c>
      <c r="J57">
        <v>11</v>
      </c>
      <c r="K57">
        <v>3</v>
      </c>
      <c r="L57" s="12">
        <f>IF(ISNUMBER(tblData[[#This Row],[NSW]]),tblData[[#This Row],[New South Wales]]/$L$9,"")</f>
        <v>47.029702970297024</v>
      </c>
      <c r="M57" s="26">
        <v>7375</v>
      </c>
      <c r="N57" s="49">
        <f>IF(ISNUMBER(tblData[Italy]),tblData[Italy]/$N$9,"")</f>
        <v>1220.0165425971877</v>
      </c>
      <c r="O57">
        <v>514</v>
      </c>
      <c r="P57" s="49">
        <f>IF(ISNUMBER(tblData[US]),tblData[US]/$P$9,"")</f>
        <v>15.612292895872757</v>
      </c>
      <c r="Q57">
        <v>7314</v>
      </c>
      <c r="R57" s="19">
        <f>IF(ISNUMBER(tblData[SKorea]),tblData[SKorea]/$R$9,"")</f>
        <v>1422.95719844358</v>
      </c>
      <c r="S57">
        <v>274</v>
      </c>
      <c r="T57" s="12">
        <f>IF(ISNUMBER(tblData[UK]),tblData[UK]/$T$9,"")</f>
        <v>41.240216736905481</v>
      </c>
      <c r="U57">
        <v>80823</v>
      </c>
      <c r="V57" s="21">
        <f>IF(ISNUMBER(tblData[China]),tblData[China]/$V$9,"")</f>
        <v>561.5345299485972</v>
      </c>
      <c r="W57" s="26">
        <f>IF(tblData[[#This Row],[Date]]&lt;ItalyStart,"",tblData[[#This Row],[Date]]-ItalyStart)</f>
        <v>38</v>
      </c>
      <c r="X57" s="26">
        <f t="shared" si="5"/>
        <v>28</v>
      </c>
      <c r="Y57" s="26">
        <f t="shared" si="3"/>
        <v>46</v>
      </c>
      <c r="Z57" s="26">
        <f>IF(tblData[[#This Row],[Date]]&lt;StartDt2Korea,"",tblData[[#This Row],[Date]]-StartDt2Korea)</f>
        <v>18</v>
      </c>
      <c r="AA57" s="26">
        <f>IF(tblData[[#This Row],[Date]]&lt;UKStart,"",tblData[[#This Row],[Date]]-UKStart)</f>
        <v>38</v>
      </c>
      <c r="AB57">
        <f>IF(tblData[Date]&gt;=StartDt2Au,tblData[Date]-StartDt2Au,"")</f>
        <v>43</v>
      </c>
      <c r="AC57" s="26">
        <f>IF(tblData[New South Wales]&gt;0,SUM(tblData[[#This Row],[Australian Capital Territory]:[Western Australia]]),"")</f>
        <v>76</v>
      </c>
      <c r="AD57" s="12">
        <f>IF(ISNUMBER(tblData[Au]),tblData[Au]/$AA$9,"")</f>
        <v>29.963728118593281</v>
      </c>
      <c r="AE57" s="19">
        <f>IF(ISNUMBER(tblData[[#This Row],[Day'# Aust]]),betaAu/(deltaAu+betaPodeltaAu*EXP(-betaAu*tblData[[#This Row],[Day'# Aust]])),"")</f>
        <v>72.877762409398287</v>
      </c>
      <c r="AF57" s="72">
        <f>IF(ISNUMBER(tblData[Day'# Aust]),tblData[Au LogiP(t)]/$AD$9,"")</f>
        <v>28.732756035876946</v>
      </c>
      <c r="AG57" s="11">
        <f>IF(AND(tblData[Date]&gt;=StartDt2Au,ISNUMBER(tblData[NSW])),(tblData[[#This Row],[Au LogiP(t)]]-tblData[[#This Row],[Au]])^2,"")</f>
        <v>9.7483675721663925</v>
      </c>
      <c r="AH57">
        <f>IF(tblData[Date]&gt;StartDt2NSW,tblData[Date]-StartDt2NSW,"")</f>
        <v>43</v>
      </c>
      <c r="AI57">
        <f t="shared" si="4"/>
        <v>38</v>
      </c>
      <c r="AJ57" s="11">
        <f>IF(tblData[Date]&gt;StartDt2NSW,betaNSW/(deltaNSW+betaPodeltaNSW*EXP(-betaNSW*tblData[[#This Row],[Day '# NSW]])),"")</f>
        <v>34.439984055529592</v>
      </c>
      <c r="AK57" s="12">
        <f>IF(AND(ISNUMBER(tblData[NSW]),tblData[Date]&gt;StartDt2NSW),(tblData[[#This Row],[NSW LogiP(t)]]-tblData[[#This Row],[NSW]])^2,"")</f>
        <v>12.673713524883528</v>
      </c>
      <c r="AL57" s="12">
        <f>IF(AND(tblData[Date]&gt;StartDt2NSW,ISNUMBER(tblData[Day'# Aust])),tblData[NSW LogiP(t)]/$AG$9,"")</f>
        <v>42.623742642982165</v>
      </c>
      <c r="AM57" s="11">
        <f>IF(AND(tblData[Date]&gt;StartDt2Italy,ISNUMBER(tblData[Days'# Italy])),betaItaly/(deltaItaly+betaPodeltaItaly*EXP(-betaItaly*tblData[Days'# Italy])),"")</f>
        <v>7522.5449579736451</v>
      </c>
      <c r="AN57" s="11">
        <f>IF(AND(tblData[Date]&gt;StartDt2Italy,ISNUMBER(tblData[Italy])),(tblData[[#This Row],[Italy LogiP(t)]]-tblData[[#This Row],[Italy]])^2,"")</f>
        <v>21769.514623444691</v>
      </c>
      <c r="AO57" s="44">
        <f>IF(AND(tblData[Date]&gt;StartDt2Italy,ISNUMBER(tblData[Days'# Italy])),tblData[[#This Row],[Italy LogiP(t)]]/$AM$9,"")</f>
        <v>1244.4243106656154</v>
      </c>
      <c r="AP57" s="21">
        <f>IF(ISNUMBER(tblData[[#This Row],[Days'# US]]),betaUS/(deltaUS+betaPodeltaUS*EXP(-betaUS*tblData[Days'# US])),"")</f>
        <v>289.10283386530949</v>
      </c>
      <c r="AQ57" s="11">
        <f>IF(ISNUMBER(tblData[US]),(tblData[[#This Row],[US LogiP(t)]]-tblData[US])^2,"")</f>
        <v>50578.735335414582</v>
      </c>
      <c r="AR57" s="21">
        <f>IF(ISNUMBER(tblData[[#This Row],[Days'# US]]),tblData[[#This Row],[US LogiP(t)]]/$AP$9,"")</f>
        <v>8.781241477299714</v>
      </c>
      <c r="AS57" s="21">
        <f>IF(tblData[Date]&gt;=StartDt2Korea,betaSKorea/(deltaSKorea+betaPodeltaSKorea*EXP(-betaSKorea*(tblData[Date]-StartDt2Korea))),"")</f>
        <v>7344.497309914952</v>
      </c>
      <c r="AT57" s="21">
        <f>IF(AND(tblData[Date]&gt;=StartDt2Korea,ISNUMBER(tblData[SKorea])),(tblData[[#This Row],[SKorea LogiP(t)]]-tblData[[#This Row],[SKorea]])^2,"")</f>
        <v>930.08591204862864</v>
      </c>
      <c r="AU57" s="21">
        <f>IF(tblData[Date]&gt;=StartDt2Korea,tblData[[#This Row],[SKorea LogiP(t)]]/$AS$9,"")</f>
        <v>1428.8905272208078</v>
      </c>
      <c r="AV57" s="11">
        <f>IF(ISNUMBER(tblData[Days'# UK]),betaUK/(deltaUK+betaPodeltaUK*EXP(-betaUK*tblData[Days'# UK])),"")</f>
        <v>243.30311318735008</v>
      </c>
      <c r="AW57" s="21">
        <f>IF(ISNUMBER(tblData[UK]),(tblData[[#This Row],[UK LogiP(t)]]-tblData[[#This Row],[UK]])^2,"")</f>
        <v>942.29885998864063</v>
      </c>
      <c r="AX57" s="21">
        <f>IF(ISNUMBER(tblData[Days'# UK]),tblData[[#This Row],[UK LogiP(t)]]/$AV$9,"")</f>
        <v>36.619974892737822</v>
      </c>
      <c r="AY57" s="11">
        <f>IF(ISNUMBER(tblData[Days'# China]),betaChina/(deltaChina+betaPodeltaChina*EXP(-betaChina*tblData[Days'# China])),"")</f>
        <v>80799.086218885743</v>
      </c>
      <c r="AZ57" s="11">
        <f>IF(ISNUMBER(tblData[China]),(tblData[[#This Row],[China LogiP(t)]]-tblData[[#This Row],[China]])^2,"")</f>
        <v>571.86892718060858</v>
      </c>
      <c r="BA57" s="11">
        <f>tblData[[#This Row],[China LogiP(t)]]/$AY$9</f>
        <v>561.36838400205613</v>
      </c>
      <c r="BB57" s="11">
        <v>7361</v>
      </c>
      <c r="BC57" s="11">
        <v>576</v>
      </c>
      <c r="BD57" s="11">
        <f>IF(ISNUMBER(tblData[[#This Row],[NSW Number of Tests]]),tblData[[#This Row],[NSW Number of Tests]]-BB56,"")</f>
        <v>671</v>
      </c>
      <c r="BE57" s="11">
        <f>IF(ISNUMBER(tblData[[#This Row],[NSW Under Investigation'']]),tblData[[#This Row],[NSW Under Investigation'']]-BC56,"")</f>
        <v>88</v>
      </c>
      <c r="BF57" s="11">
        <f t="shared" ref="BF57:BF96" si="6">BF56+1</f>
        <v>2</v>
      </c>
      <c r="BG57" s="11">
        <f>IF(ISNUMBER(tblData[[#This Row],[NSW Test Day Number]]),betaTest/(deltaTest+betaPodeltaTest*EXP(-betaTest*tblData[[#This Row],[NSW Test Day Number]])),"")</f>
        <v>6875.2112147925036</v>
      </c>
      <c r="BH57" s="11">
        <f>IF(ISNUMBER(tblData[[#This Row],[NSW Number of Tests]]),(tblData[[#This Row],[NSW Number of Tests]]-tblData[[#This Row],[NSW Test Logi]])^2,"")</f>
        <v>235990.74383337508</v>
      </c>
      <c r="BY57"/>
      <c r="BZ57"/>
      <c r="CJ57" s="26"/>
      <c r="CK57" s="26"/>
      <c r="DE57" s="55"/>
      <c r="DI57" s="55"/>
      <c r="DJ57" s="55"/>
      <c r="DK57" s="55"/>
      <c r="DL57" s="55"/>
      <c r="DM57" s="55"/>
      <c r="DN57" s="55"/>
      <c r="DO57" s="55"/>
      <c r="DP57" s="55"/>
      <c r="DQ57" s="55"/>
      <c r="DS57" s="55"/>
      <c r="DT57" s="55"/>
      <c r="DU57" s="55"/>
      <c r="DW57" s="55"/>
      <c r="DX57" s="55"/>
      <c r="DY57" s="55"/>
      <c r="DZ57" s="55"/>
      <c r="EA57" s="55"/>
      <c r="EB57" s="55"/>
      <c r="EC57" s="55"/>
      <c r="ED57" s="55"/>
      <c r="EE57" s="55"/>
      <c r="EF57" s="55"/>
      <c r="EG57" s="55"/>
    </row>
    <row r="58" spans="2:173" x14ac:dyDescent="0.25">
      <c r="B58" s="1">
        <v>43899</v>
      </c>
      <c r="C58">
        <v>0</v>
      </c>
      <c r="D58" s="26">
        <v>0</v>
      </c>
      <c r="E58">
        <v>48</v>
      </c>
      <c r="F58">
        <v>0</v>
      </c>
      <c r="G58">
        <v>15</v>
      </c>
      <c r="H58">
        <v>7</v>
      </c>
      <c r="I58">
        <v>2</v>
      </c>
      <c r="J58">
        <v>15</v>
      </c>
      <c r="K58">
        <v>4</v>
      </c>
      <c r="L58" s="12">
        <f>IF(ISNUMBER(tblData[[#This Row],[NSW]]),tblData[[#This Row],[New South Wales]]/$L$9,"")</f>
        <v>59.405940594059402</v>
      </c>
      <c r="M58" s="26">
        <v>9172</v>
      </c>
      <c r="N58" s="49">
        <f>IF(ISNUMBER(tblData[Italy]),tblData[Italy]/$N$9,"")</f>
        <v>1517.2870140612076</v>
      </c>
      <c r="O58">
        <v>579</v>
      </c>
      <c r="P58" s="49">
        <f>IF(ISNUMBER(tblData[US]),tblData[US]/$P$9,"")</f>
        <v>17.586610090876121</v>
      </c>
      <c r="Q58">
        <v>7478</v>
      </c>
      <c r="R58" s="19">
        <f>IF(ISNUMBER(tblData[SKorea]),tblData[SKorea]/$R$9,"")</f>
        <v>1454.8638132295721</v>
      </c>
      <c r="S58">
        <v>322</v>
      </c>
      <c r="T58" s="12">
        <f>IF(ISNUMBER(tblData[UK]),tblData[UK]/$T$9,"")</f>
        <v>48.464780252859725</v>
      </c>
      <c r="U58">
        <v>80860</v>
      </c>
      <c r="V58" s="21">
        <f>IF(ISNUMBER(tblData[China]),tblData[China]/$V$9,"")</f>
        <v>561.79159511084185</v>
      </c>
      <c r="W58" s="26">
        <f>IF(tblData[[#This Row],[Date]]&lt;ItalyStart,"",tblData[[#This Row],[Date]]-ItalyStart)</f>
        <v>39</v>
      </c>
      <c r="X58" s="26">
        <f t="shared" si="5"/>
        <v>29</v>
      </c>
      <c r="Y58" s="26">
        <f t="shared" si="3"/>
        <v>47</v>
      </c>
      <c r="Z58" s="26">
        <f>IF(tblData[[#This Row],[Date]]&lt;StartDt2Korea,"",tblData[[#This Row],[Date]]-StartDt2Korea)</f>
        <v>19</v>
      </c>
      <c r="AA58" s="26">
        <f>IF(tblData[[#This Row],[Date]]&lt;UKStart,"",tblData[[#This Row],[Date]]-UKStart)</f>
        <v>39</v>
      </c>
      <c r="AB58">
        <f>IF(tblData[Date]&gt;=StartDt2Au,tblData[Date]-StartDt2Au,"")</f>
        <v>44</v>
      </c>
      <c r="AC58" s="26">
        <f>IF(tblData[New South Wales]&gt;0,SUM(tblData[[#This Row],[Australian Capital Territory]:[Western Australia]]),"")</f>
        <v>91</v>
      </c>
      <c r="AD58" s="12">
        <f>IF(ISNUMBER(tblData[Au]),tblData[Au]/$AA$9,"")</f>
        <v>35.87762182621038</v>
      </c>
      <c r="AE58" s="19">
        <f>IF(ISNUMBER(tblData[[#This Row],[Day'# Aust]]),betaAu/(deltaAu+betaPodeltaAu*EXP(-betaAu*tblData[[#This Row],[Day'# Aust]])),"")</f>
        <v>89.592604945956865</v>
      </c>
      <c r="AF58" s="72">
        <f>IF(ISNUMBER(tblData[Day'# Aust]),tblData[Au LogiP(t)]/$AD$9,"")</f>
        <v>35.322742842594572</v>
      </c>
      <c r="AG58" s="11">
        <f>IF(AND(tblData[Date]&gt;=StartDt2Au,ISNUMBER(tblData[NSW])),(tblData[[#This Row],[Au LogiP(t)]]-tblData[[#This Row],[Au]])^2,"")</f>
        <v>1.9807608381450803</v>
      </c>
      <c r="AH58">
        <f>IF(tblData[Date]&gt;StartDt2NSW,tblData[Date]-StartDt2NSW,"")</f>
        <v>44</v>
      </c>
      <c r="AI58">
        <f t="shared" si="4"/>
        <v>48</v>
      </c>
      <c r="AJ58" s="11">
        <f>IF(tblData[Date]&gt;StartDt2NSW,betaNSW/(deltaNSW+betaPodeltaNSW*EXP(-betaNSW*tblData[[#This Row],[Day '# NSW]])),"")</f>
        <v>42.333795592095491</v>
      </c>
      <c r="AK58" s="12">
        <f>IF(AND(ISNUMBER(tblData[NSW]),tblData[Date]&gt;StartDt2NSW),(tblData[[#This Row],[NSW LogiP(t)]]-tblData[[#This Row],[NSW]])^2,"")</f>
        <v>32.105872392156485</v>
      </c>
      <c r="AL58" s="12">
        <f>IF(AND(tblData[Date]&gt;StartDt2NSW,ISNUMBER(tblData[Day'# Aust])),tblData[NSW LogiP(t)]/$AG$9,"")</f>
        <v>52.393311376355804</v>
      </c>
      <c r="AM58" s="11">
        <f>IF(AND(tblData[Date]&gt;StartDt2Italy,ISNUMBER(tblData[Days'# Italy])),betaItaly/(deltaItaly+betaPodeltaItaly*EXP(-betaItaly*tblData[Days'# Italy])),"")</f>
        <v>9379.7637343113456</v>
      </c>
      <c r="AN58" s="11">
        <f>IF(AND(tblData[Date]&gt;StartDt2Italy,ISNUMBER(tblData[Italy])),(tblData[[#This Row],[Italy LogiP(t)]]-tblData[[#This Row],[Italy]])^2,"")</f>
        <v>43165.769294995414</v>
      </c>
      <c r="AO58" s="44">
        <f>IF(AND(tblData[Date]&gt;StartDt2Italy,ISNUMBER(tblData[Days'# Italy])),tblData[[#This Row],[Italy LogiP(t)]]/$AM$9,"")</f>
        <v>1551.6565317305783</v>
      </c>
      <c r="AP58" s="21">
        <f>IF(ISNUMBER(tblData[[#This Row],[Days'# US]]),betaUS/(deltaUS+betaPodeltaUS*EXP(-betaUS*tblData[Days'# US])),"")</f>
        <v>409.3118756555383</v>
      </c>
      <c r="AQ58" s="11">
        <f>IF(ISNUMBER(tblData[US]),(tblData[[#This Row],[US LogiP(t)]]-tblData[US])^2,"")</f>
        <v>28794.059543541494</v>
      </c>
      <c r="AR58" s="21">
        <f>IF(ISNUMBER(tblData[[#This Row],[Days'# US]]),tblData[[#This Row],[US LogiP(t)]]/$AP$9,"")</f>
        <v>12.432484218858587</v>
      </c>
      <c r="AS58" s="21">
        <f>IF(tblData[Date]&gt;=StartDt2Korea,betaSKorea/(deltaSKorea+betaPodeltaSKorea*EXP(-betaSKorea*(tblData[Date]-StartDt2Korea))),"")</f>
        <v>7591.7744079440899</v>
      </c>
      <c r="AT58" s="21">
        <f>IF(AND(tblData[Date]&gt;=StartDt2Korea,ISNUMBER(tblData[SKorea])),(tblData[[#This Row],[SKorea LogiP(t)]]-tblData[[#This Row],[SKorea]])^2,"")</f>
        <v>12944.615903028198</v>
      </c>
      <c r="AU58" s="21">
        <f>IF(tblData[Date]&gt;=StartDt2Korea,tblData[[#This Row],[SKorea LogiP(t)]]/$AS$9,"")</f>
        <v>1476.9989120513794</v>
      </c>
      <c r="AV58" s="11">
        <f>IF(ISNUMBER(tblData[Days'# UK]),betaUK/(deltaUK+betaPodeltaUK*EXP(-betaUK*tblData[Days'# UK])),"")</f>
        <v>306.40354645370917</v>
      </c>
      <c r="AW58" s="21">
        <f>IF(ISNUMBER(tblData[UK]),(tblData[[#This Row],[UK LogiP(t)]]-tblData[[#This Row],[UK]])^2,"")</f>
        <v>243.24936322160787</v>
      </c>
      <c r="AX58" s="21">
        <f>IF(ISNUMBER(tblData[Days'# UK]),tblData[[#This Row],[UK LogiP(t)]]/$AV$9,"")</f>
        <v>46.117330893092891</v>
      </c>
      <c r="AY58" s="11">
        <f>IF(ISNUMBER(tblData[Days'# China]),betaChina/(deltaChina+betaPodeltaChina*EXP(-betaChina*tblData[Days'# China])),"")</f>
        <v>80829.369657188508</v>
      </c>
      <c r="AZ58" s="11">
        <f>IF(ISNUMBER(tblData[China]),(tblData[[#This Row],[China LogiP(t)]]-tblData[[#This Row],[China]])^2,"")</f>
        <v>938.21790074949354</v>
      </c>
      <c r="BA58" s="11">
        <f>tblData[[#This Row],[China LogiP(t)]]/$AY$9</f>
        <v>561.57878446099198</v>
      </c>
      <c r="BB58" s="11">
        <v>7848</v>
      </c>
      <c r="BC58" s="11">
        <v>476</v>
      </c>
      <c r="BD58" s="11">
        <f>IF(ISNUMBER(tblData[[#This Row],[NSW Number of Tests]]),tblData[[#This Row],[NSW Number of Tests]]-BB57,"")</f>
        <v>487</v>
      </c>
      <c r="BE58" s="11">
        <f>IF(ISNUMBER(tblData[[#This Row],[NSW Under Investigation'']]),tblData[[#This Row],[NSW Under Investigation'']]-BC57,"")</f>
        <v>-100</v>
      </c>
      <c r="BF58" s="11">
        <f t="shared" si="6"/>
        <v>3</v>
      </c>
      <c r="BG58" s="11">
        <f>IF(ISNUMBER(tblData[[#This Row],[NSW Test Day Number]]),betaTest/(deltaTest+betaPodeltaTest*EXP(-betaTest*tblData[[#This Row],[NSW Test Day Number]])),"")</f>
        <v>8100.6049825657465</v>
      </c>
      <c r="BH58" s="11">
        <f>IF(ISNUMBER(tblData[[#This Row],[NSW Number of Tests]]),(tblData[[#This Row],[NSW Number of Tests]]-tblData[[#This Row],[NSW Test Logi]])^2,"")</f>
        <v>63809.277217041075</v>
      </c>
      <c r="BY58"/>
      <c r="BZ58"/>
      <c r="CJ58" s="26"/>
      <c r="CK58" s="26"/>
    </row>
    <row r="59" spans="2:173" x14ac:dyDescent="0.25">
      <c r="B59" s="1">
        <v>43900</v>
      </c>
      <c r="C59">
        <v>0</v>
      </c>
      <c r="D59" s="26">
        <v>0</v>
      </c>
      <c r="E59">
        <v>55</v>
      </c>
      <c r="F59">
        <v>1</v>
      </c>
      <c r="G59">
        <v>18</v>
      </c>
      <c r="H59">
        <v>7</v>
      </c>
      <c r="I59">
        <v>2</v>
      </c>
      <c r="J59">
        <v>18</v>
      </c>
      <c r="K59">
        <v>6</v>
      </c>
      <c r="L59" s="12">
        <f>IF(ISNUMBER(tblData[[#This Row],[NSW]]),tblData[[#This Row],[New South Wales]]/$L$9,"")</f>
        <v>68.06930693069306</v>
      </c>
      <c r="M59" s="26">
        <v>10149</v>
      </c>
      <c r="N59" s="49">
        <f>IF(ISNUMBER(tblData[Italy]),tblData[Italy]/$N$9,"")</f>
        <v>1678.9081885856081</v>
      </c>
      <c r="O59">
        <v>959</v>
      </c>
      <c r="P59" s="49">
        <f>IF(ISNUMBER(tblData[US]),tblData[US]/$P$9,"")</f>
        <v>29.128772153972712</v>
      </c>
      <c r="Q59">
        <v>7513</v>
      </c>
      <c r="R59" s="19">
        <f>IF(ISNUMBER(tblData[SKorea]),tblData[SKorea]/$R$9,"")</f>
        <v>1461.6731517509729</v>
      </c>
      <c r="S59">
        <v>384</v>
      </c>
      <c r="T59" s="12">
        <f>IF(ISNUMBER(tblData[UK]),tblData[UK]/$T$9,"")</f>
        <v>57.796508127633956</v>
      </c>
      <c r="U59">
        <v>80887</v>
      </c>
      <c r="V59" s="21">
        <f>IF(ISNUMBER(tblData[China]),tblData[China]/$V$9,"")</f>
        <v>561.97918320220958</v>
      </c>
      <c r="W59" s="26">
        <f>IF(tblData[[#This Row],[Date]]&lt;ItalyStart,"",tblData[[#This Row],[Date]]-ItalyStart)</f>
        <v>40</v>
      </c>
      <c r="X59" s="26">
        <f t="shared" si="5"/>
        <v>30</v>
      </c>
      <c r="Y59" s="26">
        <f t="shared" si="3"/>
        <v>48</v>
      </c>
      <c r="Z59" s="26">
        <f>IF(tblData[[#This Row],[Date]]&lt;StartDt2Korea,"",tblData[[#This Row],[Date]]-StartDt2Korea)</f>
        <v>20</v>
      </c>
      <c r="AA59" s="26">
        <f>IF(tblData[[#This Row],[Date]]&lt;UKStart,"",tblData[[#This Row],[Date]]-UKStart)</f>
        <v>40</v>
      </c>
      <c r="AB59">
        <f>IF(tblData[Date]&gt;=StartDt2Au,tblData[Date]-StartDt2Au,"")</f>
        <v>45</v>
      </c>
      <c r="AC59" s="26">
        <f>IF(tblData[New South Wales]&gt;0,SUM(tblData[[#This Row],[Australian Capital Territory]:[Western Australia]]),"")</f>
        <v>107</v>
      </c>
      <c r="AD59" s="12">
        <f>IF(ISNUMBER(tblData[Au]),tblData[Au]/$AA$9,"")</f>
        <v>42.185775114335279</v>
      </c>
      <c r="AE59" s="19">
        <f>IF(ISNUMBER(tblData[[#This Row],[Day'# Aust]]),betaAu/(deltaAu+betaPodeltaAu*EXP(-betaAu*tblData[[#This Row],[Day'# Aust]])),"")</f>
        <v>110.14106973930745</v>
      </c>
      <c r="AF59" s="72">
        <f>IF(ISNUMBER(tblData[Day'# Aust]),tblData[Au LogiP(t)]/$AD$9,"")</f>
        <v>43.424171952100401</v>
      </c>
      <c r="AG59" s="11">
        <f>IF(AND(tblData[Date]&gt;=StartDt2Au,ISNUMBER(tblData[NSW])),(tblData[[#This Row],[Au LogiP(t)]]-tblData[[#This Row],[Au]])^2,"")</f>
        <v>9.8663191071929983</v>
      </c>
      <c r="AH59">
        <f>IF(tblData[Date]&gt;StartDt2NSW,tblData[Date]-StartDt2NSW,"")</f>
        <v>45</v>
      </c>
      <c r="AI59">
        <f t="shared" si="4"/>
        <v>55</v>
      </c>
      <c r="AJ59" s="11">
        <f>IF(tblData[Date]&gt;StartDt2NSW,betaNSW/(deltaNSW+betaPodeltaNSW*EXP(-betaNSW*tblData[[#This Row],[Day '# NSW]])),"")</f>
        <v>52.001933956529612</v>
      </c>
      <c r="AK59" s="12">
        <f>IF(AND(ISNUMBER(tblData[NSW]),tblData[Date]&gt;StartDt2NSW),(tblData[[#This Row],[NSW LogiP(t)]]-tblData[[#This Row],[NSW]])^2,"")</f>
        <v>8.9884000010101861</v>
      </c>
      <c r="AL59" s="12">
        <f>IF(AND(tblData[Date]&gt;StartDt2NSW,ISNUMBER(tblData[Day'# Aust])),tblData[NSW LogiP(t)]/$AG$9,"")</f>
        <v>64.358829154120798</v>
      </c>
      <c r="AM59" s="11">
        <f>IF(AND(tblData[Date]&gt;StartDt2Italy,ISNUMBER(tblData[Days'# Italy])),betaItaly/(deltaItaly+betaPodeltaItaly*EXP(-betaItaly*tblData[Days'# Italy])),"")</f>
        <v>11584.565964985874</v>
      </c>
      <c r="AN59" s="11">
        <f>IF(AND(tblData[Date]&gt;StartDt2Italy,ISNUMBER(tblData[Italy])),(tblData[[#This Row],[Italy LogiP(t)]]-tblData[[#This Row],[Italy]])^2,"")</f>
        <v>2060849.6398258221</v>
      </c>
      <c r="AO59" s="44">
        <f>IF(AND(tblData[Date]&gt;StartDt2Italy,ISNUMBER(tblData[Days'# Italy])),tblData[[#This Row],[Italy LogiP(t)]]/$AM$9,"")</f>
        <v>1916.388083537779</v>
      </c>
      <c r="AP59" s="21">
        <f>IF(ISNUMBER(tblData[[#This Row],[Days'# US]]),betaUS/(deltaUS+betaPodeltaUS*EXP(-betaUS*tblData[Days'# US])),"")</f>
        <v>579.50378842192686</v>
      </c>
      <c r="AQ59" s="11">
        <f>IF(ISNUMBER(tblData[US]),(tblData[[#This Row],[US LogiP(t)]]-tblData[US])^2,"")</f>
        <v>144017.37460210966</v>
      </c>
      <c r="AR59" s="21">
        <f>IF(ISNUMBER(tblData[[#This Row],[Days'# US]]),tblData[[#This Row],[US LogiP(t)]]/$AP$9,"")</f>
        <v>17.601912216169257</v>
      </c>
      <c r="AS59" s="21">
        <f>IF(tblData[Date]&gt;=StartDt2Korea,betaSKorea/(deltaSKorea+betaPodeltaSKorea*EXP(-betaSKorea*(tblData[Date]-StartDt2Korea))),"")</f>
        <v>7780.9305927529585</v>
      </c>
      <c r="AT59" s="21">
        <f>IF(AND(tblData[Date]&gt;=StartDt2Korea,ISNUMBER(tblData[SKorea])),(tblData[[#This Row],[SKorea LogiP(t)]]-tblData[[#This Row],[SKorea]])^2,"")</f>
        <v>71786.802532951726</v>
      </c>
      <c r="AU59" s="21">
        <f>IF(tblData[Date]&gt;=StartDt2Korea,tblData[[#This Row],[SKorea LogiP(t)]]/$AS$9,"")</f>
        <v>1513.7997262165291</v>
      </c>
      <c r="AV59" s="11">
        <f>IF(ISNUMBER(tblData[Days'# UK]),betaUK/(deltaUK+betaPodeltaUK*EXP(-betaUK*tblData[Days'# UK])),"")</f>
        <v>385.86899027613316</v>
      </c>
      <c r="AW59" s="21">
        <f>IF(ISNUMBER(tblData[UK]),(tblData[[#This Row],[UK LogiP(t)]]-tblData[[#This Row],[UK]])^2,"")</f>
        <v>3.4931246522803092</v>
      </c>
      <c r="AX59" s="21">
        <f>IF(ISNUMBER(tblData[Days'# UK]),tblData[[#This Row],[UK LogiP(t)]]/$AV$9,"")</f>
        <v>58.077813105980304</v>
      </c>
      <c r="AY59" s="11">
        <f>IF(ISNUMBER(tblData[Days'# China]),betaChina/(deltaChina+betaPodeltaChina*EXP(-betaChina*tblData[Days'# China])),"")</f>
        <v>80853.637032977131</v>
      </c>
      <c r="AZ59" s="11">
        <f>IF(ISNUMBER(tblData[China]),(tblData[[#This Row],[China LogiP(t)]]-tblData[[#This Row],[China]])^2,"")</f>
        <v>1113.0875685690623</v>
      </c>
      <c r="BA59" s="11">
        <f>tblData[[#This Row],[China LogiP(t)]]/$AY$9</f>
        <v>561.74738707975825</v>
      </c>
      <c r="BB59" s="11">
        <v>8361</v>
      </c>
      <c r="BC59" s="11">
        <v>618</v>
      </c>
      <c r="BD59" s="11">
        <f>IF(ISNUMBER(tblData[[#This Row],[NSW Number of Tests]]),tblData[[#This Row],[NSW Number of Tests]]-BB58,"")</f>
        <v>513</v>
      </c>
      <c r="BE59" s="11">
        <f>IF(ISNUMBER(tblData[[#This Row],[NSW Under Investigation'']]),tblData[[#This Row],[NSW Under Investigation'']]-BC58,"")</f>
        <v>142</v>
      </c>
      <c r="BF59" s="11">
        <f t="shared" si="6"/>
        <v>4</v>
      </c>
      <c r="BG59" s="11">
        <f>IF(ISNUMBER(tblData[[#This Row],[NSW Test Day Number]]),betaTest/(deltaTest+betaPodeltaTest*EXP(-betaTest*tblData[[#This Row],[NSW Test Day Number]])),"")</f>
        <v>9537.0863898022344</v>
      </c>
      <c r="BH59" s="11">
        <f>IF(ISNUMBER(tblData[[#This Row],[NSW Number of Tests]]),(tblData[[#This Row],[NSW Number of Tests]]-tblData[[#This Row],[NSW Test Logi]])^2,"")</f>
        <v>1383179.1962780533</v>
      </c>
      <c r="BY59"/>
      <c r="BZ59"/>
      <c r="CJ59" s="26"/>
      <c r="CK59" s="26"/>
    </row>
    <row r="60" spans="2:173" x14ac:dyDescent="0.25">
      <c r="B60" s="1">
        <v>43901</v>
      </c>
      <c r="C60">
        <v>0</v>
      </c>
      <c r="D60" s="26">
        <v>0</v>
      </c>
      <c r="E60">
        <v>65</v>
      </c>
      <c r="F60">
        <v>1</v>
      </c>
      <c r="G60">
        <v>20</v>
      </c>
      <c r="H60">
        <v>9</v>
      </c>
      <c r="I60">
        <v>3</v>
      </c>
      <c r="J60">
        <v>21</v>
      </c>
      <c r="K60">
        <v>9</v>
      </c>
      <c r="L60" s="12">
        <f>IF(ISNUMBER(tblData[[#This Row],[NSW]]),tblData[[#This Row],[New South Wales]]/$L$9,"")</f>
        <v>80.445544554455438</v>
      </c>
      <c r="M60" s="26">
        <v>12462</v>
      </c>
      <c r="N60" s="49">
        <f>IF(ISNUMBER(tblData[Italy]),tblData[Italy]/$N$9,"")</f>
        <v>2061.5384615384614</v>
      </c>
      <c r="O60">
        <v>1281</v>
      </c>
      <c r="P60" s="49">
        <f>IF(ISNUMBER(tblData[US]),tblData[US]/$P$9,"")</f>
        <v>38.909235796912455</v>
      </c>
      <c r="Q60">
        <v>7755</v>
      </c>
      <c r="R60" s="19">
        <f>IF(ISNUMBER(tblData[SKorea]),tblData[SKorea]/$R$9,"")</f>
        <v>1508.7548638132296</v>
      </c>
      <c r="S60">
        <v>459</v>
      </c>
      <c r="T60" s="12">
        <f>IF(ISNUMBER(tblData[UK]),tblData[UK]/$T$9,"")</f>
        <v>69.084888621312459</v>
      </c>
      <c r="U60">
        <v>80921</v>
      </c>
      <c r="V60" s="21">
        <f>IF(ISNUMBER(tblData[China]),tblData[China]/$V$9,"")</f>
        <v>562.21540524319107</v>
      </c>
      <c r="W60" s="26">
        <f>IF(tblData[[#This Row],[Date]]&lt;ItalyStart,"",tblData[[#This Row],[Date]]-ItalyStart)</f>
        <v>41</v>
      </c>
      <c r="X60" s="26">
        <f t="shared" si="5"/>
        <v>31</v>
      </c>
      <c r="Y60" s="26">
        <f t="shared" si="3"/>
        <v>49</v>
      </c>
      <c r="Z60" s="26">
        <f>IF(tblData[[#This Row],[Date]]&lt;StartDt2Korea,"",tblData[[#This Row],[Date]]-StartDt2Korea)</f>
        <v>21</v>
      </c>
      <c r="AA60" s="26">
        <f>IF(tblData[[#This Row],[Date]]&lt;UKStart,"",tblData[[#This Row],[Date]]-UKStart)</f>
        <v>41</v>
      </c>
      <c r="AB60">
        <f>IF(tblData[Date]&gt;=StartDt2Au,tblData[Date]-StartDt2Au,"")</f>
        <v>46</v>
      </c>
      <c r="AC60" s="26">
        <f>IF(tblData[New South Wales]&gt;0,SUM(tblData[[#This Row],[Australian Capital Territory]:[Western Australia]]),"")</f>
        <v>128</v>
      </c>
      <c r="AD60" s="12">
        <f>IF(ISNUMBER(tblData[Au]),tblData[Au]/$AA$9,"")</f>
        <v>50.465226304999213</v>
      </c>
      <c r="AE60" s="19">
        <f>IF(ISNUMBER(tblData[[#This Row],[Day'# Aust]]),betaAu/(deltaAu+betaPodeltaAu*EXP(-betaAu*tblData[[#This Row],[Day'# Aust]])),"")</f>
        <v>135.40241377911704</v>
      </c>
      <c r="AF60" s="72">
        <f>IF(ISNUMBER(tblData[Day'# Aust]),tblData[Au LogiP(t)]/$AD$9,"")</f>
        <v>53.383698856299098</v>
      </c>
      <c r="AG60" s="11">
        <f>IF(AND(tblData[Date]&gt;=StartDt2Au,ISNUMBER(tblData[NSW])),(tblData[[#This Row],[Au LogiP(t)]]-tblData[[#This Row],[Au]])^2,"")</f>
        <v>54.795729757261824</v>
      </c>
      <c r="AH60">
        <f>IF(tblData[Date]&gt;StartDt2NSW,tblData[Date]-StartDt2NSW,"")</f>
        <v>46</v>
      </c>
      <c r="AI60" s="26">
        <f t="shared" si="4"/>
        <v>65</v>
      </c>
      <c r="AJ60" s="11">
        <f>IF(tblData[Date]&gt;StartDt2NSW,betaNSW/(deltaNSW+betaPodeltaNSW*EXP(-betaNSW*tblData[[#This Row],[Day '# NSW]])),"")</f>
        <v>63.825531502146625</v>
      </c>
      <c r="AK60" s="12">
        <f>IF(AND(ISNUMBER(tblData[NSW]),tblData[Date]&gt;StartDt2NSW),(tblData[[#This Row],[NSW LogiP(t)]]-tblData[[#This Row],[NSW]])^2,"")</f>
        <v>1.3793762524499642</v>
      </c>
      <c r="AL60" s="12">
        <f>IF(AND(tblData[Date]&gt;StartDt2NSW,ISNUMBER(tblData[Day'# Aust])),tblData[NSW LogiP(t)]/$AG$9,"")</f>
        <v>78.991994433349774</v>
      </c>
      <c r="AM60" s="11">
        <f>IF(AND(tblData[Date]&gt;StartDt2Italy,ISNUMBER(tblData[Days'# Italy])),betaItaly/(deltaItaly+betaPodeltaItaly*EXP(-betaItaly*tblData[Days'# Italy])),"")</f>
        <v>14148.304546172034</v>
      </c>
      <c r="AN60" s="11">
        <f>IF(AND(tblData[Date]&gt;StartDt2Italy,ISNUMBER(tblData[Italy])),(tblData[[#This Row],[Italy LogiP(t)]]-tblData[[#This Row],[Italy]])^2,"")</f>
        <v>2843623.0224404694</v>
      </c>
      <c r="AO60" s="44">
        <f>IF(AND(tblData[Date]&gt;StartDt2Italy,ISNUMBER(tblData[Days'# Italy])),tblData[[#This Row],[Italy LogiP(t)]]/$AM$9,"")</f>
        <v>2340.4970299705597</v>
      </c>
      <c r="AP60" s="21">
        <f>IF(ISNUMBER(tblData[[#This Row],[Days'# US]]),betaUS/(deltaUS+betaPodeltaUS*EXP(-betaUS*tblData[Days'# US])),"")</f>
        <v>820.46134602778352</v>
      </c>
      <c r="AQ60" s="11">
        <f>IF(ISNUMBER(tblData[US]),(tblData[[#This Row],[US LogiP(t)]]-tblData[US])^2,"")</f>
        <v>212095.85180254094</v>
      </c>
      <c r="AR60" s="21">
        <f>IF(ISNUMBER(tblData[[#This Row],[Days'# US]]),tblData[[#This Row],[US LogiP(t)]]/$AP$9,"")</f>
        <v>24.920783743050126</v>
      </c>
      <c r="AS60" s="21">
        <f>IF(tblData[Date]&gt;=StartDt2Korea,betaSKorea/(deltaSKorea+betaPodeltaSKorea*EXP(-betaSKorea*(tblData[Date]-StartDt2Korea))),"")</f>
        <v>7923.4783244789023</v>
      </c>
      <c r="AT60" s="21">
        <f>IF(AND(tblData[Date]&gt;=StartDt2Korea,ISNUMBER(tblData[SKorea])),(tblData[[#This Row],[SKorea LogiP(t)]]-tblData[[#This Row],[SKorea]])^2,"")</f>
        <v>28384.945819218297</v>
      </c>
      <c r="AU60" s="21">
        <f>IF(tblData[Date]&gt;=StartDt2Korea,tblData[[#This Row],[SKorea LogiP(t)]]/$AS$9,"")</f>
        <v>1541.532747953094</v>
      </c>
      <c r="AV60" s="11">
        <f>IF(ISNUMBER(tblData[Days'# UK]),betaUK/(deltaUK+betaPodeltaUK*EXP(-betaUK*tblData[Days'# UK])),"")</f>
        <v>485.9436715815886</v>
      </c>
      <c r="AW60" s="21">
        <f>IF(ISNUMBER(tblData[UK]),(tblData[[#This Row],[UK LogiP(t)]]-tblData[[#This Row],[UK]])^2,"")</f>
        <v>725.96143829650532</v>
      </c>
      <c r="AX60" s="21">
        <f>IF(ISNUMBER(tblData[Days'# UK]),tblData[[#This Row],[UK LogiP(t)]]/$AV$9,"")</f>
        <v>73.14022751077492</v>
      </c>
      <c r="AY60" s="11">
        <f>IF(ISNUMBER(tblData[Days'# China]),betaChina/(deltaChina+betaPodeltaChina*EXP(-betaChina*tblData[Days'# China])),"")</f>
        <v>80873.08087720754</v>
      </c>
      <c r="AZ60" s="11">
        <f>IF(ISNUMBER(tblData[China]),(tblData[[#This Row],[China LogiP(t)]]-tblData[[#This Row],[China]])^2,"")</f>
        <v>2296.2423291988839</v>
      </c>
      <c r="BA60" s="11">
        <f>tblData[[#This Row],[China LogiP(t)]]/$AY$9</f>
        <v>561.88247721412995</v>
      </c>
      <c r="BB60" s="11">
        <v>9152</v>
      </c>
      <c r="BC60" s="11">
        <v>1004</v>
      </c>
      <c r="BD60" s="11">
        <f>IF(ISNUMBER(tblData[[#This Row],[NSW Number of Tests]]),tblData[[#This Row],[NSW Number of Tests]]-BB59,"")</f>
        <v>791</v>
      </c>
      <c r="BE60" s="11">
        <f>IF(ISNUMBER(tblData[[#This Row],[NSW Under Investigation'']]),tblData[[#This Row],[NSW Under Investigation'']]-BC59,"")</f>
        <v>386</v>
      </c>
      <c r="BF60" s="11">
        <f t="shared" si="6"/>
        <v>5</v>
      </c>
      <c r="BG60" s="11">
        <f>IF(ISNUMBER(tblData[[#This Row],[NSW Test Day Number]]),betaTest/(deltaTest+betaPodeltaTest*EXP(-betaTest*tblData[[#This Row],[NSW Test Day Number]])),"")</f>
        <v>11218.215202018408</v>
      </c>
      <c r="BH60" s="11">
        <f>IF(ISNUMBER(tblData[[#This Row],[NSW Number of Tests]]),(tblData[[#This Row],[NSW Number of Tests]]-tblData[[#This Row],[NSW Test Logi]])^2,"")</f>
        <v>4269245.2610519687</v>
      </c>
      <c r="BY60"/>
      <c r="BZ60"/>
      <c r="CJ60" s="26"/>
      <c r="CK60" s="26"/>
    </row>
    <row r="61" spans="2:173" x14ac:dyDescent="0.25">
      <c r="B61" s="1">
        <v>43902</v>
      </c>
      <c r="C61">
        <v>0</v>
      </c>
      <c r="D61" s="26">
        <v>0</v>
      </c>
      <c r="E61">
        <v>75</v>
      </c>
      <c r="F61">
        <v>1</v>
      </c>
      <c r="G61">
        <v>27</v>
      </c>
      <c r="H61">
        <v>9</v>
      </c>
      <c r="I61">
        <v>3</v>
      </c>
      <c r="J61">
        <v>21</v>
      </c>
      <c r="K61">
        <v>9</v>
      </c>
      <c r="L61" s="12">
        <f>IF(ISNUMBER(tblData[[#This Row],[NSW]]),tblData[[#This Row],[New South Wales]]/$L$9,"")</f>
        <v>92.821782178217816</v>
      </c>
      <c r="M61" s="26">
        <v>15113</v>
      </c>
      <c r="N61" s="49">
        <f>IF(ISNUMBER(tblData[Italy]),tblData[Italy]/$N$9,"")</f>
        <v>2500.082712985939</v>
      </c>
      <c r="O61">
        <v>1663</v>
      </c>
      <c r="P61" s="49">
        <f>IF(ISNUMBER(tblData[US]),tblData[US]/$P$9,"")</f>
        <v>50.512146081393766</v>
      </c>
      <c r="Q61">
        <v>7869</v>
      </c>
      <c r="R61" s="19">
        <f>IF(ISNUMBER(tblData[SKorea]),tblData[SKorea]/$R$9,"")</f>
        <v>1530.933852140078</v>
      </c>
      <c r="S61">
        <v>459</v>
      </c>
      <c r="T61" s="12">
        <f>IF(ISNUMBER(tblData[UK]),tblData[UK]/$T$9,"")</f>
        <v>69.084888621312459</v>
      </c>
      <c r="U61">
        <v>80932</v>
      </c>
      <c r="V61" s="21">
        <f>IF(ISNUMBER(tblData[China]),tblData[China]/$V$9,"")</f>
        <v>562.29183002115576</v>
      </c>
      <c r="W61" s="26">
        <f>IF(tblData[[#This Row],[Date]]&lt;ItalyStart,"",tblData[[#This Row],[Date]]-ItalyStart)</f>
        <v>42</v>
      </c>
      <c r="X61" s="26">
        <f t="shared" ref="X61:X92" si="7">IF($B61&lt;BM$14+18,"",$B61-BM$14-18)</f>
        <v>32</v>
      </c>
      <c r="Y61" s="26">
        <f t="shared" si="3"/>
        <v>50</v>
      </c>
      <c r="Z61" s="26">
        <f>IF(tblData[[#This Row],[Date]]&lt;StartDt2Korea,"",tblData[[#This Row],[Date]]-StartDt2Korea)</f>
        <v>22</v>
      </c>
      <c r="AA61" s="26">
        <f>IF(tblData[[#This Row],[Date]]&lt;UKStart,"",tblData[[#This Row],[Date]]-UKStart)</f>
        <v>42</v>
      </c>
      <c r="AB61">
        <f>IF(tblData[Date]&gt;=StartDt2Au,tblData[Date]-StartDt2Au,"")</f>
        <v>47</v>
      </c>
      <c r="AC61" s="26">
        <f>IF(tblData[New South Wales]&gt;0,SUM(tblData[[#This Row],[Australian Capital Territory]:[Western Australia]]),"")</f>
        <v>145</v>
      </c>
      <c r="AD61" s="12">
        <f>IF(ISNUMBER(tblData[Au]),tblData[Au]/$AA$9,"")</f>
        <v>57.167639173631919</v>
      </c>
      <c r="AE61" s="19">
        <f>IF(ISNUMBER(tblData[[#This Row],[Day'# Aust]]),betaAu/(deltaAu+betaPodeltaAu*EXP(-betaAu*tblData[[#This Row],[Day'# Aust]])),"")</f>
        <v>166.45755471763607</v>
      </c>
      <c r="AF61" s="72">
        <f>IF(ISNUMBER(tblData[Day'# Aust]),tblData[Au LogiP(t)]/$AD$9,"")</f>
        <v>65.627485695330421</v>
      </c>
      <c r="AG61" s="11">
        <f>IF(AND(tblData[Date]&gt;=StartDt2Au,ISNUMBER(tblData[NSW])),(tblData[[#This Row],[Au LogiP(t)]]-tblData[[#This Row],[Au]])^2,"")</f>
        <v>460.42665446034601</v>
      </c>
      <c r="AH61">
        <f>IF(tblData[Date]&gt;StartDt2NSW,tblData[Date]-StartDt2NSW,"")</f>
        <v>47</v>
      </c>
      <c r="AI61" s="26">
        <f t="shared" si="4"/>
        <v>75</v>
      </c>
      <c r="AJ61" s="11">
        <f>IF(tblData[Date]&gt;StartDt2NSW,betaNSW/(deltaNSW+betaPodeltaNSW*EXP(-betaNSW*tblData[[#This Row],[Day '# NSW]])),"")</f>
        <v>78.258726113797422</v>
      </c>
      <c r="AK61" s="12">
        <f>IF(AND(ISNUMBER(tblData[NSW]),tblData[Date]&gt;StartDt2NSW),(tblData[[#This Row],[NSW LogiP(t)]]-tblData[[#This Row],[NSW]])^2,"")</f>
        <v>10.619295884745251</v>
      </c>
      <c r="AL61" s="12">
        <f>IF(AND(tblData[Date]&gt;StartDt2NSW,ISNUMBER(tblData[Day'# Aust])),tblData[NSW LogiP(t)]/$AG$9,"")</f>
        <v>96.854859051729477</v>
      </c>
      <c r="AM61" s="11">
        <f>IF(AND(tblData[Date]&gt;StartDt2Italy,ISNUMBER(tblData[Days'# Italy])),betaItaly/(deltaItaly+betaPodeltaItaly*EXP(-betaItaly*tblData[Days'# Italy])),"")</f>
        <v>17058.534362046572</v>
      </c>
      <c r="AN61" s="11">
        <f>IF(AND(tblData[Date]&gt;StartDt2Italy,ISNUMBER(tblData[Italy])),(tblData[[#This Row],[Italy LogiP(t)]]-tblData[[#This Row],[Italy]])^2,"")</f>
        <v>3785103.9539039615</v>
      </c>
      <c r="AO61" s="44">
        <f>IF(AND(tblData[Date]&gt;StartDt2Italy,ISNUMBER(tblData[Days'# Italy])),tblData[[#This Row],[Italy LogiP(t)]]/$AM$9,"")</f>
        <v>2821.9246256487299</v>
      </c>
      <c r="AP61" s="21">
        <f>IF(ISNUMBER(tblData[[#This Row],[Days'# US]]),betaUS/(deltaUS+betaPodeltaUS*EXP(-betaUS*tblData[Days'# US])),"")</f>
        <v>1161.608672455998</v>
      </c>
      <c r="AQ61" s="11">
        <f>IF(ISNUMBER(tblData[US]),(tblData[[#This Row],[US LogiP(t)]]-tblData[US])^2,"")</f>
        <v>251393.26333633673</v>
      </c>
      <c r="AR61" s="21">
        <f>IF(ISNUMBER(tblData[[#This Row],[Days'# US]]),tblData[[#This Row],[US LogiP(t)]]/$AP$9,"")</f>
        <v>35.28283039838319</v>
      </c>
      <c r="AS61" s="21">
        <f>IF(tblData[Date]&gt;=StartDt2Korea,betaSKorea/(deltaSKorea+betaPodeltaSKorea*EXP(-betaSKorea*(tblData[Date]-StartDt2Korea))),"")</f>
        <v>8029.6955700762064</v>
      </c>
      <c r="AT61" s="21">
        <f>IF(AND(tblData[Date]&gt;=StartDt2Korea,ISNUMBER(tblData[SKorea])),(tblData[[#This Row],[SKorea LogiP(t)]]-tblData[[#This Row],[SKorea]])^2,"")</f>
        <v>25823.066242116969</v>
      </c>
      <c r="AU61" s="21">
        <f>IF(tblData[Date]&gt;=StartDt2Korea,tblData[[#This Row],[SKorea LogiP(t)]]/$AS$9,"")</f>
        <v>1562.1975817268885</v>
      </c>
      <c r="AV61" s="11">
        <f>IF(ISNUMBER(tblData[Days'# UK]),betaUK/(deltaUK+betaPodeltaUK*EXP(-betaUK*tblData[Days'# UK])),"")</f>
        <v>611.97253814744602</v>
      </c>
      <c r="AW61" s="21">
        <f>IF(ISNUMBER(tblData[UK]),(tblData[[#This Row],[UK LogiP(t)]]-tblData[[#This Row],[UK]])^2,"")</f>
        <v>23400.597427271827</v>
      </c>
      <c r="AX61" s="21">
        <f>IF(ISNUMBER(tblData[Days'# UK]),tblData[[#This Row],[UK LogiP(t)]]/$AV$9,"")</f>
        <v>92.109051497207403</v>
      </c>
      <c r="AY61" s="11">
        <f>IF(ISNUMBER(tblData[Days'# China]),betaChina/(deltaChina+betaPodeltaChina*EXP(-betaChina*tblData[Days'# China])),"")</f>
        <v>80888.658268390223</v>
      </c>
      <c r="AZ61" s="11">
        <f>IF(ISNUMBER(tblData[China]),(tblData[[#This Row],[China LogiP(t)]]-tblData[[#This Row],[China]])^2,"")</f>
        <v>1878.5056989339096</v>
      </c>
      <c r="BA61" s="11">
        <f>tblData[[#This Row],[China LogiP(t)]]/$AY$9</f>
        <v>561.99070436525756</v>
      </c>
      <c r="BB61" s="11">
        <v>11040</v>
      </c>
      <c r="BC61" s="11">
        <v>1831</v>
      </c>
      <c r="BD61" s="11">
        <f>IF(ISNUMBER(tblData[[#This Row],[NSW Number of Tests]]),tblData[[#This Row],[NSW Number of Tests]]-BB60,"")</f>
        <v>1888</v>
      </c>
      <c r="BE61" s="11">
        <f>IF(ISNUMBER(tblData[[#This Row],[NSW Under Investigation'']]),tblData[[#This Row],[NSW Under Investigation'']]-BC60,"")</f>
        <v>827</v>
      </c>
      <c r="BF61" s="11">
        <f t="shared" si="6"/>
        <v>6</v>
      </c>
      <c r="BG61" s="11">
        <f>IF(ISNUMBER(tblData[[#This Row],[NSW Test Day Number]]),betaTest/(deltaTest+betaPodeltaTest*EXP(-betaTest*tblData[[#This Row],[NSW Test Day Number]])),"")</f>
        <v>13181.826573284892</v>
      </c>
      <c r="BH61" s="11">
        <f>IF(ISNUMBER(tblData[[#This Row],[NSW Number of Tests]]),(tblData[[#This Row],[NSW Number of Tests]]-tblData[[#This Row],[NSW Test Logi]])^2,"")</f>
        <v>4587421.0700293034</v>
      </c>
      <c r="BY61"/>
      <c r="BZ61"/>
      <c r="CJ61" s="26"/>
      <c r="CK61" s="26"/>
      <c r="EH61" s="55"/>
      <c r="EI61" s="55"/>
      <c r="EJ61" s="55"/>
      <c r="EK61" s="55"/>
      <c r="EL61" s="55"/>
      <c r="EM61" s="55"/>
      <c r="EN61" s="55"/>
      <c r="EO61" s="55"/>
      <c r="EP61" s="55"/>
      <c r="EQ61" s="55"/>
      <c r="ER61" s="55"/>
      <c r="ES61" s="55"/>
      <c r="ET61" s="55"/>
      <c r="EU61" s="55"/>
      <c r="EV61" s="55"/>
      <c r="EW61" s="55"/>
      <c r="EX61" s="55"/>
      <c r="EY61" s="55"/>
      <c r="EZ61" s="55"/>
      <c r="FA61" s="55"/>
      <c r="FB61" s="55"/>
      <c r="FC61" s="55"/>
      <c r="FD61" s="55"/>
      <c r="FE61" s="55"/>
      <c r="FF61" s="55"/>
      <c r="FG61" s="55"/>
      <c r="FH61" s="55"/>
      <c r="FI61" s="55"/>
      <c r="FJ61" s="55"/>
      <c r="FK61" s="55"/>
      <c r="FL61" s="55"/>
      <c r="FM61" s="55"/>
      <c r="FN61" s="55"/>
      <c r="FO61" s="55"/>
      <c r="FP61" s="55"/>
      <c r="FQ61" s="55"/>
    </row>
    <row r="62" spans="2:173" x14ac:dyDescent="0.25">
      <c r="B62" s="1">
        <f>B61+1</f>
        <v>43903</v>
      </c>
      <c r="D62" s="11">
        <v>1</v>
      </c>
      <c r="E62" s="11">
        <v>92</v>
      </c>
      <c r="F62" s="26">
        <v>1</v>
      </c>
      <c r="G62" s="26">
        <v>35</v>
      </c>
      <c r="H62" s="26">
        <v>16</v>
      </c>
      <c r="I62" s="26">
        <v>5</v>
      </c>
      <c r="J62" s="26">
        <v>36</v>
      </c>
      <c r="K62" s="26">
        <v>14</v>
      </c>
      <c r="L62" s="12">
        <f>IF(ISNUMBER(tblData[[#This Row],[NSW]]),tblData[[#This Row],[New South Wales]]/$L$9,"")</f>
        <v>113.86138613861385</v>
      </c>
      <c r="M62" s="26">
        <v>17660</v>
      </c>
      <c r="N62" s="49">
        <f>IF(ISNUMBER(tblData[Italy]),tblData[Italy]/$N$9,"")</f>
        <v>2921.4226633581475</v>
      </c>
      <c r="O62">
        <v>2179</v>
      </c>
      <c r="P62" s="49">
        <f>IF(ISNUMBER(tblData[US]),tblData[US]/$P$9,"")</f>
        <v>66.185187198651235</v>
      </c>
      <c r="Q62">
        <v>7979</v>
      </c>
      <c r="R62" s="19">
        <f>IF(ISNUMBER(tblData[SKorea]),tblData[SKorea]/$R$9,"")</f>
        <v>1552.3346303501946</v>
      </c>
      <c r="S62">
        <v>802</v>
      </c>
      <c r="T62" s="12">
        <f>IF(ISNUMBER(tblData[UK]),tblData[UK]/$T$9,"")</f>
        <v>120.71041541240217</v>
      </c>
      <c r="U62">
        <v>80945</v>
      </c>
      <c r="V62" s="21">
        <f>IF(ISNUMBER(tblData[China]),tblData[China]/$V$9,"")</f>
        <v>562.38215021329574</v>
      </c>
      <c r="W62" s="26">
        <f>IF(tblData[[#This Row],[Date]]&lt;ItalyStart,"",tblData[[#This Row],[Date]]-ItalyStart)</f>
        <v>43</v>
      </c>
      <c r="X62" s="26">
        <f t="shared" si="7"/>
        <v>33</v>
      </c>
      <c r="Y62" s="26">
        <f t="shared" si="3"/>
        <v>51</v>
      </c>
      <c r="Z62" s="26">
        <f>IF(tblData[[#This Row],[Date]]&lt;StartDt2Korea,"",tblData[[#This Row],[Date]]-StartDt2Korea)</f>
        <v>23</v>
      </c>
      <c r="AA62" s="26">
        <f>IF(tblData[[#This Row],[Date]]&lt;UKStart,"",tblData[[#This Row],[Date]]-UKStart)</f>
        <v>43</v>
      </c>
      <c r="AB62">
        <f>IF(tblData[Date]&gt;=StartDt2Au,tblData[Date]-StartDt2Au,"")</f>
        <v>48</v>
      </c>
      <c r="AC62" s="26">
        <f>IF(tblData[New South Wales]&gt;0,SUM(tblData[[#This Row],[Australian Capital Territory]:[Western Australia]]),"")</f>
        <v>200</v>
      </c>
      <c r="AD62" s="12">
        <f>IF(ISNUMBER(tblData[Au]),tblData[Au]/$AA$9,"")</f>
        <v>78.851916101561272</v>
      </c>
      <c r="AE62" s="19">
        <f>IF(ISNUMBER(tblData[[#This Row],[Day'# Aust]]),betaAu/(deltaAu+betaPodeltaAu*EXP(-betaAu*tblData[[#This Row],[Day'# Aust]])),"")</f>
        <v>204.63532217388749</v>
      </c>
      <c r="AF62" s="72">
        <f>IF(ISNUMBER(tblData[Day'# Aust]),tblData[Au LogiP(t)]/$AD$9,"")</f>
        <v>80.679436277356686</v>
      </c>
      <c r="AG62" s="11">
        <f>IF(AND(tblData[Date]&gt;=StartDt2Au,ISNUMBER(tblData[NSW])),(tblData[[#This Row],[Au LogiP(t)]]-tblData[[#This Row],[Au]])^2,"")</f>
        <v>21.486211655733026</v>
      </c>
      <c r="AH62">
        <f>IF(tblData[Date]&gt;StartDt2NSW,tblData[Date]-StartDt2NSW,"")</f>
        <v>48</v>
      </c>
      <c r="AI62" s="28">
        <f t="shared" si="4"/>
        <v>92</v>
      </c>
      <c r="AJ62" s="11">
        <f>IF(tblData[Date]&gt;StartDt2NSW,betaNSW/(deltaNSW+betaPodeltaNSW*EXP(-betaNSW*tblData[[#This Row],[Day '# NSW]])),"")</f>
        <v>95.838217465849482</v>
      </c>
      <c r="AK62" s="12">
        <f>IF(AND(ISNUMBER(tblData[NSW]),tblData[Date]&gt;StartDt2NSW),(tblData[[#This Row],[NSW LogiP(t)]]-tblData[[#This Row],[NSW]])^2,"")</f>
        <v>14.731913315152019</v>
      </c>
      <c r="AL62" s="12">
        <f>IF(AND(tblData[Date]&gt;StartDt2NSW,ISNUMBER(tblData[Day'# Aust])),tblData[NSW LogiP(t)]/$AG$9,"")</f>
        <v>118.61165527951668</v>
      </c>
      <c r="AM62" s="11">
        <f>IF(AND(tblData[Date]&gt;StartDt2Italy,ISNUMBER(tblData[Days'# Italy])),betaItaly/(deltaItaly+betaPodeltaItaly*EXP(-betaItaly*tblData[Days'# Italy])),"")</f>
        <v>20273.20863943897</v>
      </c>
      <c r="AN62" s="11">
        <f>IF(AND(tblData[Date]&gt;StartDt2Italy,ISNUMBER(tblData[Italy])),(tblData[[#This Row],[Italy LogiP(t)]]-tblData[[#This Row],[Italy]])^2,"")</f>
        <v>6828859.3932384718</v>
      </c>
      <c r="AO62" s="44">
        <f>IF(AND(tblData[Date]&gt;StartDt2Italy,ISNUMBER(tblData[Days'# Italy])),tblData[[#This Row],[Italy LogiP(t)]]/$AM$9,"")</f>
        <v>3353.7152422562399</v>
      </c>
      <c r="AP62" s="21">
        <f>IF(ISNUMBER(tblData[[#This Row],[Days'# US]]),betaUS/(deltaUS+betaPodeltaUS*EXP(-betaUS*tblData[Days'# US])),"")</f>
        <v>1644.6041778446975</v>
      </c>
      <c r="AQ62" s="11">
        <f>IF(ISNUMBER(tblData[US]),(tblData[[#This Row],[US LogiP(t)]]-tblData[US])^2,"")</f>
        <v>285578.89473704173</v>
      </c>
      <c r="AR62" s="21">
        <f>IF(ISNUMBER(tblData[[#This Row],[Days'# US]]),tblData[[#This Row],[US LogiP(t)]]/$AP$9,"")</f>
        <v>49.953389342971647</v>
      </c>
      <c r="AS62" s="21">
        <f>IF(tblData[Date]&gt;=StartDt2Korea,betaSKorea/(deltaSKorea+betaPodeltaSKorea*EXP(-betaSKorea*(tblData[Date]-StartDt2Korea))),"")</f>
        <v>8108.1774853466986</v>
      </c>
      <c r="AT62" s="21">
        <f>IF(AND(tblData[Date]&gt;=StartDt2Korea,ISNUMBER(tblData[SKorea])),(tblData[[#This Row],[SKorea LogiP(t)]]-tblData[[#This Row],[SKorea]])^2,"")</f>
        <v>16686.822720496541</v>
      </c>
      <c r="AU62" s="21">
        <f>IF(tblData[Date]&gt;=StartDt2Korea,tblData[[#This Row],[SKorea LogiP(t)]]/$AS$9,"")</f>
        <v>1577.4664368378792</v>
      </c>
      <c r="AV62" s="11">
        <f>IF(ISNUMBER(tblData[Days'# UK]),betaUK/(deltaUK+betaPodeltaUK*EXP(-betaUK*tblData[Days'# UK])),"")</f>
        <v>770.68672001247091</v>
      </c>
      <c r="AW62" s="21">
        <f>IF(ISNUMBER(tblData[UK]),(tblData[[#This Row],[UK LogiP(t)]]-tblData[[#This Row],[UK]])^2,"")</f>
        <v>980.52150357738958</v>
      </c>
      <c r="AX62" s="21">
        <f>IF(ISNUMBER(tblData[Days'# UK]),tblData[[#This Row],[UK LogiP(t)]]/$AV$9,"")</f>
        <v>115.99739915901128</v>
      </c>
      <c r="AY62" s="11">
        <f>IF(ISNUMBER(tblData[Days'# China]),betaChina/(deltaChina+betaPodeltaChina*EXP(-betaChina*tblData[Days'# China])),"")</f>
        <v>80901.136983941382</v>
      </c>
      <c r="AZ62" s="11">
        <f>IF(ISNUMBER(tblData[China]),(tblData[[#This Row],[China LogiP(t)]]-tblData[[#This Row],[China]])^2,"")</f>
        <v>1923.9641777585882</v>
      </c>
      <c r="BA62" s="11">
        <f>tblData[[#This Row],[China LogiP(t)]]/$AY$9</f>
        <v>562.07740282573775</v>
      </c>
      <c r="BB62" s="11">
        <v>18716</v>
      </c>
      <c r="BC62" s="11">
        <v>1668</v>
      </c>
      <c r="BD62" s="11">
        <f>IF(ISNUMBER(tblData[[#This Row],[NSW Number of Tests]]),tblData[[#This Row],[NSW Number of Tests]]-BB61,"")</f>
        <v>7676</v>
      </c>
      <c r="BE62" s="11">
        <f>IF(ISNUMBER(tblData[[#This Row],[NSW Under Investigation'']]),tblData[[#This Row],[NSW Under Investigation'']]-BC61,"")</f>
        <v>-163</v>
      </c>
      <c r="BF62" s="11">
        <f t="shared" si="6"/>
        <v>7</v>
      </c>
      <c r="BG62" s="11">
        <f>IF(ISNUMBER(tblData[[#This Row],[NSW Test Day Number]]),betaTest/(deltaTest+betaPodeltaTest*EXP(-betaTest*tblData[[#This Row],[NSW Test Day Number]])),"")</f>
        <v>15470.17201149113</v>
      </c>
      <c r="BH62" s="11">
        <f>IF(ISNUMBER(tblData[[#This Row],[NSW Number of Tests]]),(tblData[[#This Row],[NSW Number of Tests]]-tblData[[#This Row],[NSW Test Logi]])^2,"")</f>
        <v>10535399.330987541</v>
      </c>
      <c r="BY62"/>
      <c r="BZ62"/>
      <c r="CJ62" s="26"/>
      <c r="CK62" s="26"/>
    </row>
    <row r="63" spans="2:173" x14ac:dyDescent="0.25">
      <c r="B63" s="1">
        <f t="shared" ref="B63:B64" si="8">B62+1</f>
        <v>43904</v>
      </c>
      <c r="D63" s="26">
        <v>1</v>
      </c>
      <c r="E63">
        <v>112</v>
      </c>
      <c r="F63">
        <v>1</v>
      </c>
      <c r="G63">
        <v>46</v>
      </c>
      <c r="H63">
        <v>19</v>
      </c>
      <c r="I63">
        <v>6</v>
      </c>
      <c r="J63">
        <v>49</v>
      </c>
      <c r="K63">
        <v>17</v>
      </c>
      <c r="L63" s="12">
        <f>IF(ISNUMBER(tblData[[#This Row],[NSW]]),tblData[[#This Row],[New South Wales]]/$L$9,"")</f>
        <v>138.61386138613861</v>
      </c>
      <c r="M63" s="26">
        <v>21157</v>
      </c>
      <c r="N63" s="49">
        <f>IF(ISNUMBER(tblData[Italy]),tblData[Italy]/$N$9,"")</f>
        <v>3499.9172870140615</v>
      </c>
      <c r="O63">
        <v>2727</v>
      </c>
      <c r="P63" s="49">
        <f>IF(ISNUMBER(tblData[US]),tblData[US]/$P$9,"")</f>
        <v>82.830199858064219</v>
      </c>
      <c r="Q63">
        <v>8086</v>
      </c>
      <c r="R63" s="19">
        <f>IF(ISNUMBER(tblData[SKorea]),tblData[SKorea]/$R$9,"")</f>
        <v>1573.1517509727628</v>
      </c>
      <c r="S63">
        <v>1144</v>
      </c>
      <c r="T63" s="12">
        <f>IF(ISNUMBER(tblData[UK]),tblData[UK]/$T$9,"")</f>
        <v>172.18543046357615</v>
      </c>
      <c r="U63">
        <v>80977</v>
      </c>
      <c r="V63" s="21">
        <f>IF(ISNUMBER(tblData[China]),tblData[China]/$V$9,"")</f>
        <v>562.60447684010194</v>
      </c>
      <c r="W63" s="26">
        <f>IF(tblData[[#This Row],[Date]]&lt;ItalyStart,"",tblData[[#This Row],[Date]]-ItalyStart)</f>
        <v>44</v>
      </c>
      <c r="X63" s="26">
        <f t="shared" si="7"/>
        <v>34</v>
      </c>
      <c r="Y63" s="26">
        <f t="shared" si="3"/>
        <v>52</v>
      </c>
      <c r="Z63" s="26">
        <f>IF(tblData[[#This Row],[Date]]&lt;StartDt2Korea,"",tblData[[#This Row],[Date]]-StartDt2Korea)</f>
        <v>24</v>
      </c>
      <c r="AA63" s="26">
        <f>IF(tblData[[#This Row],[Date]]&lt;UKStart,"",tblData[[#This Row],[Date]]-UKStart)</f>
        <v>44</v>
      </c>
      <c r="AB63">
        <f>IF(tblData[Date]&gt;=StartDt2Au,tblData[Date]-StartDt2Au,"")</f>
        <v>49</v>
      </c>
      <c r="AC63" s="26">
        <f>IF(tblData[New South Wales]&gt;0,SUM(tblData[[#This Row],[Australian Capital Territory]:[Western Australia]]),"")</f>
        <v>251</v>
      </c>
      <c r="AD63" s="12">
        <f>IF(ISNUMBER(tblData[Au]),tblData[Au]/$AA$9,"")</f>
        <v>98.95915470745939</v>
      </c>
      <c r="AE63" s="19">
        <f>IF(ISNUMBER(tblData[[#This Row],[Day'# Aust]]),betaAu/(deltaAu+betaPodeltaAu*EXP(-betaAu*tblData[[#This Row],[Day'# Aust]])),"")</f>
        <v>251.5693167336031</v>
      </c>
      <c r="AF63" s="72">
        <f>IF(ISNUMBER(tblData[Day'# Aust]),tblData[Au LogiP(t)]/$AD$9,"")</f>
        <v>99.183613284025824</v>
      </c>
      <c r="AG63" s="11">
        <f>IF(AND(tblData[Date]&gt;=StartDt2Au,ISNUMBER(tblData[NSW])),(tblData[[#This Row],[Au LogiP(t)]]-tblData[[#This Row],[Au]])^2,"")</f>
        <v>0.3241215431605059</v>
      </c>
      <c r="AH63">
        <f>IF(tblData[Date]&gt;StartDt2NSW,tblData[Date]-StartDt2NSW,"")</f>
        <v>49</v>
      </c>
      <c r="AI63" s="26">
        <v>112</v>
      </c>
      <c r="AJ63" s="11">
        <f>IF(tblData[Date]&gt;StartDt2NSW,betaNSW/(deltaNSW+betaPodeltaNSW*EXP(-betaNSW*tblData[[#This Row],[Day '# NSW]])),"")</f>
        <v>117.19177340236101</v>
      </c>
      <c r="AK63" s="12">
        <f>IF(AND(ISNUMBER(tblData[NSW]),tblData[Date]&gt;StartDt2NSW),(tblData[[#This Row],[NSW LogiP(t)]]-tblData[[#This Row],[NSW]])^2,"")</f>
        <v>26.954511061463197</v>
      </c>
      <c r="AL63" s="12">
        <f>IF(AND(tblData[Date]&gt;StartDt2NSW,ISNUMBER(tblData[Day'# Aust])),tblData[NSW LogiP(t)]/$AG$9,"")</f>
        <v>145.03932351777351</v>
      </c>
      <c r="AM63" s="11">
        <f>IF(AND(tblData[Date]&gt;StartDt2Italy,ISNUMBER(tblData[Days'# Italy])),betaItaly/(deltaItaly+betaPodeltaItaly*EXP(-betaItaly*tblData[Days'# Italy])),"")</f>
        <v>23718.94668793826</v>
      </c>
      <c r="AN63" s="11">
        <f>IF(AND(tblData[Date]&gt;StartDt2Italy,ISNUMBER(tblData[Italy])),(tblData[[#This Row],[Italy LogiP(t)]]-tblData[[#This Row],[Italy]])^2,"")</f>
        <v>6563570.8318378199</v>
      </c>
      <c r="AO63" s="44">
        <f>IF(AND(tblData[Date]&gt;StartDt2Italy,ISNUMBER(tblData[Days'# Italy])),tblData[[#This Row],[Italy LogiP(t)]]/$AM$9,"")</f>
        <v>3923.7298077648074</v>
      </c>
      <c r="AP63" s="21">
        <f>IF(ISNUMBER(tblData[[#This Row],[Days'# US]]),betaUS/(deltaUS+betaPodeltaUS*EXP(-betaUS*tblData[Days'# US])),"")</f>
        <v>2328.4272954093385</v>
      </c>
      <c r="AQ63" s="11">
        <f>IF(ISNUMBER(tblData[US]),(tblData[[#This Row],[US LogiP(t)]]-tblData[US])^2,"")</f>
        <v>158860.20084471471</v>
      </c>
      <c r="AR63" s="21">
        <f>IF(ISNUMBER(tblData[[#This Row],[Days'# US]]),tblData[[#This Row],[US LogiP(t)]]/$AP$9,"")</f>
        <v>70.723908409874383</v>
      </c>
      <c r="AS63" s="21">
        <f>IF(tblData[Date]&gt;=StartDt2Korea,betaSKorea/(deltaSKorea+betaPodeltaSKorea*EXP(-betaSKorea*(tblData[Date]-StartDt2Korea))),"")</f>
        <v>8165.8059104727599</v>
      </c>
      <c r="AT63" s="21">
        <f>IF(AND(tblData[Date]&gt;=StartDt2Korea,ISNUMBER(tblData[SKorea])),(tblData[[#This Row],[SKorea LogiP(t)]]-tblData[[#This Row],[SKorea]])^2,"")</f>
        <v>6368.9833463861733</v>
      </c>
      <c r="AU63" s="21">
        <f>IF(tblData[Date]&gt;=StartDt2Korea,tblData[[#This Row],[SKorea LogiP(t)]]/$AS$9,"")</f>
        <v>1588.6781926989806</v>
      </c>
      <c r="AV63" s="11">
        <f>IF(ISNUMBER(tblData[Days'# UK]),betaUK/(deltaUK+betaPodeltaUK*EXP(-betaUK*tblData[Days'# UK])),"")</f>
        <v>970.56301934258749</v>
      </c>
      <c r="AW63" s="21">
        <f>IF(ISNUMBER(tblData[UK]),(tblData[[#This Row],[UK LogiP(t)]]-tblData[[#This Row],[UK]])^2,"")</f>
        <v>30080.38625955968</v>
      </c>
      <c r="AX63" s="21">
        <f>IF(ISNUMBER(tblData[Days'# UK]),tblData[[#This Row],[UK LogiP(t)]]/$AV$9,"")</f>
        <v>146.08112873910108</v>
      </c>
      <c r="AY63" s="11">
        <f>IF(ISNUMBER(tblData[Days'# China]),betaChina/(deltaChina+betaPodeltaChina*EXP(-betaChina*tblData[Days'# China])),"")</f>
        <v>80911.132726367287</v>
      </c>
      <c r="AZ63" s="11">
        <f>IF(ISNUMBER(tblData[China]),(tblData[[#This Row],[China LogiP(t)]]-tblData[[#This Row],[China]])^2,"")</f>
        <v>4338.4977358067517</v>
      </c>
      <c r="BA63" s="11">
        <f>tblData[[#This Row],[China LogiP(t)]]/$AY$9</f>
        <v>562.14685031623685</v>
      </c>
      <c r="BB63" s="11">
        <v>18716</v>
      </c>
      <c r="BC63" s="11">
        <v>1668</v>
      </c>
      <c r="BD63" s="11">
        <f>IF(ISNUMBER(tblData[[#This Row],[NSW Number of Tests]]),tblData[[#This Row],[NSW Number of Tests]]-BB62,"")</f>
        <v>0</v>
      </c>
      <c r="BE63" s="11">
        <f>IF(ISNUMBER(tblData[[#This Row],[NSW Under Investigation'']]),tblData[[#This Row],[NSW Under Investigation'']]-BC62,"")</f>
        <v>0</v>
      </c>
      <c r="BF63" s="11">
        <f t="shared" si="6"/>
        <v>8</v>
      </c>
      <c r="BG63" s="11">
        <f>IF(ISNUMBER(tblData[[#This Row],[NSW Test Day Number]]),betaTest/(deltaTest+betaPodeltaTest*EXP(-betaTest*tblData[[#This Row],[NSW Test Day Number]])),"")</f>
        <v>18129.891717165989</v>
      </c>
      <c r="BH63" s="11">
        <f>IF(ISNUMBER(tblData[[#This Row],[NSW Number of Tests]]),(tblData[[#This Row],[NSW Number of Tests]]-tblData[[#This Row],[NSW Test Logi]])^2,"")</f>
        <v>343522.91920663341</v>
      </c>
      <c r="BY63"/>
      <c r="BZ63"/>
      <c r="CJ63" s="26"/>
      <c r="CK63" s="26"/>
    </row>
    <row r="64" spans="2:173" x14ac:dyDescent="0.25">
      <c r="B64" s="1">
        <f t="shared" si="8"/>
        <v>43905</v>
      </c>
      <c r="D64" s="26">
        <v>2</v>
      </c>
      <c r="E64">
        <v>134</v>
      </c>
      <c r="F64">
        <v>1</v>
      </c>
      <c r="G64">
        <v>63</v>
      </c>
      <c r="H64">
        <v>20</v>
      </c>
      <c r="I64">
        <v>7</v>
      </c>
      <c r="J64">
        <v>71</v>
      </c>
      <c r="K64">
        <v>18</v>
      </c>
      <c r="L64" s="12">
        <f>IF(ISNUMBER(tblData[[#This Row],[NSW]]),tblData[[#This Row],[New South Wales]]/$L$9,"")</f>
        <v>165.84158415841583</v>
      </c>
      <c r="M64" s="26">
        <v>24747</v>
      </c>
      <c r="N64" s="49">
        <f>IF(ISNUMBER(tblData[Italy]),tblData[Italy]/$N$9,"")</f>
        <v>4093.7965260545907</v>
      </c>
      <c r="O64">
        <v>3499</v>
      </c>
      <c r="P64" s="49">
        <f>IF(ISNUMBER(tblData[US]),tblData[US]/$P$9,"")</f>
        <v>106.27901331256571</v>
      </c>
      <c r="Q64">
        <v>8162</v>
      </c>
      <c r="R64" s="19">
        <f>IF(ISNUMBER(tblData[SKorea]),tblData[SKorea]/$R$9,"")</f>
        <v>1587.9377431906616</v>
      </c>
      <c r="S64">
        <v>1145</v>
      </c>
      <c r="T64" s="12">
        <f>IF(ISNUMBER(tblData[UK]),tblData[UK]/$T$9,"")</f>
        <v>172.33594220349187</v>
      </c>
      <c r="U64">
        <v>81003</v>
      </c>
      <c r="V64" s="21">
        <f>IF(ISNUMBER(tblData[China]),tblData[China]/$V$9,"")</f>
        <v>562.78511722438191</v>
      </c>
      <c r="W64" s="26">
        <f>IF(tblData[[#This Row],[Date]]&lt;ItalyStart,"",tblData[[#This Row],[Date]]-ItalyStart)</f>
        <v>45</v>
      </c>
      <c r="X64" s="26">
        <f t="shared" si="7"/>
        <v>35</v>
      </c>
      <c r="Y64" s="26">
        <f t="shared" si="3"/>
        <v>53</v>
      </c>
      <c r="Z64" s="26">
        <f>IF(tblData[[#This Row],[Date]]&lt;StartDt2Korea,"",tblData[[#This Row],[Date]]-StartDt2Korea)</f>
        <v>25</v>
      </c>
      <c r="AA64" s="26">
        <f>IF(tblData[[#This Row],[Date]]&lt;UKStart,"",tblData[[#This Row],[Date]]-UKStart)</f>
        <v>45</v>
      </c>
      <c r="AB64">
        <f>IF(tblData[Date]&gt;=StartDt2Au,tblData[Date]-StartDt2Au,"")</f>
        <v>50</v>
      </c>
      <c r="AC64" s="26">
        <f>IF(tblData[New South Wales]&gt;0,SUM(tblData[[#This Row],[Australian Capital Territory]:[Western Australia]]),"")</f>
        <v>316</v>
      </c>
      <c r="AD64" s="12">
        <f>IF(ISNUMBER(tblData[Au]),tblData[Au]/$AA$9,"")</f>
        <v>124.58602744046681</v>
      </c>
      <c r="AE64" s="19">
        <f>IF(ISNUMBER(tblData[[#This Row],[Day'# Aust]]),betaAu/(deltaAu+betaPodeltaAu*EXP(-betaAu*tblData[[#This Row],[Day'# Aust]])),"")</f>
        <v>309.2678094390958</v>
      </c>
      <c r="AF64" s="72">
        <f>IF(ISNUMBER(tblData[Day'# Aust]),tblData[Au LogiP(t)]/$AD$9,"")</f>
        <v>121.9317968140261</v>
      </c>
      <c r="AG64" s="11">
        <f>IF(AND(tblData[Date]&gt;=StartDt2Au,ISNUMBER(tblData[NSW])),(tblData[[#This Row],[Au LogiP(t)]]-tblData[[#This Row],[Au]])^2,"")</f>
        <v>45.322389748327616</v>
      </c>
      <c r="AH64">
        <f>IF(tblData[Date]&gt;StartDt2NSW,tblData[Date]-StartDt2NSW,"")</f>
        <v>50</v>
      </c>
      <c r="AI64">
        <f t="shared" ref="AI64:AI95" si="9">IF(E64&gt;0,E64,"")</f>
        <v>134</v>
      </c>
      <c r="AJ64" s="11">
        <f>IF(tblData[Date]&gt;StartDt2NSW,betaNSW/(deltaNSW+betaPodeltaNSW*EXP(-betaNSW*tblData[[#This Row],[Day '# NSW]])),"")</f>
        <v>143.04419774564079</v>
      </c>
      <c r="AK64" s="12">
        <f>IF(AND(ISNUMBER(tblData[NSW]),tblData[Date]&gt;StartDt2NSW),(tblData[[#This Row],[NSW LogiP(t)]]-tblData[[#This Row],[NSW]])^2,"")</f>
        <v>81.797512862253896</v>
      </c>
      <c r="AL64" s="12">
        <f>IF(AND(tblData[Date]&gt;StartDt2NSW,ISNUMBER(tblData[Day'# Aust])),tblData[NSW LogiP(t)]/$AG$9,"")</f>
        <v>177.03489820005046</v>
      </c>
      <c r="AM64" s="11">
        <f>IF(AND(tblData[Date]&gt;StartDt2Italy,ISNUMBER(tblData[Days'# Italy])),betaItaly/(deltaItaly+betaPodeltaItaly*EXP(-betaItaly*tblData[Days'# Italy])),"")</f>
        <v>27295.288844777973</v>
      </c>
      <c r="AN64" s="11">
        <f>IF(AND(tblData[Date]&gt;StartDt2Italy,ISNUMBER(tblData[Italy])),(tblData[[#This Row],[Italy LogiP(t)]]-tblData[[#This Row],[Italy]])^2,"")</f>
        <v>6493776.0364198573</v>
      </c>
      <c r="AO64" s="44">
        <f>IF(AND(tblData[Date]&gt;StartDt2Italy,ISNUMBER(tblData[Days'# Italy])),tblData[[#This Row],[Italy LogiP(t)]]/$AM$9,"")</f>
        <v>4515.3496848267951</v>
      </c>
      <c r="AP64" s="21">
        <f>IF(ISNUMBER(tblData[[#This Row],[Days'# US]]),betaUS/(deltaUS+betaPodeltaUS*EXP(-betaUS*tblData[Days'# US])),"")</f>
        <v>3296.5799974640026</v>
      </c>
      <c r="AQ64" s="11">
        <f>IF(ISNUMBER(tblData[US]),(tblData[[#This Row],[US LogiP(t)]]-tblData[US])^2,"")</f>
        <v>40973.857426673174</v>
      </c>
      <c r="AR64" s="21">
        <f>IF(ISNUMBER(tblData[[#This Row],[Days'# US]]),tblData[[#This Row],[US LogiP(t)]]/$AP$9,"")</f>
        <v>100.13068574918965</v>
      </c>
      <c r="AS64" s="21">
        <f>IF(tblData[Date]&gt;=StartDt2Korea,betaSKorea/(deltaSKorea+betaPodeltaSKorea*EXP(-betaSKorea*(tblData[Date]-StartDt2Korea))),"")</f>
        <v>8207.9284212804796</v>
      </c>
      <c r="AT64" s="21">
        <f>IF(AND(tblData[Date]&gt;=StartDt2Korea,ISNUMBER(tblData[SKorea])),(tblData[[#This Row],[SKorea LogiP(t)]]-tblData[[#This Row],[SKorea]])^2,"")</f>
        <v>2109.4198813172111</v>
      </c>
      <c r="AU64" s="21">
        <f>IF(tblData[Date]&gt;=StartDt2Korea,tblData[[#This Row],[SKorea LogiP(t)]]/$AS$9,"")</f>
        <v>1596.8732337121558</v>
      </c>
      <c r="AV64" s="11">
        <f>IF(ISNUMBER(tblData[Days'# UK]),betaUK/(deltaUK+betaPodeltaUK*EXP(-betaUK*tblData[Days'# UK])),"")</f>
        <v>1222.2766245933283</v>
      </c>
      <c r="AW64" s="21">
        <f>IF(ISNUMBER(tblData[UK]),(tblData[[#This Row],[UK LogiP(t)]]-tblData[[#This Row],[UK]])^2,"")</f>
        <v>5971.6767085381889</v>
      </c>
      <c r="AX64" s="21">
        <f>IF(ISNUMBER(tblData[Days'# UK]),tblData[[#This Row],[UK LogiP(t)]]/$AV$9,"")</f>
        <v>183.96698142584711</v>
      </c>
      <c r="AY64" s="11">
        <f>IF(ISNUMBER(tblData[Days'# China]),betaChina/(deltaChina+betaPodeltaChina*EXP(-betaChina*tblData[Days'# China])),"")</f>
        <v>80919.139106514849</v>
      </c>
      <c r="AZ64" s="11">
        <f>IF(ISNUMBER(tblData[China]),(tblData[[#This Row],[China LogiP(t)]]-tblData[[#This Row],[China]])^2,"")</f>
        <v>7032.6494561278214</v>
      </c>
      <c r="BA64" s="11">
        <f>tblData[[#This Row],[China LogiP(t)]]/$AY$9</f>
        <v>562.20247630033487</v>
      </c>
      <c r="BB64" s="11">
        <v>20511</v>
      </c>
      <c r="BC64" s="11">
        <v>1924</v>
      </c>
      <c r="BD64" s="11">
        <f>IF(ISNUMBER(tblData[[#This Row],[NSW Number of Tests]]),tblData[[#This Row],[NSW Number of Tests]]-BB63,"")</f>
        <v>1795</v>
      </c>
      <c r="BE64" s="11">
        <f>IF(ISNUMBER(tblData[[#This Row],[NSW Under Investigation'']]),tblData[[#This Row],[NSW Under Investigation'']]-BC63,"")</f>
        <v>256</v>
      </c>
      <c r="BF64" s="11">
        <f t="shared" si="6"/>
        <v>9</v>
      </c>
      <c r="BG64" s="11">
        <f>IF(ISNUMBER(tblData[[#This Row],[NSW Test Day Number]]),betaTest/(deltaTest+betaPodeltaTest*EXP(-betaTest*tblData[[#This Row],[NSW Test Day Number]])),"")</f>
        <v>21211.743642330875</v>
      </c>
      <c r="BH64" s="11">
        <f>IF(ISNUMBER(tblData[[#This Row],[NSW Number of Tests]]),(tblData[[#This Row],[NSW Number of Tests]]-tblData[[#This Row],[NSW Test Logi]])^2,"")</f>
        <v>491041.65226714191</v>
      </c>
      <c r="BY64"/>
      <c r="BZ64"/>
      <c r="CJ64" s="26"/>
      <c r="CK64" s="26"/>
    </row>
    <row r="65" spans="2:173" x14ac:dyDescent="0.25">
      <c r="B65" s="1">
        <f>B64+1</f>
        <v>43906</v>
      </c>
      <c r="D65" s="26">
        <v>2</v>
      </c>
      <c r="E65">
        <v>171</v>
      </c>
      <c r="F65" s="11">
        <v>1</v>
      </c>
      <c r="G65">
        <v>68</v>
      </c>
      <c r="H65">
        <v>29</v>
      </c>
      <c r="I65">
        <v>7</v>
      </c>
      <c r="J65">
        <v>71</v>
      </c>
      <c r="K65">
        <v>28</v>
      </c>
      <c r="L65" s="12">
        <f>IF(ISNUMBER(tblData[[#This Row],[NSW]]),tblData[[#This Row],[New South Wales]]/$L$9,"")</f>
        <v>211.63366336633663</v>
      </c>
      <c r="M65" s="26">
        <v>27980</v>
      </c>
      <c r="N65" s="49">
        <f>IF(ISNUMBER(tblData[Italy]),tblData[Italy]/$N$9,"")</f>
        <v>4628.618693134822</v>
      </c>
      <c r="O65">
        <v>4632</v>
      </c>
      <c r="P65" s="49">
        <f>IF(ISNUMBER(tblData[US]),tblData[US]/$P$9,"")</f>
        <v>140.69288072700897</v>
      </c>
      <c r="Q65">
        <v>8236</v>
      </c>
      <c r="R65" s="19">
        <f>IF(ISNUMBER(tblData[SKorea]),tblData[SKorea]/$R$9,"")</f>
        <v>1602.3346303501946</v>
      </c>
      <c r="S65">
        <v>1551</v>
      </c>
      <c r="T65" s="12">
        <f>IF(ISNUMBER(tblData[UK]),tblData[UK]/$T$9,"")</f>
        <v>233.44370860927151</v>
      </c>
      <c r="U65">
        <v>81033</v>
      </c>
      <c r="V65" s="21">
        <f>IF(ISNUMBER(tblData[China]),tblData[China]/$V$9,"")</f>
        <v>562.99354843701269</v>
      </c>
      <c r="W65" s="26">
        <f>IF(tblData[[#This Row],[Date]]&lt;ItalyStart,"",tblData[[#This Row],[Date]]-ItalyStart)</f>
        <v>46</v>
      </c>
      <c r="X65" s="26">
        <f t="shared" si="7"/>
        <v>36</v>
      </c>
      <c r="Y65" s="26">
        <f t="shared" si="3"/>
        <v>54</v>
      </c>
      <c r="Z65" s="26">
        <f>IF(tblData[[#This Row],[Date]]&lt;StartDt2Korea,"",tblData[[#This Row],[Date]]-StartDt2Korea)</f>
        <v>26</v>
      </c>
      <c r="AA65" s="26">
        <f>IF(tblData[[#This Row],[Date]]&lt;UKStart,"",tblData[[#This Row],[Date]]-UKStart)</f>
        <v>46</v>
      </c>
      <c r="AB65">
        <f>IF(tblData[Date]&gt;=StartDt2Au,tblData[Date]-StartDt2Au,"")</f>
        <v>51</v>
      </c>
      <c r="AC65" s="26">
        <f>IF(tblData[New South Wales]&gt;0,SUM(tblData[[#This Row],[Australian Capital Territory]:[Western Australia]]),"")</f>
        <v>377</v>
      </c>
      <c r="AD65" s="12">
        <f>IF(ISNUMBER(tblData[Au]),tblData[Au]/$AA$9,"")</f>
        <v>148.635861851443</v>
      </c>
      <c r="AE65" s="19">
        <f>IF(ISNUMBER(tblData[[#This Row],[Day'# Aust]]),betaAu/(deltaAu+betaPodeltaAu*EXP(-betaAu*tblData[[#This Row],[Day'# Aust]])),"")</f>
        <v>380.19967246951171</v>
      </c>
      <c r="AF65" s="72">
        <f>IF(ISNUMBER(tblData[Day'# Aust]),tblData[Au LogiP(t)]/$AD$9,"")</f>
        <v>149.89736337703505</v>
      </c>
      <c r="AG65" s="11">
        <f>IF(AND(tblData[Date]&gt;=StartDt2Au,ISNUMBER(tblData[NSW])),(tblData[[#This Row],[Au LogiP(t)]]-tblData[[#This Row],[Au]])^2,"")</f>
        <v>10.23790391215117</v>
      </c>
      <c r="AH65">
        <f>IF(tblData[Date]&gt;StartDt2NSW,tblData[Date]-StartDt2NSW,"")</f>
        <v>51</v>
      </c>
      <c r="AI65">
        <f t="shared" si="9"/>
        <v>171</v>
      </c>
      <c r="AJ65" s="11">
        <f>IF(tblData[Date]&gt;StartDt2NSW,betaNSW/(deltaNSW+betaPodeltaNSW*EXP(-betaNSW*tblData[[#This Row],[Day '# NSW]])),"")</f>
        <v>174.21860735205112</v>
      </c>
      <c r="AK65" s="12">
        <f>IF(AND(ISNUMBER(tblData[NSW]),tblData[Date]&gt;StartDt2NSW),(tblData[[#This Row],[NSW LogiP(t)]]-tblData[[#This Row],[NSW]])^2,"")</f>
        <v>10.359433286677541</v>
      </c>
      <c r="AL65" s="12">
        <f>IF(AND(tblData[Date]&gt;StartDt2NSW,ISNUMBER(tblData[Day'# Aust])),tblData[NSW LogiP(t)]/$AG$9,"")</f>
        <v>215.61708830699396</v>
      </c>
      <c r="AM65" s="11">
        <f>IF(AND(tblData[Date]&gt;StartDt2Italy,ISNUMBER(tblData[Days'# Italy])),betaItaly/(deltaItaly+betaPodeltaItaly*EXP(-betaItaly*tblData[Days'# Italy])),"")</f>
        <v>30885.218514951546</v>
      </c>
      <c r="AN65" s="11">
        <f>IF(AND(tblData[Date]&gt;StartDt2Italy,ISNUMBER(tblData[Italy])),(tblData[[#This Row],[Italy LogiP(t)]]-tblData[[#This Row],[Italy]])^2,"")</f>
        <v>8440294.6196172684</v>
      </c>
      <c r="AO65" s="44">
        <f>IF(AND(tblData[Date]&gt;StartDt2Italy,ISNUMBER(tblData[Days'# Italy])),tblData[[#This Row],[Italy LogiP(t)]]/$AM$9,"")</f>
        <v>5109.2172894874357</v>
      </c>
      <c r="AP65" s="21">
        <f>IF(ISNUMBER(tblData[[#This Row],[Days'# US]]),betaUS/(deltaUS+betaPodeltaUS*EXP(-betaUS*tblData[Days'# US])),"")</f>
        <v>4667.2821259767079</v>
      </c>
      <c r="AQ65" s="11">
        <f>IF(ISNUMBER(tblData[US]),(tblData[[#This Row],[US LogiP(t)]]-tblData[US])^2,"")</f>
        <v>1244.8284134362866</v>
      </c>
      <c r="AR65" s="21">
        <f>IF(ISNUMBER(tblData[[#This Row],[Days'# US]]),tblData[[#This Row],[US LogiP(t)]]/$AP$9,"")</f>
        <v>141.76454392688726</v>
      </c>
      <c r="AS65" s="21">
        <f>IF(tblData[Date]&gt;=StartDt2Korea,betaSKorea/(deltaSKorea+betaPodeltaSKorea*EXP(-betaSKorea*(tblData[Date]-StartDt2Korea))),"")</f>
        <v>8238.6141574265439</v>
      </c>
      <c r="AT65" s="21">
        <f>IF(AND(tblData[Date]&gt;=StartDt2Korea,ISNUMBER(tblData[SKorea])),(tblData[[#This Row],[SKorea LogiP(t)]]-tblData[[#This Row],[SKorea]])^2,"")</f>
        <v>6.833819050754613</v>
      </c>
      <c r="AU65" s="21">
        <f>IF(tblData[Date]&gt;=StartDt2Korea,tblData[[#This Row],[SKorea LogiP(t)]]/$AS$9,"")</f>
        <v>1602.843221289211</v>
      </c>
      <c r="AV65" s="11">
        <f>IF(ISNUMBER(tblData[Days'# UK]),betaUK/(deltaUK+betaPodeltaUK*EXP(-betaUK*tblData[Days'# UK])),"")</f>
        <v>1539.271221252558</v>
      </c>
      <c r="AW65" s="21">
        <f>IF(ISNUMBER(tblData[UK]),(tblData[[#This Row],[UK LogiP(t)]]-tblData[[#This Row],[UK]])^2,"")</f>
        <v>137.56425090644697</v>
      </c>
      <c r="AX65" s="21">
        <f>IF(ISNUMBER(tblData[Days'# UK]),tblData[[#This Row],[UK LogiP(t)]]/$AV$9,"")</f>
        <v>231.67838971290757</v>
      </c>
      <c r="AY65" s="11">
        <f>IF(ISNUMBER(tblData[Days'# China]),betaChina/(deltaChina+betaPodeltaChina*EXP(-betaChina*tblData[Days'# China])),"")</f>
        <v>80925.5517650744</v>
      </c>
      <c r="AZ65" s="11">
        <f>IF(ISNUMBER(tblData[China]),(tblData[[#This Row],[China LogiP(t)]]-tblData[[#This Row],[China]])^2,"")</f>
        <v>11545.123188626829</v>
      </c>
      <c r="BA65" s="11">
        <f>tblData[[#This Row],[China LogiP(t)]]/$AY$9</f>
        <v>562.24702957366003</v>
      </c>
      <c r="BB65" s="11">
        <v>25511</v>
      </c>
      <c r="BC65" s="11">
        <v>1282</v>
      </c>
      <c r="BD65" s="11">
        <f>IF(ISNUMBER(tblData[[#This Row],[NSW Number of Tests]]),tblData[[#This Row],[NSW Number of Tests]]-BB64,"")</f>
        <v>5000</v>
      </c>
      <c r="BE65" s="11">
        <f>IF(ISNUMBER(tblData[[#This Row],[NSW Under Investigation'']]),tblData[[#This Row],[NSW Under Investigation'']]-BC64,"")</f>
        <v>-642</v>
      </c>
      <c r="BF65" s="11">
        <f t="shared" si="6"/>
        <v>10</v>
      </c>
      <c r="BG65" s="11">
        <f>IF(ISNUMBER(tblData[[#This Row],[NSW Test Day Number]]),betaTest/(deltaTest+betaPodeltaTest*EXP(-betaTest*tblData[[#This Row],[NSW Test Day Number]])),"")</f>
        <v>24770.000005985781</v>
      </c>
      <c r="BH65" s="11">
        <f>IF(ISNUMBER(tblData[[#This Row],[NSW Number of Tests]]),(tblData[[#This Row],[NSW Number of Tests]]-tblData[[#This Row],[NSW Test Logi]])^2,"")</f>
        <v>549080.99112907238</v>
      </c>
      <c r="BY65"/>
      <c r="BZ65"/>
      <c r="CJ65" s="26"/>
      <c r="CK65" s="26"/>
    </row>
    <row r="66" spans="2:173" x14ac:dyDescent="0.25">
      <c r="B66" s="1">
        <f>B65+1</f>
        <v>43907</v>
      </c>
      <c r="D66" s="26">
        <v>3</v>
      </c>
      <c r="E66">
        <v>210</v>
      </c>
      <c r="F66">
        <v>1</v>
      </c>
      <c r="G66">
        <v>78</v>
      </c>
      <c r="H66">
        <v>32</v>
      </c>
      <c r="I66">
        <v>7</v>
      </c>
      <c r="J66">
        <v>94</v>
      </c>
      <c r="K66">
        <v>31</v>
      </c>
      <c r="L66" s="12">
        <f>IF(ISNUMBER(tblData[[#This Row],[NSW]]),tblData[[#This Row],[New South Wales]]/$L$9,"")</f>
        <v>259.9009900990099</v>
      </c>
      <c r="M66" s="26">
        <v>31506</v>
      </c>
      <c r="N66" s="49">
        <f>IF(ISNUMBER(tblData[Italy]),tblData[Italy]/$N$9,"")</f>
        <v>5211.9106699751865</v>
      </c>
      <c r="O66">
        <v>6421</v>
      </c>
      <c r="P66" s="49">
        <f>IF(ISNUMBER(tblData[US]),tblData[US]/$P$9,"")</f>
        <v>195.03216475564003</v>
      </c>
      <c r="Q66">
        <v>8320</v>
      </c>
      <c r="R66" s="19">
        <f>IF(ISNUMBER(tblData[SKorea]),tblData[SKorea]/$R$9,"")</f>
        <v>1618.6770428015566</v>
      </c>
      <c r="S66">
        <v>1960</v>
      </c>
      <c r="T66" s="12">
        <f>IF(ISNUMBER(tblData[UK]),tblData[UK]/$T$9,"")</f>
        <v>295.0030102347983</v>
      </c>
      <c r="U66">
        <v>81058</v>
      </c>
      <c r="V66" s="21">
        <f>IF(ISNUMBER(tblData[China]),tblData[China]/$V$9,"")</f>
        <v>563.16724111420501</v>
      </c>
      <c r="W66" s="26">
        <f>IF(tblData[[#This Row],[Date]]&lt;ItalyStart,"",tblData[[#This Row],[Date]]-ItalyStart)</f>
        <v>47</v>
      </c>
      <c r="X66" s="26">
        <f t="shared" si="7"/>
        <v>37</v>
      </c>
      <c r="Y66" s="26">
        <f t="shared" si="3"/>
        <v>55</v>
      </c>
      <c r="Z66" s="26">
        <f>IF(tblData[[#This Row],[Date]]&lt;StartDt2Korea,"",tblData[[#This Row],[Date]]-StartDt2Korea)</f>
        <v>27</v>
      </c>
      <c r="AA66" s="26">
        <f>IF(tblData[[#This Row],[Date]]&lt;UKStart,"",tblData[[#This Row],[Date]]-UKStart)</f>
        <v>47</v>
      </c>
      <c r="AB66">
        <f>IF(tblData[Date]&gt;=StartDt2Au,tblData[Date]-StartDt2Au,"")</f>
        <v>52</v>
      </c>
      <c r="AC66" s="26">
        <f>IF(tblData[New South Wales]&gt;0,SUM(tblData[[#This Row],[Australian Capital Territory]:[Western Australia]]),"")</f>
        <v>456</v>
      </c>
      <c r="AD66" s="12">
        <f>IF(ISNUMBER(tblData[Au]),tblData[Au]/$AA$9,"")</f>
        <v>179.78236871155968</v>
      </c>
      <c r="AE66" s="19">
        <f>IF(ISNUMBER(tblData[[#This Row],[Day'# Aust]]),betaAu/(deltaAu+betaPodeltaAu*EXP(-betaAu*tblData[[#This Row],[Day'# Aust]])),"")</f>
        <v>467.40001754266149</v>
      </c>
      <c r="AF66" s="72">
        <f>IF(ISNUMBER(tblData[Day'# Aust]),tblData[Au LogiP(t)]/$AD$9,"")</f>
        <v>184.27693484571105</v>
      </c>
      <c r="AG66" s="11">
        <f>IF(AND(tblData[Date]&gt;=StartDt2Au,ISNUMBER(tblData[NSW])),(tblData[[#This Row],[Au LogiP(t)]]-tblData[[#This Row],[Au]])^2,"")</f>
        <v>129.96039997298965</v>
      </c>
      <c r="AH66">
        <f>IF(tblData[Date]&gt;StartDt2NSW,tblData[Date]-StartDt2NSW,"")</f>
        <v>52</v>
      </c>
      <c r="AI66">
        <f t="shared" si="9"/>
        <v>210</v>
      </c>
      <c r="AJ66" s="11">
        <f>IF(tblData[Date]&gt;StartDt2NSW,betaNSW/(deltaNSW+betaPodeltaNSW*EXP(-betaNSW*tblData[[#This Row],[Day '# NSW]])),"")</f>
        <v>211.63009394148847</v>
      </c>
      <c r="AK66" s="12">
        <f>IF(AND(ISNUMBER(tblData[NSW]),tblData[Date]&gt;StartDt2NSW),(tblData[[#This Row],[NSW LogiP(t)]]-tblData[[#This Row],[NSW]])^2,"")</f>
        <v>2.6572062580774092</v>
      </c>
      <c r="AL66" s="12">
        <f>IF(AND(tblData[Date]&gt;StartDt2NSW,ISNUMBER(tblData[Day'# Aust])),tblData[NSW LogiP(t)]/$AG$9,"")</f>
        <v>261.91843309590155</v>
      </c>
      <c r="AM66" s="11">
        <f>IF(AND(tblData[Date]&gt;StartDt2Italy,ISNUMBER(tblData[Days'# Italy])),betaItaly/(deltaItaly+betaPodeltaItaly*EXP(-betaItaly*tblData[Days'# Italy])),"")</f>
        <v>34369.944875056521</v>
      </c>
      <c r="AN66" s="11">
        <f>IF(AND(tblData[Date]&gt;StartDt2Italy,ISNUMBER(tblData[Italy])),(tblData[[#This Row],[Italy LogiP(t)]]-tblData[[#This Row],[Italy]])^2,"")</f>
        <v>8202180.2473625103</v>
      </c>
      <c r="AO66" s="44">
        <f>IF(AND(tblData[Date]&gt;StartDt2Italy,ISNUMBER(tblData[Days'# Italy])),tblData[[#This Row],[Italy LogiP(t)]]/$AM$9,"")</f>
        <v>5685.6815343352391</v>
      </c>
      <c r="AP66" s="21">
        <f>IF(ISNUMBER(tblData[[#This Row],[Days'# US]]),betaUS/(deltaUS+betaPodeltaUS*EXP(-betaUS*tblData[Days'# US])),"")</f>
        <v>6607.9047840681724</v>
      </c>
      <c r="AQ66" s="11">
        <f>IF(ISNUMBER(tblData[US]),(tblData[[#This Row],[US LogiP(t)]]-tblData[US])^2,"")</f>
        <v>34933.39830757014</v>
      </c>
      <c r="AR66" s="21">
        <f>IF(ISNUMBER(tblData[[#This Row],[Days'# US]]),tblData[[#This Row],[US LogiP(t)]]/$AP$9,"")</f>
        <v>200.70923135585824</v>
      </c>
      <c r="AS66" s="21">
        <f>IF(tblData[Date]&gt;=StartDt2Korea,betaSKorea/(deltaSKorea+betaPodeltaSKorea*EXP(-betaSKorea*(tblData[Date]-StartDt2Korea))),"")</f>
        <v>8260.9138185180636</v>
      </c>
      <c r="AT66" s="21">
        <f>IF(AND(tblData[Date]&gt;=StartDt2Korea,ISNUMBER(tblData[SKorea])),(tblData[[#This Row],[SKorea LogiP(t)]]-tblData[[#This Row],[SKorea]])^2,"")</f>
        <v>3491.1768421163197</v>
      </c>
      <c r="AU66" s="21">
        <f>IF(tblData[Date]&gt;=StartDt2Korea,tblData[[#This Row],[SKorea LogiP(t)]]/$AS$9,"")</f>
        <v>1607.1816767544872</v>
      </c>
      <c r="AV66" s="11">
        <f>IF(ISNUMBER(tblData[Days'# UK]),betaUK/(deltaUK+betaPodeltaUK*EXP(-betaUK*tblData[Days'# UK])),"")</f>
        <v>1938.4769373608649</v>
      </c>
      <c r="AW66" s="21">
        <f>IF(ISNUMBER(tblData[UK]),(tblData[[#This Row],[UK LogiP(t)]]-tblData[[#This Row],[UK]])^2,"")</f>
        <v>463.2422253681334</v>
      </c>
      <c r="AX66" s="21">
        <f>IF(ISNUMBER(tblData[Days'# UK]),tblData[[#This Row],[UK LogiP(t)]]/$AV$9,"")</f>
        <v>291.76353662866723</v>
      </c>
      <c r="AY66" s="11">
        <f>IF(ISNUMBER(tblData[Days'# China]),betaChina/(deltaChina+betaPodeltaChina*EXP(-betaChina*tblData[Days'# China])),"")</f>
        <v>80930.687760353336</v>
      </c>
      <c r="AZ66" s="11">
        <f>IF(ISNUMBER(tblData[China]),(tblData[[#This Row],[China LogiP(t)]]-tblData[[#This Row],[China]])^2,"")</f>
        <v>16208.406363849666</v>
      </c>
      <c r="BA66" s="11">
        <f>tblData[[#This Row],[China LogiP(t)]]/$AY$9</f>
        <v>562.28271296446189</v>
      </c>
      <c r="BB66" s="11">
        <v>28552</v>
      </c>
      <c r="BC66" s="11">
        <v>1482</v>
      </c>
      <c r="BD66" s="11">
        <f>IF(ISNUMBER(tblData[[#This Row],[NSW Number of Tests]]),tblData[[#This Row],[NSW Number of Tests]]-BB65,"")</f>
        <v>3041</v>
      </c>
      <c r="BE66" s="11">
        <f>IF(ISNUMBER(tblData[[#This Row],[NSW Under Investigation'']]),tblData[[#This Row],[NSW Under Investigation'']]-BC65,"")</f>
        <v>200</v>
      </c>
      <c r="BF66" s="11">
        <f t="shared" si="6"/>
        <v>11</v>
      </c>
      <c r="BG66" s="11">
        <f>IF(ISNUMBER(tblData[[#This Row],[NSW Test Day Number]]),betaTest/(deltaTest+betaPodeltaTest*EXP(-betaTest*tblData[[#This Row],[NSW Test Day Number]])),"")</f>
        <v>28861.410853591464</v>
      </c>
      <c r="BH66" s="11">
        <f>IF(ISNUMBER(tblData[[#This Row],[NSW Number of Tests]]),(tblData[[#This Row],[NSW Number of Tests]]-tblData[[#This Row],[NSW Test Logi]])^2,"")</f>
        <v>95735.076320198263</v>
      </c>
      <c r="BY66"/>
      <c r="BZ66"/>
      <c r="CJ66" s="26"/>
      <c r="CK66" s="26"/>
    </row>
    <row r="67" spans="2:173" x14ac:dyDescent="0.25">
      <c r="B67" s="1">
        <f t="shared" ref="B67:B80" si="10">B66+1</f>
        <v>43908</v>
      </c>
      <c r="D67" s="26">
        <v>3</v>
      </c>
      <c r="E67">
        <v>267</v>
      </c>
      <c r="F67">
        <v>1</v>
      </c>
      <c r="G67">
        <v>94</v>
      </c>
      <c r="H67">
        <v>37</v>
      </c>
      <c r="I67">
        <v>10</v>
      </c>
      <c r="J67">
        <v>121</v>
      </c>
      <c r="K67">
        <v>35</v>
      </c>
      <c r="L67" s="12">
        <f>IF(ISNUMBER(tblData[[#This Row],[NSW]]),tblData[[#This Row],[New South Wales]]/$L$9,"")</f>
        <v>330.44554455445541</v>
      </c>
      <c r="M67" s="26">
        <v>35713</v>
      </c>
      <c r="N67" s="49">
        <f>IF(ISNUMBER(tblData[Italy]),tblData[Italy]/$N$9,"")</f>
        <v>5907.8577336641856</v>
      </c>
      <c r="O67">
        <v>7783</v>
      </c>
      <c r="P67" s="49">
        <f>IF(ISNUMBER(tblData[US]),tblData[US]/$P$9,"")</f>
        <v>236.40170351863358</v>
      </c>
      <c r="Q67">
        <v>8413</v>
      </c>
      <c r="R67" s="19">
        <f>IF(ISNUMBER(tblData[SKorea]),tblData[SKorea]/$R$9,"")</f>
        <v>1636.7704280155642</v>
      </c>
      <c r="S67">
        <v>2642</v>
      </c>
      <c r="T67" s="12">
        <f>IF(ISNUMBER(tblData[UK]),tblData[UK]/$T$9,"")</f>
        <v>397.65201685731489</v>
      </c>
      <c r="U67">
        <v>81102</v>
      </c>
      <c r="V67" s="21">
        <f>IF(ISNUMBER(tblData[China]),tblData[China]/$V$9,"")</f>
        <v>563.47294022606354</v>
      </c>
      <c r="W67" s="26">
        <f>IF(tblData[[#This Row],[Date]]&lt;ItalyStart,"",tblData[[#This Row],[Date]]-ItalyStart)</f>
        <v>48</v>
      </c>
      <c r="X67" s="26">
        <f t="shared" si="7"/>
        <v>38</v>
      </c>
      <c r="Y67" s="26">
        <f t="shared" si="3"/>
        <v>56</v>
      </c>
      <c r="Z67" s="26">
        <f>IF(tblData[[#This Row],[Date]]&lt;StartDt2Korea,"",tblData[[#This Row],[Date]]-StartDt2Korea)</f>
        <v>28</v>
      </c>
      <c r="AA67" s="26">
        <f>IF(tblData[[#This Row],[Date]]&lt;UKStart,"",tblData[[#This Row],[Date]]-UKStart)</f>
        <v>48</v>
      </c>
      <c r="AB67">
        <f>IF(tblData[Date]&gt;=StartDt2Au,tblData[Date]-StartDt2Au,"")</f>
        <v>53</v>
      </c>
      <c r="AC67" s="26">
        <f>IF(tblData[New South Wales]&gt;0,SUM(tblData[[#This Row],[Australian Capital Territory]:[Western Australia]]),"")</f>
        <v>568</v>
      </c>
      <c r="AD67" s="12">
        <f>IF(ISNUMBER(tblData[Au]),tblData[Au]/$AA$9,"")</f>
        <v>223.93944172843399</v>
      </c>
      <c r="AE67" s="19">
        <f>IF(ISNUMBER(tblData[[#This Row],[Day'# Aust]]),betaAu/(deltaAu+betaPodeltaAu*EXP(-betaAu*tblData[[#This Row],[Day'# Aust]])),"")</f>
        <v>574.60006164761853</v>
      </c>
      <c r="AF67" s="72">
        <f>IF(ISNUMBER(tblData[Day'# Aust]),tblData[Au LogiP(t)]/$AD$9,"")</f>
        <v>226.54157926494975</v>
      </c>
      <c r="AG67" s="11">
        <f>IF(AND(tblData[Date]&gt;=StartDt2Au,ISNUMBER(tblData[NSW])),(tblData[[#This Row],[Au LogiP(t)]]-tblData[[#This Row],[Au]])^2,"")</f>
        <v>43.560813752365043</v>
      </c>
      <c r="AH67">
        <f>IF(tblData[Date]&gt;StartDt2NSW,tblData[Date]-StartDt2NSW,"")</f>
        <v>53</v>
      </c>
      <c r="AI67">
        <f t="shared" si="9"/>
        <v>267</v>
      </c>
      <c r="AJ67" s="11">
        <f>IF(tblData[Date]&gt;StartDt2NSW,betaNSW/(deltaNSW+betaPodeltaNSW*EXP(-betaNSW*tblData[[#This Row],[Day '# NSW]])),"")</f>
        <v>256.26806765616789</v>
      </c>
      <c r="AK67" s="12">
        <f>IF(AND(ISNUMBER(tblData[NSW]),tblData[Date]&gt;StartDt2NSW),(tblData[[#This Row],[NSW LogiP(t)]]-tblData[[#This Row],[NSW]])^2,"")</f>
        <v>115.17437183258984</v>
      </c>
      <c r="AL67" s="12">
        <f>IF(AND(tblData[Date]&gt;StartDt2NSW,ISNUMBER(tblData[Day'# Aust])),tblData[NSW LogiP(t)]/$AG$9,"")</f>
        <v>317.16345006951468</v>
      </c>
      <c r="AM67" s="11">
        <f>IF(AND(tblData[Date]&gt;StartDt2Italy,ISNUMBER(tblData[Days'# Italy])),betaItaly/(deltaItaly+betaPodeltaItaly*EXP(-betaItaly*tblData[Days'# Italy])),"")</f>
        <v>37644.160012580185</v>
      </c>
      <c r="AN67" s="11">
        <f>IF(AND(tblData[Date]&gt;StartDt2Italy,ISNUMBER(tblData[Italy])),(tblData[[#This Row],[Italy LogiP(t)]]-tblData[[#This Row],[Italy]])^2,"")</f>
        <v>3729378.9941887008</v>
      </c>
      <c r="AO67" s="44">
        <f>IF(AND(tblData[Date]&gt;StartDt2Italy,ISNUMBER(tblData[Days'# Italy])),tblData[[#This Row],[Italy LogiP(t)]]/$AM$9,"")</f>
        <v>6227.3217555963911</v>
      </c>
      <c r="AP67" s="21">
        <f>IF(ISNUMBER(tblData[[#This Row],[Days'# US]]),betaUS/(deltaUS+betaPodeltaUS*EXP(-betaUS*tblData[Days'# US])),"")</f>
        <v>9355.4028069356391</v>
      </c>
      <c r="AQ67" s="11">
        <f>IF(ISNUMBER(tblData[US]),(tblData[[#This Row],[US LogiP(t)]]-tblData[US])^2,"")</f>
        <v>2472450.5872590765</v>
      </c>
      <c r="AR67" s="21">
        <f>IF(ISNUMBER(tblData[[#This Row],[Days'# US]]),tblData[[#This Row],[US LogiP(t)]]/$AP$9,"")</f>
        <v>284.16204042947339</v>
      </c>
      <c r="AS67" s="21">
        <f>IF(tblData[Date]&gt;=StartDt2Korea,betaSKorea/(deltaSKorea+betaPodeltaSKorea*EXP(-betaSKorea*(tblData[Date]-StartDt2Korea))),"")</f>
        <v>8277.0904833395307</v>
      </c>
      <c r="AT67" s="21">
        <f>IF(AND(tblData[Date]&gt;=StartDt2Korea,ISNUMBER(tblData[SKorea])),(tblData[[#This Row],[SKorea LogiP(t)]]-tblData[[#This Row],[SKorea]])^2,"")</f>
        <v>18471.396718882384</v>
      </c>
      <c r="AU67" s="21">
        <f>IF(tblData[Date]&gt;=StartDt2Korea,tblData[[#This Row],[SKorea LogiP(t)]]/$AS$9,"")</f>
        <v>1610.3288878092474</v>
      </c>
      <c r="AV67" s="11">
        <f>IF(ISNUMBER(tblData[Days'# UK]),betaUK/(deltaUK+betaPodeltaUK*EXP(-betaUK*tblData[Days'# UK])),"")</f>
        <v>2441.2144511340948</v>
      </c>
      <c r="AW67" s="21">
        <f>IF(ISNUMBER(tblData[UK]),(tblData[[#This Row],[UK LogiP(t)]]-tblData[[#This Row],[UK]])^2,"")</f>
        <v>40314.836633382802</v>
      </c>
      <c r="AX67" s="21">
        <f>IF(ISNUMBER(tblData[Days'# UK]),tblData[[#This Row],[UK LogiP(t)]]/$AV$9,"")</f>
        <v>367.43143454757598</v>
      </c>
      <c r="AY67" s="11">
        <f>IF(ISNUMBER(tblData[Days'# China]),betaChina/(deltaChina+betaPodeltaChina*EXP(-betaChina*tblData[Days'# China])),"")</f>
        <v>80934.80113978828</v>
      </c>
      <c r="AZ67" s="11">
        <f>IF(ISNUMBER(tblData[China]),(tblData[[#This Row],[China LogiP(t)]]-tblData[[#This Row],[China]])^2,"")</f>
        <v>27955.458856098245</v>
      </c>
      <c r="BA67" s="11">
        <f>tblData[[#This Row],[China LogiP(t)]]/$AY$9</f>
        <v>562.31129151991638</v>
      </c>
      <c r="BB67" s="11">
        <v>33387</v>
      </c>
      <c r="BC67" s="11">
        <v>2146</v>
      </c>
      <c r="BD67" s="11">
        <f>IF(ISNUMBER(tblData[[#This Row],[NSW Number of Tests]]),tblData[[#This Row],[NSW Number of Tests]]-BB66,"")</f>
        <v>4835</v>
      </c>
      <c r="BE67" s="11">
        <f>IF(ISNUMBER(tblData[[#This Row],[NSW Under Investigation'']]),tblData[[#This Row],[NSW Under Investigation'']]-BC66,"")</f>
        <v>664</v>
      </c>
      <c r="BF67" s="11">
        <f t="shared" si="6"/>
        <v>12</v>
      </c>
      <c r="BG67" s="11">
        <f>IF(ISNUMBER(tblData[[#This Row],[NSW Test Day Number]]),betaTest/(deltaTest+betaPodeltaTest*EXP(-betaTest*tblData[[#This Row],[NSW Test Day Number]])),"")</f>
        <v>33543.630978759677</v>
      </c>
      <c r="BH67" s="11">
        <f>IF(ISNUMBER(tblData[[#This Row],[NSW Number of Tests]]),(tblData[[#This Row],[NSW Number of Tests]]-tblData[[#This Row],[NSW Test Logi]])^2,"")</f>
        <v>24533.263507214233</v>
      </c>
      <c r="BY67"/>
      <c r="BZ67"/>
      <c r="CJ67" s="26"/>
      <c r="CK67" s="26"/>
    </row>
    <row r="68" spans="2:173" x14ac:dyDescent="0.25">
      <c r="B68" s="1">
        <f t="shared" si="10"/>
        <v>43909</v>
      </c>
      <c r="D68" s="26">
        <v>4</v>
      </c>
      <c r="E68">
        <v>307</v>
      </c>
      <c r="F68">
        <v>1</v>
      </c>
      <c r="G68">
        <v>144</v>
      </c>
      <c r="H68">
        <v>42</v>
      </c>
      <c r="I68">
        <v>10</v>
      </c>
      <c r="J68">
        <v>150</v>
      </c>
      <c r="K68">
        <v>52</v>
      </c>
      <c r="L68" s="12">
        <f>IF(ISNUMBER(tblData[[#This Row],[NSW]]),tblData[[#This Row],[New South Wales]]/$L$9,"")</f>
        <v>379.95049504950492</v>
      </c>
      <c r="M68" s="26">
        <v>41035</v>
      </c>
      <c r="N68" s="49">
        <f>IF(ISNUMBER(tblData[Italy]),tblData[Italy]/$N$9,"")</f>
        <v>6788.2547559966915</v>
      </c>
      <c r="O68">
        <v>13677</v>
      </c>
      <c r="P68" s="49">
        <f>IF(ISNUMBER(tblData[US]),tblData[US]/$P$9,"")</f>
        <v>415.42671193940021</v>
      </c>
      <c r="Q68">
        <v>8565</v>
      </c>
      <c r="R68" s="19">
        <f>IF(ISNUMBER(tblData[SKorea]),tblData[SKorea]/$R$9,"")</f>
        <v>1666.342412451362</v>
      </c>
      <c r="S68">
        <v>2716</v>
      </c>
      <c r="T68" s="12">
        <f>IF(ISNUMBER(tblData[UK]),tblData[UK]/$T$9,"")</f>
        <v>408.78988561107764</v>
      </c>
      <c r="U68">
        <v>81156</v>
      </c>
      <c r="V68" s="21">
        <f>IF(ISNUMBER(tblData[China]),tblData[China]/$V$9,"")</f>
        <v>563.84811640879889</v>
      </c>
      <c r="W68" s="26">
        <f>IF(tblData[[#This Row],[Date]]&lt;ItalyStart,"",tblData[[#This Row],[Date]]-ItalyStart)</f>
        <v>49</v>
      </c>
      <c r="X68" s="26">
        <f t="shared" si="7"/>
        <v>39</v>
      </c>
      <c r="Y68" s="26">
        <f t="shared" si="3"/>
        <v>57</v>
      </c>
      <c r="Z68" s="26">
        <f>IF(tblData[[#This Row],[Date]]&lt;StartDt2Korea,"",tblData[[#This Row],[Date]]-StartDt2Korea)</f>
        <v>29</v>
      </c>
      <c r="AA68" s="26">
        <f>IF(tblData[[#This Row],[Date]]&lt;UKStart,"",tblData[[#This Row],[Date]]-UKStart)</f>
        <v>49</v>
      </c>
      <c r="AB68">
        <f>IF(tblData[Date]&gt;=StartDt2Au,tblData[Date]-StartDt2Au,"")</f>
        <v>54</v>
      </c>
      <c r="AC68" s="26">
        <f>IF(tblData[New South Wales]&gt;0,SUM(tblData[[#This Row],[Australian Capital Territory]:[Western Australia]]),"")</f>
        <v>710</v>
      </c>
      <c r="AD68" s="12">
        <f>IF(ISNUMBER(tblData[Au]),tblData[Au]/$AA$9,"")</f>
        <v>279.92430216054248</v>
      </c>
      <c r="AE68" s="19">
        <f>IF(ISNUMBER(tblData[[#This Row],[Day'# Aust]]),betaAu/(deltaAu+betaPodeltaAu*EXP(-betaAu*tblData[[#This Row],[Day'# Aust]])),"")</f>
        <v>706.3867760816637</v>
      </c>
      <c r="AF68" s="72">
        <f>IF(ISNUMBER(tblData[Day'# Aust]),tblData[Au LogiP(t)]/$AD$9,"")</f>
        <v>278.49975401421847</v>
      </c>
      <c r="AG68" s="11">
        <f>IF(AND(tblData[Date]&gt;=StartDt2Au,ISNUMBER(tblData[NSW])),(tblData[[#This Row],[Au LogiP(t)]]-tblData[[#This Row],[Au]])^2,"")</f>
        <v>13.055387084037545</v>
      </c>
      <c r="AH68">
        <f>IF(tblData[Date]&gt;StartDt2NSW,tblData[Date]-StartDt2NSW,"")</f>
        <v>54</v>
      </c>
      <c r="AI68">
        <f t="shared" si="9"/>
        <v>307</v>
      </c>
      <c r="AJ68" s="11">
        <f>IF(tblData[Date]&gt;StartDt2NSW,betaNSW/(deltaNSW+betaPodeltaNSW*EXP(-betaNSW*tblData[[#This Row],[Day '# NSW]])),"")</f>
        <v>309.16300650764964</v>
      </c>
      <c r="AK68" s="12">
        <f>IF(AND(ISNUMBER(tblData[NSW]),tblData[Date]&gt;StartDt2NSW),(tblData[[#This Row],[NSW LogiP(t)]]-tblData[[#This Row],[NSW]])^2,"")</f>
        <v>4.678597152134695</v>
      </c>
      <c r="AL68" s="12">
        <f>IF(AND(tblData[Date]&gt;StartDt2NSW,ISNUMBER(tblData[Day'# Aust])),tblData[NSW LogiP(t)]/$AG$9,"")</f>
        <v>382.62748330154653</v>
      </c>
      <c r="AM68" s="11">
        <f>IF(AND(tblData[Date]&gt;StartDt2Italy,ISNUMBER(tblData[Days'# Italy])),betaItaly/(deltaItaly+betaPodeltaItaly*EXP(-betaItaly*tblData[Days'# Italy])),"")</f>
        <v>40627.776735136613</v>
      </c>
      <c r="AN68" s="11">
        <f>IF(AND(tblData[Date]&gt;StartDt2Italy,ISNUMBER(tblData[Italy])),(tblData[[#This Row],[Italy LogiP(t)]]-tblData[[#This Row],[Italy]])^2,"")</f>
        <v>165830.78744599636</v>
      </c>
      <c r="AO68" s="44">
        <f>IF(AND(tblData[Date]&gt;StartDt2Italy,ISNUMBER(tblData[Days'# Italy])),tblData[[#This Row],[Italy LogiP(t)]]/$AM$9,"")</f>
        <v>6720.8894516355031</v>
      </c>
      <c r="AP68" s="21">
        <f>IF(ISNUMBER(tblData[[#This Row],[Days'# US]]),betaUS/(deltaUS+betaPodeltaUS*EXP(-betaUS*tblData[Days'# US])),"")</f>
        <v>13245.238387932033</v>
      </c>
      <c r="AQ68" s="11">
        <f>IF(ISNUMBER(tblData[US]),(tblData[[#This Row],[US LogiP(t)]]-tblData[US])^2,"")</f>
        <v>186418.08965552945</v>
      </c>
      <c r="AR68" s="21">
        <f>IF(ISNUMBER(tblData[[#This Row],[Days'# US]]),tblData[[#This Row],[US LogiP(t)]]/$AP$9,"")</f>
        <v>402.31233694173619</v>
      </c>
      <c r="AS68" s="21">
        <f>IF(tblData[Date]&gt;=StartDt2Korea,betaSKorea/(deltaSKorea+betaPodeltaSKorea*EXP(-betaSKorea*(tblData[Date]-StartDt2Korea))),"")</f>
        <v>8288.8102855013021</v>
      </c>
      <c r="AT68" s="21">
        <f>IF(AND(tblData[Date]&gt;=StartDt2Korea,ISNUMBER(tblData[SKorea])),(tblData[[#This Row],[SKorea LogiP(t)]]-tblData[[#This Row],[SKorea]])^2,"")</f>
        <v>76280.758394872246</v>
      </c>
      <c r="AU68" s="21">
        <f>IF(tblData[Date]&gt;=StartDt2Korea,tblData[[#This Row],[SKorea LogiP(t)]]/$AS$9,"")</f>
        <v>1612.6090049613429</v>
      </c>
      <c r="AV68" s="11">
        <f>IF(ISNUMBER(tblData[Days'# UK]),betaUK/(deltaUK+betaPodeltaUK*EXP(-betaUK*tblData[Days'# UK])),"")</f>
        <v>3074.3335202498411</v>
      </c>
      <c r="AW68" s="21">
        <f>IF(ISNUMBER(tblData[UK]),(tblData[[#This Row],[UK LogiP(t)]]-tblData[[#This Row],[UK]])^2,"")</f>
        <v>128402.91173464325</v>
      </c>
      <c r="AX68" s="21">
        <f>IF(ISNUMBER(tblData[Days'# UK]),tblData[[#This Row],[UK LogiP(t)]]/$AV$9,"")</f>
        <v>462.72328721400379</v>
      </c>
      <c r="AY68" s="11">
        <f>IF(ISNUMBER(tblData[Days'# China]),betaChina/(deltaChina+betaPodeltaChina*EXP(-betaChina*tblData[Days'# China])),"")</f>
        <v>80938.095439011973</v>
      </c>
      <c r="AZ68" s="11">
        <f>IF(ISNUMBER(tblData[China]),(tblData[[#This Row],[China LogiP(t)]]-tblData[[#This Row],[China]])^2,"")</f>
        <v>47482.397699384688</v>
      </c>
      <c r="BA68" s="11">
        <f>tblData[[#This Row],[China LogiP(t)]]/$AY$9</f>
        <v>562.33417934598185</v>
      </c>
      <c r="BB68" s="11">
        <v>38782</v>
      </c>
      <c r="BC68" s="11"/>
      <c r="BD68" s="11">
        <f>IF(ISNUMBER(tblData[[#This Row],[NSW Number of Tests]]),tblData[[#This Row],[NSW Number of Tests]]-BB67,"")</f>
        <v>5395</v>
      </c>
      <c r="BE68" s="11" t="str">
        <f>IF(ISNUMBER(tblData[[#This Row],[NSW Under Investigation'']]),tblData[[#This Row],[NSW Under Investigation'']]-BC67,"")</f>
        <v/>
      </c>
      <c r="BF68" s="11">
        <f t="shared" si="6"/>
        <v>13</v>
      </c>
      <c r="BG68" s="11">
        <f>IF(ISNUMBER(tblData[[#This Row],[NSW Test Day Number]]),betaTest/(deltaTest+betaPodeltaTest*EXP(-betaTest*tblData[[#This Row],[NSW Test Day Number]])),"")</f>
        <v>38873.017142243072</v>
      </c>
      <c r="BH68" s="11">
        <f>IF(ISNUMBER(tblData[[#This Row],[NSW Number of Tests]]),(tblData[[#This Row],[NSW Number of Tests]]-tblData[[#This Row],[NSW Test Logi]])^2,"")</f>
        <v>8284.1201820956303</v>
      </c>
      <c r="BY68"/>
      <c r="BZ68"/>
      <c r="CJ68" s="26"/>
      <c r="CK68" s="26"/>
    </row>
    <row r="69" spans="2:173" x14ac:dyDescent="0.25">
      <c r="B69" s="1">
        <f t="shared" si="10"/>
        <v>43910</v>
      </c>
      <c r="D69" s="26">
        <v>6</v>
      </c>
      <c r="E69">
        <v>382</v>
      </c>
      <c r="F69">
        <v>3</v>
      </c>
      <c r="G69">
        <v>184</v>
      </c>
      <c r="H69">
        <v>50</v>
      </c>
      <c r="I69">
        <v>10</v>
      </c>
      <c r="J69">
        <v>178</v>
      </c>
      <c r="K69">
        <v>64</v>
      </c>
      <c r="L69" s="12">
        <f>IF(ISNUMBER(tblData[[#This Row],[NSW]]),tblData[[#This Row],[New South Wales]]/$L$9,"")</f>
        <v>472.77227722772273</v>
      </c>
      <c r="M69" s="26">
        <v>47021</v>
      </c>
      <c r="N69" s="49">
        <f>IF(ISNUMBER(tblData[Italy]),tblData[Italy]/$N$9,"")</f>
        <v>7778.4946236559144</v>
      </c>
      <c r="O69">
        <v>19100</v>
      </c>
      <c r="P69" s="49">
        <f>IF(ISNUMBER(tblData[US]),tblData[US]/$P$9,"")</f>
        <v>580.14551422406544</v>
      </c>
      <c r="Q69">
        <v>8652</v>
      </c>
      <c r="R69" s="19">
        <f>IF(ISNUMBER(tblData[SKorea]),tblData[SKorea]/$R$9,"")</f>
        <v>1683.2684824902724</v>
      </c>
      <c r="S69">
        <v>4014</v>
      </c>
      <c r="T69" s="12">
        <f>IF(ISNUMBER(tblData[UK]),tblData[UK]/$T$9,"")</f>
        <v>604.15412402167362</v>
      </c>
      <c r="U69">
        <v>81250</v>
      </c>
      <c r="V69" s="21">
        <f>IF(ISNUMBER(tblData[China]),tblData[China]/$V$9,"")</f>
        <v>564.50120087504206</v>
      </c>
      <c r="W69" s="26">
        <f>IF(tblData[[#This Row],[Date]]&lt;ItalyStart,"",tblData[[#This Row],[Date]]-ItalyStart)</f>
        <v>50</v>
      </c>
      <c r="X69" s="26">
        <f t="shared" si="7"/>
        <v>40</v>
      </c>
      <c r="Y69" s="26">
        <f t="shared" si="3"/>
        <v>58</v>
      </c>
      <c r="Z69" s="26">
        <f>IF(tblData[[#This Row],[Date]]&lt;StartDt2Korea,"",tblData[[#This Row],[Date]]-StartDt2Korea)</f>
        <v>30</v>
      </c>
      <c r="AA69" s="26">
        <f>IF(tblData[[#This Row],[Date]]&lt;UKStart,"",tblData[[#This Row],[Date]]-UKStart)</f>
        <v>50</v>
      </c>
      <c r="AB69">
        <f>IF(tblData[Date]&gt;=StartDt2Au,tblData[Date]-StartDt2Au,"")</f>
        <v>55</v>
      </c>
      <c r="AC69" s="26">
        <f>IF(tblData[New South Wales]&gt;0,SUM(tblData[[#This Row],[Australian Capital Territory]:[Western Australia]]),"")</f>
        <v>877</v>
      </c>
      <c r="AD69" s="12">
        <f>IF(ISNUMBER(tblData[Au]),tblData[Au]/$AA$9,"")</f>
        <v>345.76565210534613</v>
      </c>
      <c r="AE69" s="19">
        <f>IF(ISNUMBER(tblData[[#This Row],[Day'# Aust]]),betaAu/(deltaAu+betaPodeltaAu*EXP(-betaAu*tblData[[#This Row],[Day'# Aust]])),"")</f>
        <v>868.39914870758753</v>
      </c>
      <c r="AF69" s="72">
        <f>IF(ISNUMBER(tblData[Day'# Aust]),tblData[Au LogiP(t)]/$AD$9,"")</f>
        <v>342.3746840827896</v>
      </c>
      <c r="AG69" s="11">
        <f>IF(AND(tblData[Date]&gt;=StartDt2Au,ISNUMBER(tblData[NSW])),(tblData[[#This Row],[Au LogiP(t)]]-tblData[[#This Row],[Au]])^2,"")</f>
        <v>73.974642954193286</v>
      </c>
      <c r="AH69">
        <f>IF(tblData[Date]&gt;StartDt2NSW,tblData[Date]-StartDt2NSW,"")</f>
        <v>55</v>
      </c>
      <c r="AI69">
        <f t="shared" si="9"/>
        <v>382</v>
      </c>
      <c r="AJ69" s="11">
        <f>IF(tblData[Date]&gt;StartDt2NSW,betaNSW/(deltaNSW+betaPodeltaNSW*EXP(-betaNSW*tblData[[#This Row],[Day '# NSW]])),"")</f>
        <v>371.33332660993506</v>
      </c>
      <c r="AK69" s="12">
        <f>IF(AND(ISNUMBER(tblData[NSW]),tblData[Date]&gt;StartDt2NSW),(tblData[[#This Row],[NSW LogiP(t)]]-tblData[[#This Row],[NSW]])^2,"")</f>
        <v>113.77792121031955</v>
      </c>
      <c r="AL69" s="12">
        <f>IF(AND(tblData[Date]&gt;StartDt2NSW,ISNUMBER(tblData[Day'# Aust])),tblData[NSW LogiP(t)]/$AG$9,"")</f>
        <v>459.57094877467205</v>
      </c>
      <c r="AM69" s="11">
        <f>IF(AND(tblData[Date]&gt;StartDt2Italy,ISNUMBER(tblData[Days'# Italy])),betaItaly/(deltaItaly+betaPodeltaItaly*EXP(-betaItaly*tblData[Days'# Italy])),"")</f>
        <v>43271.648983889121</v>
      </c>
      <c r="AN69" s="11">
        <f>IF(AND(tblData[Date]&gt;StartDt2Italy,ISNUMBER(tblData[Italy])),(tblData[[#This Row],[Italy LogiP(t)]]-tblData[[#This Row],[Italy]])^2,"")</f>
        <v>14057633.04201168</v>
      </c>
      <c r="AO69" s="44">
        <f>IF(AND(tblData[Date]&gt;StartDt2Italy,ISNUMBER(tblData[Days'# Italy])),tblData[[#This Row],[Italy LogiP(t)]]/$AM$9,"")</f>
        <v>7158.2545879055615</v>
      </c>
      <c r="AP69" s="21">
        <f>IF(ISNUMBER(tblData[[#This Row],[Days'# US]]),betaUS/(deltaUS+betaPodeltaUS*EXP(-betaUS*tblData[Days'# US])),"")</f>
        <v>18752.32178644988</v>
      </c>
      <c r="AQ69" s="11">
        <f>IF(ISNUMBER(tblData[US]),(tblData[[#This Row],[US LogiP(t)]]-tblData[US])^2,"")</f>
        <v>120880.14017740273</v>
      </c>
      <c r="AR69" s="21">
        <f>IF(ISNUMBER(tblData[[#This Row],[Days'# US]]),tblData[[#This Row],[US LogiP(t)]]/$AP$9,"")</f>
        <v>569.58509768037231</v>
      </c>
      <c r="AS69" s="21">
        <f>IF(tblData[Date]&gt;=StartDt2Korea,betaSKorea/(deltaSKorea+betaPodeltaSKorea*EXP(-betaSKorea*(tblData[Date]-StartDt2Korea))),"")</f>
        <v>8297.2932217099551</v>
      </c>
      <c r="AT69" s="21">
        <f>IF(AND(tblData[Date]&gt;=StartDt2Korea,ISNUMBER(tblData[SKorea])),(tblData[[#This Row],[SKorea LogiP(t)]]-tblData[[#This Row],[SKorea]])^2,"")</f>
        <v>125816.89856490307</v>
      </c>
      <c r="AU69" s="21">
        <f>IF(tblData[Date]&gt;=StartDt2Korea,tblData[[#This Row],[SKorea LogiP(t)]]/$AS$9,"")</f>
        <v>1614.2593816556334</v>
      </c>
      <c r="AV69" s="11">
        <f>IF(ISNUMBER(tblData[Days'# UK]),betaUK/(deltaUK+betaPodeltaUK*EXP(-betaUK*tblData[Days'# UK])),"")</f>
        <v>3871.6466958700094</v>
      </c>
      <c r="AW69" s="21">
        <f>IF(ISNUMBER(tblData[UK]),(tblData[[#This Row],[UK LogiP(t)]]-tblData[[#This Row],[UK]])^2,"")</f>
        <v>20264.463196725614</v>
      </c>
      <c r="AX69" s="21">
        <f>IF(ISNUMBER(tblData[Days'# UK]),tblData[[#This Row],[UK LogiP(t)]]/$AV$9,"")</f>
        <v>582.72828053431806</v>
      </c>
      <c r="AY69" s="11">
        <f>IF(ISNUMBER(tblData[Days'# China]),betaChina/(deltaChina+betaPodeltaChina*EXP(-betaChina*tblData[Days'# China])),"")</f>
        <v>80940.733709981068</v>
      </c>
      <c r="AZ69" s="11">
        <f>IF(ISNUMBER(tblData[China]),(tblData[[#This Row],[China LogiP(t)]]-tblData[[#This Row],[China]])^2,"")</f>
        <v>95645.63814207392</v>
      </c>
      <c r="BA69" s="11">
        <f>tblData[[#This Row],[China LogiP(t)]]/$AY$9</f>
        <v>562.35250927989307</v>
      </c>
      <c r="BB69" s="11">
        <v>40298</v>
      </c>
      <c r="BC69" s="11"/>
      <c r="BD69" s="11">
        <f>IF(ISNUMBER(tblData[[#This Row],[NSW Number of Tests]]),tblData[[#This Row],[NSW Number of Tests]]-BB68,"")</f>
        <v>1516</v>
      </c>
      <c r="BE69" s="11" t="str">
        <f>IF(ISNUMBER(tblData[[#This Row],[NSW Under Investigation'']]),tblData[[#This Row],[NSW Under Investigation'']]-BC68,"")</f>
        <v/>
      </c>
      <c r="BF69" s="11">
        <f t="shared" si="6"/>
        <v>14</v>
      </c>
      <c r="BG69" s="11">
        <f>IF(ISNUMBER(tblData[[#This Row],[NSW Test Day Number]]),betaTest/(deltaTest+betaPodeltaTest*EXP(-betaTest*tblData[[#This Row],[NSW Test Day Number]])),"")</f>
        <v>44901.734221300751</v>
      </c>
      <c r="BH69" s="11">
        <f>IF(ISNUMBER(tblData[[#This Row],[NSW Number of Tests]]),(tblData[[#This Row],[NSW Number of Tests]]-tblData[[#This Row],[NSW Test Logi]])^2,"")</f>
        <v>21194368.780375626</v>
      </c>
      <c r="BY69"/>
      <c r="BZ69"/>
      <c r="CJ69" s="26"/>
      <c r="CK69" s="26"/>
    </row>
    <row r="70" spans="2:173" x14ac:dyDescent="0.25">
      <c r="B70" s="1">
        <f t="shared" si="10"/>
        <v>43911</v>
      </c>
      <c r="D70" s="26">
        <v>9</v>
      </c>
      <c r="E70">
        <v>436</v>
      </c>
      <c r="F70">
        <v>5</v>
      </c>
      <c r="G70">
        <v>221</v>
      </c>
      <c r="H70">
        <v>67</v>
      </c>
      <c r="I70">
        <v>16</v>
      </c>
      <c r="J70">
        <v>229</v>
      </c>
      <c r="K70">
        <v>90</v>
      </c>
      <c r="L70" s="12">
        <f>IF(ISNUMBER(tblData[[#This Row],[NSW]]),tblData[[#This Row],[New South Wales]]/$L$9,"")</f>
        <v>539.60396039603961</v>
      </c>
      <c r="M70" s="26">
        <v>53578</v>
      </c>
      <c r="N70" s="49">
        <f>IF(ISNUMBER(tblData[Italy]),tblData[Italy]/$N$9,"")</f>
        <v>8863.1927212572373</v>
      </c>
      <c r="O70">
        <v>24148</v>
      </c>
      <c r="P70" s="49">
        <f>IF(ISNUMBER(tblData[US]),tblData[US]/$P$9,"")</f>
        <v>733.47402499909595</v>
      </c>
      <c r="Q70">
        <v>8799</v>
      </c>
      <c r="R70" s="19">
        <f>IF(ISNUMBER(tblData[SKorea]),tblData[SKorea]/$R$9,"")</f>
        <v>1711.8677042801557</v>
      </c>
      <c r="S70">
        <v>5049</v>
      </c>
      <c r="T70" s="12">
        <f>IF(ISNUMBER(tblData[UK]),tblData[UK]/$T$9,"")</f>
        <v>759.93377483443703</v>
      </c>
      <c r="U70">
        <v>81304</v>
      </c>
      <c r="V70" s="21">
        <f>IF(ISNUMBER(tblData[China]),tblData[China]/$V$9,"")</f>
        <v>564.87637705777752</v>
      </c>
      <c r="W70" s="26">
        <f>IF(tblData[[#This Row],[Date]]&lt;ItalyStart,"",tblData[[#This Row],[Date]]-ItalyStart)</f>
        <v>51</v>
      </c>
      <c r="X70" s="26">
        <f t="shared" si="7"/>
        <v>41</v>
      </c>
      <c r="Y70" s="26">
        <f t="shared" si="3"/>
        <v>59</v>
      </c>
      <c r="Z70" s="26">
        <f>IF(tblData[[#This Row],[Date]]&lt;StartDt2Korea,"",tblData[[#This Row],[Date]]-StartDt2Korea)</f>
        <v>31</v>
      </c>
      <c r="AA70" s="26">
        <f>IF(tblData[[#This Row],[Date]]&lt;UKStart,"",tblData[[#This Row],[Date]]-UKStart)</f>
        <v>51</v>
      </c>
      <c r="AB70">
        <f>IF(tblData[Date]&gt;=StartDt2Au,tblData[Date]-StartDt2Au,"")</f>
        <v>56</v>
      </c>
      <c r="AC70" s="26">
        <f>IF(tblData[New South Wales]&gt;0,SUM(tblData[[#This Row],[Australian Capital Territory]:[Western Australia]]),"")</f>
        <v>1073</v>
      </c>
      <c r="AD70" s="12">
        <f>IF(ISNUMBER(tblData[Au]),tblData[Au]/$AA$9,"")</f>
        <v>423.04052988487621</v>
      </c>
      <c r="AE70" s="19">
        <f>IF(ISNUMBER(tblData[[#This Row],[Day'# Aust]]),betaAu/(deltaAu+betaPodeltaAu*EXP(-betaAu*tblData[[#This Row],[Day'# Aust]])),"")</f>
        <v>1067.5694552975406</v>
      </c>
      <c r="AF70" s="72">
        <f>IF(ISNUMBER(tblData[Day'# Aust]),tblData[Au LogiP(t)]/$AD$9,"")</f>
        <v>420.89948560855566</v>
      </c>
      <c r="AG70" s="11">
        <f>IF(AND(tblData[Date]&gt;=StartDt2Au,ISNUMBER(tblData[NSW])),(tblData[[#This Row],[Au LogiP(t)]]-tblData[[#This Row],[Au]])^2,"")</f>
        <v>29.490815765410165</v>
      </c>
      <c r="AH70">
        <f>IF(tblData[Date]&gt;StartDt2NSW,tblData[Date]-StartDt2NSW,"")</f>
        <v>56</v>
      </c>
      <c r="AI70">
        <f t="shared" si="9"/>
        <v>436</v>
      </c>
      <c r="AJ70" s="11">
        <f>IF(tblData[Date]&gt;StartDt2NSW,betaNSW/(deltaNSW+betaPodeltaNSW*EXP(-betaNSW*tblData[[#This Row],[Day '# NSW]])),"")</f>
        <v>443.70914971212068</v>
      </c>
      <c r="AK70" s="12">
        <f>IF(AND(ISNUMBER(tblData[NSW]),tblData[Date]&gt;StartDt2NSW),(tblData[[#This Row],[NSW LogiP(t)]]-tblData[[#This Row],[NSW]])^2,"")</f>
        <v>59.43098928389032</v>
      </c>
      <c r="AL70" s="12">
        <f>IF(AND(tblData[Date]&gt;StartDt2NSW,ISNUMBER(tblData[Day'# Aust])),tblData[NSW LogiP(t)]/$AG$9,"")</f>
        <v>549.14498726747604</v>
      </c>
      <c r="AM70" s="11">
        <f>IF(AND(tblData[Date]&gt;StartDt2Italy,ISNUMBER(tblData[Days'# Italy])),betaItaly/(deltaItaly+betaPodeltaItaly*EXP(-betaItaly*tblData[Days'# Italy])),"")</f>
        <v>45557.062111241808</v>
      </c>
      <c r="AN70" s="11">
        <f>IF(AND(tblData[Date]&gt;StartDt2Italy,ISNUMBER(tblData[Italy])),(tblData[[#This Row],[Italy LogiP(t)]]-tblData[[#This Row],[Italy]])^2,"")</f>
        <v>64335444.615316719</v>
      </c>
      <c r="AO70" s="44">
        <f>IF(AND(tblData[Date]&gt;StartDt2Italy,ISNUMBER(tblData[Days'# Italy])),tblData[[#This Row],[Italy LogiP(t)]]/$AM$9,"")</f>
        <v>7536.3212756396706</v>
      </c>
      <c r="AP70" s="21">
        <f>IF(ISNUMBER(tblData[[#This Row],[Days'# US]]),betaUS/(deltaUS+betaPodeltaUS*EXP(-betaUS*tblData[Days'# US])),"")</f>
        <v>26548.956405590252</v>
      </c>
      <c r="AQ70" s="11">
        <f>IF(ISNUMBER(tblData[US]),(tblData[[#This Row],[US LogiP(t)]]-tblData[US])^2,"")</f>
        <v>5764591.6615448622</v>
      </c>
      <c r="AR70" s="21">
        <f>IF(ISNUMBER(tblData[[#This Row],[Days'# US]]),tblData[[#This Row],[US LogiP(t)]]/$AP$9,"")</f>
        <v>806.4009406300238</v>
      </c>
      <c r="AS70" s="21">
        <f>IF(tblData[Date]&gt;=StartDt2Korea,betaSKorea/(deltaSKorea+betaPodeltaSKorea*EXP(-betaSKorea*(tblData[Date]-StartDt2Korea))),"")</f>
        <v>8303.4291273181952</v>
      </c>
      <c r="AT70" s="21">
        <f>IF(AND(tblData[Date]&gt;=StartDt2Korea,ISNUMBER(tblData[SKorea])),(tblData[[#This Row],[SKorea LogiP(t)]]-tblData[[#This Row],[SKorea]])^2,"")</f>
        <v>245590.48985060555</v>
      </c>
      <c r="AU70" s="21">
        <f>IF(tblData[Date]&gt;=StartDt2Korea,tblData[[#This Row],[SKorea LogiP(t)]]/$AS$9,"")</f>
        <v>1615.453137610544</v>
      </c>
      <c r="AV70" s="11">
        <f>IF(ISNUMBER(tblData[Days'# UK]),betaUK/(deltaUK+betaPodeltaUK*EXP(-betaUK*tblData[Days'# UK])),"")</f>
        <v>4875.7347233906075</v>
      </c>
      <c r="AW70" s="21">
        <f>IF(ISNUMBER(tblData[UK]),(tblData[[#This Row],[UK LogiP(t)]]-tblData[[#This Row],[UK]])^2,"")</f>
        <v>30020.856078529283</v>
      </c>
      <c r="AX70" s="21">
        <f>IF(ISNUMBER(tblData[Days'# UK]),tblData[[#This Row],[UK LogiP(t)]]/$AV$9,"")</f>
        <v>733.85531658498007</v>
      </c>
      <c r="AY70" s="11">
        <f>IF(ISNUMBER(tblData[Days'# China]),betaChina/(deltaChina+betaPodeltaChina*EXP(-betaChina*tblData[Days'# China])),"")</f>
        <v>80942.846563616724</v>
      </c>
      <c r="AZ70" s="11">
        <f>IF(ISNUMBER(tblData[China]),(tblData[[#This Row],[China LogiP(t)]]-tblData[[#This Row],[China]])^2,"")</f>
        <v>130431.80461144907</v>
      </c>
      <c r="BA70" s="11">
        <f>tblData[[#This Row],[China LogiP(t)]]/$AY$9</f>
        <v>562.36718876807277</v>
      </c>
      <c r="BB70" s="11">
        <v>46456</v>
      </c>
      <c r="BC70" s="11"/>
      <c r="BD70" s="11">
        <f>IF(ISNUMBER(tblData[[#This Row],[NSW Number of Tests]]),tblData[[#This Row],[NSW Number of Tests]]-BB69,"")</f>
        <v>6158</v>
      </c>
      <c r="BE70" s="11" t="str">
        <f>IF(ISNUMBER(tblData[[#This Row],[NSW Under Investigation'']]),tblData[[#This Row],[NSW Under Investigation'']]-BC69,"")</f>
        <v/>
      </c>
      <c r="BF70" s="11">
        <f t="shared" si="6"/>
        <v>15</v>
      </c>
      <c r="BG70" s="11">
        <f>IF(ISNUMBER(tblData[[#This Row],[NSW Test Day Number]]),betaTest/(deltaTest+betaPodeltaTest*EXP(-betaTest*tblData[[#This Row],[NSW Test Day Number]])),"")</f>
        <v>51674.168884514424</v>
      </c>
      <c r="BH70" s="11">
        <f>IF(ISNUMBER(tblData[[#This Row],[NSW Number of Tests]]),(tblData[[#This Row],[NSW Number of Tests]]-tblData[[#This Row],[NSW Test Logi]])^2,"")</f>
        <v>27229286.507314503</v>
      </c>
      <c r="BY70"/>
      <c r="BZ70"/>
      <c r="CJ70" s="26"/>
      <c r="CK70" s="26"/>
    </row>
    <row r="71" spans="2:173" x14ac:dyDescent="0.25">
      <c r="B71" s="1">
        <f t="shared" si="10"/>
        <v>43912</v>
      </c>
      <c r="D71" s="26"/>
      <c r="L71" s="12" t="str">
        <f>IF(ISNUMBER(tblData[[#This Row],[NSW]]),tblData[[#This Row],[New South Wales]]/$L$9,"")</f>
        <v/>
      </c>
      <c r="M71" s="26"/>
      <c r="N71" s="49" t="str">
        <f>IF(ISNUMBER(tblData[Italy]),tblData[Italy]/$N$9,"")</f>
        <v/>
      </c>
      <c r="O71" s="26"/>
      <c r="P71" s="49" t="str">
        <f>IF(ISNUMBER(tblData[US]),tblData[US]/$P$9,"")</f>
        <v/>
      </c>
      <c r="Q71" s="49"/>
      <c r="R71" s="19" t="str">
        <f>IF(ISNUMBER(tblData[SKorea]),tblData[SKorea]/$R$9,"")</f>
        <v/>
      </c>
      <c r="S71" s="49"/>
      <c r="T71" s="12" t="str">
        <f>IF(ISNUMBER(tblData[UK]),tblData[UK]/$T$9,"")</f>
        <v/>
      </c>
      <c r="U71" s="26"/>
      <c r="V71" s="21" t="str">
        <f>IF(ISNUMBER(tblData[China]),tblData[China]/$V$9,"")</f>
        <v/>
      </c>
      <c r="W71" s="26">
        <f>IF(tblData[[#This Row],[Date]]&lt;ItalyStart,"",tblData[[#This Row],[Date]]-ItalyStart)</f>
        <v>52</v>
      </c>
      <c r="X71" s="26">
        <f t="shared" si="7"/>
        <v>42</v>
      </c>
      <c r="Y71" s="26">
        <f t="shared" si="3"/>
        <v>60</v>
      </c>
      <c r="Z71" s="26">
        <f>IF(tblData[[#This Row],[Date]]&lt;StartDt2Korea,"",tblData[[#This Row],[Date]]-StartDt2Korea)</f>
        <v>32</v>
      </c>
      <c r="AA71" s="26">
        <f>IF(tblData[[#This Row],[Date]]&lt;UKStart,"",tblData[[#This Row],[Date]]-UKStart)</f>
        <v>52</v>
      </c>
      <c r="AB71">
        <f>IF(tblData[Date]&gt;=StartDt2Au,tblData[Date]-StartDt2Au,"")</f>
        <v>57</v>
      </c>
      <c r="AC71" s="26" t="str">
        <f>IF(tblData[New South Wales]&gt;0,SUM(tblData[[#This Row],[Australian Capital Territory]:[Western Australia]]),"")</f>
        <v/>
      </c>
      <c r="AD71" s="12" t="str">
        <f>IF(ISNUMBER(tblData[Au]),tblData[Au]/$AA$9,"")</f>
        <v/>
      </c>
      <c r="AE71" s="19">
        <f>IF(ISNUMBER(tblData[[#This Row],[Day'# Aust]]),betaAu/(deltaAu+betaPodeltaAu*EXP(-betaAu*tblData[[#This Row],[Day'# Aust]])),"")</f>
        <v>1312.4198606706216</v>
      </c>
      <c r="AF71" s="72">
        <f>IF(ISNUMBER(tblData[Day'# Aust]),tblData[Au LogiP(t)]/$AD$9,"")</f>
        <v>517.43410371811296</v>
      </c>
      <c r="AG71" s="11" t="str">
        <f>IF(AND(tblData[Date]&gt;=StartDt2Au,ISNUMBER(tblData[NSW])),(tblData[[#This Row],[Au LogiP(t)]]-tblData[[#This Row],[Au]])^2,"")</f>
        <v/>
      </c>
      <c r="AH71">
        <f>IF(tblData[Date]&gt;StartDt2NSW,tblData[Date]-StartDt2NSW,"")</f>
        <v>57</v>
      </c>
      <c r="AI71" s="26" t="str">
        <f t="shared" si="9"/>
        <v/>
      </c>
      <c r="AJ71" s="11">
        <f>IF(tblData[Date]&gt;StartDt2NSW,betaNSW/(deltaNSW+betaPodeltaNSW*EXP(-betaNSW*tblData[[#This Row],[Day '# NSW]])),"")</f>
        <v>527.03245692038445</v>
      </c>
      <c r="AK71" s="12" t="str">
        <f>IF(AND(ISNUMBER(tblData[NSW]),tblData[Date]&gt;StartDt2NSW),(tblData[[#This Row],[NSW LogiP(t)]]-tblData[[#This Row],[NSW]])^2,"")</f>
        <v/>
      </c>
      <c r="AL71" s="12">
        <f>IF(AND(tblData[Date]&gt;StartDt2NSW,ISNUMBER(tblData[Day'# Aust])),tblData[NSW LogiP(t)]/$AG$9,"")</f>
        <v>652.26789222819855</v>
      </c>
      <c r="AM71" s="11">
        <f>IF(AND(tblData[Date]&gt;StartDt2Italy,ISNUMBER(tblData[Days'# Italy])),betaItaly/(deltaItaly+betaPodeltaItaly*EXP(-betaItaly*tblData[Days'# Italy])),"")</f>
        <v>47490.636390873209</v>
      </c>
      <c r="AN71" s="11" t="str">
        <f>IF(AND(tblData[Date]&gt;StartDt2Italy,ISNUMBER(tblData[Italy])),(tblData[[#This Row],[Italy LogiP(t)]]-tblData[[#This Row],[Italy]])^2,"")</f>
        <v/>
      </c>
      <c r="AO71" s="44">
        <f>IF(AND(tblData[Date]&gt;StartDt2Italy,ISNUMBER(tblData[Days'# Italy])),tblData[[#This Row],[Italy LogiP(t)]]/$AM$9,"")</f>
        <v>7856.1846800451958</v>
      </c>
      <c r="AP71" s="21">
        <f>IF(ISNUMBER(tblData[[#This Row],[Days'# US]]),betaUS/(deltaUS+betaPodeltaUS*EXP(-betaUS*tblData[Days'# US])),"")</f>
        <v>37586.83978427235</v>
      </c>
      <c r="AQ71" s="11" t="str">
        <f>IF(ISNUMBER(tblData[US]),(tblData[[#This Row],[US LogiP(t)]]-tblData[US])^2,"")</f>
        <v/>
      </c>
      <c r="AR71" s="21">
        <f>IF(ISNUMBER(tblData[[#This Row],[Days'# US]]),tblData[[#This Row],[US LogiP(t)]]/$AP$9,"")</f>
        <v>1141.6668321834684</v>
      </c>
      <c r="AS71" s="21">
        <f>IF(tblData[Date]&gt;=StartDt2Korea,betaSKorea/(deltaSKorea+betaPodeltaSKorea*EXP(-betaSKorea*(tblData[Date]-StartDt2Korea))),"")</f>
        <v>8307.8652020988084</v>
      </c>
      <c r="AT71" s="21" t="str">
        <f>IF(AND(tblData[Date]&gt;=StartDt2Korea,ISNUMBER(tblData[SKorea])),(tblData[[#This Row],[SKorea LogiP(t)]]-tblData[[#This Row],[SKorea]])^2,"")</f>
        <v/>
      </c>
      <c r="AU71" s="21">
        <f>IF(tblData[Date]&gt;=StartDt2Korea,tblData[[#This Row],[SKorea LogiP(t)]]/$AS$9,"")</f>
        <v>1616.3161871787565</v>
      </c>
      <c r="AV71" s="11">
        <f>IF(ISNUMBER(tblData[Days'# UK]),betaUK/(deltaUK+betaPodeltaUK*EXP(-betaUK*tblData[Days'# UK])),"")</f>
        <v>6140.2199410227176</v>
      </c>
      <c r="AW71" s="21" t="str">
        <f>IF(ISNUMBER(tblData[UK]),(tblData[[#This Row],[UK LogiP(t)]]-tblData[[#This Row],[UK]])^2,"")</f>
        <v/>
      </c>
      <c r="AX71" s="21">
        <f>IF(ISNUMBER(tblData[Days'# UK]),tblData[[#This Row],[UK LogiP(t)]]/$AV$9,"")</f>
        <v>924.17518678848853</v>
      </c>
      <c r="AY71" s="11">
        <f>IF(ISNUMBER(tblData[Days'# China]),betaChina/(deltaChina+betaPodeltaChina*EXP(-betaChina*tblData[Days'# China])),"")</f>
        <v>80944.538618127248</v>
      </c>
      <c r="AZ71" s="11" t="str">
        <f>IF(ISNUMBER(tblData[China]),(tblData[[#This Row],[China LogiP(t)]]-tblData[[#This Row],[China]])^2,"")</f>
        <v/>
      </c>
      <c r="BA71" s="11">
        <f>tblData[[#This Row],[China LogiP(t)]]/$AY$9</f>
        <v>562.37894466718831</v>
      </c>
      <c r="BB71" s="11"/>
      <c r="BC71" s="11"/>
      <c r="BD71" s="11" t="str">
        <f>IF(ISNUMBER(tblData[[#This Row],[NSW Number of Tests]]),tblData[[#This Row],[NSW Number of Tests]]-BB70,"")</f>
        <v/>
      </c>
      <c r="BE71" s="11" t="str">
        <f>IF(ISNUMBER(tblData[[#This Row],[NSW Under Investigation'']]),tblData[[#This Row],[NSW Under Investigation'']]-BC70,"")</f>
        <v/>
      </c>
      <c r="BF71" s="11">
        <f t="shared" si="6"/>
        <v>16</v>
      </c>
      <c r="BG71" s="11">
        <f>IF(ISNUMBER(tblData[[#This Row],[NSW Test Day Number]]),betaTest/(deltaTest+betaPodeltaTest*EXP(-betaTest*tblData[[#This Row],[NSW Test Day Number]])),"")</f>
        <v>59222.742484940776</v>
      </c>
      <c r="BH71" s="11" t="str">
        <f>IF(ISNUMBER(tblData[[#This Row],[NSW Number of Tests]]),(tblData[[#This Row],[NSW Number of Tests]]-tblData[[#This Row],[NSW Test Logi]])^2,"")</f>
        <v/>
      </c>
      <c r="BY71"/>
      <c r="BZ71"/>
      <c r="CJ71" s="26"/>
      <c r="CK71" s="26"/>
    </row>
    <row r="72" spans="2:173" x14ac:dyDescent="0.25">
      <c r="B72" s="1">
        <f t="shared" si="10"/>
        <v>43913</v>
      </c>
      <c r="D72" s="26"/>
      <c r="L72" s="12" t="str">
        <f>IF(ISNUMBER(tblData[[#This Row],[NSW]]),tblData[[#This Row],[New South Wales]]/$L$9,"")</f>
        <v/>
      </c>
      <c r="M72" s="26"/>
      <c r="N72" s="49" t="str">
        <f>IF(ISNUMBER(tblData[Italy]),tblData[Italy]/$N$9,"")</f>
        <v/>
      </c>
      <c r="O72" s="26"/>
      <c r="P72" s="49" t="str">
        <f>IF(ISNUMBER(tblData[US]),tblData[US]/$P$9,"")</f>
        <v/>
      </c>
      <c r="Q72" s="49"/>
      <c r="R72" s="19" t="str">
        <f>IF(ISNUMBER(tblData[SKorea]),tblData[SKorea]/$R$9,"")</f>
        <v/>
      </c>
      <c r="S72" s="49"/>
      <c r="T72" s="12" t="str">
        <f>IF(ISNUMBER(tblData[UK]),tblData[UK]/$T$9,"")</f>
        <v/>
      </c>
      <c r="U72" s="26"/>
      <c r="V72" s="21" t="str">
        <f>IF(ISNUMBER(tblData[China]),tblData[China]/$V$9,"")</f>
        <v/>
      </c>
      <c r="W72" s="26">
        <f>IF(tblData[[#This Row],[Date]]&lt;ItalyStart,"",tblData[[#This Row],[Date]]-ItalyStart)</f>
        <v>53</v>
      </c>
      <c r="X72" s="26">
        <f t="shared" si="7"/>
        <v>43</v>
      </c>
      <c r="Y72" s="26">
        <f t="shared" si="3"/>
        <v>61</v>
      </c>
      <c r="Z72" s="26">
        <f>IF(tblData[[#This Row],[Date]]&lt;StartDt2Korea,"",tblData[[#This Row],[Date]]-StartDt2Korea)</f>
        <v>33</v>
      </c>
      <c r="AA72" s="26">
        <f>IF(tblData[[#This Row],[Date]]&lt;UKStart,"",tblData[[#This Row],[Date]]-UKStart)</f>
        <v>53</v>
      </c>
      <c r="AB72">
        <f>IF(tblData[Date]&gt;=StartDt2Au,tblData[Date]-StartDt2Au,"")</f>
        <v>58</v>
      </c>
      <c r="AC72" s="26" t="str">
        <f>IF(tblData[New South Wales]&gt;0,SUM(tblData[[#This Row],[Australian Capital Territory]:[Western Australia]]),"")</f>
        <v/>
      </c>
      <c r="AD72" s="12" t="str">
        <f>IF(ISNUMBER(tblData[Au]),tblData[Au]/$AA$9,"")</f>
        <v/>
      </c>
      <c r="AE72" s="19">
        <f>IF(ISNUMBER(tblData[[#This Row],[Day'# Aust]]),betaAu/(deltaAu+betaPodeltaAu*EXP(-betaAu*tblData[[#This Row],[Day'# Aust]])),"")</f>
        <v>1613.4270362398358</v>
      </c>
      <c r="AF72" s="72">
        <f>IF(ISNUMBER(tblData[Day'# Aust]),tblData[Au LogiP(t)]/$AD$9,"")</f>
        <v>636.1090664878709</v>
      </c>
      <c r="AG72" s="11" t="str">
        <f>IF(AND(tblData[Date]&gt;=StartDt2Au,ISNUMBER(tblData[NSW])),(tblData[[#This Row],[Au LogiP(t)]]-tblData[[#This Row],[Au]])^2,"")</f>
        <v/>
      </c>
      <c r="AH72">
        <f>IF(tblData[Date]&gt;StartDt2NSW,tblData[Date]-StartDt2NSW,"")</f>
        <v>58</v>
      </c>
      <c r="AI72" t="str">
        <f t="shared" si="9"/>
        <v/>
      </c>
      <c r="AJ72" s="11">
        <f>IF(tblData[Date]&gt;StartDt2NSW,betaNSW/(deltaNSW+betaPodeltaNSW*EXP(-betaNSW*tblData[[#This Row],[Day '# NSW]])),"")</f>
        <v>621.73791714203844</v>
      </c>
      <c r="AK72" s="12" t="str">
        <f>IF(AND(ISNUMBER(tblData[NSW]),tblData[Date]&gt;StartDt2NSW),(tblData[[#This Row],[NSW LogiP(t)]]-tblData[[#This Row],[NSW]])^2,"")</f>
        <v/>
      </c>
      <c r="AL72" s="12">
        <f>IF(AND(tblData[Date]&gt;StartDt2NSW,ISNUMBER(tblData[Day'# Aust])),tblData[NSW LogiP(t)]/$AG$9,"")</f>
        <v>769.47762022529503</v>
      </c>
      <c r="AM72" s="11">
        <f>IF(AND(tblData[Date]&gt;StartDt2Italy,ISNUMBER(tblData[Days'# Italy])),betaItaly/(deltaItaly+betaPodeltaItaly*EXP(-betaItaly*tblData[Days'# Italy])),"")</f>
        <v>49097.030014106153</v>
      </c>
      <c r="AN72" s="11" t="str">
        <f>IF(AND(tblData[Date]&gt;StartDt2Italy,ISNUMBER(tblData[Italy])),(tblData[[#This Row],[Italy LogiP(t)]]-tblData[[#This Row],[Italy]])^2,"")</f>
        <v/>
      </c>
      <c r="AO72" s="44">
        <f>IF(AND(tblData[Date]&gt;StartDt2Italy,ISNUMBER(tblData[Days'# Italy])),tblData[[#This Row],[Italy LogiP(t)]]/$AM$9,"")</f>
        <v>8121.9239063864607</v>
      </c>
      <c r="AP72" s="21">
        <f>IF(ISNUMBER(tblData[[#This Row],[Days'# US]]),betaUS/(deltaUS+betaPodeltaUS*EXP(-betaUS*tblData[Days'# US])),"")</f>
        <v>53213.085129360283</v>
      </c>
      <c r="AQ72" s="11" t="str">
        <f>IF(ISNUMBER(tblData[US]),(tblData[[#This Row],[US LogiP(t)]]-tblData[US])^2,"")</f>
        <v/>
      </c>
      <c r="AR72" s="21">
        <f>IF(ISNUMBER(tblData[[#This Row],[Days'# US]]),tblData[[#This Row],[US LogiP(t)]]/$AP$9,"")</f>
        <v>1616.3001380011358</v>
      </c>
      <c r="AS72" s="21">
        <f>IF(tblData[Date]&gt;=StartDt2Korea,betaSKorea/(deltaSKorea+betaPodeltaSKorea*EXP(-betaSKorea*(tblData[Date]-StartDt2Korea))),"")</f>
        <v>8311.0712172065305</v>
      </c>
      <c r="AT72" s="21" t="str">
        <f>IF(AND(tblData[Date]&gt;=StartDt2Korea,ISNUMBER(tblData[SKorea])),(tblData[[#This Row],[SKorea LogiP(t)]]-tblData[[#This Row],[SKorea]])^2,"")</f>
        <v/>
      </c>
      <c r="AU72" s="21">
        <f>IF(tblData[Date]&gt;=StartDt2Korea,tblData[[#This Row],[SKorea LogiP(t)]]/$AS$9,"")</f>
        <v>1616.9399255265625</v>
      </c>
      <c r="AV72" s="11">
        <f>IF(ISNUMBER(tblData[Days'# UK]),betaUK/(deltaUK+betaPodeltaUK*EXP(-betaUK*tblData[Days'# UK])),"")</f>
        <v>7732.6289153719144</v>
      </c>
      <c r="AW72" s="21" t="str">
        <f>IF(ISNUMBER(tblData[UK]),(tblData[[#This Row],[UK LogiP(t)]]-tblData[[#This Row],[UK]])^2,"")</f>
        <v/>
      </c>
      <c r="AX72" s="21">
        <f>IF(ISNUMBER(tblData[Days'# UK]),tblData[[#This Row],[UK LogiP(t)]]/$AV$9,"")</f>
        <v>1163.8514321751827</v>
      </c>
      <c r="AY72" s="11">
        <f>IF(ISNUMBER(tblData[Days'# China]),betaChina/(deltaChina+betaPodeltaChina*EXP(-betaChina*tblData[Days'# China])),"")</f>
        <v>80945.893667815282</v>
      </c>
      <c r="AZ72" s="11" t="str">
        <f>IF(ISNUMBER(tblData[China]),(tblData[[#This Row],[China LogiP(t)]]-tblData[[#This Row],[China]])^2,"")</f>
        <v/>
      </c>
      <c r="BA72" s="11">
        <f>tblData[[#This Row],[China LogiP(t)]]/$AY$9</f>
        <v>562.38835915550999</v>
      </c>
      <c r="BB72" s="11"/>
      <c r="BC72" s="11"/>
      <c r="BD72" s="11" t="str">
        <f>IF(ISNUMBER(tblData[[#This Row],[NSW Number of Tests]]),tblData[[#This Row],[NSW Number of Tests]]-BB71,"")</f>
        <v/>
      </c>
      <c r="BE72" s="11" t="str">
        <f>IF(ISNUMBER(tblData[[#This Row],[NSW Under Investigation'']]),tblData[[#This Row],[NSW Under Investigation'']]-BC71,"")</f>
        <v/>
      </c>
      <c r="BF72" s="11">
        <f t="shared" si="6"/>
        <v>17</v>
      </c>
      <c r="BG72" s="11">
        <f>IF(ISNUMBER(tblData[[#This Row],[NSW Test Day Number]]),betaTest/(deltaTest+betaPodeltaTest*EXP(-betaTest*tblData[[#This Row],[NSW Test Day Number]])),"")</f>
        <v>67563.340223320425</v>
      </c>
      <c r="BH72" s="11" t="str">
        <f>IF(ISNUMBER(tblData[[#This Row],[NSW Number of Tests]]),(tblData[[#This Row],[NSW Number of Tests]]-tblData[[#This Row],[NSW Test Logi]])^2,"")</f>
        <v/>
      </c>
      <c r="BY72"/>
      <c r="BZ72"/>
      <c r="CJ72" s="26"/>
      <c r="CK72" s="26"/>
    </row>
    <row r="73" spans="2:173" x14ac:dyDescent="0.25">
      <c r="B73" s="1">
        <f t="shared" si="10"/>
        <v>43914</v>
      </c>
      <c r="D73" s="26"/>
      <c r="L73" s="12" t="str">
        <f>IF(ISNUMBER(tblData[[#This Row],[NSW]]),tblData[[#This Row],[New South Wales]]/$L$9,"")</f>
        <v/>
      </c>
      <c r="M73" s="26"/>
      <c r="N73" s="49" t="str">
        <f>IF(ISNUMBER(tblData[Italy]),tblData[Italy]/$N$9,"")</f>
        <v/>
      </c>
      <c r="O73" s="26"/>
      <c r="P73" s="49" t="str">
        <f>IF(ISNUMBER(tblData[US]),tblData[US]/$P$9,"")</f>
        <v/>
      </c>
      <c r="Q73" s="49"/>
      <c r="R73" s="19" t="str">
        <f>IF(ISNUMBER(tblData[SKorea]),tblData[SKorea]/$R$9,"")</f>
        <v/>
      </c>
      <c r="S73" s="49"/>
      <c r="T73" s="12" t="str">
        <f>IF(ISNUMBER(tblData[UK]),tblData[UK]/$T$9,"")</f>
        <v/>
      </c>
      <c r="U73" s="26"/>
      <c r="V73" s="21" t="str">
        <f>IF(ISNUMBER(tblData[China]),tblData[China]/$V$9,"")</f>
        <v/>
      </c>
      <c r="W73" s="26">
        <f>IF(tblData[[#This Row],[Date]]&lt;ItalyStart,"",tblData[[#This Row],[Date]]-ItalyStart)</f>
        <v>54</v>
      </c>
      <c r="X73" s="26">
        <f t="shared" si="7"/>
        <v>44</v>
      </c>
      <c r="Y73" s="26">
        <f t="shared" si="3"/>
        <v>62</v>
      </c>
      <c r="Z73" s="26">
        <f>IF(tblData[[#This Row],[Date]]&lt;StartDt2Korea,"",tblData[[#This Row],[Date]]-StartDt2Korea)</f>
        <v>34</v>
      </c>
      <c r="AA73" s="26">
        <f>IF(tblData[[#This Row],[Date]]&lt;UKStart,"",tblData[[#This Row],[Date]]-UKStart)</f>
        <v>54</v>
      </c>
      <c r="AB73">
        <f>IF(tblData[Date]&gt;=StartDt2Au,tblData[Date]-StartDt2Au,"")</f>
        <v>59</v>
      </c>
      <c r="AC73" s="26" t="str">
        <f>IF(tblData[New South Wales]&gt;0,SUM(tblData[[#This Row],[Australian Capital Territory]:[Western Australia]]),"")</f>
        <v/>
      </c>
      <c r="AD73" s="12" t="str">
        <f>IF(ISNUMBER(tblData[Au]),tblData[Au]/$AA$9,"")</f>
        <v/>
      </c>
      <c r="AE73" s="19">
        <f>IF(ISNUMBER(tblData[[#This Row],[Day'# Aust]]),betaAu/(deltaAu+betaPodeltaAu*EXP(-betaAu*tblData[[#This Row],[Day'# Aust]])),"")</f>
        <v>1983.470388514397</v>
      </c>
      <c r="AF73" s="72">
        <f>IF(ISNUMBER(tblData[Day'# Aust]),tblData[Au LogiP(t)]/$AD$9,"")</f>
        <v>782.00220332534184</v>
      </c>
      <c r="AG73" s="11" t="str">
        <f>IF(AND(tblData[Date]&gt;=StartDt2Au,ISNUMBER(tblData[NSW])),(tblData[[#This Row],[Au LogiP(t)]]-tblData[[#This Row],[Au]])^2,"")</f>
        <v/>
      </c>
      <c r="AH73">
        <f>IF(tblData[Date]&gt;StartDt2NSW,tblData[Date]-StartDt2NSW,"")</f>
        <v>59</v>
      </c>
      <c r="AI73" t="str">
        <f t="shared" si="9"/>
        <v/>
      </c>
      <c r="AJ73" s="11">
        <f>IF(tblData[Date]&gt;StartDt2NSW,betaNSW/(deltaNSW+betaPodeltaNSW*EXP(-betaNSW*tblData[[#This Row],[Day '# NSW]])),"")</f>
        <v>727.82547716130034</v>
      </c>
      <c r="AK73" s="12" t="str">
        <f>IF(AND(ISNUMBER(tblData[NSW]),tblData[Date]&gt;StartDt2NSW),(tblData[[#This Row],[NSW LogiP(t)]]-tblData[[#This Row],[NSW]])^2,"")</f>
        <v/>
      </c>
      <c r="AL73" s="12">
        <f>IF(AND(tblData[Date]&gt;StartDt2NSW,ISNUMBER(tblData[Day'# Aust])),tblData[NSW LogiP(t)]/$AG$9,"")</f>
        <v>900.7741053976489</v>
      </c>
      <c r="AM73" s="11">
        <f>IF(AND(tblData[Date]&gt;StartDt2Italy,ISNUMBER(tblData[Days'# Italy])),betaItaly/(deltaItaly+betaPodeltaItaly*EXP(-betaItaly*tblData[Days'# Italy])),"")</f>
        <v>50411.545147286291</v>
      </c>
      <c r="AN73" s="11" t="str">
        <f>IF(AND(tblData[Date]&gt;StartDt2Italy,ISNUMBER(tblData[Italy])),(tblData[[#This Row],[Italy LogiP(t)]]-tblData[[#This Row],[Italy]])^2,"")</f>
        <v/>
      </c>
      <c r="AO73" s="44">
        <f>IF(AND(tblData[Date]&gt;StartDt2Italy,ISNUMBER(tblData[Days'# Italy])),tblData[[#This Row],[Italy LogiP(t)]]/$AM$9,"")</f>
        <v>8339.3788498405775</v>
      </c>
      <c r="AP73" s="21">
        <f>IF(ISNUMBER(tblData[[#This Row],[Days'# US]]),betaUS/(deltaUS+betaPodeltaUS*EXP(-betaUS*tblData[Days'# US])),"")</f>
        <v>75334.333338487297</v>
      </c>
      <c r="AQ73" s="11" t="str">
        <f>IF(ISNUMBER(tblData[US]),(tblData[[#This Row],[US LogiP(t)]]-tblData[US])^2,"")</f>
        <v/>
      </c>
      <c r="AR73" s="21">
        <f>IF(ISNUMBER(tblData[[#This Row],[Days'# US]]),tblData[[#This Row],[US LogiP(t)]]/$AP$9,"")</f>
        <v>2288.2133797583178</v>
      </c>
      <c r="AS73" s="21">
        <f>IF(tblData[Date]&gt;=StartDt2Korea,betaSKorea/(deltaSKorea+betaPodeltaSKorea*EXP(-betaSKorea*(tblData[Date]-StartDt2Korea))),"")</f>
        <v>8313.3876587281302</v>
      </c>
      <c r="AT73" s="21" t="str">
        <f>IF(AND(tblData[Date]&gt;=StartDt2Korea,ISNUMBER(tblData[SKorea])),(tblData[[#This Row],[SKorea LogiP(t)]]-tblData[[#This Row],[SKorea]])^2,"")</f>
        <v/>
      </c>
      <c r="AU73" s="21">
        <f>IF(tblData[Date]&gt;=StartDt2Korea,tblData[[#This Row],[SKorea LogiP(t)]]/$AS$9,"")</f>
        <v>1617.3905950832939</v>
      </c>
      <c r="AV73" s="11">
        <f>IF(ISNUMBER(tblData[Days'# UK]),betaUK/(deltaUK+betaPodeltaUK*EXP(-betaUK*tblData[Days'# UK])),"")</f>
        <v>9737.9969169416108</v>
      </c>
      <c r="AW73" s="21" t="str">
        <f>IF(ISNUMBER(tblData[UK]),(tblData[[#This Row],[UK LogiP(t)]]-tblData[[#This Row],[UK]])^2,"")</f>
        <v/>
      </c>
      <c r="AX73" s="21">
        <f>IF(ISNUMBER(tblData[Days'# UK]),tblData[[#This Row],[UK LogiP(t)]]/$AV$9,"")</f>
        <v>1465.6828592627348</v>
      </c>
      <c r="AY73" s="11">
        <f>IF(ISNUMBER(tblData[Days'# China]),betaChina/(deltaChina+betaPodeltaChina*EXP(-betaChina*tblData[Days'# China])),"")</f>
        <v>80946.978825461061</v>
      </c>
      <c r="AZ73" s="11" t="str">
        <f>IF(ISNUMBER(tblData[China]),(tblData[[#This Row],[China LogiP(t)]]-tblData[[#This Row],[China]])^2,"")</f>
        <v/>
      </c>
      <c r="BA73" s="11">
        <f>tblData[[#This Row],[China LogiP(t)]]/$AY$9</f>
        <v>562.39589851297683</v>
      </c>
      <c r="BB73" s="11"/>
      <c r="BC73" s="11"/>
      <c r="BD73" s="11" t="str">
        <f>IF(ISNUMBER(tblData[[#This Row],[NSW Number of Tests]]),tblData[[#This Row],[NSW Number of Tests]]-BB72,"")</f>
        <v/>
      </c>
      <c r="BE73" s="11" t="str">
        <f>IF(ISNUMBER(tblData[[#This Row],[NSW Under Investigation'']]),tblData[[#This Row],[NSW Under Investigation'']]-BC72,"")</f>
        <v/>
      </c>
      <c r="BF73" s="11">
        <f t="shared" si="6"/>
        <v>18</v>
      </c>
      <c r="BG73" s="11">
        <f>IF(ISNUMBER(tblData[[#This Row],[NSW Test Day Number]]),betaTest/(deltaTest+betaPodeltaTest*EXP(-betaTest*tblData[[#This Row],[NSW Test Day Number]])),"")</f>
        <v>76690.720598271175</v>
      </c>
      <c r="BH73" s="11" t="str">
        <f>IF(ISNUMBER(tblData[[#This Row],[NSW Number of Tests]]),(tblData[[#This Row],[NSW Number of Tests]]-tblData[[#This Row],[NSW Test Logi]])^2,"")</f>
        <v/>
      </c>
      <c r="BY73"/>
      <c r="BZ73"/>
      <c r="CJ73" s="26"/>
      <c r="CK73" s="26"/>
    </row>
    <row r="74" spans="2:173" x14ac:dyDescent="0.25">
      <c r="B74" s="1">
        <f t="shared" si="10"/>
        <v>43915</v>
      </c>
      <c r="D74" s="26"/>
      <c r="L74" s="12" t="str">
        <f>IF(ISNUMBER(tblData[[#This Row],[NSW]]),tblData[[#This Row],[New South Wales]]/$L$9,"")</f>
        <v/>
      </c>
      <c r="M74" s="26"/>
      <c r="N74" s="49" t="str">
        <f>IF(ISNUMBER(tblData[Italy]),tblData[Italy]/$N$9,"")</f>
        <v/>
      </c>
      <c r="O74" s="26"/>
      <c r="P74" s="49" t="str">
        <f>IF(ISNUMBER(tblData[US]),tblData[US]/$P$9,"")</f>
        <v/>
      </c>
      <c r="Q74" s="49"/>
      <c r="R74" s="19" t="str">
        <f>IF(ISNUMBER(tblData[SKorea]),tblData[SKorea]/$R$9,"")</f>
        <v/>
      </c>
      <c r="S74" s="49"/>
      <c r="T74" s="12" t="str">
        <f>IF(ISNUMBER(tblData[UK]),tblData[UK]/$T$9,"")</f>
        <v/>
      </c>
      <c r="U74" s="26"/>
      <c r="V74" s="21" t="str">
        <f>IF(ISNUMBER(tblData[China]),tblData[China]/$V$9,"")</f>
        <v/>
      </c>
      <c r="W74" s="26">
        <f>IF(tblData[[#This Row],[Date]]&lt;ItalyStart,"",tblData[[#This Row],[Date]]-ItalyStart)</f>
        <v>55</v>
      </c>
      <c r="X74" s="26">
        <f t="shared" si="7"/>
        <v>45</v>
      </c>
      <c r="Y74" s="26">
        <f t="shared" si="3"/>
        <v>63</v>
      </c>
      <c r="Z74" s="26">
        <f>IF(tblData[[#This Row],[Date]]&lt;StartDt2Korea,"",tblData[[#This Row],[Date]]-StartDt2Korea)</f>
        <v>35</v>
      </c>
      <c r="AA74" s="26">
        <f>IF(tblData[[#This Row],[Date]]&lt;UKStart,"",tblData[[#This Row],[Date]]-UKStart)</f>
        <v>55</v>
      </c>
      <c r="AB74">
        <f>IF(tblData[Date]&gt;=StartDt2Au,tblData[Date]-StartDt2Au,"")</f>
        <v>60</v>
      </c>
      <c r="AC74" s="26" t="str">
        <f>IF(tblData[New South Wales]&gt;0,SUM(tblData[[#This Row],[Australian Capital Territory]:[Western Australia]]),"")</f>
        <v/>
      </c>
      <c r="AD74" s="12" t="str">
        <f>IF(ISNUMBER(tblData[Au]),tblData[Au]/$AA$9,"")</f>
        <v/>
      </c>
      <c r="AE74" s="19">
        <f>IF(ISNUMBER(tblData[[#This Row],[Day'# Aust]]),betaAu/(deltaAu+betaPodeltaAu*EXP(-betaAu*tblData[[#This Row],[Day'# Aust]])),"")</f>
        <v>2438.3830670590628</v>
      </c>
      <c r="AF74" s="72">
        <f>IF(ISNUMBER(tblData[Day'# Aust]),tblData[Au LogiP(t)]/$AD$9,"")</f>
        <v>961.35588513604432</v>
      </c>
      <c r="AG74" s="11" t="str">
        <f>IF(AND(tblData[Date]&gt;=StartDt2Au,ISNUMBER(tblData[NSW])),(tblData[[#This Row],[Au LogiP(t)]]-tblData[[#This Row],[Au]])^2,"")</f>
        <v/>
      </c>
      <c r="AH74">
        <f>IF(tblData[Date]&gt;StartDt2NSW,tblData[Date]-StartDt2NSW,"")</f>
        <v>60</v>
      </c>
      <c r="AI74" t="str">
        <f t="shared" si="9"/>
        <v/>
      </c>
      <c r="AJ74" s="11">
        <f>IF(tblData[Date]&gt;StartDt2NSW,betaNSW/(deltaNSW+betaPodeltaNSW*EXP(-betaNSW*tblData[[#This Row],[Day '# NSW]])),"")</f>
        <v>844.74351659708771</v>
      </c>
      <c r="AK74" s="12" t="str">
        <f>IF(AND(ISNUMBER(tblData[NSW]),tblData[Date]&gt;StartDt2NSW),(tblData[[#This Row],[NSW LogiP(t)]]-tblData[[#This Row],[NSW]])^2,"")</f>
        <v/>
      </c>
      <c r="AL74" s="12">
        <f>IF(AND(tblData[Date]&gt;StartDt2NSW,ISNUMBER(tblData[Day'# Aust])),tblData[NSW LogiP(t)]/$AG$9,"")</f>
        <v>1045.4746492538213</v>
      </c>
      <c r="AM74" s="11">
        <f>IF(AND(tblData[Date]&gt;StartDt2Italy,ISNUMBER(tblData[Days'# Italy])),betaItaly/(deltaItaly+betaPodeltaItaly*EXP(-betaItaly*tblData[Days'# Italy])),"")</f>
        <v>51473.948547111104</v>
      </c>
      <c r="AN74" s="11" t="str">
        <f>IF(AND(tblData[Date]&gt;StartDt2Italy,ISNUMBER(tblData[Italy])),(tblData[[#This Row],[Italy LogiP(t)]]-tblData[[#This Row],[Italy]])^2,"")</f>
        <v/>
      </c>
      <c r="AO74" s="44">
        <f>IF(AND(tblData[Date]&gt;StartDt2Italy,ISNUMBER(tblData[Days'# Italy])),tblData[[#This Row],[Italy LogiP(t)]]/$AM$9,"")</f>
        <v>8515.1279647826468</v>
      </c>
      <c r="AP74" s="21">
        <f>IF(ISNUMBER(tblData[[#This Row],[Days'# US]]),betaUS/(deltaUS+betaPodeltaUS*EXP(-betaUS*tblData[Days'# US])),"")</f>
        <v>106648.79971269514</v>
      </c>
      <c r="AQ74" s="11" t="str">
        <f>IF(ISNUMBER(tblData[US]),(tblData[[#This Row],[US LogiP(t)]]-tblData[US])^2,"")</f>
        <v/>
      </c>
      <c r="AR74" s="21">
        <f>IF(ISNUMBER(tblData[[#This Row],[Days'# US]]),tblData[[#This Row],[US LogiP(t)]]/$AP$9,"")</f>
        <v>3239.3624476806749</v>
      </c>
      <c r="AS74" s="21">
        <f>IF(tblData[Date]&gt;=StartDt2Korea,betaSKorea/(deltaSKorea+betaPodeltaSKorea*EXP(-betaSKorea*(tblData[Date]-StartDt2Korea))),"")</f>
        <v>8315.0610479391216</v>
      </c>
      <c r="AT74" s="21" t="str">
        <f>IF(AND(tblData[Date]&gt;=StartDt2Korea,ISNUMBER(tblData[SKorea])),(tblData[[#This Row],[SKorea LogiP(t)]]-tblData[[#This Row],[SKorea]])^2,"")</f>
        <v/>
      </c>
      <c r="AU74" s="21">
        <f>IF(tblData[Date]&gt;=StartDt2Korea,tblData[[#This Row],[SKorea LogiP(t)]]/$AS$9,"")</f>
        <v>1617.7161571865997</v>
      </c>
      <c r="AV74" s="11">
        <f>IF(ISNUMBER(tblData[Days'# UK]),betaUK/(deltaUK+betaPodeltaUK*EXP(-betaUK*tblData[Days'# UK])),"")</f>
        <v>12263.406289824465</v>
      </c>
      <c r="AW74" s="21" t="str">
        <f>IF(ISNUMBER(tblData[UK]),(tblData[[#This Row],[UK LogiP(t)]]-tblData[[#This Row],[UK]])^2,"")</f>
        <v/>
      </c>
      <c r="AX74" s="21">
        <f>IF(ISNUMBER(tblData[Days'# UK]),tblData[[#This Row],[UK LogiP(t)]]/$AV$9,"")</f>
        <v>1845.7866179747839</v>
      </c>
      <c r="AY74" s="11">
        <f>IF(ISNUMBER(tblData[Days'# China]),betaChina/(deltaChina+betaPodeltaChina*EXP(-betaChina*tblData[Days'# China])),"")</f>
        <v>80947.847841597948</v>
      </c>
      <c r="AZ74" s="11" t="str">
        <f>IF(ISNUMBER(tblData[China]),(tblData[[#This Row],[China LogiP(t)]]-tblData[[#This Row],[China]])^2,"")</f>
        <v/>
      </c>
      <c r="BA74" s="11">
        <f>tblData[[#This Row],[China LogiP(t)]]/$AY$9</f>
        <v>562.40193618255046</v>
      </c>
      <c r="BB74" s="11"/>
      <c r="BC74" s="11"/>
      <c r="BD74" s="11" t="str">
        <f>IF(ISNUMBER(tblData[[#This Row],[NSW Number of Tests]]),tblData[[#This Row],[NSW Number of Tests]]-BB73,"")</f>
        <v/>
      </c>
      <c r="BE74" s="11" t="str">
        <f>IF(ISNUMBER(tblData[[#This Row],[NSW Under Investigation'']]),tblData[[#This Row],[NSW Under Investigation'']]-BC73,"")</f>
        <v/>
      </c>
      <c r="BF74" s="11">
        <f t="shared" si="6"/>
        <v>19</v>
      </c>
      <c r="BG74" s="11">
        <f>IF(ISNUMBER(tblData[[#This Row],[NSW Test Day Number]]),betaTest/(deltaTest+betaPodeltaTest*EXP(-betaTest*tblData[[#This Row],[NSW Test Day Number]])),"")</f>
        <v>86574.414084765027</v>
      </c>
      <c r="BH74" s="11" t="str">
        <f>IF(ISNUMBER(tblData[[#This Row],[NSW Number of Tests]]),(tblData[[#This Row],[NSW Number of Tests]]-tblData[[#This Row],[NSW Test Logi]])^2,"")</f>
        <v/>
      </c>
      <c r="BY74"/>
      <c r="BZ74"/>
      <c r="CJ74" s="26"/>
      <c r="CK74" s="26"/>
    </row>
    <row r="75" spans="2:173" x14ac:dyDescent="0.25">
      <c r="B75" s="1">
        <f t="shared" si="10"/>
        <v>43916</v>
      </c>
      <c r="D75" s="26"/>
      <c r="L75" s="12" t="str">
        <f>IF(ISNUMBER(tblData[[#This Row],[NSW]]),tblData[[#This Row],[New South Wales]]/$L$9,"")</f>
        <v/>
      </c>
      <c r="M75" s="26"/>
      <c r="N75" s="49" t="str">
        <f>IF(ISNUMBER(tblData[Italy]),tblData[Italy]/$N$9,"")</f>
        <v/>
      </c>
      <c r="O75" s="26"/>
      <c r="P75" s="49" t="str">
        <f>IF(ISNUMBER(tblData[US]),tblData[US]/$P$9,"")</f>
        <v/>
      </c>
      <c r="Q75" s="49"/>
      <c r="R75" s="19" t="str">
        <f>IF(ISNUMBER(tblData[SKorea]),tblData[SKorea]/$R$9,"")</f>
        <v/>
      </c>
      <c r="S75" s="49"/>
      <c r="T75" s="12" t="str">
        <f>IF(ISNUMBER(tblData[UK]),tblData[UK]/$T$9,"")</f>
        <v/>
      </c>
      <c r="U75" s="26"/>
      <c r="V75" s="21" t="str">
        <f>IF(ISNUMBER(tblData[China]),tblData[China]/$V$9,"")</f>
        <v/>
      </c>
      <c r="W75" s="26">
        <f>IF(tblData[[#This Row],[Date]]&lt;ItalyStart,"",tblData[[#This Row],[Date]]-ItalyStart)</f>
        <v>56</v>
      </c>
      <c r="X75" s="26">
        <f t="shared" si="7"/>
        <v>46</v>
      </c>
      <c r="Y75" s="26">
        <f t="shared" si="3"/>
        <v>64</v>
      </c>
      <c r="Z75" s="26">
        <f>IF(tblData[[#This Row],[Date]]&lt;StartDt2Korea,"",tblData[[#This Row],[Date]]-StartDt2Korea)</f>
        <v>36</v>
      </c>
      <c r="AA75" s="26">
        <f>IF(tblData[[#This Row],[Date]]&lt;UKStart,"",tblData[[#This Row],[Date]]-UKStart)</f>
        <v>56</v>
      </c>
      <c r="AB75">
        <f>IF(tblData[Date]&gt;=StartDt2Au,tblData[Date]-StartDt2Au,"")</f>
        <v>61</v>
      </c>
      <c r="AC75" s="26" t="str">
        <f>IF(tblData[New South Wales]&gt;0,SUM(tblData[[#This Row],[Australian Capital Territory]:[Western Australia]]),"")</f>
        <v/>
      </c>
      <c r="AD75" s="12" t="str">
        <f>IF(ISNUMBER(tblData[Au]),tblData[Au]/$AA$9,"")</f>
        <v/>
      </c>
      <c r="AE75" s="19">
        <f>IF(ISNUMBER(tblData[[#This Row],[Day'# Aust]]),betaAu/(deltaAu+betaPodeltaAu*EXP(-betaAu*tblData[[#This Row],[Day'# Aust]])),"")</f>
        <v>2997.62931267772</v>
      </c>
      <c r="AF75" s="72">
        <f>IF(ISNUMBER(tblData[Day'# Aust]),tblData[Au LogiP(t)]/$AD$9,"")</f>
        <v>1181.8440753342218</v>
      </c>
      <c r="AG75" s="11" t="str">
        <f>IF(AND(tblData[Date]&gt;=StartDt2Au,ISNUMBER(tblData[NSW])),(tblData[[#This Row],[Au LogiP(t)]]-tblData[[#This Row],[Au]])^2,"")</f>
        <v/>
      </c>
      <c r="AH75">
        <f>IF(tblData[Date]&gt;StartDt2NSW,tblData[Date]-StartDt2NSW,"")</f>
        <v>61</v>
      </c>
      <c r="AI75" t="str">
        <f t="shared" si="9"/>
        <v/>
      </c>
      <c r="AJ75" s="11">
        <f>IF(tblData[Date]&gt;StartDt2NSW,betaNSW/(deltaNSW+betaPodeltaNSW*EXP(-betaNSW*tblData[[#This Row],[Day '# NSW]])),"")</f>
        <v>971.30764324261759</v>
      </c>
      <c r="AK75" s="12" t="str">
        <f>IF(AND(ISNUMBER(tblData[NSW]),tblData[Date]&gt;StartDt2NSW),(tblData[[#This Row],[NSW LogiP(t)]]-tblData[[#This Row],[NSW]])^2,"")</f>
        <v/>
      </c>
      <c r="AL75" s="12">
        <f>IF(AND(tblData[Date]&gt;StartDt2NSW,ISNUMBER(tblData[Day'# Aust])),tblData[NSW LogiP(t)]/$AG$9,"")</f>
        <v>1202.1134198547247</v>
      </c>
      <c r="AM75" s="11">
        <f>IF(AND(tblData[Date]&gt;StartDt2Italy,ISNUMBER(tblData[Days'# Italy])),betaItaly/(deltaItaly+betaPodeltaItaly*EXP(-betaItaly*tblData[Days'# Italy])),"")</f>
        <v>52324.013459571506</v>
      </c>
      <c r="AN75" s="11" t="str">
        <f>IF(AND(tblData[Date]&gt;StartDt2Italy,ISNUMBER(tblData[Italy])),(tblData[[#This Row],[Italy LogiP(t)]]-tblData[[#This Row],[Italy]])^2,"")</f>
        <v/>
      </c>
      <c r="AO75" s="44">
        <f>IF(AND(tblData[Date]&gt;StartDt2Italy,ISNUMBER(tblData[Days'# Italy])),tblData[[#This Row],[Italy LogiP(t)]]/$AM$9,"")</f>
        <v>8655.7507790854434</v>
      </c>
      <c r="AP75" s="21">
        <f>IF(ISNUMBER(tblData[[#This Row],[Days'# US]]),betaUS/(deltaUS+betaPodeltaUS*EXP(-betaUS*tblData[Days'# US])),"")</f>
        <v>150974.19855374246</v>
      </c>
      <c r="AQ75" s="11" t="str">
        <f>IF(ISNUMBER(tblData[US]),(tblData[[#This Row],[US LogiP(t)]]-tblData[US])^2,"")</f>
        <v/>
      </c>
      <c r="AR75" s="21">
        <f>IF(ISNUMBER(tblData[[#This Row],[Days'# US]]),tblData[[#This Row],[US LogiP(t)]]/$AP$9,"")</f>
        <v>4585.7070185616276</v>
      </c>
      <c r="AS75" s="21">
        <f>IF(tblData[Date]&gt;=StartDt2Korea,betaSKorea/(deltaSKorea+betaPodeltaSKorea*EXP(-betaSKorea*(tblData[Date]-StartDt2Korea))),"")</f>
        <v>8316.2697372591083</v>
      </c>
      <c r="AT75" s="21" t="str">
        <f>IF(AND(tblData[Date]&gt;=StartDt2Korea,ISNUMBER(tblData[SKorea])),(tblData[[#This Row],[SKorea LogiP(t)]]-tblData[[#This Row],[SKorea]])^2,"")</f>
        <v/>
      </c>
      <c r="AU75" s="21">
        <f>IF(tblData[Date]&gt;=StartDt2Korea,tblData[[#This Row],[SKorea LogiP(t)]]/$AS$9,"")</f>
        <v>1617.9513107507994</v>
      </c>
      <c r="AV75" s="11">
        <f>IF(ISNUMBER(tblData[Days'# UK]),betaUK/(deltaUK+betaPodeltaUK*EXP(-betaUK*tblData[Days'# UK])),"")</f>
        <v>15443.700378994063</v>
      </c>
      <c r="AW75" s="21" t="str">
        <f>IF(ISNUMBER(tblData[UK]),(tblData[[#This Row],[UK LogiP(t)]]-tblData[[#This Row],[UK]])^2,"")</f>
        <v/>
      </c>
      <c r="AX75" s="21">
        <f>IF(ISNUMBER(tblData[Days'# UK]),tblData[[#This Row],[UK LogiP(t)]]/$AV$9,"")</f>
        <v>2324.458214779359</v>
      </c>
      <c r="AY75" s="11">
        <f>IF(ISNUMBER(tblData[Days'# China]),betaChina/(deltaChina+betaPodeltaChina*EXP(-betaChina*tblData[Days'# China])),"")</f>
        <v>80948.543763907132</v>
      </c>
      <c r="AZ75" s="11" t="str">
        <f>IF(ISNUMBER(tblData[China]),(tblData[[#This Row],[China LogiP(t)]]-tblData[[#This Row],[China]])^2,"")</f>
        <v/>
      </c>
      <c r="BA75" s="11">
        <f>tblData[[#This Row],[China LogiP(t)]]/$AY$9</f>
        <v>562.40677124691047</v>
      </c>
      <c r="BB75" s="11"/>
      <c r="BC75" s="11"/>
      <c r="BD75" s="11" t="str">
        <f>IF(ISNUMBER(tblData[[#This Row],[NSW Number of Tests]]),tblData[[#This Row],[NSW Number of Tests]]-BB74,"")</f>
        <v/>
      </c>
      <c r="BE75" s="11" t="str">
        <f>IF(ISNUMBER(tblData[[#This Row],[NSW Under Investigation'']]),tblData[[#This Row],[NSW Under Investigation'']]-BC74,"")</f>
        <v/>
      </c>
      <c r="BF75" s="11">
        <f t="shared" si="6"/>
        <v>20</v>
      </c>
      <c r="BG75" s="11">
        <f>IF(ISNUMBER(tblData[[#This Row],[NSW Test Day Number]]),betaTest/(deltaTest+betaPodeltaTest*EXP(-betaTest*tblData[[#This Row],[NSW Test Day Number]])),"")</f>
        <v>97155.726134002703</v>
      </c>
      <c r="BH75" s="11" t="str">
        <f>IF(ISNUMBER(tblData[[#This Row],[NSW Number of Tests]]),(tblData[[#This Row],[NSW Number of Tests]]-tblData[[#This Row],[NSW Test Logi]])^2,"")</f>
        <v/>
      </c>
      <c r="BY75"/>
      <c r="BZ75"/>
      <c r="CJ75" s="26"/>
      <c r="CK75" s="26"/>
    </row>
    <row r="76" spans="2:173" x14ac:dyDescent="0.25">
      <c r="B76" s="1">
        <f t="shared" si="10"/>
        <v>43917</v>
      </c>
      <c r="D76" s="26"/>
      <c r="L76" s="12" t="str">
        <f>IF(ISNUMBER(tblData[[#This Row],[NSW]]),tblData[[#This Row],[New South Wales]]/$L$9,"")</f>
        <v/>
      </c>
      <c r="M76" s="26"/>
      <c r="N76" s="49" t="str">
        <f>IF(ISNUMBER(tblData[Italy]),tblData[Italy]/$N$9,"")</f>
        <v/>
      </c>
      <c r="O76" s="26"/>
      <c r="P76" s="49" t="str">
        <f>IF(ISNUMBER(tblData[US]),tblData[US]/$P$9,"")</f>
        <v/>
      </c>
      <c r="Q76" s="49"/>
      <c r="R76" s="19" t="str">
        <f>IF(ISNUMBER(tblData[SKorea]),tblData[SKorea]/$R$9,"")</f>
        <v/>
      </c>
      <c r="S76" s="49"/>
      <c r="T76" s="12" t="str">
        <f>IF(ISNUMBER(tblData[UK]),tblData[UK]/$T$9,"")</f>
        <v/>
      </c>
      <c r="U76" s="26"/>
      <c r="V76" s="21" t="str">
        <f>IF(ISNUMBER(tblData[China]),tblData[China]/$V$9,"")</f>
        <v/>
      </c>
      <c r="W76" s="26">
        <f>IF(tblData[[#This Row],[Date]]&lt;ItalyStart,"",tblData[[#This Row],[Date]]-ItalyStart)</f>
        <v>57</v>
      </c>
      <c r="X76" s="26">
        <f t="shared" si="7"/>
        <v>47</v>
      </c>
      <c r="Y76" s="26">
        <f t="shared" si="3"/>
        <v>65</v>
      </c>
      <c r="Z76" s="26">
        <f>IF(tblData[[#This Row],[Date]]&lt;StartDt2Korea,"",tblData[[#This Row],[Date]]-StartDt2Korea)</f>
        <v>37</v>
      </c>
      <c r="AA76" s="26">
        <f>IF(tblData[[#This Row],[Date]]&lt;UKStart,"",tblData[[#This Row],[Date]]-UKStart)</f>
        <v>57</v>
      </c>
      <c r="AB76">
        <f>IF(tblData[Date]&gt;=StartDt2Au,tblData[Date]-StartDt2Au,"")</f>
        <v>62</v>
      </c>
      <c r="AC76" s="26" t="str">
        <f>IF(tblData[New South Wales]&gt;0,SUM(tblData[[#This Row],[Australian Capital Territory]:[Western Australia]]),"")</f>
        <v/>
      </c>
      <c r="AD76" s="12" t="str">
        <f>IF(ISNUMBER(tblData[Au]),tblData[Au]/$AA$9,"")</f>
        <v/>
      </c>
      <c r="AE76" s="19">
        <f>IF(ISNUMBER(tblData[[#This Row],[Day'# Aust]]),betaAu/(deltaAu+betaPodeltaAu*EXP(-betaAu*tblData[[#This Row],[Day'# Aust]])),"")</f>
        <v>3685.1371041348948</v>
      </c>
      <c r="AF76" s="72">
        <f>IF(ISNUMBER(tblData[Day'# Aust]),tblData[Au LogiP(t)]/$AD$9,"")</f>
        <v>1452.9006087899759</v>
      </c>
      <c r="AG76" s="11" t="str">
        <f>IF(AND(tblData[Date]&gt;=StartDt2Au,ISNUMBER(tblData[NSW])),(tblData[[#This Row],[Au LogiP(t)]]-tblData[[#This Row],[Au]])^2,"")</f>
        <v/>
      </c>
      <c r="AH76">
        <f>IF(tblData[Date]&gt;StartDt2NSW,tblData[Date]-StartDt2NSW,"")</f>
        <v>62</v>
      </c>
      <c r="AI76" t="str">
        <f t="shared" si="9"/>
        <v/>
      </c>
      <c r="AJ76" s="11">
        <f>IF(tblData[Date]&gt;StartDt2NSW,betaNSW/(deltaNSW+betaPodeltaNSW*EXP(-betaNSW*tblData[[#This Row],[Day '# NSW]])),"")</f>
        <v>1105.6817008259102</v>
      </c>
      <c r="AK76" s="12" t="str">
        <f>IF(AND(ISNUMBER(tblData[NSW]),tblData[Date]&gt;StartDt2NSW),(tblData[[#This Row],[NSW LogiP(t)]]-tblData[[#This Row],[NSW]])^2,"")</f>
        <v/>
      </c>
      <c r="AL76" s="12">
        <f>IF(AND(tblData[Date]&gt;StartDt2NSW,ISNUMBER(tblData[Day'# Aust])),tblData[NSW LogiP(t)]/$AG$9,"")</f>
        <v>1368.4179465667205</v>
      </c>
      <c r="AM76" s="11">
        <f>IF(AND(tblData[Date]&gt;StartDt2Italy,ISNUMBER(tblData[Days'# Italy])),betaItaly/(deltaItaly+betaPodeltaItaly*EXP(-betaItaly*tblData[Days'# Italy])),"")</f>
        <v>52998.730489911883</v>
      </c>
      <c r="AN76" s="11" t="str">
        <f>IF(AND(tblData[Date]&gt;StartDt2Italy,ISNUMBER(tblData[Italy])),(tblData[[#This Row],[Italy LogiP(t)]]-tblData[[#This Row],[Italy]])^2,"")</f>
        <v/>
      </c>
      <c r="AO76" s="44">
        <f>IF(AND(tblData[Date]&gt;StartDt2Italy,ISNUMBER(tblData[Days'# Italy])),tblData[[#This Row],[Italy LogiP(t)]]/$AM$9,"")</f>
        <v>8767.3664995718591</v>
      </c>
      <c r="AP76" s="21">
        <f>IF(ISNUMBER(tblData[[#This Row],[Days'# US]]),betaUS/(deltaUS+betaPodeltaUS*EXP(-betaUS*tblData[Days'# US])),"")</f>
        <v>213710.80305058759</v>
      </c>
      <c r="AQ76" s="11" t="str">
        <f>IF(ISNUMBER(tblData[US]),(tblData[[#This Row],[US LogiP(t)]]-tblData[US])^2,"")</f>
        <v/>
      </c>
      <c r="AR76" s="21">
        <f>IF(ISNUMBER(tblData[[#This Row],[Days'# US]]),tblData[[#This Row],[US LogiP(t)]]/$AP$9,"")</f>
        <v>6491.2755880115774</v>
      </c>
      <c r="AS76" s="21">
        <f>IF(tblData[Date]&gt;=StartDt2Korea,betaSKorea/(deltaSKorea+betaPodeltaSKorea*EXP(-betaSKorea*(tblData[Date]-StartDt2Korea))),"")</f>
        <v>8317.1426896931807</v>
      </c>
      <c r="AT76" s="21" t="str">
        <f>IF(AND(tblData[Date]&gt;=StartDt2Korea,ISNUMBER(tblData[SKorea])),(tblData[[#This Row],[SKorea LogiP(t)]]-tblData[[#This Row],[SKorea]])^2,"")</f>
        <v/>
      </c>
      <c r="AU76" s="21">
        <f>IF(tblData[Date]&gt;=StartDt2Korea,tblData[[#This Row],[SKorea LogiP(t)]]/$AS$9,"")</f>
        <v>1618.1211458547045</v>
      </c>
      <c r="AV76" s="11">
        <f>IF(ISNUMBER(tblData[Days'# UK]),betaUK/(deltaUK+betaPodeltaUK*EXP(-betaUK*tblData[Days'# UK])),"")</f>
        <v>19448.67703674324</v>
      </c>
      <c r="AW76" s="21" t="str">
        <f>IF(ISNUMBER(tblData[UK]),(tblData[[#This Row],[UK LogiP(t)]]-tblData[[#This Row],[UK]])^2,"")</f>
        <v/>
      </c>
      <c r="AX76" s="21">
        <f>IF(ISNUMBER(tblData[Days'# UK]),tblData[[#This Row],[UK LogiP(t)]]/$AV$9,"")</f>
        <v>2927.2542198590068</v>
      </c>
      <c r="AY76" s="11">
        <f>IF(ISNUMBER(tblData[Days'# China]),betaChina/(deltaChina+betaPodeltaChina*EXP(-betaChina*tblData[Days'# China])),"")</f>
        <v>80949.10106770719</v>
      </c>
      <c r="AZ76" s="11" t="str">
        <f>IF(ISNUMBER(tblData[China]),(tblData[[#This Row],[China LogiP(t)]]-tblData[[#This Row],[China]])^2,"")</f>
        <v/>
      </c>
      <c r="BA76" s="11">
        <f>tblData[[#This Row],[China LogiP(t)]]/$AY$9</f>
        <v>562.41064323047203</v>
      </c>
      <c r="BB76" s="11"/>
      <c r="BC76" s="11"/>
      <c r="BD76" s="11" t="str">
        <f>IF(ISNUMBER(tblData[[#This Row],[NSW Number of Tests]]),tblData[[#This Row],[NSW Number of Tests]]-BB75,"")</f>
        <v/>
      </c>
      <c r="BE76" s="11" t="str">
        <f>IF(ISNUMBER(tblData[[#This Row],[NSW Under Investigation'']]),tblData[[#This Row],[NSW Under Investigation'']]-BC75,"")</f>
        <v/>
      </c>
      <c r="BF76" s="11">
        <f t="shared" si="6"/>
        <v>21</v>
      </c>
      <c r="BG76" s="11">
        <f>IF(ISNUMBER(tblData[[#This Row],[NSW Test Day Number]]),betaTest/(deltaTest+betaPodeltaTest*EXP(-betaTest*tblData[[#This Row],[NSW Test Day Number]])),"")</f>
        <v>108346.48269569721</v>
      </c>
      <c r="BH76" s="11" t="str">
        <f>IF(ISNUMBER(tblData[[#This Row],[NSW Number of Tests]]),(tblData[[#This Row],[NSW Number of Tests]]-tblData[[#This Row],[NSW Test Logi]])^2,"")</f>
        <v/>
      </c>
      <c r="BY76"/>
      <c r="BZ76"/>
      <c r="CJ76" s="26"/>
      <c r="CK76" s="26"/>
    </row>
    <row r="77" spans="2:173" s="55" customFormat="1" x14ac:dyDescent="0.25">
      <c r="B77" s="54">
        <f t="shared" si="10"/>
        <v>43918</v>
      </c>
      <c r="L77" s="12" t="str">
        <f>IF(ISNUMBER(tblData[[#This Row],[NSW]]),tblData[[#This Row],[New South Wales]]/$L$9,"")</f>
        <v/>
      </c>
      <c r="N77" s="56" t="str">
        <f>IF(ISNUMBER(tblData[Italy]),tblData[Italy]/$N$9,"")</f>
        <v/>
      </c>
      <c r="P77" s="56" t="str">
        <f>IF(ISNUMBER(tblData[US]),tblData[US]/$P$9,"")</f>
        <v/>
      </c>
      <c r="Q77" s="56"/>
      <c r="R77" s="19" t="str">
        <f>IF(ISNUMBER(tblData[SKorea]),tblData[SKorea]/$R$9,"")</f>
        <v/>
      </c>
      <c r="S77" s="56"/>
      <c r="T77" s="12" t="str">
        <f>IF(ISNUMBER(tblData[UK]),tblData[UK]/$T$9,"")</f>
        <v/>
      </c>
      <c r="V77" s="61" t="str">
        <f>IF(ISNUMBER(tblData[China]),tblData[China]/$V$9,"")</f>
        <v/>
      </c>
      <c r="W77" s="26">
        <f>IF(tblData[[#This Row],[Date]]&lt;ItalyStart,"",tblData[[#This Row],[Date]]-ItalyStart)</f>
        <v>58</v>
      </c>
      <c r="X77" s="26">
        <f t="shared" si="7"/>
        <v>48</v>
      </c>
      <c r="Y77" s="55">
        <f t="shared" ref="Y77:Y107" si="11">Y76+1</f>
        <v>66</v>
      </c>
      <c r="Z77" s="55">
        <f>IF(tblData[[#This Row],[Date]]&lt;StartDt2Korea,"",tblData[[#This Row],[Date]]-StartDt2Korea)</f>
        <v>38</v>
      </c>
      <c r="AA77" s="55">
        <f>IF(tblData[[#This Row],[Date]]&lt;UKStart,"",tblData[[#This Row],[Date]]-UKStart)</f>
        <v>58</v>
      </c>
      <c r="AB77" s="55">
        <f>IF(tblData[Date]&gt;=StartDt2Au,tblData[Date]-StartDt2Au,"")</f>
        <v>63</v>
      </c>
      <c r="AC77" s="55" t="str">
        <f>IF(tblData[New South Wales]&gt;0,SUM(tblData[[#This Row],[Australian Capital Territory]:[Western Australia]]),"")</f>
        <v/>
      </c>
      <c r="AD77" s="57" t="str">
        <f>IF(ISNUMBER(tblData[Au]),tblData[Au]/$AA$9,"")</f>
        <v/>
      </c>
      <c r="AE77" s="58">
        <f>IF(ISNUMBER(tblData[[#This Row],[Day'# Aust]]),betaAu/(deltaAu+betaPodeltaAu*EXP(-betaAu*tblData[[#This Row],[Day'# Aust]])),"")</f>
        <v>4530.3216940457305</v>
      </c>
      <c r="AF77" s="72">
        <f>IF(ISNUMBER(tblData[Day'# Aust]),tblData[Au LogiP(t)]/$AD$9,"")</f>
        <v>1786.1227306598844</v>
      </c>
      <c r="AG77" s="59" t="str">
        <f>IF(AND(tblData[Date]&gt;=StartDt2Au,ISNUMBER(tblData[NSW])),(tblData[[#This Row],[Au LogiP(t)]]-tblData[[#This Row],[Au]])^2,"")</f>
        <v/>
      </c>
      <c r="AH77" s="55">
        <f>IF(tblData[Date]&gt;StartDt2NSW,tblData[Date]-StartDt2NSW,"")</f>
        <v>63</v>
      </c>
      <c r="AI77" s="55" t="str">
        <f t="shared" si="9"/>
        <v/>
      </c>
      <c r="AJ77" s="11">
        <f>IF(tblData[Date]&gt;StartDt2NSW,betaNSW/(deltaNSW+betaPodeltaNSW*EXP(-betaNSW*tblData[[#This Row],[Day '# NSW]])),"")</f>
        <v>1245.4412245919254</v>
      </c>
      <c r="AK77" s="12" t="str">
        <f>IF(AND(ISNUMBER(tblData[NSW]),tblData[Date]&gt;StartDt2NSW),(tblData[[#This Row],[NSW LogiP(t)]]-tblData[[#This Row],[NSW]])^2,"")</f>
        <v/>
      </c>
      <c r="AL77" s="57">
        <f>IF(AND(tblData[Date]&gt;StartDt2NSW,ISNUMBER(tblData[Day'# Aust])),tblData[NSW LogiP(t)]/$AG$9,"")</f>
        <v>1541.3876541979275</v>
      </c>
      <c r="AM77" s="59">
        <f>IF(AND(tblData[Date]&gt;StartDt2Italy,ISNUMBER(tblData[Days'# Italy])),betaItaly/(deltaItaly+betaPodeltaItaly*EXP(-betaItaly*tblData[Days'# Italy])),"")</f>
        <v>53530.858884956549</v>
      </c>
      <c r="AN77" s="11" t="str">
        <f>IF(AND(tblData[Date]&gt;StartDt2Italy,ISNUMBER(tblData[Italy])),(tblData[[#This Row],[Italy LogiP(t)]]-tblData[[#This Row],[Italy]])^2,"")</f>
        <v/>
      </c>
      <c r="AO77" s="60">
        <f>IF(AND(tblData[Date]&gt;StartDt2Italy,ISNUMBER(tblData[Days'# Italy])),tblData[[#This Row],[Italy LogiP(t)]]/$AM$9,"")</f>
        <v>8855.3943564857818</v>
      </c>
      <c r="AP77" s="61">
        <f>IF(ISNUMBER(tblData[[#This Row],[Days'# US]]),betaUS/(deltaUS+betaPodeltaUS*EXP(-betaUS*tblData[Days'# US])),"")</f>
        <v>302494.61217138683</v>
      </c>
      <c r="AQ77" s="11" t="str">
        <f>IF(ISNUMBER(tblData[US]),(tblData[[#This Row],[US LogiP(t)]]-tblData[US])^2,"")</f>
        <v/>
      </c>
      <c r="AR77" s="61">
        <f>IF(ISNUMBER(tblData[[#This Row],[Days'# US]]),tblData[[#This Row],[US LogiP(t)]]/$AP$9,"")</f>
        <v>9188.0048339360455</v>
      </c>
      <c r="AS77" s="61">
        <f>IF(tblData[Date]&gt;=StartDt2Korea,betaSKorea/(deltaSKorea+betaPodeltaSKorea*EXP(-betaSKorea*(tblData[Date]-StartDt2Korea))),"")</f>
        <v>8317.7731188177695</v>
      </c>
      <c r="AT77" s="61" t="str">
        <f>IF(AND(tblData[Date]&gt;=StartDt2Korea,ISNUMBER(tblData[SKorea])),(tblData[[#This Row],[SKorea LogiP(t)]]-tblData[[#This Row],[SKorea]])^2,"")</f>
        <v/>
      </c>
      <c r="AU77" s="61">
        <f>IF(tblData[Date]&gt;=StartDt2Korea,tblData[[#This Row],[SKorea LogiP(t)]]/$AS$9,"")</f>
        <v>1618.2437974353638</v>
      </c>
      <c r="AV77" s="11">
        <f>IF(ISNUMBER(tblData[Days'# UK]),betaUK/(deltaUK+betaPodeltaUK*EXP(-betaUK*tblData[Days'# UK])),"")</f>
        <v>24492.144074832446</v>
      </c>
      <c r="AW77" s="61" t="str">
        <f>IF(ISNUMBER(tblData[UK]),(tblData[[#This Row],[UK LogiP(t)]]-tblData[[#This Row],[UK]])^2,"")</f>
        <v/>
      </c>
      <c r="AX77" s="61">
        <f>IF(ISNUMBER(tblData[Days'# UK]),tblData[[#This Row],[UK LogiP(t)]]/$AV$9,"")</f>
        <v>3686.3552189693628</v>
      </c>
      <c r="AY77" s="59">
        <f>IF(ISNUMBER(tblData[Days'# China]),betaChina/(deltaChina+betaPodeltaChina*EXP(-betaChina*tblData[Days'# China])),"")</f>
        <v>80949.547362593323</v>
      </c>
      <c r="AZ77" s="59" t="str">
        <f>IF(ISNUMBER(tblData[China]),(tblData[[#This Row],[China LogiP(t)]]-tblData[[#This Row],[China]])^2,"")</f>
        <v/>
      </c>
      <c r="BA77" s="59">
        <f>tblData[[#This Row],[China LogiP(t)]]/$AY$9</f>
        <v>562.41374395661569</v>
      </c>
      <c r="BB77" s="59"/>
      <c r="BC77" s="59"/>
      <c r="BD77" s="59" t="str">
        <f>IF(ISNUMBER(tblData[[#This Row],[NSW Number of Tests]]),tblData[[#This Row],[NSW Number of Tests]]-BB76,"")</f>
        <v/>
      </c>
      <c r="BE77" s="59" t="str">
        <f>IF(ISNUMBER(tblData[[#This Row],[NSW Under Investigation'']]),tblData[[#This Row],[NSW Under Investigation'']]-BC76,"")</f>
        <v/>
      </c>
      <c r="BF77" s="11">
        <f t="shared" si="6"/>
        <v>22</v>
      </c>
      <c r="BG77" s="11">
        <f>IF(ISNUMBER(tblData[[#This Row],[NSW Test Day Number]]),betaTest/(deltaTest+betaPodeltaTest*EXP(-betaTest*tblData[[#This Row],[NSW Test Day Number]])),"")</f>
        <v>120030.05711722217</v>
      </c>
      <c r="BH77" s="59" t="str">
        <f>IF(ISNUMBER(tblData[[#This Row],[NSW Number of Tests]]),(tblData[[#This Row],[NSW Number of Tests]]-tblData[[#This Row],[NSW Test Logi]])^2,"")</f>
        <v/>
      </c>
      <c r="BK77"/>
      <c r="BL77" s="26"/>
      <c r="BM77"/>
      <c r="BN77" s="26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 s="26"/>
      <c r="CK77" s="26"/>
      <c r="CL77"/>
      <c r="CM77"/>
      <c r="CN77"/>
      <c r="CO77"/>
      <c r="CP77"/>
      <c r="CQ77"/>
      <c r="CR77"/>
      <c r="CS77"/>
      <c r="CT77"/>
      <c r="CU77"/>
      <c r="CV77"/>
      <c r="DE77"/>
      <c r="DF77" s="82"/>
      <c r="DG77" s="27"/>
      <c r="DH77" s="27"/>
      <c r="DI77"/>
      <c r="DJ77"/>
      <c r="DK77"/>
      <c r="DL77"/>
      <c r="DM77"/>
      <c r="DN77"/>
      <c r="DO77"/>
      <c r="DP77"/>
      <c r="DQ77"/>
      <c r="DR77" s="27"/>
      <c r="DS77"/>
      <c r="DT77"/>
      <c r="DU77"/>
      <c r="DV77" s="2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</row>
    <row r="78" spans="2:173" x14ac:dyDescent="0.25">
      <c r="B78" s="1">
        <f t="shared" si="10"/>
        <v>43919</v>
      </c>
      <c r="D78" s="26"/>
      <c r="L78" s="12" t="str">
        <f>IF(ISNUMBER(tblData[[#This Row],[NSW]]),tblData[[#This Row],[New South Wales]]/$L$9,"")</f>
        <v/>
      </c>
      <c r="M78" s="26"/>
      <c r="N78" s="49" t="str">
        <f>IF(ISNUMBER(tblData[Italy]),tblData[Italy]/$N$9,"")</f>
        <v/>
      </c>
      <c r="O78" s="26"/>
      <c r="P78" s="49" t="str">
        <f>IF(ISNUMBER(tblData[US]),tblData[US]/$P$9,"")</f>
        <v/>
      </c>
      <c r="Q78" s="49"/>
      <c r="R78" s="19" t="str">
        <f>IF(ISNUMBER(tblData[SKorea]),tblData[SKorea]/$R$9,"")</f>
        <v/>
      </c>
      <c r="S78" s="49"/>
      <c r="T78" s="12" t="str">
        <f>IF(ISNUMBER(tblData[UK]),tblData[UK]/$T$9,"")</f>
        <v/>
      </c>
      <c r="U78" s="26"/>
      <c r="V78" s="21" t="str">
        <f>IF(ISNUMBER(tblData[China]),tblData[China]/$V$9,"")</f>
        <v/>
      </c>
      <c r="W78" s="26">
        <f>IF(tblData[[#This Row],[Date]]&lt;ItalyStart,"",tblData[[#This Row],[Date]]-ItalyStart)</f>
        <v>59</v>
      </c>
      <c r="X78" s="26">
        <f t="shared" si="7"/>
        <v>49</v>
      </c>
      <c r="Y78" s="26">
        <f t="shared" si="11"/>
        <v>67</v>
      </c>
      <c r="Z78" s="26">
        <f>IF(tblData[[#This Row],[Date]]&lt;StartDt2Korea,"",tblData[[#This Row],[Date]]-StartDt2Korea)</f>
        <v>39</v>
      </c>
      <c r="AA78" s="26">
        <f>IF(tblData[[#This Row],[Date]]&lt;UKStart,"",tblData[[#This Row],[Date]]-UKStart)</f>
        <v>59</v>
      </c>
      <c r="AB78">
        <f>IF(tblData[Date]&gt;=StartDt2Au,tblData[Date]-StartDt2Au,"")</f>
        <v>64</v>
      </c>
      <c r="AC78" s="26" t="str">
        <f>IF(tblData[New South Wales]&gt;0,SUM(tblData[[#This Row],[Australian Capital Territory]:[Western Australia]]),"")</f>
        <v/>
      </c>
      <c r="AD78" s="12" t="str">
        <f>IF(ISNUMBER(tblData[Au]),tblData[Au]/$AA$9,"")</f>
        <v/>
      </c>
      <c r="AE78" s="19">
        <f>IF(ISNUMBER(tblData[[#This Row],[Day'# Aust]]),betaAu/(deltaAu+betaPodeltaAu*EXP(-betaAu*tblData[[#This Row],[Day'# Aust]])),"")</f>
        <v>5569.3437732259736</v>
      </c>
      <c r="AF78" s="72">
        <f>IF(ISNUMBER(tblData[Day'# Aust]),tblData[Au LogiP(t)]/$AD$9,"")</f>
        <v>2195.7671397358358</v>
      </c>
      <c r="AG78" s="11" t="str">
        <f>IF(AND(tblData[Date]&gt;=StartDt2Au,ISNUMBER(tblData[NSW])),(tblData[[#This Row],[Au LogiP(t)]]-tblData[[#This Row],[Au]])^2,"")</f>
        <v/>
      </c>
      <c r="AH78">
        <f>IF(tblData[Date]&gt;StartDt2NSW,tblData[Date]-StartDt2NSW,"")</f>
        <v>64</v>
      </c>
      <c r="AI78" t="str">
        <f t="shared" si="9"/>
        <v/>
      </c>
      <c r="AJ78" s="11">
        <f>IF(tblData[Date]&gt;StartDt2NSW,betaNSW/(deltaNSW+betaPodeltaNSW*EXP(-betaNSW*tblData[[#This Row],[Day '# NSW]])),"")</f>
        <v>1387.7245881911435</v>
      </c>
      <c r="AK78" s="12" t="str">
        <f>IF(AND(ISNUMBER(tblData[NSW]),tblData[Date]&gt;StartDt2NSW),(tblData[[#This Row],[NSW LogiP(t)]]-tblData[[#This Row],[NSW]])^2,"")</f>
        <v/>
      </c>
      <c r="AL78" s="12">
        <f>IF(AND(tblData[Date]&gt;StartDt2NSW,ISNUMBER(tblData[Day'# Aust])),tblData[NSW LogiP(t)]/$AG$9,"")</f>
        <v>1717.480925979138</v>
      </c>
      <c r="AM78" s="11">
        <f>IF(AND(tblData[Date]&gt;StartDt2Italy,ISNUMBER(tblData[Days'# Italy])),betaItaly/(deltaItaly+betaPodeltaItaly*EXP(-betaItaly*tblData[Days'# Italy])),"")</f>
        <v>53948.421208807427</v>
      </c>
      <c r="AN78" s="11" t="str">
        <f>IF(AND(tblData[Date]&gt;StartDt2Italy,ISNUMBER(tblData[Italy])),(tblData[[#This Row],[Italy LogiP(t)]]-tblData[[#This Row],[Italy]])^2,"")</f>
        <v/>
      </c>
      <c r="AO78" s="44">
        <f>IF(AND(tblData[Date]&gt;StartDt2Italy,ISNUMBER(tblData[Days'# Italy])),tblData[[#This Row],[Italy LogiP(t)]]/$AM$9,"")</f>
        <v>8924.4700097282766</v>
      </c>
      <c r="AP78" s="21">
        <f>IF(ISNUMBER(tblData[[#This Row],[Days'# US]]),betaUS/(deltaUS+betaPodeltaUS*EXP(-betaUS*tblData[Days'# US])),"")</f>
        <v>428117.23747618735</v>
      </c>
      <c r="AQ78" s="11" t="str">
        <f>IF(ISNUMBER(tblData[US]),(tblData[[#This Row],[US LogiP(t)]]-tblData[US])^2,"")</f>
        <v/>
      </c>
      <c r="AR78" s="21">
        <f>IF(ISNUMBER(tblData[[#This Row],[Days'# US]]),tblData[[#This Row],[US LogiP(t)]]/$AP$9,"")</f>
        <v>13003.680360408853</v>
      </c>
      <c r="AS78" s="21">
        <f>IF(tblData[Date]&gt;=StartDt2Korea,betaSKorea/(deltaSKorea+betaPodeltaSKorea*EXP(-betaSKorea*(tblData[Date]-StartDt2Korea))),"")</f>
        <v>8318.2283794963259</v>
      </c>
      <c r="AT78" s="21" t="str">
        <f>IF(AND(tblData[Date]&gt;=StartDt2Korea,ISNUMBER(tblData[SKorea])),(tblData[[#This Row],[SKorea LogiP(t)]]-tblData[[#This Row],[SKorea]])^2,"")</f>
        <v/>
      </c>
      <c r="AU78" s="21">
        <f>IF(tblData[Date]&gt;=StartDt2Korea,tblData[[#This Row],[SKorea LogiP(t)]]/$AS$9,"")</f>
        <v>1618.3323695518145</v>
      </c>
      <c r="AV78" s="11">
        <f>IF(ISNUMBER(tblData[Days'# UK]),betaUK/(deltaUK+betaPodeltaUK*EXP(-betaUK*tblData[Days'# UK])),"")</f>
        <v>30843.317398371841</v>
      </c>
      <c r="AW78" s="21" t="str">
        <f>IF(ISNUMBER(tblData[UK]),(tblData[[#This Row],[UK LogiP(t)]]-tblData[[#This Row],[UK]])^2,"")</f>
        <v/>
      </c>
      <c r="AX78" s="21">
        <f>IF(ISNUMBER(tblData[Days'# UK]),tblData[[#This Row],[UK LogiP(t)]]/$AV$9,"")</f>
        <v>4642.2813664015412</v>
      </c>
      <c r="AY78" s="11">
        <f>IF(ISNUMBER(tblData[Days'# China]),betaChina/(deltaChina+betaPodeltaChina*EXP(-betaChina*tblData[Days'# China])),"")</f>
        <v>80949.90475946285</v>
      </c>
      <c r="AZ78" s="11" t="str">
        <f>IF(ISNUMBER(tblData[China]),(tblData[[#This Row],[China LogiP(t)]]-tblData[[#This Row],[China]])^2,"")</f>
        <v/>
      </c>
      <c r="BA78" s="11">
        <f>tblData[[#This Row],[China LogiP(t)]]/$AY$9</f>
        <v>562.41622704537917</v>
      </c>
      <c r="BB78" s="11"/>
      <c r="BC78" s="11"/>
      <c r="BD78" s="11" t="str">
        <f>IF(ISNUMBER(tblData[[#This Row],[NSW Number of Tests]]),tblData[[#This Row],[NSW Number of Tests]]-BB77,"")</f>
        <v/>
      </c>
      <c r="BE78" s="11" t="str">
        <f>IF(ISNUMBER(tblData[[#This Row],[NSW Under Investigation'']]),tblData[[#This Row],[NSW Under Investigation'']]-BC77,"")</f>
        <v/>
      </c>
      <c r="BF78" s="11">
        <f t="shared" si="6"/>
        <v>23</v>
      </c>
      <c r="BG78" s="11">
        <f>IF(ISNUMBER(tblData[[#This Row],[NSW Test Day Number]]),betaTest/(deltaTest+betaPodeltaTest*EXP(-betaTest*tblData[[#This Row],[NSW Test Day Number]])),"")</f>
        <v>132064.97818109719</v>
      </c>
      <c r="BH78" s="11" t="str">
        <f>IF(ISNUMBER(tblData[[#This Row],[NSW Number of Tests]]),(tblData[[#This Row],[NSW Number of Tests]]-tblData[[#This Row],[NSW Test Logi]])^2,"")</f>
        <v/>
      </c>
      <c r="BY78"/>
      <c r="BZ78"/>
      <c r="CJ78" s="26"/>
      <c r="CK78" s="26"/>
    </row>
    <row r="79" spans="2:173" x14ac:dyDescent="0.25">
      <c r="B79" s="1">
        <f t="shared" si="10"/>
        <v>43920</v>
      </c>
      <c r="D79" s="26"/>
      <c r="L79" s="12" t="str">
        <f>IF(ISNUMBER(tblData[[#This Row],[NSW]]),tblData[[#This Row],[New South Wales]]/$L$9,"")</f>
        <v/>
      </c>
      <c r="M79" s="26"/>
      <c r="N79" s="49" t="str">
        <f>IF(ISNUMBER(tblData[Italy]),tblData[Italy]/$N$9,"")</f>
        <v/>
      </c>
      <c r="O79" s="26"/>
      <c r="P79" s="49" t="str">
        <f>IF(ISNUMBER(tblData[US]),tblData[US]/$P$9,"")</f>
        <v/>
      </c>
      <c r="Q79" s="49"/>
      <c r="R79" s="19" t="str">
        <f>IF(ISNUMBER(tblData[SKorea]),tblData[SKorea]/$R$9,"")</f>
        <v/>
      </c>
      <c r="S79" s="49"/>
      <c r="T79" s="12" t="str">
        <f>IF(ISNUMBER(tblData[UK]),tblData[UK]/$T$9,"")</f>
        <v/>
      </c>
      <c r="U79" s="26"/>
      <c r="V79" s="21" t="str">
        <f>IF(ISNUMBER(tblData[China]),tblData[China]/$V$9,"")</f>
        <v/>
      </c>
      <c r="W79" s="26">
        <f>IF(tblData[[#This Row],[Date]]&lt;ItalyStart,"",tblData[[#This Row],[Date]]-ItalyStart)</f>
        <v>60</v>
      </c>
      <c r="X79" s="26">
        <f t="shared" si="7"/>
        <v>50</v>
      </c>
      <c r="Y79" s="26">
        <f t="shared" si="11"/>
        <v>68</v>
      </c>
      <c r="Z79" s="26">
        <f>IF(tblData[[#This Row],[Date]]&lt;StartDt2Korea,"",tblData[[#This Row],[Date]]-StartDt2Korea)</f>
        <v>40</v>
      </c>
      <c r="AA79" s="26">
        <f>IF(tblData[[#This Row],[Date]]&lt;UKStart,"",tblData[[#This Row],[Date]]-UKStart)</f>
        <v>60</v>
      </c>
      <c r="AB79">
        <f>IF(tblData[Date]&gt;=StartDt2Au,tblData[Date]-StartDt2Au,"")</f>
        <v>65</v>
      </c>
      <c r="AC79" s="26" t="str">
        <f>IF(tblData[New South Wales]&gt;0,SUM(tblData[[#This Row],[Australian Capital Territory]:[Western Australia]]),"")</f>
        <v/>
      </c>
      <c r="AD79" s="12" t="str">
        <f>IF(ISNUMBER(tblData[Au]),tblData[Au]/$AA$9,"")</f>
        <v/>
      </c>
      <c r="AE79" s="19">
        <f>IF(ISNUMBER(tblData[[#This Row],[Day'# Aust]]),betaAu/(deltaAu+betaPodeltaAu*EXP(-betaAu*tblData[[#This Row],[Day'# Aust]])),"")</f>
        <v>6846.6560131223268</v>
      </c>
      <c r="AF79" s="72">
        <f>IF(ISNUMBER(tblData[Day'# Aust]),tblData[Au LogiP(t)]/$AD$9,"")</f>
        <v>2699.3597276148585</v>
      </c>
      <c r="AG79" s="11" t="str">
        <f>IF(AND(tblData[Date]&gt;=StartDt2Au,ISNUMBER(tblData[NSW])),(tblData[[#This Row],[Au LogiP(t)]]-tblData[[#This Row],[Au]])^2,"")</f>
        <v/>
      </c>
      <c r="AH79">
        <f>IF(tblData[Date]&gt;StartDt2NSW,tblData[Date]-StartDt2NSW,"")</f>
        <v>65</v>
      </c>
      <c r="AI79" t="str">
        <f t="shared" si="9"/>
        <v/>
      </c>
      <c r="AJ79" s="11">
        <f>IF(tblData[Date]&gt;StartDt2NSW,betaNSW/(deltaNSW+betaPodeltaNSW*EXP(-betaNSW*tblData[[#This Row],[Day '# NSW]])),"")</f>
        <v>1529.4564714665146</v>
      </c>
      <c r="AK79" s="12" t="str">
        <f>IF(AND(ISNUMBER(tblData[NSW]),tblData[Date]&gt;StartDt2NSW),(tblData[[#This Row],[NSW LogiP(t)]]-tblData[[#This Row],[NSW]])^2,"")</f>
        <v/>
      </c>
      <c r="AL79" s="12">
        <f>IF(AND(tblData[Date]&gt;StartDt2NSW,ISNUMBER(tblData[Day'# Aust])),tblData[NSW LogiP(t)]/$AG$9,"")</f>
        <v>1892.8916726070725</v>
      </c>
      <c r="AM79" s="11">
        <f>IF(AND(tblData[Date]&gt;StartDt2Italy,ISNUMBER(tblData[Days'# Italy])),betaItaly/(deltaItaly+betaPodeltaItaly*EXP(-betaItaly*tblData[Days'# Italy])),"")</f>
        <v>54274.788655892196</v>
      </c>
      <c r="AN79" s="11" t="str">
        <f>IF(AND(tblData[Date]&gt;StartDt2Italy,ISNUMBER(tblData[Italy])),(tblData[[#This Row],[Italy LogiP(t)]]-tblData[[#This Row],[Italy]])^2,"")</f>
        <v/>
      </c>
      <c r="AO79" s="44">
        <f>IF(AND(tblData[Date]&gt;StartDt2Italy,ISNUMBER(tblData[Days'# Italy])),tblData[[#This Row],[Italy LogiP(t)]]/$AM$9,"")</f>
        <v>8978.4596618514806</v>
      </c>
      <c r="AP79" s="21">
        <f>IF(ISNUMBER(tblData[[#This Row],[Days'# US]]),betaUS/(deltaUS+betaPodeltaUS*EXP(-betaUS*tblData[Days'# US])),"")</f>
        <v>605818.55370782095</v>
      </c>
      <c r="AQ79" s="11" t="str">
        <f>IF(ISNUMBER(tblData[US]),(tblData[[#This Row],[US LogiP(t)]]-tblData[US])^2,"")</f>
        <v/>
      </c>
      <c r="AR79" s="21">
        <f>IF(ISNUMBER(tblData[[#This Row],[Days'# US]]),tblData[[#This Row],[US LogiP(t)]]/$AP$9,"")</f>
        <v>18401.199809806461</v>
      </c>
      <c r="AS79" s="21">
        <f>IF(tblData[Date]&gt;=StartDt2Korea,betaSKorea/(deltaSKorea+betaPodeltaSKorea*EXP(-betaSKorea*(tblData[Date]-StartDt2Korea))),"")</f>
        <v>8318.5571313878427</v>
      </c>
      <c r="AT79" s="21" t="str">
        <f>IF(AND(tblData[Date]&gt;=StartDt2Korea,ISNUMBER(tblData[SKorea])),(tblData[[#This Row],[SKorea LogiP(t)]]-tblData[[#This Row],[SKorea]])^2,"")</f>
        <v/>
      </c>
      <c r="AU79" s="21">
        <f>IF(tblData[Date]&gt;=StartDt2Korea,tblData[[#This Row],[SKorea LogiP(t)]]/$AS$9,"")</f>
        <v>1618.3963290637828</v>
      </c>
      <c r="AV79" s="11">
        <f>IF(ISNUMBER(tblData[Days'# UK]),betaUK/(deltaUK+betaPodeltaUK*EXP(-betaUK*tblData[Days'# UK])),"")</f>
        <v>38841.165972572817</v>
      </c>
      <c r="AW79" s="21" t="str">
        <f>IF(ISNUMBER(tblData[UK]),(tblData[[#This Row],[UK LogiP(t)]]-tblData[[#This Row],[UK]])^2,"")</f>
        <v/>
      </c>
      <c r="AX79" s="21">
        <f>IF(ISNUMBER(tblData[Days'# UK]),tblData[[#This Row],[UK LogiP(t)]]/$AV$9,"")</f>
        <v>5846.0514708869378</v>
      </c>
      <c r="AY79" s="11">
        <f>IF(ISNUMBER(tblData[Days'# China]),betaChina/(deltaChina+betaPodeltaChina*EXP(-betaChina*tblData[Days'# China])),"")</f>
        <v>80950.190965452857</v>
      </c>
      <c r="AZ79" s="11" t="str">
        <f>IF(ISNUMBER(tblData[China]),(tblData[[#This Row],[China LogiP(t)]]-tblData[[#This Row],[China]])^2,"")</f>
        <v/>
      </c>
      <c r="BA79" s="11">
        <f>tblData[[#This Row],[China LogiP(t)]]/$AY$9</f>
        <v>562.41821552076453</v>
      </c>
      <c r="BB79" s="11"/>
      <c r="BC79" s="11"/>
      <c r="BD79" s="11" t="str">
        <f>IF(ISNUMBER(tblData[[#This Row],[NSW Number of Tests]]),tblData[[#This Row],[NSW Number of Tests]]-BB78,"")</f>
        <v/>
      </c>
      <c r="BE79" s="11" t="str">
        <f>IF(ISNUMBER(tblData[[#This Row],[NSW Under Investigation'']]),tblData[[#This Row],[NSW Under Investigation'']]-BC78,"")</f>
        <v/>
      </c>
      <c r="BF79" s="11">
        <f t="shared" si="6"/>
        <v>24</v>
      </c>
      <c r="BG79" s="11">
        <f>IF(ISNUMBER(tblData[[#This Row],[NSW Test Day Number]]),betaTest/(deltaTest+betaPodeltaTest*EXP(-betaTest*tblData[[#This Row],[NSW Test Day Number]])),"")</f>
        <v>144291.06090658344</v>
      </c>
      <c r="BH79" s="11" t="str">
        <f>IF(ISNUMBER(tblData[[#This Row],[NSW Number of Tests]]),(tblData[[#This Row],[NSW Number of Tests]]-tblData[[#This Row],[NSW Test Logi]])^2,"")</f>
        <v/>
      </c>
      <c r="BK79" s="55"/>
      <c r="BL79" s="55"/>
      <c r="BM79" s="55"/>
      <c r="BN79" s="55"/>
      <c r="BO79" s="55"/>
      <c r="BP79" s="55"/>
      <c r="BQ79" s="55"/>
      <c r="BR79" s="55"/>
      <c r="BS79" s="55"/>
      <c r="BT79" s="55"/>
      <c r="BU79" s="55"/>
      <c r="BV79" s="55"/>
      <c r="BW79" s="55"/>
      <c r="BX79" s="55"/>
      <c r="BY79" s="55"/>
      <c r="BZ79" s="55"/>
      <c r="CA79" s="55"/>
      <c r="CB79" s="55"/>
      <c r="CC79" s="55"/>
      <c r="CD79" s="55"/>
      <c r="CE79" s="55"/>
      <c r="CF79" s="55"/>
      <c r="CG79" s="55"/>
      <c r="CH79" s="55"/>
      <c r="CI79" s="55"/>
      <c r="CJ79" s="55"/>
      <c r="CK79" s="55"/>
      <c r="CL79" s="55"/>
      <c r="CM79" s="55"/>
      <c r="CN79" s="55"/>
      <c r="CO79" s="55"/>
      <c r="CP79" s="55"/>
      <c r="CQ79" s="55"/>
      <c r="CR79" s="55"/>
      <c r="CS79" s="55"/>
      <c r="CT79" s="55"/>
      <c r="CU79" s="55"/>
      <c r="CV79" s="55"/>
    </row>
    <row r="80" spans="2:173" x14ac:dyDescent="0.25">
      <c r="B80" s="1">
        <f t="shared" si="10"/>
        <v>43921</v>
      </c>
      <c r="D80" s="26"/>
      <c r="L80" s="12" t="str">
        <f>IF(ISNUMBER(tblData[[#This Row],[NSW]]),tblData[[#This Row],[New South Wales]]/$L$9,"")</f>
        <v/>
      </c>
      <c r="M80" s="26"/>
      <c r="N80" s="49" t="str">
        <f>IF(ISNUMBER(tblData[Italy]),tblData[Italy]/$N$9,"")</f>
        <v/>
      </c>
      <c r="O80" s="26"/>
      <c r="P80" s="49" t="str">
        <f>IF(ISNUMBER(tblData[US]),tblData[US]/$P$9,"")</f>
        <v/>
      </c>
      <c r="Q80" s="49"/>
      <c r="R80" s="19" t="str">
        <f>IF(ISNUMBER(tblData[SKorea]),tblData[SKorea]/$R$9,"")</f>
        <v/>
      </c>
      <c r="S80" s="49"/>
      <c r="T80" s="12" t="str">
        <f>IF(ISNUMBER(tblData[UK]),tblData[UK]/$T$9,"")</f>
        <v/>
      </c>
      <c r="U80" s="26"/>
      <c r="V80" s="21" t="str">
        <f>IF(ISNUMBER(tblData[China]),tblData[China]/$V$9,"")</f>
        <v/>
      </c>
      <c r="W80" s="26">
        <f>IF(tblData[[#This Row],[Date]]&lt;ItalyStart,"",tblData[[#This Row],[Date]]-ItalyStart)</f>
        <v>61</v>
      </c>
      <c r="X80" s="26">
        <f t="shared" si="7"/>
        <v>51</v>
      </c>
      <c r="Y80" s="26">
        <f t="shared" si="11"/>
        <v>69</v>
      </c>
      <c r="Z80" s="26">
        <f>IF(tblData[[#This Row],[Date]]&lt;StartDt2Korea,"",tblData[[#This Row],[Date]]-StartDt2Korea)</f>
        <v>41</v>
      </c>
      <c r="AA80" s="26">
        <f>IF(tblData[[#This Row],[Date]]&lt;UKStart,"",tblData[[#This Row],[Date]]-UKStart)</f>
        <v>61</v>
      </c>
      <c r="AB80">
        <f>IF(tblData[Date]&gt;=StartDt2Au,tblData[Date]-StartDt2Au,"")</f>
        <v>66</v>
      </c>
      <c r="AC80" s="26" t="str">
        <f>IF(tblData[New South Wales]&gt;0,SUM(tblData[[#This Row],[Australian Capital Territory]:[Western Australia]]),"")</f>
        <v/>
      </c>
      <c r="AD80" s="12" t="str">
        <f>IF(ISNUMBER(tblData[Au]),tblData[Au]/$AA$9,"")</f>
        <v/>
      </c>
      <c r="AE80" s="19">
        <f>IF(ISNUMBER(tblData[[#This Row],[Day'# Aust]]),betaAu/(deltaAu+betaPodeltaAu*EXP(-betaAu*tblData[[#This Row],[Day'# Aust]])),"")</f>
        <v>8416.9040312082616</v>
      </c>
      <c r="AF80" s="72">
        <f>IF(ISNUMBER(tblData[Day'# Aust]),tblData[Au LogiP(t)]/$AD$9,"")</f>
        <v>3318.4450525186335</v>
      </c>
      <c r="AG80" s="11" t="str">
        <f>IF(AND(tblData[Date]&gt;=StartDt2Au,ISNUMBER(tblData[NSW])),(tblData[[#This Row],[Au LogiP(t)]]-tblData[[#This Row],[Au]])^2,"")</f>
        <v/>
      </c>
      <c r="AH80">
        <f>IF(tblData[Date]&gt;StartDt2NSW,tblData[Date]-StartDt2NSW,"")</f>
        <v>66</v>
      </c>
      <c r="AI80" t="str">
        <f t="shared" si="9"/>
        <v/>
      </c>
      <c r="AJ80" s="11">
        <f>IF(tblData[Date]&gt;StartDt2NSW,betaNSW/(deltaNSW+betaPodeltaNSW*EXP(-betaNSW*tblData[[#This Row],[Day '# NSW]])),"")</f>
        <v>1667.608728381223</v>
      </c>
      <c r="AK80" s="12" t="str">
        <f>IF(AND(ISNUMBER(tblData[NSW]),tblData[Date]&gt;StartDt2NSW),(tblData[[#This Row],[NSW LogiP(t)]]-tblData[[#This Row],[NSW]])^2,"")</f>
        <v/>
      </c>
      <c r="AL80" s="12">
        <f>IF(AND(tblData[Date]&gt;StartDt2NSW,ISNUMBER(tblData[Day'# Aust])),tblData[NSW LogiP(t)]/$AG$9,"")</f>
        <v>2063.8721885906225</v>
      </c>
      <c r="AM80" s="11">
        <f>IF(AND(tblData[Date]&gt;StartDt2Italy,ISNUMBER(tblData[Days'# Italy])),betaItaly/(deltaItaly+betaPodeltaItaly*EXP(-betaItaly*tblData[Days'# Italy])),"")</f>
        <v>54529.08958122175</v>
      </c>
      <c r="AN80" s="11" t="str">
        <f>IF(AND(tblData[Date]&gt;StartDt2Italy,ISNUMBER(tblData[Italy])),(tblData[[#This Row],[Italy LogiP(t)]]-tblData[[#This Row],[Italy]])^2,"")</f>
        <v/>
      </c>
      <c r="AO80" s="44">
        <f>IF(AND(tblData[Date]&gt;StartDt2Italy,ISNUMBER(tblData[Days'# Italy])),tblData[[#This Row],[Italy LogiP(t)]]/$AM$9,"")</f>
        <v>9020.5276395734909</v>
      </c>
      <c r="AP80" s="21">
        <f>IF(ISNUMBER(tblData[[#This Row],[Days'# US]]),betaUS/(deltaUS+betaPodeltaUS*EXP(-betaUS*tblData[Days'# US])),"")</f>
        <v>857097.42604827695</v>
      </c>
      <c r="AQ80" s="11" t="str">
        <f>IF(ISNUMBER(tblData[US]),(tblData[[#This Row],[US LogiP(t)]]-tblData[US])^2,"")</f>
        <v/>
      </c>
      <c r="AR80" s="21">
        <f>IF(ISNUMBER(tblData[[#This Row],[Days'# US]]),tblData[[#This Row],[US LogiP(t)]]/$AP$9,"")</f>
        <v>26033.57209292673</v>
      </c>
      <c r="AS80" s="21">
        <f>IF(tblData[Date]&gt;=StartDt2Korea,betaSKorea/(deltaSKorea+betaPodeltaSKorea*EXP(-betaSKorea*(tblData[Date]-StartDt2Korea))),"")</f>
        <v>8318.7945227994569</v>
      </c>
      <c r="AT80" s="21" t="str">
        <f>IF(AND(tblData[Date]&gt;=StartDt2Korea,ISNUMBER(tblData[SKorea])),(tblData[[#This Row],[SKorea LogiP(t)]]-tblData[[#This Row],[SKorea]])^2,"")</f>
        <v/>
      </c>
      <c r="AU80" s="21">
        <f>IF(tblData[Date]&gt;=StartDt2Korea,tblData[[#This Row],[SKorea LogiP(t)]]/$AS$9,"")</f>
        <v>1618.4425141633185</v>
      </c>
      <c r="AV80" s="11">
        <f>IF(ISNUMBER(tblData[Days'# UK]),betaUK/(deltaUK+betaPodeltaUK*EXP(-betaUK*tblData[Days'# UK])),"")</f>
        <v>48912.462457189715</v>
      </c>
      <c r="AW80" s="21" t="str">
        <f>IF(ISNUMBER(tblData[UK]),(tblData[[#This Row],[UK LogiP(t)]]-tblData[[#This Row],[UK]])^2,"")</f>
        <v/>
      </c>
      <c r="AX80" s="21">
        <f>IF(ISNUMBER(tblData[Days'# UK]),tblData[[#This Row],[UK LogiP(t)]]/$AV$9,"")</f>
        <v>7361.8998279936359</v>
      </c>
      <c r="AY80" s="11">
        <f>IF(ISNUMBER(tblData[Days'# China]),betaChina/(deltaChina+betaPodeltaChina*EXP(-betaChina*tblData[Days'# China])),"")</f>
        <v>80950.42016091026</v>
      </c>
      <c r="AZ80" s="11" t="str">
        <f>IF(ISNUMBER(tblData[China]),(tblData[[#This Row],[China LogiP(t)]]-tblData[[#This Row],[China]])^2,"")</f>
        <v/>
      </c>
      <c r="BA80" s="11">
        <f>tblData[[#This Row],[China LogiP(t)]]/$AY$9</f>
        <v>562.41980790366836</v>
      </c>
      <c r="BB80" s="11"/>
      <c r="BC80" s="11"/>
      <c r="BD80" s="11" t="str">
        <f>IF(ISNUMBER(tblData[[#This Row],[NSW Number of Tests]]),tblData[[#This Row],[NSW Number of Tests]]-BB79,"")</f>
        <v/>
      </c>
      <c r="BE80" s="11" t="str">
        <f>IF(ISNUMBER(tblData[[#This Row],[NSW Under Investigation'']]),tblData[[#This Row],[NSW Under Investigation'']]-BC79,"")</f>
        <v/>
      </c>
      <c r="BF80" s="11">
        <f t="shared" si="6"/>
        <v>25</v>
      </c>
      <c r="BG80" s="11">
        <f>IF(ISNUMBER(tblData[[#This Row],[NSW Test Day Number]]),betaTest/(deltaTest+betaPodeltaTest*EXP(-betaTest*tblData[[#This Row],[NSW Test Day Number]])),"")</f>
        <v>156537.58880360742</v>
      </c>
      <c r="BH80" s="11" t="str">
        <f>IF(ISNUMBER(tblData[[#This Row],[NSW Number of Tests]]),(tblData[[#This Row],[NSW Number of Tests]]-tblData[[#This Row],[NSW Test Logi]])^2,"")</f>
        <v/>
      </c>
      <c r="BY80"/>
      <c r="BZ80"/>
      <c r="CJ80" s="26"/>
      <c r="CK80" s="26"/>
    </row>
    <row r="81" spans="2:173" x14ac:dyDescent="0.25">
      <c r="B81" s="1">
        <f>B80+7</f>
        <v>43928</v>
      </c>
      <c r="D81" s="26"/>
      <c r="L81" s="12" t="str">
        <f>IF(ISNUMBER(tblData[[#This Row],[NSW]]),tblData[[#This Row],[New South Wales]]/$L$9,"")</f>
        <v/>
      </c>
      <c r="M81" s="26"/>
      <c r="N81" s="49" t="str">
        <f>IF(ISNUMBER(tblData[Italy]),tblData[Italy]/$N$9,"")</f>
        <v/>
      </c>
      <c r="O81" s="26"/>
      <c r="P81" s="49" t="str">
        <f>IF(ISNUMBER(tblData[US]),tblData[US]/$P$9,"")</f>
        <v/>
      </c>
      <c r="Q81" s="49"/>
      <c r="R81" s="19" t="str">
        <f>IF(ISNUMBER(tblData[SKorea]),tblData[SKorea]/$R$9,"")</f>
        <v/>
      </c>
      <c r="S81" s="49"/>
      <c r="T81" s="12" t="str">
        <f>IF(ISNUMBER(tblData[UK]),tblData[UK]/$T$9,"")</f>
        <v/>
      </c>
      <c r="U81" s="26"/>
      <c r="V81" s="21" t="str">
        <f>IF(ISNUMBER(tblData[China]),tblData[China]/$V$9,"")</f>
        <v/>
      </c>
      <c r="W81" s="26">
        <f>IF(tblData[[#This Row],[Date]]&lt;ItalyStart,"",tblData[[#This Row],[Date]]-ItalyStart)</f>
        <v>68</v>
      </c>
      <c r="X81" s="26">
        <f t="shared" si="7"/>
        <v>58</v>
      </c>
      <c r="Y81" s="26">
        <f t="shared" si="11"/>
        <v>70</v>
      </c>
      <c r="Z81" s="26">
        <f>IF(tblData[[#This Row],[Date]]&lt;StartDt2Korea,"",tblData[[#This Row],[Date]]-StartDt2Korea)</f>
        <v>48</v>
      </c>
      <c r="AA81" s="26">
        <f>IF(tblData[[#This Row],[Date]]&lt;UKStart,"",tblData[[#This Row],[Date]]-UKStart)</f>
        <v>68</v>
      </c>
      <c r="AB81">
        <f>IF(tblData[Date]&gt;=StartDt2Au,tblData[Date]-StartDt2Au,"")</f>
        <v>73</v>
      </c>
      <c r="AC81" s="26" t="str">
        <f>IF(tblData[New South Wales]&gt;0,SUM(tblData[[#This Row],[Australian Capital Territory]:[Western Australia]]),"")</f>
        <v/>
      </c>
      <c r="AD81" s="12" t="str">
        <f>IF(ISNUMBER(tblData[Au]),tblData[Au]/$AA$9,"")</f>
        <v/>
      </c>
      <c r="AE81" s="19">
        <f>IF(ISNUMBER(tblData[[#This Row],[Day'# Aust]]),betaAu/(deltaAu+betaPodeltaAu*EXP(-betaAu*tblData[[#This Row],[Day'# Aust]])),"")</f>
        <v>35713.724435947617</v>
      </c>
      <c r="AF81" s="72">
        <f>IF(ISNUMBER(tblData[Day'# Aust]),tblData[Au LogiP(t)]/$AD$9,"")</f>
        <v>14080.478014488101</v>
      </c>
      <c r="AG81" s="11" t="str">
        <f>IF(AND(tblData[Date]&gt;=StartDt2Au,ISNUMBER(tblData[NSW])),(tblData[[#This Row],[Au LogiP(t)]]-tblData[[#This Row],[Au]])^2,"")</f>
        <v/>
      </c>
      <c r="AH81">
        <f>IF(tblData[Date]&gt;StartDt2NSW,tblData[Date]-StartDt2NSW,"")</f>
        <v>73</v>
      </c>
      <c r="AI81" t="str">
        <f t="shared" si="9"/>
        <v/>
      </c>
      <c r="AJ81" s="11">
        <f>IF(tblData[Date]&gt;StartDt2NSW,betaNSW/(deltaNSW+betaPodeltaNSW*EXP(-betaNSW*tblData[[#This Row],[Day '# NSW]])),"")</f>
        <v>2376.629085670912</v>
      </c>
      <c r="AK81" s="12" t="str">
        <f>IF(AND(ISNUMBER(tblData[NSW]),tblData[Date]&gt;StartDt2NSW),(tblData[[#This Row],[NSW LogiP(t)]]-tblData[[#This Row],[NSW]])^2,"")</f>
        <v/>
      </c>
      <c r="AL81" s="12">
        <f>IF(AND(tblData[Date]&gt;StartDt2NSW,ISNUMBER(tblData[Day'# Aust])),tblData[NSW LogiP(t)]/$AG$9,"")</f>
        <v>2941.3726307808315</v>
      </c>
      <c r="AM81" s="11">
        <f>IF(AND(tblData[Date]&gt;StartDt2Italy,ISNUMBER(tblData[Days'# Italy])),betaItaly/(deltaItaly+betaPodeltaItaly*EXP(-betaItaly*tblData[Days'# Italy])),"")</f>
        <v>55259.311641700675</v>
      </c>
      <c r="AN81" s="11" t="str">
        <f>IF(AND(tblData[Date]&gt;StartDt2Italy,ISNUMBER(tblData[Italy])),(tblData[[#This Row],[Italy LogiP(t)]]-tblData[[#This Row],[Italy]])^2,"")</f>
        <v/>
      </c>
      <c r="AO81" s="44">
        <f>IF(AND(tblData[Date]&gt;StartDt2Italy,ISNUMBER(tblData[Days'# Italy])),tblData[[#This Row],[Italy LogiP(t)]]/$AM$9,"")</f>
        <v>9141.3253336146699</v>
      </c>
      <c r="AP81" s="21">
        <f>IF(ISNUMBER(tblData[[#This Row],[Days'# US]]),betaUS/(deltaUS+betaPodeltaUS*EXP(-betaUS*tblData[Days'# US])),"")</f>
        <v>9529027.5170660485</v>
      </c>
      <c r="AQ81" s="11" t="str">
        <f>IF(ISNUMBER(tblData[US]),(tblData[[#This Row],[US LogiP(t)]]-tblData[US])^2,"")</f>
        <v/>
      </c>
      <c r="AR81" s="21">
        <f>IF(ISNUMBER(tblData[[#This Row],[Days'# US]]),tblData[[#This Row],[US LogiP(t)]]/$AP$9,"")</f>
        <v>289435.73659390328</v>
      </c>
      <c r="AS81" s="21">
        <f>IF(tblData[Date]&gt;=StartDt2Korea,betaSKorea/(deltaSKorea+betaPodeltaSKorea*EXP(-betaSKorea*(tblData[Date]-StartDt2Korea))),"")</f>
        <v>8319.3481622337331</v>
      </c>
      <c r="AT81" s="21" t="str">
        <f>IF(AND(tblData[Date]&gt;=StartDt2Korea,ISNUMBER(tblData[SKorea])),(tblData[[#This Row],[SKorea LogiP(t)]]-tblData[[#This Row],[SKorea]])^2,"")</f>
        <v/>
      </c>
      <c r="AU81" s="21">
        <f>IF(tblData[Date]&gt;=StartDt2Korea,tblData[[#This Row],[SKorea LogiP(t)]]/$AS$9,"")</f>
        <v>1618.5502261155125</v>
      </c>
      <c r="AV81" s="11">
        <f>IF(ISNUMBER(tblData[Days'# UK]),betaUK/(deltaUK+betaPodeltaUK*EXP(-betaUK*tblData[Days'# UK])),"")</f>
        <v>245511.99014775181</v>
      </c>
      <c r="AW81" s="21" t="str">
        <f>IF(ISNUMBER(tblData[UK]),(tblData[[#This Row],[UK LogiP(t)]]-tblData[[#This Row],[UK]])^2,"")</f>
        <v/>
      </c>
      <c r="AX81" s="21">
        <f>IF(ISNUMBER(tblData[Days'# UK]),tblData[[#This Row],[UK LogiP(t)]]/$AV$9,"")</f>
        <v>36952.436807307618</v>
      </c>
      <c r="AY81" s="11">
        <f>IF(ISNUMBER(tblData[Days'# China]),betaChina/(deltaChina+betaPodeltaChina*EXP(-betaChina*tblData[Days'# China])),"")</f>
        <v>80950.603701761647</v>
      </c>
      <c r="AZ81" s="11" t="str">
        <f>IF(ISNUMBER(tblData[China]),(tblData[[#This Row],[China LogiP(t)]]-tblData[[#This Row],[China]])^2,"")</f>
        <v/>
      </c>
      <c r="BA81" s="11">
        <f>tblData[[#This Row],[China LogiP(t)]]/$AY$9</f>
        <v>562.4210830917425</v>
      </c>
      <c r="BB81" s="11"/>
      <c r="BC81" s="11"/>
      <c r="BD81" s="11" t="str">
        <f>IF(ISNUMBER(tblData[[#This Row],[NSW Number of Tests]]),tblData[[#This Row],[NSW Number of Tests]]-BB80,"")</f>
        <v/>
      </c>
      <c r="BE81" s="11" t="str">
        <f>IF(ISNUMBER(tblData[[#This Row],[NSW Under Investigation'']]),tblData[[#This Row],[NSW Under Investigation'']]-BC80,"")</f>
        <v/>
      </c>
      <c r="BF81" s="11">
        <f t="shared" si="6"/>
        <v>26</v>
      </c>
      <c r="BG81" s="11">
        <f>IF(ISNUMBER(tblData[[#This Row],[NSW Test Day Number]]),betaTest/(deltaTest+betaPodeltaTest*EXP(-betaTest*tblData[[#This Row],[NSW Test Day Number]])),"")</f>
        <v>168632.70443547162</v>
      </c>
      <c r="BH81" s="11" t="str">
        <f>IF(ISNUMBER(tblData[[#This Row],[NSW Number of Tests]]),(tblData[[#This Row],[NSW Number of Tests]]-tblData[[#This Row],[NSW Test Logi]])^2,"")</f>
        <v/>
      </c>
      <c r="BY81"/>
      <c r="BZ81"/>
      <c r="CJ81" s="26"/>
      <c r="CK81" s="26"/>
    </row>
    <row r="82" spans="2:173" x14ac:dyDescent="0.25">
      <c r="B82" s="27">
        <f t="shared" ref="B82:B117" si="12">B81+7</f>
        <v>43935</v>
      </c>
      <c r="D82" s="26"/>
      <c r="L82" s="12" t="str">
        <f>IF(ISNUMBER(tblData[[#This Row],[NSW]]),tblData[[#This Row],[New South Wales]]/$L$9,"")</f>
        <v/>
      </c>
      <c r="M82" s="26"/>
      <c r="N82" s="49" t="str">
        <f>IF(ISNUMBER(tblData[Italy]),tblData[Italy]/$N$9,"")</f>
        <v/>
      </c>
      <c r="O82" s="26"/>
      <c r="P82" s="49" t="str">
        <f>IF(ISNUMBER(tblData[US]),tblData[US]/$P$9,"")</f>
        <v/>
      </c>
      <c r="Q82" s="49"/>
      <c r="R82" s="19" t="str">
        <f>IF(ISNUMBER(tblData[SKorea]),tblData[SKorea]/$R$9,"")</f>
        <v/>
      </c>
      <c r="S82" s="49"/>
      <c r="T82" s="12" t="str">
        <f>IF(ISNUMBER(tblData[UK]),tblData[UK]/$T$9,"")</f>
        <v/>
      </c>
      <c r="U82" s="26"/>
      <c r="V82" s="21" t="str">
        <f>IF(ISNUMBER(tblData[China]),tblData[China]/$V$9,"")</f>
        <v/>
      </c>
      <c r="W82" s="26">
        <f>IF(tblData[[#This Row],[Date]]&lt;ItalyStart,"",tblData[[#This Row],[Date]]-ItalyStart)</f>
        <v>75</v>
      </c>
      <c r="X82" s="26">
        <f t="shared" si="7"/>
        <v>65</v>
      </c>
      <c r="Y82" s="26">
        <f t="shared" si="11"/>
        <v>71</v>
      </c>
      <c r="Z82" s="26">
        <f>IF(tblData[[#This Row],[Date]]&lt;StartDt2Korea,"",tblData[[#This Row],[Date]]-StartDt2Korea)</f>
        <v>55</v>
      </c>
      <c r="AA82" s="26">
        <f>IF(tblData[[#This Row],[Date]]&lt;UKStart,"",tblData[[#This Row],[Date]]-UKStart)</f>
        <v>75</v>
      </c>
      <c r="AB82">
        <f>IF(tblData[Date]&gt;=StartDt2Au,tblData[Date]-StartDt2Au,"")</f>
        <v>80</v>
      </c>
      <c r="AC82" s="26" t="str">
        <f>IF(tblData[New South Wales]&gt;0,SUM(tblData[[#This Row],[Australian Capital Territory]:[Western Australia]]),"")</f>
        <v/>
      </c>
      <c r="AD82" s="12" t="str">
        <f>IF(ISNUMBER(tblData[Au]),tblData[Au]/$AA$9,"")</f>
        <v/>
      </c>
      <c r="AE82" s="19">
        <f>IF(ISNUMBER(tblData[[#This Row],[Day'# Aust]]),betaAu/(deltaAu+betaPodeltaAu*EXP(-betaAu*tblData[[#This Row],[Day'# Aust]])),"")</f>
        <v>151471.7882416833</v>
      </c>
      <c r="AF82" s="72">
        <f>IF(ISNUMBER(tblData[Day'# Aust]),tblData[Au LogiP(t)]/$AD$9,"")</f>
        <v>59719.203690933333</v>
      </c>
      <c r="AG82" s="11" t="str">
        <f>IF(AND(tblData[Date]&gt;=StartDt2Au,ISNUMBER(tblData[NSW])),(tblData[[#This Row],[Au LogiP(t)]]-tblData[[#This Row],[Au]])^2,"")</f>
        <v/>
      </c>
      <c r="AH82">
        <f>IF(tblData[Date]&gt;StartDt2NSW,tblData[Date]-StartDt2NSW,"")</f>
        <v>80</v>
      </c>
      <c r="AI82" t="str">
        <f t="shared" si="9"/>
        <v/>
      </c>
      <c r="AJ82" s="11">
        <f>IF(tblData[Date]&gt;StartDt2NSW,betaNSW/(deltaNSW+betaPodeltaNSW*EXP(-betaNSW*tblData[[#This Row],[Day '# NSW]])),"")</f>
        <v>2635.527206981646</v>
      </c>
      <c r="AK82" s="12" t="str">
        <f>IF(AND(ISNUMBER(tblData[NSW]),tblData[Date]&gt;StartDt2NSW),(tblData[[#This Row],[NSW LogiP(t)]]-tblData[[#This Row],[NSW]])^2,"")</f>
        <v/>
      </c>
      <c r="AL82" s="12">
        <f>IF(AND(tblData[Date]&gt;StartDt2NSW,ISNUMBER(tblData[Day'# Aust])),tblData[NSW LogiP(t)]/$AG$9,"")</f>
        <v>3261.7910977495617</v>
      </c>
      <c r="AM82" s="11">
        <f>IF(AND(tblData[Date]&gt;StartDt2Italy,ISNUMBER(tblData[Days'# Italy])),betaItaly/(deltaItaly+betaPodeltaItaly*EXP(-betaItaly*tblData[Days'# Italy])),"")</f>
        <v>55379.293423101735</v>
      </c>
      <c r="AN82" s="11" t="str">
        <f>IF(AND(tblData[Date]&gt;StartDt2Italy,ISNUMBER(tblData[Italy])),(tblData[[#This Row],[Italy LogiP(t)]]-tblData[[#This Row],[Italy]])^2,"")</f>
        <v/>
      </c>
      <c r="AO82" s="44">
        <f>IF(AND(tblData[Date]&gt;StartDt2Italy,ISNUMBER(tblData[Days'# Italy])),tblData[[#This Row],[Italy LogiP(t)]]/$AM$9,"")</f>
        <v>9161.1734364105432</v>
      </c>
      <c r="AP82" s="21">
        <f>IF(ISNUMBER(tblData[[#This Row],[Days'# US]]),betaUS/(deltaUS+betaPodeltaUS*EXP(-betaUS*tblData[Days'# US])),"")</f>
        <v>84552257.339601904</v>
      </c>
      <c r="AQ82" s="11" t="str">
        <f>IF(ISNUMBER(tblData[US]),(tblData[[#This Row],[US LogiP(t)]]-tblData[US])^2,"")</f>
        <v/>
      </c>
      <c r="AR82" s="21">
        <f>IF(ISNUMBER(tblData[[#This Row],[Days'# US]]),tblData[[#This Row],[US LogiP(t)]]/$AP$9,"")</f>
        <v>2568199.6237219297</v>
      </c>
      <c r="AS82" s="21">
        <f>IF(tblData[Date]&gt;=StartDt2Korea,betaSKorea/(deltaSKorea+betaPodeltaSKorea*EXP(-betaSKorea*(tblData[Date]-StartDt2Korea))),"")</f>
        <v>8319.4048160504972</v>
      </c>
      <c r="AT82" s="21" t="str">
        <f>IF(AND(tblData[Date]&gt;=StartDt2Korea,ISNUMBER(tblData[SKorea])),(tblData[[#This Row],[SKorea LogiP(t)]]-tblData[[#This Row],[SKorea]])^2,"")</f>
        <v/>
      </c>
      <c r="AU82" s="21">
        <f>IF(tblData[Date]&gt;=StartDt2Korea,tblData[[#This Row],[SKorea LogiP(t)]]/$AS$9,"")</f>
        <v>1618.5612482588517</v>
      </c>
      <c r="AV82" s="85">
        <f>IF(ISNUMBER(tblData[Days'# UK]),betaUK/(deltaUK+betaPodeltaUK*EXP(-betaUK*tblData[Days'# UK])),"")</f>
        <v>1228117.3123781206</v>
      </c>
      <c r="AW82" s="85" t="str">
        <f>IF(ISNUMBER(tblData[UK]),(tblData[[#This Row],[UK LogiP(t)]]-tblData[[#This Row],[UK]])^2,"")</f>
        <v/>
      </c>
      <c r="AX82" s="85">
        <f>IF(ISNUMBER(tblData[Days'# UK]),tblData[[#This Row],[UK LogiP(t)]]/$AV$9,"")</f>
        <v>184846.07350664068</v>
      </c>
      <c r="AY82" s="11">
        <f>IF(ISNUMBER(tblData[Days'# China]),betaChina/(deltaChina+betaPodeltaChina*EXP(-betaChina*tblData[Days'# China])),"")</f>
        <v>80950.750682030339</v>
      </c>
      <c r="AZ82" s="11" t="str">
        <f>IF(ISNUMBER(tblData[China]),(tblData[[#This Row],[China LogiP(t)]]-tblData[[#This Row],[China]])^2,"")</f>
        <v/>
      </c>
      <c r="BA82" s="11">
        <f>tblData[[#This Row],[China LogiP(t)]]/$AY$9</f>
        <v>562.42210426759698</v>
      </c>
      <c r="BB82" s="11"/>
      <c r="BC82" s="11"/>
      <c r="BD82" s="11" t="str">
        <f>IF(ISNUMBER(tblData[[#This Row],[NSW Number of Tests]]),tblData[[#This Row],[NSW Number of Tests]]-BB81,"")</f>
        <v/>
      </c>
      <c r="BE82" s="11" t="str">
        <f>IF(ISNUMBER(tblData[[#This Row],[NSW Under Investigation'']]),tblData[[#This Row],[NSW Under Investigation'']]-BC81,"")</f>
        <v/>
      </c>
      <c r="BF82" s="11">
        <f t="shared" si="6"/>
        <v>27</v>
      </c>
      <c r="BG82" s="11">
        <f>IF(ISNUMBER(tblData[[#This Row],[NSW Test Day Number]]),betaTest/(deltaTest+betaPodeltaTest*EXP(-betaTest*tblData[[#This Row],[NSW Test Day Number]])),"")</f>
        <v>180412.93314116794</v>
      </c>
      <c r="BH82" s="11" t="str">
        <f>IF(ISNUMBER(tblData[[#This Row],[NSW Number of Tests]]),(tblData[[#This Row],[NSW Number of Tests]]-tblData[[#This Row],[NSW Test Logi]])^2,"")</f>
        <v/>
      </c>
      <c r="BY82"/>
      <c r="BZ82"/>
      <c r="CJ82" s="26"/>
      <c r="CK82" s="26"/>
    </row>
    <row r="83" spans="2:173" x14ac:dyDescent="0.25">
      <c r="B83" s="27">
        <f t="shared" si="12"/>
        <v>43942</v>
      </c>
      <c r="D83" s="26"/>
      <c r="L83" s="12" t="str">
        <f>IF(ISNUMBER(tblData[[#This Row],[NSW]]),tblData[[#This Row],[New South Wales]]/$L$9,"")</f>
        <v/>
      </c>
      <c r="M83" s="26"/>
      <c r="N83" s="49" t="str">
        <f>IF(ISNUMBER(tblData[Italy]),tblData[Italy]/$N$9,"")</f>
        <v/>
      </c>
      <c r="O83" s="26"/>
      <c r="P83" s="49" t="str">
        <f>IF(ISNUMBER(tblData[US]),tblData[US]/$P$9,"")</f>
        <v/>
      </c>
      <c r="Q83" s="49"/>
      <c r="R83" s="19" t="str">
        <f>IF(ISNUMBER(tblData[SKorea]),tblData[SKorea]/$R$9,"")</f>
        <v/>
      </c>
      <c r="S83" s="49"/>
      <c r="T83" s="12" t="str">
        <f>IF(ISNUMBER(tblData[UK]),tblData[UK]/$T$9,"")</f>
        <v/>
      </c>
      <c r="U83" s="26"/>
      <c r="V83" s="21" t="str">
        <f>IF(ISNUMBER(tblData[China]),tblData[China]/$V$9,"")</f>
        <v/>
      </c>
      <c r="W83" s="26">
        <f>IF(tblData[[#This Row],[Date]]&lt;ItalyStart,"",tblData[[#This Row],[Date]]-ItalyStart)</f>
        <v>82</v>
      </c>
      <c r="X83" s="26">
        <f t="shared" si="7"/>
        <v>72</v>
      </c>
      <c r="Y83" s="26">
        <f t="shared" si="11"/>
        <v>72</v>
      </c>
      <c r="Z83" s="26">
        <f>IF(tblData[[#This Row],[Date]]&lt;StartDt2Korea,"",tblData[[#This Row],[Date]]-StartDt2Korea)</f>
        <v>62</v>
      </c>
      <c r="AA83" s="26">
        <f>IF(tblData[[#This Row],[Date]]&lt;UKStart,"",tblData[[#This Row],[Date]]-UKStart)</f>
        <v>82</v>
      </c>
      <c r="AB83">
        <f>IF(tblData[Date]&gt;=StartDt2Au,tblData[Date]-StartDt2Au,"")</f>
        <v>87</v>
      </c>
      <c r="AC83" s="26" t="str">
        <f>IF(tblData[New South Wales]&gt;0,SUM(tblData[[#This Row],[Australian Capital Territory]:[Western Australia]]),"")</f>
        <v/>
      </c>
      <c r="AD83" s="12" t="str">
        <f>IF(ISNUMBER(tblData[Au]),tblData[Au]/$AA$9,"")</f>
        <v/>
      </c>
      <c r="AE83" s="19">
        <f>IF(ISNUMBER(tblData[[#This Row],[Day'# Aust]]),betaAu/(deltaAu+betaPodeltaAu*EXP(-betaAu*tblData[[#This Row],[Day'# Aust]])),"")</f>
        <v>641268.34407251305</v>
      </c>
      <c r="AF83" s="72">
        <f>IF(ISNUMBER(tblData[Day'# Aust]),tblData[Au LogiP(t)]/$AD$9,"")</f>
        <v>252826.18832696462</v>
      </c>
      <c r="AG83" s="11" t="str">
        <f>IF(AND(tblData[Date]&gt;=StartDt2Au,ISNUMBER(tblData[NSW])),(tblData[[#This Row],[Au LogiP(t)]]-tblData[[#This Row],[Au]])^2,"")</f>
        <v/>
      </c>
      <c r="AH83">
        <f>IF(tblData[Date]&gt;StartDt2NSW,tblData[Date]-StartDt2NSW,"")</f>
        <v>87</v>
      </c>
      <c r="AI83" t="str">
        <f t="shared" si="9"/>
        <v/>
      </c>
      <c r="AJ83" s="11">
        <f>IF(tblData[Date]&gt;StartDt2NSW,betaNSW/(deltaNSW+betaPodeltaNSW*EXP(-betaNSW*tblData[[#This Row],[Day '# NSW]])),"")</f>
        <v>2703.5731867554682</v>
      </c>
      <c r="AK83" s="12" t="str">
        <f>IF(AND(ISNUMBER(tblData[NSW]),tblData[Date]&gt;StartDt2NSW),(tblData[[#This Row],[NSW LogiP(t)]]-tblData[[#This Row],[NSW]])^2,"")</f>
        <v/>
      </c>
      <c r="AL83" s="12">
        <f>IF(AND(tblData[Date]&gt;StartDt2NSW,ISNUMBER(tblData[Day'# Aust])),tblData[NSW LogiP(t)]/$AG$9,"")</f>
        <v>3346.0064192518171</v>
      </c>
      <c r="AM83" s="11">
        <f>IF(AND(tblData[Date]&gt;StartDt2Italy,ISNUMBER(tblData[Days'# Italy])),betaItaly/(deltaItaly+betaPodeltaItaly*EXP(-betaItaly*tblData[Days'# Italy])),"")</f>
        <v>55398.753789969967</v>
      </c>
      <c r="AN83" s="11" t="str">
        <f>IF(AND(tblData[Date]&gt;StartDt2Italy,ISNUMBER(tblData[Italy])),(tblData[[#This Row],[Italy LogiP(t)]]-tblData[[#This Row],[Italy]])^2,"")</f>
        <v/>
      </c>
      <c r="AO83" s="44">
        <f>IF(AND(tblData[Date]&gt;StartDt2Italy,ISNUMBER(tblData[Days'# Italy])),tblData[[#This Row],[Italy LogiP(t)]]/$AM$9,"")</f>
        <v>9164.392686512816</v>
      </c>
      <c r="AP83" s="21">
        <f>IF(ISNUMBER(tblData[[#This Row],[Days'# US]]),betaUS/(deltaUS+betaPodeltaUS*EXP(-betaUS*tblData[Days'# US])),"")</f>
        <v>273145599.91484112</v>
      </c>
      <c r="AQ83" s="11" t="str">
        <f>IF(ISNUMBER(tblData[US]),(tblData[[#This Row],[US LogiP(t)]]-tblData[US])^2,"")</f>
        <v/>
      </c>
      <c r="AR83" s="21">
        <f>IF(ISNUMBER(tblData[[#This Row],[Days'# US]]),tblData[[#This Row],[US LogiP(t)]]/$AP$9,"")</f>
        <v>8296554.6869443115</v>
      </c>
      <c r="AS83" s="21">
        <f>IF(tblData[Date]&gt;=StartDt2Korea,betaSKorea/(deltaSKorea+betaPodeltaSKorea*EXP(-betaSKorea*(tblData[Date]-StartDt2Korea))),"")</f>
        <v>8319.4106130428954</v>
      </c>
      <c r="AT83" s="21" t="str">
        <f>IF(AND(tblData[Date]&gt;=StartDt2Korea,ISNUMBER(tblData[SKorea])),(tblData[[#This Row],[SKorea LogiP(t)]]-tblData[[#This Row],[SKorea]])^2,"")</f>
        <v/>
      </c>
      <c r="AU83" s="21">
        <f>IF(tblData[Date]&gt;=StartDt2Korea,tblData[[#This Row],[SKorea LogiP(t)]]/$AS$9,"")</f>
        <v>1618.5623760783844</v>
      </c>
      <c r="AV83" s="85">
        <f>IF(ISNUMBER(tblData[Days'# UK]),betaUK/(deltaUK+betaPodeltaUK*EXP(-betaUK*tblData[Days'# UK])),"")</f>
        <v>6040252.2645190861</v>
      </c>
      <c r="AW83" s="85" t="str">
        <f>IF(ISNUMBER(tblData[UK]),(tblData[[#This Row],[UK LogiP(t)]]-tblData[[#This Row],[UK]])^2,"")</f>
        <v/>
      </c>
      <c r="AX83" s="85">
        <f>IF(ISNUMBER(tblData[Days'# UK]),tblData[[#This Row],[UK LogiP(t)]]/$AV$9,"")</f>
        <v>909128.87786259572</v>
      </c>
      <c r="AY83" s="11">
        <f>IF(ISNUMBER(tblData[Days'# China]),betaChina/(deltaChina+betaPodeltaChina*EXP(-betaChina*tblData[Days'# China])),"")</f>
        <v>80950.868384338275</v>
      </c>
      <c r="AZ83" s="11" t="str">
        <f>IF(ISNUMBER(tblData[China]),(tblData[[#This Row],[China LogiP(t)]]-tblData[[#This Row],[China]])^2,"")</f>
        <v/>
      </c>
      <c r="BA83" s="11">
        <f>tblData[[#This Row],[China LogiP(t)]]/$AY$9</f>
        <v>562.42292202875603</v>
      </c>
      <c r="BB83" s="11"/>
      <c r="BC83" s="11"/>
      <c r="BD83" s="11" t="str">
        <f>IF(ISNUMBER(tblData[[#This Row],[NSW Number of Tests]]),tblData[[#This Row],[NSW Number of Tests]]-BB82,"")</f>
        <v/>
      </c>
      <c r="BE83" s="11" t="str">
        <f>IF(ISNUMBER(tblData[[#This Row],[NSW Under Investigation'']]),tblData[[#This Row],[NSW Under Investigation'']]-BC82,"")</f>
        <v/>
      </c>
      <c r="BF83" s="11">
        <f t="shared" si="6"/>
        <v>28</v>
      </c>
      <c r="BG83" s="11">
        <f>IF(ISNUMBER(tblData[[#This Row],[NSW Test Day Number]]),betaTest/(deltaTest+betaPodeltaTest*EXP(-betaTest*tblData[[#This Row],[NSW Test Day Number]])),"")</f>
        <v>191731.73865460593</v>
      </c>
      <c r="BH83" s="11" t="str">
        <f>IF(ISNUMBER(tblData[[#This Row],[NSW Number of Tests]]),(tblData[[#This Row],[NSW Number of Tests]]-tblData[[#This Row],[NSW Test Logi]])^2,"")</f>
        <v/>
      </c>
      <c r="BY83"/>
      <c r="BZ83"/>
      <c r="CJ83" s="26"/>
      <c r="CK83" s="26"/>
    </row>
    <row r="84" spans="2:173" x14ac:dyDescent="0.25">
      <c r="B84" s="27">
        <f t="shared" si="12"/>
        <v>43949</v>
      </c>
      <c r="D84" s="26"/>
      <c r="L84" s="12" t="str">
        <f>IF(ISNUMBER(tblData[[#This Row],[NSW]]),tblData[[#This Row],[New South Wales]]/$L$9,"")</f>
        <v/>
      </c>
      <c r="M84" s="26"/>
      <c r="N84" s="49" t="str">
        <f>IF(ISNUMBER(tblData[Italy]),tblData[Italy]/$N$9,"")</f>
        <v/>
      </c>
      <c r="O84" s="26"/>
      <c r="P84" s="49" t="str">
        <f>IF(ISNUMBER(tblData[US]),tblData[US]/$P$9,"")</f>
        <v/>
      </c>
      <c r="Q84" s="49"/>
      <c r="R84" s="19" t="str">
        <f>IF(ISNUMBER(tblData[SKorea]),tblData[SKorea]/$R$9,"")</f>
        <v/>
      </c>
      <c r="S84" s="49"/>
      <c r="T84" s="12" t="str">
        <f>IF(ISNUMBER(tblData[UK]),tblData[UK]/$T$9,"")</f>
        <v/>
      </c>
      <c r="U84" s="26"/>
      <c r="V84" s="21" t="str">
        <f>IF(ISNUMBER(tblData[China]),tblData[China]/$V$9,"")</f>
        <v/>
      </c>
      <c r="W84" s="26">
        <f>IF(tblData[[#This Row],[Date]]&lt;ItalyStart,"",tblData[[#This Row],[Date]]-ItalyStart)</f>
        <v>89</v>
      </c>
      <c r="X84" s="26">
        <f t="shared" si="7"/>
        <v>79</v>
      </c>
      <c r="Y84" s="26">
        <f t="shared" si="11"/>
        <v>73</v>
      </c>
      <c r="Z84" s="26">
        <f>IF(tblData[[#This Row],[Date]]&lt;StartDt2Korea,"",tblData[[#This Row],[Date]]-StartDt2Korea)</f>
        <v>69</v>
      </c>
      <c r="AA84" s="26">
        <f>IF(tblData[[#This Row],[Date]]&lt;UKStart,"",tblData[[#This Row],[Date]]-UKStart)</f>
        <v>89</v>
      </c>
      <c r="AB84">
        <f>IF(tblData[Date]&gt;=StartDt2Au,tblData[Date]-StartDt2Au,"")</f>
        <v>94</v>
      </c>
      <c r="AC84" s="26" t="str">
        <f>IF(tblData[New South Wales]&gt;0,SUM(tblData[[#This Row],[Australian Capital Territory]:[Western Australia]]),"")</f>
        <v/>
      </c>
      <c r="AD84" s="12" t="str">
        <f>IF(ISNUMBER(tblData[Au]),tblData[Au]/$AA$9,"")</f>
        <v/>
      </c>
      <c r="AE84" s="44">
        <f>IF(ISNUMBER(tblData[[#This Row],[Day'# Aust]]),betaAu/(deltaAu+betaPodeltaAu*EXP(-betaAu*tblData[[#This Row],[Day'# Aust]])),"")</f>
        <v>2694182.7025668412</v>
      </c>
      <c r="AF84" s="73">
        <f>IF(ISNUMBER(tblData[Day'# Aust]),tblData[Au LogiP(t)]/$AD$9,"")</f>
        <v>1062207.3421253909</v>
      </c>
      <c r="AG84" s="11" t="str">
        <f>IF(AND(tblData[Date]&gt;=StartDt2Au,ISNUMBER(tblData[NSW])),(tblData[[#This Row],[Au LogiP(t)]]-tblData[[#This Row],[Au]])^2,"")</f>
        <v/>
      </c>
      <c r="AH84">
        <f>IF(tblData[Date]&gt;StartDt2NSW,tblData[Date]-StartDt2NSW,"")</f>
        <v>94</v>
      </c>
      <c r="AI84" t="str">
        <f t="shared" si="9"/>
        <v/>
      </c>
      <c r="AJ84" s="11">
        <f>IF(tblData[Date]&gt;StartDt2NSW,betaNSW/(deltaNSW+betaPodeltaNSW*EXP(-betaNSW*tblData[[#This Row],[Day '# NSW]])),"")</f>
        <v>2719.7975776207636</v>
      </c>
      <c r="AK84" s="12" t="str">
        <f>IF(AND(ISNUMBER(tblData[NSW]),tblData[Date]&gt;StartDt2NSW),(tblData[[#This Row],[NSW LogiP(t)]]-tblData[[#This Row],[NSW]])^2,"")</f>
        <v/>
      </c>
      <c r="AL84" s="44">
        <f>IF(AND(tblData[Date]&gt;StartDt2NSW,ISNUMBER(tblData[Day'# Aust])),tblData[NSW LogiP(t)]/$AG$9,"")</f>
        <v>3366.0861109167863</v>
      </c>
      <c r="AM84" s="11">
        <f>IF(AND(tblData[Date]&gt;StartDt2Italy,ISNUMBER(tblData[Days'# Italy])),betaItaly/(deltaItaly+betaPodeltaItaly*EXP(-betaItaly*tblData[Days'# Italy])),"")</f>
        <v>55401.903492160403</v>
      </c>
      <c r="AN84" s="11" t="str">
        <f>IF(AND(tblData[Date]&gt;StartDt2Italy,ISNUMBER(tblData[Italy])),(tblData[[#This Row],[Italy LogiP(t)]]-tblData[[#This Row],[Italy]])^2,"")</f>
        <v/>
      </c>
      <c r="AO84" s="44">
        <f>IF(AND(tblData[Date]&gt;StartDt2Italy,ISNUMBER(tblData[Days'# Italy])),tblData[[#This Row],[Italy LogiP(t)]]/$AM$9,"")</f>
        <v>9164.9137290587933</v>
      </c>
      <c r="AP84" s="21">
        <f>IF(ISNUMBER(tblData[[#This Row],[Days'# US]]),betaUS/(deltaUS+betaPodeltaUS*EXP(-betaUS*tblData[Days'# US])),"")</f>
        <v>339567679.96191072</v>
      </c>
      <c r="AQ84" s="11" t="str">
        <f>IF(ISNUMBER(tblData[US]),(tblData[[#This Row],[US LogiP(t)]]-tblData[US])^2,"")</f>
        <v/>
      </c>
      <c r="AR84" s="21">
        <f>IF(ISNUMBER(tblData[[#This Row],[Days'# US]]),tblData[[#This Row],[US LogiP(t)]]/$AP$9,"")</f>
        <v>10314066.298710763</v>
      </c>
      <c r="AS84" s="21">
        <f>IF(tblData[Date]&gt;=StartDt2Korea,betaSKorea/(deltaSKorea+betaPodeltaSKorea*EXP(-betaSKorea*(tblData[Date]-StartDt2Korea))),"")</f>
        <v>8319.4112062049517</v>
      </c>
      <c r="AT84" s="21" t="str">
        <f>IF(AND(tblData[Date]&gt;=StartDt2Korea,ISNUMBER(tblData[SKorea])),(tblData[[#This Row],[SKorea LogiP(t)]]-tblData[[#This Row],[SKorea]])^2,"")</f>
        <v/>
      </c>
      <c r="AU84" s="21">
        <f>IF(tblData[Date]&gt;=StartDt2Korea,tblData[[#This Row],[SKorea LogiP(t)]]/$AS$9,"")</f>
        <v>1618.5624914795626</v>
      </c>
      <c r="AV84" s="85">
        <f>IF(ISNUMBER(tblData[Days'# UK]),betaUK/(deltaUK+betaPodeltaUK*EXP(-betaUK*tblData[Days'# UK])),"")</f>
        <v>27451133.529155239</v>
      </c>
      <c r="AW84" s="85" t="str">
        <f>IF(ISNUMBER(tblData[UK]),(tblData[[#This Row],[UK LogiP(t)]]-tblData[[#This Row],[UK]])^2,"")</f>
        <v/>
      </c>
      <c r="AX84" s="85">
        <f>IF(ISNUMBER(tblData[Days'# UK]),tblData[[#This Row],[UK LogiP(t)]]/$AV$9,"")</f>
        <v>4131717.8701317338</v>
      </c>
      <c r="AY84" s="11">
        <f>IF(ISNUMBER(tblData[Days'# China]),betaChina/(deltaChina+betaPodeltaChina*EXP(-betaChina*tblData[Days'# China])),"")</f>
        <v>80950.962640692553</v>
      </c>
      <c r="AZ84" s="11" t="str">
        <f>IF(ISNUMBER(tblData[China]),(tblData[[#This Row],[China LogiP(t)]]-tblData[[#This Row],[China]])^2,"")</f>
        <v/>
      </c>
      <c r="BA84" s="11">
        <f>tblData[[#This Row],[China LogiP(t)]]/$AY$9</f>
        <v>562.42357689429673</v>
      </c>
      <c r="BB84" s="11"/>
      <c r="BC84" s="11"/>
      <c r="BD84" s="11" t="str">
        <f>IF(ISNUMBER(tblData[[#This Row],[NSW Number of Tests]]),tblData[[#This Row],[NSW Number of Tests]]-BB83,"")</f>
        <v/>
      </c>
      <c r="BE84" s="11" t="str">
        <f>IF(ISNUMBER(tblData[[#This Row],[NSW Under Investigation'']]),tblData[[#This Row],[NSW Under Investigation'']]-BC83,"")</f>
        <v/>
      </c>
      <c r="BF84" s="11">
        <f t="shared" si="6"/>
        <v>29</v>
      </c>
      <c r="BG84" s="11">
        <f>IF(ISNUMBER(tblData[[#This Row],[NSW Test Day Number]]),betaTest/(deltaTest+betaPodeltaTest*EXP(-betaTest*tblData[[#This Row],[NSW Test Day Number]])),"")</f>
        <v>202466.19675997517</v>
      </c>
      <c r="BH84" s="11" t="str">
        <f>IF(ISNUMBER(tblData[[#This Row],[NSW Number of Tests]]),(tblData[[#This Row],[NSW Number of Tests]]-tblData[[#This Row],[NSW Test Logi]])^2,"")</f>
        <v/>
      </c>
      <c r="BY84"/>
      <c r="BZ84"/>
      <c r="CJ84" s="26"/>
      <c r="CK84" s="26"/>
    </row>
    <row r="85" spans="2:173" x14ac:dyDescent="0.25">
      <c r="B85" s="27">
        <f t="shared" si="12"/>
        <v>43956</v>
      </c>
      <c r="D85" s="26"/>
      <c r="L85" s="12" t="str">
        <f>IF(ISNUMBER(tblData[[#This Row],[NSW]]),tblData[[#This Row],[New South Wales]]/$L$9,"")</f>
        <v/>
      </c>
      <c r="M85" s="26"/>
      <c r="N85" s="49" t="str">
        <f>IF(ISNUMBER(tblData[Italy]),tblData[Italy]/$N$9,"")</f>
        <v/>
      </c>
      <c r="O85" s="26"/>
      <c r="P85" s="49" t="str">
        <f>IF(ISNUMBER(tblData[US]),tblData[US]/$P$9,"")</f>
        <v/>
      </c>
      <c r="Q85" s="49"/>
      <c r="R85" s="19" t="str">
        <f>IF(ISNUMBER(tblData[SKorea]),tblData[SKorea]/$R$9,"")</f>
        <v/>
      </c>
      <c r="S85" s="49"/>
      <c r="T85" s="12" t="str">
        <f>IF(ISNUMBER(tblData[UK]),tblData[UK]/$T$9,"")</f>
        <v/>
      </c>
      <c r="U85" s="26"/>
      <c r="V85" s="21" t="str">
        <f>IF(ISNUMBER(tblData[China]),tblData[China]/$V$9,"")</f>
        <v/>
      </c>
      <c r="W85" s="26">
        <f>IF(tblData[[#This Row],[Date]]&lt;ItalyStart,"",tblData[[#This Row],[Date]]-ItalyStart)</f>
        <v>96</v>
      </c>
      <c r="X85" s="26">
        <f t="shared" si="7"/>
        <v>86</v>
      </c>
      <c r="Y85" s="26">
        <f t="shared" si="11"/>
        <v>74</v>
      </c>
      <c r="Z85" s="26">
        <f>IF(tblData[[#This Row],[Date]]&lt;StartDt2Korea,"",tblData[[#This Row],[Date]]-StartDt2Korea)</f>
        <v>76</v>
      </c>
      <c r="AA85" s="26">
        <f>IF(tblData[[#This Row],[Date]]&lt;UKStart,"",tblData[[#This Row],[Date]]-UKStart)</f>
        <v>96</v>
      </c>
      <c r="AB85">
        <f>IF(tblData[Date]&gt;=StartDt2Au,tblData[Date]-StartDt2Au,"")</f>
        <v>101</v>
      </c>
      <c r="AC85" s="26" t="str">
        <f>IF(tblData[New South Wales]&gt;0,SUM(tblData[[#This Row],[Australian Capital Territory]:[Western Australia]]),"")</f>
        <v/>
      </c>
      <c r="AD85" s="12" t="str">
        <f>IF(ISNUMBER(tblData[Au]),tblData[Au]/$AA$9,"")</f>
        <v/>
      </c>
      <c r="AE85" s="44">
        <f>IF(ISNUMBER(tblData[[#This Row],[Day'# Aust]]),betaAu/(deltaAu+betaPodeltaAu*EXP(-betaAu*tblData[[#This Row],[Day'# Aust]])),"")</f>
        <v>10968958.724669989</v>
      </c>
      <c r="AF85" s="73">
        <f>IF(ISNUMBER(tblData[Day'# Aust]),tblData[Au LogiP(t)]/$AD$9,"")</f>
        <v>4324617.0653958321</v>
      </c>
      <c r="AG85" s="11" t="str">
        <f>IF(AND(tblData[Date]&gt;=StartDt2Au,ISNUMBER(tblData[NSW])),(tblData[[#This Row],[Au LogiP(t)]]-tblData[[#This Row],[Au]])^2,"")</f>
        <v/>
      </c>
      <c r="AH85">
        <f>IF(tblData[Date]&gt;StartDt2NSW,tblData[Date]-StartDt2NSW,"")</f>
        <v>101</v>
      </c>
      <c r="AI85" t="str">
        <f t="shared" si="9"/>
        <v/>
      </c>
      <c r="AJ85" s="11">
        <f>IF(tblData[Date]&gt;StartDt2NSW,betaNSW/(deltaNSW+betaPodeltaNSW*EXP(-betaNSW*tblData[[#This Row],[Day '# NSW]])),"")</f>
        <v>2723.5738758040625</v>
      </c>
      <c r="AK85" s="12" t="str">
        <f>IF(AND(ISNUMBER(tblData[NSW]),tblData[Date]&gt;StartDt2NSW),(tblData[[#This Row],[NSW LogiP(t)]]-tblData[[#This Row],[NSW]])^2,"")</f>
        <v/>
      </c>
      <c r="AL85" s="44">
        <f>IF(AND(tblData[Date]&gt;StartDt2NSW,ISNUMBER(tblData[Day'# Aust])),tblData[NSW LogiP(t)]/$AG$9,"")</f>
        <v>3370.7597472822554</v>
      </c>
      <c r="AM85" s="11">
        <f>IF(AND(tblData[Date]&gt;StartDt2Italy,ISNUMBER(tblData[Days'# Italy])),betaItaly/(deltaItaly+betaPodeltaItaly*EXP(-betaItaly*tblData[Days'# Italy])),"")</f>
        <v>55402.413103838349</v>
      </c>
      <c r="AN85" s="11" t="str">
        <f>IF(AND(tblData[Date]&gt;StartDt2Italy,ISNUMBER(tblData[Italy])),(tblData[[#This Row],[Italy LogiP(t)]]-tblData[[#This Row],[Italy]])^2,"")</f>
        <v/>
      </c>
      <c r="AO85" s="44">
        <f>IF(AND(tblData[Date]&gt;StartDt2Italy,ISNUMBER(tblData[Days'# Italy])),tblData[[#This Row],[Italy LogiP(t)]]/$AM$9,"")</f>
        <v>9164.9980320658979</v>
      </c>
      <c r="AP85" s="21">
        <f>IF(ISNUMBER(tblData[[#This Row],[Days'# US]]),betaUS/(deltaUS+betaPodeltaUS*EXP(-betaUS*tblData[Days'# US])),"")</f>
        <v>346966992.9476319</v>
      </c>
      <c r="AQ85" s="11" t="str">
        <f>IF(ISNUMBER(tblData[US]),(tblData[[#This Row],[US LogiP(t)]]-tblData[US])^2,"")</f>
        <v/>
      </c>
      <c r="AR85" s="21">
        <f>IF(ISNUMBER(tblData[[#This Row],[Days'# US]]),tblData[[#This Row],[US LogiP(t)]]/$AP$9,"")</f>
        <v>10538813.850386472</v>
      </c>
      <c r="AS85" s="21">
        <f>IF(tblData[Date]&gt;=StartDt2Korea,betaSKorea/(deltaSKorea+betaPodeltaSKorea*EXP(-betaSKorea*(tblData[Date]-StartDt2Korea))),"")</f>
        <v>8319.4112668986636</v>
      </c>
      <c r="AT85" s="21" t="str">
        <f>IF(AND(tblData[Date]&gt;=StartDt2Korea,ISNUMBER(tblData[SKorea])),(tblData[[#This Row],[SKorea LogiP(t)]]-tblData[[#This Row],[SKorea]])^2,"")</f>
        <v/>
      </c>
      <c r="AU85" s="21">
        <f>IF(tblData[Date]&gt;=StartDt2Korea,tblData[[#This Row],[SKorea LogiP(t)]]/$AS$9,"")</f>
        <v>1618.5625032876778</v>
      </c>
      <c r="AV85" s="85">
        <f>IF(ISNUMBER(tblData[Days'# UK]),betaUK/(deltaUK+betaPodeltaUK*EXP(-betaUK*tblData[Days'# UK])),"")</f>
        <v>93242903.840694353</v>
      </c>
      <c r="AW85" s="85" t="str">
        <f>IF(ISNUMBER(tblData[UK]),(tblData[[#This Row],[UK LogiP(t)]]-tblData[[#This Row],[UK]])^2,"")</f>
        <v/>
      </c>
      <c r="AX85" s="85">
        <f>IF(ISNUMBER(tblData[Days'# UK]),tblData[[#This Row],[UK LogiP(t)]]/$AV$9,"")</f>
        <v>14034151.691856464</v>
      </c>
      <c r="AY85" s="11">
        <f>IF(ISNUMBER(tblData[Days'# China]),betaChina/(deltaChina+betaPodeltaChina*EXP(-betaChina*tblData[Days'# China])),"")</f>
        <v>80951.038121418809</v>
      </c>
      <c r="AZ85" s="11" t="str">
        <f>IF(ISNUMBER(tblData[China]),(tblData[[#This Row],[China LogiP(t)]]-tblData[[#This Row],[China]])^2,"")</f>
        <v/>
      </c>
      <c r="BA85" s="11">
        <f>tblData[[#This Row],[China LogiP(t)]]/$AY$9</f>
        <v>562.42410131227359</v>
      </c>
      <c r="BB85" s="11"/>
      <c r="BC85" s="11"/>
      <c r="BD85" s="11" t="str">
        <f>IF(ISNUMBER(tblData[[#This Row],[NSW Number of Tests]]),tblData[[#This Row],[NSW Number of Tests]]-BB84,"")</f>
        <v/>
      </c>
      <c r="BE85" s="11" t="str">
        <f>IF(ISNUMBER(tblData[[#This Row],[NSW Under Investigation'']]),tblData[[#This Row],[NSW Under Investigation'']]-BC84,"")</f>
        <v/>
      </c>
      <c r="BF85" s="11">
        <f t="shared" si="6"/>
        <v>30</v>
      </c>
      <c r="BG85" s="11">
        <f>IF(ISNUMBER(tblData[[#This Row],[NSW Test Day Number]]),betaTest/(deltaTest+betaPodeltaTest*EXP(-betaTest*tblData[[#This Row],[NSW Test Day Number]])),"")</f>
        <v>212521.22015931713</v>
      </c>
      <c r="BH85" s="11" t="str">
        <f>IF(ISNUMBER(tblData[[#This Row],[NSW Number of Tests]]),(tblData[[#This Row],[NSW Number of Tests]]-tblData[[#This Row],[NSW Test Logi]])^2,"")</f>
        <v/>
      </c>
      <c r="BY85"/>
      <c r="BZ85"/>
      <c r="CJ85" s="26"/>
      <c r="CK85" s="26"/>
    </row>
    <row r="86" spans="2:173" x14ac:dyDescent="0.25">
      <c r="B86" s="27">
        <f t="shared" si="12"/>
        <v>43963</v>
      </c>
      <c r="D86" s="26"/>
      <c r="L86" s="12" t="str">
        <f>IF(ISNUMBER(tblData[[#This Row],[NSW]]),tblData[[#This Row],[New South Wales]]/$L$9,"")</f>
        <v/>
      </c>
      <c r="M86" s="26"/>
      <c r="N86" s="49" t="str">
        <f>IF(ISNUMBER(tblData[Italy]),tblData[Italy]/$N$9,"")</f>
        <v/>
      </c>
      <c r="O86" s="26"/>
      <c r="P86" s="49" t="str">
        <f>IF(ISNUMBER(tblData[US]),tblData[US]/$P$9,"")</f>
        <v/>
      </c>
      <c r="Q86" s="49"/>
      <c r="R86" s="19" t="str">
        <f>IF(ISNUMBER(tblData[SKorea]),tblData[SKorea]/$R$9,"")</f>
        <v/>
      </c>
      <c r="S86" s="49"/>
      <c r="T86" s="12" t="str">
        <f>IF(ISNUMBER(tblData[UK]),tblData[UK]/$T$9,"")</f>
        <v/>
      </c>
      <c r="U86" s="26"/>
      <c r="V86" s="21" t="str">
        <f>IF(ISNUMBER(tblData[China]),tblData[China]/$V$9,"")</f>
        <v/>
      </c>
      <c r="W86" s="26">
        <f>IF(tblData[[#This Row],[Date]]&lt;ItalyStart,"",tblData[[#This Row],[Date]]-ItalyStart)</f>
        <v>103</v>
      </c>
      <c r="X86" s="26">
        <f t="shared" si="7"/>
        <v>93</v>
      </c>
      <c r="Y86" s="26">
        <f t="shared" si="11"/>
        <v>75</v>
      </c>
      <c r="Z86" s="26">
        <f>IF(tblData[[#This Row],[Date]]&lt;StartDt2Korea,"",tblData[[#This Row],[Date]]-StartDt2Korea)</f>
        <v>83</v>
      </c>
      <c r="AA86" s="26">
        <f>IF(tblData[[#This Row],[Date]]&lt;UKStart,"",tblData[[#This Row],[Date]]-UKStart)</f>
        <v>103</v>
      </c>
      <c r="AB86">
        <f>IF(tblData[Date]&gt;=StartDt2Au,tblData[Date]-StartDt2Au,"")</f>
        <v>108</v>
      </c>
      <c r="AC86" s="26" t="str">
        <f>IF(tblData[New South Wales]&gt;0,SUM(tblData[[#This Row],[Australian Capital Territory]:[Western Australia]]),"")</f>
        <v/>
      </c>
      <c r="AD86" s="12" t="str">
        <f>IF(ISNUMBER(tblData[Au]),tblData[Au]/$AA$9,"")</f>
        <v/>
      </c>
      <c r="AE86" s="44">
        <f>IF(ISNUMBER(tblData[[#This Row],[Day'# Aust]]),betaAu/(deltaAu+betaPodeltaAu*EXP(-betaAu*tblData[[#This Row],[Day'# Aust]])),"")</f>
        <v>39706743.682226188</v>
      </c>
      <c r="AF86" s="73">
        <f>IF(ISNUMBER(tblData[Day'# Aust]),tblData[Au LogiP(t)]/$AD$9,"")</f>
        <v>15654764.107485486</v>
      </c>
      <c r="AG86" s="11" t="str">
        <f>IF(AND(tblData[Date]&gt;=StartDt2Au,ISNUMBER(tblData[NSW])),(tblData[[#This Row],[Au LogiP(t)]]-tblData[[#This Row],[Au]])^2,"")</f>
        <v/>
      </c>
      <c r="AH86">
        <f>IF(tblData[Date]&gt;StartDt2NSW,tblData[Date]-StartDt2NSW,"")</f>
        <v>108</v>
      </c>
      <c r="AI86" t="str">
        <f t="shared" si="9"/>
        <v/>
      </c>
      <c r="AJ86" s="11">
        <f>IF(tblData[Date]&gt;StartDt2NSW,betaNSW/(deltaNSW+betaPodeltaNSW*EXP(-betaNSW*tblData[[#This Row],[Day '# NSW]])),"")</f>
        <v>2724.4478629559617</v>
      </c>
      <c r="AK86" s="12" t="str">
        <f>IF(AND(ISNUMBER(tblData[NSW]),tblData[Date]&gt;StartDt2NSW),(tblData[[#This Row],[NSW LogiP(t)]]-tblData[[#This Row],[NSW]])^2,"")</f>
        <v/>
      </c>
      <c r="AL86" s="44">
        <f>IF(AND(tblData[Date]&gt;StartDt2NSW,ISNUMBER(tblData[Day'# Aust])),tblData[NSW LogiP(t)]/$AG$9,"")</f>
        <v>3371.8414145494571</v>
      </c>
      <c r="AM86" s="11">
        <f>IF(AND(tblData[Date]&gt;StartDt2Italy,ISNUMBER(tblData[Days'# Italy])),betaItaly/(deltaItaly+betaPodeltaItaly*EXP(-betaItaly*tblData[Days'# Italy])),"")</f>
        <v>55402.495552802851</v>
      </c>
      <c r="AN86" s="11" t="str">
        <f>IF(AND(tblData[Date]&gt;StartDt2Italy,ISNUMBER(tblData[Italy])),(tblData[[#This Row],[Italy LogiP(t)]]-tblData[[#This Row],[Italy]])^2,"")</f>
        <v/>
      </c>
      <c r="AO86" s="44">
        <f>IF(AND(tblData[Date]&gt;StartDt2Italy,ISNUMBER(tblData[Days'# Italy])),tblData[[#This Row],[Italy LogiP(t)]]/$AM$9,"")</f>
        <v>9165.0116712659801</v>
      </c>
      <c r="AP86" s="21">
        <f>IF(ISNUMBER(tblData[[#This Row],[Days'# US]]),betaUS/(deltaUS+betaPodeltaUS*EXP(-betaUS*tblData[Days'# US])),"")</f>
        <v>347631300.05092919</v>
      </c>
      <c r="AQ86" s="11" t="str">
        <f>IF(ISNUMBER(tblData[US]),(tblData[[#This Row],[US LogiP(t)]]-tblData[US])^2,"")</f>
        <v/>
      </c>
      <c r="AR86" s="21">
        <f>IF(ISNUMBER(tblData[[#This Row],[Days'# US]]),tblData[[#This Row],[US LogiP(t)]]/$AP$9,"")</f>
        <v>10558991.587875744</v>
      </c>
      <c r="AS86" s="21">
        <f>IF(tblData[Date]&gt;=StartDt2Korea,betaSKorea/(deltaSKorea+betaPodeltaSKorea*EXP(-betaSKorea*(tblData[Date]-StartDt2Korea))),"")</f>
        <v>8319.4112731089826</v>
      </c>
      <c r="AT86" s="21" t="str">
        <f>IF(AND(tblData[Date]&gt;=StartDt2Korea,ISNUMBER(tblData[SKorea])),(tblData[[#This Row],[SKorea LogiP(t)]]-tblData[[#This Row],[SKorea]])^2,"")</f>
        <v/>
      </c>
      <c r="AU86" s="21">
        <f>IF(tblData[Date]&gt;=StartDt2Korea,tblData[[#This Row],[SKorea LogiP(t)]]/$AS$9,"")</f>
        <v>1618.5625044959111</v>
      </c>
      <c r="AV86" s="85">
        <f>IF(ISNUMBER(tblData[Days'# UK]),betaUK/(deltaUK+betaPodeltaUK*EXP(-betaUK*tblData[Days'# UK])),"")</f>
        <v>178310636.08909133</v>
      </c>
      <c r="AW86" s="85" t="str">
        <f>IF(ISNUMBER(tblData[UK]),(tblData[[#This Row],[UK LogiP(t)]]-tblData[[#This Row],[UK]])^2,"")</f>
        <v/>
      </c>
      <c r="AX86" s="85">
        <f>IF(ISNUMBER(tblData[Days'# UK]),tblData[[#This Row],[UK LogiP(t)]]/$AV$9,"")</f>
        <v>26837844.083246738</v>
      </c>
      <c r="AY86" s="11">
        <f>IF(ISNUMBER(tblData[Days'# China]),betaChina/(deltaChina+betaPodeltaChina*EXP(-betaChina*tblData[Days'# China])),"")</f>
        <v>80951.098566549539</v>
      </c>
      <c r="AZ86" s="11" t="str">
        <f>IF(ISNUMBER(tblData[China]),(tblData[[#This Row],[China LogiP(t)]]-tblData[[#This Row],[China]])^2,"")</f>
        <v/>
      </c>
      <c r="BA86" s="11">
        <f>tblData[[#This Row],[China LogiP(t)]]/$AY$9</f>
        <v>562.42452126733679</v>
      </c>
      <c r="BB86" s="11"/>
      <c r="BC86" s="11"/>
      <c r="BD86" s="11" t="str">
        <f>IF(ISNUMBER(tblData[[#This Row],[NSW Number of Tests]]),tblData[[#This Row],[NSW Number of Tests]]-BB85,"")</f>
        <v/>
      </c>
      <c r="BE86" s="11" t="str">
        <f>IF(ISNUMBER(tblData[[#This Row],[NSW Under Investigation'']]),tblData[[#This Row],[NSW Under Investigation'']]-BC85,"")</f>
        <v/>
      </c>
      <c r="BF86" s="11">
        <f t="shared" si="6"/>
        <v>31</v>
      </c>
      <c r="BG86" s="11">
        <f>IF(ISNUMBER(tblData[[#This Row],[NSW Test Day Number]]),betaTest/(deltaTest+betaPodeltaTest*EXP(-betaTest*tblData[[#This Row],[NSW Test Day Number]])),"")</f>
        <v>221831.18028052556</v>
      </c>
      <c r="BH86" s="11" t="str">
        <f>IF(ISNUMBER(tblData[[#This Row],[NSW Number of Tests]]),(tblData[[#This Row],[NSW Number of Tests]]-tblData[[#This Row],[NSW Test Logi]])^2,"")</f>
        <v/>
      </c>
      <c r="BY86"/>
      <c r="BZ86"/>
      <c r="CJ86" s="26"/>
      <c r="CK86" s="26"/>
    </row>
    <row r="87" spans="2:173" x14ac:dyDescent="0.25">
      <c r="B87" s="27">
        <f t="shared" si="12"/>
        <v>43970</v>
      </c>
      <c r="D87" s="26"/>
      <c r="L87" s="12" t="str">
        <f>IF(ISNUMBER(tblData[[#This Row],[NSW]]),tblData[[#This Row],[New South Wales]]/$L$9,"")</f>
        <v/>
      </c>
      <c r="M87" s="26"/>
      <c r="N87" s="49" t="str">
        <f>IF(ISNUMBER(tblData[Italy]),tblData[Italy]/$N$9,"")</f>
        <v/>
      </c>
      <c r="O87" s="26"/>
      <c r="P87" s="49" t="str">
        <f>IF(ISNUMBER(tblData[US]),tblData[US]/$P$9,"")</f>
        <v/>
      </c>
      <c r="Q87" s="49"/>
      <c r="R87" s="19" t="str">
        <f>IF(ISNUMBER(tblData[SKorea]),tblData[SKorea]/$R$9,"")</f>
        <v/>
      </c>
      <c r="S87" s="49"/>
      <c r="T87" s="12" t="str">
        <f>IF(ISNUMBER(tblData[UK]),tblData[UK]/$T$9,"")</f>
        <v/>
      </c>
      <c r="U87" s="26"/>
      <c r="V87" s="21" t="str">
        <f>IF(ISNUMBER(tblData[China]),tblData[China]/$V$9,"")</f>
        <v/>
      </c>
      <c r="W87" s="26">
        <f>IF(tblData[[#This Row],[Date]]&lt;ItalyStart,"",tblData[[#This Row],[Date]]-ItalyStart)</f>
        <v>110</v>
      </c>
      <c r="X87" s="26">
        <f t="shared" si="7"/>
        <v>100</v>
      </c>
      <c r="Y87" s="26">
        <f t="shared" si="11"/>
        <v>76</v>
      </c>
      <c r="Z87" s="26">
        <f>IF(tblData[[#This Row],[Date]]&lt;StartDt2Korea,"",tblData[[#This Row],[Date]]-StartDt2Korea)</f>
        <v>90</v>
      </c>
      <c r="AA87" s="26">
        <f>IF(tblData[[#This Row],[Date]]&lt;UKStart,"",tblData[[#This Row],[Date]]-UKStart)</f>
        <v>110</v>
      </c>
      <c r="AB87">
        <f>IF(tblData[Date]&gt;=StartDt2Au,tblData[Date]-StartDt2Au,"")</f>
        <v>115</v>
      </c>
      <c r="AC87" s="26" t="str">
        <f>IF(tblData[New South Wales]&gt;0,SUM(tblData[[#This Row],[Australian Capital Territory]:[Western Australia]]),"")</f>
        <v/>
      </c>
      <c r="AD87" s="12" t="str">
        <f>IF(ISNUMBER(tblData[Au]),tblData[Au]/$AA$9,"")</f>
        <v/>
      </c>
      <c r="AE87" s="44">
        <f>IF(ISNUMBER(tblData[[#This Row],[Day'# Aust]]),betaAu/(deltaAu+betaPodeltaAu*EXP(-betaAu*tblData[[#This Row],[Day'# Aust]])),"")</f>
        <v>103774051.74900539</v>
      </c>
      <c r="AF87" s="73">
        <f>IF(ISNUMBER(tblData[Day'# Aust]),tblData[Au LogiP(t)]/$AD$9,"")</f>
        <v>40913914.11015825</v>
      </c>
      <c r="AG87" s="11" t="str">
        <f>IF(AND(tblData[Date]&gt;=StartDt2Au,ISNUMBER(tblData[NSW])),(tblData[[#This Row],[Au LogiP(t)]]-tblData[[#This Row],[Au]])^2,"")</f>
        <v/>
      </c>
      <c r="AH87">
        <f>IF(tblData[Date]&gt;StartDt2NSW,tblData[Date]-StartDt2NSW,"")</f>
        <v>115</v>
      </c>
      <c r="AI87" t="str">
        <f t="shared" si="9"/>
        <v/>
      </c>
      <c r="AJ87" s="11">
        <f>IF(tblData[Date]&gt;StartDt2NSW,betaNSW/(deltaNSW+betaPodeltaNSW*EXP(-betaNSW*tblData[[#This Row],[Day '# NSW]])),"")</f>
        <v>2724.6498732218747</v>
      </c>
      <c r="AK87" s="12" t="str">
        <f>IF(AND(ISNUMBER(tblData[NSW]),tblData[Date]&gt;StartDt2NSW),(tblData[[#This Row],[NSW LogiP(t)]]-tblData[[#This Row],[NSW]])^2,"")</f>
        <v/>
      </c>
      <c r="AL87" s="44">
        <f>IF(AND(tblData[Date]&gt;StartDt2NSW,ISNUMBER(tblData[Day'# Aust])),tblData[NSW LogiP(t)]/$AG$9,"")</f>
        <v>3372.0914272547952</v>
      </c>
      <c r="AM87" s="11">
        <f>IF(AND(tblData[Date]&gt;StartDt2Italy,ISNUMBER(tblData[Days'# Italy])),betaItaly/(deltaItaly+betaPodeltaItaly*EXP(-betaItaly*tblData[Days'# Italy])),"")</f>
        <v>55402.508891921934</v>
      </c>
      <c r="AN87" s="11" t="str">
        <f>IF(AND(tblData[Date]&gt;StartDt2Italy,ISNUMBER(tblData[Italy])),(tblData[[#This Row],[Italy LogiP(t)]]-tblData[[#This Row],[Italy]])^2,"")</f>
        <v/>
      </c>
      <c r="AO87" s="44">
        <f>IF(AND(tblData[Date]&gt;StartDt2Italy,ISNUMBER(tblData[Days'# Italy])),tblData[[#This Row],[Italy LogiP(t)]]/$AM$9,"")</f>
        <v>9165.0138779027184</v>
      </c>
      <c r="AP87" s="21">
        <f>IF(ISNUMBER(tblData[[#This Row],[Days'# US]]),betaUS/(deltaUS+betaPodeltaUS*EXP(-betaUS*tblData[Days'# US])),"")</f>
        <v>347689679.16584677</v>
      </c>
      <c r="AQ87" s="11" t="str">
        <f>IF(ISNUMBER(tblData[US]),(tblData[[#This Row],[US LogiP(t)]]-tblData[US])^2,"")</f>
        <v/>
      </c>
      <c r="AR87" s="21">
        <f>IF(ISNUMBER(tblData[[#This Row],[Days'# US]]),tblData[[#This Row],[US LogiP(t)]]/$AP$9,"")</f>
        <v>10560764.801574374</v>
      </c>
      <c r="AS87" s="21">
        <f>IF(tblData[Date]&gt;=StartDt2Korea,betaSKorea/(deltaSKorea+betaPodeltaSKorea*EXP(-betaSKorea*(tblData[Date]-StartDt2Korea))),"")</f>
        <v>8319.4112737444375</v>
      </c>
      <c r="AT87" s="21" t="str">
        <f>IF(AND(tblData[Date]&gt;=StartDt2Korea,ISNUMBER(tblData[SKorea])),(tblData[[#This Row],[SKorea LogiP(t)]]-tblData[[#This Row],[SKorea]])^2,"")</f>
        <v/>
      </c>
      <c r="AU87" s="21">
        <f>IF(tblData[Date]&gt;=StartDt2Korea,tblData[[#This Row],[SKorea LogiP(t)]]/$AS$9,"")</f>
        <v>1618.5625046195405</v>
      </c>
      <c r="AV87" s="85">
        <f>IF(ISNUMBER(tblData[Days'# UK]),betaUK/(deltaUK+betaPodeltaUK*EXP(-betaUK*tblData[Days'# UK])),"")</f>
        <v>217878183.02053303</v>
      </c>
      <c r="AW87" s="85" t="str">
        <f>IF(ISNUMBER(tblData[UK]),(tblData[[#This Row],[UK LogiP(t)]]-tblData[[#This Row],[UK]])^2,"")</f>
        <v/>
      </c>
      <c r="AX87" s="85">
        <f>IF(ISNUMBER(tblData[Days'# UK]),tblData[[#This Row],[UK LogiP(t)]]/$AV$9,"")</f>
        <v>32793224.416094676</v>
      </c>
      <c r="AY87" s="11">
        <f>IF(ISNUMBER(tblData[Days'# China]),betaChina/(deltaChina+betaPodeltaChina*EXP(-betaChina*tblData[Days'# China])),"")</f>
        <v>80951.146971126276</v>
      </c>
      <c r="AZ87" s="11" t="str">
        <f>IF(ISNUMBER(tblData[China]),(tblData[[#This Row],[China LogiP(t)]]-tblData[[#This Row],[China]])^2,"")</f>
        <v/>
      </c>
      <c r="BA87" s="11">
        <f>tblData[[#This Row],[China LogiP(t)]]/$AY$9</f>
        <v>562.42485756815756</v>
      </c>
      <c r="BB87" s="11"/>
      <c r="BC87" s="11"/>
      <c r="BD87" s="11" t="str">
        <f>IF(ISNUMBER(tblData[[#This Row],[NSW Number of Tests]]),tblData[[#This Row],[NSW Number of Tests]]-BB86,"")</f>
        <v/>
      </c>
      <c r="BE87" s="11" t="str">
        <f>IF(ISNUMBER(tblData[[#This Row],[NSW Under Investigation'']]),tblData[[#This Row],[NSW Under Investigation'']]-BC86,"")</f>
        <v/>
      </c>
      <c r="BF87" s="11">
        <f t="shared" si="6"/>
        <v>32</v>
      </c>
      <c r="BG87" s="11">
        <f>IF(ISNUMBER(tblData[[#This Row],[NSW Test Day Number]]),betaTest/(deltaTest+betaPodeltaTest*EXP(-betaTest*tblData[[#This Row],[NSW Test Day Number]])),"")</f>
        <v>230359.15016001387</v>
      </c>
      <c r="BH87" s="11" t="str">
        <f>IF(ISNUMBER(tblData[[#This Row],[NSW Number of Tests]]),(tblData[[#This Row],[NSW Number of Tests]]-tblData[[#This Row],[NSW Test Logi]])^2,"")</f>
        <v/>
      </c>
      <c r="BY87"/>
      <c r="BZ87"/>
      <c r="CJ87" s="26"/>
      <c r="CK87" s="26"/>
    </row>
    <row r="88" spans="2:173" x14ac:dyDescent="0.25">
      <c r="B88" s="27">
        <f t="shared" si="12"/>
        <v>43977</v>
      </c>
      <c r="D88" s="26"/>
      <c r="L88" s="12" t="str">
        <f>IF(ISNUMBER(tblData[[#This Row],[NSW]]),tblData[[#This Row],[New South Wales]]/$L$9,"")</f>
        <v/>
      </c>
      <c r="M88" s="26"/>
      <c r="N88" s="49" t="str">
        <f>IF(ISNUMBER(tblData[Italy]),tblData[Italy]/$N$9,"")</f>
        <v/>
      </c>
      <c r="O88" s="26"/>
      <c r="P88" s="49" t="str">
        <f>IF(ISNUMBER(tblData[US]),tblData[US]/$P$9,"")</f>
        <v/>
      </c>
      <c r="Q88" s="49"/>
      <c r="R88" s="19" t="str">
        <f>IF(ISNUMBER(tblData[SKorea]),tblData[SKorea]/$R$9,"")</f>
        <v/>
      </c>
      <c r="S88" s="49"/>
      <c r="T88" s="12" t="str">
        <f>IF(ISNUMBER(tblData[UK]),tblData[UK]/$T$9,"")</f>
        <v/>
      </c>
      <c r="U88" s="26"/>
      <c r="V88" s="21" t="str">
        <f>IF(ISNUMBER(tblData[China]),tblData[China]/$V$9,"")</f>
        <v/>
      </c>
      <c r="W88" s="26">
        <f>IF(tblData[[#This Row],[Date]]&lt;ItalyStart,"",tblData[[#This Row],[Date]]-ItalyStart)</f>
        <v>117</v>
      </c>
      <c r="X88" s="26">
        <f t="shared" si="7"/>
        <v>107</v>
      </c>
      <c r="Y88" s="26">
        <f t="shared" si="11"/>
        <v>77</v>
      </c>
      <c r="Z88" s="26">
        <f>IF(tblData[[#This Row],[Date]]&lt;StartDt2Korea,"",tblData[[#This Row],[Date]]-StartDt2Korea)</f>
        <v>97</v>
      </c>
      <c r="AA88" s="26">
        <f>IF(tblData[[#This Row],[Date]]&lt;UKStart,"",tblData[[#This Row],[Date]]-UKStart)</f>
        <v>117</v>
      </c>
      <c r="AB88">
        <f>IF(tblData[Date]&gt;=StartDt2Au,tblData[Date]-StartDt2Au,"")</f>
        <v>122</v>
      </c>
      <c r="AC88" s="26" t="str">
        <f>IF(tblData[New South Wales]&gt;0,SUM(tblData[[#This Row],[Australian Capital Territory]:[Western Australia]]),"")</f>
        <v/>
      </c>
      <c r="AD88" s="12" t="str">
        <f>IF(ISNUMBER(tblData[Au]),tblData[Au]/$AA$9,"")</f>
        <v/>
      </c>
      <c r="AE88" s="44">
        <f>IF(ISNUMBER(tblData[[#This Row],[Day'# Aust]]),betaAu/(deltaAu+betaPodeltaAu*EXP(-betaAu*tblData[[#This Row],[Day'# Aust]])),"")</f>
        <v>167436220.81893587</v>
      </c>
      <c r="AF88" s="73">
        <f>IF(ISNUMBER(tblData[Day'# Aust]),tblData[Au LogiP(t)]/$AD$9,"")</f>
        <v>66013334.181886084</v>
      </c>
      <c r="AG88" s="11" t="str">
        <f>IF(AND(tblData[Date]&gt;=StartDt2Au,ISNUMBER(tblData[NSW])),(tblData[[#This Row],[Au LogiP(t)]]-tblData[[#This Row],[Au]])^2,"")</f>
        <v/>
      </c>
      <c r="AH88">
        <f>IF(tblData[Date]&gt;StartDt2NSW,tblData[Date]-StartDt2NSW,"")</f>
        <v>122</v>
      </c>
      <c r="AI88" t="str">
        <f t="shared" si="9"/>
        <v/>
      </c>
      <c r="AJ88" s="11">
        <f>IF(tblData[Date]&gt;StartDt2NSW,betaNSW/(deltaNSW+betaPodeltaNSW*EXP(-betaNSW*tblData[[#This Row],[Day '# NSW]])),"")</f>
        <v>2724.696550973732</v>
      </c>
      <c r="AK88" s="12" t="str">
        <f>IF(AND(ISNUMBER(tblData[NSW]),tblData[Date]&gt;StartDt2NSW),(tblData[[#This Row],[NSW LogiP(t)]]-tblData[[#This Row],[NSW]])^2,"")</f>
        <v/>
      </c>
      <c r="AL88" s="44">
        <f>IF(AND(tblData[Date]&gt;StartDt2NSW,ISNUMBER(tblData[Day'# Aust])),tblData[NSW LogiP(t)]/$AG$9,"")</f>
        <v>3372.1491967496681</v>
      </c>
      <c r="AM88" s="11">
        <f>IF(AND(tblData[Date]&gt;StartDt2Italy,ISNUMBER(tblData[Days'# Italy])),betaItaly/(deltaItaly+betaPodeltaItaly*EXP(-betaItaly*tblData[Days'# Italy])),"")</f>
        <v>55402.51105000652</v>
      </c>
      <c r="AN88" s="11" t="str">
        <f>IF(AND(tblData[Date]&gt;StartDt2Italy,ISNUMBER(tblData[Italy])),(tblData[[#This Row],[Italy LogiP(t)]]-tblData[[#This Row],[Italy]])^2,"")</f>
        <v/>
      </c>
      <c r="AO88" s="44">
        <f>IF(AND(tblData[Date]&gt;StartDt2Italy,ISNUMBER(tblData[Days'# Italy])),tblData[[#This Row],[Italy LogiP(t)]]/$AM$9,"")</f>
        <v>9165.0142349059588</v>
      </c>
      <c r="AP88" s="21">
        <f>IF(ISNUMBER(tblData[[#This Row],[Days'# US]]),betaUS/(deltaUS+betaPodeltaUS*EXP(-betaUS*tblData[Days'# US])),"")</f>
        <v>347694799.77705127</v>
      </c>
      <c r="AQ88" s="11" t="str">
        <f>IF(ISNUMBER(tblData[US]),(tblData[[#This Row],[US LogiP(t)]]-tblData[US])^2,"")</f>
        <v/>
      </c>
      <c r="AR88" s="21">
        <f>IF(ISNUMBER(tblData[[#This Row],[Days'# US]]),tblData[[#This Row],[US LogiP(t)]]/$AP$9,"")</f>
        <v>10560920.335585911</v>
      </c>
      <c r="AS88" s="21">
        <f>IF(tblData[Date]&gt;=StartDt2Korea,betaSKorea/(deltaSKorea+betaPodeltaSKorea*EXP(-betaSKorea*(tblData[Date]-StartDt2Korea))),"")</f>
        <v>8319.4112738094591</v>
      </c>
      <c r="AT88" s="21" t="str">
        <f>IF(AND(tblData[Date]&gt;=StartDt2Korea,ISNUMBER(tblData[SKorea])),(tblData[[#This Row],[SKorea LogiP(t)]]-tblData[[#This Row],[SKorea]])^2,"")</f>
        <v/>
      </c>
      <c r="AU88" s="21">
        <f>IF(tblData[Date]&gt;=StartDt2Korea,tblData[[#This Row],[SKorea LogiP(t)]]/$AS$9,"")</f>
        <v>1618.5625046321907</v>
      </c>
      <c r="AV88" s="85">
        <f>IF(ISNUMBER(tblData[Days'# UK]),betaUK/(deltaUK+betaPodeltaUK*EXP(-betaUK*tblData[Days'# UK])),"")</f>
        <v>227946845.41919371</v>
      </c>
      <c r="AW88" s="85" t="str">
        <f>IF(ISNUMBER(tblData[UK]),(tblData[[#This Row],[UK LogiP(t)]]-tblData[[#This Row],[UK]])^2,"")</f>
        <v/>
      </c>
      <c r="AX88" s="85">
        <f>IF(ISNUMBER(tblData[Days'# UK]),tblData[[#This Row],[UK LogiP(t)]]/$AV$9,"")</f>
        <v>34308676.31234102</v>
      </c>
      <c r="AY88" s="11">
        <f>IF(ISNUMBER(tblData[Days'# China]),betaChina/(deltaChina+betaPodeltaChina*EXP(-betaChina*tblData[Days'# China])),"")</f>
        <v>80951.185733593898</v>
      </c>
      <c r="AZ88" s="11" t="str">
        <f>IF(ISNUMBER(tblData[China]),(tblData[[#This Row],[China LogiP(t)]]-tblData[[#This Row],[China]])^2,"")</f>
        <v/>
      </c>
      <c r="BA88" s="11">
        <f>tblData[[#This Row],[China LogiP(t)]]/$AY$9</f>
        <v>562.42512687842861</v>
      </c>
      <c r="BB88" s="11"/>
      <c r="BC88" s="11"/>
      <c r="BD88" s="11" t="str">
        <f>IF(ISNUMBER(tblData[[#This Row],[NSW Number of Tests]]),tblData[[#This Row],[NSW Number of Tests]]-BB87,"")</f>
        <v/>
      </c>
      <c r="BE88" s="11" t="str">
        <f>IF(ISNUMBER(tblData[[#This Row],[NSW Under Investigation'']]),tblData[[#This Row],[NSW Under Investigation'']]-BC87,"")</f>
        <v/>
      </c>
      <c r="BF88" s="11">
        <f t="shared" si="6"/>
        <v>33</v>
      </c>
      <c r="BG88" s="11">
        <f>IF(ISNUMBER(tblData[[#This Row],[NSW Test Day Number]]),betaTest/(deltaTest+betaPodeltaTest*EXP(-betaTest*tblData[[#This Row],[NSW Test Day Number]])),"")</f>
        <v>238094.26328236688</v>
      </c>
      <c r="BH88" s="11" t="str">
        <f>IF(ISNUMBER(tblData[[#This Row],[NSW Number of Tests]]),(tblData[[#This Row],[NSW Number of Tests]]-tblData[[#This Row],[NSW Test Logi]])^2,"")</f>
        <v/>
      </c>
      <c r="BY88"/>
      <c r="BZ88"/>
      <c r="CJ88" s="26"/>
      <c r="CK88" s="26"/>
      <c r="DE88" s="26"/>
      <c r="DI88" s="26"/>
      <c r="DJ88" s="26"/>
      <c r="DK88" s="26"/>
      <c r="DL88" s="26"/>
      <c r="DM88" s="26"/>
      <c r="DN88" s="26"/>
      <c r="DO88" s="26"/>
      <c r="DP88" s="26"/>
      <c r="DQ88" s="26"/>
      <c r="DS88" s="26"/>
      <c r="DT88" s="26"/>
      <c r="DU88" s="26"/>
      <c r="DW88" s="26"/>
      <c r="DX88" s="26"/>
      <c r="DY88" s="26"/>
      <c r="DZ88" s="26"/>
      <c r="EA88" s="26"/>
      <c r="EB88" s="26"/>
      <c r="EC88" s="26"/>
      <c r="ED88" s="26"/>
      <c r="EE88" s="26"/>
      <c r="EF88" s="26"/>
      <c r="EG88" s="26"/>
    </row>
    <row r="89" spans="2:173" x14ac:dyDescent="0.25">
      <c r="B89" s="27">
        <f t="shared" si="12"/>
        <v>43984</v>
      </c>
      <c r="D89" s="26"/>
      <c r="L89" s="12" t="str">
        <f>IF(ISNUMBER(tblData[[#This Row],[NSW]]),tblData[[#This Row],[New South Wales]]/$L$9,"")</f>
        <v/>
      </c>
      <c r="M89" s="26"/>
      <c r="N89" s="49" t="str">
        <f>IF(ISNUMBER(tblData[Italy]),tblData[Italy]/$N$9,"")</f>
        <v/>
      </c>
      <c r="O89" s="26"/>
      <c r="P89" s="49" t="str">
        <f>IF(ISNUMBER(tblData[US]),tblData[US]/$P$9,"")</f>
        <v/>
      </c>
      <c r="Q89" s="49"/>
      <c r="R89" s="19" t="str">
        <f>IF(ISNUMBER(tblData[SKorea]),tblData[SKorea]/$R$9,"")</f>
        <v/>
      </c>
      <c r="S89" s="49"/>
      <c r="T89" s="12" t="str">
        <f>IF(ISNUMBER(tblData[UK]),tblData[UK]/$T$9,"")</f>
        <v/>
      </c>
      <c r="U89" s="26"/>
      <c r="V89" s="21" t="str">
        <f>IF(ISNUMBER(tblData[China]),tblData[China]/$V$9,"")</f>
        <v/>
      </c>
      <c r="W89" s="26">
        <f>IF(tblData[[#This Row],[Date]]&lt;ItalyStart,"",tblData[[#This Row],[Date]]-ItalyStart)</f>
        <v>124</v>
      </c>
      <c r="X89" s="26">
        <f t="shared" si="7"/>
        <v>114</v>
      </c>
      <c r="Y89" s="26">
        <f t="shared" si="11"/>
        <v>78</v>
      </c>
      <c r="Z89" s="26">
        <f>IF(tblData[[#This Row],[Date]]&lt;StartDt2Korea,"",tblData[[#This Row],[Date]]-StartDt2Korea)</f>
        <v>104</v>
      </c>
      <c r="AA89" s="26">
        <f>IF(tblData[[#This Row],[Date]]&lt;UKStart,"",tblData[[#This Row],[Date]]-UKStart)</f>
        <v>124</v>
      </c>
      <c r="AB89">
        <f>IF(tblData[Date]&gt;=StartDt2Au,tblData[Date]-StartDt2Au,"")</f>
        <v>129</v>
      </c>
      <c r="AC89" s="26" t="str">
        <f>IF(tblData[New South Wales]&gt;0,SUM(tblData[[#This Row],[Australian Capital Territory]:[Western Australia]]),"")</f>
        <v/>
      </c>
      <c r="AD89" s="12" t="str">
        <f>IF(ISNUMBER(tblData[Au]),tblData[Au]/$AA$9,"")</f>
        <v/>
      </c>
      <c r="AE89" s="44">
        <f>IF(ISNUMBER(tblData[[#This Row],[Day'# Aust]]),betaAu/(deltaAu+betaPodeltaAu*EXP(-betaAu*tblData[[#This Row],[Day'# Aust]])),"")</f>
        <v>195731440.09650806</v>
      </c>
      <c r="AF89" s="73">
        <f>IF(ISNUMBER(tblData[Day'# Aust]),tblData[Au LogiP(t)]/$AD$9,"")</f>
        <v>77168995.464638099</v>
      </c>
      <c r="AG89" s="11" t="str">
        <f>IF(AND(tblData[Date]&gt;=StartDt2Au,ISNUMBER(tblData[NSW])),(tblData[[#This Row],[Au LogiP(t)]]-tblData[[#This Row],[Au]])^2,"")</f>
        <v/>
      </c>
      <c r="AH89">
        <f>IF(tblData[Date]&gt;StartDt2NSW,tblData[Date]-StartDt2NSW,"")</f>
        <v>129</v>
      </c>
      <c r="AI89" t="str">
        <f t="shared" si="9"/>
        <v/>
      </c>
      <c r="AJ89" s="11">
        <f>IF(tblData[Date]&gt;StartDt2NSW,betaNSW/(deltaNSW+betaPodeltaNSW*EXP(-betaNSW*tblData[[#This Row],[Day '# NSW]])),"")</f>
        <v>2724.7073358691987</v>
      </c>
      <c r="AK89" s="12" t="str">
        <f>IF(AND(ISNUMBER(tblData[NSW]),tblData[Date]&gt;StartDt2NSW),(tblData[[#This Row],[NSW LogiP(t)]]-tblData[[#This Row],[NSW]])^2,"")</f>
        <v/>
      </c>
      <c r="AL89" s="44">
        <f>IF(AND(tblData[Date]&gt;StartDt2NSW,ISNUMBER(tblData[Day'# Aust])),tblData[NSW LogiP(t)]/$AG$9,"")</f>
        <v>3372.1625443925723</v>
      </c>
      <c r="AM89" s="11">
        <f>IF(AND(tblData[Date]&gt;StartDt2Italy,ISNUMBER(tblData[Days'# Italy])),betaItaly/(deltaItaly+betaPodeltaItaly*EXP(-betaItaly*tblData[Days'# Italy])),"")</f>
        <v>55402.511399154617</v>
      </c>
      <c r="AN89" s="11" t="str">
        <f>IF(AND(tblData[Date]&gt;StartDt2Italy,ISNUMBER(tblData[Italy])),(tblData[[#This Row],[Italy LogiP(t)]]-tblData[[#This Row],[Italy]])^2,"")</f>
        <v/>
      </c>
      <c r="AO89" s="44">
        <f>IF(AND(tblData[Date]&gt;StartDt2Italy,ISNUMBER(tblData[Days'# Italy])),tblData[[#This Row],[Italy LogiP(t)]]/$AM$9,"")</f>
        <v>9165.014292664122</v>
      </c>
      <c r="AP89" s="21">
        <f>IF(ISNUMBER(tblData[[#This Row],[Days'# US]]),betaUS/(deltaUS+betaPodeltaUS*EXP(-betaUS*tblData[Days'# US])),"")</f>
        <v>347695248.84672982</v>
      </c>
      <c r="AQ89" s="11" t="str">
        <f>IF(ISNUMBER(tblData[US]),(tblData[[#This Row],[US LogiP(t)]]-tblData[US])^2,"")</f>
        <v/>
      </c>
      <c r="AR89" s="21">
        <f>IF(ISNUMBER(tblData[[#This Row],[Days'# US]]),tblData[[#This Row],[US LogiP(t)]]/$AP$9,"")</f>
        <v>10560933.975678036</v>
      </c>
      <c r="AS89" s="21">
        <f>IF(tblData[Date]&gt;=StartDt2Korea,betaSKorea/(deltaSKorea+betaPodeltaSKorea*EXP(-betaSKorea*(tblData[Date]-StartDt2Korea))),"")</f>
        <v>8319.4112738161111</v>
      </c>
      <c r="AT89" s="21" t="str">
        <f>IF(AND(tblData[Date]&gt;=StartDt2Korea,ISNUMBER(tblData[SKorea])),(tblData[[#This Row],[SKorea LogiP(t)]]-tblData[[#This Row],[SKorea]])^2,"")</f>
        <v/>
      </c>
      <c r="AU89" s="21">
        <f>IF(tblData[Date]&gt;=StartDt2Korea,tblData[[#This Row],[SKorea LogiP(t)]]/$AS$9,"")</f>
        <v>1618.5625046334847</v>
      </c>
      <c r="AV89" s="85">
        <f>IF(ISNUMBER(tblData[Days'# UK]),betaUK/(deltaUK+betaPodeltaUK*EXP(-betaUK*tblData[Days'# UK])),"")</f>
        <v>230063165.93632889</v>
      </c>
      <c r="AW89" s="85" t="str">
        <f>IF(ISNUMBER(tblData[UK]),(tblData[[#This Row],[UK LogiP(t)]]-tblData[[#This Row],[UK]])^2,"")</f>
        <v/>
      </c>
      <c r="AX89" s="85">
        <f>IF(ISNUMBER(tblData[Days'# UK]),tblData[[#This Row],[UK LogiP(t)]]/$AV$9,"")</f>
        <v>34627207.395594351</v>
      </c>
      <c r="AY89" s="11">
        <f>IF(ISNUMBER(tblData[Days'# China]),betaChina/(deltaChina+betaPodeltaChina*EXP(-betaChina*tblData[Days'# China])),"")</f>
        <v>80951.216774637418</v>
      </c>
      <c r="AZ89" s="11" t="str">
        <f>IF(ISNUMBER(tblData[China]),(tblData[[#This Row],[China LogiP(t)]]-tblData[[#This Row],[China]])^2,"")</f>
        <v/>
      </c>
      <c r="BA89" s="11">
        <f>tblData[[#This Row],[China LogiP(t)]]/$AY$9</f>
        <v>562.42534254250677</v>
      </c>
      <c r="BB89" s="11"/>
      <c r="BC89" s="11"/>
      <c r="BD89" s="11" t="str">
        <f>IF(ISNUMBER(tblData[[#This Row],[NSW Number of Tests]]),tblData[[#This Row],[NSW Number of Tests]]-BB88,"")</f>
        <v/>
      </c>
      <c r="BE89" s="11" t="str">
        <f>IF(ISNUMBER(tblData[[#This Row],[NSW Under Investigation'']]),tblData[[#This Row],[NSW Under Investigation'']]-BC88,"")</f>
        <v/>
      </c>
      <c r="BF89" s="11">
        <f t="shared" si="6"/>
        <v>34</v>
      </c>
      <c r="BG89" s="11">
        <f>IF(ISNUMBER(tblData[[#This Row],[NSW Test Day Number]]),betaTest/(deltaTest+betaPodeltaTest*EXP(-betaTest*tblData[[#This Row],[NSW Test Day Number]])),"")</f>
        <v>245047.81528302477</v>
      </c>
      <c r="BH89" s="11" t="str">
        <f>IF(ISNUMBER(tblData[[#This Row],[NSW Number of Tests]]),(tblData[[#This Row],[NSW Number of Tests]]-tblData[[#This Row],[NSW Test Logi]])^2,"")</f>
        <v/>
      </c>
      <c r="BY89"/>
      <c r="BZ89"/>
      <c r="CJ89" s="26"/>
      <c r="CK89" s="26"/>
      <c r="DE89" s="26"/>
      <c r="DI89" s="26"/>
      <c r="DJ89" s="26"/>
      <c r="DK89" s="26"/>
      <c r="DL89" s="26"/>
      <c r="DM89" s="26"/>
      <c r="DN89" s="26"/>
      <c r="DO89" s="26"/>
      <c r="DP89" s="26"/>
      <c r="DQ89" s="26"/>
      <c r="DS89" s="26"/>
      <c r="DT89" s="26"/>
      <c r="DU89" s="26"/>
      <c r="DW89" s="26"/>
      <c r="DX89" s="26"/>
      <c r="DY89" s="26"/>
      <c r="DZ89" s="26"/>
      <c r="EA89" s="26"/>
      <c r="EB89" s="26"/>
      <c r="EC89" s="26"/>
      <c r="ED89" s="26"/>
      <c r="EE89" s="26"/>
      <c r="EF89" s="26"/>
      <c r="EG89" s="26"/>
    </row>
    <row r="90" spans="2:173" x14ac:dyDescent="0.25">
      <c r="B90" s="27">
        <f t="shared" si="12"/>
        <v>43991</v>
      </c>
      <c r="D90" s="26"/>
      <c r="L90" s="12" t="str">
        <f>IF(ISNUMBER(tblData[[#This Row],[NSW]]),tblData[[#This Row],[New South Wales]]/$L$9,"")</f>
        <v/>
      </c>
      <c r="M90" s="26"/>
      <c r="N90" s="49" t="str">
        <f>IF(ISNUMBER(tblData[Italy]),tblData[Italy]/$N$9,"")</f>
        <v/>
      </c>
      <c r="O90" s="26"/>
      <c r="P90" s="49" t="str">
        <f>IF(ISNUMBER(tblData[US]),tblData[US]/$P$9,"")</f>
        <v/>
      </c>
      <c r="Q90" s="49"/>
      <c r="R90" s="19" t="str">
        <f>IF(ISNUMBER(tblData[SKorea]),tblData[SKorea]/$R$9,"")</f>
        <v/>
      </c>
      <c r="S90" s="49"/>
      <c r="T90" s="12" t="str">
        <f>IF(ISNUMBER(tblData[UK]),tblData[UK]/$T$9,"")</f>
        <v/>
      </c>
      <c r="U90" s="26"/>
      <c r="V90" s="21" t="str">
        <f>IF(ISNUMBER(tblData[China]),tblData[China]/$V$9,"")</f>
        <v/>
      </c>
      <c r="W90" s="26">
        <f>IF(tblData[[#This Row],[Date]]&lt;ItalyStart,"",tblData[[#This Row],[Date]]-ItalyStart)</f>
        <v>131</v>
      </c>
      <c r="X90" s="26">
        <f t="shared" si="7"/>
        <v>121</v>
      </c>
      <c r="Y90" s="26">
        <f t="shared" si="11"/>
        <v>79</v>
      </c>
      <c r="Z90" s="26">
        <f>IF(tblData[[#This Row],[Date]]&lt;StartDt2Korea,"",tblData[[#This Row],[Date]]-StartDt2Korea)</f>
        <v>111</v>
      </c>
      <c r="AA90" s="26">
        <f>IF(tblData[[#This Row],[Date]]&lt;UKStart,"",tblData[[#This Row],[Date]]-UKStart)</f>
        <v>131</v>
      </c>
      <c r="AB90">
        <f>IF(tblData[Date]&gt;=StartDt2Au,tblData[Date]-StartDt2Au,"")</f>
        <v>136</v>
      </c>
      <c r="AC90" s="26" t="str">
        <f>IF(tblData[New South Wales]&gt;0,SUM(tblData[[#This Row],[Australian Capital Territory]:[Western Australia]]),"")</f>
        <v/>
      </c>
      <c r="AD90" s="12" t="str">
        <f>IF(ISNUMBER(tblData[Au]),tblData[Au]/$AA$9,"")</f>
        <v/>
      </c>
      <c r="AE90" s="44">
        <f>IF(ISNUMBER(tblData[[#This Row],[Day'# Aust]]),betaAu/(deltaAu+betaPodeltaAu*EXP(-betaAu*tblData[[#This Row],[Day'# Aust]])),"")</f>
        <v>203849127.47743252</v>
      </c>
      <c r="AF90" s="73">
        <f>IF(ISNUMBER(tblData[Day'# Aust]),tblData[Au LogiP(t)]/$AD$9,"")</f>
        <v>80369471.486134887</v>
      </c>
      <c r="AG90" s="11" t="str">
        <f>IF(AND(tblData[Date]&gt;=StartDt2Au,ISNUMBER(tblData[NSW])),(tblData[[#This Row],[Au LogiP(t)]]-tblData[[#This Row],[Au]])^2,"")</f>
        <v/>
      </c>
      <c r="AH90">
        <f>IF(tblData[Date]&gt;StartDt2NSW,tblData[Date]-StartDt2NSW,"")</f>
        <v>136</v>
      </c>
      <c r="AI90" t="str">
        <f t="shared" si="9"/>
        <v/>
      </c>
      <c r="AJ90" s="11">
        <f>IF(tblData[Date]&gt;StartDt2NSW,betaNSW/(deltaNSW+betaPodeltaNSW*EXP(-betaNSW*tblData[[#This Row],[Day '# NSW]])),"")</f>
        <v>2724.7098276790944</v>
      </c>
      <c r="AK90" s="12" t="str">
        <f>IF(AND(ISNUMBER(tblData[NSW]),tblData[Date]&gt;StartDt2NSW),(tblData[[#This Row],[NSW LogiP(t)]]-tblData[[#This Row],[NSW]])^2,"")</f>
        <v/>
      </c>
      <c r="AL90" s="44">
        <f>IF(AND(tblData[Date]&gt;StartDt2NSW,ISNUMBER(tblData[Day'# Aust])),tblData[NSW LogiP(t)]/$AG$9,"")</f>
        <v>3372.1656283157108</v>
      </c>
      <c r="AM90" s="11">
        <f>IF(AND(tblData[Date]&gt;StartDt2Italy,ISNUMBER(tblData[Days'# Italy])),betaItaly/(deltaItaly+betaPodeltaItaly*EXP(-betaItaly*tblData[Days'# Italy])),"")</f>
        <v>55402.511455641928</v>
      </c>
      <c r="AN90" s="11" t="str">
        <f>IF(AND(tblData[Date]&gt;StartDt2Italy,ISNUMBER(tblData[Italy])),(tblData[[#This Row],[Italy LogiP(t)]]-tblData[[#This Row],[Italy]])^2,"")</f>
        <v/>
      </c>
      <c r="AO90" s="44">
        <f>IF(AND(tblData[Date]&gt;StartDt2Italy,ISNUMBER(tblData[Days'# Italy])),tblData[[#This Row],[Italy LogiP(t)]]/$AM$9,"")</f>
        <v>9165.0143020085907</v>
      </c>
      <c r="AP90" s="21">
        <f>IF(ISNUMBER(tblData[[#This Row],[Days'# US]]),betaUS/(deltaUS+betaPodeltaUS*EXP(-betaUS*tblData[Days'# US])),"")</f>
        <v>347695288.22887015</v>
      </c>
      <c r="AQ90" s="11" t="str">
        <f>IF(ISNUMBER(tblData[US]),(tblData[[#This Row],[US LogiP(t)]]-tblData[US])^2,"")</f>
        <v/>
      </c>
      <c r="AR90" s="21">
        <f>IF(ISNUMBER(tblData[[#This Row],[Days'# US]]),tblData[[#This Row],[US LogiP(t)]]/$AP$9,"")</f>
        <v>10560935.171875525</v>
      </c>
      <c r="AS90" s="21">
        <f>IF(tblData[Date]&gt;=StartDt2Korea,betaSKorea/(deltaSKorea+betaPodeltaSKorea*EXP(-betaSKorea*(tblData[Date]-StartDt2Korea))),"")</f>
        <v>8319.4112738167914</v>
      </c>
      <c r="AT90" s="21" t="str">
        <f>IF(AND(tblData[Date]&gt;=StartDt2Korea,ISNUMBER(tblData[SKorea])),(tblData[[#This Row],[SKorea LogiP(t)]]-tblData[[#This Row],[SKorea]])^2,"")</f>
        <v/>
      </c>
      <c r="AU90" s="21">
        <f>IF(tblData[Date]&gt;=StartDt2Korea,tblData[[#This Row],[SKorea LogiP(t)]]/$AS$9,"")</f>
        <v>1618.5625046336172</v>
      </c>
      <c r="AV90" s="85">
        <f>IF(ISNUMBER(tblData[Days'# UK]),betaUK/(deltaUK+betaPodeltaUK*EXP(-betaUK*tblData[Days'# UK])),"")</f>
        <v>230489131.63032266</v>
      </c>
      <c r="AW90" s="85" t="str">
        <f>IF(ISNUMBER(tblData[UK]),(tblData[[#This Row],[UK LogiP(t)]]-tblData[[#This Row],[UK]])^2,"")</f>
        <v/>
      </c>
      <c r="AX90" s="85">
        <f>IF(ISNUMBER(tblData[Days'# UK]),tblData[[#This Row],[UK LogiP(t)]]/$AV$9,"")</f>
        <v>34691320.233341761</v>
      </c>
      <c r="AY90" s="11">
        <f>IF(ISNUMBER(tblData[Days'# China]),betaChina/(deltaChina+betaPodeltaChina*EXP(-betaChina*tblData[Days'# China])),"")</f>
        <v>80951.241632348421</v>
      </c>
      <c r="AZ90" s="11" t="str">
        <f>IF(ISNUMBER(tblData[China]),(tblData[[#This Row],[China LogiP(t)]]-tblData[[#This Row],[China]])^2,"")</f>
        <v/>
      </c>
      <c r="BA90" s="11">
        <f>tblData[[#This Row],[China LogiP(t)]]/$AY$9</f>
        <v>562.42551524660166</v>
      </c>
      <c r="BB90" s="11"/>
      <c r="BC90" s="11"/>
      <c r="BD90" s="11" t="str">
        <f>IF(ISNUMBER(tblData[[#This Row],[NSW Number of Tests]]),tblData[[#This Row],[NSW Number of Tests]]-BB89,"")</f>
        <v/>
      </c>
      <c r="BE90" s="11" t="str">
        <f>IF(ISNUMBER(tblData[[#This Row],[NSW Under Investigation'']]),tblData[[#This Row],[NSW Under Investigation'']]-BC89,"")</f>
        <v/>
      </c>
      <c r="BF90" s="11">
        <f t="shared" si="6"/>
        <v>35</v>
      </c>
      <c r="BG90" s="11">
        <f>IF(ISNUMBER(tblData[[#This Row],[NSW Test Day Number]]),betaTest/(deltaTest+betaPodeltaTest*EXP(-betaTest*tblData[[#This Row],[NSW Test Day Number]])),"")</f>
        <v>251248.73822939911</v>
      </c>
      <c r="BH90" s="11" t="str">
        <f>IF(ISNUMBER(tblData[[#This Row],[NSW Number of Tests]]),(tblData[[#This Row],[NSW Number of Tests]]-tblData[[#This Row],[NSW Test Logi]])^2,"")</f>
        <v/>
      </c>
      <c r="BY90"/>
      <c r="BZ90"/>
      <c r="CJ90" s="26"/>
      <c r="CK90" s="26"/>
      <c r="DE90" s="26"/>
      <c r="DI90" s="26"/>
      <c r="DJ90" s="26"/>
      <c r="DK90" s="26"/>
      <c r="DL90" s="26"/>
      <c r="DM90" s="26"/>
      <c r="DN90" s="26"/>
      <c r="DO90" s="26"/>
      <c r="DP90" s="26"/>
      <c r="DQ90" s="26"/>
      <c r="DS90" s="26"/>
      <c r="DT90" s="26"/>
      <c r="DU90" s="26"/>
      <c r="DW90" s="26"/>
      <c r="DX90" s="26"/>
      <c r="DY90" s="26"/>
      <c r="DZ90" s="26"/>
      <c r="EA90" s="26"/>
      <c r="EB90" s="26"/>
      <c r="EC90" s="26"/>
      <c r="ED90" s="26"/>
      <c r="EE90" s="26"/>
      <c r="EF90" s="26"/>
      <c r="EG90" s="26"/>
    </row>
    <row r="91" spans="2:173" x14ac:dyDescent="0.25">
      <c r="B91" s="27">
        <f t="shared" si="12"/>
        <v>43998</v>
      </c>
      <c r="D91" s="26"/>
      <c r="L91" s="12" t="str">
        <f>IF(ISNUMBER(tblData[[#This Row],[NSW]]),tblData[[#This Row],[New South Wales]]/$L$9,"")</f>
        <v/>
      </c>
      <c r="M91" s="26"/>
      <c r="N91" s="49" t="str">
        <f>IF(ISNUMBER(tblData[Italy]),tblData[Italy]/$N$9,"")</f>
        <v/>
      </c>
      <c r="O91" s="26"/>
      <c r="P91" s="49" t="str">
        <f>IF(ISNUMBER(tblData[US]),tblData[US]/$P$9,"")</f>
        <v/>
      </c>
      <c r="Q91" s="49"/>
      <c r="R91" s="19" t="str">
        <f>IF(ISNUMBER(tblData[SKorea]),tblData[SKorea]/$R$9,"")</f>
        <v/>
      </c>
      <c r="S91" s="49"/>
      <c r="T91" s="12" t="str">
        <f>IF(ISNUMBER(tblData[UK]),tblData[UK]/$T$9,"")</f>
        <v/>
      </c>
      <c r="U91" s="26"/>
      <c r="V91" s="21" t="str">
        <f>IF(ISNUMBER(tblData[China]),tblData[China]/$V$9,"")</f>
        <v/>
      </c>
      <c r="W91" s="26">
        <f>IF(tblData[[#This Row],[Date]]&lt;ItalyStart,"",tblData[[#This Row],[Date]]-ItalyStart)</f>
        <v>138</v>
      </c>
      <c r="X91" s="26">
        <f t="shared" si="7"/>
        <v>128</v>
      </c>
      <c r="Y91" s="26">
        <f t="shared" si="11"/>
        <v>80</v>
      </c>
      <c r="Z91" s="26">
        <f>IF(tblData[[#This Row],[Date]]&lt;StartDt2Korea,"",tblData[[#This Row],[Date]]-StartDt2Korea)</f>
        <v>118</v>
      </c>
      <c r="AA91" s="26">
        <f>IF(tblData[[#This Row],[Date]]&lt;UKStart,"",tblData[[#This Row],[Date]]-UKStart)</f>
        <v>138</v>
      </c>
      <c r="AB91">
        <f>IF(tblData[Date]&gt;=StartDt2Au,tblData[Date]-StartDt2Au,"")</f>
        <v>143</v>
      </c>
      <c r="AC91" s="26" t="str">
        <f>IF(tblData[New South Wales]&gt;0,SUM(tblData[[#This Row],[Australian Capital Territory]:[Western Australia]]),"")</f>
        <v/>
      </c>
      <c r="AD91" s="12" t="str">
        <f>IF(ISNUMBER(tblData[Au]),tblData[Au]/$AA$9,"")</f>
        <v/>
      </c>
      <c r="AE91" s="44">
        <f>IF(ISNUMBER(tblData[[#This Row],[Day'# Aust]]),betaAu/(deltaAu+betaPodeltaAu*EXP(-betaAu*tblData[[#This Row],[Day'# Aust]])),"")</f>
        <v>205861024.15917319</v>
      </c>
      <c r="AF91" s="73">
        <f>IF(ISNUMBER(tblData[Day'# Aust]),tblData[Au LogiP(t)]/$AD$9,"")</f>
        <v>81162681.027903005</v>
      </c>
      <c r="AG91" s="11" t="str">
        <f>IF(AND(tblData[Date]&gt;=StartDt2Au,ISNUMBER(tblData[NSW])),(tblData[[#This Row],[Au LogiP(t)]]-tblData[[#This Row],[Au]])^2,"")</f>
        <v/>
      </c>
      <c r="AH91">
        <f>IF(tblData[Date]&gt;StartDt2NSW,tblData[Date]-StartDt2NSW,"")</f>
        <v>143</v>
      </c>
      <c r="AI91" t="str">
        <f t="shared" si="9"/>
        <v/>
      </c>
      <c r="AJ91" s="11">
        <f>IF(tblData[Date]&gt;StartDt2NSW,betaNSW/(deltaNSW+betaPodeltaNSW*EXP(-betaNSW*tblData[[#This Row],[Day '# NSW]])),"")</f>
        <v>2724.7104034003246</v>
      </c>
      <c r="AK91" s="12" t="str">
        <f>IF(AND(ISNUMBER(tblData[NSW]),tblData[Date]&gt;StartDt2NSW),(tblData[[#This Row],[NSW LogiP(t)]]-tblData[[#This Row],[NSW]])^2,"")</f>
        <v/>
      </c>
      <c r="AL91" s="44">
        <f>IF(AND(tblData[Date]&gt;StartDt2NSW,ISNUMBER(tblData[Day'# Aust])),tblData[NSW LogiP(t)]/$AG$9,"")</f>
        <v>3372.1663408419859</v>
      </c>
      <c r="AM91" s="11">
        <f>IF(AND(tblData[Date]&gt;StartDt2Italy,ISNUMBER(tblData[Days'# Italy])),betaItaly/(deltaItaly+betaPodeltaItaly*EXP(-betaItaly*tblData[Days'# Italy])),"")</f>
        <v>55402.511464780786</v>
      </c>
      <c r="AN91" s="11" t="str">
        <f>IF(AND(tblData[Date]&gt;StartDt2Italy,ISNUMBER(tblData[Italy])),(tblData[[#This Row],[Italy LogiP(t)]]-tblData[[#This Row],[Italy]])^2,"")</f>
        <v/>
      </c>
      <c r="AO91" s="44">
        <f>IF(AND(tblData[Date]&gt;StartDt2Italy,ISNUMBER(tblData[Days'# Italy])),tblData[[#This Row],[Italy LogiP(t)]]/$AM$9,"")</f>
        <v>9165.0143035203946</v>
      </c>
      <c r="AP91" s="21">
        <f>IF(ISNUMBER(tblData[[#This Row],[Days'# US]]),betaUS/(deltaUS+betaPodeltaUS*EXP(-betaUS*tblData[Days'# US])),"")</f>
        <v>347695291.68256801</v>
      </c>
      <c r="AQ91" s="11" t="str">
        <f>IF(ISNUMBER(tblData[US]),(tblData[[#This Row],[US LogiP(t)]]-tblData[US])^2,"")</f>
        <v/>
      </c>
      <c r="AR91" s="21">
        <f>IF(ISNUMBER(tblData[[#This Row],[Days'# US]]),tblData[[#This Row],[US LogiP(t)]]/$AP$9,"")</f>
        <v>10560935.276778527</v>
      </c>
      <c r="AS91" s="21">
        <f>IF(tblData[Date]&gt;=StartDt2Korea,betaSKorea/(deltaSKorea+betaPodeltaSKorea*EXP(-betaSKorea*(tblData[Date]-StartDt2Korea))),"")</f>
        <v>8319.4112738168606</v>
      </c>
      <c r="AT91" s="21" t="str">
        <f>IF(AND(tblData[Date]&gt;=StartDt2Korea,ISNUMBER(tblData[SKorea])),(tblData[[#This Row],[SKorea LogiP(t)]]-tblData[[#This Row],[SKorea]])^2,"")</f>
        <v/>
      </c>
      <c r="AU91" s="21">
        <f>IF(tblData[Date]&gt;=StartDt2Korea,tblData[[#This Row],[SKorea LogiP(t)]]/$AS$9,"")</f>
        <v>1618.5625046336306</v>
      </c>
      <c r="AV91" s="85">
        <f>IF(ISNUMBER(tblData[Days'# UK]),betaUK/(deltaUK+betaPodeltaUK*EXP(-betaUK*tblData[Days'# UK])),"")</f>
        <v>230574111.17328754</v>
      </c>
      <c r="AW91" s="85" t="str">
        <f>IF(ISNUMBER(tblData[UK]),(tblData[[#This Row],[UK LogiP(t)]]-tblData[[#This Row],[UK]])^2,"")</f>
        <v/>
      </c>
      <c r="AX91" s="85">
        <f>IF(ISNUMBER(tblData[Days'# UK]),tblData[[#This Row],[UK LogiP(t)]]/$AV$9,"")</f>
        <v>34704110.652210645</v>
      </c>
      <c r="AY91" s="11">
        <f>IF(ISNUMBER(tblData[Days'# China]),betaChina/(deltaChina+betaPodeltaChina*EXP(-betaChina*tblData[Days'# China])),"")</f>
        <v>80951.261538435341</v>
      </c>
      <c r="AZ91" s="11" t="str">
        <f>IF(ISNUMBER(tblData[China]),(tblData[[#This Row],[China LogiP(t)]]-tblData[[#This Row],[China]])^2,"")</f>
        <v/>
      </c>
      <c r="BA91" s="11">
        <f>tblData[[#This Row],[China LogiP(t)]]/$AY$9</f>
        <v>562.42565354826286</v>
      </c>
      <c r="BB91" s="11"/>
      <c r="BC91" s="11"/>
      <c r="BD91" s="11" t="str">
        <f>IF(ISNUMBER(tblData[[#This Row],[NSW Number of Tests]]),tblData[[#This Row],[NSW Number of Tests]]-BB90,"")</f>
        <v/>
      </c>
      <c r="BE91" s="11" t="str">
        <f>IF(ISNUMBER(tblData[[#This Row],[NSW Under Investigation'']]),tblData[[#This Row],[NSW Under Investigation'']]-BC90,"")</f>
        <v/>
      </c>
      <c r="BF91" s="11">
        <f t="shared" si="6"/>
        <v>36</v>
      </c>
      <c r="BG91" s="11">
        <f>IF(ISNUMBER(tblData[[#This Row],[NSW Test Day Number]]),betaTest/(deltaTest+betaPodeltaTest*EXP(-betaTest*tblData[[#This Row],[NSW Test Day Number]])),"")</f>
        <v>256738.98661071045</v>
      </c>
      <c r="BH91" s="11" t="str">
        <f>IF(ISNUMBER(tblData[[#This Row],[NSW Number of Tests]]),(tblData[[#This Row],[NSW Number of Tests]]-tblData[[#This Row],[NSW Test Logi]])^2,"")</f>
        <v/>
      </c>
      <c r="BY91"/>
      <c r="BZ91"/>
      <c r="CJ91" s="26"/>
      <c r="CK91" s="26"/>
      <c r="DE91" s="26"/>
      <c r="DI91" s="26"/>
      <c r="DJ91" s="26"/>
      <c r="DK91" s="26"/>
      <c r="DL91" s="26"/>
      <c r="DM91" s="26"/>
      <c r="DN91" s="26"/>
      <c r="DO91" s="26"/>
      <c r="DP91" s="26"/>
      <c r="DQ91" s="26"/>
      <c r="DS91" s="26"/>
      <c r="DT91" s="26"/>
      <c r="DU91" s="26"/>
      <c r="DW91" s="26"/>
      <c r="DX91" s="26"/>
      <c r="DY91" s="26"/>
      <c r="DZ91" s="26"/>
      <c r="EA91" s="26"/>
      <c r="EB91" s="26"/>
      <c r="EC91" s="26"/>
      <c r="ED91" s="26"/>
      <c r="EE91" s="26"/>
      <c r="EF91" s="26"/>
      <c r="EG91" s="26"/>
    </row>
    <row r="92" spans="2:173" x14ac:dyDescent="0.25">
      <c r="B92" s="27">
        <f t="shared" si="12"/>
        <v>44005</v>
      </c>
      <c r="D92" s="26"/>
      <c r="L92" s="12" t="str">
        <f>IF(ISNUMBER(tblData[[#This Row],[NSW]]),tblData[[#This Row],[New South Wales]]/$L$9,"")</f>
        <v/>
      </c>
      <c r="M92" s="26"/>
      <c r="N92" s="49" t="str">
        <f>IF(ISNUMBER(tblData[Italy]),tblData[Italy]/$N$9,"")</f>
        <v/>
      </c>
      <c r="O92" s="26"/>
      <c r="P92" s="49" t="str">
        <f>IF(ISNUMBER(tblData[US]),tblData[US]/$P$9,"")</f>
        <v/>
      </c>
      <c r="Q92" s="49"/>
      <c r="R92" s="19" t="str">
        <f>IF(ISNUMBER(tblData[SKorea]),tblData[SKorea]/$R$9,"")</f>
        <v/>
      </c>
      <c r="S92" s="49"/>
      <c r="T92" s="12" t="str">
        <f>IF(ISNUMBER(tblData[UK]),tblData[UK]/$T$9,"")</f>
        <v/>
      </c>
      <c r="U92" s="26"/>
      <c r="V92" s="21" t="str">
        <f>IF(ISNUMBER(tblData[China]),tblData[China]/$V$9,"")</f>
        <v/>
      </c>
      <c r="W92" s="26">
        <f>IF(tblData[[#This Row],[Date]]&lt;ItalyStart,"",tblData[[#This Row],[Date]]-ItalyStart)</f>
        <v>145</v>
      </c>
      <c r="X92" s="26">
        <f t="shared" si="7"/>
        <v>135</v>
      </c>
      <c r="Y92" s="26">
        <f t="shared" si="11"/>
        <v>81</v>
      </c>
      <c r="Z92" s="26">
        <f>IF(tblData[[#This Row],[Date]]&lt;StartDt2Korea,"",tblData[[#This Row],[Date]]-StartDt2Korea)</f>
        <v>125</v>
      </c>
      <c r="AA92" s="26">
        <f>IF(tblData[[#This Row],[Date]]&lt;UKStart,"",tblData[[#This Row],[Date]]-UKStart)</f>
        <v>145</v>
      </c>
      <c r="AB92">
        <f>IF(tblData[Date]&gt;=StartDt2Au,tblData[Date]-StartDt2Au,"")</f>
        <v>150</v>
      </c>
      <c r="AC92" s="26" t="str">
        <f>IF(tblData[New South Wales]&gt;0,SUM(tblData[[#This Row],[Australian Capital Territory]:[Western Australia]]),"")</f>
        <v/>
      </c>
      <c r="AD92" s="12" t="str">
        <f>IF(ISNUMBER(tblData[Au]),tblData[Au]/$AA$9,"")</f>
        <v/>
      </c>
      <c r="AE92" s="44">
        <f>IF(ISNUMBER(tblData[[#This Row],[Day'# Aust]]),betaAu/(deltaAu+betaPodeltaAu*EXP(-betaAu*tblData[[#This Row],[Day'# Aust]])),"")</f>
        <v>206340914.47154781</v>
      </c>
      <c r="AF92" s="73">
        <f>IF(ISNUMBER(tblData[Day'# Aust]),tblData[Au LogiP(t)]/$AD$9,"")</f>
        <v>81351882.38114959</v>
      </c>
      <c r="AG92" s="11" t="str">
        <f>IF(AND(tblData[Date]&gt;=StartDt2Au,ISNUMBER(tblData[NSW])),(tblData[[#This Row],[Au LogiP(t)]]-tblData[[#This Row],[Au]])^2,"")</f>
        <v/>
      </c>
      <c r="AH92">
        <f>IF(tblData[Date]&gt;StartDt2NSW,tblData[Date]-StartDt2NSW,"")</f>
        <v>150</v>
      </c>
      <c r="AI92" t="str">
        <f t="shared" si="9"/>
        <v/>
      </c>
      <c r="AJ92" s="11">
        <f>IF(tblData[Date]&gt;StartDt2NSW,betaNSW/(deltaNSW+betaPodeltaNSW*EXP(-betaNSW*tblData[[#This Row],[Day '# NSW]])),"")</f>
        <v>2724.7105364179552</v>
      </c>
      <c r="AK92" s="12" t="str">
        <f>IF(AND(ISNUMBER(tblData[NSW]),tblData[Date]&gt;StartDt2NSW),(tblData[[#This Row],[NSW LogiP(t)]]-tblData[[#This Row],[NSW]])^2,"")</f>
        <v/>
      </c>
      <c r="AL92" s="44">
        <f>IF(AND(tblData[Date]&gt;StartDt2NSW,ISNUMBER(tblData[Day'# Aust])),tblData[NSW LogiP(t)]/$AG$9,"")</f>
        <v>3372.166505467766</v>
      </c>
      <c r="AM92" s="11">
        <f>IF(AND(tblData[Date]&gt;StartDt2Italy,ISNUMBER(tblData[Days'# Italy])),betaItaly/(deltaItaly+betaPodeltaItaly*EXP(-betaItaly*tblData[Days'# Italy])),"")</f>
        <v>55402.511466259326</v>
      </c>
      <c r="AN92" s="11" t="str">
        <f>IF(AND(tblData[Date]&gt;StartDt2Italy,ISNUMBER(tblData[Italy])),(tblData[[#This Row],[Italy LogiP(t)]]-tblData[[#This Row],[Italy]])^2,"")</f>
        <v/>
      </c>
      <c r="AO92" s="44">
        <f>IF(AND(tblData[Date]&gt;StartDt2Italy,ISNUMBER(tblData[Days'# Italy])),tblData[[#This Row],[Italy LogiP(t)]]/$AM$9,"")</f>
        <v>9165.0143037649832</v>
      </c>
      <c r="AP92" s="21">
        <f>IF(ISNUMBER(tblData[[#This Row],[Days'# US]]),betaUS/(deltaUS+betaPodeltaUS*EXP(-betaUS*tblData[Days'# US])),"")</f>
        <v>347695291.98544717</v>
      </c>
      <c r="AQ92" s="11" t="str">
        <f>IF(ISNUMBER(tblData[US]),(tblData[[#This Row],[US LogiP(t)]]-tblData[US])^2,"")</f>
        <v/>
      </c>
      <c r="AR92" s="21">
        <f>IF(ISNUMBER(tblData[[#This Row],[Days'# US]]),tblData[[#This Row],[US LogiP(t)]]/$AP$9,"")</f>
        <v>10560935.285978211</v>
      </c>
      <c r="AS92" s="21">
        <f>IF(tblData[Date]&gt;=StartDt2Korea,betaSKorea/(deltaSKorea+betaPodeltaSKorea*EXP(-betaSKorea*(tblData[Date]-StartDt2Korea))),"")</f>
        <v>8319.4112738168678</v>
      </c>
      <c r="AT92" s="21" t="str">
        <f>IF(AND(tblData[Date]&gt;=StartDt2Korea,ISNUMBER(tblData[SKorea])),(tblData[[#This Row],[SKorea LogiP(t)]]-tblData[[#This Row],[SKorea]])^2,"")</f>
        <v/>
      </c>
      <c r="AU92" s="21">
        <f>IF(tblData[Date]&gt;=StartDt2Korea,tblData[[#This Row],[SKorea LogiP(t)]]/$AS$9,"")</f>
        <v>1618.562504633632</v>
      </c>
      <c r="AV92" s="85">
        <f>IF(ISNUMBER(tblData[Days'# UK]),betaUK/(deltaUK+betaPodeltaUK*EXP(-betaUK*tblData[Days'# UK])),"")</f>
        <v>230591034.3805289</v>
      </c>
      <c r="AW92" s="85" t="str">
        <f>IF(ISNUMBER(tblData[UK]),(tblData[[#This Row],[UK LogiP(t)]]-tblData[[#This Row],[UK]])^2,"")</f>
        <v/>
      </c>
      <c r="AX92" s="85">
        <f>IF(ISNUMBER(tblData[Days'# UK]),tblData[[#This Row],[UK LogiP(t)]]/$AV$9,"")</f>
        <v>34706657.7935775</v>
      </c>
      <c r="AY92" s="11">
        <f>IF(ISNUMBER(tblData[Days'# China]),betaChina/(deltaChina+betaPodeltaChina*EXP(-betaChina*tblData[Days'# China])),"")</f>
        <v>80951.277479253622</v>
      </c>
      <c r="AZ92" s="11" t="str">
        <f>IF(ISNUMBER(tblData[China]),(tblData[[#This Row],[China LogiP(t)]]-tblData[[#This Row],[China]])^2,"")</f>
        <v/>
      </c>
      <c r="BA92" s="11">
        <f>tblData[[#This Row],[China LogiP(t)]]/$AY$9</f>
        <v>562.42576430039901</v>
      </c>
      <c r="BB92" s="11"/>
      <c r="BC92" s="11"/>
      <c r="BD92" s="11" t="str">
        <f>IF(ISNUMBER(tblData[[#This Row],[NSW Number of Tests]]),tblData[[#This Row],[NSW Number of Tests]]-BB91,"")</f>
        <v/>
      </c>
      <c r="BE92" s="11" t="str">
        <f>IF(ISNUMBER(tblData[[#This Row],[NSW Under Investigation'']]),tblData[[#This Row],[NSW Under Investigation'']]-BC91,"")</f>
        <v/>
      </c>
      <c r="BF92" s="11">
        <f t="shared" si="6"/>
        <v>37</v>
      </c>
      <c r="BG92" s="11">
        <f>IF(ISNUMBER(tblData[[#This Row],[NSW Test Day Number]]),betaTest/(deltaTest+betaPodeltaTest*EXP(-betaTest*tblData[[#This Row],[NSW Test Day Number]])),"")</f>
        <v>261569.23467269019</v>
      </c>
      <c r="BH92" s="11" t="str">
        <f>IF(ISNUMBER(tblData[[#This Row],[NSW Number of Tests]]),(tblData[[#This Row],[NSW Number of Tests]]-tblData[[#This Row],[NSW Test Logi]])^2,"")</f>
        <v/>
      </c>
      <c r="BY92"/>
      <c r="BZ92"/>
      <c r="CJ92" s="26"/>
      <c r="CK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</row>
    <row r="93" spans="2:173" x14ac:dyDescent="0.25">
      <c r="B93" s="27">
        <f t="shared" si="12"/>
        <v>44012</v>
      </c>
      <c r="D93" s="26"/>
      <c r="L93" s="12" t="str">
        <f>IF(ISNUMBER(tblData[[#This Row],[NSW]]),tblData[[#This Row],[New South Wales]]/$L$9,"")</f>
        <v/>
      </c>
      <c r="M93" s="26"/>
      <c r="N93" s="49" t="str">
        <f>IF(ISNUMBER(tblData[Italy]),tblData[Italy]/$N$9,"")</f>
        <v/>
      </c>
      <c r="O93" s="26"/>
      <c r="P93" s="49" t="str">
        <f>IF(ISNUMBER(tblData[US]),tblData[US]/$P$9,"")</f>
        <v/>
      </c>
      <c r="Q93" s="49"/>
      <c r="R93" s="19" t="str">
        <f>IF(ISNUMBER(tblData[SKorea]),tblData[SKorea]/$R$9,"")</f>
        <v/>
      </c>
      <c r="S93" s="49"/>
      <c r="T93" s="12" t="str">
        <f>IF(ISNUMBER(tblData[UK]),tblData[UK]/$T$9,"")</f>
        <v/>
      </c>
      <c r="U93" s="26"/>
      <c r="V93" s="21" t="str">
        <f>IF(ISNUMBER(tblData[China]),tblData[China]/$V$9,"")</f>
        <v/>
      </c>
      <c r="W93" s="26">
        <f>IF(tblData[[#This Row],[Date]]&lt;ItalyStart,"",tblData[[#This Row],[Date]]-ItalyStart)</f>
        <v>152</v>
      </c>
      <c r="X93" s="26">
        <f t="shared" ref="X93:X117" si="13">IF($B93&lt;BM$14+18,"",$B93-BM$14-18)</f>
        <v>142</v>
      </c>
      <c r="Y93" s="26">
        <f t="shared" si="11"/>
        <v>82</v>
      </c>
      <c r="Z93" s="26">
        <f>IF(tblData[[#This Row],[Date]]&lt;StartDt2Korea,"",tblData[[#This Row],[Date]]-StartDt2Korea)</f>
        <v>132</v>
      </c>
      <c r="AA93" s="26">
        <f>IF(tblData[[#This Row],[Date]]&lt;UKStart,"",tblData[[#This Row],[Date]]-UKStart)</f>
        <v>152</v>
      </c>
      <c r="AB93">
        <f>IF(tblData[Date]&gt;=StartDt2Au,tblData[Date]-StartDt2Au,"")</f>
        <v>157</v>
      </c>
      <c r="AC93" s="26" t="str">
        <f>IF(tblData[New South Wales]&gt;0,SUM(tblData[[#This Row],[Australian Capital Territory]:[Western Australia]]),"")</f>
        <v/>
      </c>
      <c r="AD93" s="12" t="str">
        <f>IF(ISNUMBER(tblData[Au]),tblData[Au]/$AA$9,"")</f>
        <v/>
      </c>
      <c r="AE93" s="44">
        <f>IF(ISNUMBER(tblData[[#This Row],[Day'# Aust]]),betaAu/(deltaAu+betaPodeltaAu*EXP(-betaAu*tblData[[#This Row],[Day'# Aust]])),"")</f>
        <v>206454324.55045971</v>
      </c>
      <c r="AF93" s="73">
        <f>IF(ISNUMBER(tblData[Day'# Aust]),tblData[Au LogiP(t)]/$AD$9,"")</f>
        <v>81396595.391286746</v>
      </c>
      <c r="AG93" s="11" t="str">
        <f>IF(AND(tblData[Date]&gt;=StartDt2Au,ISNUMBER(tblData[NSW])),(tblData[[#This Row],[Au LogiP(t)]]-tblData[[#This Row],[Au]])^2,"")</f>
        <v/>
      </c>
      <c r="AH93">
        <f>IF(tblData[Date]&gt;StartDt2NSW,tblData[Date]-StartDt2NSW,"")</f>
        <v>157</v>
      </c>
      <c r="AI93" t="str">
        <f t="shared" si="9"/>
        <v/>
      </c>
      <c r="AJ93" s="11">
        <f>IF(tblData[Date]&gt;StartDt2NSW,betaNSW/(deltaNSW+betaPodeltaNSW*EXP(-betaNSW*tblData[[#This Row],[Day '# NSW]])),"")</f>
        <v>2724.7105671510353</v>
      </c>
      <c r="AK93" s="12" t="str">
        <f>IF(AND(ISNUMBER(tblData[NSW]),tblData[Date]&gt;StartDt2NSW),(tblData[[#This Row],[NSW LogiP(t)]]-tblData[[#This Row],[NSW]])^2,"")</f>
        <v/>
      </c>
      <c r="AL93" s="44">
        <f>IF(AND(tblData[Date]&gt;StartDt2NSW,ISNUMBER(tblData[Day'# Aust])),tblData[NSW LogiP(t)]/$AG$9,"")</f>
        <v>3372.1665435037562</v>
      </c>
      <c r="AM93" s="11">
        <f>IF(AND(tblData[Date]&gt;StartDt2Italy,ISNUMBER(tblData[Days'# Italy])),betaItaly/(deltaItaly+betaPodeltaItaly*EXP(-betaItaly*tblData[Days'# Italy])),"")</f>
        <v>55402.51146649853</v>
      </c>
      <c r="AN93" s="11" t="str">
        <f>IF(AND(tblData[Date]&gt;StartDt2Italy,ISNUMBER(tblData[Italy])),(tblData[[#This Row],[Italy LogiP(t)]]-tblData[[#This Row],[Italy]])^2,"")</f>
        <v/>
      </c>
      <c r="AO93" s="44">
        <f>IF(AND(tblData[Date]&gt;StartDt2Italy,ISNUMBER(tblData[Days'# Italy])),tblData[[#This Row],[Italy LogiP(t)]]/$AM$9,"")</f>
        <v>9165.0143038045535</v>
      </c>
      <c r="AP93" s="21">
        <f>IF(ISNUMBER(tblData[[#This Row],[Days'# US]]),betaUS/(deltaUS+betaPodeltaUS*EXP(-betaUS*tblData[Days'# US])),"")</f>
        <v>347695292.01200873</v>
      </c>
      <c r="AQ93" s="11" t="str">
        <f>IF(ISNUMBER(tblData[US]),(tblData[[#This Row],[US LogiP(t)]]-tblData[US])^2,"")</f>
        <v/>
      </c>
      <c r="AR93" s="21">
        <f>IF(ISNUMBER(tblData[[#This Row],[Days'# US]]),tblData[[#This Row],[US LogiP(t)]]/$AP$9,"")</f>
        <v>10560935.286784995</v>
      </c>
      <c r="AS93" s="21">
        <f>IF(tblData[Date]&gt;=StartDt2Korea,betaSKorea/(deltaSKorea+betaPodeltaSKorea*EXP(-betaSKorea*(tblData[Date]-StartDt2Korea))),"")</f>
        <v>8319.4112738168697</v>
      </c>
      <c r="AT93" s="21" t="str">
        <f>IF(AND(tblData[Date]&gt;=StartDt2Korea,ISNUMBER(tblData[SKorea])),(tblData[[#This Row],[SKorea LogiP(t)]]-tblData[[#This Row],[SKorea]])^2,"")</f>
        <v/>
      </c>
      <c r="AU93" s="21">
        <f>IF(tblData[Date]&gt;=StartDt2Korea,tblData[[#This Row],[SKorea LogiP(t)]]/$AS$9,"")</f>
        <v>1618.5625046336322</v>
      </c>
      <c r="AV93" s="85">
        <f>IF(ISNUMBER(tblData[Days'# UK]),betaUK/(deltaUK+betaPodeltaUK*EXP(-betaUK*tblData[Days'# UK])),"")</f>
        <v>230594403.35102955</v>
      </c>
      <c r="AW93" s="85" t="str">
        <f>IF(ISNUMBER(tblData[UK]),(tblData[[#This Row],[UK LogiP(t)]]-tblData[[#This Row],[UK]])^2,"")</f>
        <v/>
      </c>
      <c r="AX93" s="85">
        <f>IF(ISNUMBER(tblData[Days'# UK]),tblData[[#This Row],[UK LogiP(t)]]/$AV$9,"")</f>
        <v>34707164.863189273</v>
      </c>
      <c r="AY93" s="11">
        <f>IF(ISNUMBER(tblData[Days'# China]),betaChina/(deltaChina+betaPodeltaChina*EXP(-betaChina*tblData[Days'# China])),"")</f>
        <v>80951.290244678836</v>
      </c>
      <c r="AZ93" s="11" t="str">
        <f>IF(ISNUMBER(tblData[China]),(tblData[[#This Row],[China LogiP(t)]]-tblData[[#This Row],[China]])^2,"")</f>
        <v/>
      </c>
      <c r="BA93" s="11">
        <f>tblData[[#This Row],[China LogiP(t)]]/$AY$9</f>
        <v>562.42585299083419</v>
      </c>
      <c r="BB93" s="11"/>
      <c r="BC93" s="11"/>
      <c r="BD93" s="11" t="str">
        <f>IF(ISNUMBER(tblData[[#This Row],[NSW Number of Tests]]),tblData[[#This Row],[NSW Number of Tests]]-BB92,"")</f>
        <v/>
      </c>
      <c r="BE93" s="11" t="str">
        <f>IF(ISNUMBER(tblData[[#This Row],[NSW Under Investigation'']]),tblData[[#This Row],[NSW Under Investigation'']]-BC92,"")</f>
        <v/>
      </c>
      <c r="BF93" s="11">
        <f t="shared" si="6"/>
        <v>38</v>
      </c>
      <c r="BG93" s="11">
        <f>IF(ISNUMBER(tblData[[#This Row],[NSW Test Day Number]]),betaTest/(deltaTest+betaPodeltaTest*EXP(-betaTest*tblData[[#This Row],[NSW Test Day Number]])),"")</f>
        <v>265795.13559729984</v>
      </c>
      <c r="BH93" s="11" t="str">
        <f>IF(ISNUMBER(tblData[[#This Row],[NSW Number of Tests]]),(tblData[[#This Row],[NSW Number of Tests]]-tblData[[#This Row],[NSW Test Logi]])^2,"")</f>
        <v/>
      </c>
      <c r="BY93"/>
      <c r="BZ93"/>
      <c r="CJ93" s="26"/>
      <c r="CK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</row>
    <row r="94" spans="2:173" x14ac:dyDescent="0.25">
      <c r="B94" s="27">
        <f t="shared" si="12"/>
        <v>44019</v>
      </c>
      <c r="D94" s="26"/>
      <c r="L94" s="12" t="str">
        <f>IF(ISNUMBER(tblData[[#This Row],[NSW]]),tblData[[#This Row],[New South Wales]]/$L$9,"")</f>
        <v/>
      </c>
      <c r="M94" s="26"/>
      <c r="N94" s="49" t="str">
        <f>IF(ISNUMBER(tblData[Italy]),tblData[Italy]/$N$9,"")</f>
        <v/>
      </c>
      <c r="O94" s="26"/>
      <c r="P94" s="49" t="str">
        <f>IF(ISNUMBER(tblData[US]),tblData[US]/$P$9,"")</f>
        <v/>
      </c>
      <c r="Q94" s="49"/>
      <c r="R94" s="19" t="str">
        <f>IF(ISNUMBER(tblData[SKorea]),tblData[SKorea]/$R$9,"")</f>
        <v/>
      </c>
      <c r="S94" s="49"/>
      <c r="T94" s="12" t="str">
        <f>IF(ISNUMBER(tblData[UK]),tblData[UK]/$T$9,"")</f>
        <v/>
      </c>
      <c r="U94" s="26"/>
      <c r="V94" s="21" t="str">
        <f>IF(ISNUMBER(tblData[China]),tblData[China]/$V$9,"")</f>
        <v/>
      </c>
      <c r="W94" s="26">
        <f>IF(tblData[[#This Row],[Date]]&lt;ItalyStart,"",tblData[[#This Row],[Date]]-ItalyStart)</f>
        <v>159</v>
      </c>
      <c r="X94" s="26">
        <f t="shared" si="13"/>
        <v>149</v>
      </c>
      <c r="Y94" s="26">
        <f t="shared" si="11"/>
        <v>83</v>
      </c>
      <c r="Z94" s="26">
        <f>IF(tblData[[#This Row],[Date]]&lt;StartDt2Korea,"",tblData[[#This Row],[Date]]-StartDt2Korea)</f>
        <v>139</v>
      </c>
      <c r="AA94" s="26">
        <f>IF(tblData[[#This Row],[Date]]&lt;UKStart,"",tblData[[#This Row],[Date]]-UKStart)</f>
        <v>159</v>
      </c>
      <c r="AB94">
        <f>IF(tblData[Date]&gt;=StartDt2Au,tblData[Date]-StartDt2Au,"")</f>
        <v>164</v>
      </c>
      <c r="AC94" s="26" t="str">
        <f>IF(tblData[New South Wales]&gt;0,SUM(tblData[[#This Row],[Australian Capital Territory]:[Western Australia]]),"")</f>
        <v/>
      </c>
      <c r="AD94" s="12" t="str">
        <f>IF(ISNUMBER(tblData[Au]),tblData[Au]/$AA$9,"")</f>
        <v/>
      </c>
      <c r="AE94" s="44">
        <f>IF(ISNUMBER(tblData[[#This Row],[Day'# Aust]]),betaAu/(deltaAu+betaPodeltaAu*EXP(-betaAu*tblData[[#This Row],[Day'# Aust]])),"")</f>
        <v>206481067.31820562</v>
      </c>
      <c r="AF94" s="73">
        <f>IF(ISNUMBER(tblData[Day'# Aust]),tblData[Au LogiP(t)]/$AD$9,"")</f>
        <v>81407138.983679876</v>
      </c>
      <c r="AG94" s="11" t="str">
        <f>IF(AND(tblData[Date]&gt;=StartDt2Au,ISNUMBER(tblData[NSW])),(tblData[[#This Row],[Au LogiP(t)]]-tblData[[#This Row],[Au]])^2,"")</f>
        <v/>
      </c>
      <c r="AH94">
        <f>IF(tblData[Date]&gt;StartDt2NSW,tblData[Date]-StartDt2NSW,"")</f>
        <v>164</v>
      </c>
      <c r="AI94" t="str">
        <f t="shared" si="9"/>
        <v/>
      </c>
      <c r="AJ94" s="11">
        <f>IF(tblData[Date]&gt;StartDt2NSW,betaNSW/(deltaNSW+betaPodeltaNSW*EXP(-betaNSW*tblData[[#This Row],[Day '# NSW]])),"")</f>
        <v>2724.7105742517647</v>
      </c>
      <c r="AK94" s="12" t="str">
        <f>IF(AND(ISNUMBER(tblData[NSW]),tblData[Date]&gt;StartDt2NSW),(tblData[[#This Row],[NSW LogiP(t)]]-tblData[[#This Row],[NSW]])^2,"")</f>
        <v/>
      </c>
      <c r="AL94" s="44">
        <f>IF(AND(tblData[Date]&gt;StartDt2NSW,ISNUMBER(tblData[Day'# Aust])),tblData[NSW LogiP(t)]/$AG$9,"")</f>
        <v>3372.1665522917879</v>
      </c>
      <c r="AM94" s="11">
        <f>IF(AND(tblData[Date]&gt;StartDt2Italy,ISNUMBER(tblData[Days'# Italy])),betaItaly/(deltaItaly+betaPodeltaItaly*EXP(-betaItaly*tblData[Days'# Italy])),"")</f>
        <v>55402.511466537231</v>
      </c>
      <c r="AN94" s="11" t="str">
        <f>IF(AND(tblData[Date]&gt;StartDt2Italy,ISNUMBER(tblData[Italy])),(tblData[[#This Row],[Italy LogiP(t)]]-tblData[[#This Row],[Italy]])^2,"")</f>
        <v/>
      </c>
      <c r="AO94" s="44">
        <f>IF(AND(tblData[Date]&gt;StartDt2Italy,ISNUMBER(tblData[Days'# Italy])),tblData[[#This Row],[Italy LogiP(t)]]/$AM$9,"")</f>
        <v>9165.0143038109563</v>
      </c>
      <c r="AP94" s="21">
        <f>IF(ISNUMBER(tblData[[#This Row],[Days'# US]]),betaUS/(deltaUS+betaPodeltaUS*EXP(-betaUS*tblData[Days'# US])),"")</f>
        <v>347695292.01433814</v>
      </c>
      <c r="AQ94" s="11" t="str">
        <f>IF(ISNUMBER(tblData[US]),(tblData[[#This Row],[US LogiP(t)]]-tblData[US])^2,"")</f>
        <v/>
      </c>
      <c r="AR94" s="21">
        <f>IF(ISNUMBER(tblData[[#This Row],[Days'# US]]),tblData[[#This Row],[US LogiP(t)]]/$AP$9,"")</f>
        <v>10560935.28685575</v>
      </c>
      <c r="AS94" s="21">
        <f>IF(tblData[Date]&gt;=StartDt2Korea,betaSKorea/(deltaSKorea+betaPodeltaSKorea*EXP(-betaSKorea*(tblData[Date]-StartDt2Korea))),"")</f>
        <v>8319.4112738168697</v>
      </c>
      <c r="AT94" s="21" t="str">
        <f>IF(AND(tblData[Date]&gt;=StartDt2Korea,ISNUMBER(tblData[SKorea])),(tblData[[#This Row],[SKorea LogiP(t)]]-tblData[[#This Row],[SKorea]])^2,"")</f>
        <v/>
      </c>
      <c r="AU94" s="21">
        <f>IF(tblData[Date]&gt;=StartDt2Korea,tblData[[#This Row],[SKorea LogiP(t)]]/$AS$9,"")</f>
        <v>1618.5625046336322</v>
      </c>
      <c r="AV94" s="85">
        <f>IF(ISNUMBER(tblData[Days'# UK]),betaUK/(deltaUK+betaPodeltaUK*EXP(-betaUK*tblData[Days'# UK])),"")</f>
        <v>230595073.97818068</v>
      </c>
      <c r="AW94" s="85" t="str">
        <f>IF(ISNUMBER(tblData[UK]),(tblData[[#This Row],[UK LogiP(t)]]-tblData[[#This Row],[UK]])^2,"")</f>
        <v/>
      </c>
      <c r="AX94" s="85">
        <f>IF(ISNUMBER(tblData[Days'# UK]),tblData[[#This Row],[UK LogiP(t)]]/$AV$9,"")</f>
        <v>34707265.800448626</v>
      </c>
      <c r="AY94" s="11">
        <f>IF(ISNUMBER(tblData[Days'# China]),betaChina/(deltaChina+betaPodeltaChina*EXP(-betaChina*tblData[Days'# China])),"")</f>
        <v>80951.300467245033</v>
      </c>
      <c r="AZ94" s="11" t="str">
        <f>IF(ISNUMBER(tblData[China]),(tblData[[#This Row],[China LogiP(t)]]-tblData[[#This Row],[China]])^2,"")</f>
        <v/>
      </c>
      <c r="BA94" s="11">
        <f>tblData[[#This Row],[China LogiP(t)]]/$AY$9</f>
        <v>562.42592401422985</v>
      </c>
      <c r="BB94" s="11"/>
      <c r="BC94" s="11"/>
      <c r="BD94" s="11" t="str">
        <f>IF(ISNUMBER(tblData[[#This Row],[NSW Number of Tests]]),tblData[[#This Row],[NSW Number of Tests]]-BB93,"")</f>
        <v/>
      </c>
      <c r="BE94" s="11" t="str">
        <f>IF(ISNUMBER(tblData[[#This Row],[NSW Under Investigation'']]),tblData[[#This Row],[NSW Under Investigation'']]-BC93,"")</f>
        <v/>
      </c>
      <c r="BF94" s="11">
        <f t="shared" si="6"/>
        <v>39</v>
      </c>
      <c r="BG94" s="11">
        <f>IF(ISNUMBER(tblData[[#This Row],[NSW Test Day Number]]),betaTest/(deltaTest+betaPodeltaTest*EXP(-betaTest*tblData[[#This Row],[NSW Test Day Number]])),"")</f>
        <v>269474.26115389238</v>
      </c>
      <c r="BH94" s="11" t="str">
        <f>IF(ISNUMBER(tblData[[#This Row],[NSW Number of Tests]]),(tblData[[#This Row],[NSW Number of Tests]]-tblData[[#This Row],[NSW Test Logi]])^2,"")</f>
        <v/>
      </c>
      <c r="BY94"/>
      <c r="BZ94"/>
      <c r="CJ94" s="26"/>
      <c r="CK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</row>
    <row r="95" spans="2:173" x14ac:dyDescent="0.25">
      <c r="B95" s="27">
        <f t="shared" si="12"/>
        <v>44026</v>
      </c>
      <c r="D95" s="26"/>
      <c r="L95" s="12" t="str">
        <f>IF(ISNUMBER(tblData[[#This Row],[NSW]]),tblData[[#This Row],[New South Wales]]/$L$9,"")</f>
        <v/>
      </c>
      <c r="M95" s="26"/>
      <c r="N95" s="49" t="str">
        <f>IF(ISNUMBER(tblData[Italy]),tblData[Italy]/$N$9,"")</f>
        <v/>
      </c>
      <c r="O95" s="26"/>
      <c r="P95" s="49" t="str">
        <f>IF(ISNUMBER(tblData[US]),tblData[US]/$P$9,"")</f>
        <v/>
      </c>
      <c r="Q95" s="49"/>
      <c r="R95" s="19" t="str">
        <f>IF(ISNUMBER(tblData[SKorea]),tblData[SKorea]/$R$9,"")</f>
        <v/>
      </c>
      <c r="S95" s="49"/>
      <c r="T95" s="12" t="str">
        <f>IF(ISNUMBER(tblData[UK]),tblData[UK]/$T$9,"")</f>
        <v/>
      </c>
      <c r="U95" s="26"/>
      <c r="V95" s="21" t="str">
        <f>IF(ISNUMBER(tblData[China]),tblData[China]/$V$9,"")</f>
        <v/>
      </c>
      <c r="W95" s="26">
        <f>IF(tblData[[#This Row],[Date]]&lt;ItalyStart,"",tblData[[#This Row],[Date]]-ItalyStart)</f>
        <v>166</v>
      </c>
      <c r="X95" s="26">
        <f t="shared" si="13"/>
        <v>156</v>
      </c>
      <c r="Y95" s="26">
        <f t="shared" si="11"/>
        <v>84</v>
      </c>
      <c r="Z95" s="26">
        <f>IF(tblData[[#This Row],[Date]]&lt;StartDt2Korea,"",tblData[[#This Row],[Date]]-StartDt2Korea)</f>
        <v>146</v>
      </c>
      <c r="AA95" s="26">
        <f>IF(tblData[[#This Row],[Date]]&lt;UKStart,"",tblData[[#This Row],[Date]]-UKStart)</f>
        <v>166</v>
      </c>
      <c r="AB95">
        <f>IF(tblData[Date]&gt;=StartDt2Au,tblData[Date]-StartDt2Au,"")</f>
        <v>171</v>
      </c>
      <c r="AC95" s="26" t="str">
        <f>IF(tblData[New South Wales]&gt;0,SUM(tblData[[#This Row],[Australian Capital Territory]:[Western Australia]]),"")</f>
        <v/>
      </c>
      <c r="AD95" s="12" t="str">
        <f>IF(ISNUMBER(tblData[Au]),tblData[Au]/$AA$9,"")</f>
        <v/>
      </c>
      <c r="AE95" s="44">
        <f>IF(ISNUMBER(tblData[[#This Row],[Day'# Aust]]),betaAu/(deltaAu+betaPodeltaAu*EXP(-betaAu*tblData[[#This Row],[Day'# Aust]])),"")</f>
        <v>206487370.14940006</v>
      </c>
      <c r="AF95" s="73">
        <f>IF(ISNUMBER(tblData[Day'# Aust]),tblData[Au LogiP(t)]/$AD$9,"")</f>
        <v>81409623.935262606</v>
      </c>
      <c r="AG95" s="11" t="str">
        <f>IF(AND(tblData[Date]&gt;=StartDt2Au,ISNUMBER(tblData[NSW])),(tblData[[#This Row],[Au LogiP(t)]]-tblData[[#This Row],[Au]])^2,"")</f>
        <v/>
      </c>
      <c r="AH95">
        <f>IF(tblData[Date]&gt;StartDt2NSW,tblData[Date]-StartDt2NSW,"")</f>
        <v>171</v>
      </c>
      <c r="AI95" t="str">
        <f t="shared" si="9"/>
        <v/>
      </c>
      <c r="AJ95" s="11">
        <f>IF(tblData[Date]&gt;StartDt2NSW,betaNSW/(deltaNSW+betaPodeltaNSW*EXP(-betaNSW*tblData[[#This Row],[Day '# NSW]])),"")</f>
        <v>2724.7105758923531</v>
      </c>
      <c r="AK95" s="12" t="str">
        <f>IF(AND(ISNUMBER(tblData[NSW]),tblData[Date]&gt;StartDt2NSW),(tblData[[#This Row],[NSW LogiP(t)]]-tblData[[#This Row],[NSW]])^2,"")</f>
        <v/>
      </c>
      <c r="AL95" s="44">
        <f>IF(AND(tblData[Date]&gt;StartDt2NSW,ISNUMBER(tblData[Day'# Aust])),tblData[NSW LogiP(t)]/$AG$9,"")</f>
        <v>3372.1665543222189</v>
      </c>
      <c r="AM95" s="11">
        <f>IF(AND(tblData[Date]&gt;StartDt2Italy,ISNUMBER(tblData[Days'# Italy])),betaItaly/(deltaItaly+betaPodeltaItaly*EXP(-betaItaly*tblData[Days'# Italy])),"")</f>
        <v>55402.511466543496</v>
      </c>
      <c r="AN95" s="11" t="str">
        <f>IF(AND(tblData[Date]&gt;StartDt2Italy,ISNUMBER(tblData[Italy])),(tblData[[#This Row],[Italy LogiP(t)]]-tblData[[#This Row],[Italy]])^2,"")</f>
        <v/>
      </c>
      <c r="AO95" s="44">
        <f>IF(AND(tblData[Date]&gt;StartDt2Italy,ISNUMBER(tblData[Days'# Italy])),tblData[[#This Row],[Italy LogiP(t)]]/$AM$9,"")</f>
        <v>9165.0143038119932</v>
      </c>
      <c r="AP95" s="21">
        <f>IF(ISNUMBER(tblData[[#This Row],[Days'# US]]),betaUS/(deltaUS+betaPodeltaUS*EXP(-betaUS*tblData[Days'# US])),"")</f>
        <v>347695292.0145424</v>
      </c>
      <c r="AQ95" s="11" t="str">
        <f>IF(ISNUMBER(tblData[US]),(tblData[[#This Row],[US LogiP(t)]]-tblData[US])^2,"")</f>
        <v/>
      </c>
      <c r="AR95" s="21">
        <f>IF(ISNUMBER(tblData[[#This Row],[Days'# US]]),tblData[[#This Row],[US LogiP(t)]]/$AP$9,"")</f>
        <v>10560935.286861954</v>
      </c>
      <c r="AS95" s="21">
        <f>IF(tblData[Date]&gt;=StartDt2Korea,betaSKorea/(deltaSKorea+betaPodeltaSKorea*EXP(-betaSKorea*(tblData[Date]-StartDt2Korea))),"")</f>
        <v>8319.4112738168697</v>
      </c>
      <c r="AT95" s="21" t="str">
        <f>IF(AND(tblData[Date]&gt;=StartDt2Korea,ISNUMBER(tblData[SKorea])),(tblData[[#This Row],[SKorea LogiP(t)]]-tblData[[#This Row],[SKorea]])^2,"")</f>
        <v/>
      </c>
      <c r="AU95" s="21">
        <f>IF(tblData[Date]&gt;=StartDt2Korea,tblData[[#This Row],[SKorea LogiP(t)]]/$AS$9,"")</f>
        <v>1618.5625046336322</v>
      </c>
      <c r="AV95" s="85">
        <f>IF(ISNUMBER(tblData[Days'# UK]),betaUK/(deltaUK+betaPodeltaUK*EXP(-betaUK*tblData[Days'# UK])),"")</f>
        <v>230595207.47132504</v>
      </c>
      <c r="AW95" s="85" t="str">
        <f>IF(ISNUMBER(tblData[UK]),(tblData[[#This Row],[UK LogiP(t)]]-tblData[[#This Row],[UK]])^2,"")</f>
        <v/>
      </c>
      <c r="AX95" s="85">
        <f>IF(ISNUMBER(tblData[Days'# UK]),tblData[[#This Row],[UK LogiP(t)]]/$AV$9,"")</f>
        <v>34707285.892734051</v>
      </c>
      <c r="AY95" s="11">
        <f>IF(ISNUMBER(tblData[Days'# China]),betaChina/(deltaChina+betaPodeltaChina*EXP(-betaChina*tblData[Days'# China])),"")</f>
        <v>80951.308653486529</v>
      </c>
      <c r="AZ95" s="11" t="str">
        <f>IF(ISNUMBER(tblData[China]),(tblData[[#This Row],[China LogiP(t)]]-tblData[[#This Row],[China]])^2,"")</f>
        <v/>
      </c>
      <c r="BA95" s="11">
        <f>tblData[[#This Row],[China LogiP(t)]]/$AY$9</f>
        <v>562.42598088983789</v>
      </c>
      <c r="BB95" s="11"/>
      <c r="BC95" s="11"/>
      <c r="BD95" s="11" t="str">
        <f>IF(ISNUMBER(tblData[[#This Row],[NSW Number of Tests]]),tblData[[#This Row],[NSW Number of Tests]]-BB94,"")</f>
        <v/>
      </c>
      <c r="BE95" s="11" t="str">
        <f>IF(ISNUMBER(tblData[[#This Row],[NSW Under Investigation'']]),tblData[[#This Row],[NSW Under Investigation'']]-BC94,"")</f>
        <v/>
      </c>
      <c r="BF95" s="11">
        <f t="shared" si="6"/>
        <v>40</v>
      </c>
      <c r="BG95" s="11">
        <f>IF(ISNUMBER(tblData[[#This Row],[NSW Test Day Number]]),betaTest/(deltaTest+betaPodeltaTest*EXP(-betaTest*tblData[[#This Row],[NSW Test Day Number]])),"")</f>
        <v>272663.73934651189</v>
      </c>
      <c r="BH95" s="11" t="str">
        <f>IF(ISNUMBER(tblData[[#This Row],[NSW Number of Tests]]),(tblData[[#This Row],[NSW Number of Tests]]-tblData[[#This Row],[NSW Test Logi]])^2,"")</f>
        <v/>
      </c>
      <c r="BY95"/>
      <c r="BZ95"/>
      <c r="CJ95" s="26"/>
      <c r="CK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</row>
    <row r="96" spans="2:173" x14ac:dyDescent="0.25">
      <c r="B96" s="27">
        <f t="shared" si="12"/>
        <v>44033</v>
      </c>
      <c r="D96" s="26"/>
      <c r="L96" s="12" t="str">
        <f>IF(ISNUMBER(tblData[[#This Row],[NSW]]),tblData[[#This Row],[New South Wales]]/$L$9,"")</f>
        <v/>
      </c>
      <c r="M96" s="26"/>
      <c r="N96" s="49" t="str">
        <f>IF(ISNUMBER(tblData[Italy]),tblData[Italy]/$N$9,"")</f>
        <v/>
      </c>
      <c r="O96" s="26"/>
      <c r="P96" s="49" t="str">
        <f>IF(ISNUMBER(tblData[US]),tblData[US]/$P$9,"")</f>
        <v/>
      </c>
      <c r="Q96" s="49"/>
      <c r="R96" s="19" t="str">
        <f>IF(ISNUMBER(tblData[SKorea]),tblData[SKorea]/$R$9,"")</f>
        <v/>
      </c>
      <c r="S96" s="49"/>
      <c r="T96" s="12" t="str">
        <f>IF(ISNUMBER(tblData[UK]),tblData[UK]/$T$9,"")</f>
        <v/>
      </c>
      <c r="U96" s="26"/>
      <c r="V96" s="21" t="str">
        <f>IF(ISNUMBER(tblData[China]),tblData[China]/$V$9,"")</f>
        <v/>
      </c>
      <c r="W96" s="26">
        <f>IF(tblData[[#This Row],[Date]]&lt;ItalyStart,"",tblData[[#This Row],[Date]]-ItalyStart)</f>
        <v>173</v>
      </c>
      <c r="X96" s="26">
        <f t="shared" si="13"/>
        <v>163</v>
      </c>
      <c r="Y96" s="26">
        <f t="shared" si="11"/>
        <v>85</v>
      </c>
      <c r="Z96" s="26">
        <f>IF(tblData[[#This Row],[Date]]&lt;StartDt2Korea,"",tblData[[#This Row],[Date]]-StartDt2Korea)</f>
        <v>153</v>
      </c>
      <c r="AA96" s="26">
        <f>IF(tblData[[#This Row],[Date]]&lt;UKStart,"",tblData[[#This Row],[Date]]-UKStart)</f>
        <v>173</v>
      </c>
      <c r="AB96">
        <f>IF(tblData[Date]&gt;=StartDt2Au,tblData[Date]-StartDt2Au,"")</f>
        <v>178</v>
      </c>
      <c r="AC96" s="26" t="str">
        <f>IF(tblData[New South Wales]&gt;0,SUM(tblData[[#This Row],[Australian Capital Territory]:[Western Australia]]),"")</f>
        <v/>
      </c>
      <c r="AD96" s="12" t="str">
        <f>IF(ISNUMBER(tblData[Au]),tblData[Au]/$AA$9,"")</f>
        <v/>
      </c>
      <c r="AE96" s="44">
        <f>IF(ISNUMBER(tblData[[#This Row],[Day'# Aust]]),betaAu/(deltaAu+betaPodeltaAu*EXP(-betaAu*tblData[[#This Row],[Day'# Aust]])),"")</f>
        <v>206488855.44149899</v>
      </c>
      <c r="AF96" s="73">
        <f>IF(ISNUMBER(tblData[Day'# Aust]),tblData[Au LogiP(t)]/$AD$9,"")</f>
        <v>81410209.525902465</v>
      </c>
      <c r="AG96" s="11" t="str">
        <f>IF(AND(tblData[Date]&gt;=StartDt2Au,ISNUMBER(tblData[NSW])),(tblData[[#This Row],[Au LogiP(t)]]-tblData[[#This Row],[Au]])^2,"")</f>
        <v/>
      </c>
      <c r="AH96">
        <f>IF(tblData[Date]&gt;StartDt2NSW,tblData[Date]-StartDt2NSW,"")</f>
        <v>178</v>
      </c>
      <c r="AI96" t="str">
        <f t="shared" ref="AI96:AI117" si="14">IF(E96&gt;0,E96,"")</f>
        <v/>
      </c>
      <c r="AJ96" s="11">
        <f>IF(tblData[Date]&gt;StartDt2NSW,betaNSW/(deltaNSW+betaPodeltaNSW*EXP(-betaNSW*tblData[[#This Row],[Day '# NSW]])),"")</f>
        <v>2724.7105762714036</v>
      </c>
      <c r="AK96" s="12" t="str">
        <f>IF(AND(ISNUMBER(tblData[NSW]),tblData[Date]&gt;StartDt2NSW),(tblData[[#This Row],[NSW LogiP(t)]]-tblData[[#This Row],[NSW]])^2,"")</f>
        <v/>
      </c>
      <c r="AL96" s="44">
        <f>IF(AND(tblData[Date]&gt;StartDt2NSW,ISNUMBER(tblData[Day'# Aust])),tblData[NSW LogiP(t)]/$AG$9,"")</f>
        <v>3372.1665547913408</v>
      </c>
      <c r="AM96" s="11">
        <f>IF(AND(tblData[Date]&gt;StartDt2Italy,ISNUMBER(tblData[Days'# Italy])),betaItaly/(deltaItaly+betaPodeltaItaly*EXP(-betaItaly*tblData[Days'# Italy])),"")</f>
        <v>55402.511466544507</v>
      </c>
      <c r="AN96" s="11" t="str">
        <f>IF(AND(tblData[Date]&gt;StartDt2Italy,ISNUMBER(tblData[Italy])),(tblData[[#This Row],[Italy LogiP(t)]]-tblData[[#This Row],[Italy]])^2,"")</f>
        <v/>
      </c>
      <c r="AO96" s="44">
        <f>IF(AND(tblData[Date]&gt;StartDt2Italy,ISNUMBER(tblData[Days'# Italy])),tblData[[#This Row],[Italy LogiP(t)]]/$AM$9,"")</f>
        <v>9165.0143038121605</v>
      </c>
      <c r="AP96" s="21">
        <f>IF(ISNUMBER(tblData[[#This Row],[Days'# US]]),betaUS/(deltaUS+betaPodeltaUS*EXP(-betaUS*tblData[Days'# US])),"")</f>
        <v>347695292.01456028</v>
      </c>
      <c r="AQ96" s="11" t="str">
        <f>IF(ISNUMBER(tblData[US]),(tblData[[#This Row],[US LogiP(t)]]-tblData[US])^2,"")</f>
        <v/>
      </c>
      <c r="AR96" s="21">
        <f>IF(ISNUMBER(tblData[[#This Row],[Days'# US]]),tblData[[#This Row],[US LogiP(t)]]/$AP$9,"")</f>
        <v>10560935.286862496</v>
      </c>
      <c r="AS96" s="21">
        <f>IF(tblData[Date]&gt;=StartDt2Korea,betaSKorea/(deltaSKorea+betaPodeltaSKorea*EXP(-betaSKorea*(tblData[Date]-StartDt2Korea))),"")</f>
        <v>8319.4112738168697</v>
      </c>
      <c r="AT96" s="21" t="str">
        <f>IF(AND(tblData[Date]&gt;=StartDt2Korea,ISNUMBER(tblData[SKorea])),(tblData[[#This Row],[SKorea LogiP(t)]]-tblData[[#This Row],[SKorea]])^2,"")</f>
        <v/>
      </c>
      <c r="AU96" s="21">
        <f>IF(tblData[Date]&gt;=StartDt2Korea,tblData[[#This Row],[SKorea LogiP(t)]]/$AS$9,"")</f>
        <v>1618.5625046336322</v>
      </c>
      <c r="AV96" s="85">
        <f>IF(ISNUMBER(tblData[Days'# UK]),betaUK/(deltaUK+betaPodeltaUK*EXP(-betaUK*tblData[Days'# UK])),"")</f>
        <v>230595234.04401866</v>
      </c>
      <c r="AW96" s="85" t="str">
        <f>IF(ISNUMBER(tblData[UK]),(tblData[[#This Row],[UK LogiP(t)]]-tblData[[#This Row],[UK]])^2,"")</f>
        <v/>
      </c>
      <c r="AX96" s="85">
        <f>IF(ISNUMBER(tblData[Days'# UK]),tblData[[#This Row],[UK LogiP(t)]]/$AV$9,"")</f>
        <v>34707289.892236404</v>
      </c>
      <c r="AY96" s="11">
        <f>IF(ISNUMBER(tblData[Days'# China]),betaChina/(deltaChina+betaPodeltaChina*EXP(-betaChina*tblData[Days'# China])),"")</f>
        <v>80951.315209036809</v>
      </c>
      <c r="AZ96" s="11" t="str">
        <f>IF(ISNUMBER(tblData[China]),(tblData[[#This Row],[China LogiP(t)]]-tblData[[#This Row],[China]])^2,"")</f>
        <v/>
      </c>
      <c r="BA96" s="11">
        <f>tblData[[#This Row],[China LogiP(t)]]/$AY$9</f>
        <v>562.426026435881</v>
      </c>
      <c r="BB96" s="11"/>
      <c r="BC96" s="11"/>
      <c r="BD96" s="11" t="str">
        <f>IF(ISNUMBER(tblData[[#This Row],[NSW Number of Tests]]),tblData[[#This Row],[NSW Number of Tests]]-BB95,"")</f>
        <v/>
      </c>
      <c r="BE96" s="11" t="str">
        <f>IF(ISNUMBER(tblData[[#This Row],[NSW Under Investigation'']]),tblData[[#This Row],[NSW Under Investigation'']]-BC95,"")</f>
        <v/>
      </c>
      <c r="BF96" s="11">
        <f t="shared" si="6"/>
        <v>41</v>
      </c>
      <c r="BG96" s="11">
        <f>IF(ISNUMBER(tblData[[#This Row],[NSW Test Day Number]]),betaTest/(deltaTest+betaPodeltaTest*EXP(-betaTest*tblData[[#This Row],[NSW Test Day Number]])),"")</f>
        <v>275418.54007533938</v>
      </c>
      <c r="BH96" s="11" t="str">
        <f>IF(ISNUMBER(tblData[[#This Row],[NSW Number of Tests]]),(tblData[[#This Row],[NSW Number of Tests]]-tblData[[#This Row],[NSW Test Logi]])^2,"")</f>
        <v/>
      </c>
      <c r="BY96"/>
      <c r="BZ96"/>
      <c r="CJ96" s="26"/>
      <c r="CK96" s="26"/>
    </row>
    <row r="97" spans="2:173" x14ac:dyDescent="0.25">
      <c r="B97" s="27">
        <f t="shared" si="12"/>
        <v>44040</v>
      </c>
      <c r="D97" s="26"/>
      <c r="L97" s="12" t="str">
        <f>IF(ISNUMBER(tblData[[#This Row],[NSW]]),tblData[[#This Row],[New South Wales]]/$L$9,"")</f>
        <v/>
      </c>
      <c r="M97" s="26"/>
      <c r="N97" s="49" t="str">
        <f>IF(ISNUMBER(tblData[Italy]),tblData[Italy]/$N$9,"")</f>
        <v/>
      </c>
      <c r="O97" s="26"/>
      <c r="P97" s="49" t="str">
        <f>IF(ISNUMBER(tblData[US]),tblData[US]/$P$9,"")</f>
        <v/>
      </c>
      <c r="Q97" s="49"/>
      <c r="R97" s="19" t="str">
        <f>IF(ISNUMBER(tblData[SKorea]),tblData[SKorea]/$R$9,"")</f>
        <v/>
      </c>
      <c r="S97" s="49"/>
      <c r="T97" s="12" t="str">
        <f>IF(ISNUMBER(tblData[UK]),tblData[UK]/$T$9,"")</f>
        <v/>
      </c>
      <c r="U97" s="26"/>
      <c r="V97" s="21" t="str">
        <f>IF(ISNUMBER(tblData[China]),tblData[China]/$V$9,"")</f>
        <v/>
      </c>
      <c r="W97" s="26">
        <f>IF(tblData[[#This Row],[Date]]&lt;ItalyStart,"",tblData[[#This Row],[Date]]-ItalyStart)</f>
        <v>180</v>
      </c>
      <c r="X97" s="26">
        <f t="shared" si="13"/>
        <v>170</v>
      </c>
      <c r="Y97" s="26">
        <f t="shared" si="11"/>
        <v>86</v>
      </c>
      <c r="Z97" s="26">
        <f>IF(tblData[[#This Row],[Date]]&lt;StartDt2Korea,"",tblData[[#This Row],[Date]]-StartDt2Korea)</f>
        <v>160</v>
      </c>
      <c r="AA97" s="26">
        <f>IF(tblData[[#This Row],[Date]]&lt;UKStart,"",tblData[[#This Row],[Date]]-UKStart)</f>
        <v>180</v>
      </c>
      <c r="AB97">
        <f>IF(tblData[Date]&gt;=StartDt2Au,tblData[Date]-StartDt2Au,"")</f>
        <v>185</v>
      </c>
      <c r="AC97" s="26" t="str">
        <f>IF(tblData[New South Wales]&gt;0,SUM(tblData[[#This Row],[Australian Capital Territory]:[Western Australia]]),"")</f>
        <v/>
      </c>
      <c r="AD97" s="12" t="str">
        <f>IF(ISNUMBER(tblData[Au]),tblData[Au]/$AA$9,"")</f>
        <v/>
      </c>
      <c r="AE97" s="44">
        <f>IF(ISNUMBER(tblData[[#This Row],[Day'# Aust]]),betaAu/(deltaAu+betaPodeltaAu*EXP(-betaAu*tblData[[#This Row],[Day'# Aust]])),"")</f>
        <v>206489205.44754419</v>
      </c>
      <c r="AF97" s="73">
        <f>IF(ISNUMBER(tblData[Day'# Aust]),tblData[Au LogiP(t)]/$AD$9,"")</f>
        <v>81410347.519139007</v>
      </c>
      <c r="AG97" s="11" t="str">
        <f>IF(AND(tblData[Date]&gt;=StartDt2Au,ISNUMBER(tblData[NSW])),(tblData[[#This Row],[Au LogiP(t)]]-tblData[[#This Row],[Au]])^2,"")</f>
        <v/>
      </c>
      <c r="AH97">
        <f>IF(tblData[Date]&gt;StartDt2NSW,tblData[Date]-StartDt2NSW,"")</f>
        <v>185</v>
      </c>
      <c r="AI97" t="str">
        <f t="shared" si="14"/>
        <v/>
      </c>
      <c r="AJ97" s="11">
        <f>IF(tblData[Date]&gt;StartDt2NSW,betaNSW/(deltaNSW+betaPodeltaNSW*EXP(-betaNSW*tblData[[#This Row],[Day '# NSW]])),"")</f>
        <v>2724.7105763589811</v>
      </c>
      <c r="AK97" s="12" t="str">
        <f>IF(AND(ISNUMBER(tblData[NSW]),tblData[Date]&gt;StartDt2NSW),(tblData[[#This Row],[NSW LogiP(t)]]-tblData[[#This Row],[NSW]])^2,"")</f>
        <v/>
      </c>
      <c r="AL97" s="44">
        <f>IF(AND(tblData[Date]&gt;StartDt2NSW,ISNUMBER(tblData[Day'# Aust])),tblData[NSW LogiP(t)]/$AG$9,"")</f>
        <v>3372.1665548997289</v>
      </c>
      <c r="AM97" s="11">
        <f>IF(AND(tblData[Date]&gt;StartDt2Italy,ISNUMBER(tblData[Days'# Italy])),betaItaly/(deltaItaly+betaPodeltaItaly*EXP(-betaItaly*tblData[Days'# Italy])),"")</f>
        <v>55402.511466544674</v>
      </c>
      <c r="AN97" s="11" t="str">
        <f>IF(AND(tblData[Date]&gt;StartDt2Italy,ISNUMBER(tblData[Italy])),(tblData[[#This Row],[Italy LogiP(t)]]-tblData[[#This Row],[Italy]])^2,"")</f>
        <v/>
      </c>
      <c r="AO97" s="44">
        <f>IF(AND(tblData[Date]&gt;StartDt2Italy,ISNUMBER(tblData[Days'# Italy])),tblData[[#This Row],[Italy LogiP(t)]]/$AM$9,"")</f>
        <v>9165.0143038121878</v>
      </c>
      <c r="AP97" s="21">
        <f>IF(ISNUMBER(tblData[[#This Row],[Days'# US]]),betaUS/(deltaUS+betaPodeltaUS*EXP(-betaUS*tblData[Days'# US])),"")</f>
        <v>347695292.01456189</v>
      </c>
      <c r="AQ97" s="11" t="str">
        <f>IF(ISNUMBER(tblData[US]),(tblData[[#This Row],[US LogiP(t)]]-tblData[US])^2,"")</f>
        <v/>
      </c>
      <c r="AR97" s="21">
        <f>IF(ISNUMBER(tblData[[#This Row],[Days'# US]]),tblData[[#This Row],[US LogiP(t)]]/$AP$9,"")</f>
        <v>10560935.286862545</v>
      </c>
      <c r="AS97" s="21">
        <f>IF(tblData[Date]&gt;=StartDt2Korea,betaSKorea/(deltaSKorea+betaPodeltaSKorea*EXP(-betaSKorea*(tblData[Date]-StartDt2Korea))),"")</f>
        <v>8319.4112738168697</v>
      </c>
      <c r="AT97" s="21" t="str">
        <f>IF(AND(tblData[Date]&gt;=StartDt2Korea,ISNUMBER(tblData[SKorea])),(tblData[[#This Row],[SKorea LogiP(t)]]-tblData[[#This Row],[SKorea]])^2,"")</f>
        <v/>
      </c>
      <c r="AU97" s="21">
        <f>IF(tblData[Date]&gt;=StartDt2Korea,tblData[[#This Row],[SKorea LogiP(t)]]/$AS$9,"")</f>
        <v>1618.5625046336322</v>
      </c>
      <c r="AV97" s="85">
        <f>IF(ISNUMBER(tblData[Days'# UK]),betaUK/(deltaUK+betaPodeltaUK*EXP(-betaUK*tblData[Days'# UK])),"")</f>
        <v>230595239.3334862</v>
      </c>
      <c r="AW97" s="85" t="str">
        <f>IF(ISNUMBER(tblData[UK]),(tblData[[#This Row],[UK LogiP(t)]]-tblData[[#This Row],[UK]])^2,"")</f>
        <v/>
      </c>
      <c r="AX97" s="85">
        <f>IF(ISNUMBER(tblData[Days'# UK]),tblData[[#This Row],[UK LogiP(t)]]/$AV$9,"")</f>
        <v>34707290.688363366</v>
      </c>
      <c r="AY97" s="11">
        <f>IF(ISNUMBER(tblData[Days'# China]),betaChina/(deltaChina+betaPodeltaChina*EXP(-betaChina*tblData[Days'# China])),"")</f>
        <v>80951.320458727772</v>
      </c>
      <c r="AZ97" s="11" t="str">
        <f>IF(ISNUMBER(tblData[China]),(tblData[[#This Row],[China LogiP(t)]]-tblData[[#This Row],[China]])^2,"")</f>
        <v/>
      </c>
      <c r="BA97" s="11">
        <f>tblData[[#This Row],[China LogiP(t)]]/$AY$9</f>
        <v>562.42606290919616</v>
      </c>
      <c r="BB97" s="11"/>
      <c r="BC97" s="11"/>
      <c r="BD97" s="11" t="str">
        <f>IF(ISNUMBER(tblData[[#This Row],[NSW Number of Tests]]),tblData[[#This Row],[NSW Number of Tests]]-BB96,"")</f>
        <v/>
      </c>
      <c r="BE97" s="11" t="str">
        <f>IF(ISNUMBER(tblData[[#This Row],[NSW Under Investigation'']]),tblData[[#This Row],[NSW Under Investigation'']]-BC96,"")</f>
        <v/>
      </c>
      <c r="BF97" s="11"/>
      <c r="BG97" s="11" t="str">
        <f>IF(ISNUMBER(tblData[[#This Row],[NSW Test Day Number]]),betaTest/(deltaTest+betaPodeltaTest*EXP(-betaTest*tblData[[#This Row],[NSW Test Day Number]])),"")</f>
        <v/>
      </c>
      <c r="BH97" s="11" t="str">
        <f>IF(ISNUMBER(tblData[[#This Row],[NSW Number of Tests]]),(tblData[[#This Row],[NSW Number of Tests]]-tblData[[#This Row],[NSW Test Logi]])^2,"")</f>
        <v/>
      </c>
      <c r="BY97"/>
      <c r="BZ97"/>
      <c r="CJ97" s="26"/>
      <c r="CK97" s="26"/>
    </row>
    <row r="98" spans="2:173" x14ac:dyDescent="0.25">
      <c r="B98" s="27">
        <f t="shared" si="12"/>
        <v>44047</v>
      </c>
      <c r="D98" s="26"/>
      <c r="L98" s="12" t="str">
        <f>IF(ISNUMBER(tblData[[#This Row],[NSW]]),tblData[[#This Row],[New South Wales]]/$L$9,"")</f>
        <v/>
      </c>
      <c r="M98" s="26"/>
      <c r="N98" s="49" t="str">
        <f>IF(ISNUMBER(tblData[Italy]),tblData[Italy]/$N$9,"")</f>
        <v/>
      </c>
      <c r="O98" s="26"/>
      <c r="P98" s="49" t="str">
        <f>IF(ISNUMBER(tblData[US]),tblData[US]/$P$9,"")</f>
        <v/>
      </c>
      <c r="Q98" s="49"/>
      <c r="R98" s="19" t="str">
        <f>IF(ISNUMBER(tblData[SKorea]),tblData[SKorea]/$R$9,"")</f>
        <v/>
      </c>
      <c r="S98" s="49"/>
      <c r="T98" s="12" t="str">
        <f>IF(ISNUMBER(tblData[UK]),tblData[UK]/$T$9,"")</f>
        <v/>
      </c>
      <c r="U98" s="26"/>
      <c r="V98" s="21" t="str">
        <f>IF(ISNUMBER(tblData[China]),tblData[China]/$V$9,"")</f>
        <v/>
      </c>
      <c r="W98" s="26">
        <f>IF(tblData[[#This Row],[Date]]&lt;ItalyStart,"",tblData[[#This Row],[Date]]-ItalyStart)</f>
        <v>187</v>
      </c>
      <c r="X98" s="26">
        <f t="shared" si="13"/>
        <v>177</v>
      </c>
      <c r="Y98" s="26">
        <f t="shared" si="11"/>
        <v>87</v>
      </c>
      <c r="Z98" s="26">
        <f>IF(tblData[[#This Row],[Date]]&lt;StartDt2Korea,"",tblData[[#This Row],[Date]]-StartDt2Korea)</f>
        <v>167</v>
      </c>
      <c r="AA98" s="26">
        <f>IF(tblData[[#This Row],[Date]]&lt;UKStart,"",tblData[[#This Row],[Date]]-UKStart)</f>
        <v>187</v>
      </c>
      <c r="AB98">
        <f>IF(tblData[Date]&gt;=StartDt2Au,tblData[Date]-StartDt2Au,"")</f>
        <v>192</v>
      </c>
      <c r="AC98" s="26" t="str">
        <f>IF(tblData[New South Wales]&gt;0,SUM(tblData[[#This Row],[Australian Capital Territory]:[Western Australia]]),"")</f>
        <v/>
      </c>
      <c r="AD98" s="12" t="str">
        <f>IF(ISNUMBER(tblData[Au]),tblData[Au]/$AA$9,"")</f>
        <v/>
      </c>
      <c r="AE98" s="44">
        <f>IF(ISNUMBER(tblData[[#This Row],[Day'# Aust]]),betaAu/(deltaAu+betaPodeltaAu*EXP(-betaAu*tblData[[#This Row],[Day'# Aust]])),"")</f>
        <v>206489287.92519251</v>
      </c>
      <c r="AF98" s="73">
        <f>IF(ISNUMBER(tblData[Day'# Aust]),tblData[Au LogiP(t)]/$AD$9,"")</f>
        <v>81410380.036742032</v>
      </c>
      <c r="AG98" s="11" t="str">
        <f>IF(AND(tblData[Date]&gt;=StartDt2Au,ISNUMBER(tblData[NSW])),(tblData[[#This Row],[Au LogiP(t)]]-tblData[[#This Row],[Au]])^2,"")</f>
        <v/>
      </c>
      <c r="AH98">
        <f>IF(tblData[Date]&gt;StartDt2NSW,tblData[Date]-StartDt2NSW,"")</f>
        <v>192</v>
      </c>
      <c r="AI98" t="str">
        <f t="shared" si="14"/>
        <v/>
      </c>
      <c r="AJ98" s="11">
        <f>IF(tblData[Date]&gt;StartDt2NSW,betaNSW/(deltaNSW+betaPodeltaNSW*EXP(-betaNSW*tblData[[#This Row],[Day '# NSW]])),"")</f>
        <v>2724.7105763792151</v>
      </c>
      <c r="AK98" s="12" t="str">
        <f>IF(AND(ISNUMBER(tblData[NSW]),tblData[Date]&gt;StartDt2NSW),(tblData[[#This Row],[NSW LogiP(t)]]-tblData[[#This Row],[NSW]])^2,"")</f>
        <v/>
      </c>
      <c r="AL98" s="44">
        <f>IF(AND(tblData[Date]&gt;StartDt2NSW,ISNUMBER(tblData[Day'# Aust])),tblData[NSW LogiP(t)]/$AG$9,"")</f>
        <v>3372.1665549247709</v>
      </c>
      <c r="AM98" s="11">
        <f>IF(AND(tblData[Date]&gt;StartDt2Italy,ISNUMBER(tblData[Days'# Italy])),betaItaly/(deltaItaly+betaPodeltaItaly*EXP(-betaItaly*tblData[Days'# Italy])),"")</f>
        <v>55402.511466544696</v>
      </c>
      <c r="AN98" s="11" t="str">
        <f>IF(AND(tblData[Date]&gt;StartDt2Italy,ISNUMBER(tblData[Italy])),(tblData[[#This Row],[Italy LogiP(t)]]-tblData[[#This Row],[Italy]])^2,"")</f>
        <v/>
      </c>
      <c r="AO98" s="44">
        <f>IF(AND(tblData[Date]&gt;StartDt2Italy,ISNUMBER(tblData[Days'# Italy])),tblData[[#This Row],[Italy LogiP(t)]]/$AM$9,"")</f>
        <v>9165.0143038121914</v>
      </c>
      <c r="AP98" s="21">
        <f>IF(ISNUMBER(tblData[[#This Row],[Days'# US]]),betaUS/(deltaUS+betaPodeltaUS*EXP(-betaUS*tblData[Days'# US])),"")</f>
        <v>347695292.01456201</v>
      </c>
      <c r="AQ98" s="11" t="str">
        <f>IF(ISNUMBER(tblData[US]),(tblData[[#This Row],[US LogiP(t)]]-tblData[US])^2,"")</f>
        <v/>
      </c>
      <c r="AR98" s="21">
        <f>IF(ISNUMBER(tblData[[#This Row],[Days'# US]]),tblData[[#This Row],[US LogiP(t)]]/$AP$9,"")</f>
        <v>10560935.286862548</v>
      </c>
      <c r="AS98" s="21">
        <f>IF(tblData[Date]&gt;=StartDt2Korea,betaSKorea/(deltaSKorea+betaPodeltaSKorea*EXP(-betaSKorea*(tblData[Date]-StartDt2Korea))),"")</f>
        <v>8319.4112738168697</v>
      </c>
      <c r="AT98" s="21" t="str">
        <f>IF(AND(tblData[Date]&gt;=StartDt2Korea,ISNUMBER(tblData[SKorea])),(tblData[[#This Row],[SKorea LogiP(t)]]-tblData[[#This Row],[SKorea]])^2,"")</f>
        <v/>
      </c>
      <c r="AU98" s="21">
        <f>IF(tblData[Date]&gt;=StartDt2Korea,tblData[[#This Row],[SKorea LogiP(t)]]/$AS$9,"")</f>
        <v>1618.5625046336322</v>
      </c>
      <c r="AV98" s="85">
        <f>IF(ISNUMBER(tblData[Days'# UK]),betaUK/(deltaUK+betaPodeltaUK*EXP(-betaUK*tblData[Days'# UK])),"")</f>
        <v>230595240.38638902</v>
      </c>
      <c r="AW98" s="85" t="str">
        <f>IF(ISNUMBER(tblData[UK]),(tblData[[#This Row],[UK LogiP(t)]]-tblData[[#This Row],[UK]])^2,"")</f>
        <v/>
      </c>
      <c r="AX98" s="85">
        <f>IF(ISNUMBER(tblData[Days'# UK]),tblData[[#This Row],[UK LogiP(t)]]/$AV$9,"")</f>
        <v>34707290.846837603</v>
      </c>
      <c r="AY98" s="11">
        <f>IF(ISNUMBER(tblData[Days'# China]),betaChina/(deltaChina+betaPodeltaChina*EXP(-betaChina*tblData[Days'# China])),"")</f>
        <v>80951.32466268522</v>
      </c>
      <c r="AZ98" s="11" t="str">
        <f>IF(ISNUMBER(tblData[China]),(tblData[[#This Row],[China LogiP(t)]]-tblData[[#This Row],[China]])^2,"")</f>
        <v/>
      </c>
      <c r="BA98" s="11">
        <f>tblData[[#This Row],[China LogiP(t)]]/$AY$9</f>
        <v>562.4260921170611</v>
      </c>
      <c r="BB98" s="11"/>
      <c r="BC98" s="11"/>
      <c r="BD98" s="11" t="str">
        <f>IF(ISNUMBER(tblData[[#This Row],[NSW Number of Tests]]),tblData[[#This Row],[NSW Number of Tests]]-BB97,"")</f>
        <v/>
      </c>
      <c r="BE98" s="11" t="str">
        <f>IF(ISNUMBER(tblData[[#This Row],[NSW Under Investigation'']]),tblData[[#This Row],[NSW Under Investigation'']]-BC97,"")</f>
        <v/>
      </c>
      <c r="BF98" s="11"/>
      <c r="BG98" s="11" t="str">
        <f>IF(ISNUMBER(tblData[[#This Row],[NSW Test Day Number]]),betaTest/(deltaTest+betaPodeltaTest*EXP(-betaTest*tblData[[#This Row],[NSW Test Day Number]])),"")</f>
        <v/>
      </c>
      <c r="BH98" s="11" t="str">
        <f>IF(ISNUMBER(tblData[[#This Row],[NSW Number of Tests]]),(tblData[[#This Row],[NSW Number of Tests]]-tblData[[#This Row],[NSW Test Logi]])^2,"")</f>
        <v/>
      </c>
      <c r="BY98"/>
      <c r="BZ98"/>
      <c r="CJ98" s="26"/>
      <c r="CK98" s="26"/>
      <c r="DE98" s="26"/>
      <c r="DI98" s="26"/>
      <c r="DJ98" s="26"/>
      <c r="DK98" s="26"/>
      <c r="DL98" s="26"/>
      <c r="DM98" s="26"/>
      <c r="DN98" s="26"/>
      <c r="DO98" s="26"/>
      <c r="DP98" s="26"/>
      <c r="DQ98" s="26"/>
      <c r="DS98" s="26"/>
      <c r="DT98" s="26"/>
      <c r="DU98" s="26"/>
      <c r="DW98" s="26"/>
      <c r="DX98" s="26"/>
      <c r="DY98" s="26"/>
      <c r="DZ98" s="26"/>
      <c r="EA98" s="26"/>
      <c r="EB98" s="26"/>
      <c r="EC98" s="26"/>
      <c r="ED98" s="26"/>
      <c r="EE98" s="26"/>
      <c r="EF98" s="26"/>
      <c r="EG98" s="26"/>
    </row>
    <row r="99" spans="2:173" x14ac:dyDescent="0.25">
      <c r="B99" s="27">
        <f t="shared" si="12"/>
        <v>44054</v>
      </c>
      <c r="D99" s="26"/>
      <c r="L99" s="12" t="str">
        <f>IF(ISNUMBER(tblData[[#This Row],[NSW]]),tblData[[#This Row],[New South Wales]]/$L$9,"")</f>
        <v/>
      </c>
      <c r="M99" s="26"/>
      <c r="N99" s="49" t="str">
        <f>IF(ISNUMBER(tblData[Italy]),tblData[Italy]/$N$9,"")</f>
        <v/>
      </c>
      <c r="O99" s="26"/>
      <c r="P99" s="49" t="str">
        <f>IF(ISNUMBER(tblData[US]),tblData[US]/$P$9,"")</f>
        <v/>
      </c>
      <c r="Q99" s="49"/>
      <c r="R99" s="19" t="str">
        <f>IF(ISNUMBER(tblData[SKorea]),tblData[SKorea]/$R$9,"")</f>
        <v/>
      </c>
      <c r="S99" s="49"/>
      <c r="T99" s="12" t="str">
        <f>IF(ISNUMBER(tblData[UK]),tblData[UK]/$T$9,"")</f>
        <v/>
      </c>
      <c r="U99" s="26"/>
      <c r="V99" s="21" t="str">
        <f>IF(ISNUMBER(tblData[China]),tblData[China]/$V$9,"")</f>
        <v/>
      </c>
      <c r="W99" s="26">
        <f>IF(tblData[[#This Row],[Date]]&lt;ItalyStart,"",tblData[[#This Row],[Date]]-ItalyStart)</f>
        <v>194</v>
      </c>
      <c r="X99" s="26">
        <f t="shared" si="13"/>
        <v>184</v>
      </c>
      <c r="Y99" s="26">
        <f t="shared" si="11"/>
        <v>88</v>
      </c>
      <c r="Z99" s="26">
        <f>IF(tblData[[#This Row],[Date]]&lt;StartDt2Korea,"",tblData[[#This Row],[Date]]-StartDt2Korea)</f>
        <v>174</v>
      </c>
      <c r="AA99" s="26">
        <f>IF(tblData[[#This Row],[Date]]&lt;UKStart,"",tblData[[#This Row],[Date]]-UKStart)</f>
        <v>194</v>
      </c>
      <c r="AB99">
        <f>IF(tblData[Date]&gt;=StartDt2Au,tblData[Date]-StartDt2Au,"")</f>
        <v>199</v>
      </c>
      <c r="AC99" s="26" t="str">
        <f>IF(tblData[New South Wales]&gt;0,SUM(tblData[[#This Row],[Australian Capital Territory]:[Western Australia]]),"")</f>
        <v/>
      </c>
      <c r="AD99" s="12" t="str">
        <f>IF(ISNUMBER(tblData[Au]),tblData[Au]/$AA$9,"")</f>
        <v/>
      </c>
      <c r="AE99" s="44">
        <f>IF(ISNUMBER(tblData[[#This Row],[Day'# Aust]]),betaAu/(deltaAu+betaPodeltaAu*EXP(-betaAu*tblData[[#This Row],[Day'# Aust]])),"")</f>
        <v>206489307.36071849</v>
      </c>
      <c r="AF99" s="73">
        <f>IF(ISNUMBER(tblData[Day'# Aust]),tblData[Au LogiP(t)]/$AD$9,"")</f>
        <v>81410387.699384362</v>
      </c>
      <c r="AG99" s="11" t="str">
        <f>IF(AND(tblData[Date]&gt;=StartDt2Au,ISNUMBER(tblData[NSW])),(tblData[[#This Row],[Au LogiP(t)]]-tblData[[#This Row],[Au]])^2,"")</f>
        <v/>
      </c>
      <c r="AH99">
        <f>IF(tblData[Date]&gt;StartDt2NSW,tblData[Date]-StartDt2NSW,"")</f>
        <v>199</v>
      </c>
      <c r="AI99" t="str">
        <f t="shared" si="14"/>
        <v/>
      </c>
      <c r="AJ99" s="11">
        <f>IF(tblData[Date]&gt;StartDt2NSW,betaNSW/(deltaNSW+betaPodeltaNSW*EXP(-betaNSW*tblData[[#This Row],[Day '# NSW]])),"")</f>
        <v>2724.7105763838908</v>
      </c>
      <c r="AK99" s="12" t="str">
        <f>IF(AND(ISNUMBER(tblData[NSW]),tblData[Date]&gt;StartDt2NSW),(tblData[[#This Row],[NSW LogiP(t)]]-tblData[[#This Row],[NSW]])^2,"")</f>
        <v/>
      </c>
      <c r="AL99" s="44">
        <f>IF(AND(tblData[Date]&gt;StartDt2NSW,ISNUMBER(tblData[Day'# Aust])),tblData[NSW LogiP(t)]/$AG$9,"")</f>
        <v>3372.1665549305576</v>
      </c>
      <c r="AM99" s="11">
        <f>IF(AND(tblData[Date]&gt;StartDt2Italy,ISNUMBER(tblData[Days'# Italy])),betaItaly/(deltaItaly+betaPodeltaItaly*EXP(-betaItaly*tblData[Days'# Italy])),"")</f>
        <v>55402.511466544704</v>
      </c>
      <c r="AN99" s="11" t="str">
        <f>IF(AND(tblData[Date]&gt;StartDt2Italy,ISNUMBER(tblData[Italy])),(tblData[[#This Row],[Italy LogiP(t)]]-tblData[[#This Row],[Italy]])^2,"")</f>
        <v/>
      </c>
      <c r="AO99" s="44">
        <f>IF(AND(tblData[Date]&gt;StartDt2Italy,ISNUMBER(tblData[Days'# Italy])),tblData[[#This Row],[Italy LogiP(t)]]/$AM$9,"")</f>
        <v>9165.0143038121932</v>
      </c>
      <c r="AP99" s="21">
        <f>IF(ISNUMBER(tblData[[#This Row],[Days'# US]]),betaUS/(deltaUS+betaPodeltaUS*EXP(-betaUS*tblData[Days'# US])),"")</f>
        <v>347695292.01456201</v>
      </c>
      <c r="AQ99" s="11" t="str">
        <f>IF(ISNUMBER(tblData[US]),(tblData[[#This Row],[US LogiP(t)]]-tblData[US])^2,"")</f>
        <v/>
      </c>
      <c r="AR99" s="21">
        <f>IF(ISNUMBER(tblData[[#This Row],[Days'# US]]),tblData[[#This Row],[US LogiP(t)]]/$AP$9,"")</f>
        <v>10560935.286862548</v>
      </c>
      <c r="AS99" s="21">
        <f>IF(tblData[Date]&gt;=StartDt2Korea,betaSKorea/(deltaSKorea+betaPodeltaSKorea*EXP(-betaSKorea*(tblData[Date]-StartDt2Korea))),"")</f>
        <v>8319.4112738168697</v>
      </c>
      <c r="AT99" s="21" t="str">
        <f>IF(AND(tblData[Date]&gt;=StartDt2Korea,ISNUMBER(tblData[SKorea])),(tblData[[#This Row],[SKorea LogiP(t)]]-tblData[[#This Row],[SKorea]])^2,"")</f>
        <v/>
      </c>
      <c r="AU99" s="21">
        <f>IF(tblData[Date]&gt;=StartDt2Korea,tblData[[#This Row],[SKorea LogiP(t)]]/$AS$9,"")</f>
        <v>1618.5625046336322</v>
      </c>
      <c r="AV99" s="85">
        <f>IF(ISNUMBER(tblData[Days'# UK]),betaUK/(deltaUK+betaPodeltaUK*EXP(-betaUK*tblData[Days'# UK])),"")</f>
        <v>230595240.59597614</v>
      </c>
      <c r="AW99" s="85" t="str">
        <f>IF(ISNUMBER(tblData[UK]),(tblData[[#This Row],[UK LogiP(t)]]-tblData[[#This Row],[UK]])^2,"")</f>
        <v/>
      </c>
      <c r="AX99" s="85">
        <f>IF(ISNUMBER(tblData[Days'# UK]),tblData[[#This Row],[UK LogiP(t)]]/$AV$9,"")</f>
        <v>34707290.878382921</v>
      </c>
      <c r="AY99" s="11">
        <f>IF(ISNUMBER(tblData[Days'# China]),betaChina/(deltaChina+betaPodeltaChina*EXP(-betaChina*tblData[Days'# China])),"")</f>
        <v>80951.328029218188</v>
      </c>
      <c r="AZ99" s="11" t="str">
        <f>IF(ISNUMBER(tblData[China]),(tblData[[#This Row],[China LogiP(t)]]-tblData[[#This Row],[China]])^2,"")</f>
        <v/>
      </c>
      <c r="BA99" s="11">
        <f>tblData[[#This Row],[China LogiP(t)]]/$AY$9</f>
        <v>562.4261155067461</v>
      </c>
      <c r="BB99" s="11"/>
      <c r="BC99" s="11"/>
      <c r="BD99" s="11" t="str">
        <f>IF(ISNUMBER(tblData[[#This Row],[NSW Number of Tests]]),tblData[[#This Row],[NSW Number of Tests]]-BB98,"")</f>
        <v/>
      </c>
      <c r="BE99" s="11" t="str">
        <f>IF(ISNUMBER(tblData[[#This Row],[NSW Under Investigation'']]),tblData[[#This Row],[NSW Under Investigation'']]-BC98,"")</f>
        <v/>
      </c>
      <c r="BF99" s="11"/>
      <c r="BG99" s="11" t="str">
        <f>IF(ISNUMBER(tblData[[#This Row],[NSW Test Day Number]]),betaTest/(deltaTest+betaPodeltaTest*EXP(-betaTest*tblData[[#This Row],[NSW Test Day Number]])),"")</f>
        <v/>
      </c>
      <c r="BH99" s="11" t="str">
        <f>IF(ISNUMBER(tblData[[#This Row],[NSW Number of Tests]]),(tblData[[#This Row],[NSW Number of Tests]]-tblData[[#This Row],[NSW Test Logi]])^2,"")</f>
        <v/>
      </c>
      <c r="BY99"/>
      <c r="BZ99"/>
      <c r="CJ99" s="26"/>
      <c r="CK99" s="26"/>
      <c r="DE99" s="26"/>
      <c r="DI99" s="26"/>
      <c r="DJ99" s="26"/>
      <c r="DK99" s="26"/>
      <c r="DL99" s="26"/>
      <c r="DM99" s="26"/>
      <c r="DN99" s="26"/>
      <c r="DO99" s="26"/>
      <c r="DP99" s="26"/>
      <c r="DQ99" s="26"/>
      <c r="DS99" s="26"/>
      <c r="DT99" s="26"/>
      <c r="DU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</row>
    <row r="100" spans="2:173" x14ac:dyDescent="0.25">
      <c r="B100" s="27">
        <f t="shared" si="12"/>
        <v>44061</v>
      </c>
      <c r="D100" s="26"/>
      <c r="L100" s="12" t="str">
        <f>IF(ISNUMBER(tblData[[#This Row],[NSW]]),tblData[[#This Row],[New South Wales]]/$L$9,"")</f>
        <v/>
      </c>
      <c r="M100" s="26"/>
      <c r="N100" s="49" t="str">
        <f>IF(ISNUMBER(tblData[Italy]),tblData[Italy]/$N$9,"")</f>
        <v/>
      </c>
      <c r="O100" s="26"/>
      <c r="P100" s="49" t="str">
        <f>IF(ISNUMBER(tblData[US]),tblData[US]/$P$9,"")</f>
        <v/>
      </c>
      <c r="Q100" s="49"/>
      <c r="R100" s="19" t="str">
        <f>IF(ISNUMBER(tblData[SKorea]),tblData[SKorea]/$R$9,"")</f>
        <v/>
      </c>
      <c r="S100" s="49"/>
      <c r="T100" s="12" t="str">
        <f>IF(ISNUMBER(tblData[UK]),tblData[UK]/$T$9,"")</f>
        <v/>
      </c>
      <c r="U100" s="26"/>
      <c r="V100" s="21" t="str">
        <f>IF(ISNUMBER(tblData[China]),tblData[China]/$V$9,"")</f>
        <v/>
      </c>
      <c r="W100" s="26">
        <f>IF(tblData[[#This Row],[Date]]&lt;ItalyStart,"",tblData[[#This Row],[Date]]-ItalyStart)</f>
        <v>201</v>
      </c>
      <c r="X100" s="26">
        <f t="shared" si="13"/>
        <v>191</v>
      </c>
      <c r="Y100" s="26">
        <f t="shared" si="11"/>
        <v>89</v>
      </c>
      <c r="Z100" s="26">
        <f>IF(tblData[[#This Row],[Date]]&lt;StartDt2Korea,"",tblData[[#This Row],[Date]]-StartDt2Korea)</f>
        <v>181</v>
      </c>
      <c r="AA100" s="26">
        <f>IF(tblData[[#This Row],[Date]]&lt;UKStart,"",tblData[[#This Row],[Date]]-UKStart)</f>
        <v>201</v>
      </c>
      <c r="AB100">
        <f>IF(tblData[Date]&gt;=StartDt2Au,tblData[Date]-StartDt2Au,"")</f>
        <v>206</v>
      </c>
      <c r="AC100" s="26" t="str">
        <f>IF(tblData[New South Wales]&gt;0,SUM(tblData[[#This Row],[Australian Capital Territory]:[Western Australia]]),"")</f>
        <v/>
      </c>
      <c r="AD100" s="12" t="str">
        <f>IF(ISNUMBER(tblData[Au]),tblData[Au]/$AA$9,"")</f>
        <v/>
      </c>
      <c r="AE100" s="44">
        <f>IF(ISNUMBER(tblData[[#This Row],[Day'# Aust]]),betaAu/(deltaAu+betaPodeltaAu*EXP(-betaAu*tblData[[#This Row],[Day'# Aust]])),"")</f>
        <v>206489311.94062024</v>
      </c>
      <c r="AF100" s="73">
        <f>IF(ISNUMBER(tblData[Day'# Aust]),tblData[Au LogiP(t)]/$AD$9,"")</f>
        <v>81410389.505054504</v>
      </c>
      <c r="AG100" s="11" t="str">
        <f>IF(AND(tblData[Date]&gt;=StartDt2Au,ISNUMBER(tblData[NSW])),(tblData[[#This Row],[Au LogiP(t)]]-tblData[[#This Row],[Au]])^2,"")</f>
        <v/>
      </c>
      <c r="AH100">
        <f>IF(tblData[Date]&gt;StartDt2NSW,tblData[Date]-StartDt2NSW,"")</f>
        <v>206</v>
      </c>
      <c r="AI100" t="str">
        <f t="shared" si="14"/>
        <v/>
      </c>
      <c r="AJ100" s="11">
        <f>IF(tblData[Date]&gt;StartDt2NSW,betaNSW/(deltaNSW+betaPodeltaNSW*EXP(-betaNSW*tblData[[#This Row],[Day '# NSW]])),"")</f>
        <v>2724.7105763849709</v>
      </c>
      <c r="AK100" s="12" t="str">
        <f>IF(AND(ISNUMBER(tblData[NSW]),tblData[Date]&gt;StartDt2NSW),(tblData[[#This Row],[NSW LogiP(t)]]-tblData[[#This Row],[NSW]])^2,"")</f>
        <v/>
      </c>
      <c r="AL100" s="44">
        <f>IF(AND(tblData[Date]&gt;StartDt2NSW,ISNUMBER(tblData[Day'# Aust])),tblData[NSW LogiP(t)]/$AG$9,"")</f>
        <v>3372.1665549318946</v>
      </c>
      <c r="AM100" s="11">
        <f>IF(AND(tblData[Date]&gt;StartDt2Italy,ISNUMBER(tblData[Days'# Italy])),betaItaly/(deltaItaly+betaPodeltaItaly*EXP(-betaItaly*tblData[Days'# Italy])),"")</f>
        <v>55402.511466544704</v>
      </c>
      <c r="AN100" s="11" t="str">
        <f>IF(AND(tblData[Date]&gt;StartDt2Italy,ISNUMBER(tblData[Italy])),(tblData[[#This Row],[Italy LogiP(t)]]-tblData[[#This Row],[Italy]])^2,"")</f>
        <v/>
      </c>
      <c r="AO100" s="44">
        <f>IF(AND(tblData[Date]&gt;StartDt2Italy,ISNUMBER(tblData[Days'# Italy])),tblData[[#This Row],[Italy LogiP(t)]]/$AM$9,"")</f>
        <v>9165.0143038121932</v>
      </c>
      <c r="AP100" s="21">
        <f>IF(ISNUMBER(tblData[[#This Row],[Days'# US]]),betaUS/(deltaUS+betaPodeltaUS*EXP(-betaUS*tblData[Days'# US])),"")</f>
        <v>347695292.01456201</v>
      </c>
      <c r="AQ100" s="11" t="str">
        <f>IF(ISNUMBER(tblData[US]),(tblData[[#This Row],[US LogiP(t)]]-tblData[US])^2,"")</f>
        <v/>
      </c>
      <c r="AR100" s="21">
        <f>IF(ISNUMBER(tblData[[#This Row],[Days'# US]]),tblData[[#This Row],[US LogiP(t)]]/$AP$9,"")</f>
        <v>10560935.286862548</v>
      </c>
      <c r="AS100" s="21">
        <f>IF(tblData[Date]&gt;=StartDt2Korea,betaSKorea/(deltaSKorea+betaPodeltaSKorea*EXP(-betaSKorea*(tblData[Date]-StartDt2Korea))),"")</f>
        <v>8319.4112738168697</v>
      </c>
      <c r="AT100" s="21" t="str">
        <f>IF(AND(tblData[Date]&gt;=StartDt2Korea,ISNUMBER(tblData[SKorea])),(tblData[[#This Row],[SKorea LogiP(t)]]-tblData[[#This Row],[SKorea]])^2,"")</f>
        <v/>
      </c>
      <c r="AU100" s="21">
        <f>IF(tblData[Date]&gt;=StartDt2Korea,tblData[[#This Row],[SKorea LogiP(t)]]/$AS$9,"")</f>
        <v>1618.5625046336322</v>
      </c>
      <c r="AV100" s="85">
        <f>IF(ISNUMBER(tblData[Days'# UK]),betaUK/(deltaUK+betaPodeltaUK*EXP(-betaUK*tblData[Days'# UK])),"")</f>
        <v>230595240.63769579</v>
      </c>
      <c r="AW100" s="85" t="str">
        <f>IF(ISNUMBER(tblData[UK]),(tblData[[#This Row],[UK LogiP(t)]]-tblData[[#This Row],[UK]])^2,"")</f>
        <v/>
      </c>
      <c r="AX100" s="85">
        <f>IF(ISNUMBER(tblData[Days'# UK]),tblData[[#This Row],[UK LogiP(t)]]/$AV$9,"")</f>
        <v>34707290.884662218</v>
      </c>
      <c r="AY100" s="11">
        <f>IF(ISNUMBER(tblData[Days'# China]),betaChina/(deltaChina+betaPodeltaChina*EXP(-betaChina*tblData[Days'# China])),"")</f>
        <v>80951.330725140855</v>
      </c>
      <c r="AZ100" s="11" t="str">
        <f>IF(ISNUMBER(tblData[China]),(tblData[[#This Row],[China LogiP(t)]]-tblData[[#This Row],[China]])^2,"")</f>
        <v/>
      </c>
      <c r="BA100" s="11">
        <f>tblData[[#This Row],[China LogiP(t)]]/$AY$9</f>
        <v>562.42613423722707</v>
      </c>
      <c r="BB100" s="11"/>
      <c r="BC100" s="11"/>
      <c r="BD100" s="11" t="str">
        <f>IF(ISNUMBER(tblData[[#This Row],[NSW Number of Tests]]),tblData[[#This Row],[NSW Number of Tests]]-BB99,"")</f>
        <v/>
      </c>
      <c r="BE100" s="11" t="str">
        <f>IF(ISNUMBER(tblData[[#This Row],[NSW Under Investigation'']]),tblData[[#This Row],[NSW Under Investigation'']]-BC99,"")</f>
        <v/>
      </c>
      <c r="BF100" s="11"/>
      <c r="BG100" s="11" t="str">
        <f>IF(ISNUMBER(tblData[[#This Row],[NSW Test Day Number]]),betaTest/(deltaTest+betaPodeltaTest*EXP(-betaTest*tblData[[#This Row],[NSW Test Day Number]])),"")</f>
        <v/>
      </c>
      <c r="BH100" s="11" t="str">
        <f>IF(ISNUMBER(tblData[[#This Row],[NSW Number of Tests]]),(tblData[[#This Row],[NSW Number of Tests]]-tblData[[#This Row],[NSW Test Logi]])^2,"")</f>
        <v/>
      </c>
      <c r="BY100"/>
      <c r="BZ100"/>
      <c r="CJ100" s="26"/>
      <c r="CK100" s="26"/>
      <c r="DE100" s="26"/>
      <c r="DI100" s="26"/>
      <c r="DJ100" s="26"/>
      <c r="DK100" s="26"/>
      <c r="DL100" s="26"/>
      <c r="DM100" s="26"/>
      <c r="DN100" s="26"/>
      <c r="DO100" s="26"/>
      <c r="DP100" s="26"/>
      <c r="DQ100" s="26"/>
      <c r="DS100" s="26"/>
      <c r="DT100" s="26"/>
      <c r="DU100" s="26"/>
      <c r="DW100" s="26"/>
      <c r="DX100" s="26"/>
      <c r="DY100" s="26"/>
      <c r="DZ100" s="26"/>
      <c r="EA100" s="26"/>
      <c r="EB100" s="26"/>
      <c r="EC100" s="26"/>
      <c r="ED100" s="26"/>
      <c r="EE100" s="26"/>
      <c r="EF100" s="26"/>
      <c r="EG100" s="26"/>
    </row>
    <row r="101" spans="2:173" x14ac:dyDescent="0.25">
      <c r="B101" s="27">
        <f t="shared" si="12"/>
        <v>44068</v>
      </c>
      <c r="D101" s="26"/>
      <c r="L101" s="12" t="str">
        <f>IF(ISNUMBER(tblData[[#This Row],[NSW]]),tblData[[#This Row],[New South Wales]]/$L$9,"")</f>
        <v/>
      </c>
      <c r="M101" s="26"/>
      <c r="N101" s="49" t="str">
        <f>IF(ISNUMBER(tblData[Italy]),tblData[Italy]/$N$9,"")</f>
        <v/>
      </c>
      <c r="O101" s="26"/>
      <c r="P101" s="49" t="str">
        <f>IF(ISNUMBER(tblData[US]),tblData[US]/$P$9,"")</f>
        <v/>
      </c>
      <c r="Q101" s="49"/>
      <c r="R101" s="19" t="str">
        <f>IF(ISNUMBER(tblData[SKorea]),tblData[SKorea]/$R$9,"")</f>
        <v/>
      </c>
      <c r="S101" s="49"/>
      <c r="T101" s="12" t="str">
        <f>IF(ISNUMBER(tblData[UK]),tblData[UK]/$T$9,"")</f>
        <v/>
      </c>
      <c r="U101" s="26"/>
      <c r="V101" s="21" t="str">
        <f>IF(ISNUMBER(tblData[China]),tblData[China]/$V$9,"")</f>
        <v/>
      </c>
      <c r="W101" s="26">
        <f>IF(tblData[[#This Row],[Date]]&lt;ItalyStart,"",tblData[[#This Row],[Date]]-ItalyStart)</f>
        <v>208</v>
      </c>
      <c r="X101" s="26">
        <f t="shared" si="13"/>
        <v>198</v>
      </c>
      <c r="Y101" s="26">
        <f t="shared" si="11"/>
        <v>90</v>
      </c>
      <c r="Z101" s="26">
        <f>IF(tblData[[#This Row],[Date]]&lt;StartDt2Korea,"",tblData[[#This Row],[Date]]-StartDt2Korea)</f>
        <v>188</v>
      </c>
      <c r="AA101" s="26">
        <f>IF(tblData[[#This Row],[Date]]&lt;UKStart,"",tblData[[#This Row],[Date]]-UKStart)</f>
        <v>208</v>
      </c>
      <c r="AB101">
        <f>IF(tblData[Date]&gt;=StartDt2Au,tblData[Date]-StartDt2Au,"")</f>
        <v>213</v>
      </c>
      <c r="AC101" s="26" t="str">
        <f>IF(tblData[New South Wales]&gt;0,SUM(tblData[[#This Row],[Australian Capital Territory]:[Western Australia]]),"")</f>
        <v/>
      </c>
      <c r="AD101" s="12" t="str">
        <f>IF(ISNUMBER(tblData[Au]),tblData[Au]/$AA$9,"")</f>
        <v/>
      </c>
      <c r="AE101" s="44">
        <f>IF(ISNUMBER(tblData[[#This Row],[Day'# Aust]]),betaAu/(deltaAu+betaPodeltaAu*EXP(-betaAu*tblData[[#This Row],[Day'# Aust]])),"")</f>
        <v>206489313.01985517</v>
      </c>
      <c r="AF101" s="73">
        <f>IF(ISNUMBER(tblData[Day'# Aust]),tblData[Au LogiP(t)]/$AD$9,"")</f>
        <v>81410389.930553213</v>
      </c>
      <c r="AG101" s="11" t="str">
        <f>IF(AND(tblData[Date]&gt;=StartDt2Au,ISNUMBER(tblData[NSW])),(tblData[[#This Row],[Au LogiP(t)]]-tblData[[#This Row],[Au]])^2,"")</f>
        <v/>
      </c>
      <c r="AH101">
        <f>IF(tblData[Date]&gt;StartDt2NSW,tblData[Date]-StartDt2NSW,"")</f>
        <v>213</v>
      </c>
      <c r="AI101" t="str">
        <f t="shared" si="14"/>
        <v/>
      </c>
      <c r="AJ101" s="11">
        <f>IF(tblData[Date]&gt;StartDt2NSW,betaNSW/(deltaNSW+betaPodeltaNSW*EXP(-betaNSW*tblData[[#This Row],[Day '# NSW]])),"")</f>
        <v>2724.7105763852201</v>
      </c>
      <c r="AK101" s="12" t="str">
        <f>IF(AND(ISNUMBER(tblData[NSW]),tblData[Date]&gt;StartDt2NSW),(tblData[[#This Row],[NSW LogiP(t)]]-tblData[[#This Row],[NSW]])^2,"")</f>
        <v/>
      </c>
      <c r="AL101" s="44">
        <f>IF(AND(tblData[Date]&gt;StartDt2NSW,ISNUMBER(tblData[Day'# Aust])),tblData[NSW LogiP(t)]/$AG$9,"")</f>
        <v>3372.1665549322029</v>
      </c>
      <c r="AM101" s="11">
        <f>IF(AND(tblData[Date]&gt;StartDt2Italy,ISNUMBER(tblData[Days'# Italy])),betaItaly/(deltaItaly+betaPodeltaItaly*EXP(-betaItaly*tblData[Days'# Italy])),"")</f>
        <v>55402.511466544704</v>
      </c>
      <c r="AN101" s="11" t="str">
        <f>IF(AND(tblData[Date]&gt;StartDt2Italy,ISNUMBER(tblData[Italy])),(tblData[[#This Row],[Italy LogiP(t)]]-tblData[[#This Row],[Italy]])^2,"")</f>
        <v/>
      </c>
      <c r="AO101" s="44">
        <f>IF(AND(tblData[Date]&gt;StartDt2Italy,ISNUMBER(tblData[Days'# Italy])),tblData[[#This Row],[Italy LogiP(t)]]/$AM$9,"")</f>
        <v>9165.0143038121932</v>
      </c>
      <c r="AP101" s="21">
        <f>IF(ISNUMBER(tblData[[#This Row],[Days'# US]]),betaUS/(deltaUS+betaPodeltaUS*EXP(-betaUS*tblData[Days'# US])),"")</f>
        <v>347695292.01456201</v>
      </c>
      <c r="AQ101" s="11" t="str">
        <f>IF(ISNUMBER(tblData[US]),(tblData[[#This Row],[US LogiP(t)]]-tblData[US])^2,"")</f>
        <v/>
      </c>
      <c r="AR101" s="21">
        <f>IF(ISNUMBER(tblData[[#This Row],[Days'# US]]),tblData[[#This Row],[US LogiP(t)]]/$AP$9,"")</f>
        <v>10560935.286862548</v>
      </c>
      <c r="AS101" s="21">
        <f>IF(tblData[Date]&gt;=StartDt2Korea,betaSKorea/(deltaSKorea+betaPodeltaSKorea*EXP(-betaSKorea*(tblData[Date]-StartDt2Korea))),"")</f>
        <v>8319.4112738168697</v>
      </c>
      <c r="AT101" s="21" t="str">
        <f>IF(AND(tblData[Date]&gt;=StartDt2Korea,ISNUMBER(tblData[SKorea])),(tblData[[#This Row],[SKorea LogiP(t)]]-tblData[[#This Row],[SKorea]])^2,"")</f>
        <v/>
      </c>
      <c r="AU101" s="21">
        <f>IF(tblData[Date]&gt;=StartDt2Korea,tblData[[#This Row],[SKorea LogiP(t)]]/$AS$9,"")</f>
        <v>1618.5625046336322</v>
      </c>
      <c r="AV101" s="85">
        <f>IF(ISNUMBER(tblData[Days'# UK]),betaUK/(deltaUK+betaPodeltaUK*EXP(-betaUK*tblData[Days'# UK])),"")</f>
        <v>230595240.64600042</v>
      </c>
      <c r="AW101" s="85" t="str">
        <f>IF(ISNUMBER(tblData[UK]),(tblData[[#This Row],[UK LogiP(t)]]-tblData[[#This Row],[UK]])^2,"")</f>
        <v/>
      </c>
      <c r="AX101" s="85">
        <f>IF(ISNUMBER(tblData[Days'# UK]),tblData[[#This Row],[UK LogiP(t)]]/$AV$9,"")</f>
        <v>34707290.885912165</v>
      </c>
      <c r="AY101" s="11">
        <f>IF(ISNUMBER(tblData[Days'# China]),betaChina/(deltaChina+betaPodeltaChina*EXP(-betaChina*tblData[Days'# China])),"")</f>
        <v>80951.332884038115</v>
      </c>
      <c r="AZ101" s="11" t="str">
        <f>IF(ISNUMBER(tblData[China]),(tblData[[#This Row],[China LogiP(t)]]-tblData[[#This Row],[China]])^2,"")</f>
        <v/>
      </c>
      <c r="BA101" s="11">
        <f>tblData[[#This Row],[China LogiP(t)]]/$AY$9</f>
        <v>562.4261492366129</v>
      </c>
      <c r="BB101" s="11"/>
      <c r="BC101" s="11"/>
      <c r="BD101" s="11" t="str">
        <f>IF(ISNUMBER(tblData[[#This Row],[NSW Number of Tests]]),tblData[[#This Row],[NSW Number of Tests]]-BB100,"")</f>
        <v/>
      </c>
      <c r="BE101" s="11" t="str">
        <f>IF(ISNUMBER(tblData[[#This Row],[NSW Under Investigation'']]),tblData[[#This Row],[NSW Under Investigation'']]-BC100,"")</f>
        <v/>
      </c>
      <c r="BF101" s="11"/>
      <c r="BG101" s="11" t="str">
        <f>IF(ISNUMBER(tblData[[#This Row],[NSW Test Day Number]]),betaTest/(deltaTest+betaPodeltaTest*EXP(-betaTest*tblData[[#This Row],[NSW Test Day Number]])),"")</f>
        <v/>
      </c>
      <c r="BH101" s="11" t="str">
        <f>IF(ISNUMBER(tblData[[#This Row],[NSW Number of Tests]]),(tblData[[#This Row],[NSW Number of Tests]]-tblData[[#This Row],[NSW Test Logi]])^2,"")</f>
        <v/>
      </c>
      <c r="BY101"/>
      <c r="BZ101"/>
      <c r="CJ101" s="26"/>
      <c r="CK101" s="26"/>
      <c r="DE101" s="26"/>
      <c r="DI101" s="26"/>
      <c r="DJ101" s="26"/>
      <c r="DK101" s="26"/>
      <c r="DL101" s="26"/>
      <c r="DM101" s="26"/>
      <c r="DN101" s="26"/>
      <c r="DO101" s="26"/>
      <c r="DP101" s="26"/>
      <c r="DQ101" s="26"/>
      <c r="DS101" s="26"/>
      <c r="DT101" s="26"/>
      <c r="DU101" s="26"/>
      <c r="DW101" s="26"/>
      <c r="DX101" s="26"/>
      <c r="DY101" s="26"/>
      <c r="DZ101" s="26"/>
      <c r="EA101" s="26"/>
      <c r="EB101" s="26"/>
      <c r="EC101" s="26"/>
      <c r="ED101" s="26"/>
      <c r="EE101" s="26"/>
      <c r="EF101" s="26"/>
      <c r="EG101" s="26"/>
    </row>
    <row r="102" spans="2:173" x14ac:dyDescent="0.25">
      <c r="B102" s="27">
        <f t="shared" si="12"/>
        <v>44075</v>
      </c>
      <c r="D102" s="26"/>
      <c r="L102" s="12" t="str">
        <f>IF(ISNUMBER(tblData[[#This Row],[NSW]]),tblData[[#This Row],[New South Wales]]/$L$9,"")</f>
        <v/>
      </c>
      <c r="M102" s="26"/>
      <c r="N102" s="49" t="str">
        <f>IF(ISNUMBER(tblData[Italy]),tblData[Italy]/$N$9,"")</f>
        <v/>
      </c>
      <c r="O102" s="26"/>
      <c r="P102" s="49" t="str">
        <f>IF(ISNUMBER(tblData[US]),tblData[US]/$P$9,"")</f>
        <v/>
      </c>
      <c r="Q102" s="49"/>
      <c r="R102" s="19" t="str">
        <f>IF(ISNUMBER(tblData[SKorea]),tblData[SKorea]/$R$9,"")</f>
        <v/>
      </c>
      <c r="S102" s="49"/>
      <c r="T102" s="12" t="str">
        <f>IF(ISNUMBER(tblData[UK]),tblData[UK]/$T$9,"")</f>
        <v/>
      </c>
      <c r="U102" s="26"/>
      <c r="V102" s="21" t="str">
        <f>IF(ISNUMBER(tblData[China]),tblData[China]/$V$9,"")</f>
        <v/>
      </c>
      <c r="W102" s="26">
        <f>IF(tblData[[#This Row],[Date]]&lt;ItalyStart,"",tblData[[#This Row],[Date]]-ItalyStart)</f>
        <v>215</v>
      </c>
      <c r="X102" s="26">
        <f t="shared" si="13"/>
        <v>205</v>
      </c>
      <c r="Y102" s="26">
        <f t="shared" si="11"/>
        <v>91</v>
      </c>
      <c r="Z102" s="26">
        <f>IF(tblData[[#This Row],[Date]]&lt;StartDt2Korea,"",tblData[[#This Row],[Date]]-StartDt2Korea)</f>
        <v>195</v>
      </c>
      <c r="AA102" s="26">
        <f>IF(tblData[[#This Row],[Date]]&lt;UKStart,"",tblData[[#This Row],[Date]]-UKStart)</f>
        <v>215</v>
      </c>
      <c r="AB102">
        <f>IF(tblData[Date]&gt;=StartDt2Au,tblData[Date]-StartDt2Au,"")</f>
        <v>220</v>
      </c>
      <c r="AC102" s="26" t="str">
        <f>IF(tblData[New South Wales]&gt;0,SUM(tblData[[#This Row],[Australian Capital Territory]:[Western Australia]]),"")</f>
        <v/>
      </c>
      <c r="AD102" s="12" t="str">
        <f>IF(ISNUMBER(tblData[Au]),tblData[Au]/$AA$9,"")</f>
        <v/>
      </c>
      <c r="AE102" s="44">
        <f>IF(ISNUMBER(tblData[[#This Row],[Day'# Aust]]),betaAu/(deltaAu+betaPodeltaAu*EXP(-betaAu*tblData[[#This Row],[Day'# Aust]])),"")</f>
        <v>206489313.27417243</v>
      </c>
      <c r="AF102" s="73">
        <f>IF(ISNUMBER(tblData[Day'# Aust]),tblData[Au LogiP(t)]/$AD$9,"")</f>
        <v>81410390.030820221</v>
      </c>
      <c r="AG102" s="11" t="str">
        <f>IF(AND(tblData[Date]&gt;=StartDt2Au,ISNUMBER(tblData[NSW])),(tblData[[#This Row],[Au LogiP(t)]]-tblData[[#This Row],[Au]])^2,"")</f>
        <v/>
      </c>
      <c r="AH102">
        <f>IF(tblData[Date]&gt;StartDt2NSW,tblData[Date]-StartDt2NSW,"")</f>
        <v>220</v>
      </c>
      <c r="AI102" t="str">
        <f t="shared" si="14"/>
        <v/>
      </c>
      <c r="AJ102" s="11">
        <f>IF(tblData[Date]&gt;StartDt2NSW,betaNSW/(deltaNSW+betaPodeltaNSW*EXP(-betaNSW*tblData[[#This Row],[Day '# NSW]])),"")</f>
        <v>2724.7105763852778</v>
      </c>
      <c r="AK102" s="12" t="str">
        <f>IF(AND(ISNUMBER(tblData[NSW]),tblData[Date]&gt;StartDt2NSW),(tblData[[#This Row],[NSW LogiP(t)]]-tblData[[#This Row],[NSW]])^2,"")</f>
        <v/>
      </c>
      <c r="AL102" s="44">
        <f>IF(AND(tblData[Date]&gt;StartDt2NSW,ISNUMBER(tblData[Day'# Aust])),tblData[NSW LogiP(t)]/$AG$9,"")</f>
        <v>3372.1665549322743</v>
      </c>
      <c r="AM102" s="11">
        <f>IF(AND(tblData[Date]&gt;StartDt2Italy,ISNUMBER(tblData[Days'# Italy])),betaItaly/(deltaItaly+betaPodeltaItaly*EXP(-betaItaly*tblData[Days'# Italy])),"")</f>
        <v>55402.511466544704</v>
      </c>
      <c r="AN102" s="11" t="str">
        <f>IF(AND(tblData[Date]&gt;StartDt2Italy,ISNUMBER(tblData[Italy])),(tblData[[#This Row],[Italy LogiP(t)]]-tblData[[#This Row],[Italy]])^2,"")</f>
        <v/>
      </c>
      <c r="AO102" s="44">
        <f>IF(AND(tblData[Date]&gt;StartDt2Italy,ISNUMBER(tblData[Days'# Italy])),tblData[[#This Row],[Italy LogiP(t)]]/$AM$9,"")</f>
        <v>9165.0143038121932</v>
      </c>
      <c r="AP102" s="21">
        <f>IF(ISNUMBER(tblData[[#This Row],[Days'# US]]),betaUS/(deltaUS+betaPodeltaUS*EXP(-betaUS*tblData[Days'# US])),"")</f>
        <v>347695292.01456201</v>
      </c>
      <c r="AQ102" s="11" t="str">
        <f>IF(ISNUMBER(tblData[US]),(tblData[[#This Row],[US LogiP(t)]]-tblData[US])^2,"")</f>
        <v/>
      </c>
      <c r="AR102" s="21">
        <f>IF(ISNUMBER(tblData[[#This Row],[Days'# US]]),tblData[[#This Row],[US LogiP(t)]]/$AP$9,"")</f>
        <v>10560935.286862548</v>
      </c>
      <c r="AS102" s="21">
        <f>IF(tblData[Date]&gt;=StartDt2Korea,betaSKorea/(deltaSKorea+betaPodeltaSKorea*EXP(-betaSKorea*(tblData[Date]-StartDt2Korea))),"")</f>
        <v>8319.4112738168697</v>
      </c>
      <c r="AT102" s="21" t="str">
        <f>IF(AND(tblData[Date]&gt;=StartDt2Korea,ISNUMBER(tblData[SKorea])),(tblData[[#This Row],[SKorea LogiP(t)]]-tblData[[#This Row],[SKorea]])^2,"")</f>
        <v/>
      </c>
      <c r="AU102" s="21">
        <f>IF(tblData[Date]&gt;=StartDt2Korea,tblData[[#This Row],[SKorea LogiP(t)]]/$AS$9,"")</f>
        <v>1618.5625046336322</v>
      </c>
      <c r="AV102" s="85">
        <f>IF(ISNUMBER(tblData[Days'# UK]),betaUK/(deltaUK+betaPodeltaUK*EXP(-betaUK*tblData[Days'# UK])),"")</f>
        <v>230595240.64765349</v>
      </c>
      <c r="AW102" s="85" t="str">
        <f>IF(ISNUMBER(tblData[UK]),(tblData[[#This Row],[UK LogiP(t)]]-tblData[[#This Row],[UK]])^2,"")</f>
        <v/>
      </c>
      <c r="AX102" s="85">
        <f>IF(ISNUMBER(tblData[Days'# UK]),tblData[[#This Row],[UK LogiP(t)]]/$AV$9,"")</f>
        <v>34707290.88616097</v>
      </c>
      <c r="AY102" s="11">
        <f>IF(ISNUMBER(tblData[Days'# China]),betaChina/(deltaChina+betaPodeltaChina*EXP(-betaChina*tblData[Days'# China])),"")</f>
        <v>80951.334612884937</v>
      </c>
      <c r="AZ102" s="11" t="str">
        <f>IF(ISNUMBER(tblData[China]),(tblData[[#This Row],[China LogiP(t)]]-tblData[[#This Row],[China]])^2,"")</f>
        <v/>
      </c>
      <c r="BA102" s="11">
        <f>tblData[[#This Row],[China LogiP(t)]]/$AY$9</f>
        <v>562.42616124813424</v>
      </c>
      <c r="BB102" s="11"/>
      <c r="BC102" s="11"/>
      <c r="BD102" s="11" t="str">
        <f>IF(ISNUMBER(tblData[[#This Row],[NSW Number of Tests]]),tblData[[#This Row],[NSW Number of Tests]]-BB101,"")</f>
        <v/>
      </c>
      <c r="BE102" s="11" t="str">
        <f>IF(ISNUMBER(tblData[[#This Row],[NSW Under Investigation'']]),tblData[[#This Row],[NSW Under Investigation'']]-BC101,"")</f>
        <v/>
      </c>
      <c r="BF102" s="11"/>
      <c r="BG102" s="11" t="str">
        <f>IF(ISNUMBER(tblData[[#This Row],[NSW Test Day Number]]),betaTest/(deltaTest+betaPodeltaTest*EXP(-betaTest*tblData[[#This Row],[NSW Test Day Number]])),"")</f>
        <v/>
      </c>
      <c r="BH102" s="11" t="str">
        <f>IF(ISNUMBER(tblData[[#This Row],[NSW Number of Tests]]),(tblData[[#This Row],[NSW Number of Tests]]-tblData[[#This Row],[NSW Test Logi]])^2,"")</f>
        <v/>
      </c>
      <c r="BY102"/>
      <c r="BZ102"/>
      <c r="CJ102" s="26"/>
      <c r="CK102" s="26"/>
      <c r="DE102" s="26"/>
      <c r="DI102" s="26"/>
      <c r="DJ102" s="26"/>
      <c r="DK102" s="26"/>
      <c r="DL102" s="26"/>
      <c r="DM102" s="26"/>
      <c r="DN102" s="26"/>
      <c r="DO102" s="26"/>
      <c r="DP102" s="26"/>
      <c r="DQ102" s="26"/>
      <c r="DS102" s="26"/>
      <c r="DT102" s="26"/>
      <c r="DU102" s="26"/>
      <c r="DW102" s="26"/>
      <c r="DX102" s="26"/>
      <c r="DY102" s="26"/>
      <c r="DZ102" s="26"/>
      <c r="EA102" s="26"/>
      <c r="EB102" s="26"/>
      <c r="EC102" s="26"/>
      <c r="ED102" s="26"/>
      <c r="EE102" s="26"/>
      <c r="EF102" s="26"/>
      <c r="EG102" s="26"/>
      <c r="EH102" s="26"/>
      <c r="EI102" s="26"/>
      <c r="EJ102" s="26"/>
      <c r="EK102" s="26"/>
      <c r="EL102" s="26"/>
      <c r="EM102" s="26"/>
      <c r="EN102" s="26"/>
      <c r="EO102" s="26"/>
      <c r="EP102" s="26"/>
      <c r="EQ102" s="26"/>
      <c r="ER102" s="26"/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</row>
    <row r="103" spans="2:173" x14ac:dyDescent="0.25">
      <c r="B103" s="27">
        <f t="shared" si="12"/>
        <v>44082</v>
      </c>
      <c r="D103" s="26"/>
      <c r="L103" s="12" t="str">
        <f>IF(ISNUMBER(tblData[[#This Row],[NSW]]),tblData[[#This Row],[New South Wales]]/$L$9,"")</f>
        <v/>
      </c>
      <c r="M103" s="26"/>
      <c r="N103" s="49" t="str">
        <f>IF(ISNUMBER(tblData[Italy]),tblData[Italy]/$N$9,"")</f>
        <v/>
      </c>
      <c r="O103" s="26"/>
      <c r="P103" s="49" t="str">
        <f>IF(ISNUMBER(tblData[US]),tblData[US]/$P$9,"")</f>
        <v/>
      </c>
      <c r="Q103" s="49"/>
      <c r="R103" s="19" t="str">
        <f>IF(ISNUMBER(tblData[SKorea]),tblData[SKorea]/$R$9,"")</f>
        <v/>
      </c>
      <c r="S103" s="49"/>
      <c r="T103" s="12" t="str">
        <f>IF(ISNUMBER(tblData[UK]),tblData[UK]/$T$9,"")</f>
        <v/>
      </c>
      <c r="U103" s="26"/>
      <c r="V103" s="21" t="str">
        <f>IF(ISNUMBER(tblData[China]),tblData[China]/$V$9,"")</f>
        <v/>
      </c>
      <c r="W103" s="26">
        <f>IF(tblData[[#This Row],[Date]]&lt;ItalyStart,"",tblData[[#This Row],[Date]]-ItalyStart)</f>
        <v>222</v>
      </c>
      <c r="X103" s="26">
        <f t="shared" si="13"/>
        <v>212</v>
      </c>
      <c r="Y103" s="26">
        <f t="shared" si="11"/>
        <v>92</v>
      </c>
      <c r="Z103" s="26">
        <f>IF(tblData[[#This Row],[Date]]&lt;StartDt2Korea,"",tblData[[#This Row],[Date]]-StartDt2Korea)</f>
        <v>202</v>
      </c>
      <c r="AA103" s="26">
        <f>IF(tblData[[#This Row],[Date]]&lt;UKStart,"",tblData[[#This Row],[Date]]-UKStart)</f>
        <v>222</v>
      </c>
      <c r="AB103">
        <f>IF(tblData[Date]&gt;=StartDt2Au,tblData[Date]-StartDt2Au,"")</f>
        <v>227</v>
      </c>
      <c r="AC103" s="26" t="str">
        <f>IF(tblData[New South Wales]&gt;0,SUM(tblData[[#This Row],[Australian Capital Territory]:[Western Australia]]),"")</f>
        <v/>
      </c>
      <c r="AD103" s="12" t="str">
        <f>IF(ISNUMBER(tblData[Au]),tblData[Au]/$AA$9,"")</f>
        <v/>
      </c>
      <c r="AE103" s="44">
        <f>IF(ISNUMBER(tblData[[#This Row],[Day'# Aust]]),betaAu/(deltaAu+betaPodeltaAu*EXP(-betaAu*tblData[[#This Row],[Day'# Aust]])),"")</f>
        <v>206489313.33410123</v>
      </c>
      <c r="AF103" s="73">
        <f>IF(ISNUMBER(tblData[Day'# Aust]),tblData[Au LogiP(t)]/$AD$9,"")</f>
        <v>81410390.05444774</v>
      </c>
      <c r="AG103" s="11" t="str">
        <f>IF(AND(tblData[Date]&gt;=StartDt2Au,ISNUMBER(tblData[NSW])),(tblData[[#This Row],[Au LogiP(t)]]-tblData[[#This Row],[Au]])^2,"")</f>
        <v/>
      </c>
      <c r="AH103">
        <f>IF(tblData[Date]&gt;StartDt2NSW,tblData[Date]-StartDt2NSW,"")</f>
        <v>227</v>
      </c>
      <c r="AI103" t="str">
        <f t="shared" si="14"/>
        <v/>
      </c>
      <c r="AJ103" s="11">
        <f>IF(tblData[Date]&gt;StartDt2NSW,betaNSW/(deltaNSW+betaPodeltaNSW*EXP(-betaNSW*tblData[[#This Row],[Day '# NSW]])),"")</f>
        <v>2724.7105763852915</v>
      </c>
      <c r="AK103" s="12" t="str">
        <f>IF(AND(ISNUMBER(tblData[NSW]),tblData[Date]&gt;StartDt2NSW),(tblData[[#This Row],[NSW LogiP(t)]]-tblData[[#This Row],[NSW]])^2,"")</f>
        <v/>
      </c>
      <c r="AL103" s="44">
        <f>IF(AND(tblData[Date]&gt;StartDt2NSW,ISNUMBER(tblData[Day'# Aust])),tblData[NSW LogiP(t)]/$AG$9,"")</f>
        <v>3372.1665549322911</v>
      </c>
      <c r="AM103" s="11">
        <f>IF(AND(tblData[Date]&gt;StartDt2Italy,ISNUMBER(tblData[Days'# Italy])),betaItaly/(deltaItaly+betaPodeltaItaly*EXP(-betaItaly*tblData[Days'# Italy])),"")</f>
        <v>55402.511466544704</v>
      </c>
      <c r="AN103" s="11" t="str">
        <f>IF(AND(tblData[Date]&gt;StartDt2Italy,ISNUMBER(tblData[Italy])),(tblData[[#This Row],[Italy LogiP(t)]]-tblData[[#This Row],[Italy]])^2,"")</f>
        <v/>
      </c>
      <c r="AO103" s="44">
        <f>IF(AND(tblData[Date]&gt;StartDt2Italy,ISNUMBER(tblData[Days'# Italy])),tblData[[#This Row],[Italy LogiP(t)]]/$AM$9,"")</f>
        <v>9165.0143038121932</v>
      </c>
      <c r="AP103" s="21">
        <f>IF(ISNUMBER(tblData[[#This Row],[Days'# US]]),betaUS/(deltaUS+betaPodeltaUS*EXP(-betaUS*tblData[Days'# US])),"")</f>
        <v>347695292.01456201</v>
      </c>
      <c r="AQ103" s="11" t="str">
        <f>IF(ISNUMBER(tblData[US]),(tblData[[#This Row],[US LogiP(t)]]-tblData[US])^2,"")</f>
        <v/>
      </c>
      <c r="AR103" s="21">
        <f>IF(ISNUMBER(tblData[[#This Row],[Days'# US]]),tblData[[#This Row],[US LogiP(t)]]/$AP$9,"")</f>
        <v>10560935.286862548</v>
      </c>
      <c r="AS103" s="21">
        <f>IF(tblData[Date]&gt;=StartDt2Korea,betaSKorea/(deltaSKorea+betaPodeltaSKorea*EXP(-betaSKorea*(tblData[Date]-StartDt2Korea))),"")</f>
        <v>8319.4112738168697</v>
      </c>
      <c r="AT103" s="21" t="str">
        <f>IF(AND(tblData[Date]&gt;=StartDt2Korea,ISNUMBER(tblData[SKorea])),(tblData[[#This Row],[SKorea LogiP(t)]]-tblData[[#This Row],[SKorea]])^2,"")</f>
        <v/>
      </c>
      <c r="AU103" s="21">
        <f>IF(tblData[Date]&gt;=StartDt2Korea,tblData[[#This Row],[SKorea LogiP(t)]]/$AS$9,"")</f>
        <v>1618.5625046336322</v>
      </c>
      <c r="AV103" s="85">
        <f>IF(ISNUMBER(tblData[Days'# UK]),betaUK/(deltaUK+betaPodeltaUK*EXP(-betaUK*tblData[Days'# UK])),"")</f>
        <v>230595240.64798254</v>
      </c>
      <c r="AW103" s="85" t="str">
        <f>IF(ISNUMBER(tblData[UK]),(tblData[[#This Row],[UK LogiP(t)]]-tblData[[#This Row],[UK]])^2,"")</f>
        <v/>
      </c>
      <c r="AX103" s="85">
        <f>IF(ISNUMBER(tblData[Days'# UK]),tblData[[#This Row],[UK LogiP(t)]]/$AV$9,"")</f>
        <v>34707290.886210494</v>
      </c>
      <c r="AY103" s="11">
        <f>IF(ISNUMBER(tblData[Days'# China]),betaChina/(deltaChina+betaPodeltaChina*EXP(-betaChina*tblData[Days'# China])),"")</f>
        <v>80951.335997346992</v>
      </c>
      <c r="AZ103" s="11" t="str">
        <f>IF(ISNUMBER(tblData[China]),(tblData[[#This Row],[China LogiP(t)]]-tblData[[#This Row],[China]])^2,"")</f>
        <v/>
      </c>
      <c r="BA103" s="11">
        <f>tblData[[#This Row],[China LogiP(t)]]/$AY$9</f>
        <v>562.42617086697101</v>
      </c>
      <c r="BB103" s="11"/>
      <c r="BC103" s="11"/>
      <c r="BD103" s="11" t="str">
        <f>IF(ISNUMBER(tblData[[#This Row],[NSW Number of Tests]]),tblData[[#This Row],[NSW Number of Tests]]-BB102,"")</f>
        <v/>
      </c>
      <c r="BE103" s="11" t="str">
        <f>IF(ISNUMBER(tblData[[#This Row],[NSW Under Investigation'']]),tblData[[#This Row],[NSW Under Investigation'']]-BC102,"")</f>
        <v/>
      </c>
      <c r="BF103" s="11"/>
      <c r="BG103" s="11" t="str">
        <f>IF(ISNUMBER(tblData[[#This Row],[NSW Test Day Number]]),betaTest/(deltaTest+betaPodeltaTest*EXP(-betaTest*tblData[[#This Row],[NSW Test Day Number]])),"")</f>
        <v/>
      </c>
      <c r="BH103" s="11" t="str">
        <f>IF(ISNUMBER(tblData[[#This Row],[NSW Number of Tests]]),(tblData[[#This Row],[NSW Number of Tests]]-tblData[[#This Row],[NSW Test Logi]])^2,"")</f>
        <v/>
      </c>
      <c r="BY103"/>
      <c r="BZ103"/>
      <c r="CJ103" s="26"/>
      <c r="CK103" s="26"/>
      <c r="DE103" s="26"/>
      <c r="DI103" s="26"/>
      <c r="DJ103" s="26"/>
      <c r="DK103" s="26"/>
      <c r="DL103" s="26"/>
      <c r="DM103" s="26"/>
      <c r="DN103" s="26"/>
      <c r="DO103" s="26"/>
      <c r="DP103" s="26"/>
      <c r="DQ103" s="26"/>
      <c r="DS103" s="26"/>
      <c r="DT103" s="26"/>
      <c r="DU103" s="26"/>
      <c r="DW103" s="26"/>
      <c r="DX103" s="26"/>
      <c r="DY103" s="26"/>
      <c r="DZ103" s="26"/>
      <c r="EA103" s="26"/>
      <c r="EB103" s="26"/>
      <c r="EC103" s="26"/>
      <c r="ED103" s="26"/>
      <c r="EE103" s="26"/>
      <c r="EF103" s="26"/>
      <c r="EG103" s="26"/>
      <c r="EH103" s="26"/>
      <c r="EI103" s="26"/>
      <c r="EJ103" s="26"/>
      <c r="EK103" s="26"/>
      <c r="EL103" s="26"/>
      <c r="EM103" s="26"/>
      <c r="EN103" s="26"/>
      <c r="EO103" s="26"/>
      <c r="EP103" s="26"/>
      <c r="EQ103" s="26"/>
      <c r="ER103" s="26"/>
      <c r="ES103" s="26"/>
      <c r="ET103" s="26"/>
      <c r="EU103" s="26"/>
      <c r="EV103" s="26"/>
      <c r="EW103" s="26"/>
      <c r="EX103" s="26"/>
      <c r="EY103" s="26"/>
      <c r="EZ103" s="26"/>
      <c r="FA103" s="26"/>
      <c r="FB103" s="26"/>
      <c r="FC103" s="26"/>
      <c r="FD103" s="26"/>
      <c r="FE103" s="26"/>
      <c r="FF103" s="26"/>
      <c r="FG103" s="26"/>
      <c r="FH103" s="26"/>
      <c r="FI103" s="26"/>
      <c r="FJ103" s="26"/>
      <c r="FK103" s="26"/>
      <c r="FL103" s="26"/>
      <c r="FM103" s="26"/>
      <c r="FN103" s="26"/>
      <c r="FO103" s="26"/>
      <c r="FP103" s="26"/>
      <c r="FQ103" s="26"/>
    </row>
    <row r="104" spans="2:173" x14ac:dyDescent="0.25">
      <c r="B104" s="27">
        <f t="shared" si="12"/>
        <v>44089</v>
      </c>
      <c r="D104" s="26"/>
      <c r="L104" s="12" t="str">
        <f>IF(ISNUMBER(tblData[[#This Row],[NSW]]),tblData[[#This Row],[New South Wales]]/$L$9,"")</f>
        <v/>
      </c>
      <c r="M104" s="26"/>
      <c r="N104" s="49" t="str">
        <f>IF(ISNUMBER(tblData[Italy]),tblData[Italy]/$N$9,"")</f>
        <v/>
      </c>
      <c r="O104" s="26"/>
      <c r="P104" s="49" t="str">
        <f>IF(ISNUMBER(tblData[US]),tblData[US]/$P$9,"")</f>
        <v/>
      </c>
      <c r="Q104" s="49"/>
      <c r="R104" s="19" t="str">
        <f>IF(ISNUMBER(tblData[SKorea]),tblData[SKorea]/$R$9,"")</f>
        <v/>
      </c>
      <c r="S104" s="49"/>
      <c r="T104" s="12" t="str">
        <f>IF(ISNUMBER(tblData[UK]),tblData[UK]/$T$9,"")</f>
        <v/>
      </c>
      <c r="U104" s="26"/>
      <c r="V104" s="21" t="str">
        <f>IF(ISNUMBER(tblData[China]),tblData[China]/$V$9,"")</f>
        <v/>
      </c>
      <c r="W104" s="26">
        <f>IF(tblData[[#This Row],[Date]]&lt;ItalyStart,"",tblData[[#This Row],[Date]]-ItalyStart)</f>
        <v>229</v>
      </c>
      <c r="X104" s="26">
        <f t="shared" si="13"/>
        <v>219</v>
      </c>
      <c r="Y104" s="26">
        <f t="shared" si="11"/>
        <v>93</v>
      </c>
      <c r="Z104" s="26">
        <f>IF(tblData[[#This Row],[Date]]&lt;StartDt2Korea,"",tblData[[#This Row],[Date]]-StartDt2Korea)</f>
        <v>209</v>
      </c>
      <c r="AA104" s="26">
        <f>IF(tblData[[#This Row],[Date]]&lt;UKStart,"",tblData[[#This Row],[Date]]-UKStart)</f>
        <v>229</v>
      </c>
      <c r="AB104">
        <f>IF(tblData[Date]&gt;=StartDt2Au,tblData[Date]-StartDt2Au,"")</f>
        <v>234</v>
      </c>
      <c r="AC104" s="26" t="str">
        <f>IF(tblData[New South Wales]&gt;0,SUM(tblData[[#This Row],[Australian Capital Territory]:[Western Australia]]),"")</f>
        <v/>
      </c>
      <c r="AD104" s="12" t="str">
        <f>IF(ISNUMBER(tblData[Au]),tblData[Au]/$AA$9,"")</f>
        <v/>
      </c>
      <c r="AE104" s="44">
        <f>IF(ISNUMBER(tblData[[#This Row],[Day'# Aust]]),betaAu/(deltaAu+betaPodeltaAu*EXP(-betaAu*tblData[[#This Row],[Day'# Aust]])),"")</f>
        <v>206489313.34822321</v>
      </c>
      <c r="AF104" s="73">
        <f>IF(ISNUMBER(tblData[Day'# Aust]),tblData[Au LogiP(t)]/$AD$9,"")</f>
        <v>81410390.060015455</v>
      </c>
      <c r="AG104" s="11" t="str">
        <f>IF(AND(tblData[Date]&gt;=StartDt2Au,ISNUMBER(tblData[NSW])),(tblData[[#This Row],[Au LogiP(t)]]-tblData[[#This Row],[Au]])^2,"")</f>
        <v/>
      </c>
      <c r="AH104">
        <f>IF(tblData[Date]&gt;StartDt2NSW,tblData[Date]-StartDt2NSW,"")</f>
        <v>234</v>
      </c>
      <c r="AI104" t="str">
        <f t="shared" si="14"/>
        <v/>
      </c>
      <c r="AJ104" s="11">
        <f>IF(tblData[Date]&gt;StartDt2NSW,betaNSW/(deltaNSW+betaPodeltaNSW*EXP(-betaNSW*tblData[[#This Row],[Day '# NSW]])),"")</f>
        <v>2724.7105763852942</v>
      </c>
      <c r="AK104" s="12" t="str">
        <f>IF(AND(ISNUMBER(tblData[NSW]),tblData[Date]&gt;StartDt2NSW),(tblData[[#This Row],[NSW LogiP(t)]]-tblData[[#This Row],[NSW]])^2,"")</f>
        <v/>
      </c>
      <c r="AL104" s="44">
        <f>IF(AND(tblData[Date]&gt;StartDt2NSW,ISNUMBER(tblData[Day'# Aust])),tblData[NSW LogiP(t)]/$AG$9,"")</f>
        <v>3372.1665549322947</v>
      </c>
      <c r="AM104" s="11">
        <f>IF(AND(tblData[Date]&gt;StartDt2Italy,ISNUMBER(tblData[Days'# Italy])),betaItaly/(deltaItaly+betaPodeltaItaly*EXP(-betaItaly*tblData[Days'# Italy])),"")</f>
        <v>55402.511466544704</v>
      </c>
      <c r="AN104" s="11" t="str">
        <f>IF(AND(tblData[Date]&gt;StartDt2Italy,ISNUMBER(tblData[Italy])),(tblData[[#This Row],[Italy LogiP(t)]]-tblData[[#This Row],[Italy]])^2,"")</f>
        <v/>
      </c>
      <c r="AO104" s="44">
        <f>IF(AND(tblData[Date]&gt;StartDt2Italy,ISNUMBER(tblData[Days'# Italy])),tblData[[#This Row],[Italy LogiP(t)]]/$AM$9,"")</f>
        <v>9165.0143038121932</v>
      </c>
      <c r="AP104" s="21">
        <f>IF(ISNUMBER(tblData[[#This Row],[Days'# US]]),betaUS/(deltaUS+betaPodeltaUS*EXP(-betaUS*tblData[Days'# US])),"")</f>
        <v>347695292.01456201</v>
      </c>
      <c r="AQ104" s="11" t="str">
        <f>IF(ISNUMBER(tblData[US]),(tblData[[#This Row],[US LogiP(t)]]-tblData[US])^2,"")</f>
        <v/>
      </c>
      <c r="AR104" s="21">
        <f>IF(ISNUMBER(tblData[[#This Row],[Days'# US]]),tblData[[#This Row],[US LogiP(t)]]/$AP$9,"")</f>
        <v>10560935.286862548</v>
      </c>
      <c r="AS104" s="21">
        <f>IF(tblData[Date]&gt;=StartDt2Korea,betaSKorea/(deltaSKorea+betaPodeltaSKorea*EXP(-betaSKorea*(tblData[Date]-StartDt2Korea))),"")</f>
        <v>8319.4112738168697</v>
      </c>
      <c r="AT104" s="21" t="str">
        <f>IF(AND(tblData[Date]&gt;=StartDt2Korea,ISNUMBER(tblData[SKorea])),(tblData[[#This Row],[SKorea LogiP(t)]]-tblData[[#This Row],[SKorea]])^2,"")</f>
        <v/>
      </c>
      <c r="AU104" s="21">
        <f>IF(tblData[Date]&gt;=StartDt2Korea,tblData[[#This Row],[SKorea LogiP(t)]]/$AS$9,"")</f>
        <v>1618.5625046336322</v>
      </c>
      <c r="AV104" s="85">
        <f>IF(ISNUMBER(tblData[Days'# UK]),betaUK/(deltaUK+betaPodeltaUK*EXP(-betaUK*tblData[Days'# UK])),"")</f>
        <v>230595240.64804804</v>
      </c>
      <c r="AW104" s="85" t="str">
        <f>IF(ISNUMBER(tblData[UK]),(tblData[[#This Row],[UK LogiP(t)]]-tblData[[#This Row],[UK]])^2,"")</f>
        <v/>
      </c>
      <c r="AX104" s="85">
        <f>IF(ISNUMBER(tblData[Days'# UK]),tblData[[#This Row],[UK LogiP(t)]]/$AV$9,"")</f>
        <v>34707290.886220358</v>
      </c>
      <c r="AY104" s="11">
        <f>IF(ISNUMBER(tblData[Days'# China]),betaChina/(deltaChina+betaPodeltaChina*EXP(-betaChina*tblData[Days'# China])),"")</f>
        <v>80951.337106025399</v>
      </c>
      <c r="AZ104" s="11" t="str">
        <f>IF(ISNUMBER(tblData[China]),(tblData[[#This Row],[China LogiP(t)]]-tblData[[#This Row],[China]])^2,"")</f>
        <v/>
      </c>
      <c r="BA104" s="11">
        <f>tblData[[#This Row],[China LogiP(t)]]/$AY$9</f>
        <v>562.42617856974391</v>
      </c>
      <c r="BB104" s="11"/>
      <c r="BC104" s="11"/>
      <c r="BD104" s="11" t="str">
        <f>IF(ISNUMBER(tblData[[#This Row],[NSW Number of Tests]]),tblData[[#This Row],[NSW Number of Tests]]-BB103,"")</f>
        <v/>
      </c>
      <c r="BE104" s="11" t="str">
        <f>IF(ISNUMBER(tblData[[#This Row],[NSW Under Investigation'']]),tblData[[#This Row],[NSW Under Investigation'']]-BC103,"")</f>
        <v/>
      </c>
      <c r="BF104" s="11"/>
      <c r="BG104" s="11" t="str">
        <f>IF(ISNUMBER(tblData[[#This Row],[NSW Test Day Number]]),betaTest/(deltaTest+betaPodeltaTest*EXP(-betaTest*tblData[[#This Row],[NSW Test Day Number]])),"")</f>
        <v/>
      </c>
      <c r="BH104" s="11" t="str">
        <f>IF(ISNUMBER(tblData[[#This Row],[NSW Number of Tests]]),(tblData[[#This Row],[NSW Number of Tests]]-tblData[[#This Row],[NSW Test Logi]])^2,"")</f>
        <v/>
      </c>
      <c r="BY104"/>
      <c r="BZ104"/>
      <c r="CJ104" s="26"/>
      <c r="CK104" s="26"/>
      <c r="DE104" s="26"/>
      <c r="DI104" s="26"/>
      <c r="DJ104" s="26"/>
      <c r="DK104" s="26"/>
      <c r="DL104" s="26"/>
      <c r="DM104" s="26"/>
      <c r="DN104" s="26"/>
      <c r="DO104" s="26"/>
      <c r="DP104" s="26"/>
      <c r="DQ104" s="26"/>
      <c r="DS104" s="26"/>
      <c r="DT104" s="26"/>
      <c r="DU104" s="26"/>
      <c r="DW104" s="26"/>
      <c r="DX104" s="26"/>
      <c r="DY104" s="26"/>
      <c r="DZ104" s="26"/>
      <c r="EA104" s="26"/>
      <c r="EB104" s="26"/>
      <c r="EC104" s="26"/>
      <c r="ED104" s="26"/>
      <c r="EE104" s="26"/>
      <c r="EF104" s="26"/>
      <c r="EG104" s="26"/>
      <c r="EH104" s="26"/>
      <c r="EI104" s="26"/>
      <c r="EJ104" s="26"/>
      <c r="EK104" s="26"/>
      <c r="EL104" s="26"/>
      <c r="EM104" s="26"/>
      <c r="EN104" s="26"/>
      <c r="EO104" s="26"/>
      <c r="EP104" s="26"/>
      <c r="EQ104" s="26"/>
      <c r="ER104" s="26"/>
      <c r="ES104" s="26"/>
      <c r="ET104" s="26"/>
      <c r="EU104" s="26"/>
      <c r="EV104" s="26"/>
      <c r="EW104" s="26"/>
      <c r="EX104" s="26"/>
      <c r="EY104" s="26"/>
      <c r="EZ104" s="26"/>
      <c r="FA104" s="26"/>
      <c r="FB104" s="26"/>
      <c r="FC104" s="26"/>
      <c r="FD104" s="26"/>
      <c r="FE104" s="26"/>
      <c r="FF104" s="26"/>
      <c r="FG104" s="26"/>
      <c r="FH104" s="26"/>
      <c r="FI104" s="26"/>
      <c r="FJ104" s="26"/>
      <c r="FK104" s="26"/>
      <c r="FL104" s="26"/>
      <c r="FM104" s="26"/>
      <c r="FN104" s="26"/>
      <c r="FO104" s="26"/>
      <c r="FP104" s="26"/>
      <c r="FQ104" s="26"/>
    </row>
    <row r="105" spans="2:173" x14ac:dyDescent="0.25">
      <c r="B105" s="27">
        <f t="shared" si="12"/>
        <v>44096</v>
      </c>
      <c r="D105" s="26"/>
      <c r="L105" s="12" t="str">
        <f>IF(ISNUMBER(tblData[[#This Row],[NSW]]),tblData[[#This Row],[New South Wales]]/$L$9,"")</f>
        <v/>
      </c>
      <c r="M105" s="26"/>
      <c r="N105" s="49" t="str">
        <f>IF(ISNUMBER(tblData[Italy]),tblData[Italy]/$N$9,"")</f>
        <v/>
      </c>
      <c r="O105" s="26"/>
      <c r="P105" s="49" t="str">
        <f>IF(ISNUMBER(tblData[US]),tblData[US]/$P$9,"")</f>
        <v/>
      </c>
      <c r="Q105" s="49"/>
      <c r="R105" s="19" t="str">
        <f>IF(ISNUMBER(tblData[SKorea]),tblData[SKorea]/$R$9,"")</f>
        <v/>
      </c>
      <c r="S105" s="49"/>
      <c r="T105" s="12" t="str">
        <f>IF(ISNUMBER(tblData[UK]),tblData[UK]/$T$9,"")</f>
        <v/>
      </c>
      <c r="U105" s="26"/>
      <c r="V105" s="21" t="str">
        <f>IF(ISNUMBER(tblData[China]),tblData[China]/$V$9,"")</f>
        <v/>
      </c>
      <c r="W105" s="26">
        <f>IF(tblData[[#This Row],[Date]]&lt;ItalyStart,"",tblData[[#This Row],[Date]]-ItalyStart)</f>
        <v>236</v>
      </c>
      <c r="X105" s="26">
        <f t="shared" si="13"/>
        <v>226</v>
      </c>
      <c r="Y105" s="26">
        <f t="shared" si="11"/>
        <v>94</v>
      </c>
      <c r="Z105" s="26">
        <f>IF(tblData[[#This Row],[Date]]&lt;StartDt2Korea,"",tblData[[#This Row],[Date]]-StartDt2Korea)</f>
        <v>216</v>
      </c>
      <c r="AA105" s="26">
        <f>IF(tblData[[#This Row],[Date]]&lt;UKStart,"",tblData[[#This Row],[Date]]-UKStart)</f>
        <v>236</v>
      </c>
      <c r="AB105">
        <f>IF(tblData[Date]&gt;=StartDt2Au,tblData[Date]-StartDt2Au,"")</f>
        <v>241</v>
      </c>
      <c r="AC105" s="26" t="str">
        <f>IF(tblData[New South Wales]&gt;0,SUM(tblData[[#This Row],[Australian Capital Territory]:[Western Australia]]),"")</f>
        <v/>
      </c>
      <c r="AD105" s="12" t="str">
        <f>IF(ISNUMBER(tblData[Au]),tblData[Au]/$AA$9,"")</f>
        <v/>
      </c>
      <c r="AE105" s="44">
        <f>IF(ISNUMBER(tblData[[#This Row],[Day'# Aust]]),betaAu/(deltaAu+betaPodeltaAu*EXP(-betaAu*tblData[[#This Row],[Day'# Aust]])),"")</f>
        <v>206489313.35155097</v>
      </c>
      <c r="AF105" s="73">
        <f>IF(ISNUMBER(tblData[Day'# Aust]),tblData[Au LogiP(t)]/$AD$9,"")</f>
        <v>81410390.061327457</v>
      </c>
      <c r="AG105" s="11" t="str">
        <f>IF(AND(tblData[Date]&gt;=StartDt2Au,ISNUMBER(tblData[NSW])),(tblData[[#This Row],[Au LogiP(t)]]-tblData[[#This Row],[Au]])^2,"")</f>
        <v/>
      </c>
      <c r="AH105">
        <f>IF(tblData[Date]&gt;StartDt2NSW,tblData[Date]-StartDt2NSW,"")</f>
        <v>241</v>
      </c>
      <c r="AI105" t="str">
        <f t="shared" si="14"/>
        <v/>
      </c>
      <c r="AJ105" s="11">
        <f>IF(tblData[Date]&gt;StartDt2NSW,betaNSW/(deltaNSW+betaPodeltaNSW*EXP(-betaNSW*tblData[[#This Row],[Day '# NSW]])),"")</f>
        <v>2724.7105763852951</v>
      </c>
      <c r="AK105" s="12" t="str">
        <f>IF(AND(ISNUMBER(tblData[NSW]),tblData[Date]&gt;StartDt2NSW),(tblData[[#This Row],[NSW LogiP(t)]]-tblData[[#This Row],[NSW]])^2,"")</f>
        <v/>
      </c>
      <c r="AL105" s="44">
        <f>IF(AND(tblData[Date]&gt;StartDt2NSW,ISNUMBER(tblData[Day'# Aust])),tblData[NSW LogiP(t)]/$AG$9,"")</f>
        <v>3372.1665549322956</v>
      </c>
      <c r="AM105" s="11">
        <f>IF(AND(tblData[Date]&gt;StartDt2Italy,ISNUMBER(tblData[Days'# Italy])),betaItaly/(deltaItaly+betaPodeltaItaly*EXP(-betaItaly*tblData[Days'# Italy])),"")</f>
        <v>55402.511466544704</v>
      </c>
      <c r="AN105" s="11" t="str">
        <f>IF(AND(tblData[Date]&gt;StartDt2Italy,ISNUMBER(tblData[Italy])),(tblData[[#This Row],[Italy LogiP(t)]]-tblData[[#This Row],[Italy]])^2,"")</f>
        <v/>
      </c>
      <c r="AO105" s="44">
        <f>IF(AND(tblData[Date]&gt;StartDt2Italy,ISNUMBER(tblData[Days'# Italy])),tblData[[#This Row],[Italy LogiP(t)]]/$AM$9,"")</f>
        <v>9165.0143038121932</v>
      </c>
      <c r="AP105" s="21">
        <f>IF(ISNUMBER(tblData[[#This Row],[Days'# US]]),betaUS/(deltaUS+betaPodeltaUS*EXP(-betaUS*tblData[Days'# US])),"")</f>
        <v>347695292.01456201</v>
      </c>
      <c r="AQ105" s="11" t="str">
        <f>IF(ISNUMBER(tblData[US]),(tblData[[#This Row],[US LogiP(t)]]-tblData[US])^2,"")</f>
        <v/>
      </c>
      <c r="AR105" s="21">
        <f>IF(ISNUMBER(tblData[[#This Row],[Days'# US]]),tblData[[#This Row],[US LogiP(t)]]/$AP$9,"")</f>
        <v>10560935.286862548</v>
      </c>
      <c r="AS105" s="21">
        <f>IF(tblData[Date]&gt;=StartDt2Korea,betaSKorea/(deltaSKorea+betaPodeltaSKorea*EXP(-betaSKorea*(tblData[Date]-StartDt2Korea))),"")</f>
        <v>8319.4112738168697</v>
      </c>
      <c r="AT105" s="21" t="str">
        <f>IF(AND(tblData[Date]&gt;=StartDt2Korea,ISNUMBER(tblData[SKorea])),(tblData[[#This Row],[SKorea LogiP(t)]]-tblData[[#This Row],[SKorea]])^2,"")</f>
        <v/>
      </c>
      <c r="AU105" s="21">
        <f>IF(tblData[Date]&gt;=StartDt2Korea,tblData[[#This Row],[SKorea LogiP(t)]]/$AS$9,"")</f>
        <v>1618.5625046336322</v>
      </c>
      <c r="AV105" s="85">
        <f>IF(ISNUMBER(tblData[Days'# UK]),betaUK/(deltaUK+betaPodeltaUK*EXP(-betaUK*tblData[Days'# UK])),"")</f>
        <v>230595240.64806107</v>
      </c>
      <c r="AW105" s="85" t="str">
        <f>IF(ISNUMBER(tblData[UK]),(tblData[[#This Row],[UK LogiP(t)]]-tblData[[#This Row],[UK]])^2,"")</f>
        <v/>
      </c>
      <c r="AX105" s="85">
        <f>IF(ISNUMBER(tblData[Days'# UK]),tblData[[#This Row],[UK LogiP(t)]]/$AV$9,"")</f>
        <v>34707290.886222318</v>
      </c>
      <c r="AY105" s="11">
        <f>IF(ISNUMBER(tblData[Days'# China]),betaChina/(deltaChina+betaPodeltaChina*EXP(-betaChina*tblData[Days'# China])),"")</f>
        <v>80951.337993856025</v>
      </c>
      <c r="AZ105" s="11" t="str">
        <f>IF(ISNUMBER(tblData[China]),(tblData[[#This Row],[China LogiP(t)]]-tblData[[#This Row],[China]])^2,"")</f>
        <v/>
      </c>
      <c r="BA105" s="11">
        <f>tblData[[#This Row],[China LogiP(t)]]/$AY$9</f>
        <v>562.42618473813104</v>
      </c>
      <c r="BB105" s="11"/>
      <c r="BC105" s="11"/>
      <c r="BD105" s="11" t="str">
        <f>IF(ISNUMBER(tblData[[#This Row],[NSW Number of Tests]]),tblData[[#This Row],[NSW Number of Tests]]-BB104,"")</f>
        <v/>
      </c>
      <c r="BE105" s="11" t="str">
        <f>IF(ISNUMBER(tblData[[#This Row],[NSW Under Investigation'']]),tblData[[#This Row],[NSW Under Investigation'']]-BC104,"")</f>
        <v/>
      </c>
      <c r="BF105" s="11"/>
      <c r="BG105" s="11" t="str">
        <f>IF(ISNUMBER(tblData[[#This Row],[NSW Test Day Number]]),betaTest/(deltaTest+betaPodeltaTest*EXP(-betaTest*tblData[[#This Row],[NSW Test Day Number]])),"")</f>
        <v/>
      </c>
      <c r="BH105" s="11" t="str">
        <f>IF(ISNUMBER(tblData[[#This Row],[NSW Number of Tests]]),(tblData[[#This Row],[NSW Number of Tests]]-tblData[[#This Row],[NSW Test Logi]])^2,"")</f>
        <v/>
      </c>
      <c r="BY105"/>
      <c r="BZ105"/>
      <c r="CJ105" s="26"/>
      <c r="CK105" s="26"/>
      <c r="EH105" s="26"/>
      <c r="EI105" s="26"/>
      <c r="EJ105" s="26"/>
      <c r="EK105" s="26"/>
      <c r="EL105" s="26"/>
      <c r="EM105" s="26"/>
      <c r="EN105" s="26"/>
      <c r="EO105" s="26"/>
      <c r="EP105" s="26"/>
      <c r="EQ105" s="26"/>
      <c r="ER105" s="26"/>
      <c r="ES105" s="26"/>
      <c r="ET105" s="26"/>
      <c r="EU105" s="26"/>
      <c r="EV105" s="26"/>
      <c r="EW105" s="26"/>
      <c r="EX105" s="26"/>
      <c r="EY105" s="26"/>
      <c r="EZ105" s="26"/>
      <c r="FA105" s="26"/>
      <c r="FB105" s="26"/>
      <c r="FC105" s="26"/>
      <c r="FD105" s="26"/>
      <c r="FE105" s="26"/>
      <c r="FF105" s="26"/>
      <c r="FG105" s="26"/>
      <c r="FH105" s="26"/>
      <c r="FI105" s="26"/>
      <c r="FJ105" s="26"/>
      <c r="FK105" s="26"/>
      <c r="FL105" s="26"/>
      <c r="FM105" s="26"/>
      <c r="FN105" s="26"/>
      <c r="FO105" s="26"/>
      <c r="FP105" s="26"/>
      <c r="FQ105" s="26"/>
    </row>
    <row r="106" spans="2:173" x14ac:dyDescent="0.25">
      <c r="B106" s="27">
        <f t="shared" si="12"/>
        <v>44103</v>
      </c>
      <c r="D106" s="26"/>
      <c r="L106" s="12" t="str">
        <f>IF(ISNUMBER(tblData[[#This Row],[NSW]]),tblData[[#This Row],[New South Wales]]/$L$9,"")</f>
        <v/>
      </c>
      <c r="M106" s="26"/>
      <c r="N106" s="49" t="str">
        <f>IF(ISNUMBER(tblData[Italy]),tblData[Italy]/$N$9,"")</f>
        <v/>
      </c>
      <c r="O106" s="26"/>
      <c r="P106" s="49" t="str">
        <f>IF(ISNUMBER(tblData[US]),tblData[US]/$P$9,"")</f>
        <v/>
      </c>
      <c r="Q106" s="49"/>
      <c r="R106" s="19" t="str">
        <f>IF(ISNUMBER(tblData[SKorea]),tblData[SKorea]/$R$9,"")</f>
        <v/>
      </c>
      <c r="S106" s="49"/>
      <c r="T106" s="12" t="str">
        <f>IF(ISNUMBER(tblData[UK]),tblData[UK]/$T$9,"")</f>
        <v/>
      </c>
      <c r="U106" s="26"/>
      <c r="V106" s="21" t="str">
        <f>IF(ISNUMBER(tblData[China]),tblData[China]/$V$9,"")</f>
        <v/>
      </c>
      <c r="W106" s="26">
        <f>IF(tblData[[#This Row],[Date]]&lt;ItalyStart,"",tblData[[#This Row],[Date]]-ItalyStart)</f>
        <v>243</v>
      </c>
      <c r="X106" s="26">
        <f t="shared" si="13"/>
        <v>233</v>
      </c>
      <c r="Y106" s="26">
        <f t="shared" si="11"/>
        <v>95</v>
      </c>
      <c r="Z106" s="26">
        <f>IF(tblData[[#This Row],[Date]]&lt;StartDt2Korea,"",tblData[[#This Row],[Date]]-StartDt2Korea)</f>
        <v>223</v>
      </c>
      <c r="AA106" s="26">
        <f>IF(tblData[[#This Row],[Date]]&lt;UKStart,"",tblData[[#This Row],[Date]]-UKStart)</f>
        <v>243</v>
      </c>
      <c r="AB106">
        <f>IF(tblData[Date]&gt;=StartDt2Au,tblData[Date]-StartDt2Au,"")</f>
        <v>248</v>
      </c>
      <c r="AC106" s="26" t="str">
        <f>IF(tblData[New South Wales]&gt;0,SUM(tblData[[#This Row],[Australian Capital Territory]:[Western Australia]]),"")</f>
        <v/>
      </c>
      <c r="AD106" s="12" t="str">
        <f>IF(ISNUMBER(tblData[Au]),tblData[Au]/$AA$9,"")</f>
        <v/>
      </c>
      <c r="AE106" s="44">
        <f>IF(ISNUMBER(tblData[[#This Row],[Day'# Aust]]),betaAu/(deltaAu+betaPodeltaAu*EXP(-betaAu*tblData[[#This Row],[Day'# Aust]])),"")</f>
        <v>206489313.35233516</v>
      </c>
      <c r="AF106" s="73">
        <f>IF(ISNUMBER(tblData[Day'# Aust]),tblData[Au LogiP(t)]/$AD$9,"")</f>
        <v>81410390.061636627</v>
      </c>
      <c r="AG106" s="11" t="str">
        <f>IF(AND(tblData[Date]&gt;=StartDt2Au,ISNUMBER(tblData[NSW])),(tblData[[#This Row],[Au LogiP(t)]]-tblData[[#This Row],[Au]])^2,"")</f>
        <v/>
      </c>
      <c r="AH106">
        <f>IF(tblData[Date]&gt;StartDt2NSW,tblData[Date]-StartDt2NSW,"")</f>
        <v>248</v>
      </c>
      <c r="AI106" t="str">
        <f t="shared" si="14"/>
        <v/>
      </c>
      <c r="AJ106" s="11">
        <f>IF(tblData[Date]&gt;StartDt2NSW,betaNSW/(deltaNSW+betaPodeltaNSW*EXP(-betaNSW*tblData[[#This Row],[Day '# NSW]])),"")</f>
        <v>2724.7105763852951</v>
      </c>
      <c r="AK106" s="12" t="str">
        <f>IF(AND(ISNUMBER(tblData[NSW]),tblData[Date]&gt;StartDt2NSW),(tblData[[#This Row],[NSW LogiP(t)]]-tblData[[#This Row],[NSW]])^2,"")</f>
        <v/>
      </c>
      <c r="AL106" s="44">
        <f>IF(AND(tblData[Date]&gt;StartDt2NSW,ISNUMBER(tblData[Day'# Aust])),tblData[NSW LogiP(t)]/$AG$9,"")</f>
        <v>3372.1665549322956</v>
      </c>
      <c r="AM106" s="11">
        <f>IF(AND(tblData[Date]&gt;StartDt2Italy,ISNUMBER(tblData[Days'# Italy])),betaItaly/(deltaItaly+betaPodeltaItaly*EXP(-betaItaly*tblData[Days'# Italy])),"")</f>
        <v>55402.511466544704</v>
      </c>
      <c r="AN106" s="11" t="str">
        <f>IF(AND(tblData[Date]&gt;StartDt2Italy,ISNUMBER(tblData[Italy])),(tblData[[#This Row],[Italy LogiP(t)]]-tblData[[#This Row],[Italy]])^2,"")</f>
        <v/>
      </c>
      <c r="AO106" s="44">
        <f>IF(AND(tblData[Date]&gt;StartDt2Italy,ISNUMBER(tblData[Days'# Italy])),tblData[[#This Row],[Italy LogiP(t)]]/$AM$9,"")</f>
        <v>9165.0143038121932</v>
      </c>
      <c r="AP106" s="21">
        <f>IF(ISNUMBER(tblData[[#This Row],[Days'# US]]),betaUS/(deltaUS+betaPodeltaUS*EXP(-betaUS*tblData[Days'# US])),"")</f>
        <v>347695292.01456201</v>
      </c>
      <c r="AQ106" s="11" t="str">
        <f>IF(ISNUMBER(tblData[US]),(tblData[[#This Row],[US LogiP(t)]]-tblData[US])^2,"")</f>
        <v/>
      </c>
      <c r="AR106" s="21">
        <f>IF(ISNUMBER(tblData[[#This Row],[Days'# US]]),tblData[[#This Row],[US LogiP(t)]]/$AP$9,"")</f>
        <v>10560935.286862548</v>
      </c>
      <c r="AS106" s="21">
        <f>IF(tblData[Date]&gt;=StartDt2Korea,betaSKorea/(deltaSKorea+betaPodeltaSKorea*EXP(-betaSKorea*(tblData[Date]-StartDt2Korea))),"")</f>
        <v>8319.4112738168697</v>
      </c>
      <c r="AT106" s="21" t="str">
        <f>IF(AND(tblData[Date]&gt;=StartDt2Korea,ISNUMBER(tblData[SKorea])),(tblData[[#This Row],[SKorea LogiP(t)]]-tblData[[#This Row],[SKorea]])^2,"")</f>
        <v/>
      </c>
      <c r="AU106" s="21">
        <f>IF(tblData[Date]&gt;=StartDt2Korea,tblData[[#This Row],[SKorea LogiP(t)]]/$AS$9,"")</f>
        <v>1618.5625046336322</v>
      </c>
      <c r="AV106" s="85">
        <f>IF(ISNUMBER(tblData[Days'# UK]),betaUK/(deltaUK+betaPodeltaUK*EXP(-betaUK*tblData[Days'# UK])),"")</f>
        <v>230595240.64806363</v>
      </c>
      <c r="AW106" s="85" t="str">
        <f>IF(ISNUMBER(tblData[UK]),(tblData[[#This Row],[UK LogiP(t)]]-tblData[[#This Row],[UK]])^2,"")</f>
        <v/>
      </c>
      <c r="AX106" s="85">
        <f>IF(ISNUMBER(tblData[Days'# UK]),tblData[[#This Row],[UK LogiP(t)]]/$AV$9,"")</f>
        <v>34707290.886222698</v>
      </c>
      <c r="AY106" s="11">
        <f>IF(ISNUMBER(tblData[Days'# China]),betaChina/(deltaChina+betaPodeltaChina*EXP(-betaChina*tblData[Days'# China])),"")</f>
        <v>80951.338704831564</v>
      </c>
      <c r="AZ106" s="11" t="str">
        <f>IF(ISNUMBER(tblData[China]),(tblData[[#This Row],[China LogiP(t)]]-tblData[[#This Row],[China]])^2,"")</f>
        <v/>
      </c>
      <c r="BA106" s="11">
        <f>tblData[[#This Row],[China LogiP(t)]]/$AY$9</f>
        <v>562.42618967778083</v>
      </c>
      <c r="BB106" s="11"/>
      <c r="BC106" s="11"/>
      <c r="BD106" s="11" t="str">
        <f>IF(ISNUMBER(tblData[[#This Row],[NSW Number of Tests]]),tblData[[#This Row],[NSW Number of Tests]]-BB105,"")</f>
        <v/>
      </c>
      <c r="BE106" s="11" t="str">
        <f>IF(ISNUMBER(tblData[[#This Row],[NSW Under Investigation'']]),tblData[[#This Row],[NSW Under Investigation'']]-BC105,"")</f>
        <v/>
      </c>
      <c r="BF106" s="11"/>
      <c r="BG106" s="11" t="str">
        <f>IF(ISNUMBER(tblData[[#This Row],[NSW Test Day Number]]),betaTest/(deltaTest+betaPodeltaTest*EXP(-betaTest*tblData[[#This Row],[NSW Test Day Number]])),"")</f>
        <v/>
      </c>
      <c r="BH106" s="11" t="str">
        <f>IF(ISNUMBER(tblData[[#This Row],[NSW Number of Tests]]),(tblData[[#This Row],[NSW Number of Tests]]-tblData[[#This Row],[NSW Test Logi]])^2,"")</f>
        <v/>
      </c>
      <c r="BY106"/>
      <c r="BZ106"/>
      <c r="CJ106" s="26"/>
      <c r="CK106" s="26"/>
      <c r="EH106" s="26"/>
      <c r="EI106" s="26"/>
      <c r="EJ106" s="26"/>
      <c r="EK106" s="26"/>
      <c r="EL106" s="26"/>
      <c r="EM106" s="26"/>
      <c r="EN106" s="26"/>
      <c r="EO106" s="26"/>
      <c r="EP106" s="26"/>
      <c r="EQ106" s="26"/>
      <c r="ER106" s="26"/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</row>
    <row r="107" spans="2:173" x14ac:dyDescent="0.25">
      <c r="B107" s="27">
        <f t="shared" si="12"/>
        <v>44110</v>
      </c>
      <c r="D107" s="26"/>
      <c r="L107" s="12" t="str">
        <f>IF(ISNUMBER(tblData[[#This Row],[NSW]]),tblData[[#This Row],[New South Wales]]/$L$9,"")</f>
        <v/>
      </c>
      <c r="M107" s="26"/>
      <c r="N107" s="49" t="str">
        <f>IF(ISNUMBER(tblData[Italy]),tblData[Italy]/$N$9,"")</f>
        <v/>
      </c>
      <c r="O107" s="26"/>
      <c r="P107" s="49" t="str">
        <f>IF(ISNUMBER(tblData[US]),tblData[US]/$P$9,"")</f>
        <v/>
      </c>
      <c r="Q107" s="49"/>
      <c r="R107" s="19" t="str">
        <f>IF(ISNUMBER(tblData[SKorea]),tblData[SKorea]/$R$9,"")</f>
        <v/>
      </c>
      <c r="S107" s="49"/>
      <c r="T107" s="12" t="str">
        <f>IF(ISNUMBER(tblData[UK]),tblData[UK]/$T$9,"")</f>
        <v/>
      </c>
      <c r="U107" s="26"/>
      <c r="V107" s="21" t="str">
        <f>IF(ISNUMBER(tblData[China]),tblData[China]/$V$9,"")</f>
        <v/>
      </c>
      <c r="W107" s="26">
        <f>IF(tblData[[#This Row],[Date]]&lt;ItalyStart,"",tblData[[#This Row],[Date]]-ItalyStart)</f>
        <v>250</v>
      </c>
      <c r="X107" s="26">
        <f t="shared" si="13"/>
        <v>240</v>
      </c>
      <c r="Y107" s="26">
        <f t="shared" si="11"/>
        <v>96</v>
      </c>
      <c r="Z107" s="26">
        <f>IF(tblData[[#This Row],[Date]]&lt;StartDt2Korea,"",tblData[[#This Row],[Date]]-StartDt2Korea)</f>
        <v>230</v>
      </c>
      <c r="AA107" s="26">
        <f>IF(tblData[[#This Row],[Date]]&lt;UKStart,"",tblData[[#This Row],[Date]]-UKStart)</f>
        <v>250</v>
      </c>
      <c r="AB107">
        <f>IF(tblData[Date]&gt;=StartDt2Au,tblData[Date]-StartDt2Au,"")</f>
        <v>255</v>
      </c>
      <c r="AC107" s="26" t="str">
        <f>IF(tblData[New South Wales]&gt;0,SUM(tblData[[#This Row],[Australian Capital Territory]:[Western Australia]]),"")</f>
        <v/>
      </c>
      <c r="AD107" s="12" t="str">
        <f>IF(ISNUMBER(tblData[Au]),tblData[Au]/$AA$9,"")</f>
        <v/>
      </c>
      <c r="AE107" s="44">
        <f>IF(ISNUMBER(tblData[[#This Row],[Day'# Aust]]),betaAu/(deltaAu+betaPodeltaAu*EXP(-betaAu*tblData[[#This Row],[Day'# Aust]])),"")</f>
        <v>206489313.35251996</v>
      </c>
      <c r="AF107" s="73">
        <f>IF(ISNUMBER(tblData[Day'# Aust]),tblData[Au LogiP(t)]/$AD$9,"")</f>
        <v>81410390.061709493</v>
      </c>
      <c r="AG107" s="11" t="str">
        <f>IF(AND(tblData[Date]&gt;=StartDt2Au,ISNUMBER(tblData[NSW])),(tblData[[#This Row],[Au LogiP(t)]]-tblData[[#This Row],[Au]])^2,"")</f>
        <v/>
      </c>
      <c r="AH107">
        <f>IF(tblData[Date]&gt;StartDt2NSW,tblData[Date]-StartDt2NSW,"")</f>
        <v>255</v>
      </c>
      <c r="AI107" s="26" t="str">
        <f t="shared" si="14"/>
        <v/>
      </c>
      <c r="AJ107" s="11">
        <f>IF(tblData[Date]&gt;StartDt2NSW,betaNSW/(deltaNSW+betaPodeltaNSW*EXP(-betaNSW*tblData[[#This Row],[Day '# NSW]])),"")</f>
        <v>2724.7105763852951</v>
      </c>
      <c r="AK107" s="12" t="str">
        <f>IF(AND(ISNUMBER(tblData[NSW]),tblData[Date]&gt;StartDt2NSW),(tblData[[#This Row],[NSW LogiP(t)]]-tblData[[#This Row],[NSW]])^2,"")</f>
        <v/>
      </c>
      <c r="AL107" s="44">
        <f>IF(AND(tblData[Date]&gt;StartDt2NSW,ISNUMBER(tblData[Day'# Aust])),tblData[NSW LogiP(t)]/$AG$9,"")</f>
        <v>3372.1665549322956</v>
      </c>
      <c r="AM107" s="11">
        <f>IF(AND(tblData[Date]&gt;StartDt2Italy,ISNUMBER(tblData[Days'# Italy])),betaItaly/(deltaItaly+betaPodeltaItaly*EXP(-betaItaly*tblData[Days'# Italy])),"")</f>
        <v>55402.511466544704</v>
      </c>
      <c r="AN107" s="11" t="str">
        <f>IF(AND(tblData[Date]&gt;StartDt2Italy,ISNUMBER(tblData[Italy])),(tblData[[#This Row],[Italy LogiP(t)]]-tblData[[#This Row],[Italy]])^2,"")</f>
        <v/>
      </c>
      <c r="AO107" s="44">
        <f>IF(AND(tblData[Date]&gt;StartDt2Italy,ISNUMBER(tblData[Days'# Italy])),tblData[[#This Row],[Italy LogiP(t)]]/$AM$9,"")</f>
        <v>9165.0143038121932</v>
      </c>
      <c r="AP107" s="21">
        <f>IF(ISNUMBER(tblData[[#This Row],[Days'# US]]),betaUS/(deltaUS+betaPodeltaUS*EXP(-betaUS*tblData[Days'# US])),"")</f>
        <v>347695292.01456201</v>
      </c>
      <c r="AQ107" s="11" t="str">
        <f>IF(ISNUMBER(tblData[US]),(tblData[[#This Row],[US LogiP(t)]]-tblData[US])^2,"")</f>
        <v/>
      </c>
      <c r="AR107" s="21">
        <f>IF(ISNUMBER(tblData[[#This Row],[Days'# US]]),tblData[[#This Row],[US LogiP(t)]]/$AP$9,"")</f>
        <v>10560935.286862548</v>
      </c>
      <c r="AS107" s="21">
        <f>IF(tblData[Date]&gt;=StartDt2Korea,betaSKorea/(deltaSKorea+betaPodeltaSKorea*EXP(-betaSKorea*(tblData[Date]-StartDt2Korea))),"")</f>
        <v>8319.4112738168697</v>
      </c>
      <c r="AT107" s="21" t="str">
        <f>IF(AND(tblData[Date]&gt;=StartDt2Korea,ISNUMBER(tblData[SKorea])),(tblData[[#This Row],[SKorea LogiP(t)]]-tblData[[#This Row],[SKorea]])^2,"")</f>
        <v/>
      </c>
      <c r="AU107" s="21">
        <f>IF(tblData[Date]&gt;=StartDt2Korea,tblData[[#This Row],[SKorea LogiP(t)]]/$AS$9,"")</f>
        <v>1618.5625046336322</v>
      </c>
      <c r="AV107" s="85">
        <f>IF(ISNUMBER(tblData[Days'# UK]),betaUK/(deltaUK+betaPodeltaUK*EXP(-betaUK*tblData[Days'# UK])),"")</f>
        <v>230595240.64806417</v>
      </c>
      <c r="AW107" s="85" t="str">
        <f>IF(ISNUMBER(tblData[UK]),(tblData[[#This Row],[UK LogiP(t)]]-tblData[[#This Row],[UK]])^2,"")</f>
        <v/>
      </c>
      <c r="AX107" s="85">
        <f>IF(ISNUMBER(tblData[Days'# UK]),tblData[[#This Row],[UK LogiP(t)]]/$AV$9,"")</f>
        <v>34707290.88622278</v>
      </c>
      <c r="AY107" s="11">
        <f>IF(ISNUMBER(tblData[Days'# China]),betaChina/(deltaChina+betaPodeltaChina*EXP(-betaChina*tblData[Days'# China])),"")</f>
        <v>80951.339274181373</v>
      </c>
      <c r="AZ107" s="11" t="str">
        <f>IF(ISNUMBER(tblData[China]),(tblData[[#This Row],[China LogiP(t)]]-tblData[[#This Row],[China]])^2,"")</f>
        <v/>
      </c>
      <c r="BA107" s="11">
        <f>tblData[[#This Row],[China LogiP(t)]]/$AY$9</f>
        <v>562.42619363345648</v>
      </c>
      <c r="BB107" s="11"/>
      <c r="BC107" s="11"/>
      <c r="BD107" s="11" t="str">
        <f>IF(ISNUMBER(tblData[[#This Row],[NSW Number of Tests]]),tblData[[#This Row],[NSW Number of Tests]]-BB106,"")</f>
        <v/>
      </c>
      <c r="BE107" s="11" t="str">
        <f>IF(ISNUMBER(tblData[[#This Row],[NSW Under Investigation'']]),tblData[[#This Row],[NSW Under Investigation'']]-BC106,"")</f>
        <v/>
      </c>
      <c r="BF107" s="11"/>
      <c r="BG107" s="11" t="str">
        <f>IF(ISNUMBER(tblData[[#This Row],[NSW Test Day Number]]),betaTest/(deltaTest+betaPodeltaTest*EXP(-betaTest*tblData[[#This Row],[NSW Test Day Number]])),"")</f>
        <v/>
      </c>
      <c r="BH107" s="11" t="str">
        <f>IF(ISNUMBER(tblData[[#This Row],[NSW Number of Tests]]),(tblData[[#This Row],[NSW Number of Tests]]-tblData[[#This Row],[NSW Test Logi]])^2,"")</f>
        <v/>
      </c>
      <c r="BY107"/>
      <c r="BZ107"/>
      <c r="CJ107" s="26"/>
      <c r="CK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</row>
    <row r="108" spans="2:173" s="26" customFormat="1" x14ac:dyDescent="0.25">
      <c r="B108" s="27">
        <f t="shared" si="12"/>
        <v>44117</v>
      </c>
      <c r="L108" s="12" t="str">
        <f>IF(ISNUMBER(tblData[[#This Row],[NSW]]),tblData[[#This Row],[New South Wales]]/$L$9,"")</f>
        <v/>
      </c>
      <c r="N108" s="49" t="str">
        <f>IF(ISNUMBER(tblData[Italy]),tblData[Italy]/$N$9,"")</f>
        <v/>
      </c>
      <c r="P108" s="49" t="str">
        <f>IF(ISNUMBER(tblData[US]),tblData[US]/$P$9,"")</f>
        <v/>
      </c>
      <c r="Q108" s="49"/>
      <c r="R108" s="19" t="str">
        <f>IF(ISNUMBER(tblData[SKorea]),tblData[SKorea]/$R$9,"")</f>
        <v/>
      </c>
      <c r="S108" s="49"/>
      <c r="T108" s="12" t="str">
        <f>IF(ISNUMBER(tblData[UK]),tblData[UK]/$T$9,"")</f>
        <v/>
      </c>
      <c r="V108" s="21" t="str">
        <f>IF(ISNUMBER(tblData[China]),tblData[China]/$V$9,"")</f>
        <v/>
      </c>
      <c r="W108" s="26">
        <f>IF(tblData[[#This Row],[Date]]&lt;ItalyStart,"",tblData[[#This Row],[Date]]-ItalyStart)</f>
        <v>257</v>
      </c>
      <c r="X108" s="26">
        <f t="shared" si="13"/>
        <v>247</v>
      </c>
      <c r="Y108" s="26">
        <f t="shared" ref="Y108" si="15">Y107+1</f>
        <v>97</v>
      </c>
      <c r="Z108" s="26">
        <f>IF(tblData[[#This Row],[Date]]&lt;StartDt2Korea,"",tblData[[#This Row],[Date]]-StartDt2Korea)</f>
        <v>237</v>
      </c>
      <c r="AA108" s="26">
        <f>IF(tblData[[#This Row],[Date]]&lt;UKStart,"",tblData[[#This Row],[Date]]-UKStart)</f>
        <v>257</v>
      </c>
      <c r="AB108" s="26">
        <f>IF(tblData[Date]&gt;=StartDt2Au,tblData[Date]-StartDt2Au,"")</f>
        <v>262</v>
      </c>
      <c r="AC108" s="26" t="str">
        <f>IF(tblData[New South Wales]&gt;0,SUM(tblData[[#This Row],[Australian Capital Territory]:[Western Australia]]),"")</f>
        <v/>
      </c>
      <c r="AD108" s="12" t="str">
        <f>IF(ISNUMBER(tblData[Au]),tblData[Au]/$AA$9,"")</f>
        <v/>
      </c>
      <c r="AE108" s="44">
        <f>IF(ISNUMBER(tblData[[#This Row],[Day'# Aust]]),betaAu/(deltaAu+betaPodeltaAu*EXP(-betaAu*tblData[[#This Row],[Day'# Aust]])),"")</f>
        <v>206489313.3525635</v>
      </c>
      <c r="AF108" s="73">
        <f>IF(ISNUMBER(tblData[Day'# Aust]),tblData[Au LogiP(t)]/$AD$9,"")</f>
        <v>81410390.06172666</v>
      </c>
      <c r="AG108" s="11" t="str">
        <f>IF(AND(tblData[Date]&gt;=StartDt2Au,ISNUMBER(tblData[NSW])),(tblData[[#This Row],[Au LogiP(t)]]-tblData[[#This Row],[Au]])^2,"")</f>
        <v/>
      </c>
      <c r="AH108" s="26">
        <f>IF(tblData[Date]&gt;StartDt2NSW,tblData[Date]-StartDt2NSW,"")</f>
        <v>262</v>
      </c>
      <c r="AI108" s="26" t="str">
        <f t="shared" si="14"/>
        <v/>
      </c>
      <c r="AJ108" s="11">
        <f>IF(tblData[Date]&gt;StartDt2NSW,betaNSW/(deltaNSW+betaPodeltaNSW*EXP(-betaNSW*tblData[[#This Row],[Day '# NSW]])),"")</f>
        <v>2724.7105763852951</v>
      </c>
      <c r="AK108" s="12" t="str">
        <f>IF(AND(ISNUMBER(tblData[NSW]),tblData[Date]&gt;StartDt2NSW),(tblData[[#This Row],[NSW LogiP(t)]]-tblData[[#This Row],[NSW]])^2,"")</f>
        <v/>
      </c>
      <c r="AL108" s="44">
        <f>IF(AND(tblData[Date]&gt;StartDt2NSW,ISNUMBER(tblData[Day'# Aust])),tblData[NSW LogiP(t)]/$AG$9,"")</f>
        <v>3372.1665549322956</v>
      </c>
      <c r="AM108" s="11">
        <f>IF(AND(tblData[Date]&gt;StartDt2Italy,ISNUMBER(tblData[Days'# Italy])),betaItaly/(deltaItaly+betaPodeltaItaly*EXP(-betaItaly*tblData[Days'# Italy])),"")</f>
        <v>55402.511466544704</v>
      </c>
      <c r="AN108" s="11" t="str">
        <f>IF(AND(tblData[Date]&gt;StartDt2Italy,ISNUMBER(tblData[Italy])),(tblData[[#This Row],[Italy LogiP(t)]]-tblData[[#This Row],[Italy]])^2,"")</f>
        <v/>
      </c>
      <c r="AO108" s="44">
        <f>IF(AND(tblData[Date]&gt;StartDt2Italy,ISNUMBER(tblData[Days'# Italy])),tblData[[#This Row],[Italy LogiP(t)]]/$AM$9,"")</f>
        <v>9165.0143038121932</v>
      </c>
      <c r="AP108" s="21">
        <f>IF(ISNUMBER(tblData[[#This Row],[Days'# US]]),betaUS/(deltaUS+betaPodeltaUS*EXP(-betaUS*tblData[Days'# US])),"")</f>
        <v>347695292.01456201</v>
      </c>
      <c r="AQ108" s="11" t="str">
        <f>IF(ISNUMBER(tblData[US]),(tblData[[#This Row],[US LogiP(t)]]-tblData[US])^2,"")</f>
        <v/>
      </c>
      <c r="AR108" s="21">
        <f>IF(ISNUMBER(tblData[[#This Row],[Days'# US]]),tblData[[#This Row],[US LogiP(t)]]/$AP$9,"")</f>
        <v>10560935.286862548</v>
      </c>
      <c r="AS108" s="21">
        <f>IF(tblData[Date]&gt;=StartDt2Korea,betaSKorea/(deltaSKorea+betaPodeltaSKorea*EXP(-betaSKorea*(tblData[Date]-StartDt2Korea))),"")</f>
        <v>8319.4112738168697</v>
      </c>
      <c r="AT108" s="21" t="str">
        <f>IF(AND(tblData[Date]&gt;=StartDt2Korea,ISNUMBER(tblData[SKorea])),(tblData[[#This Row],[SKorea LogiP(t)]]-tblData[[#This Row],[SKorea]])^2,"")</f>
        <v/>
      </c>
      <c r="AU108" s="21">
        <f>IF(tblData[Date]&gt;=StartDt2Korea,tblData[[#This Row],[SKorea LogiP(t)]]/$AS$9,"")</f>
        <v>1618.5625046336322</v>
      </c>
      <c r="AV108" s="85">
        <f>IF(ISNUMBER(tblData[Days'# UK]),betaUK/(deltaUK+betaPodeltaUK*EXP(-betaUK*tblData[Days'# UK])),"")</f>
        <v>230595240.64806426</v>
      </c>
      <c r="AW108" s="85" t="str">
        <f>IF(ISNUMBER(tblData[UK]),(tblData[[#This Row],[UK LogiP(t)]]-tblData[[#This Row],[UK]])^2,"")</f>
        <v/>
      </c>
      <c r="AX108" s="85">
        <f>IF(ISNUMBER(tblData[Days'# UK]),tblData[[#This Row],[UK LogiP(t)]]/$AV$9,"")</f>
        <v>34707290.886222795</v>
      </c>
      <c r="AY108" s="11">
        <f>IF(ISNUMBER(tblData[Days'# China]),betaChina/(deltaChina+betaPodeltaChina*EXP(-betaChina*tblData[Days'# China])),"")</f>
        <v>80951.339730117208</v>
      </c>
      <c r="AZ108" s="11" t="str">
        <f>IF(ISNUMBER(tblData[China]),(tblData[[#This Row],[China LogiP(t)]]-tblData[[#This Row],[China]])^2,"")</f>
        <v/>
      </c>
      <c r="BA108" s="11">
        <f>tblData[[#This Row],[China LogiP(t)]]/$AY$9</f>
        <v>562.42619680116513</v>
      </c>
      <c r="BB108" s="11"/>
      <c r="BC108" s="11"/>
      <c r="BD108" s="11" t="str">
        <f>IF(ISNUMBER(tblData[[#This Row],[NSW Number of Tests]]),tblData[[#This Row],[NSW Number of Tests]]-BB107,"")</f>
        <v/>
      </c>
      <c r="BE108" s="11" t="str">
        <f>IF(ISNUMBER(tblData[[#This Row],[NSW Under Investigation'']]),tblData[[#This Row],[NSW Under Investigation'']]-BC107,"")</f>
        <v/>
      </c>
      <c r="BF108" s="11"/>
      <c r="BG108" s="11" t="str">
        <f>IF(ISNUMBER(tblData[[#This Row],[NSW Test Day Number]]),betaTest/(deltaTest+betaPodeltaTest*EXP(-betaTest*tblData[[#This Row],[NSW Test Day Number]])),"")</f>
        <v/>
      </c>
      <c r="BH108" s="11" t="str">
        <f>IF(ISNUMBER(tblData[[#This Row],[NSW Number of Tests]]),(tblData[[#This Row],[NSW Number of Tests]]-tblData[[#This Row],[NSW Test Logi]])^2,"")</f>
        <v/>
      </c>
      <c r="BK108"/>
      <c r="BM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L108"/>
      <c r="CM108"/>
      <c r="CN108"/>
      <c r="CO108"/>
      <c r="CP108"/>
      <c r="CQ108"/>
      <c r="CR108"/>
      <c r="CS108"/>
      <c r="CT108"/>
      <c r="CU108"/>
      <c r="CV108"/>
      <c r="DE108"/>
      <c r="DF108" s="82"/>
      <c r="DG108" s="27"/>
      <c r="DH108" s="27"/>
      <c r="DI108"/>
      <c r="DJ108"/>
      <c r="DK108"/>
      <c r="DL108"/>
      <c r="DM108"/>
      <c r="DN108"/>
      <c r="DO108"/>
      <c r="DP108"/>
      <c r="DQ108"/>
      <c r="DR108" s="27"/>
      <c r="DS108"/>
      <c r="DT108"/>
      <c r="DU108"/>
      <c r="DV108" s="27"/>
      <c r="DW108"/>
      <c r="DX108"/>
      <c r="DY108"/>
      <c r="DZ108"/>
      <c r="EA108"/>
      <c r="EB108"/>
      <c r="EC108"/>
      <c r="ED108"/>
      <c r="EE108"/>
      <c r="EF108"/>
      <c r="EG108"/>
    </row>
    <row r="109" spans="2:173" s="26" customFormat="1" x14ac:dyDescent="0.25">
      <c r="B109" s="27">
        <f t="shared" si="12"/>
        <v>44124</v>
      </c>
      <c r="L109" s="12" t="str">
        <f>IF(ISNUMBER(tblData[[#This Row],[NSW]]),tblData[[#This Row],[New South Wales]]/$L$9,"")</f>
        <v/>
      </c>
      <c r="N109" s="49" t="str">
        <f>IF(ISNUMBER(tblData[Italy]),tblData[Italy]/$N$9,"")</f>
        <v/>
      </c>
      <c r="P109" s="49" t="str">
        <f>IF(ISNUMBER(tblData[US]),tblData[US]/$P$9,"")</f>
        <v/>
      </c>
      <c r="Q109" s="49"/>
      <c r="R109" s="19" t="str">
        <f>IF(ISNUMBER(tblData[SKorea]),tblData[SKorea]/$R$9,"")</f>
        <v/>
      </c>
      <c r="S109" s="49"/>
      <c r="T109" s="12" t="str">
        <f>IF(ISNUMBER(tblData[UK]),tblData[UK]/$T$9,"")</f>
        <v/>
      </c>
      <c r="V109" s="21" t="str">
        <f>IF(ISNUMBER(tblData[China]),tblData[China]/$V$9,"")</f>
        <v/>
      </c>
      <c r="W109" s="26">
        <f>IF(tblData[[#This Row],[Date]]&lt;ItalyStart,"",tblData[[#This Row],[Date]]-ItalyStart)</f>
        <v>264</v>
      </c>
      <c r="X109" s="26">
        <f t="shared" si="13"/>
        <v>254</v>
      </c>
      <c r="Y109" s="26">
        <f t="shared" ref="Y109" si="16">Y108+1</f>
        <v>98</v>
      </c>
      <c r="Z109" s="26">
        <f>IF(tblData[[#This Row],[Date]]&lt;StartDt2Korea,"",tblData[[#This Row],[Date]]-StartDt2Korea)</f>
        <v>244</v>
      </c>
      <c r="AA109" s="26">
        <f>IF(tblData[[#This Row],[Date]]&lt;UKStart,"",tblData[[#This Row],[Date]]-UKStart)</f>
        <v>264</v>
      </c>
      <c r="AB109" s="26">
        <f>IF(tblData[Date]&gt;=StartDt2Au,tblData[Date]-StartDt2Au,"")</f>
        <v>269</v>
      </c>
      <c r="AC109" s="26" t="str">
        <f>IF(tblData[New South Wales]&gt;0,SUM(tblData[[#This Row],[Australian Capital Territory]:[Western Australia]]),"")</f>
        <v/>
      </c>
      <c r="AD109" s="12" t="str">
        <f>IF(ISNUMBER(tblData[Au]),tblData[Au]/$AA$9,"")</f>
        <v/>
      </c>
      <c r="AE109" s="44">
        <f>IF(ISNUMBER(tblData[[#This Row],[Day'# Aust]]),betaAu/(deltaAu+betaPodeltaAu*EXP(-betaAu*tblData[[#This Row],[Day'# Aust]])),"")</f>
        <v>206489313.35257375</v>
      </c>
      <c r="AF109" s="73">
        <f>IF(ISNUMBER(tblData[Day'# Aust]),tblData[Au LogiP(t)]/$AD$9,"")</f>
        <v>81410390.061730698</v>
      </c>
      <c r="AG109" s="11" t="str">
        <f>IF(AND(tblData[Date]&gt;=StartDt2Au,ISNUMBER(tblData[NSW])),(tblData[[#This Row],[Au LogiP(t)]]-tblData[[#This Row],[Au]])^2,"")</f>
        <v/>
      </c>
      <c r="AH109" s="26">
        <f>IF(tblData[Date]&gt;StartDt2NSW,tblData[Date]-StartDt2NSW,"")</f>
        <v>269</v>
      </c>
      <c r="AI109" s="26" t="str">
        <f t="shared" si="14"/>
        <v/>
      </c>
      <c r="AJ109" s="11">
        <f>IF(tblData[Date]&gt;StartDt2NSW,betaNSW/(deltaNSW+betaPodeltaNSW*EXP(-betaNSW*tblData[[#This Row],[Day '# NSW]])),"")</f>
        <v>2724.7105763852951</v>
      </c>
      <c r="AK109" s="12" t="str">
        <f>IF(AND(ISNUMBER(tblData[NSW]),tblData[Date]&gt;StartDt2NSW),(tblData[[#This Row],[NSW LogiP(t)]]-tblData[[#This Row],[NSW]])^2,"")</f>
        <v/>
      </c>
      <c r="AL109" s="44">
        <f>IF(AND(tblData[Date]&gt;StartDt2NSW,ISNUMBER(tblData[Day'# Aust])),tblData[NSW LogiP(t)]/$AG$9,"")</f>
        <v>3372.1665549322956</v>
      </c>
      <c r="AM109" s="11">
        <f>IF(AND(tblData[Date]&gt;StartDt2Italy,ISNUMBER(tblData[Days'# Italy])),betaItaly/(deltaItaly+betaPodeltaItaly*EXP(-betaItaly*tblData[Days'# Italy])),"")</f>
        <v>55402.511466544704</v>
      </c>
      <c r="AN109" s="11" t="str">
        <f>IF(AND(tblData[Date]&gt;StartDt2Italy,ISNUMBER(tblData[Italy])),(tblData[[#This Row],[Italy LogiP(t)]]-tblData[[#This Row],[Italy]])^2,"")</f>
        <v/>
      </c>
      <c r="AO109" s="44">
        <f>IF(AND(tblData[Date]&gt;StartDt2Italy,ISNUMBER(tblData[Days'# Italy])),tblData[[#This Row],[Italy LogiP(t)]]/$AM$9,"")</f>
        <v>9165.0143038121932</v>
      </c>
      <c r="AP109" s="21">
        <f>IF(ISNUMBER(tblData[[#This Row],[Days'# US]]),betaUS/(deltaUS+betaPodeltaUS*EXP(-betaUS*tblData[Days'# US])),"")</f>
        <v>347695292.01456201</v>
      </c>
      <c r="AQ109" s="11" t="str">
        <f>IF(ISNUMBER(tblData[US]),(tblData[[#This Row],[US LogiP(t)]]-tblData[US])^2,"")</f>
        <v/>
      </c>
      <c r="AR109" s="21">
        <f>IF(ISNUMBER(tblData[[#This Row],[Days'# US]]),tblData[[#This Row],[US LogiP(t)]]/$AP$9,"")</f>
        <v>10560935.286862548</v>
      </c>
      <c r="AS109" s="21">
        <f>IF(tblData[Date]&gt;=StartDt2Korea,betaSKorea/(deltaSKorea+betaPodeltaSKorea*EXP(-betaSKorea*(tblData[Date]-StartDt2Korea))),"")</f>
        <v>8319.4112738168697</v>
      </c>
      <c r="AT109" s="21" t="str">
        <f>IF(AND(tblData[Date]&gt;=StartDt2Korea,ISNUMBER(tblData[SKorea])),(tblData[[#This Row],[SKorea LogiP(t)]]-tblData[[#This Row],[SKorea]])^2,"")</f>
        <v/>
      </c>
      <c r="AU109" s="21">
        <f>IF(tblData[Date]&gt;=StartDt2Korea,tblData[[#This Row],[SKorea LogiP(t)]]/$AS$9,"")</f>
        <v>1618.5625046336322</v>
      </c>
      <c r="AV109" s="85">
        <f>IF(ISNUMBER(tblData[Days'# UK]),betaUK/(deltaUK+betaPodeltaUK*EXP(-betaUK*tblData[Days'# UK])),"")</f>
        <v>230595240.64806432</v>
      </c>
      <c r="AW109" s="85" t="str">
        <f>IF(ISNUMBER(tblData[UK]),(tblData[[#This Row],[UK LogiP(t)]]-tblData[[#This Row],[UK]])^2,"")</f>
        <v/>
      </c>
      <c r="AX109" s="85">
        <f>IF(ISNUMBER(tblData[Days'# UK]),tblData[[#This Row],[UK LogiP(t)]]/$AV$9,"")</f>
        <v>34707290.886222802</v>
      </c>
      <c r="AY109" s="11">
        <f>IF(ISNUMBER(tblData[Days'# China]),betaChina/(deltaChina+betaPodeltaChina*EXP(-betaChina*tblData[Days'# China])),"")</f>
        <v>80951.340095230989</v>
      </c>
      <c r="AZ109" s="11" t="str">
        <f>IF(ISNUMBER(tblData[China]),(tblData[[#This Row],[China LogiP(t)]]-tblData[[#This Row],[China]])^2,"")</f>
        <v/>
      </c>
      <c r="BA109" s="11">
        <f>tblData[[#This Row],[China LogiP(t)]]/$AY$9</f>
        <v>562.42619933786875</v>
      </c>
      <c r="BB109" s="11"/>
      <c r="BC109" s="11"/>
      <c r="BD109" s="11" t="str">
        <f>IF(ISNUMBER(tblData[[#This Row],[NSW Number of Tests]]),tblData[[#This Row],[NSW Number of Tests]]-BB108,"")</f>
        <v/>
      </c>
      <c r="BE109" s="11" t="str">
        <f>IF(ISNUMBER(tblData[[#This Row],[NSW Under Investigation'']]),tblData[[#This Row],[NSW Under Investigation'']]-BC108,"")</f>
        <v/>
      </c>
      <c r="BF109" s="11"/>
      <c r="BG109" s="11" t="str">
        <f>IF(ISNUMBER(tblData[[#This Row],[NSW Test Day Number]]),betaTest/(deltaTest+betaPodeltaTest*EXP(-betaTest*tblData[[#This Row],[NSW Test Day Number]])),"")</f>
        <v/>
      </c>
      <c r="BH109" s="11" t="str">
        <f>IF(ISNUMBER(tblData[[#This Row],[NSW Number of Tests]]),(tblData[[#This Row],[NSW Number of Tests]]-tblData[[#This Row],[NSW Test Logi]])^2,"")</f>
        <v/>
      </c>
      <c r="BK109"/>
      <c r="BM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L109"/>
      <c r="CM109"/>
      <c r="CN109"/>
      <c r="CO109"/>
      <c r="CP109"/>
      <c r="CQ109"/>
      <c r="CR109"/>
      <c r="CS109"/>
      <c r="CT109"/>
      <c r="CU109"/>
      <c r="CV109"/>
      <c r="DE109"/>
      <c r="DF109" s="82"/>
      <c r="DG109" s="27"/>
      <c r="DH109" s="27"/>
      <c r="DI109"/>
      <c r="DJ109"/>
      <c r="DK109"/>
      <c r="DL109"/>
      <c r="DM109"/>
      <c r="DN109"/>
      <c r="DO109"/>
      <c r="DP109"/>
      <c r="DQ109"/>
      <c r="DR109" s="27"/>
      <c r="DS109"/>
      <c r="DT109"/>
      <c r="DU109"/>
      <c r="DV109" s="27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</row>
    <row r="110" spans="2:173" s="26" customFormat="1" x14ac:dyDescent="0.25">
      <c r="B110" s="27">
        <f t="shared" si="12"/>
        <v>44131</v>
      </c>
      <c r="L110" s="12" t="str">
        <f>IF(ISNUMBER(tblData[[#This Row],[NSW]]),tblData[[#This Row],[New South Wales]]/$L$9,"")</f>
        <v/>
      </c>
      <c r="N110" s="49" t="str">
        <f>IF(ISNUMBER(tblData[Italy]),tblData[Italy]/$N$9,"")</f>
        <v/>
      </c>
      <c r="P110" s="49" t="str">
        <f>IF(ISNUMBER(tblData[US]),tblData[US]/$P$9,"")</f>
        <v/>
      </c>
      <c r="Q110" s="49"/>
      <c r="R110" s="19" t="str">
        <f>IF(ISNUMBER(tblData[SKorea]),tblData[SKorea]/$R$9,"")</f>
        <v/>
      </c>
      <c r="S110" s="49"/>
      <c r="T110" s="12" t="str">
        <f>IF(ISNUMBER(tblData[UK]),tblData[UK]/$T$9,"")</f>
        <v/>
      </c>
      <c r="V110" s="21" t="str">
        <f>IF(ISNUMBER(tblData[China]),tblData[China]/$V$9,"")</f>
        <v/>
      </c>
      <c r="W110" s="26">
        <f>IF(tblData[[#This Row],[Date]]&lt;ItalyStart,"",tblData[[#This Row],[Date]]-ItalyStart)</f>
        <v>271</v>
      </c>
      <c r="X110" s="26">
        <f t="shared" si="13"/>
        <v>261</v>
      </c>
      <c r="Y110" s="26">
        <f t="shared" ref="Y110" si="17">Y109+1</f>
        <v>99</v>
      </c>
      <c r="Z110" s="26">
        <f>IF(tblData[[#This Row],[Date]]&lt;StartDt2Korea,"",tblData[[#This Row],[Date]]-StartDt2Korea)</f>
        <v>251</v>
      </c>
      <c r="AA110" s="26">
        <f>IF(tblData[[#This Row],[Date]]&lt;UKStart,"",tblData[[#This Row],[Date]]-UKStart)</f>
        <v>271</v>
      </c>
      <c r="AB110" s="26">
        <f>IF(tblData[Date]&gt;=StartDt2Au,tblData[Date]-StartDt2Au,"")</f>
        <v>276</v>
      </c>
      <c r="AC110" s="26" t="str">
        <f>IF(tblData[New South Wales]&gt;0,SUM(tblData[[#This Row],[Australian Capital Territory]:[Western Australia]]),"")</f>
        <v/>
      </c>
      <c r="AD110" s="12" t="str">
        <f>IF(ISNUMBER(tblData[Au]),tblData[Au]/$AA$9,"")</f>
        <v/>
      </c>
      <c r="AE110" s="44">
        <f>IF(ISNUMBER(tblData[[#This Row],[Day'# Aust]]),betaAu/(deltaAu+betaPodeltaAu*EXP(-betaAu*tblData[[#This Row],[Day'# Aust]])),"")</f>
        <v>206489313.3525762</v>
      </c>
      <c r="AF110" s="73">
        <f>IF(ISNUMBER(tblData[Day'# Aust]),tblData[Au LogiP(t)]/$AD$9,"")</f>
        <v>81410390.061731666</v>
      </c>
      <c r="AG110" s="11" t="str">
        <f>IF(AND(tblData[Date]&gt;=StartDt2Au,ISNUMBER(tblData[NSW])),(tblData[[#This Row],[Au LogiP(t)]]-tblData[[#This Row],[Au]])^2,"")</f>
        <v/>
      </c>
      <c r="AH110" s="26">
        <f>IF(tblData[Date]&gt;StartDt2NSW,tblData[Date]-StartDt2NSW,"")</f>
        <v>276</v>
      </c>
      <c r="AI110" s="26" t="str">
        <f t="shared" si="14"/>
        <v/>
      </c>
      <c r="AJ110" s="11">
        <f>IF(tblData[Date]&gt;StartDt2NSW,betaNSW/(deltaNSW+betaPodeltaNSW*EXP(-betaNSW*tblData[[#This Row],[Day '# NSW]])),"")</f>
        <v>2724.7105763852951</v>
      </c>
      <c r="AK110" s="12" t="str">
        <f>IF(AND(ISNUMBER(tblData[NSW]),tblData[Date]&gt;StartDt2NSW),(tblData[[#This Row],[NSW LogiP(t)]]-tblData[[#This Row],[NSW]])^2,"")</f>
        <v/>
      </c>
      <c r="AL110" s="44">
        <f>IF(AND(tblData[Date]&gt;StartDt2NSW,ISNUMBER(tblData[Day'# Aust])),tblData[NSW LogiP(t)]/$AG$9,"")</f>
        <v>3372.1665549322956</v>
      </c>
      <c r="AM110" s="11">
        <f>IF(AND(tblData[Date]&gt;StartDt2Italy,ISNUMBER(tblData[Days'# Italy])),betaItaly/(deltaItaly+betaPodeltaItaly*EXP(-betaItaly*tblData[Days'# Italy])),"")</f>
        <v>55402.511466544704</v>
      </c>
      <c r="AN110" s="11" t="str">
        <f>IF(AND(tblData[Date]&gt;StartDt2Italy,ISNUMBER(tblData[Italy])),(tblData[[#This Row],[Italy LogiP(t)]]-tblData[[#This Row],[Italy]])^2,"")</f>
        <v/>
      </c>
      <c r="AO110" s="44">
        <f>IF(AND(tblData[Date]&gt;StartDt2Italy,ISNUMBER(tblData[Days'# Italy])),tblData[[#This Row],[Italy LogiP(t)]]/$AM$9,"")</f>
        <v>9165.0143038121932</v>
      </c>
      <c r="AP110" s="21">
        <f>IF(ISNUMBER(tblData[[#This Row],[Days'# US]]),betaUS/(deltaUS+betaPodeltaUS*EXP(-betaUS*tblData[Days'# US])),"")</f>
        <v>347695292.01456201</v>
      </c>
      <c r="AQ110" s="11" t="str">
        <f>IF(ISNUMBER(tblData[US]),(tblData[[#This Row],[US LogiP(t)]]-tblData[US])^2,"")</f>
        <v/>
      </c>
      <c r="AR110" s="21">
        <f>IF(ISNUMBER(tblData[[#This Row],[Days'# US]]),tblData[[#This Row],[US LogiP(t)]]/$AP$9,"")</f>
        <v>10560935.286862548</v>
      </c>
      <c r="AS110" s="21">
        <f>IF(tblData[Date]&gt;=StartDt2Korea,betaSKorea/(deltaSKorea+betaPodeltaSKorea*EXP(-betaSKorea*(tblData[Date]-StartDt2Korea))),"")</f>
        <v>8319.4112738168697</v>
      </c>
      <c r="AT110" s="21" t="str">
        <f>IF(AND(tblData[Date]&gt;=StartDt2Korea,ISNUMBER(tblData[SKorea])),(tblData[[#This Row],[SKorea LogiP(t)]]-tblData[[#This Row],[SKorea]])^2,"")</f>
        <v/>
      </c>
      <c r="AU110" s="21">
        <f>IF(tblData[Date]&gt;=StartDt2Korea,tblData[[#This Row],[SKorea LogiP(t)]]/$AS$9,"")</f>
        <v>1618.5625046336322</v>
      </c>
      <c r="AV110" s="85">
        <f>IF(ISNUMBER(tblData[Days'# UK]),betaUK/(deltaUK+betaPodeltaUK*EXP(-betaUK*tblData[Days'# UK])),"")</f>
        <v>230595240.64806432</v>
      </c>
      <c r="AW110" s="85" t="str">
        <f>IF(ISNUMBER(tblData[UK]),(tblData[[#This Row],[UK LogiP(t)]]-tblData[[#This Row],[UK]])^2,"")</f>
        <v/>
      </c>
      <c r="AX110" s="85">
        <f>IF(ISNUMBER(tblData[Days'# UK]),tblData[[#This Row],[UK LogiP(t)]]/$AV$9,"")</f>
        <v>34707290.886222802</v>
      </c>
      <c r="AY110" s="11">
        <f>IF(ISNUMBER(tblData[Days'# China]),betaChina/(deltaChina+betaPodeltaChina*EXP(-betaChina*tblData[Days'# China])),"")</f>
        <v>80951.340387614429</v>
      </c>
      <c r="AZ110" s="11" t="str">
        <f>IF(ISNUMBER(tblData[China]),(tblData[[#This Row],[China LogiP(t)]]-tblData[[#This Row],[China]])^2,"")</f>
        <v/>
      </c>
      <c r="BA110" s="11">
        <f>tblData[[#This Row],[China LogiP(t)]]/$AY$9</f>
        <v>562.42620136926325</v>
      </c>
      <c r="BB110" s="11"/>
      <c r="BC110" s="11"/>
      <c r="BD110" s="11" t="str">
        <f>IF(ISNUMBER(tblData[[#This Row],[NSW Number of Tests]]),tblData[[#This Row],[NSW Number of Tests]]-BB109,"")</f>
        <v/>
      </c>
      <c r="BE110" s="11" t="str">
        <f>IF(ISNUMBER(tblData[[#This Row],[NSW Under Investigation'']]),tblData[[#This Row],[NSW Under Investigation'']]-BC109,"")</f>
        <v/>
      </c>
      <c r="BF110" s="11"/>
      <c r="BG110" s="11" t="str">
        <f>IF(ISNUMBER(tblData[[#This Row],[NSW Test Day Number]]),betaTest/(deltaTest+betaPodeltaTest*EXP(-betaTest*tblData[[#This Row],[NSW Test Day Number]])),"")</f>
        <v/>
      </c>
      <c r="BH110" s="11" t="str">
        <f>IF(ISNUMBER(tblData[[#This Row],[NSW Number of Tests]]),(tblData[[#This Row],[NSW Number of Tests]]-tblData[[#This Row],[NSW Test Logi]])^2,"")</f>
        <v/>
      </c>
      <c r="DE110"/>
      <c r="DF110" s="82"/>
      <c r="DG110" s="27"/>
      <c r="DH110" s="27"/>
      <c r="DI110"/>
      <c r="DJ110"/>
      <c r="DK110"/>
      <c r="DL110"/>
      <c r="DM110"/>
      <c r="DN110"/>
      <c r="DO110"/>
      <c r="DP110"/>
      <c r="DQ110"/>
      <c r="DR110" s="27"/>
      <c r="DS110"/>
      <c r="DT110"/>
      <c r="DU110"/>
      <c r="DV110" s="27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</row>
    <row r="111" spans="2:173" s="26" customFormat="1" x14ac:dyDescent="0.25">
      <c r="B111" s="27">
        <f t="shared" si="12"/>
        <v>44138</v>
      </c>
      <c r="L111" s="12" t="str">
        <f>IF(ISNUMBER(tblData[[#This Row],[NSW]]),tblData[[#This Row],[New South Wales]]/$L$9,"")</f>
        <v/>
      </c>
      <c r="N111" s="49" t="str">
        <f>IF(ISNUMBER(tblData[Italy]),tblData[Italy]/$N$9,"")</f>
        <v/>
      </c>
      <c r="P111" s="49" t="str">
        <f>IF(ISNUMBER(tblData[US]),tblData[US]/$P$9,"")</f>
        <v/>
      </c>
      <c r="Q111" s="49"/>
      <c r="R111" s="19" t="str">
        <f>IF(ISNUMBER(tblData[SKorea]),tblData[SKorea]/$R$9,"")</f>
        <v/>
      </c>
      <c r="S111" s="49"/>
      <c r="T111" s="12" t="str">
        <f>IF(ISNUMBER(tblData[UK]),tblData[UK]/$T$9,"")</f>
        <v/>
      </c>
      <c r="V111" s="21" t="str">
        <f>IF(ISNUMBER(tblData[China]),tblData[China]/$V$9,"")</f>
        <v/>
      </c>
      <c r="W111" s="26">
        <f>IF(tblData[[#This Row],[Date]]&lt;ItalyStart,"",tblData[[#This Row],[Date]]-ItalyStart)</f>
        <v>278</v>
      </c>
      <c r="X111" s="26">
        <f t="shared" si="13"/>
        <v>268</v>
      </c>
      <c r="Y111" s="26">
        <f t="shared" ref="Y111" si="18">Y110+1</f>
        <v>100</v>
      </c>
      <c r="Z111" s="26">
        <f>IF(tblData[[#This Row],[Date]]&lt;StartDt2Korea,"",tblData[[#This Row],[Date]]-StartDt2Korea)</f>
        <v>258</v>
      </c>
      <c r="AA111" s="26">
        <f>IF(tblData[[#This Row],[Date]]&lt;UKStart,"",tblData[[#This Row],[Date]]-UKStart)</f>
        <v>278</v>
      </c>
      <c r="AB111" s="26">
        <f>IF(tblData[Date]&gt;=StartDt2Au,tblData[Date]-StartDt2Au,"")</f>
        <v>283</v>
      </c>
      <c r="AC111" s="26" t="str">
        <f>IF(tblData[New South Wales]&gt;0,SUM(tblData[[#This Row],[Australian Capital Territory]:[Western Australia]]),"")</f>
        <v/>
      </c>
      <c r="AD111" s="12" t="str">
        <f>IF(ISNUMBER(tblData[Au]),tblData[Au]/$AA$9,"")</f>
        <v/>
      </c>
      <c r="AE111" s="44">
        <f>IF(ISNUMBER(tblData[[#This Row],[Day'# Aust]]),betaAu/(deltaAu+betaPodeltaAu*EXP(-betaAu*tblData[[#This Row],[Day'# Aust]])),"")</f>
        <v>206489313.35257673</v>
      </c>
      <c r="AF111" s="73">
        <f>IF(ISNUMBER(tblData[Day'# Aust]),tblData[Au LogiP(t)]/$AD$9,"")</f>
        <v>81410390.061731875</v>
      </c>
      <c r="AG111" s="11" t="str">
        <f>IF(AND(tblData[Date]&gt;=StartDt2Au,ISNUMBER(tblData[NSW])),(tblData[[#This Row],[Au LogiP(t)]]-tblData[[#This Row],[Au]])^2,"")</f>
        <v/>
      </c>
      <c r="AH111" s="26">
        <f>IF(tblData[Date]&gt;StartDt2NSW,tblData[Date]-StartDt2NSW,"")</f>
        <v>283</v>
      </c>
      <c r="AI111" s="26" t="str">
        <f t="shared" si="14"/>
        <v/>
      </c>
      <c r="AJ111" s="11">
        <f>IF(tblData[Date]&gt;StartDt2NSW,betaNSW/(deltaNSW+betaPodeltaNSW*EXP(-betaNSW*tblData[[#This Row],[Day '# NSW]])),"")</f>
        <v>2724.7105763852951</v>
      </c>
      <c r="AK111" s="12" t="str">
        <f>IF(AND(ISNUMBER(tblData[NSW]),tblData[Date]&gt;StartDt2NSW),(tblData[[#This Row],[NSW LogiP(t)]]-tblData[[#This Row],[NSW]])^2,"")</f>
        <v/>
      </c>
      <c r="AL111" s="44">
        <f>IF(AND(tblData[Date]&gt;StartDt2NSW,ISNUMBER(tblData[Day'# Aust])),tblData[NSW LogiP(t)]/$AG$9,"")</f>
        <v>3372.1665549322956</v>
      </c>
      <c r="AM111" s="11">
        <f>IF(AND(tblData[Date]&gt;StartDt2Italy,ISNUMBER(tblData[Days'# Italy])),betaItaly/(deltaItaly+betaPodeltaItaly*EXP(-betaItaly*tblData[Days'# Italy])),"")</f>
        <v>55402.511466544704</v>
      </c>
      <c r="AN111" s="11" t="str">
        <f>IF(AND(tblData[Date]&gt;StartDt2Italy,ISNUMBER(tblData[Italy])),(tblData[[#This Row],[Italy LogiP(t)]]-tblData[[#This Row],[Italy]])^2,"")</f>
        <v/>
      </c>
      <c r="AO111" s="44">
        <f>IF(AND(tblData[Date]&gt;StartDt2Italy,ISNUMBER(tblData[Days'# Italy])),tblData[[#This Row],[Italy LogiP(t)]]/$AM$9,"")</f>
        <v>9165.0143038121932</v>
      </c>
      <c r="AP111" s="21">
        <f>IF(ISNUMBER(tblData[[#This Row],[Days'# US]]),betaUS/(deltaUS+betaPodeltaUS*EXP(-betaUS*tblData[Days'# US])),"")</f>
        <v>347695292.01456201</v>
      </c>
      <c r="AQ111" s="11" t="str">
        <f>IF(ISNUMBER(tblData[US]),(tblData[[#This Row],[US LogiP(t)]]-tblData[US])^2,"")</f>
        <v/>
      </c>
      <c r="AR111" s="21">
        <f>IF(ISNUMBER(tblData[[#This Row],[Days'# US]]),tblData[[#This Row],[US LogiP(t)]]/$AP$9,"")</f>
        <v>10560935.286862548</v>
      </c>
      <c r="AS111" s="21">
        <f>IF(tblData[Date]&gt;=StartDt2Korea,betaSKorea/(deltaSKorea+betaPodeltaSKorea*EXP(-betaSKorea*(tblData[Date]-StartDt2Korea))),"")</f>
        <v>8319.4112738168697</v>
      </c>
      <c r="AT111" s="21" t="str">
        <f>IF(AND(tblData[Date]&gt;=StartDt2Korea,ISNUMBER(tblData[SKorea])),(tblData[[#This Row],[SKorea LogiP(t)]]-tblData[[#This Row],[SKorea]])^2,"")</f>
        <v/>
      </c>
      <c r="AU111" s="21">
        <f>IF(tblData[Date]&gt;=StartDt2Korea,tblData[[#This Row],[SKorea LogiP(t)]]/$AS$9,"")</f>
        <v>1618.5625046336322</v>
      </c>
      <c r="AV111" s="85">
        <f>IF(ISNUMBER(tblData[Days'# UK]),betaUK/(deltaUK+betaPodeltaUK*EXP(-betaUK*tblData[Days'# UK])),"")</f>
        <v>230595240.64806432</v>
      </c>
      <c r="AW111" s="85" t="str">
        <f>IF(ISNUMBER(tblData[UK]),(tblData[[#This Row],[UK LogiP(t)]]-tblData[[#This Row],[UK]])^2,"")</f>
        <v/>
      </c>
      <c r="AX111" s="85">
        <f>IF(ISNUMBER(tblData[Days'# UK]),tblData[[#This Row],[UK LogiP(t)]]/$AV$9,"")</f>
        <v>34707290.886222802</v>
      </c>
      <c r="AY111" s="11">
        <f>IF(ISNUMBER(tblData[Days'# China]),betaChina/(deltaChina+betaPodeltaChina*EXP(-betaChina*tblData[Days'# China])),"")</f>
        <v>80951.340621755327</v>
      </c>
      <c r="AZ111" s="11" t="str">
        <f>IF(ISNUMBER(tblData[China]),(tblData[[#This Row],[China LogiP(t)]]-tblData[[#This Row],[China]])^2,"")</f>
        <v/>
      </c>
      <c r="BA111" s="11">
        <f>tblData[[#This Row],[China LogiP(t)]]/$AY$9</f>
        <v>562.4262029960056</v>
      </c>
      <c r="BB111" s="11"/>
      <c r="BC111" s="11"/>
      <c r="BD111" s="11" t="str">
        <f>IF(ISNUMBER(tblData[[#This Row],[NSW Number of Tests]]),tblData[[#This Row],[NSW Number of Tests]]-BB110,"")</f>
        <v/>
      </c>
      <c r="BE111" s="11" t="str">
        <f>IF(ISNUMBER(tblData[[#This Row],[NSW Under Investigation'']]),tblData[[#This Row],[NSW Under Investigation'']]-BC110,"")</f>
        <v/>
      </c>
      <c r="BF111" s="11"/>
      <c r="BG111" s="11" t="str">
        <f>IF(ISNUMBER(tblData[[#This Row],[NSW Test Day Number]]),betaTest/(deltaTest+betaPodeltaTest*EXP(-betaTest*tblData[[#This Row],[NSW Test Day Number]])),"")</f>
        <v/>
      </c>
      <c r="BH111" s="11" t="str">
        <f>IF(ISNUMBER(tblData[[#This Row],[NSW Number of Tests]]),(tblData[[#This Row],[NSW Number of Tests]]-tblData[[#This Row],[NSW Test Logi]])^2,"")</f>
        <v/>
      </c>
      <c r="DE111"/>
      <c r="DF111" s="82"/>
      <c r="DG111" s="27"/>
      <c r="DH111" s="27"/>
      <c r="DI111"/>
      <c r="DJ111"/>
      <c r="DK111"/>
      <c r="DL111"/>
      <c r="DM111"/>
      <c r="DN111"/>
      <c r="DO111"/>
      <c r="DP111"/>
      <c r="DQ111"/>
      <c r="DR111" s="27"/>
      <c r="DS111"/>
      <c r="DT111"/>
      <c r="DU111"/>
      <c r="DV111" s="27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</row>
    <row r="112" spans="2:173" x14ac:dyDescent="0.25">
      <c r="B112" s="27">
        <f t="shared" si="12"/>
        <v>44145</v>
      </c>
      <c r="L112" s="12" t="str">
        <f>IF(ISNUMBER(tblData[[#This Row],[NSW]]),tblData[[#This Row],[New South Wales]]/$L$9,"")</f>
        <v/>
      </c>
      <c r="N112" s="49" t="str">
        <f>IF(ISNUMBER(tblData[Italy]),tblData[Italy]/$N$9,"")</f>
        <v/>
      </c>
      <c r="P112" s="49" t="str">
        <f>IF(ISNUMBER(tblData[US]),tblData[US]/$P$9,"")</f>
        <v/>
      </c>
      <c r="Q112" s="49"/>
      <c r="R112" s="19" t="str">
        <f>IF(ISNUMBER(tblData[SKorea]),tblData[SKorea]/$R$9,"")</f>
        <v/>
      </c>
      <c r="S112" s="49"/>
      <c r="T112" s="12" t="str">
        <f>IF(ISNUMBER(tblData[UK]),tblData[UK]/$T$9,"")</f>
        <v/>
      </c>
      <c r="V112" s="21" t="str">
        <f>IF(ISNUMBER(tblData[China]),tblData[China]/$V$9,"")</f>
        <v/>
      </c>
      <c r="W112" s="26">
        <f>IF(tblData[[#This Row],[Date]]&lt;ItalyStart,"",tblData[[#This Row],[Date]]-ItalyStart)</f>
        <v>285</v>
      </c>
      <c r="X112" s="26">
        <f t="shared" si="13"/>
        <v>275</v>
      </c>
      <c r="Y112" s="26">
        <f t="shared" ref="Y112" si="19">Y111+1</f>
        <v>101</v>
      </c>
      <c r="Z112" s="26">
        <f>IF(tblData[[#This Row],[Date]]&lt;StartDt2Korea,"",tblData[[#This Row],[Date]]-StartDt2Korea)</f>
        <v>265</v>
      </c>
      <c r="AA112" s="26">
        <f>IF(tblData[[#This Row],[Date]]&lt;UKStart,"",tblData[[#This Row],[Date]]-UKStart)</f>
        <v>285</v>
      </c>
      <c r="AB112">
        <f>IF(tblData[Date]&gt;=StartDt2Au,tblData[Date]-StartDt2Au,"")</f>
        <v>290</v>
      </c>
      <c r="AC112" s="26" t="str">
        <f>IF(tblData[New South Wales]&gt;0,SUM(tblData[[#This Row],[Australian Capital Territory]:[Western Australia]]),"")</f>
        <v/>
      </c>
      <c r="AD112" s="12" t="str">
        <f>IF(ISNUMBER(tblData[Au]),tblData[Au]/$AA$9,"")</f>
        <v/>
      </c>
      <c r="AE112" s="44">
        <f>IF(ISNUMBER(tblData[[#This Row],[Day'# Aust]]),betaAu/(deltaAu+betaPodeltaAu*EXP(-betaAu*tblData[[#This Row],[Day'# Aust]])),"")</f>
        <v>206489313.35257688</v>
      </c>
      <c r="AF112" s="73">
        <f>IF(ISNUMBER(tblData[Day'# Aust]),tblData[Au LogiP(t)]/$AD$9,"")</f>
        <v>81410390.061731935</v>
      </c>
      <c r="AG112" s="11" t="str">
        <f>IF(AND(tblData[Date]&gt;=StartDt2Au,ISNUMBER(tblData[NSW])),(tblData[[#This Row],[Au LogiP(t)]]-tblData[[#This Row],[Au]])^2,"")</f>
        <v/>
      </c>
      <c r="AH112">
        <f>IF(tblData[Date]&gt;StartDt2NSW,tblData[Date]-StartDt2NSW,"")</f>
        <v>290</v>
      </c>
      <c r="AI112" s="26" t="str">
        <f t="shared" si="14"/>
        <v/>
      </c>
      <c r="AJ112" s="11">
        <f>IF(tblData[Date]&gt;StartDt2NSW,betaNSW/(deltaNSW+betaPodeltaNSW*EXP(-betaNSW*tblData[[#This Row],[Day '# NSW]])),"")</f>
        <v>2724.7105763852951</v>
      </c>
      <c r="AK112" s="12" t="str">
        <f>IF(AND(ISNUMBER(tblData[NSW]),tblData[Date]&gt;StartDt2NSW),(tblData[[#This Row],[NSW LogiP(t)]]-tblData[[#This Row],[NSW]])^2,"")</f>
        <v/>
      </c>
      <c r="AL112" s="44">
        <f>IF(AND(tblData[Date]&gt;StartDt2NSW,ISNUMBER(tblData[Day'# Aust])),tblData[NSW LogiP(t)]/$AG$9,"")</f>
        <v>3372.1665549322956</v>
      </c>
      <c r="AM112" s="11">
        <f>IF(AND(tblData[Date]&gt;StartDt2Italy,ISNUMBER(tblData[Days'# Italy])),betaItaly/(deltaItaly+betaPodeltaItaly*EXP(-betaItaly*tblData[Days'# Italy])),"")</f>
        <v>55402.511466544704</v>
      </c>
      <c r="AN112" s="11" t="str">
        <f>IF(AND(tblData[Date]&gt;StartDt2Italy,ISNUMBER(tblData[Italy])),(tblData[[#This Row],[Italy LogiP(t)]]-tblData[[#This Row],[Italy]])^2,"")</f>
        <v/>
      </c>
      <c r="AO112" s="44">
        <f>IF(AND(tblData[Date]&gt;StartDt2Italy,ISNUMBER(tblData[Days'# Italy])),tblData[[#This Row],[Italy LogiP(t)]]/$AM$9,"")</f>
        <v>9165.0143038121932</v>
      </c>
      <c r="AP112" s="21">
        <f>IF(ISNUMBER(tblData[[#This Row],[Days'# US]]),betaUS/(deltaUS+betaPodeltaUS*EXP(-betaUS*tblData[Days'# US])),"")</f>
        <v>347695292.01456201</v>
      </c>
      <c r="AQ112" s="11" t="str">
        <f>IF(ISNUMBER(tblData[US]),(tblData[[#This Row],[US LogiP(t)]]-tblData[US])^2,"")</f>
        <v/>
      </c>
      <c r="AR112" s="21">
        <f>IF(ISNUMBER(tblData[[#This Row],[Days'# US]]),tblData[[#This Row],[US LogiP(t)]]/$AP$9,"")</f>
        <v>10560935.286862548</v>
      </c>
      <c r="AS112" s="21">
        <f>IF(tblData[Date]&gt;=StartDt2Korea,betaSKorea/(deltaSKorea+betaPodeltaSKorea*EXP(-betaSKorea*(tblData[Date]-StartDt2Korea))),"")</f>
        <v>8319.4112738168697</v>
      </c>
      <c r="AT112" s="21" t="str">
        <f>IF(AND(tblData[Date]&gt;=StartDt2Korea,ISNUMBER(tblData[SKorea])),(tblData[[#This Row],[SKorea LogiP(t)]]-tblData[[#This Row],[SKorea]])^2,"")</f>
        <v/>
      </c>
      <c r="AU112" s="21">
        <f>IF(tblData[Date]&gt;=StartDt2Korea,tblData[[#This Row],[SKorea LogiP(t)]]/$AS$9,"")</f>
        <v>1618.5625046336322</v>
      </c>
      <c r="AV112" s="85">
        <f>IF(ISNUMBER(tblData[Days'# UK]),betaUK/(deltaUK+betaPodeltaUK*EXP(-betaUK*tblData[Days'# UK])),"")</f>
        <v>230595240.64806432</v>
      </c>
      <c r="AW112" s="85" t="str">
        <f>IF(ISNUMBER(tblData[UK]),(tblData[[#This Row],[UK LogiP(t)]]-tblData[[#This Row],[UK]])^2,"")</f>
        <v/>
      </c>
      <c r="AX112" s="85">
        <f>IF(ISNUMBER(tblData[Days'# UK]),tblData[[#This Row],[UK LogiP(t)]]/$AV$9,"")</f>
        <v>34707290.886222802</v>
      </c>
      <c r="AY112" s="11">
        <f>IF(ISNUMBER(tblData[Days'# China]),betaChina/(deltaChina+betaPodeltaChina*EXP(-betaChina*tblData[Days'# China])),"")</f>
        <v>80951.340809255562</v>
      </c>
      <c r="AZ112" s="11" t="str">
        <f>IF(ISNUMBER(tblData[China]),(tblData[[#This Row],[China LogiP(t)]]-tblData[[#This Row],[China]])^2,"")</f>
        <v/>
      </c>
      <c r="BA112" s="11">
        <f>tblData[[#This Row],[China LogiP(t)]]/$AY$9</f>
        <v>562.42620429870226</v>
      </c>
      <c r="BB112" s="11"/>
      <c r="BC112" s="11"/>
      <c r="BD112" s="11" t="str">
        <f>IF(ISNUMBER(tblData[[#This Row],[NSW Number of Tests]]),tblData[[#This Row],[NSW Number of Tests]]-BB111,"")</f>
        <v/>
      </c>
      <c r="BE112" s="11" t="str">
        <f>IF(ISNUMBER(tblData[[#This Row],[NSW Under Investigation'']]),tblData[[#This Row],[NSW Under Investigation'']]-BC111,"")</f>
        <v/>
      </c>
      <c r="BF112" s="11"/>
      <c r="BG112" s="11" t="str">
        <f>IF(ISNUMBER(tblData[[#This Row],[NSW Test Day Number]]),betaTest/(deltaTest+betaPodeltaTest*EXP(-betaTest*tblData[[#This Row],[NSW Test Day Number]])),"")</f>
        <v/>
      </c>
      <c r="BH112" s="11" t="str">
        <f>IF(ISNUMBER(tblData[[#This Row],[NSW Number of Tests]]),(tblData[[#This Row],[NSW Number of Tests]]-tblData[[#This Row],[NSW Test Logi]])^2,"")</f>
        <v/>
      </c>
      <c r="BK112" s="26"/>
      <c r="BM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</row>
    <row r="113" spans="2:173" x14ac:dyDescent="0.25">
      <c r="B113" s="27">
        <f t="shared" si="12"/>
        <v>44152</v>
      </c>
      <c r="L113" s="12" t="str">
        <f>IF(ISNUMBER(tblData[[#This Row],[NSW]]),tblData[[#This Row],[New South Wales]]/$L$9,"")</f>
        <v/>
      </c>
      <c r="N113" s="49" t="str">
        <f>IF(ISNUMBER(tblData[Italy]),tblData[Italy]/$N$9,"")</f>
        <v/>
      </c>
      <c r="P113" s="49" t="str">
        <f>IF(ISNUMBER(tblData[US]),tblData[US]/$P$9,"")</f>
        <v/>
      </c>
      <c r="Q113" s="49"/>
      <c r="R113" s="19" t="str">
        <f>IF(ISNUMBER(tblData[SKorea]),tblData[SKorea]/$R$9,"")</f>
        <v/>
      </c>
      <c r="S113" s="49"/>
      <c r="T113" s="12" t="str">
        <f>IF(ISNUMBER(tblData[UK]),tblData[UK]/$T$9,"")</f>
        <v/>
      </c>
      <c r="V113" s="21" t="str">
        <f>IF(ISNUMBER(tblData[China]),tblData[China]/$V$9,"")</f>
        <v/>
      </c>
      <c r="W113" s="26">
        <f>IF(tblData[[#This Row],[Date]]&lt;ItalyStart,"",tblData[[#This Row],[Date]]-ItalyStart)</f>
        <v>292</v>
      </c>
      <c r="X113" s="26">
        <f t="shared" si="13"/>
        <v>282</v>
      </c>
      <c r="Y113" s="26">
        <f t="shared" ref="Y113" si="20">Y112+1</f>
        <v>102</v>
      </c>
      <c r="Z113" s="26">
        <f>IF(tblData[[#This Row],[Date]]&lt;StartDt2Korea,"",tblData[[#This Row],[Date]]-StartDt2Korea)</f>
        <v>272</v>
      </c>
      <c r="AA113" s="26">
        <f>IF(tblData[[#This Row],[Date]]&lt;UKStart,"",tblData[[#This Row],[Date]]-UKStart)</f>
        <v>292</v>
      </c>
      <c r="AB113">
        <f>IF(tblData[Date]&gt;=StartDt2Au,tblData[Date]-StartDt2Au,"")</f>
        <v>297</v>
      </c>
      <c r="AC113" s="26" t="str">
        <f>IF(tblData[New South Wales]&gt;0,SUM(tblData[[#This Row],[Australian Capital Territory]:[Western Australia]]),"")</f>
        <v/>
      </c>
      <c r="AD113" s="12" t="str">
        <f>IF(ISNUMBER(tblData[Au]),tblData[Au]/$AA$9,"")</f>
        <v/>
      </c>
      <c r="AE113" s="44">
        <f>IF(ISNUMBER(tblData[[#This Row],[Day'# Aust]]),betaAu/(deltaAu+betaPodeltaAu*EXP(-betaAu*tblData[[#This Row],[Day'# Aust]])),"")</f>
        <v>206489313.35257691</v>
      </c>
      <c r="AF113" s="73">
        <f>IF(ISNUMBER(tblData[Day'# Aust]),tblData[Au LogiP(t)]/$AD$9,"")</f>
        <v>81410390.061731949</v>
      </c>
      <c r="AG113" s="11" t="str">
        <f>IF(AND(tblData[Date]&gt;=StartDt2Au,ISNUMBER(tblData[NSW])),(tblData[[#This Row],[Au LogiP(t)]]-tblData[[#This Row],[Au]])^2,"")</f>
        <v/>
      </c>
      <c r="AH113">
        <f>IF(tblData[Date]&gt;StartDt2NSW,tblData[Date]-StartDt2NSW,"")</f>
        <v>297</v>
      </c>
      <c r="AI113" s="26" t="str">
        <f t="shared" si="14"/>
        <v/>
      </c>
      <c r="AJ113" s="11">
        <f>IF(tblData[Date]&gt;StartDt2NSW,betaNSW/(deltaNSW+betaPodeltaNSW*EXP(-betaNSW*tblData[[#This Row],[Day '# NSW]])),"")</f>
        <v>2724.7105763852951</v>
      </c>
      <c r="AK113" s="12" t="str">
        <f>IF(AND(ISNUMBER(tblData[NSW]),tblData[Date]&gt;StartDt2NSW),(tblData[[#This Row],[NSW LogiP(t)]]-tblData[[#This Row],[NSW]])^2,"")</f>
        <v/>
      </c>
      <c r="AL113" s="44">
        <f>IF(AND(tblData[Date]&gt;StartDt2NSW,ISNUMBER(tblData[Day'# Aust])),tblData[NSW LogiP(t)]/$AG$9,"")</f>
        <v>3372.1665549322956</v>
      </c>
      <c r="AM113" s="11">
        <f>IF(AND(tblData[Date]&gt;StartDt2Italy,ISNUMBER(tblData[Days'# Italy])),betaItaly/(deltaItaly+betaPodeltaItaly*EXP(-betaItaly*tblData[Days'# Italy])),"")</f>
        <v>55402.511466544704</v>
      </c>
      <c r="AN113" s="11" t="str">
        <f>IF(AND(tblData[Date]&gt;StartDt2Italy,ISNUMBER(tblData[Italy])),(tblData[[#This Row],[Italy LogiP(t)]]-tblData[[#This Row],[Italy]])^2,"")</f>
        <v/>
      </c>
      <c r="AO113" s="44">
        <f>IF(AND(tblData[Date]&gt;StartDt2Italy,ISNUMBER(tblData[Days'# Italy])),tblData[[#This Row],[Italy LogiP(t)]]/$AM$9,"")</f>
        <v>9165.0143038121932</v>
      </c>
      <c r="AP113" s="21">
        <f>IF(ISNUMBER(tblData[[#This Row],[Days'# US]]),betaUS/(deltaUS+betaPodeltaUS*EXP(-betaUS*tblData[Days'# US])),"")</f>
        <v>347695292.01456201</v>
      </c>
      <c r="AQ113" s="11" t="str">
        <f>IF(ISNUMBER(tblData[US]),(tblData[[#This Row],[US LogiP(t)]]-tblData[US])^2,"")</f>
        <v/>
      </c>
      <c r="AR113" s="21">
        <f>IF(ISNUMBER(tblData[[#This Row],[Days'# US]]),tblData[[#This Row],[US LogiP(t)]]/$AP$9,"")</f>
        <v>10560935.286862548</v>
      </c>
      <c r="AS113" s="21">
        <f>IF(tblData[Date]&gt;=StartDt2Korea,betaSKorea/(deltaSKorea+betaPodeltaSKorea*EXP(-betaSKorea*(tblData[Date]-StartDt2Korea))),"")</f>
        <v>8319.4112738168697</v>
      </c>
      <c r="AT113" s="21" t="str">
        <f>IF(AND(tblData[Date]&gt;=StartDt2Korea,ISNUMBER(tblData[SKorea])),(tblData[[#This Row],[SKorea LogiP(t)]]-tblData[[#This Row],[SKorea]])^2,"")</f>
        <v/>
      </c>
      <c r="AU113" s="21">
        <f>IF(tblData[Date]&gt;=StartDt2Korea,tblData[[#This Row],[SKorea LogiP(t)]]/$AS$9,"")</f>
        <v>1618.5625046336322</v>
      </c>
      <c r="AV113" s="85">
        <f>IF(ISNUMBER(tblData[Days'# UK]),betaUK/(deltaUK+betaPodeltaUK*EXP(-betaUK*tblData[Days'# UK])),"")</f>
        <v>230595240.64806432</v>
      </c>
      <c r="AW113" s="85" t="str">
        <f>IF(ISNUMBER(tblData[UK]),(tblData[[#This Row],[UK LogiP(t)]]-tblData[[#This Row],[UK]])^2,"")</f>
        <v/>
      </c>
      <c r="AX113" s="85">
        <f>IF(ISNUMBER(tblData[Days'# UK]),tblData[[#This Row],[UK LogiP(t)]]/$AV$9,"")</f>
        <v>34707290.886222802</v>
      </c>
      <c r="AY113" s="11">
        <f>IF(ISNUMBER(tblData[Days'# China]),betaChina/(deltaChina+betaPodeltaChina*EXP(-betaChina*tblData[Days'# China])),"")</f>
        <v>80951.340959405905</v>
      </c>
      <c r="AZ113" s="11" t="str">
        <f>IF(ISNUMBER(tblData[China]),(tblData[[#This Row],[China LogiP(t)]]-tblData[[#This Row],[China]])^2,"")</f>
        <v/>
      </c>
      <c r="BA113" s="11">
        <f>tblData[[#This Row],[China LogiP(t)]]/$AY$9</f>
        <v>562.42620534190291</v>
      </c>
      <c r="BB113" s="11"/>
      <c r="BC113" s="11"/>
      <c r="BD113" s="11" t="str">
        <f>IF(ISNUMBER(tblData[[#This Row],[NSW Number of Tests]]),tblData[[#This Row],[NSW Number of Tests]]-BB112,"")</f>
        <v/>
      </c>
      <c r="BE113" s="11" t="str">
        <f>IF(ISNUMBER(tblData[[#This Row],[NSW Under Investigation'']]),tblData[[#This Row],[NSW Under Investigation'']]-BC112,"")</f>
        <v/>
      </c>
      <c r="BF113" s="11"/>
      <c r="BG113" s="11" t="str">
        <f>IF(ISNUMBER(tblData[[#This Row],[NSW Test Day Number]]),betaTest/(deltaTest+betaPodeltaTest*EXP(-betaTest*tblData[[#This Row],[NSW Test Day Number]])),"")</f>
        <v/>
      </c>
      <c r="BH113" s="11" t="str">
        <f>IF(ISNUMBER(tblData[[#This Row],[NSW Number of Tests]]),(tblData[[#This Row],[NSW Number of Tests]]-tblData[[#This Row],[NSW Test Logi]])^2,"")</f>
        <v/>
      </c>
      <c r="BK113" s="26"/>
      <c r="BM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</row>
    <row r="114" spans="2:173" x14ac:dyDescent="0.25">
      <c r="B114" s="27">
        <f t="shared" si="12"/>
        <v>44159</v>
      </c>
      <c r="L114" s="12" t="str">
        <f>IF(ISNUMBER(tblData[[#This Row],[NSW]]),tblData[[#This Row],[New South Wales]]/$L$9,"")</f>
        <v/>
      </c>
      <c r="N114" s="49" t="str">
        <f>IF(ISNUMBER(tblData[Italy]),tblData[Italy]/$N$9,"")</f>
        <v/>
      </c>
      <c r="P114" s="49" t="str">
        <f>IF(ISNUMBER(tblData[US]),tblData[US]/$P$9,"")</f>
        <v/>
      </c>
      <c r="Q114" s="49"/>
      <c r="R114" s="19" t="str">
        <f>IF(ISNUMBER(tblData[SKorea]),tblData[SKorea]/$R$9,"")</f>
        <v/>
      </c>
      <c r="S114" s="49"/>
      <c r="T114" s="12" t="str">
        <f>IF(ISNUMBER(tblData[UK]),tblData[UK]/$T$9,"")</f>
        <v/>
      </c>
      <c r="V114" s="21" t="str">
        <f>IF(ISNUMBER(tblData[China]),tblData[China]/$V$9,"")</f>
        <v/>
      </c>
      <c r="W114" s="26">
        <f>IF(tblData[[#This Row],[Date]]&lt;ItalyStart,"",tblData[[#This Row],[Date]]-ItalyStart)</f>
        <v>299</v>
      </c>
      <c r="X114" s="26">
        <f t="shared" si="13"/>
        <v>289</v>
      </c>
      <c r="Y114" s="26">
        <f t="shared" ref="Y114" si="21">Y113+1</f>
        <v>103</v>
      </c>
      <c r="Z114" s="26">
        <f>IF(tblData[[#This Row],[Date]]&lt;StartDt2Korea,"",tblData[[#This Row],[Date]]-StartDt2Korea)</f>
        <v>279</v>
      </c>
      <c r="AA114" s="26">
        <f>IF(tblData[[#This Row],[Date]]&lt;UKStart,"",tblData[[#This Row],[Date]]-UKStart)</f>
        <v>299</v>
      </c>
      <c r="AB114">
        <f>IF(tblData[Date]&gt;=StartDt2Au,tblData[Date]-StartDt2Au,"")</f>
        <v>304</v>
      </c>
      <c r="AC114" s="26" t="str">
        <f>IF(tblData[New South Wales]&gt;0,SUM(tblData[[#This Row],[Australian Capital Territory]:[Western Australia]]),"")</f>
        <v/>
      </c>
      <c r="AD114" s="12" t="str">
        <f>IF(ISNUMBER(tblData[Au]),tblData[Au]/$AA$9,"")</f>
        <v/>
      </c>
      <c r="AE114" s="44">
        <f>IF(ISNUMBER(tblData[[#This Row],[Day'# Aust]]),betaAu/(deltaAu+betaPodeltaAu*EXP(-betaAu*tblData[[#This Row],[Day'# Aust]])),"")</f>
        <v>206489313.35257691</v>
      </c>
      <c r="AF114" s="73">
        <f>IF(ISNUMBER(tblData[Day'# Aust]),tblData[Au LogiP(t)]/$AD$9,"")</f>
        <v>81410390.061731949</v>
      </c>
      <c r="AG114" s="11" t="str">
        <f>IF(AND(tblData[Date]&gt;=StartDt2Au,ISNUMBER(tblData[NSW])),(tblData[[#This Row],[Au LogiP(t)]]-tblData[[#This Row],[Au]])^2,"")</f>
        <v/>
      </c>
      <c r="AH114">
        <f>IF(tblData[Date]&gt;StartDt2NSW,tblData[Date]-StartDt2NSW,"")</f>
        <v>304</v>
      </c>
      <c r="AI114" s="26" t="str">
        <f t="shared" si="14"/>
        <v/>
      </c>
      <c r="AJ114" s="11">
        <f>IF(tblData[Date]&gt;StartDt2NSW,betaNSW/(deltaNSW+betaPodeltaNSW*EXP(-betaNSW*tblData[[#This Row],[Day '# NSW]])),"")</f>
        <v>2724.7105763852951</v>
      </c>
      <c r="AK114" s="12" t="str">
        <f>IF(AND(ISNUMBER(tblData[NSW]),tblData[Date]&gt;StartDt2NSW),(tblData[[#This Row],[NSW LogiP(t)]]-tblData[[#This Row],[NSW]])^2,"")</f>
        <v/>
      </c>
      <c r="AL114" s="44">
        <f>IF(AND(tblData[Date]&gt;StartDt2NSW,ISNUMBER(tblData[Day'# Aust])),tblData[NSW LogiP(t)]/$AG$9,"")</f>
        <v>3372.1665549322956</v>
      </c>
      <c r="AM114" s="11">
        <f>IF(AND(tblData[Date]&gt;StartDt2Italy,ISNUMBER(tblData[Days'# Italy])),betaItaly/(deltaItaly+betaPodeltaItaly*EXP(-betaItaly*tblData[Days'# Italy])),"")</f>
        <v>55402.511466544704</v>
      </c>
      <c r="AN114" s="11" t="str">
        <f>IF(AND(tblData[Date]&gt;StartDt2Italy,ISNUMBER(tblData[Italy])),(tblData[[#This Row],[Italy LogiP(t)]]-tblData[[#This Row],[Italy]])^2,"")</f>
        <v/>
      </c>
      <c r="AO114" s="44">
        <f>IF(AND(tblData[Date]&gt;StartDt2Italy,ISNUMBER(tblData[Days'# Italy])),tblData[[#This Row],[Italy LogiP(t)]]/$AM$9,"")</f>
        <v>9165.0143038121932</v>
      </c>
      <c r="AP114" s="21">
        <f>IF(ISNUMBER(tblData[[#This Row],[Days'# US]]),betaUS/(deltaUS+betaPodeltaUS*EXP(-betaUS*tblData[Days'# US])),"")</f>
        <v>347695292.01456201</v>
      </c>
      <c r="AQ114" s="11" t="str">
        <f>IF(ISNUMBER(tblData[US]),(tblData[[#This Row],[US LogiP(t)]]-tblData[US])^2,"")</f>
        <v/>
      </c>
      <c r="AR114" s="21">
        <f>IF(ISNUMBER(tblData[[#This Row],[Days'# US]]),tblData[[#This Row],[US LogiP(t)]]/$AP$9,"")</f>
        <v>10560935.286862548</v>
      </c>
      <c r="AS114" s="21">
        <f>IF(tblData[Date]&gt;=StartDt2Korea,betaSKorea/(deltaSKorea+betaPodeltaSKorea*EXP(-betaSKorea*(tblData[Date]-StartDt2Korea))),"")</f>
        <v>8319.4112738168697</v>
      </c>
      <c r="AT114" s="21" t="str">
        <f>IF(AND(tblData[Date]&gt;=StartDt2Korea,ISNUMBER(tblData[SKorea])),(tblData[[#This Row],[SKorea LogiP(t)]]-tblData[[#This Row],[SKorea]])^2,"")</f>
        <v/>
      </c>
      <c r="AU114" s="21">
        <f>IF(tblData[Date]&gt;=StartDt2Korea,tblData[[#This Row],[SKorea LogiP(t)]]/$AS$9,"")</f>
        <v>1618.5625046336322</v>
      </c>
      <c r="AV114" s="85">
        <f>IF(ISNUMBER(tblData[Days'# UK]),betaUK/(deltaUK+betaPodeltaUK*EXP(-betaUK*tblData[Days'# UK])),"")</f>
        <v>230595240.64806432</v>
      </c>
      <c r="AW114" s="85" t="str">
        <f>IF(ISNUMBER(tblData[UK]),(tblData[[#This Row],[UK LogiP(t)]]-tblData[[#This Row],[UK]])^2,"")</f>
        <v/>
      </c>
      <c r="AX114" s="85">
        <f>IF(ISNUMBER(tblData[Days'# UK]),tblData[[#This Row],[UK LogiP(t)]]/$AV$9,"")</f>
        <v>34707290.886222802</v>
      </c>
      <c r="AY114" s="11">
        <f>IF(ISNUMBER(tblData[Days'# China]),betaChina/(deltaChina+betaPodeltaChina*EXP(-betaChina*tblData[Days'# China])),"")</f>
        <v>80951.34107964643</v>
      </c>
      <c r="AZ114" s="11" t="str">
        <f>IF(ISNUMBER(tblData[China]),(tblData[[#This Row],[China LogiP(t)]]-tblData[[#This Row],[China]])^2,"")</f>
        <v/>
      </c>
      <c r="BA114" s="11">
        <f>tblData[[#This Row],[China LogiP(t)]]/$AY$9</f>
        <v>562.42620617729892</v>
      </c>
      <c r="BB114" s="11"/>
      <c r="BC114" s="11"/>
      <c r="BD114" s="11" t="str">
        <f>IF(ISNUMBER(tblData[[#This Row],[NSW Number of Tests]]),tblData[[#This Row],[NSW Number of Tests]]-BB113,"")</f>
        <v/>
      </c>
      <c r="BE114" s="11" t="str">
        <f>IF(ISNUMBER(tblData[[#This Row],[NSW Under Investigation'']]),tblData[[#This Row],[NSW Under Investigation'']]-BC113,"")</f>
        <v/>
      </c>
      <c r="BF114" s="11"/>
      <c r="BG114" s="11" t="str">
        <f>IF(ISNUMBER(tblData[[#This Row],[NSW Test Day Number]]),betaTest/(deltaTest+betaPodeltaTest*EXP(-betaTest*tblData[[#This Row],[NSW Test Day Number]])),"")</f>
        <v/>
      </c>
      <c r="BH114" s="11" t="str">
        <f>IF(ISNUMBER(tblData[[#This Row],[NSW Number of Tests]]),(tblData[[#This Row],[NSW Number of Tests]]-tblData[[#This Row],[NSW Test Logi]])^2,"")</f>
        <v/>
      </c>
      <c r="BY114"/>
      <c r="BZ114"/>
      <c r="CJ114" s="26"/>
      <c r="CK114" s="26"/>
    </row>
    <row r="115" spans="2:173" x14ac:dyDescent="0.25">
      <c r="B115" s="27">
        <f t="shared" si="12"/>
        <v>44166</v>
      </c>
      <c r="L115" s="12" t="str">
        <f>IF(ISNUMBER(tblData[[#This Row],[NSW]]),tblData[[#This Row],[New South Wales]]/$L$9,"")</f>
        <v/>
      </c>
      <c r="N115" s="49" t="str">
        <f>IF(ISNUMBER(tblData[Italy]),tblData[Italy]/$N$9,"")</f>
        <v/>
      </c>
      <c r="P115" s="49" t="str">
        <f>IF(ISNUMBER(tblData[US]),tblData[US]/$P$9,"")</f>
        <v/>
      </c>
      <c r="Q115" s="49"/>
      <c r="R115" s="19" t="str">
        <f>IF(ISNUMBER(tblData[SKorea]),tblData[SKorea]/$R$9,"")</f>
        <v/>
      </c>
      <c r="S115" s="49"/>
      <c r="T115" s="12" t="str">
        <f>IF(ISNUMBER(tblData[UK]),tblData[UK]/$T$9,"")</f>
        <v/>
      </c>
      <c r="V115" s="21" t="str">
        <f>IF(ISNUMBER(tblData[China]),tblData[China]/$V$9,"")</f>
        <v/>
      </c>
      <c r="W115" s="26">
        <f>IF(tblData[[#This Row],[Date]]&lt;ItalyStart,"",tblData[[#This Row],[Date]]-ItalyStart)</f>
        <v>306</v>
      </c>
      <c r="X115" s="26">
        <f t="shared" si="13"/>
        <v>296</v>
      </c>
      <c r="Y115" s="26">
        <f t="shared" ref="Y115" si="22">Y114+1</f>
        <v>104</v>
      </c>
      <c r="Z115" s="26">
        <f>IF(tblData[[#This Row],[Date]]&lt;StartDt2Korea,"",tblData[[#This Row],[Date]]-StartDt2Korea)</f>
        <v>286</v>
      </c>
      <c r="AA115" s="26">
        <f>IF(tblData[[#This Row],[Date]]&lt;UKStart,"",tblData[[#This Row],[Date]]-UKStart)</f>
        <v>306</v>
      </c>
      <c r="AB115" s="26">
        <f>IF(tblData[Date]&gt;=StartDt2Au,tblData[Date]-StartDt2Au,"")</f>
        <v>311</v>
      </c>
      <c r="AC115" s="26" t="str">
        <f>IF(tblData[New South Wales]&gt;0,SUM(tblData[[#This Row],[Australian Capital Territory]:[Western Australia]]),"")</f>
        <v/>
      </c>
      <c r="AD115" s="12" t="str">
        <f>IF(ISNUMBER(tblData[Au]),tblData[Au]/$AA$9,"")</f>
        <v/>
      </c>
      <c r="AE115" s="44">
        <f>IF(ISNUMBER(tblData[[#This Row],[Day'# Aust]]),betaAu/(deltaAu+betaPodeltaAu*EXP(-betaAu*tblData[[#This Row],[Day'# Aust]])),"")</f>
        <v>206489313.35257691</v>
      </c>
      <c r="AF115" s="73">
        <f>IF(ISNUMBER(tblData[Day'# Aust]),tblData[Au LogiP(t)]/$AD$9,"")</f>
        <v>81410390.061731949</v>
      </c>
      <c r="AG115" s="11" t="str">
        <f>IF(AND(tblData[Date]&gt;=StartDt2Au,ISNUMBER(tblData[NSW])),(tblData[[#This Row],[Au LogiP(t)]]-tblData[[#This Row],[Au]])^2,"")</f>
        <v/>
      </c>
      <c r="AH115" s="26">
        <f>IF(tblData[Date]&gt;StartDt2NSW,tblData[Date]-StartDt2NSW,"")</f>
        <v>311</v>
      </c>
      <c r="AI115" s="26" t="str">
        <f t="shared" si="14"/>
        <v/>
      </c>
      <c r="AJ115" s="11">
        <f>IF(tblData[Date]&gt;StartDt2NSW,betaNSW/(deltaNSW+betaPodeltaNSW*EXP(-betaNSW*tblData[[#This Row],[Day '# NSW]])),"")</f>
        <v>2724.7105763852951</v>
      </c>
      <c r="AK115" s="12" t="str">
        <f>IF(AND(ISNUMBER(tblData[NSW]),tblData[Date]&gt;StartDt2NSW),(tblData[[#This Row],[NSW LogiP(t)]]-tblData[[#This Row],[NSW]])^2,"")</f>
        <v/>
      </c>
      <c r="AL115" s="44">
        <f>IF(AND(tblData[Date]&gt;StartDt2NSW,ISNUMBER(tblData[Day'# Aust])),tblData[NSW LogiP(t)]/$AG$9,"")</f>
        <v>3372.1665549322956</v>
      </c>
      <c r="AM115" s="11">
        <f>IF(AND(tblData[Date]&gt;StartDt2Italy,ISNUMBER(tblData[Days'# Italy])),betaItaly/(deltaItaly+betaPodeltaItaly*EXP(-betaItaly*tblData[Days'# Italy])),"")</f>
        <v>55402.511466544704</v>
      </c>
      <c r="AN115" s="11" t="str">
        <f>IF(AND(tblData[Date]&gt;StartDt2Italy,ISNUMBER(tblData[Italy])),(tblData[[#This Row],[Italy LogiP(t)]]-tblData[[#This Row],[Italy]])^2,"")</f>
        <v/>
      </c>
      <c r="AO115" s="44">
        <f>IF(AND(tblData[Date]&gt;StartDt2Italy,ISNUMBER(tblData[Days'# Italy])),tblData[[#This Row],[Italy LogiP(t)]]/$AM$9,"")</f>
        <v>9165.0143038121932</v>
      </c>
      <c r="AP115" s="21">
        <f>IF(ISNUMBER(tblData[[#This Row],[Days'# US]]),betaUS/(deltaUS+betaPodeltaUS*EXP(-betaUS*tblData[Days'# US])),"")</f>
        <v>347695292.01456201</v>
      </c>
      <c r="AQ115" s="11" t="str">
        <f>IF(ISNUMBER(tblData[US]),(tblData[[#This Row],[US LogiP(t)]]-tblData[US])^2,"")</f>
        <v/>
      </c>
      <c r="AR115" s="21">
        <f>IF(ISNUMBER(tblData[[#This Row],[Days'# US]]),tblData[[#This Row],[US LogiP(t)]]/$AP$9,"")</f>
        <v>10560935.286862548</v>
      </c>
      <c r="AS115" s="21">
        <f>IF(tblData[Date]&gt;=StartDt2Korea,betaSKorea/(deltaSKorea+betaPodeltaSKorea*EXP(-betaSKorea*(tblData[Date]-StartDt2Korea))),"")</f>
        <v>8319.4112738168697</v>
      </c>
      <c r="AT115" s="21" t="str">
        <f>IF(AND(tblData[Date]&gt;=StartDt2Korea,ISNUMBER(tblData[SKorea])),(tblData[[#This Row],[SKorea LogiP(t)]]-tblData[[#This Row],[SKorea]])^2,"")</f>
        <v/>
      </c>
      <c r="AU115" s="21">
        <f>IF(tblData[Date]&gt;=StartDt2Korea,tblData[[#This Row],[SKorea LogiP(t)]]/$AS$9,"")</f>
        <v>1618.5625046336322</v>
      </c>
      <c r="AV115" s="85">
        <f>IF(ISNUMBER(tblData[Days'# UK]),betaUK/(deltaUK+betaPodeltaUK*EXP(-betaUK*tblData[Days'# UK])),"")</f>
        <v>230595240.64806432</v>
      </c>
      <c r="AW115" s="85" t="str">
        <f>IF(ISNUMBER(tblData[UK]),(tblData[[#This Row],[UK LogiP(t)]]-tblData[[#This Row],[UK]])^2,"")</f>
        <v/>
      </c>
      <c r="AX115" s="85">
        <f>IF(ISNUMBER(tblData[Days'# UK]),tblData[[#This Row],[UK LogiP(t)]]/$AV$9,"")</f>
        <v>34707290.886222802</v>
      </c>
      <c r="AY115" s="11">
        <f>IF(ISNUMBER(tblData[Days'# China]),betaChina/(deltaChina+betaPodeltaChina*EXP(-betaChina*tblData[Days'# China])),"")</f>
        <v>80951.341175935129</v>
      </c>
      <c r="AZ115" s="11" t="str">
        <f>IF(ISNUMBER(tblData[China]),(tblData[[#This Row],[China LogiP(t)]]-tblData[[#This Row],[China]])^2,"")</f>
        <v/>
      </c>
      <c r="BA115" s="11">
        <f>tblData[[#This Row],[China LogiP(t)]]/$AY$9</f>
        <v>562.42620684628457</v>
      </c>
      <c r="BB115" s="11"/>
      <c r="BC115" s="11"/>
      <c r="BD115" s="11" t="str">
        <f>IF(ISNUMBER(tblData[[#This Row],[NSW Number of Tests]]),tblData[[#This Row],[NSW Number of Tests]]-BB114,"")</f>
        <v/>
      </c>
      <c r="BE115" s="11" t="str">
        <f>IF(ISNUMBER(tblData[[#This Row],[NSW Under Investigation'']]),tblData[[#This Row],[NSW Under Investigation'']]-BC114,"")</f>
        <v/>
      </c>
      <c r="BF115" s="11"/>
      <c r="BG115" s="11" t="str">
        <f>IF(ISNUMBER(tblData[[#This Row],[NSW Test Day Number]]),betaTest/(deltaTest+betaPodeltaTest*EXP(-betaTest*tblData[[#This Row],[NSW Test Day Number]])),"")</f>
        <v/>
      </c>
      <c r="BH115" s="11" t="str">
        <f>IF(ISNUMBER(tblData[[#This Row],[NSW Number of Tests]]),(tblData[[#This Row],[NSW Number of Tests]]-tblData[[#This Row],[NSW Test Logi]])^2,"")</f>
        <v/>
      </c>
      <c r="BY115"/>
      <c r="BZ115"/>
      <c r="CJ115" s="26"/>
      <c r="CK115" s="26"/>
    </row>
    <row r="116" spans="2:173" x14ac:dyDescent="0.25">
      <c r="B116" s="27">
        <f t="shared" si="12"/>
        <v>44173</v>
      </c>
      <c r="L116" s="12" t="str">
        <f>IF(ISNUMBER(tblData[[#This Row],[NSW]]),tblData[[#This Row],[New South Wales]]/$L$9,"")</f>
        <v/>
      </c>
      <c r="N116" s="49" t="str">
        <f>IF(ISNUMBER(tblData[Italy]),tblData[Italy]/$N$9,"")</f>
        <v/>
      </c>
      <c r="P116" s="49" t="str">
        <f>IF(ISNUMBER(tblData[US]),tblData[US]/$P$9,"")</f>
        <v/>
      </c>
      <c r="Q116" s="49"/>
      <c r="R116" s="19" t="str">
        <f>IF(ISNUMBER(tblData[SKorea]),tblData[SKorea]/$R$9,"")</f>
        <v/>
      </c>
      <c r="S116" s="49"/>
      <c r="T116" s="12" t="str">
        <f>IF(ISNUMBER(tblData[UK]),tblData[UK]/$T$9,"")</f>
        <v/>
      </c>
      <c r="V116" s="21" t="str">
        <f>IF(ISNUMBER(tblData[China]),tblData[China]/$V$9,"")</f>
        <v/>
      </c>
      <c r="W116" s="26">
        <f>IF(tblData[[#This Row],[Date]]&lt;ItalyStart,"",tblData[[#This Row],[Date]]-ItalyStart)</f>
        <v>313</v>
      </c>
      <c r="X116" s="26">
        <f t="shared" si="13"/>
        <v>303</v>
      </c>
      <c r="Y116" s="26">
        <f t="shared" ref="Y116" si="23">Y115+1</f>
        <v>105</v>
      </c>
      <c r="Z116" s="26">
        <f>IF(tblData[[#This Row],[Date]]&lt;StartDt2Korea,"",tblData[[#This Row],[Date]]-StartDt2Korea)</f>
        <v>293</v>
      </c>
      <c r="AA116" s="26">
        <f>IF(tblData[[#This Row],[Date]]&lt;UKStart,"",tblData[[#This Row],[Date]]-UKStart)</f>
        <v>313</v>
      </c>
      <c r="AB116" s="26">
        <f>IF(tblData[Date]&gt;=StartDt2Au,tblData[Date]-StartDt2Au,"")</f>
        <v>318</v>
      </c>
      <c r="AC116" s="26" t="str">
        <f>IF(tblData[New South Wales]&gt;0,SUM(tblData[[#This Row],[Australian Capital Territory]:[Western Australia]]),"")</f>
        <v/>
      </c>
      <c r="AD116" s="12" t="str">
        <f>IF(ISNUMBER(tblData[Au]),tblData[Au]/$AA$9,"")</f>
        <v/>
      </c>
      <c r="AE116" s="44">
        <f>IF(ISNUMBER(tblData[[#This Row],[Day'# Aust]]),betaAu/(deltaAu+betaPodeltaAu*EXP(-betaAu*tblData[[#This Row],[Day'# Aust]])),"")</f>
        <v>206489313.35257691</v>
      </c>
      <c r="AF116" s="73">
        <f>IF(ISNUMBER(tblData[Day'# Aust]),tblData[Au LogiP(t)]/$AD$9,"")</f>
        <v>81410390.061731949</v>
      </c>
      <c r="AG116" s="11" t="str">
        <f>IF(AND(tblData[Date]&gt;=StartDt2Au,ISNUMBER(tblData[NSW])),(tblData[[#This Row],[Au LogiP(t)]]-tblData[[#This Row],[Au]])^2,"")</f>
        <v/>
      </c>
      <c r="AH116" s="26">
        <f>IF(tblData[Date]&gt;StartDt2NSW,tblData[Date]-StartDt2NSW,"")</f>
        <v>318</v>
      </c>
      <c r="AI116" s="26" t="str">
        <f t="shared" si="14"/>
        <v/>
      </c>
      <c r="AJ116" s="11">
        <f>IF(tblData[Date]&gt;StartDt2NSW,betaNSW/(deltaNSW+betaPodeltaNSW*EXP(-betaNSW*tblData[[#This Row],[Day '# NSW]])),"")</f>
        <v>2724.7105763852951</v>
      </c>
      <c r="AK116" s="12" t="str">
        <f>IF(AND(ISNUMBER(tblData[NSW]),tblData[Date]&gt;StartDt2NSW),(tblData[[#This Row],[NSW LogiP(t)]]-tblData[[#This Row],[NSW]])^2,"")</f>
        <v/>
      </c>
      <c r="AL116" s="44">
        <f>IF(AND(tblData[Date]&gt;StartDt2NSW,ISNUMBER(tblData[Day'# Aust])),tblData[NSW LogiP(t)]/$AG$9,"")</f>
        <v>3372.1665549322956</v>
      </c>
      <c r="AM116" s="11">
        <f>IF(AND(tblData[Date]&gt;StartDt2Italy,ISNUMBER(tblData[Days'# Italy])),betaItaly/(deltaItaly+betaPodeltaItaly*EXP(-betaItaly*tblData[Days'# Italy])),"")</f>
        <v>55402.511466544704</v>
      </c>
      <c r="AN116" s="11" t="str">
        <f>IF(AND(tblData[Date]&gt;StartDt2Italy,ISNUMBER(tblData[Italy])),(tblData[[#This Row],[Italy LogiP(t)]]-tblData[[#This Row],[Italy]])^2,"")</f>
        <v/>
      </c>
      <c r="AO116" s="44">
        <f>IF(AND(tblData[Date]&gt;StartDt2Italy,ISNUMBER(tblData[Days'# Italy])),tblData[[#This Row],[Italy LogiP(t)]]/$AM$9,"")</f>
        <v>9165.0143038121932</v>
      </c>
      <c r="AP116" s="21">
        <f>IF(ISNUMBER(tblData[[#This Row],[Days'# US]]),betaUS/(deltaUS+betaPodeltaUS*EXP(-betaUS*tblData[Days'# US])),"")</f>
        <v>347695292.01456201</v>
      </c>
      <c r="AQ116" s="11" t="str">
        <f>IF(ISNUMBER(tblData[US]),(tblData[[#This Row],[US LogiP(t)]]-tblData[US])^2,"")</f>
        <v/>
      </c>
      <c r="AR116" s="21">
        <f>IF(ISNUMBER(tblData[[#This Row],[Days'# US]]),tblData[[#This Row],[US LogiP(t)]]/$AP$9,"")</f>
        <v>10560935.286862548</v>
      </c>
      <c r="AS116" s="21">
        <f>IF(tblData[Date]&gt;=StartDt2Korea,betaSKorea/(deltaSKorea+betaPodeltaSKorea*EXP(-betaSKorea*(tblData[Date]-StartDt2Korea))),"")</f>
        <v>8319.4112738168697</v>
      </c>
      <c r="AT116" s="21" t="str">
        <f>IF(AND(tblData[Date]&gt;=StartDt2Korea,ISNUMBER(tblData[SKorea])),(tblData[[#This Row],[SKorea LogiP(t)]]-tblData[[#This Row],[SKorea]])^2,"")</f>
        <v/>
      </c>
      <c r="AU116" s="21">
        <f>IF(tblData[Date]&gt;=StartDt2Korea,tblData[[#This Row],[SKorea LogiP(t)]]/$AS$9,"")</f>
        <v>1618.5625046336322</v>
      </c>
      <c r="AV116" s="85">
        <f>IF(ISNUMBER(tblData[Days'# UK]),betaUK/(deltaUK+betaPodeltaUK*EXP(-betaUK*tblData[Days'# UK])),"")</f>
        <v>230595240.64806432</v>
      </c>
      <c r="AW116" s="85" t="str">
        <f>IF(ISNUMBER(tblData[UK]),(tblData[[#This Row],[UK LogiP(t)]]-tblData[[#This Row],[UK]])^2,"")</f>
        <v/>
      </c>
      <c r="AX116" s="85">
        <f>IF(ISNUMBER(tblData[Days'# UK]),tblData[[#This Row],[UK LogiP(t)]]/$AV$9,"")</f>
        <v>34707290.886222802</v>
      </c>
      <c r="AY116" s="11">
        <f>IF(ISNUMBER(tblData[Days'# China]),betaChina/(deltaChina+betaPodeltaChina*EXP(-betaChina*tblData[Days'# China])),"")</f>
        <v>80951.341253043225</v>
      </c>
      <c r="AZ116" s="11" t="str">
        <f>IF(ISNUMBER(tblData[China]),(tblData[[#This Row],[China LogiP(t)]]-tblData[[#This Row],[China]])^2,"")</f>
        <v/>
      </c>
      <c r="BA116" s="11">
        <f>tblData[[#This Row],[China LogiP(t)]]/$AY$9</f>
        <v>562.42620738200901</v>
      </c>
      <c r="BB116" s="11"/>
      <c r="BC116" s="11"/>
      <c r="BD116" s="11" t="str">
        <f>IF(ISNUMBER(tblData[[#This Row],[NSW Number of Tests]]),tblData[[#This Row],[NSW Number of Tests]]-BB115,"")</f>
        <v/>
      </c>
      <c r="BE116" s="11" t="str">
        <f>IF(ISNUMBER(tblData[[#This Row],[NSW Under Investigation'']]),tblData[[#This Row],[NSW Under Investigation'']]-BC115,"")</f>
        <v/>
      </c>
      <c r="BF116" s="11"/>
      <c r="BG116" s="11" t="str">
        <f>IF(ISNUMBER(tblData[[#This Row],[NSW Test Day Number]]),betaTest/(deltaTest+betaPodeltaTest*EXP(-betaTest*tblData[[#This Row],[NSW Test Day Number]])),"")</f>
        <v/>
      </c>
      <c r="BH116" s="11" t="str">
        <f>IF(ISNUMBER(tblData[[#This Row],[NSW Number of Tests]]),(tblData[[#This Row],[NSW Number of Tests]]-tblData[[#This Row],[NSW Test Logi]])^2,"")</f>
        <v/>
      </c>
      <c r="BY116"/>
      <c r="BZ116"/>
      <c r="CJ116" s="26"/>
      <c r="CK116" s="26"/>
    </row>
    <row r="117" spans="2:173" x14ac:dyDescent="0.25">
      <c r="B117" s="27">
        <f t="shared" si="12"/>
        <v>44180</v>
      </c>
      <c r="L117" s="12" t="str">
        <f>IF(ISNUMBER(tblData[[#This Row],[NSW]]),tblData[[#This Row],[New South Wales]]/$L$9,"")</f>
        <v/>
      </c>
      <c r="N117" s="49" t="str">
        <f>IF(ISNUMBER(tblData[Italy]),tblData[Italy]/$N$9,"")</f>
        <v/>
      </c>
      <c r="P117" s="49" t="str">
        <f>IF(ISNUMBER(tblData[US]),tblData[US]/$P$9,"")</f>
        <v/>
      </c>
      <c r="Q117" s="49"/>
      <c r="R117" s="19" t="str">
        <f>IF(ISNUMBER(tblData[SKorea]),tblData[SKorea]/$R$9,"")</f>
        <v/>
      </c>
      <c r="S117" s="49"/>
      <c r="T117" s="12" t="str">
        <f>IF(ISNUMBER(tblData[UK]),tblData[UK]/$T$9,"")</f>
        <v/>
      </c>
      <c r="V117" s="21" t="str">
        <f>IF(ISNUMBER(tblData[China]),tblData[China]/$V$9,"")</f>
        <v/>
      </c>
      <c r="W117" s="26">
        <f>IF(tblData[[#This Row],[Date]]&lt;ItalyStart,"",tblData[[#This Row],[Date]]-ItalyStart)</f>
        <v>320</v>
      </c>
      <c r="X117" s="26">
        <f t="shared" si="13"/>
        <v>310</v>
      </c>
      <c r="Y117" s="26">
        <f t="shared" ref="Y117" si="24">Y116+1</f>
        <v>106</v>
      </c>
      <c r="Z117" s="26">
        <f>IF(tblData[[#This Row],[Date]]&lt;StartDt2Korea,"",tblData[[#This Row],[Date]]-StartDt2Korea)</f>
        <v>300</v>
      </c>
      <c r="AA117" s="26">
        <f>IF(tblData[[#This Row],[Date]]&lt;UKStart,"",tblData[[#This Row],[Date]]-UKStart)</f>
        <v>320</v>
      </c>
      <c r="AB117" s="26">
        <f>IF(tblData[Date]&gt;=StartDt2Au,tblData[Date]-StartDt2Au,"")</f>
        <v>325</v>
      </c>
      <c r="AC117" s="26" t="str">
        <f>IF(tblData[New South Wales]&gt;0,SUM(tblData[[#This Row],[Australian Capital Territory]:[Western Australia]]),"")</f>
        <v/>
      </c>
      <c r="AD117" s="12" t="str">
        <f>IF(ISNUMBER(tblData[Au]),tblData[Au]/$AA$9,"")</f>
        <v/>
      </c>
      <c r="AE117" s="44">
        <f>IF(ISNUMBER(tblData[[#This Row],[Day'# Aust]]),betaAu/(deltaAu+betaPodeltaAu*EXP(-betaAu*tblData[[#This Row],[Day'# Aust]])),"")</f>
        <v>206489313.35257691</v>
      </c>
      <c r="AF117" s="73">
        <f>IF(ISNUMBER(tblData[Day'# Aust]),tblData[Au LogiP(t)]/$AD$9,"")</f>
        <v>81410390.061731949</v>
      </c>
      <c r="AG117" s="11" t="str">
        <f>IF(AND(tblData[Date]&gt;=StartDt2Au,ISNUMBER(tblData[NSW])),(tblData[[#This Row],[Au LogiP(t)]]-tblData[[#This Row],[Au]])^2,"")</f>
        <v/>
      </c>
      <c r="AH117" s="26">
        <f>IF(tblData[Date]&gt;StartDt2NSW,tblData[Date]-StartDt2NSW,"")</f>
        <v>325</v>
      </c>
      <c r="AI117" s="26" t="str">
        <f t="shared" si="14"/>
        <v/>
      </c>
      <c r="AJ117" s="11">
        <f>IF(tblData[Date]&gt;StartDt2NSW,betaNSW/(deltaNSW+betaPodeltaNSW*EXP(-betaNSW*tblData[[#This Row],[Day '# NSW]])),"")</f>
        <v>2724.7105763852951</v>
      </c>
      <c r="AK117" s="12" t="str">
        <f>IF(AND(ISNUMBER(tblData[NSW]),tblData[Date]&gt;StartDt2NSW),(tblData[[#This Row],[NSW LogiP(t)]]-tblData[[#This Row],[NSW]])^2,"")</f>
        <v/>
      </c>
      <c r="AL117" s="44">
        <f>IF(AND(tblData[Date]&gt;StartDt2NSW,ISNUMBER(tblData[Day'# Aust])),tblData[NSW LogiP(t)]/$AG$9,"")</f>
        <v>3372.1665549322956</v>
      </c>
      <c r="AM117" s="11">
        <f>IF(AND(tblData[Date]&gt;StartDt2Italy,ISNUMBER(tblData[Days'# Italy])),betaItaly/(deltaItaly+betaPodeltaItaly*EXP(-betaItaly*tblData[Days'# Italy])),"")</f>
        <v>55402.511466544704</v>
      </c>
      <c r="AN117" s="11" t="str">
        <f>IF(AND(tblData[Date]&gt;StartDt2Italy,ISNUMBER(tblData[Italy])),(tblData[[#This Row],[Italy LogiP(t)]]-tblData[[#This Row],[Italy]])^2,"")</f>
        <v/>
      </c>
      <c r="AO117" s="44">
        <f>IF(AND(tblData[Date]&gt;StartDt2Italy,ISNUMBER(tblData[Days'# Italy])),tblData[[#This Row],[Italy LogiP(t)]]/$AM$9,"")</f>
        <v>9165.0143038121932</v>
      </c>
      <c r="AP117" s="21">
        <f>IF(ISNUMBER(tblData[[#This Row],[Days'# US]]),betaUS/(deltaUS+betaPodeltaUS*EXP(-betaUS*tblData[Days'# US])),"")</f>
        <v>347695292.01456201</v>
      </c>
      <c r="AQ117" s="11" t="str">
        <f>IF(ISNUMBER(tblData[US]),(tblData[[#This Row],[US LogiP(t)]]-tblData[US])^2,"")</f>
        <v/>
      </c>
      <c r="AR117" s="21">
        <f>IF(ISNUMBER(tblData[[#This Row],[Days'# US]]),tblData[[#This Row],[US LogiP(t)]]/$AP$9,"")</f>
        <v>10560935.286862548</v>
      </c>
      <c r="AS117" s="21">
        <f>IF(tblData[Date]&gt;=StartDt2Korea,betaSKorea/(deltaSKorea+betaPodeltaSKorea*EXP(-betaSKorea*(tblData[Date]-StartDt2Korea))),"")</f>
        <v>8319.4112738168697</v>
      </c>
      <c r="AT117" s="21" t="str">
        <f>IF(AND(tblData[Date]&gt;=StartDt2Korea,ISNUMBER(tblData[SKorea])),(tblData[[#This Row],[SKorea LogiP(t)]]-tblData[[#This Row],[SKorea]])^2,"")</f>
        <v/>
      </c>
      <c r="AU117" s="21">
        <f>IF(tblData[Date]&gt;=StartDt2Korea,tblData[[#This Row],[SKorea LogiP(t)]]/$AS$9,"")</f>
        <v>1618.5625046336322</v>
      </c>
      <c r="AV117" s="85">
        <f>IF(ISNUMBER(tblData[Days'# UK]),betaUK/(deltaUK+betaPodeltaUK*EXP(-betaUK*tblData[Days'# UK])),"")</f>
        <v>230595240.64806432</v>
      </c>
      <c r="AW117" s="85" t="str">
        <f>IF(ISNUMBER(tblData[UK]),(tblData[[#This Row],[UK LogiP(t)]]-tblData[[#This Row],[UK]])^2,"")</f>
        <v/>
      </c>
      <c r="AX117" s="85">
        <f>IF(ISNUMBER(tblData[Days'# UK]),tblData[[#This Row],[UK LogiP(t)]]/$AV$9,"")</f>
        <v>34707290.886222802</v>
      </c>
      <c r="AY117" s="11">
        <f>IF(ISNUMBER(tblData[Days'# China]),betaChina/(deltaChina+betaPodeltaChina*EXP(-betaChina*tblData[Days'# China])),"")</f>
        <v>80951.34131479144</v>
      </c>
      <c r="AZ117" s="11" t="str">
        <f>IF(ISNUMBER(tblData[China]),(tblData[[#This Row],[China LogiP(t)]]-tblData[[#This Row],[China]])^2,"")</f>
        <v/>
      </c>
      <c r="BA117" s="11">
        <f>tblData[[#This Row],[China LogiP(t)]]/$AY$9</f>
        <v>562.42620781101755</v>
      </c>
      <c r="BB117" s="11"/>
      <c r="BC117" s="11"/>
      <c r="BD117" s="11" t="str">
        <f>IF(ISNUMBER(tblData[[#This Row],[NSW Number of Tests]]),tblData[[#This Row],[NSW Number of Tests]]-BB116,"")</f>
        <v/>
      </c>
      <c r="BE117" s="11" t="str">
        <f>IF(ISNUMBER(tblData[[#This Row],[NSW Under Investigation'']]),tblData[[#This Row],[NSW Under Investigation'']]-BC116,"")</f>
        <v/>
      </c>
      <c r="BF117" s="11"/>
      <c r="BG117" s="11" t="str">
        <f>IF(ISNUMBER(tblData[[#This Row],[NSW Test Day Number]]),betaTest/(deltaTest+betaPodeltaTest*EXP(-betaTest*tblData[[#This Row],[NSW Test Day Number]])),"")</f>
        <v/>
      </c>
      <c r="BH117" s="11" t="str">
        <f>IF(ISNUMBER(tblData[[#This Row],[NSW Number of Tests]]),(tblData[[#This Row],[NSW Number of Tests]]-tblData[[#This Row],[NSW Test Logi]])^2,"")</f>
        <v/>
      </c>
      <c r="BY117"/>
      <c r="BZ117"/>
      <c r="CJ117" s="26"/>
      <c r="CK117" s="26"/>
    </row>
    <row r="118" spans="2:173" s="26" customFormat="1" x14ac:dyDescent="0.25">
      <c r="B118" s="27"/>
      <c r="T118" s="11"/>
      <c r="W118" s="11"/>
      <c r="X118" s="11"/>
      <c r="Y118" s="21"/>
      <c r="Z118" s="11"/>
      <c r="AA118" s="11"/>
      <c r="AB118" s="11"/>
      <c r="AC118" s="11"/>
      <c r="AD118" s="11"/>
      <c r="AE118" s="11"/>
      <c r="AF118" s="11"/>
      <c r="AG118" s="11"/>
      <c r="AH118" s="11"/>
      <c r="BE118"/>
      <c r="BF118"/>
      <c r="BG118"/>
      <c r="BH118"/>
      <c r="BI118"/>
      <c r="BJ118"/>
      <c r="BK118"/>
      <c r="BM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F118"/>
      <c r="CG118"/>
      <c r="CH118"/>
      <c r="CI118"/>
      <c r="CJ118"/>
      <c r="CK118"/>
      <c r="CL118"/>
      <c r="CM118"/>
      <c r="CN118"/>
      <c r="CO118"/>
      <c r="CP118"/>
      <c r="DE118"/>
      <c r="DF118" s="82"/>
      <c r="DG118" s="27"/>
      <c r="DH118" s="27"/>
      <c r="DI118"/>
      <c r="DJ118"/>
      <c r="DK118"/>
      <c r="DL118"/>
      <c r="DM118"/>
      <c r="DN118"/>
      <c r="DO118"/>
      <c r="DP118"/>
      <c r="DQ118"/>
      <c r="DR118" s="27"/>
      <c r="DS118"/>
      <c r="DT118"/>
      <c r="DU118"/>
      <c r="DV118" s="27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</row>
    <row r="119" spans="2:173" s="26" customFormat="1" x14ac:dyDescent="0.25">
      <c r="B119" s="27"/>
      <c r="T119" s="11"/>
      <c r="W119" s="11"/>
      <c r="X119" s="11"/>
      <c r="Y119" s="21"/>
      <c r="Z119" s="11"/>
      <c r="AA119" s="11"/>
      <c r="AB119" s="11"/>
      <c r="AC119" s="11"/>
      <c r="AD119" s="11"/>
      <c r="AE119" s="11"/>
      <c r="AF119" s="11"/>
      <c r="AG119" s="11" t="str">
        <f>Cengnotation(AP117,3)</f>
        <v>348 M</v>
      </c>
      <c r="AH119" s="11"/>
      <c r="BE119"/>
      <c r="BF119"/>
      <c r="BG119"/>
      <c r="BH119"/>
      <c r="BI119"/>
      <c r="BJ119"/>
      <c r="BK119"/>
      <c r="BM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F119"/>
      <c r="CG119"/>
      <c r="CH119"/>
      <c r="CI119"/>
      <c r="CJ119"/>
      <c r="CK119"/>
      <c r="CL119"/>
      <c r="CM119"/>
      <c r="CN119"/>
      <c r="CO119"/>
      <c r="CP119"/>
      <c r="DE119"/>
      <c r="DF119" s="82"/>
      <c r="DG119" s="27"/>
      <c r="DH119" s="27"/>
      <c r="DI119"/>
      <c r="DJ119"/>
      <c r="DK119"/>
      <c r="DL119"/>
      <c r="DM119"/>
      <c r="DN119"/>
      <c r="DO119"/>
      <c r="DP119"/>
      <c r="DQ119"/>
      <c r="DR119" s="27"/>
      <c r="DS119"/>
      <c r="DT119"/>
      <c r="DU119"/>
      <c r="DV119" s="27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</row>
    <row r="120" spans="2:173" s="26" customFormat="1" x14ac:dyDescent="0.25">
      <c r="B120" s="27"/>
      <c r="T120" s="11"/>
      <c r="W120" s="11"/>
      <c r="X120" s="11"/>
      <c r="Y120" s="21"/>
      <c r="Z120" s="11"/>
      <c r="AA120" s="11"/>
      <c r="AB120" s="11"/>
      <c r="AC120" s="11"/>
      <c r="AD120" s="11"/>
      <c r="AE120" s="11"/>
      <c r="AF120" s="11"/>
      <c r="AG120" s="11"/>
      <c r="AH120" s="11"/>
      <c r="DE120"/>
      <c r="DF120" s="82"/>
      <c r="DG120" s="27"/>
      <c r="DH120" s="27"/>
      <c r="DI120"/>
      <c r="DJ120"/>
      <c r="DK120"/>
      <c r="DL120"/>
      <c r="DM120"/>
      <c r="DN120"/>
      <c r="DO120"/>
      <c r="DP120"/>
      <c r="DQ120"/>
      <c r="DR120" s="27"/>
      <c r="DS120"/>
      <c r="DT120"/>
      <c r="DU120"/>
      <c r="DV120" s="27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</row>
    <row r="121" spans="2:173" s="26" customFormat="1" x14ac:dyDescent="0.25">
      <c r="B121" s="27"/>
      <c r="T121" s="11"/>
      <c r="W121" s="11"/>
      <c r="X121" s="11"/>
      <c r="Y121" s="21"/>
      <c r="Z121" s="11"/>
      <c r="AA121" s="11"/>
      <c r="AB121" s="11"/>
      <c r="AC121" s="11"/>
      <c r="AD121" s="11"/>
      <c r="AE121" s="11"/>
      <c r="AF121" s="11"/>
      <c r="AG121" s="11"/>
      <c r="AH121" s="11"/>
      <c r="DE121"/>
      <c r="DF121" s="82"/>
      <c r="DG121" s="27"/>
      <c r="DH121" s="27"/>
      <c r="DI121"/>
      <c r="DJ121"/>
      <c r="DK121"/>
      <c r="DL121"/>
      <c r="DM121"/>
      <c r="DN121"/>
      <c r="DO121"/>
      <c r="DP121"/>
      <c r="DQ121"/>
      <c r="DR121" s="27"/>
      <c r="DS121"/>
      <c r="DT121"/>
      <c r="DU121"/>
      <c r="DV121" s="27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</row>
    <row r="122" spans="2:173" s="26" customFormat="1" x14ac:dyDescent="0.25">
      <c r="B122" s="27"/>
      <c r="T122" s="11"/>
      <c r="W122" s="11"/>
      <c r="X122" s="11"/>
      <c r="Y122" s="21"/>
      <c r="Z122" s="11"/>
      <c r="AA122" s="11"/>
      <c r="AB122" s="11"/>
      <c r="AC122" s="11"/>
      <c r="AD122" s="11"/>
      <c r="AE122" s="11"/>
      <c r="AF122" s="11"/>
      <c r="AG122" s="11"/>
      <c r="AH122" s="11"/>
      <c r="DE122"/>
      <c r="DF122" s="82"/>
      <c r="DG122" s="27"/>
      <c r="DH122" s="27"/>
      <c r="DI122"/>
      <c r="DJ122"/>
      <c r="DK122"/>
      <c r="DL122"/>
      <c r="DM122"/>
      <c r="DN122"/>
      <c r="DO122"/>
      <c r="DP122"/>
      <c r="DQ122"/>
      <c r="DR122" s="27"/>
      <c r="DS122"/>
      <c r="DT122"/>
      <c r="DU122"/>
      <c r="DV122" s="27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</row>
    <row r="123" spans="2:173" s="26" customFormat="1" x14ac:dyDescent="0.25">
      <c r="B123" s="27"/>
      <c r="T123" s="11"/>
      <c r="V123" s="26">
        <f>709/2.54</f>
        <v>279.1338582677165</v>
      </c>
      <c r="W123" s="11">
        <f>2626/6.64</f>
        <v>395.48192771084337</v>
      </c>
      <c r="X123" s="11"/>
      <c r="Y123" s="21"/>
      <c r="Z123" s="11"/>
      <c r="AA123" s="11"/>
      <c r="AB123" s="11"/>
      <c r="AC123" s="11"/>
      <c r="AD123" s="11"/>
      <c r="AE123" s="11"/>
      <c r="AF123" s="11"/>
      <c r="AG123" s="11"/>
      <c r="AH123" s="11"/>
      <c r="DE123"/>
      <c r="DF123" s="82"/>
      <c r="DG123" s="27"/>
      <c r="DH123" s="27"/>
      <c r="DI123"/>
      <c r="DJ123"/>
      <c r="DK123"/>
      <c r="DL123"/>
      <c r="DM123"/>
      <c r="DN123"/>
      <c r="DO123"/>
      <c r="DP123"/>
      <c r="DQ123"/>
      <c r="DR123" s="27"/>
      <c r="DS123"/>
      <c r="DT123"/>
      <c r="DU123"/>
      <c r="DV123" s="27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</row>
    <row r="124" spans="2:173" s="26" customFormat="1" x14ac:dyDescent="0.25">
      <c r="B124" s="27"/>
      <c r="T124" s="11"/>
      <c r="W124" s="11"/>
      <c r="X124" s="11"/>
      <c r="Y124" s="21"/>
      <c r="Z124" s="11"/>
      <c r="AA124" s="11"/>
      <c r="AB124" s="11"/>
      <c r="AC124" s="11"/>
      <c r="AD124" s="11"/>
      <c r="AE124" s="11"/>
      <c r="AF124" s="11"/>
      <c r="AG124" s="11"/>
      <c r="AH124" s="11"/>
      <c r="DE124"/>
      <c r="DF124" s="82"/>
      <c r="DG124" s="27"/>
      <c r="DH124" s="27"/>
      <c r="DI124"/>
      <c r="DJ124"/>
      <c r="DK124"/>
      <c r="DL124"/>
      <c r="DM124"/>
      <c r="DN124"/>
      <c r="DO124"/>
      <c r="DP124"/>
      <c r="DQ124"/>
      <c r="DR124" s="27"/>
      <c r="DS124"/>
      <c r="DT124"/>
      <c r="DU124"/>
      <c r="DV124" s="27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</row>
    <row r="125" spans="2:173" x14ac:dyDescent="0.25">
      <c r="B125" t="s">
        <v>242</v>
      </c>
      <c r="BE125" s="26"/>
      <c r="BF125" s="26"/>
      <c r="BG125" s="26"/>
      <c r="BH125" s="26"/>
      <c r="BI125" s="26"/>
      <c r="BJ125" s="26"/>
      <c r="BK125" s="26"/>
      <c r="BM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</row>
    <row r="126" spans="2:173" x14ac:dyDescent="0.25">
      <c r="B126" s="15" t="s">
        <v>243</v>
      </c>
      <c r="BE126" s="26"/>
      <c r="BF126" s="26"/>
      <c r="BG126" s="26"/>
      <c r="BH126" s="26"/>
      <c r="BI126" s="26"/>
      <c r="BJ126" s="26"/>
      <c r="BK126" s="26"/>
      <c r="BM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</row>
    <row r="129" spans="2:4" x14ac:dyDescent="0.25">
      <c r="B129" s="13" t="s">
        <v>218</v>
      </c>
      <c r="C129" s="16" t="s">
        <v>219</v>
      </c>
      <c r="D129" s="36"/>
    </row>
  </sheetData>
  <sortState ref="DE11:EH51">
    <sortCondition ref="DI11:DI51"/>
    <sortCondition ref="DR11:DR51"/>
    <sortCondition ref="DF11:DF51"/>
  </sortState>
  <hyperlinks>
    <hyperlink ref="C129" r:id="rId1" location="current-status" display="https://www.health.gov.au/news/health-alerts/novel-coronavirus-2019-ncov-health-alert - current-status"/>
    <hyperlink ref="B126" r:id="rId2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GetJHConfirmedData">
                <anchor moveWithCells="1" sizeWithCells="1">
                  <from>
                    <xdr:col>0</xdr:col>
                    <xdr:colOff>38100</xdr:colOff>
                    <xdr:row>3</xdr:row>
                    <xdr:rowOff>161925</xdr:rowOff>
                  </from>
                  <to>
                    <xdr:col>1</xdr:col>
                    <xdr:colOff>561975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6" name="Button 2">
              <controlPr defaultSize="0" print="0" autoFill="0" autoPict="0" macro="[0]!SolveAll">
                <anchor moveWithCells="1" sizeWithCells="1">
                  <from>
                    <xdr:col>1</xdr:col>
                    <xdr:colOff>847725</xdr:colOff>
                    <xdr:row>4</xdr:row>
                    <xdr:rowOff>19050</xdr:rowOff>
                  </from>
                  <to>
                    <xdr:col>2</xdr:col>
                    <xdr:colOff>171450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7:G39"/>
  <sheetViews>
    <sheetView topLeftCell="CH10" workbookViewId="0">
      <selection activeCell="DC10" sqref="DC10"/>
    </sheetView>
  </sheetViews>
  <sheetFormatPr defaultRowHeight="15" x14ac:dyDescent="0.25"/>
  <cols>
    <col min="2" max="2" width="20.7109375" bestFit="1" customWidth="1"/>
    <col min="3" max="3" width="28.42578125" bestFit="1" customWidth="1"/>
    <col min="5" max="5" width="9.140625" style="14"/>
  </cols>
  <sheetData>
    <row r="7" spans="1:7" x14ac:dyDescent="0.25">
      <c r="A7" s="32" t="s">
        <v>494</v>
      </c>
      <c r="B7" s="32" t="s">
        <v>495</v>
      </c>
      <c r="C7" s="32" t="s">
        <v>496</v>
      </c>
      <c r="D7" s="32" t="s">
        <v>497</v>
      </c>
    </row>
    <row r="8" spans="1:7" ht="30" x14ac:dyDescent="0.25">
      <c r="C8" t="s">
        <v>831</v>
      </c>
      <c r="D8" t="s">
        <v>832</v>
      </c>
      <c r="E8" s="14" t="s">
        <v>817</v>
      </c>
      <c r="F8" t="s">
        <v>499</v>
      </c>
      <c r="G8" s="33" t="s">
        <v>818</v>
      </c>
    </row>
    <row r="9" spans="1:7" ht="30" x14ac:dyDescent="0.25">
      <c r="E9" s="14" t="s">
        <v>817</v>
      </c>
      <c r="F9" t="s">
        <v>819</v>
      </c>
      <c r="G9" s="33" t="s">
        <v>820</v>
      </c>
    </row>
    <row r="10" spans="1:7" ht="30" x14ac:dyDescent="0.25">
      <c r="E10" s="14" t="s">
        <v>817</v>
      </c>
      <c r="F10" t="s">
        <v>504</v>
      </c>
      <c r="G10" s="33" t="s">
        <v>821</v>
      </c>
    </row>
    <row r="11" spans="1:7" ht="30" x14ac:dyDescent="0.25">
      <c r="E11" s="14" t="s">
        <v>817</v>
      </c>
      <c r="F11" t="s">
        <v>822</v>
      </c>
      <c r="G11" s="33" t="s">
        <v>823</v>
      </c>
    </row>
    <row r="12" spans="1:7" ht="30" x14ac:dyDescent="0.25">
      <c r="E12" s="14" t="s">
        <v>817</v>
      </c>
      <c r="F12" t="s">
        <v>502</v>
      </c>
      <c r="G12" s="33" t="s">
        <v>824</v>
      </c>
    </row>
    <row r="13" spans="1:7" ht="30" x14ac:dyDescent="0.25">
      <c r="E13" s="14" t="s">
        <v>817</v>
      </c>
      <c r="F13" t="s">
        <v>825</v>
      </c>
      <c r="G13" s="33" t="s">
        <v>826</v>
      </c>
    </row>
    <row r="14" spans="1:7" ht="30" x14ac:dyDescent="0.25">
      <c r="E14" s="14" t="s">
        <v>817</v>
      </c>
      <c r="F14" t="s">
        <v>827</v>
      </c>
      <c r="G14" s="33" t="s">
        <v>828</v>
      </c>
    </row>
    <row r="15" spans="1:7" ht="30" x14ac:dyDescent="0.25">
      <c r="E15" s="14" t="s">
        <v>817</v>
      </c>
      <c r="F15" t="s">
        <v>829</v>
      </c>
      <c r="G15" s="33" t="s">
        <v>830</v>
      </c>
    </row>
    <row r="17" spans="3:7" ht="75" x14ac:dyDescent="0.25">
      <c r="C17" s="14" t="s">
        <v>835</v>
      </c>
      <c r="D17" t="s">
        <v>506</v>
      </c>
      <c r="E17" s="14" t="s">
        <v>512</v>
      </c>
      <c r="F17" t="s">
        <v>504</v>
      </c>
      <c r="G17" s="33" t="s">
        <v>833</v>
      </c>
    </row>
    <row r="18" spans="3:7" ht="45" x14ac:dyDescent="0.25">
      <c r="E18" s="14" t="s">
        <v>512</v>
      </c>
      <c r="F18" t="s">
        <v>505</v>
      </c>
      <c r="G18" s="33" t="s">
        <v>834</v>
      </c>
    </row>
    <row r="20" spans="3:7" ht="75" x14ac:dyDescent="0.25">
      <c r="C20" s="14" t="s">
        <v>835</v>
      </c>
      <c r="D20" t="s">
        <v>508</v>
      </c>
      <c r="E20" s="14" t="s">
        <v>513</v>
      </c>
      <c r="F20" t="s">
        <v>504</v>
      </c>
      <c r="G20" s="33" t="s">
        <v>833</v>
      </c>
    </row>
    <row r="21" spans="3:7" ht="30" x14ac:dyDescent="0.25">
      <c r="E21" s="14" t="s">
        <v>513</v>
      </c>
      <c r="F21" t="s">
        <v>507</v>
      </c>
      <c r="G21" s="33" t="s">
        <v>836</v>
      </c>
    </row>
    <row r="23" spans="3:7" ht="75" x14ac:dyDescent="0.25">
      <c r="C23" s="14" t="s">
        <v>839</v>
      </c>
      <c r="D23" t="s">
        <v>498</v>
      </c>
      <c r="E23" s="14" t="s">
        <v>514</v>
      </c>
      <c r="F23" t="s">
        <v>502</v>
      </c>
      <c r="G23" s="33" t="s">
        <v>837</v>
      </c>
    </row>
    <row r="24" spans="3:7" ht="30" x14ac:dyDescent="0.25">
      <c r="E24" s="14" t="s">
        <v>514</v>
      </c>
      <c r="F24" t="s">
        <v>503</v>
      </c>
      <c r="G24" s="33" t="s">
        <v>838</v>
      </c>
    </row>
    <row r="26" spans="3:7" ht="75" x14ac:dyDescent="0.25">
      <c r="C26" s="14" t="s">
        <v>839</v>
      </c>
      <c r="D26" t="s">
        <v>498</v>
      </c>
      <c r="E26" s="14" t="s">
        <v>515</v>
      </c>
      <c r="F26" t="s">
        <v>502</v>
      </c>
      <c r="G26" s="33" t="s">
        <v>837</v>
      </c>
    </row>
    <row r="27" spans="3:7" ht="30" x14ac:dyDescent="0.25">
      <c r="E27" s="14" t="s">
        <v>515</v>
      </c>
      <c r="F27" t="s">
        <v>503</v>
      </c>
      <c r="G27" s="33" t="s">
        <v>838</v>
      </c>
    </row>
    <row r="29" spans="3:7" ht="75" x14ac:dyDescent="0.25">
      <c r="C29" s="14" t="s">
        <v>841</v>
      </c>
      <c r="D29" t="s">
        <v>501</v>
      </c>
      <c r="E29" s="14" t="s">
        <v>516</v>
      </c>
      <c r="F29" t="s">
        <v>499</v>
      </c>
      <c r="G29" s="33" t="s">
        <v>818</v>
      </c>
    </row>
    <row r="30" spans="3:7" ht="45" x14ac:dyDescent="0.25">
      <c r="E30" s="14" t="s">
        <v>516</v>
      </c>
      <c r="F30" t="s">
        <v>500</v>
      </c>
      <c r="G30" s="33" t="s">
        <v>840</v>
      </c>
    </row>
    <row r="32" spans="3:7" ht="75" x14ac:dyDescent="0.25">
      <c r="C32" s="14" t="s">
        <v>841</v>
      </c>
      <c r="D32" t="s">
        <v>501</v>
      </c>
      <c r="E32" s="14" t="s">
        <v>517</v>
      </c>
      <c r="F32" t="s">
        <v>499</v>
      </c>
      <c r="G32" s="33" t="s">
        <v>818</v>
      </c>
    </row>
    <row r="33" spans="3:7" ht="30" x14ac:dyDescent="0.25">
      <c r="E33" s="14" t="s">
        <v>517</v>
      </c>
      <c r="F33" t="s">
        <v>500</v>
      </c>
      <c r="G33" s="33" t="s">
        <v>840</v>
      </c>
    </row>
    <row r="35" spans="3:7" ht="75" x14ac:dyDescent="0.25">
      <c r="C35" s="14" t="s">
        <v>847</v>
      </c>
      <c r="D35" t="s">
        <v>848</v>
      </c>
      <c r="E35" s="14" t="s">
        <v>842</v>
      </c>
      <c r="F35" t="s">
        <v>843</v>
      </c>
      <c r="G35" s="33" t="s">
        <v>844</v>
      </c>
    </row>
    <row r="36" spans="3:7" ht="30" x14ac:dyDescent="0.25">
      <c r="E36" s="14" t="s">
        <v>842</v>
      </c>
      <c r="F36" t="s">
        <v>845</v>
      </c>
      <c r="G36" s="33" t="s">
        <v>846</v>
      </c>
    </row>
    <row r="38" spans="3:7" ht="45" x14ac:dyDescent="0.25">
      <c r="C38" t="s">
        <v>510</v>
      </c>
      <c r="D38" t="s">
        <v>511</v>
      </c>
      <c r="E38" s="14" t="s">
        <v>518</v>
      </c>
      <c r="F38" t="s">
        <v>499</v>
      </c>
      <c r="G38" s="33" t="s">
        <v>818</v>
      </c>
    </row>
    <row r="39" spans="3:7" ht="45" x14ac:dyDescent="0.25">
      <c r="E39" s="14" t="s">
        <v>518</v>
      </c>
      <c r="F39" t="s">
        <v>509</v>
      </c>
      <c r="G39" s="33" t="s">
        <v>849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CreateChartIndex">
              <controlPr defaultSize="0" print="0" autoFill="0" autoPict="0" macro="[1]!CreateChartIndex">
                <anchor moveWithCells="1" sizeWithCells="1">
                  <from>
                    <xdr:col>0</xdr:col>
                    <xdr:colOff>247650</xdr:colOff>
                    <xdr:row>1</xdr:row>
                    <xdr:rowOff>57150</xdr:rowOff>
                  </from>
                  <to>
                    <xdr:col>2</xdr:col>
                    <xdr:colOff>38100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5"/>
  <sheetViews>
    <sheetView workbookViewId="0">
      <selection activeCell="E25" sqref="E25"/>
    </sheetView>
  </sheetViews>
  <sheetFormatPr defaultRowHeight="15" x14ac:dyDescent="0.25"/>
  <cols>
    <col min="1" max="1" width="41.5703125" bestFit="1" customWidth="1"/>
    <col min="2" max="2" width="13.42578125" bestFit="1" customWidth="1"/>
  </cols>
  <sheetData>
    <row r="1" spans="1:12" x14ac:dyDescent="0.25">
      <c r="A1" s="26" t="s">
        <v>519</v>
      </c>
      <c r="B1" s="26" t="s">
        <v>520</v>
      </c>
      <c r="C1" s="26" t="s">
        <v>521</v>
      </c>
      <c r="D1" s="26" t="s">
        <v>522</v>
      </c>
      <c r="E1" s="26" t="s">
        <v>523</v>
      </c>
      <c r="F1" s="26" t="s">
        <v>524</v>
      </c>
      <c r="G1" s="26"/>
      <c r="H1" s="26"/>
      <c r="I1" s="26"/>
      <c r="J1" s="26"/>
      <c r="K1" s="26"/>
      <c r="L1" s="26"/>
    </row>
    <row r="2" spans="1:12" x14ac:dyDescent="0.25">
      <c r="A2" s="26" t="s">
        <v>525</v>
      </c>
      <c r="B2" s="26" t="s">
        <v>526</v>
      </c>
      <c r="C2" s="26" t="s">
        <v>527</v>
      </c>
      <c r="D2" s="26" t="s">
        <v>528</v>
      </c>
      <c r="E2" s="26" t="s">
        <v>529</v>
      </c>
      <c r="F2" s="26" t="s">
        <v>530</v>
      </c>
      <c r="G2" s="26"/>
      <c r="H2" s="26"/>
      <c r="I2" s="26"/>
      <c r="J2" s="26"/>
      <c r="K2" s="26"/>
      <c r="L2" s="26"/>
    </row>
    <row r="3" spans="1:12" x14ac:dyDescent="0.25">
      <c r="A3" s="26" t="s">
        <v>531</v>
      </c>
      <c r="B3" s="26" t="s">
        <v>532</v>
      </c>
      <c r="C3" s="26" t="s">
        <v>527</v>
      </c>
      <c r="D3" s="26" t="s">
        <v>533</v>
      </c>
      <c r="E3" s="26" t="s">
        <v>534</v>
      </c>
      <c r="F3" s="26" t="s">
        <v>535</v>
      </c>
      <c r="G3" s="26" t="s">
        <v>536</v>
      </c>
      <c r="H3" s="26"/>
      <c r="I3" s="26"/>
      <c r="J3" s="26"/>
      <c r="K3" s="26"/>
      <c r="L3" s="26"/>
    </row>
    <row r="4" spans="1:12" x14ac:dyDescent="0.25">
      <c r="A4" s="26" t="s">
        <v>537</v>
      </c>
      <c r="B4" s="26" t="s">
        <v>538</v>
      </c>
      <c r="C4" s="26" t="s">
        <v>539</v>
      </c>
      <c r="D4" s="26" t="s">
        <v>540</v>
      </c>
      <c r="E4" s="26" t="s">
        <v>541</v>
      </c>
      <c r="F4" s="26" t="s">
        <v>538</v>
      </c>
      <c r="G4" s="26"/>
      <c r="H4" s="26"/>
      <c r="I4" s="26"/>
      <c r="J4" s="26"/>
      <c r="K4" s="26"/>
      <c r="L4" s="26"/>
    </row>
    <row r="5" spans="1:12" x14ac:dyDescent="0.25">
      <c r="A5" s="26" t="s">
        <v>542</v>
      </c>
      <c r="B5" s="26" t="s">
        <v>543</v>
      </c>
      <c r="C5" s="26" t="s">
        <v>544</v>
      </c>
      <c r="D5" s="26" t="s">
        <v>545</v>
      </c>
      <c r="E5" s="26" t="s">
        <v>546</v>
      </c>
      <c r="F5" s="26" t="s">
        <v>547</v>
      </c>
      <c r="G5" s="26" t="str">
        <f>SUBSTITUTE(B5,"%","")</f>
        <v>94.2 </v>
      </c>
      <c r="H5" s="26">
        <f>VALUE(LEFT(B5,4))</f>
        <v>94.2</v>
      </c>
      <c r="I5" s="26"/>
      <c r="J5" s="26"/>
      <c r="K5" s="26"/>
      <c r="L5" s="26"/>
    </row>
    <row r="6" spans="1:12" x14ac:dyDescent="0.25">
      <c r="A6" s="26" t="s">
        <v>548</v>
      </c>
      <c r="B6" s="26" t="s">
        <v>549</v>
      </c>
      <c r="C6" s="26" t="s">
        <v>550</v>
      </c>
      <c r="D6" s="26" t="s">
        <v>551</v>
      </c>
      <c r="E6" s="26" t="s">
        <v>552</v>
      </c>
      <c r="F6" s="26" t="s">
        <v>553</v>
      </c>
      <c r="G6" s="26"/>
      <c r="H6" s="26">
        <f t="shared" ref="H6:H11" si="0">VALUE(LEFT(B6,4))</f>
        <v>98.5</v>
      </c>
      <c r="I6" s="26"/>
      <c r="J6" s="26"/>
      <c r="K6" s="26"/>
      <c r="L6" s="26"/>
    </row>
    <row r="7" spans="1:12" x14ac:dyDescent="0.25">
      <c r="A7" s="26" t="s">
        <v>554</v>
      </c>
      <c r="B7" s="26" t="s">
        <v>555</v>
      </c>
      <c r="C7" s="26" t="s">
        <v>556</v>
      </c>
      <c r="D7" s="26" t="s">
        <v>557</v>
      </c>
      <c r="E7" s="26" t="s">
        <v>558</v>
      </c>
      <c r="F7" s="26" t="s">
        <v>559</v>
      </c>
      <c r="G7" s="26"/>
      <c r="H7" s="26">
        <f t="shared" si="0"/>
        <v>95.5</v>
      </c>
      <c r="I7" s="26"/>
      <c r="J7" s="26"/>
      <c r="K7" s="26"/>
      <c r="L7" s="26"/>
    </row>
    <row r="8" spans="1:12" x14ac:dyDescent="0.25">
      <c r="A8" s="26" t="s">
        <v>560</v>
      </c>
      <c r="B8" s="26" t="s">
        <v>561</v>
      </c>
      <c r="C8" s="26" t="s">
        <v>562</v>
      </c>
      <c r="D8" s="26" t="s">
        <v>563</v>
      </c>
      <c r="E8" s="26" t="s">
        <v>564</v>
      </c>
      <c r="F8" s="26" t="s">
        <v>565</v>
      </c>
      <c r="G8" s="26"/>
      <c r="H8" s="26">
        <f t="shared" si="0"/>
        <v>96.1</v>
      </c>
      <c r="I8" s="26"/>
      <c r="J8" s="26"/>
      <c r="K8" s="26"/>
      <c r="L8" s="26"/>
    </row>
    <row r="9" spans="1:12" x14ac:dyDescent="0.25">
      <c r="A9" s="26" t="s">
        <v>566</v>
      </c>
      <c r="B9" s="26" t="s">
        <v>567</v>
      </c>
      <c r="C9" s="26" t="s">
        <v>568</v>
      </c>
      <c r="D9" s="26" t="s">
        <v>569</v>
      </c>
      <c r="E9" s="26" t="s">
        <v>570</v>
      </c>
      <c r="F9" s="26" t="s">
        <v>571</v>
      </c>
      <c r="G9" s="26"/>
      <c r="H9" s="26">
        <f t="shared" si="0"/>
        <v>99.1</v>
      </c>
      <c r="I9" s="26"/>
      <c r="J9" s="26"/>
      <c r="K9" s="26"/>
      <c r="L9" s="26"/>
    </row>
    <row r="10" spans="1:12" x14ac:dyDescent="0.25">
      <c r="A10" s="26" t="s">
        <v>572</v>
      </c>
      <c r="B10" s="26" t="s">
        <v>573</v>
      </c>
      <c r="C10" s="26" t="s">
        <v>574</v>
      </c>
      <c r="D10" s="26" t="s">
        <v>575</v>
      </c>
      <c r="E10" s="26" t="s">
        <v>576</v>
      </c>
      <c r="F10" s="26" t="s">
        <v>577</v>
      </c>
      <c r="G10" s="26"/>
      <c r="H10" s="26">
        <f t="shared" si="0"/>
        <v>92.8</v>
      </c>
      <c r="I10" s="26"/>
      <c r="J10" s="26"/>
      <c r="K10" s="26"/>
      <c r="L10" s="26"/>
    </row>
    <row r="11" spans="1:12" x14ac:dyDescent="0.25">
      <c r="A11" s="26" t="s">
        <v>578</v>
      </c>
      <c r="B11" s="26" t="s">
        <v>579</v>
      </c>
      <c r="C11" s="26" t="s">
        <v>580</v>
      </c>
      <c r="D11" s="26" t="s">
        <v>581</v>
      </c>
      <c r="E11" s="26" t="s">
        <v>582</v>
      </c>
      <c r="F11" s="26" t="s">
        <v>583</v>
      </c>
      <c r="G11" s="26"/>
      <c r="H11" s="26">
        <f t="shared" si="0"/>
        <v>93.8</v>
      </c>
      <c r="I11" s="26">
        <f>AVERAGE(H5:H11)</f>
        <v>95.714285714285694</v>
      </c>
      <c r="J11" s="26"/>
      <c r="K11" s="26"/>
      <c r="L11" s="26"/>
    </row>
    <row r="12" spans="1:12" x14ac:dyDescent="0.25">
      <c r="A12" s="26" t="s">
        <v>584</v>
      </c>
      <c r="B12" s="26" t="s">
        <v>585</v>
      </c>
      <c r="C12" s="26" t="s">
        <v>586</v>
      </c>
      <c r="D12" s="26" t="s">
        <v>587</v>
      </c>
      <c r="E12" s="26" t="s">
        <v>588</v>
      </c>
      <c r="F12" s="26" t="s">
        <v>589</v>
      </c>
      <c r="G12" s="26"/>
      <c r="H12" s="26">
        <f>VALUE(LEFT(B12,4))</f>
        <v>89.2</v>
      </c>
      <c r="I12" s="26"/>
      <c r="J12" s="26"/>
      <c r="K12" s="26"/>
      <c r="L12" s="26"/>
    </row>
    <row r="13" spans="1:12" x14ac:dyDescent="0.25">
      <c r="A13" s="26" t="s">
        <v>590</v>
      </c>
      <c r="B13" s="26" t="s">
        <v>591</v>
      </c>
      <c r="C13" s="26" t="s">
        <v>592</v>
      </c>
      <c r="D13" s="26" t="s">
        <v>593</v>
      </c>
      <c r="E13" s="26" t="s">
        <v>594</v>
      </c>
      <c r="F13" s="26" t="s">
        <v>595</v>
      </c>
      <c r="G13" s="26"/>
      <c r="H13" s="26">
        <f>VALUE(LEFT(B13,4))</f>
        <v>88.3</v>
      </c>
      <c r="I13" s="26"/>
      <c r="J13" s="26"/>
      <c r="K13" s="26"/>
      <c r="L13" s="26"/>
    </row>
    <row r="14" spans="1:12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</row>
    <row r="15" spans="1:12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</row>
    <row r="16" spans="1:12" x14ac:dyDescent="0.25">
      <c r="A16" s="26" t="s">
        <v>596</v>
      </c>
      <c r="B16" s="26" t="s">
        <v>597</v>
      </c>
      <c r="C16" s="26" t="s">
        <v>598</v>
      </c>
      <c r="D16" s="26" t="s">
        <v>599</v>
      </c>
      <c r="E16" s="26" t="s">
        <v>600</v>
      </c>
      <c r="F16" s="26" t="s">
        <v>601</v>
      </c>
      <c r="G16" s="26"/>
      <c r="H16" s="26"/>
      <c r="I16" s="26"/>
      <c r="J16" s="26"/>
      <c r="K16" s="26"/>
      <c r="L16" s="26"/>
    </row>
    <row r="17" spans="1:12" x14ac:dyDescent="0.25">
      <c r="A17" s="26" t="s">
        <v>602</v>
      </c>
      <c r="B17" s="26" t="s">
        <v>603</v>
      </c>
      <c r="C17" s="26" t="s">
        <v>604</v>
      </c>
      <c r="D17" s="26" t="s">
        <v>605</v>
      </c>
      <c r="E17" s="26" t="s">
        <v>606</v>
      </c>
      <c r="F17" s="26" t="s">
        <v>607</v>
      </c>
      <c r="G17" s="26"/>
      <c r="H17" s="26"/>
      <c r="I17" s="26"/>
      <c r="J17" s="26"/>
      <c r="K17" s="26"/>
      <c r="L17" s="26"/>
    </row>
    <row r="18" spans="1:12" x14ac:dyDescent="0.25">
      <c r="A18" s="26" t="s">
        <v>608</v>
      </c>
      <c r="B18" s="26" t="s">
        <v>591</v>
      </c>
      <c r="C18" s="26" t="s">
        <v>609</v>
      </c>
      <c r="D18" s="26" t="s">
        <v>610</v>
      </c>
      <c r="E18" s="26" t="s">
        <v>611</v>
      </c>
      <c r="F18" s="26" t="s">
        <v>612</v>
      </c>
      <c r="G18" s="26"/>
      <c r="H18" s="26"/>
      <c r="I18" s="26"/>
      <c r="J18" s="26"/>
      <c r="K18" s="26"/>
      <c r="L18" s="26"/>
    </row>
    <row r="19" spans="1:12" x14ac:dyDescent="0.25">
      <c r="A19" s="26" t="s">
        <v>613</v>
      </c>
      <c r="B19" s="26" t="s">
        <v>614</v>
      </c>
      <c r="C19" s="26" t="s">
        <v>615</v>
      </c>
      <c r="D19" s="26" t="s">
        <v>616</v>
      </c>
      <c r="E19" s="26" t="s">
        <v>617</v>
      </c>
      <c r="F19" s="26" t="s">
        <v>618</v>
      </c>
      <c r="G19" s="26"/>
      <c r="H19" s="26"/>
      <c r="I19" s="26"/>
      <c r="J19" s="26"/>
      <c r="K19" s="26"/>
      <c r="L19" s="26"/>
    </row>
    <row r="20" spans="1:12" x14ac:dyDescent="0.25">
      <c r="A20" s="26" t="s">
        <v>619</v>
      </c>
      <c r="B20" s="26" t="s">
        <v>620</v>
      </c>
      <c r="C20" s="26" t="s">
        <v>621</v>
      </c>
      <c r="D20" s="26" t="s">
        <v>622</v>
      </c>
      <c r="E20" s="26" t="s">
        <v>623</v>
      </c>
      <c r="F20" s="26" t="s">
        <v>624</v>
      </c>
      <c r="G20" s="26"/>
      <c r="H20" s="26"/>
      <c r="I20" s="26"/>
      <c r="J20" s="26"/>
      <c r="K20" s="26"/>
      <c r="L20" s="26"/>
    </row>
    <row r="21" spans="1:12" x14ac:dyDescent="0.25">
      <c r="A21" s="26" t="s">
        <v>625</v>
      </c>
      <c r="B21" s="26" t="s">
        <v>626</v>
      </c>
      <c r="C21" s="26" t="s">
        <v>627</v>
      </c>
      <c r="D21" s="26" t="s">
        <v>628</v>
      </c>
      <c r="E21" s="26" t="s">
        <v>629</v>
      </c>
      <c r="F21" s="26" t="s">
        <v>630</v>
      </c>
      <c r="G21" s="26"/>
      <c r="H21" s="26"/>
      <c r="I21" s="26"/>
      <c r="J21" s="26"/>
      <c r="K21" s="26"/>
      <c r="L21" s="26"/>
    </row>
    <row r="22" spans="1:12" x14ac:dyDescent="0.25">
      <c r="A22" s="26" t="s">
        <v>631</v>
      </c>
      <c r="B22" s="26" t="s">
        <v>632</v>
      </c>
      <c r="C22" s="26" t="s">
        <v>633</v>
      </c>
      <c r="D22" s="26" t="s">
        <v>634</v>
      </c>
      <c r="E22" s="26" t="s">
        <v>635</v>
      </c>
      <c r="F22" s="26" t="s">
        <v>636</v>
      </c>
      <c r="G22" s="26"/>
      <c r="H22" s="26"/>
      <c r="I22" s="26"/>
      <c r="J22" s="26" t="s">
        <v>637</v>
      </c>
      <c r="K22" s="26">
        <v>13500</v>
      </c>
      <c r="L22" s="26"/>
    </row>
    <row r="23" spans="1:12" x14ac:dyDescent="0.25">
      <c r="A23" s="26" t="s">
        <v>638</v>
      </c>
      <c r="B23" s="26" t="s">
        <v>639</v>
      </c>
      <c r="C23" s="26" t="s">
        <v>640</v>
      </c>
      <c r="D23" s="26" t="s">
        <v>641</v>
      </c>
      <c r="E23" s="26" t="s">
        <v>642</v>
      </c>
      <c r="F23" s="26" t="s">
        <v>643</v>
      </c>
      <c r="G23" s="26"/>
      <c r="H23" s="26"/>
      <c r="I23" s="26"/>
      <c r="J23" s="34">
        <v>0.1</v>
      </c>
      <c r="K23" s="26">
        <f>K22/10</f>
        <v>1350</v>
      </c>
      <c r="L23" s="26"/>
    </row>
    <row r="24" spans="1:12" x14ac:dyDescent="0.25">
      <c r="A24" s="26" t="s">
        <v>644</v>
      </c>
      <c r="B24" s="26" t="s">
        <v>645</v>
      </c>
      <c r="C24" s="26" t="s">
        <v>646</v>
      </c>
      <c r="D24" s="26" t="s">
        <v>647</v>
      </c>
      <c r="E24" s="26" t="s">
        <v>648</v>
      </c>
      <c r="F24" s="35">
        <v>2880708</v>
      </c>
      <c r="G24" s="26"/>
      <c r="H24" s="26"/>
      <c r="I24" s="26"/>
      <c r="J24" s="26"/>
      <c r="K24" s="26"/>
      <c r="L24" s="26"/>
    </row>
    <row r="25" spans="1:12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84"/>
  <sheetViews>
    <sheetView topLeftCell="D28" workbookViewId="0">
      <selection activeCell="D1" sqref="A1:XFD1"/>
    </sheetView>
  </sheetViews>
  <sheetFormatPr defaultRowHeight="15" x14ac:dyDescent="0.25"/>
  <cols>
    <col min="1" max="1" width="13.140625" customWidth="1"/>
    <col min="2" max="2" width="17" bestFit="1" customWidth="1"/>
    <col min="3" max="3" width="24.7109375" bestFit="1" customWidth="1"/>
    <col min="4" max="4" width="78.140625" customWidth="1"/>
    <col min="5" max="5" width="30.7109375" style="28" customWidth="1"/>
    <col min="6" max="6" width="22" customWidth="1"/>
    <col min="7" max="7" width="22.7109375" customWidth="1"/>
  </cols>
  <sheetData>
    <row r="1" spans="1:16" s="76" customFormat="1" x14ac:dyDescent="0.25">
      <c r="A1" s="78" t="s">
        <v>925</v>
      </c>
      <c r="B1" s="76" t="s">
        <v>926</v>
      </c>
      <c r="C1" s="76" t="s">
        <v>927</v>
      </c>
      <c r="D1" s="78" t="s">
        <v>928</v>
      </c>
      <c r="E1" s="79" t="s">
        <v>929</v>
      </c>
      <c r="F1" s="76" t="s">
        <v>861</v>
      </c>
      <c r="G1" s="76" t="s">
        <v>923</v>
      </c>
      <c r="H1" s="76" t="s">
        <v>924</v>
      </c>
      <c r="I1" s="78"/>
      <c r="M1" s="78"/>
      <c r="P1" s="78"/>
    </row>
    <row r="2" spans="1:16" x14ac:dyDescent="0.25">
      <c r="A2" s="33" t="s">
        <v>722</v>
      </c>
      <c r="B2" t="s">
        <v>491</v>
      </c>
      <c r="C2" t="s">
        <v>862</v>
      </c>
      <c r="D2" s="33" t="s">
        <v>863</v>
      </c>
      <c r="E2" s="50" t="s">
        <v>863</v>
      </c>
      <c r="I2" s="33"/>
      <c r="M2" s="33"/>
      <c r="P2" s="33"/>
    </row>
    <row r="3" spans="1:16" x14ac:dyDescent="0.25">
      <c r="A3" s="33" t="s">
        <v>722</v>
      </c>
      <c r="B3" t="s">
        <v>671</v>
      </c>
      <c r="C3" t="s">
        <v>723</v>
      </c>
      <c r="D3" s="33" t="s">
        <v>724</v>
      </c>
      <c r="E3" s="50" t="s">
        <v>724</v>
      </c>
      <c r="I3" s="33"/>
      <c r="M3" s="33"/>
      <c r="P3" s="33"/>
    </row>
    <row r="4" spans="1:16" x14ac:dyDescent="0.25">
      <c r="A4" s="33" t="s">
        <v>722</v>
      </c>
      <c r="B4" t="s">
        <v>672</v>
      </c>
      <c r="C4" t="s">
        <v>725</v>
      </c>
      <c r="D4" s="33" t="s">
        <v>864</v>
      </c>
      <c r="E4" s="50" t="s">
        <v>864</v>
      </c>
      <c r="I4" s="33"/>
      <c r="M4" s="33"/>
      <c r="P4" s="33"/>
    </row>
    <row r="5" spans="1:16" x14ac:dyDescent="0.25">
      <c r="A5" s="33" t="s">
        <v>722</v>
      </c>
      <c r="B5" t="s">
        <v>673</v>
      </c>
      <c r="C5" t="s">
        <v>726</v>
      </c>
      <c r="D5" s="33" t="s">
        <v>865</v>
      </c>
      <c r="E5" s="50" t="s">
        <v>865</v>
      </c>
      <c r="I5" s="33"/>
      <c r="M5" s="33"/>
      <c r="P5" s="33"/>
    </row>
    <row r="6" spans="1:16" x14ac:dyDescent="0.25">
      <c r="A6" s="33" t="s">
        <v>722</v>
      </c>
      <c r="B6" t="s">
        <v>674</v>
      </c>
      <c r="C6" t="s">
        <v>727</v>
      </c>
      <c r="D6" s="33" t="s">
        <v>866</v>
      </c>
      <c r="E6" s="50" t="s">
        <v>866</v>
      </c>
      <c r="I6" s="33"/>
      <c r="M6" s="33"/>
      <c r="P6" s="33"/>
    </row>
    <row r="7" spans="1:16" x14ac:dyDescent="0.25">
      <c r="A7" s="33" t="s">
        <v>722</v>
      </c>
      <c r="B7" t="s">
        <v>675</v>
      </c>
      <c r="C7" t="s">
        <v>728</v>
      </c>
      <c r="D7" s="33" t="s">
        <v>729</v>
      </c>
      <c r="E7" s="50" t="s">
        <v>729</v>
      </c>
      <c r="I7" s="33"/>
      <c r="M7" s="33"/>
      <c r="P7" s="33"/>
    </row>
    <row r="8" spans="1:16" x14ac:dyDescent="0.25">
      <c r="A8" s="33" t="s">
        <v>722</v>
      </c>
      <c r="B8" t="s">
        <v>676</v>
      </c>
      <c r="C8" t="s">
        <v>730</v>
      </c>
      <c r="D8" s="33" t="s">
        <v>867</v>
      </c>
      <c r="E8" s="50" t="s">
        <v>867</v>
      </c>
      <c r="I8" s="33"/>
      <c r="M8" s="33"/>
      <c r="P8" s="33"/>
    </row>
    <row r="9" spans="1:16" x14ac:dyDescent="0.25">
      <c r="A9" s="33" t="s">
        <v>722</v>
      </c>
      <c r="B9" t="s">
        <v>677</v>
      </c>
      <c r="C9" t="s">
        <v>731</v>
      </c>
      <c r="D9" s="33" t="s">
        <v>868</v>
      </c>
      <c r="E9" s="50" t="s">
        <v>868</v>
      </c>
      <c r="I9" s="33"/>
      <c r="M9" s="33"/>
      <c r="P9" s="33"/>
    </row>
    <row r="10" spans="1:16" x14ac:dyDescent="0.25">
      <c r="A10" s="33" t="s">
        <v>722</v>
      </c>
      <c r="B10" t="s">
        <v>678</v>
      </c>
      <c r="C10" t="s">
        <v>732</v>
      </c>
      <c r="D10" s="33" t="s">
        <v>869</v>
      </c>
      <c r="E10" s="50" t="s">
        <v>869</v>
      </c>
      <c r="I10" s="33"/>
      <c r="M10" s="33"/>
      <c r="P10" s="33"/>
    </row>
    <row r="11" spans="1:16" x14ac:dyDescent="0.25">
      <c r="A11" s="33" t="s">
        <v>722</v>
      </c>
      <c r="B11" t="s">
        <v>870</v>
      </c>
      <c r="C11" t="s">
        <v>871</v>
      </c>
      <c r="D11" s="33" t="s">
        <v>872</v>
      </c>
      <c r="E11" s="50" t="s">
        <v>872</v>
      </c>
      <c r="I11" s="33"/>
      <c r="M11" s="33"/>
      <c r="P11" s="33"/>
    </row>
    <row r="12" spans="1:16" x14ac:dyDescent="0.25">
      <c r="A12" s="33" t="s">
        <v>722</v>
      </c>
      <c r="B12" t="s">
        <v>679</v>
      </c>
      <c r="C12" t="s">
        <v>733</v>
      </c>
      <c r="D12" s="33" t="s">
        <v>873</v>
      </c>
      <c r="E12" s="50" t="s">
        <v>873</v>
      </c>
      <c r="I12" s="33"/>
      <c r="M12" s="33"/>
      <c r="P12" s="33"/>
    </row>
    <row r="13" spans="1:16" x14ac:dyDescent="0.25">
      <c r="A13" s="33" t="s">
        <v>722</v>
      </c>
      <c r="B13" t="s">
        <v>874</v>
      </c>
      <c r="C13" t="s">
        <v>875</v>
      </c>
      <c r="D13" s="33" t="s">
        <v>876</v>
      </c>
      <c r="E13" s="50" t="s">
        <v>876</v>
      </c>
      <c r="I13" s="33"/>
      <c r="M13" s="33"/>
      <c r="P13" s="33"/>
    </row>
    <row r="14" spans="1:16" x14ac:dyDescent="0.25">
      <c r="A14" s="33" t="s">
        <v>722</v>
      </c>
      <c r="B14" t="s">
        <v>680</v>
      </c>
      <c r="C14" t="s">
        <v>734</v>
      </c>
      <c r="D14" s="33" t="s">
        <v>877</v>
      </c>
      <c r="E14" s="50" t="s">
        <v>877</v>
      </c>
      <c r="I14" s="33"/>
      <c r="M14" s="33"/>
      <c r="P14" s="33"/>
    </row>
    <row r="15" spans="1:16" x14ac:dyDescent="0.25">
      <c r="A15" s="33" t="s">
        <v>722</v>
      </c>
      <c r="B15" t="s">
        <v>681</v>
      </c>
      <c r="C15" t="s">
        <v>735</v>
      </c>
      <c r="D15" s="33" t="s">
        <v>682</v>
      </c>
      <c r="E15" s="50" t="s">
        <v>682</v>
      </c>
      <c r="G15" s="33" t="s">
        <v>950</v>
      </c>
      <c r="H15" s="33" t="s">
        <v>930</v>
      </c>
      <c r="I15" s="33" t="s">
        <v>682</v>
      </c>
      <c r="J15" s="33" t="s">
        <v>951</v>
      </c>
      <c r="M15" s="33"/>
      <c r="P15" s="33"/>
    </row>
    <row r="16" spans="1:16" x14ac:dyDescent="0.25">
      <c r="A16" s="33" t="s">
        <v>722</v>
      </c>
      <c r="B16" t="s">
        <v>683</v>
      </c>
      <c r="C16" t="s">
        <v>736</v>
      </c>
      <c r="D16" s="33" t="s">
        <v>684</v>
      </c>
      <c r="E16" s="50" t="s">
        <v>684</v>
      </c>
      <c r="I16" s="33"/>
      <c r="M16" s="33"/>
      <c r="P16" s="33"/>
    </row>
    <row r="17" spans="1:16" x14ac:dyDescent="0.25">
      <c r="A17" s="33" t="s">
        <v>722</v>
      </c>
      <c r="B17" t="s">
        <v>685</v>
      </c>
      <c r="C17" t="s">
        <v>737</v>
      </c>
      <c r="D17" s="33" t="s">
        <v>686</v>
      </c>
      <c r="E17" s="50" t="s">
        <v>686</v>
      </c>
      <c r="G17" s="33" t="s">
        <v>932</v>
      </c>
      <c r="H17" s="33" t="s">
        <v>931</v>
      </c>
      <c r="I17" s="33" t="s">
        <v>686</v>
      </c>
      <c r="J17" s="33" t="s">
        <v>955</v>
      </c>
      <c r="M17" s="33"/>
      <c r="P17" s="33"/>
    </row>
    <row r="18" spans="1:16" x14ac:dyDescent="0.25">
      <c r="A18" s="33" t="s">
        <v>722</v>
      </c>
      <c r="B18" t="s">
        <v>878</v>
      </c>
      <c r="C18" t="s">
        <v>879</v>
      </c>
      <c r="D18" s="33" t="s">
        <v>687</v>
      </c>
      <c r="E18" s="50" t="s">
        <v>687</v>
      </c>
      <c r="I18" s="33"/>
      <c r="M18" s="33"/>
      <c r="P18" s="33"/>
    </row>
    <row r="19" spans="1:16" x14ac:dyDescent="0.25">
      <c r="A19" s="33" t="s">
        <v>722</v>
      </c>
      <c r="B19" t="s">
        <v>880</v>
      </c>
      <c r="C19" t="s">
        <v>881</v>
      </c>
      <c r="D19" s="33" t="s">
        <v>882</v>
      </c>
      <c r="E19" s="50" t="s">
        <v>882</v>
      </c>
      <c r="I19" s="33"/>
      <c r="M19" s="33"/>
      <c r="P19" s="33"/>
    </row>
    <row r="20" spans="1:16" x14ac:dyDescent="0.25">
      <c r="A20" s="33"/>
      <c r="B20" t="s">
        <v>883</v>
      </c>
      <c r="C20" t="s">
        <v>883</v>
      </c>
      <c r="D20" s="33" t="s">
        <v>884</v>
      </c>
      <c r="E20" s="50" t="s">
        <v>884</v>
      </c>
      <c r="I20" s="33"/>
      <c r="M20" s="33"/>
      <c r="P20" s="33"/>
    </row>
    <row r="21" spans="1:16" x14ac:dyDescent="0.25">
      <c r="A21" s="33" t="s">
        <v>722</v>
      </c>
      <c r="B21" t="s">
        <v>688</v>
      </c>
      <c r="C21" t="s">
        <v>738</v>
      </c>
      <c r="D21" s="33" t="s">
        <v>739</v>
      </c>
      <c r="E21" s="50" t="s">
        <v>739</v>
      </c>
      <c r="I21" s="33"/>
      <c r="M21" s="33"/>
      <c r="P21" s="33"/>
    </row>
    <row r="22" spans="1:16" x14ac:dyDescent="0.25">
      <c r="A22" s="33" t="s">
        <v>722</v>
      </c>
      <c r="B22" t="s">
        <v>689</v>
      </c>
      <c r="C22" t="s">
        <v>740</v>
      </c>
      <c r="D22" s="33" t="s">
        <v>885</v>
      </c>
      <c r="E22" s="50" t="s">
        <v>885</v>
      </c>
      <c r="I22" s="33"/>
      <c r="M22" s="33"/>
      <c r="P22" s="33"/>
    </row>
    <row r="23" spans="1:16" x14ac:dyDescent="0.25">
      <c r="A23" s="33" t="s">
        <v>722</v>
      </c>
      <c r="B23" t="s">
        <v>690</v>
      </c>
      <c r="C23" t="s">
        <v>741</v>
      </c>
      <c r="D23" s="33" t="s">
        <v>886</v>
      </c>
      <c r="E23" s="50" t="s">
        <v>886</v>
      </c>
      <c r="I23" s="33"/>
      <c r="M23" s="33"/>
      <c r="P23" s="33"/>
    </row>
    <row r="24" spans="1:16" x14ac:dyDescent="0.25">
      <c r="A24" s="33" t="s">
        <v>722</v>
      </c>
      <c r="B24" t="s">
        <v>691</v>
      </c>
      <c r="C24" t="s">
        <v>742</v>
      </c>
      <c r="D24" s="33" t="s">
        <v>887</v>
      </c>
      <c r="E24" s="50" t="s">
        <v>887</v>
      </c>
      <c r="I24" s="33"/>
      <c r="M24" s="33"/>
      <c r="P24" s="33"/>
    </row>
    <row r="25" spans="1:16" x14ac:dyDescent="0.25">
      <c r="A25" s="33" t="s">
        <v>722</v>
      </c>
      <c r="B25" t="s">
        <v>888</v>
      </c>
      <c r="C25" t="s">
        <v>889</v>
      </c>
      <c r="D25" s="33" t="s">
        <v>890</v>
      </c>
      <c r="E25" s="50" t="s">
        <v>890</v>
      </c>
      <c r="I25" s="33"/>
      <c r="M25" s="33"/>
      <c r="P25" s="33"/>
    </row>
    <row r="26" spans="1:16" x14ac:dyDescent="0.25">
      <c r="A26" s="33" t="s">
        <v>722</v>
      </c>
      <c r="B26" t="s">
        <v>692</v>
      </c>
      <c r="C26" t="s">
        <v>743</v>
      </c>
      <c r="D26" s="33" t="s">
        <v>891</v>
      </c>
      <c r="E26" s="50" t="s">
        <v>891</v>
      </c>
      <c r="I26" s="33"/>
      <c r="M26" s="33"/>
      <c r="P26" s="33"/>
    </row>
    <row r="27" spans="1:16" x14ac:dyDescent="0.25">
      <c r="A27" s="33" t="s">
        <v>722</v>
      </c>
      <c r="B27" t="s">
        <v>693</v>
      </c>
      <c r="C27" t="s">
        <v>744</v>
      </c>
      <c r="D27" s="33" t="s">
        <v>694</v>
      </c>
      <c r="E27" s="50" t="s">
        <v>694</v>
      </c>
      <c r="G27" s="33" t="s">
        <v>956</v>
      </c>
      <c r="H27" s="33" t="s">
        <v>944</v>
      </c>
      <c r="I27" s="33" t="s">
        <v>694</v>
      </c>
      <c r="J27" s="33" t="s">
        <v>958</v>
      </c>
      <c r="M27" s="33"/>
      <c r="P27" s="33"/>
    </row>
    <row r="28" spans="1:16" x14ac:dyDescent="0.25">
      <c r="A28" s="33" t="s">
        <v>722</v>
      </c>
      <c r="B28" t="s">
        <v>695</v>
      </c>
      <c r="C28" t="s">
        <v>745</v>
      </c>
      <c r="D28" s="33" t="s">
        <v>696</v>
      </c>
      <c r="E28" s="50" t="s">
        <v>696</v>
      </c>
      <c r="I28" s="33"/>
      <c r="M28" s="33"/>
      <c r="P28" s="33"/>
    </row>
    <row r="29" spans="1:16" x14ac:dyDescent="0.25">
      <c r="A29" s="33" t="s">
        <v>722</v>
      </c>
      <c r="B29" t="s">
        <v>697</v>
      </c>
      <c r="C29" t="s">
        <v>746</v>
      </c>
      <c r="D29" s="33" t="s">
        <v>698</v>
      </c>
      <c r="E29" s="50" t="s">
        <v>698</v>
      </c>
      <c r="G29" t="s">
        <v>945</v>
      </c>
      <c r="H29" t="s">
        <v>946</v>
      </c>
      <c r="I29" s="33"/>
      <c r="M29" s="33"/>
      <c r="P29" s="33"/>
    </row>
    <row r="30" spans="1:16" x14ac:dyDescent="0.25">
      <c r="A30" s="33" t="s">
        <v>722</v>
      </c>
      <c r="B30" t="s">
        <v>699</v>
      </c>
      <c r="C30" t="s">
        <v>747</v>
      </c>
      <c r="D30" s="33" t="s">
        <v>700</v>
      </c>
      <c r="E30" s="50" t="s">
        <v>700</v>
      </c>
      <c r="I30" s="33"/>
      <c r="M30" s="33"/>
      <c r="P30" s="33"/>
    </row>
    <row r="31" spans="1:16" x14ac:dyDescent="0.25">
      <c r="A31" s="33" t="s">
        <v>722</v>
      </c>
      <c r="B31" t="s">
        <v>892</v>
      </c>
      <c r="C31" t="s">
        <v>893</v>
      </c>
      <c r="D31" s="33" t="s">
        <v>894</v>
      </c>
      <c r="E31" s="50" t="s">
        <v>894</v>
      </c>
      <c r="I31" s="33"/>
      <c r="M31" s="33"/>
      <c r="P31" s="33"/>
    </row>
    <row r="32" spans="1:16" x14ac:dyDescent="0.25">
      <c r="A32" s="33" t="s">
        <v>722</v>
      </c>
      <c r="B32" t="s">
        <v>701</v>
      </c>
      <c r="C32" t="s">
        <v>748</v>
      </c>
      <c r="D32" s="33" t="s">
        <v>895</v>
      </c>
      <c r="E32" s="50" t="s">
        <v>895</v>
      </c>
      <c r="I32" s="33"/>
      <c r="M32" s="33"/>
      <c r="P32" s="33"/>
    </row>
    <row r="33" spans="1:16" x14ac:dyDescent="0.25">
      <c r="A33" s="33" t="s">
        <v>722</v>
      </c>
      <c r="B33" t="s">
        <v>702</v>
      </c>
      <c r="C33" t="s">
        <v>749</v>
      </c>
      <c r="D33" s="33" t="s">
        <v>896</v>
      </c>
      <c r="E33" s="50" t="s">
        <v>896</v>
      </c>
      <c r="I33" s="33"/>
      <c r="M33" s="33"/>
      <c r="P33" s="33"/>
    </row>
    <row r="34" spans="1:16" x14ac:dyDescent="0.25">
      <c r="A34" s="33" t="s">
        <v>722</v>
      </c>
      <c r="B34" t="s">
        <v>703</v>
      </c>
      <c r="C34" t="s">
        <v>750</v>
      </c>
      <c r="D34" s="33" t="s">
        <v>897</v>
      </c>
      <c r="E34" s="50" t="s">
        <v>897</v>
      </c>
      <c r="I34" s="33"/>
      <c r="M34" s="33"/>
      <c r="P34" s="33"/>
    </row>
    <row r="35" spans="1:16" x14ac:dyDescent="0.25">
      <c r="A35" s="33" t="s">
        <v>722</v>
      </c>
      <c r="B35" t="s">
        <v>898</v>
      </c>
      <c r="C35" t="s">
        <v>899</v>
      </c>
      <c r="D35" s="33" t="s">
        <v>900</v>
      </c>
      <c r="E35" s="50" t="s">
        <v>900</v>
      </c>
      <c r="I35" s="33"/>
      <c r="M35" s="33"/>
      <c r="P35" s="33"/>
    </row>
    <row r="36" spans="1:16" x14ac:dyDescent="0.25">
      <c r="A36" s="33" t="s">
        <v>722</v>
      </c>
      <c r="B36" t="s">
        <v>704</v>
      </c>
      <c r="C36" t="s">
        <v>751</v>
      </c>
      <c r="D36" s="33" t="s">
        <v>901</v>
      </c>
      <c r="E36" s="50" t="s">
        <v>901</v>
      </c>
      <c r="I36" s="33"/>
      <c r="M36" s="33"/>
      <c r="P36" s="33"/>
    </row>
    <row r="37" spans="1:16" x14ac:dyDescent="0.25">
      <c r="A37" s="33" t="s">
        <v>722</v>
      </c>
      <c r="B37" t="s">
        <v>902</v>
      </c>
      <c r="C37" t="s">
        <v>903</v>
      </c>
      <c r="D37" s="33" t="s">
        <v>904</v>
      </c>
      <c r="E37" s="50" t="s">
        <v>904</v>
      </c>
      <c r="I37" s="33"/>
      <c r="M37" s="33"/>
      <c r="P37" s="33"/>
    </row>
    <row r="38" spans="1:16" x14ac:dyDescent="0.25">
      <c r="A38" s="33" t="s">
        <v>722</v>
      </c>
      <c r="B38" t="s">
        <v>705</v>
      </c>
      <c r="C38" t="s">
        <v>752</v>
      </c>
      <c r="D38" s="33" t="s">
        <v>706</v>
      </c>
      <c r="E38" s="50" t="s">
        <v>706</v>
      </c>
      <c r="G38" s="33" t="s">
        <v>957</v>
      </c>
      <c r="H38" s="33" t="s">
        <v>947</v>
      </c>
      <c r="I38" s="33" t="s">
        <v>706</v>
      </c>
      <c r="J38" s="33" t="s">
        <v>959</v>
      </c>
      <c r="M38" s="33"/>
      <c r="P38" s="33"/>
    </row>
    <row r="39" spans="1:16" x14ac:dyDescent="0.25">
      <c r="A39" s="33" t="s">
        <v>722</v>
      </c>
      <c r="B39" t="s">
        <v>707</v>
      </c>
      <c r="C39" t="s">
        <v>753</v>
      </c>
      <c r="D39" s="33" t="s">
        <v>708</v>
      </c>
      <c r="E39" s="50" t="s">
        <v>708</v>
      </c>
      <c r="I39" s="33"/>
      <c r="M39" s="33"/>
      <c r="P39" s="33"/>
    </row>
    <row r="40" spans="1:16" x14ac:dyDescent="0.25">
      <c r="A40" s="33" t="s">
        <v>722</v>
      </c>
      <c r="B40" t="s">
        <v>709</v>
      </c>
      <c r="C40" t="s">
        <v>754</v>
      </c>
      <c r="D40" s="33" t="s">
        <v>710</v>
      </c>
      <c r="E40" s="50" t="s">
        <v>710</v>
      </c>
      <c r="G40" t="s">
        <v>948</v>
      </c>
      <c r="H40" t="s">
        <v>949</v>
      </c>
      <c r="I40" s="33"/>
      <c r="M40" s="33"/>
      <c r="P40" s="33"/>
    </row>
    <row r="41" spans="1:16" x14ac:dyDescent="0.25">
      <c r="A41" s="33" t="s">
        <v>722</v>
      </c>
      <c r="B41" t="s">
        <v>711</v>
      </c>
      <c r="C41" t="s">
        <v>755</v>
      </c>
      <c r="D41" s="33" t="s">
        <v>712</v>
      </c>
      <c r="E41" s="50" t="s">
        <v>712</v>
      </c>
      <c r="I41" s="33"/>
      <c r="M41" s="33"/>
      <c r="P41" s="33"/>
    </row>
    <row r="42" spans="1:16" x14ac:dyDescent="0.25">
      <c r="A42" s="33" t="s">
        <v>722</v>
      </c>
      <c r="B42" t="s">
        <v>905</v>
      </c>
      <c r="C42" t="s">
        <v>906</v>
      </c>
      <c r="D42" s="33" t="s">
        <v>907</v>
      </c>
      <c r="E42" s="50" t="s">
        <v>907</v>
      </c>
      <c r="I42" s="33"/>
      <c r="M42" s="33"/>
      <c r="P42" s="33"/>
    </row>
    <row r="43" spans="1:16" x14ac:dyDescent="0.25">
      <c r="A43" s="33" t="s">
        <v>722</v>
      </c>
      <c r="B43" t="s">
        <v>207</v>
      </c>
      <c r="C43" t="s">
        <v>756</v>
      </c>
      <c r="D43" s="33" t="s">
        <v>757</v>
      </c>
      <c r="E43" s="50" t="s">
        <v>757</v>
      </c>
      <c r="I43" s="33"/>
      <c r="M43" s="33"/>
      <c r="P43" s="33"/>
    </row>
    <row r="44" spans="1:16" x14ac:dyDescent="0.25">
      <c r="A44" s="33" t="s">
        <v>722</v>
      </c>
      <c r="B44" t="s">
        <v>713</v>
      </c>
      <c r="C44" t="s">
        <v>758</v>
      </c>
      <c r="D44" s="33" t="s">
        <v>908</v>
      </c>
      <c r="E44" s="50" t="s">
        <v>908</v>
      </c>
      <c r="I44" s="33"/>
      <c r="M44" s="33"/>
      <c r="P44" s="33"/>
    </row>
    <row r="45" spans="1:16" x14ac:dyDescent="0.25">
      <c r="A45" s="33" t="s">
        <v>722</v>
      </c>
      <c r="B45" t="s">
        <v>714</v>
      </c>
      <c r="C45" t="s">
        <v>759</v>
      </c>
      <c r="D45" s="33" t="s">
        <v>909</v>
      </c>
      <c r="E45" s="50" t="s">
        <v>909</v>
      </c>
      <c r="I45" s="33"/>
      <c r="M45" s="33"/>
      <c r="P45" s="33"/>
    </row>
    <row r="46" spans="1:16" x14ac:dyDescent="0.25">
      <c r="A46" s="33" t="s">
        <v>722</v>
      </c>
      <c r="B46" t="s">
        <v>715</v>
      </c>
      <c r="C46" t="s">
        <v>760</v>
      </c>
      <c r="D46" s="33" t="s">
        <v>910</v>
      </c>
      <c r="E46" s="50" t="s">
        <v>910</v>
      </c>
      <c r="I46" s="33"/>
      <c r="M46" s="33"/>
      <c r="P46" s="33"/>
    </row>
    <row r="47" spans="1:16" x14ac:dyDescent="0.25">
      <c r="A47" s="33" t="s">
        <v>722</v>
      </c>
      <c r="B47" t="s">
        <v>911</v>
      </c>
      <c r="C47" t="s">
        <v>912</v>
      </c>
      <c r="D47" s="33" t="s">
        <v>913</v>
      </c>
      <c r="E47" s="50" t="s">
        <v>913</v>
      </c>
      <c r="I47" s="33"/>
      <c r="M47" s="33"/>
      <c r="P47" s="33"/>
    </row>
    <row r="48" spans="1:16" x14ac:dyDescent="0.25">
      <c r="A48" s="33" t="s">
        <v>722</v>
      </c>
      <c r="B48" t="s">
        <v>914</v>
      </c>
      <c r="C48" t="s">
        <v>915</v>
      </c>
      <c r="D48" s="33" t="s">
        <v>916</v>
      </c>
      <c r="E48" s="50" t="s">
        <v>916</v>
      </c>
      <c r="I48" s="33"/>
      <c r="M48" s="33"/>
      <c r="P48" s="33"/>
    </row>
    <row r="49" spans="1:16" x14ac:dyDescent="0.25">
      <c r="A49" s="33" t="s">
        <v>722</v>
      </c>
      <c r="B49" t="s">
        <v>716</v>
      </c>
      <c r="C49" t="s">
        <v>761</v>
      </c>
      <c r="D49" s="33" t="s">
        <v>917</v>
      </c>
      <c r="E49" s="50" t="s">
        <v>917</v>
      </c>
      <c r="I49" s="33"/>
      <c r="M49" s="33"/>
      <c r="P49" s="33"/>
    </row>
    <row r="50" spans="1:16" x14ac:dyDescent="0.25">
      <c r="B50" t="s">
        <v>918</v>
      </c>
      <c r="C50" t="s">
        <v>918</v>
      </c>
      <c r="D50" s="33" t="s">
        <v>919</v>
      </c>
      <c r="E50" s="50" t="s">
        <v>919</v>
      </c>
      <c r="I50" s="33"/>
      <c r="M50" s="33"/>
      <c r="P50" s="33"/>
    </row>
    <row r="51" spans="1:16" x14ac:dyDescent="0.25">
      <c r="A51" s="33" t="s">
        <v>722</v>
      </c>
      <c r="B51" t="s">
        <v>717</v>
      </c>
      <c r="C51" t="s">
        <v>762</v>
      </c>
      <c r="D51" s="33" t="s">
        <v>935</v>
      </c>
      <c r="E51" s="50" t="s">
        <v>935</v>
      </c>
      <c r="G51" s="33" t="s">
        <v>941</v>
      </c>
      <c r="H51" s="33" t="s">
        <v>940</v>
      </c>
      <c r="I51" s="33" t="s">
        <v>935</v>
      </c>
      <c r="J51" s="33" t="s">
        <v>960</v>
      </c>
      <c r="M51" s="33"/>
      <c r="P51" s="33"/>
    </row>
    <row r="52" spans="1:16" x14ac:dyDescent="0.25">
      <c r="A52" s="33" t="s">
        <v>722</v>
      </c>
      <c r="B52" t="s">
        <v>718</v>
      </c>
      <c r="C52" t="s">
        <v>763</v>
      </c>
      <c r="D52" s="33" t="s">
        <v>936</v>
      </c>
      <c r="E52" s="50" t="s">
        <v>936</v>
      </c>
      <c r="G52" s="26"/>
      <c r="H52" s="26"/>
      <c r="I52" s="33"/>
      <c r="M52" s="33"/>
      <c r="P52" s="33"/>
    </row>
    <row r="53" spans="1:16" x14ac:dyDescent="0.25">
      <c r="A53" s="33" t="s">
        <v>722</v>
      </c>
      <c r="B53" t="s">
        <v>719</v>
      </c>
      <c r="C53" t="s">
        <v>764</v>
      </c>
      <c r="D53" s="33" t="s">
        <v>937</v>
      </c>
      <c r="E53" s="50" t="s">
        <v>937</v>
      </c>
      <c r="G53" s="26"/>
      <c r="H53" s="26"/>
      <c r="I53" s="33"/>
      <c r="M53" s="33"/>
      <c r="P53" s="33"/>
    </row>
    <row r="54" spans="1:16" s="26" customFormat="1" x14ac:dyDescent="0.25">
      <c r="A54" s="33" t="s">
        <v>722</v>
      </c>
      <c r="B54" s="26" t="s">
        <v>720</v>
      </c>
      <c r="C54" s="26" t="s">
        <v>765</v>
      </c>
      <c r="D54" s="33" t="s">
        <v>938</v>
      </c>
      <c r="E54" s="50"/>
      <c r="G54" s="26" t="s">
        <v>942</v>
      </c>
      <c r="H54" s="26" t="s">
        <v>943</v>
      </c>
      <c r="I54" s="33"/>
      <c r="M54" s="33"/>
      <c r="P54" s="33"/>
    </row>
    <row r="55" spans="1:16" x14ac:dyDescent="0.25">
      <c r="A55" s="33" t="s">
        <v>722</v>
      </c>
      <c r="B55" t="s">
        <v>721</v>
      </c>
      <c r="C55" t="s">
        <v>766</v>
      </c>
      <c r="D55" s="33" t="s">
        <v>939</v>
      </c>
      <c r="E55" s="50" t="s">
        <v>939</v>
      </c>
      <c r="G55" s="26"/>
      <c r="H55" s="26"/>
      <c r="I55" s="33"/>
      <c r="M55" s="33"/>
      <c r="P55" s="33"/>
    </row>
    <row r="56" spans="1:16" x14ac:dyDescent="0.25">
      <c r="A56" s="33" t="s">
        <v>722</v>
      </c>
      <c r="B56" t="s">
        <v>920</v>
      </c>
      <c r="C56" t="s">
        <v>921</v>
      </c>
      <c r="D56" s="33" t="s">
        <v>922</v>
      </c>
      <c r="E56" s="50" t="s">
        <v>922</v>
      </c>
      <c r="I56" s="33"/>
      <c r="M56" s="33"/>
      <c r="P56" s="33"/>
    </row>
    <row r="57" spans="1:16" x14ac:dyDescent="0.25">
      <c r="I57" s="33"/>
      <c r="M57" s="33"/>
      <c r="P57" s="33"/>
    </row>
    <row r="58" spans="1:16" x14ac:dyDescent="0.25">
      <c r="P58" s="33"/>
    </row>
    <row r="59" spans="1:16" s="76" customFormat="1" x14ac:dyDescent="0.25">
      <c r="A59" s="76" t="s">
        <v>1042</v>
      </c>
      <c r="B59" s="76" t="s">
        <v>1041</v>
      </c>
      <c r="C59" s="77" t="s">
        <v>927</v>
      </c>
      <c r="D59" s="78" t="s">
        <v>928</v>
      </c>
      <c r="E59" s="78" t="s">
        <v>929</v>
      </c>
      <c r="H59" s="78"/>
    </row>
    <row r="60" spans="1:16" x14ac:dyDescent="0.25">
      <c r="A60" s="33" t="s">
        <v>1045</v>
      </c>
      <c r="B60" t="s">
        <v>1041</v>
      </c>
      <c r="C60" s="28" t="s">
        <v>1043</v>
      </c>
      <c r="D60" s="33" t="s">
        <v>1044</v>
      </c>
      <c r="E60" s="33" t="s">
        <v>1044</v>
      </c>
      <c r="H60" s="33"/>
    </row>
    <row r="61" spans="1:16" x14ac:dyDescent="0.25">
      <c r="A61" t="s">
        <v>722</v>
      </c>
      <c r="B61" t="s">
        <v>491</v>
      </c>
      <c r="C61" s="50" t="s">
        <v>1046</v>
      </c>
      <c r="D61" s="33" t="s">
        <v>1047</v>
      </c>
      <c r="E61" s="33" t="s">
        <v>1047</v>
      </c>
      <c r="H61" s="33"/>
    </row>
    <row r="62" spans="1:16" x14ac:dyDescent="0.25">
      <c r="A62" t="s">
        <v>722</v>
      </c>
      <c r="B62" t="s">
        <v>1048</v>
      </c>
      <c r="C62" s="28" t="s">
        <v>862</v>
      </c>
      <c r="D62" s="33" t="s">
        <v>863</v>
      </c>
      <c r="E62" s="33" t="s">
        <v>863</v>
      </c>
      <c r="H62" s="33"/>
    </row>
    <row r="63" spans="1:16" x14ac:dyDescent="0.25">
      <c r="A63" t="s">
        <v>722</v>
      </c>
      <c r="B63" t="s">
        <v>1051</v>
      </c>
      <c r="C63" s="28" t="s">
        <v>1049</v>
      </c>
      <c r="D63" s="33" t="s">
        <v>1050</v>
      </c>
      <c r="E63" s="33" t="s">
        <v>1050</v>
      </c>
      <c r="H63" s="33"/>
    </row>
    <row r="64" spans="1:16" x14ac:dyDescent="0.25">
      <c r="A64" t="s">
        <v>722</v>
      </c>
      <c r="B64" t="s">
        <v>1054</v>
      </c>
      <c r="C64" s="28" t="s">
        <v>1052</v>
      </c>
      <c r="D64" s="33" t="s">
        <v>1053</v>
      </c>
      <c r="E64" s="33" t="s">
        <v>1053</v>
      </c>
      <c r="H64" s="33"/>
    </row>
    <row r="65" spans="1:8" x14ac:dyDescent="0.25">
      <c r="A65" t="s">
        <v>722</v>
      </c>
      <c r="B65" t="s">
        <v>1057</v>
      </c>
      <c r="C65" s="28" t="s">
        <v>1055</v>
      </c>
      <c r="D65" s="33" t="s">
        <v>1056</v>
      </c>
      <c r="E65" s="33" t="s">
        <v>1056</v>
      </c>
      <c r="H65" s="33"/>
    </row>
    <row r="66" spans="1:8" x14ac:dyDescent="0.25">
      <c r="A66" t="s">
        <v>722</v>
      </c>
      <c r="B66" t="s">
        <v>1059</v>
      </c>
      <c r="C66" s="28" t="s">
        <v>1058</v>
      </c>
      <c r="D66" s="33" t="s">
        <v>712</v>
      </c>
      <c r="E66" s="33" t="s">
        <v>712</v>
      </c>
      <c r="H66" s="33"/>
    </row>
    <row r="67" spans="1:8" x14ac:dyDescent="0.25">
      <c r="A67" t="s">
        <v>722</v>
      </c>
      <c r="B67" t="s">
        <v>1062</v>
      </c>
      <c r="C67" s="28" t="s">
        <v>1060</v>
      </c>
      <c r="D67" s="33" t="s">
        <v>1061</v>
      </c>
      <c r="E67" s="33" t="s">
        <v>1061</v>
      </c>
    </row>
    <row r="68" spans="1:8" x14ac:dyDescent="0.25">
      <c r="A68" t="s">
        <v>722</v>
      </c>
      <c r="B68" t="s">
        <v>1065</v>
      </c>
      <c r="C68" s="28" t="s">
        <v>1063</v>
      </c>
      <c r="D68" s="33" t="s">
        <v>1064</v>
      </c>
      <c r="E68" s="33" t="s">
        <v>1064</v>
      </c>
    </row>
    <row r="69" spans="1:8" x14ac:dyDescent="0.25">
      <c r="A69" t="s">
        <v>722</v>
      </c>
      <c r="B69" t="s">
        <v>671</v>
      </c>
      <c r="C69" s="28" t="s">
        <v>1066</v>
      </c>
      <c r="D69" s="33" t="s">
        <v>1067</v>
      </c>
      <c r="E69" s="33" t="s">
        <v>1067</v>
      </c>
    </row>
    <row r="70" spans="1:8" x14ac:dyDescent="0.25">
      <c r="A70" t="s">
        <v>722</v>
      </c>
      <c r="B70" t="s">
        <v>1068</v>
      </c>
      <c r="C70" s="28" t="s">
        <v>723</v>
      </c>
      <c r="D70" s="33" t="s">
        <v>724</v>
      </c>
      <c r="E70" s="33" t="s">
        <v>724</v>
      </c>
    </row>
    <row r="71" spans="1:8" x14ac:dyDescent="0.25">
      <c r="A71" t="s">
        <v>722</v>
      </c>
      <c r="B71" t="s">
        <v>672</v>
      </c>
      <c r="C71" s="28" t="s">
        <v>1069</v>
      </c>
      <c r="D71" s="33" t="s">
        <v>1070</v>
      </c>
      <c r="E71" s="33" t="s">
        <v>1070</v>
      </c>
    </row>
    <row r="72" spans="1:8" x14ac:dyDescent="0.25">
      <c r="A72" t="s">
        <v>722</v>
      </c>
      <c r="B72" t="s">
        <v>673</v>
      </c>
      <c r="C72" s="28" t="s">
        <v>725</v>
      </c>
      <c r="D72" s="33" t="s">
        <v>1071</v>
      </c>
      <c r="E72" s="33" t="s">
        <v>1071</v>
      </c>
    </row>
    <row r="73" spans="1:8" x14ac:dyDescent="0.25">
      <c r="A73" t="s">
        <v>722</v>
      </c>
      <c r="B73" t="s">
        <v>674</v>
      </c>
      <c r="C73" s="28" t="s">
        <v>726</v>
      </c>
      <c r="D73" s="33" t="s">
        <v>1072</v>
      </c>
      <c r="E73" s="33" t="s">
        <v>1072</v>
      </c>
    </row>
    <row r="74" spans="1:8" x14ac:dyDescent="0.25">
      <c r="A74" t="s">
        <v>722</v>
      </c>
      <c r="B74" t="s">
        <v>675</v>
      </c>
      <c r="C74" s="28" t="s">
        <v>727</v>
      </c>
      <c r="D74" s="33" t="s">
        <v>1073</v>
      </c>
      <c r="E74" s="33" t="s">
        <v>1073</v>
      </c>
    </row>
    <row r="75" spans="1:8" x14ac:dyDescent="0.25">
      <c r="A75" t="s">
        <v>722</v>
      </c>
      <c r="B75" t="s">
        <v>1074</v>
      </c>
      <c r="C75" s="50" t="s">
        <v>728</v>
      </c>
      <c r="D75" s="33" t="s">
        <v>729</v>
      </c>
      <c r="E75" s="33" t="s">
        <v>729</v>
      </c>
    </row>
    <row r="76" spans="1:8" x14ac:dyDescent="0.25">
      <c r="A76" s="33" t="s">
        <v>722</v>
      </c>
      <c r="B76" t="s">
        <v>676</v>
      </c>
      <c r="C76" s="50" t="s">
        <v>1075</v>
      </c>
      <c r="D76" s="33" t="s">
        <v>1076</v>
      </c>
      <c r="E76" s="33" t="s">
        <v>1076</v>
      </c>
    </row>
    <row r="77" spans="1:8" x14ac:dyDescent="0.25">
      <c r="A77" s="33" t="s">
        <v>722</v>
      </c>
      <c r="B77" t="s">
        <v>677</v>
      </c>
      <c r="C77" s="50" t="s">
        <v>730</v>
      </c>
      <c r="D77" s="33" t="s">
        <v>1077</v>
      </c>
      <c r="E77" s="33" t="s">
        <v>1077</v>
      </c>
    </row>
    <row r="78" spans="1:8" x14ac:dyDescent="0.25">
      <c r="A78" s="33" t="s">
        <v>722</v>
      </c>
      <c r="B78" t="s">
        <v>678</v>
      </c>
      <c r="C78" s="50" t="s">
        <v>731</v>
      </c>
      <c r="D78" s="33" t="s">
        <v>1078</v>
      </c>
      <c r="E78" s="33" t="s">
        <v>1078</v>
      </c>
    </row>
    <row r="79" spans="1:8" x14ac:dyDescent="0.25">
      <c r="A79" s="33" t="s">
        <v>722</v>
      </c>
      <c r="B79" t="s">
        <v>870</v>
      </c>
      <c r="C79" s="50" t="s">
        <v>732</v>
      </c>
      <c r="D79" s="33" t="s">
        <v>1079</v>
      </c>
      <c r="E79" s="33" t="s">
        <v>1079</v>
      </c>
    </row>
    <row r="80" spans="1:8" x14ac:dyDescent="0.25">
      <c r="A80" s="33" t="s">
        <v>722</v>
      </c>
      <c r="B80" t="s">
        <v>679</v>
      </c>
      <c r="C80" s="50" t="s">
        <v>871</v>
      </c>
      <c r="D80" s="33" t="s">
        <v>872</v>
      </c>
      <c r="E80" s="33" t="s">
        <v>872</v>
      </c>
    </row>
    <row r="81" spans="1:5" x14ac:dyDescent="0.25">
      <c r="A81" s="33" t="s">
        <v>722</v>
      </c>
      <c r="B81" t="s">
        <v>874</v>
      </c>
      <c r="C81" s="50" t="s">
        <v>733</v>
      </c>
      <c r="D81" s="33" t="s">
        <v>1080</v>
      </c>
      <c r="E81" s="33" t="s">
        <v>1080</v>
      </c>
    </row>
    <row r="82" spans="1:5" x14ac:dyDescent="0.25">
      <c r="A82" s="33" t="s">
        <v>722</v>
      </c>
      <c r="B82" t="s">
        <v>1081</v>
      </c>
      <c r="C82" s="50" t="s">
        <v>875</v>
      </c>
      <c r="D82" s="33" t="s">
        <v>876</v>
      </c>
      <c r="E82" s="33" t="s">
        <v>876</v>
      </c>
    </row>
    <row r="83" spans="1:5" x14ac:dyDescent="0.25">
      <c r="A83" t="s">
        <v>722</v>
      </c>
      <c r="B83" t="s">
        <v>680</v>
      </c>
      <c r="C83" s="28" t="s">
        <v>1082</v>
      </c>
      <c r="D83" s="33" t="s">
        <v>1083</v>
      </c>
      <c r="E83" s="33" t="s">
        <v>1083</v>
      </c>
    </row>
    <row r="84" spans="1:5" x14ac:dyDescent="0.25">
      <c r="A84" t="s">
        <v>722</v>
      </c>
      <c r="B84" t="s">
        <v>681</v>
      </c>
      <c r="C84" s="28" t="s">
        <v>734</v>
      </c>
      <c r="D84" s="33" t="s">
        <v>1084</v>
      </c>
      <c r="E84" s="33" t="s">
        <v>1084</v>
      </c>
    </row>
    <row r="85" spans="1:5" x14ac:dyDescent="0.25">
      <c r="A85" t="s">
        <v>722</v>
      </c>
      <c r="B85" t="s">
        <v>683</v>
      </c>
      <c r="C85" s="28" t="s">
        <v>735</v>
      </c>
      <c r="D85" s="33" t="s">
        <v>951</v>
      </c>
      <c r="E85" s="33" t="s">
        <v>951</v>
      </c>
    </row>
    <row r="86" spans="1:5" x14ac:dyDescent="0.25">
      <c r="A86" t="s">
        <v>722</v>
      </c>
      <c r="B86" t="s">
        <v>685</v>
      </c>
      <c r="C86" s="28" t="s">
        <v>736</v>
      </c>
      <c r="D86" s="33" t="s">
        <v>684</v>
      </c>
      <c r="E86" s="33" t="s">
        <v>684</v>
      </c>
    </row>
    <row r="87" spans="1:5" x14ac:dyDescent="0.25">
      <c r="A87" t="s">
        <v>722</v>
      </c>
      <c r="B87" t="s">
        <v>878</v>
      </c>
      <c r="C87" s="28" t="s">
        <v>737</v>
      </c>
      <c r="D87" s="33" t="s">
        <v>955</v>
      </c>
      <c r="E87" s="33" t="s">
        <v>955</v>
      </c>
    </row>
    <row r="88" spans="1:5" x14ac:dyDescent="0.25">
      <c r="A88" t="s">
        <v>722</v>
      </c>
      <c r="B88" t="s">
        <v>1085</v>
      </c>
      <c r="C88" s="28" t="s">
        <v>879</v>
      </c>
      <c r="D88" s="33" t="s">
        <v>687</v>
      </c>
      <c r="E88" s="33" t="s">
        <v>687</v>
      </c>
    </row>
    <row r="89" spans="1:5" x14ac:dyDescent="0.25">
      <c r="A89" t="s">
        <v>722</v>
      </c>
      <c r="B89" t="s">
        <v>880</v>
      </c>
      <c r="C89" s="28" t="s">
        <v>1086</v>
      </c>
      <c r="D89" s="33" t="s">
        <v>1087</v>
      </c>
      <c r="E89" s="33" t="s">
        <v>1087</v>
      </c>
    </row>
    <row r="90" spans="1:5" x14ac:dyDescent="0.25">
      <c r="B90" t="s">
        <v>883</v>
      </c>
      <c r="C90" s="28" t="s">
        <v>881</v>
      </c>
      <c r="D90" s="33" t="s">
        <v>1088</v>
      </c>
      <c r="E90" s="33" t="s">
        <v>1088</v>
      </c>
    </row>
    <row r="91" spans="1:5" x14ac:dyDescent="0.25">
      <c r="A91" t="s">
        <v>722</v>
      </c>
      <c r="B91" t="s">
        <v>688</v>
      </c>
      <c r="C91" s="28" t="s">
        <v>883</v>
      </c>
      <c r="D91" s="33" t="s">
        <v>1089</v>
      </c>
      <c r="E91" s="33" t="s">
        <v>1089</v>
      </c>
    </row>
    <row r="92" spans="1:5" x14ac:dyDescent="0.25">
      <c r="A92" t="s">
        <v>722</v>
      </c>
      <c r="B92" t="s">
        <v>1090</v>
      </c>
      <c r="C92" s="28" t="s">
        <v>738</v>
      </c>
      <c r="D92" s="33" t="s">
        <v>739</v>
      </c>
      <c r="E92" s="33" t="s">
        <v>739</v>
      </c>
    </row>
    <row r="93" spans="1:5" x14ac:dyDescent="0.25">
      <c r="A93" t="s">
        <v>722</v>
      </c>
      <c r="B93" t="s">
        <v>689</v>
      </c>
      <c r="C93" s="28" t="s">
        <v>1091</v>
      </c>
      <c r="D93" s="33" t="s">
        <v>1092</v>
      </c>
      <c r="E93" s="33" t="s">
        <v>1092</v>
      </c>
    </row>
    <row r="94" spans="1:5" x14ac:dyDescent="0.25">
      <c r="A94" t="s">
        <v>722</v>
      </c>
      <c r="B94" t="s">
        <v>690</v>
      </c>
      <c r="C94" s="28" t="s">
        <v>740</v>
      </c>
      <c r="D94" s="33" t="s">
        <v>1093</v>
      </c>
      <c r="E94" s="33" t="s">
        <v>1093</v>
      </c>
    </row>
    <row r="95" spans="1:5" x14ac:dyDescent="0.25">
      <c r="A95" t="s">
        <v>722</v>
      </c>
      <c r="B95" t="s">
        <v>691</v>
      </c>
      <c r="C95" s="28" t="s">
        <v>741</v>
      </c>
      <c r="D95" s="33" t="s">
        <v>1094</v>
      </c>
      <c r="E95" s="33" t="s">
        <v>1094</v>
      </c>
    </row>
    <row r="96" spans="1:5" x14ac:dyDescent="0.25">
      <c r="A96" t="s">
        <v>722</v>
      </c>
      <c r="B96" t="s">
        <v>888</v>
      </c>
      <c r="C96" s="28" t="s">
        <v>742</v>
      </c>
      <c r="D96" s="33" t="s">
        <v>1095</v>
      </c>
      <c r="E96" s="33" t="s">
        <v>1095</v>
      </c>
    </row>
    <row r="97" spans="1:5" x14ac:dyDescent="0.25">
      <c r="A97" t="s">
        <v>722</v>
      </c>
      <c r="B97" t="s">
        <v>1096</v>
      </c>
      <c r="C97" s="28" t="s">
        <v>889</v>
      </c>
      <c r="D97" s="33" t="s">
        <v>890</v>
      </c>
      <c r="E97" s="33" t="s">
        <v>890</v>
      </c>
    </row>
    <row r="98" spans="1:5" x14ac:dyDescent="0.25">
      <c r="A98" t="s">
        <v>722</v>
      </c>
      <c r="B98" t="s">
        <v>692</v>
      </c>
      <c r="C98" s="28" t="s">
        <v>1097</v>
      </c>
      <c r="D98" s="33" t="s">
        <v>1098</v>
      </c>
      <c r="E98" s="33" t="s">
        <v>1098</v>
      </c>
    </row>
    <row r="99" spans="1:5" x14ac:dyDescent="0.25">
      <c r="A99" t="s">
        <v>722</v>
      </c>
      <c r="B99" t="s">
        <v>693</v>
      </c>
      <c r="C99" s="28" t="s">
        <v>743</v>
      </c>
      <c r="D99" s="33" t="s">
        <v>1099</v>
      </c>
      <c r="E99" s="33" t="s">
        <v>1099</v>
      </c>
    </row>
    <row r="100" spans="1:5" x14ac:dyDescent="0.25">
      <c r="A100" t="s">
        <v>722</v>
      </c>
      <c r="B100" t="s">
        <v>695</v>
      </c>
      <c r="C100" s="28" t="s">
        <v>744</v>
      </c>
      <c r="D100" s="33" t="s">
        <v>1100</v>
      </c>
      <c r="E100" s="33" t="s">
        <v>1100</v>
      </c>
    </row>
    <row r="101" spans="1:5" x14ac:dyDescent="0.25">
      <c r="A101" t="s">
        <v>722</v>
      </c>
      <c r="B101" t="s">
        <v>697</v>
      </c>
      <c r="C101" s="28" t="s">
        <v>745</v>
      </c>
      <c r="D101" s="33" t="s">
        <v>696</v>
      </c>
      <c r="E101" s="33" t="s">
        <v>696</v>
      </c>
    </row>
    <row r="102" spans="1:5" x14ac:dyDescent="0.25">
      <c r="A102" t="s">
        <v>722</v>
      </c>
      <c r="B102" t="s">
        <v>699</v>
      </c>
      <c r="C102" s="28" t="s">
        <v>746</v>
      </c>
      <c r="D102" s="33" t="s">
        <v>1101</v>
      </c>
      <c r="E102" s="33" t="s">
        <v>1101</v>
      </c>
    </row>
    <row r="103" spans="1:5" x14ac:dyDescent="0.25">
      <c r="A103" t="s">
        <v>722</v>
      </c>
      <c r="B103" t="s">
        <v>1102</v>
      </c>
      <c r="C103" s="28" t="s">
        <v>747</v>
      </c>
      <c r="D103" s="33" t="s">
        <v>700</v>
      </c>
      <c r="E103" s="33" t="s">
        <v>700</v>
      </c>
    </row>
    <row r="104" spans="1:5" x14ac:dyDescent="0.25">
      <c r="A104" t="s">
        <v>722</v>
      </c>
      <c r="B104" t="s">
        <v>892</v>
      </c>
      <c r="C104" s="28" t="s">
        <v>1103</v>
      </c>
      <c r="D104" s="33" t="s">
        <v>1104</v>
      </c>
      <c r="E104" s="33" t="s">
        <v>1104</v>
      </c>
    </row>
    <row r="105" spans="1:5" x14ac:dyDescent="0.25">
      <c r="A105" t="s">
        <v>722</v>
      </c>
      <c r="B105" t="s">
        <v>1106</v>
      </c>
      <c r="C105" s="28" t="s">
        <v>893</v>
      </c>
      <c r="D105" s="33" t="s">
        <v>1105</v>
      </c>
      <c r="E105" s="33" t="s">
        <v>1105</v>
      </c>
    </row>
    <row r="106" spans="1:5" x14ac:dyDescent="0.25">
      <c r="A106" t="s">
        <v>722</v>
      </c>
      <c r="B106" t="s">
        <v>1109</v>
      </c>
      <c r="C106" s="28" t="s">
        <v>1107</v>
      </c>
      <c r="D106" s="33" t="s">
        <v>1108</v>
      </c>
      <c r="E106" s="33" t="s">
        <v>1108</v>
      </c>
    </row>
    <row r="107" spans="1:5" x14ac:dyDescent="0.25">
      <c r="A107" t="s">
        <v>722</v>
      </c>
      <c r="B107" t="s">
        <v>1112</v>
      </c>
      <c r="C107" s="28" t="s">
        <v>1110</v>
      </c>
      <c r="D107" s="33" t="s">
        <v>1111</v>
      </c>
      <c r="E107" s="33" t="s">
        <v>1111</v>
      </c>
    </row>
    <row r="108" spans="1:5" x14ac:dyDescent="0.25">
      <c r="A108" t="s">
        <v>722</v>
      </c>
      <c r="B108" t="s">
        <v>701</v>
      </c>
      <c r="C108" s="28" t="s">
        <v>1113</v>
      </c>
      <c r="D108" s="33" t="s">
        <v>1114</v>
      </c>
      <c r="E108" s="33" t="s">
        <v>1114</v>
      </c>
    </row>
    <row r="109" spans="1:5" x14ac:dyDescent="0.25">
      <c r="A109" t="s">
        <v>722</v>
      </c>
      <c r="B109" t="s">
        <v>702</v>
      </c>
      <c r="C109" s="28" t="s">
        <v>748</v>
      </c>
      <c r="D109" s="33" t="s">
        <v>1115</v>
      </c>
      <c r="E109" s="33" t="s">
        <v>1115</v>
      </c>
    </row>
    <row r="110" spans="1:5" x14ac:dyDescent="0.25">
      <c r="A110" t="s">
        <v>722</v>
      </c>
      <c r="B110" t="s">
        <v>703</v>
      </c>
      <c r="C110" s="28" t="s">
        <v>749</v>
      </c>
      <c r="D110" s="33" t="s">
        <v>1116</v>
      </c>
      <c r="E110" s="33" t="s">
        <v>1116</v>
      </c>
    </row>
    <row r="111" spans="1:5" x14ac:dyDescent="0.25">
      <c r="A111" t="s">
        <v>722</v>
      </c>
      <c r="B111" t="s">
        <v>898</v>
      </c>
      <c r="C111" s="28" t="s">
        <v>750</v>
      </c>
      <c r="D111" s="33" t="s">
        <v>1117</v>
      </c>
      <c r="E111" s="33" t="s">
        <v>1117</v>
      </c>
    </row>
    <row r="112" spans="1:5" x14ac:dyDescent="0.25">
      <c r="A112" t="s">
        <v>722</v>
      </c>
      <c r="B112" t="s">
        <v>1118</v>
      </c>
      <c r="C112" s="28" t="s">
        <v>899</v>
      </c>
      <c r="D112" s="33" t="s">
        <v>900</v>
      </c>
      <c r="E112" s="33" t="s">
        <v>900</v>
      </c>
    </row>
    <row r="113" spans="1:5" x14ac:dyDescent="0.25">
      <c r="A113" t="s">
        <v>722</v>
      </c>
      <c r="B113" t="s">
        <v>704</v>
      </c>
      <c r="C113" s="28" t="s">
        <v>1119</v>
      </c>
      <c r="D113" s="33" t="s">
        <v>1120</v>
      </c>
      <c r="E113" s="33" t="s">
        <v>1120</v>
      </c>
    </row>
    <row r="114" spans="1:5" x14ac:dyDescent="0.25">
      <c r="A114" t="s">
        <v>722</v>
      </c>
      <c r="B114" t="s">
        <v>902</v>
      </c>
      <c r="C114" s="28" t="s">
        <v>751</v>
      </c>
      <c r="D114" s="33" t="s">
        <v>1121</v>
      </c>
      <c r="E114" s="33" t="s">
        <v>1121</v>
      </c>
    </row>
    <row r="115" spans="1:5" x14ac:dyDescent="0.25">
      <c r="A115" t="s">
        <v>722</v>
      </c>
      <c r="B115" t="s">
        <v>705</v>
      </c>
      <c r="C115" s="28" t="s">
        <v>903</v>
      </c>
      <c r="D115" s="33" t="s">
        <v>904</v>
      </c>
      <c r="E115" s="33" t="s">
        <v>904</v>
      </c>
    </row>
    <row r="116" spans="1:5" x14ac:dyDescent="0.25">
      <c r="A116" t="s">
        <v>722</v>
      </c>
      <c r="B116" t="s">
        <v>707</v>
      </c>
      <c r="C116" s="28" t="s">
        <v>752</v>
      </c>
      <c r="D116" s="33" t="s">
        <v>1122</v>
      </c>
      <c r="E116" s="33" t="s">
        <v>1122</v>
      </c>
    </row>
    <row r="117" spans="1:5" x14ac:dyDescent="0.25">
      <c r="A117" t="s">
        <v>722</v>
      </c>
      <c r="B117" t="s">
        <v>709</v>
      </c>
      <c r="C117" s="28" t="s">
        <v>753</v>
      </c>
      <c r="D117" s="33" t="s">
        <v>708</v>
      </c>
      <c r="E117" s="33" t="s">
        <v>708</v>
      </c>
    </row>
    <row r="118" spans="1:5" x14ac:dyDescent="0.25">
      <c r="A118" t="s">
        <v>722</v>
      </c>
      <c r="B118" t="s">
        <v>711</v>
      </c>
      <c r="C118" s="28" t="s">
        <v>754</v>
      </c>
      <c r="D118" s="33" t="s">
        <v>1123</v>
      </c>
      <c r="E118" s="33" t="s">
        <v>1123</v>
      </c>
    </row>
    <row r="119" spans="1:5" x14ac:dyDescent="0.25">
      <c r="A119" t="s">
        <v>722</v>
      </c>
      <c r="B119" t="s">
        <v>1124</v>
      </c>
      <c r="C119" s="28" t="s">
        <v>755</v>
      </c>
      <c r="D119" s="33" t="s">
        <v>712</v>
      </c>
      <c r="E119" s="33" t="s">
        <v>712</v>
      </c>
    </row>
    <row r="120" spans="1:5" x14ac:dyDescent="0.25">
      <c r="A120" t="s">
        <v>722</v>
      </c>
      <c r="B120" t="s">
        <v>1127</v>
      </c>
      <c r="C120" s="28" t="s">
        <v>1125</v>
      </c>
      <c r="D120" s="33" t="s">
        <v>1126</v>
      </c>
      <c r="E120" s="33" t="s">
        <v>1126</v>
      </c>
    </row>
    <row r="121" spans="1:5" x14ac:dyDescent="0.25">
      <c r="A121" t="s">
        <v>722</v>
      </c>
      <c r="B121" t="s">
        <v>905</v>
      </c>
      <c r="C121" s="28" t="s">
        <v>1128</v>
      </c>
      <c r="D121" s="33" t="s">
        <v>1129</v>
      </c>
      <c r="E121" s="33" t="s">
        <v>1129</v>
      </c>
    </row>
    <row r="122" spans="1:5" x14ac:dyDescent="0.25">
      <c r="A122" t="s">
        <v>722</v>
      </c>
      <c r="B122" t="s">
        <v>962</v>
      </c>
      <c r="C122" s="28" t="s">
        <v>906</v>
      </c>
      <c r="D122" s="33" t="s">
        <v>1130</v>
      </c>
      <c r="E122" s="33" t="s">
        <v>1130</v>
      </c>
    </row>
    <row r="123" spans="1:5" x14ac:dyDescent="0.25">
      <c r="B123" t="s">
        <v>1133</v>
      </c>
      <c r="C123" s="28" t="s">
        <v>1131</v>
      </c>
      <c r="D123" s="33" t="s">
        <v>1132</v>
      </c>
      <c r="E123" s="33" t="s">
        <v>1132</v>
      </c>
    </row>
    <row r="124" spans="1:5" x14ac:dyDescent="0.25">
      <c r="A124" t="s">
        <v>722</v>
      </c>
      <c r="B124" t="s">
        <v>207</v>
      </c>
      <c r="C124" s="28" t="s">
        <v>1133</v>
      </c>
      <c r="D124" s="33" t="s">
        <v>1134</v>
      </c>
      <c r="E124" s="33" t="s">
        <v>1134</v>
      </c>
    </row>
    <row r="125" spans="1:5" x14ac:dyDescent="0.25">
      <c r="A125" t="s">
        <v>722</v>
      </c>
      <c r="B125" t="s">
        <v>1135</v>
      </c>
      <c r="C125" s="28" t="s">
        <v>756</v>
      </c>
      <c r="D125" s="33" t="s">
        <v>757</v>
      </c>
      <c r="E125" s="33" t="s">
        <v>757</v>
      </c>
    </row>
    <row r="126" spans="1:5" x14ac:dyDescent="0.25">
      <c r="A126" t="s">
        <v>722</v>
      </c>
      <c r="B126" t="s">
        <v>713</v>
      </c>
      <c r="C126" s="28" t="s">
        <v>1136</v>
      </c>
      <c r="D126" s="33" t="s">
        <v>1137</v>
      </c>
      <c r="E126" s="33" t="s">
        <v>1137</v>
      </c>
    </row>
    <row r="127" spans="1:5" x14ac:dyDescent="0.25">
      <c r="A127" t="s">
        <v>722</v>
      </c>
      <c r="B127" t="s">
        <v>714</v>
      </c>
      <c r="C127" s="28" t="s">
        <v>758</v>
      </c>
      <c r="D127" s="33" t="s">
        <v>1138</v>
      </c>
      <c r="E127" s="33" t="s">
        <v>1138</v>
      </c>
    </row>
    <row r="128" spans="1:5" x14ac:dyDescent="0.25">
      <c r="A128" t="s">
        <v>722</v>
      </c>
      <c r="B128" t="s">
        <v>715</v>
      </c>
      <c r="C128" s="28" t="s">
        <v>759</v>
      </c>
      <c r="D128" s="33" t="s">
        <v>1139</v>
      </c>
      <c r="E128" s="33" t="s">
        <v>1139</v>
      </c>
    </row>
    <row r="129" spans="1:5" x14ac:dyDescent="0.25">
      <c r="A129" t="s">
        <v>722</v>
      </c>
      <c r="B129" t="s">
        <v>911</v>
      </c>
      <c r="C129" s="28" t="s">
        <v>760</v>
      </c>
      <c r="D129" s="33" t="s">
        <v>1140</v>
      </c>
      <c r="E129" s="33" t="s">
        <v>1140</v>
      </c>
    </row>
    <row r="130" spans="1:5" x14ac:dyDescent="0.25">
      <c r="A130" t="s">
        <v>722</v>
      </c>
      <c r="B130" t="s">
        <v>914</v>
      </c>
      <c r="C130" s="28" t="s">
        <v>912</v>
      </c>
      <c r="D130" s="33" t="s">
        <v>913</v>
      </c>
      <c r="E130" s="33" t="s">
        <v>913</v>
      </c>
    </row>
    <row r="131" spans="1:5" x14ac:dyDescent="0.25">
      <c r="A131" t="s">
        <v>722</v>
      </c>
      <c r="B131" t="s">
        <v>1141</v>
      </c>
      <c r="C131" s="28" t="s">
        <v>915</v>
      </c>
      <c r="D131" s="33" t="s">
        <v>916</v>
      </c>
      <c r="E131" s="33" t="s">
        <v>916</v>
      </c>
    </row>
    <row r="132" spans="1:5" x14ac:dyDescent="0.25">
      <c r="A132" t="s">
        <v>722</v>
      </c>
      <c r="B132" t="s">
        <v>716</v>
      </c>
      <c r="C132" s="28" t="s">
        <v>1142</v>
      </c>
      <c r="D132" s="33" t="s">
        <v>1143</v>
      </c>
      <c r="E132" s="33" t="s">
        <v>1143</v>
      </c>
    </row>
    <row r="133" spans="1:5" x14ac:dyDescent="0.25">
      <c r="A133" t="s">
        <v>722</v>
      </c>
      <c r="B133" t="s">
        <v>1145</v>
      </c>
      <c r="C133" s="28" t="s">
        <v>761</v>
      </c>
      <c r="D133" s="33" t="s">
        <v>1144</v>
      </c>
      <c r="E133" s="33" t="s">
        <v>1144</v>
      </c>
    </row>
    <row r="134" spans="1:5" x14ac:dyDescent="0.25">
      <c r="A134" t="s">
        <v>722</v>
      </c>
      <c r="B134" t="s">
        <v>1148</v>
      </c>
      <c r="C134" s="28" t="s">
        <v>1146</v>
      </c>
      <c r="D134" s="33" t="s">
        <v>1147</v>
      </c>
      <c r="E134" s="33" t="s">
        <v>1147</v>
      </c>
    </row>
    <row r="135" spans="1:5" x14ac:dyDescent="0.25">
      <c r="A135" t="s">
        <v>722</v>
      </c>
      <c r="B135" t="s">
        <v>1151</v>
      </c>
      <c r="C135" s="28" t="s">
        <v>1149</v>
      </c>
      <c r="D135" s="33" t="s">
        <v>1150</v>
      </c>
      <c r="E135" s="33" t="s">
        <v>1150</v>
      </c>
    </row>
    <row r="136" spans="1:5" x14ac:dyDescent="0.25">
      <c r="A136" t="s">
        <v>722</v>
      </c>
      <c r="B136" t="s">
        <v>1154</v>
      </c>
      <c r="C136" s="28" t="s">
        <v>1152</v>
      </c>
      <c r="D136" s="33" t="s">
        <v>1153</v>
      </c>
      <c r="E136" s="33" t="s">
        <v>1153</v>
      </c>
    </row>
    <row r="137" spans="1:5" x14ac:dyDescent="0.25">
      <c r="A137" t="s">
        <v>722</v>
      </c>
      <c r="B137" t="s">
        <v>1156</v>
      </c>
      <c r="C137" s="28" t="s">
        <v>1155</v>
      </c>
      <c r="D137" s="33" t="s">
        <v>1153</v>
      </c>
      <c r="E137" s="33" t="s">
        <v>1153</v>
      </c>
    </row>
    <row r="138" spans="1:5" x14ac:dyDescent="0.25">
      <c r="A138" t="s">
        <v>722</v>
      </c>
      <c r="B138" t="s">
        <v>1158</v>
      </c>
      <c r="C138" s="28" t="s">
        <v>1157</v>
      </c>
      <c r="D138" s="33" t="s">
        <v>1153</v>
      </c>
      <c r="E138" s="33" t="s">
        <v>1153</v>
      </c>
    </row>
    <row r="139" spans="1:5" x14ac:dyDescent="0.25">
      <c r="A139" t="s">
        <v>722</v>
      </c>
      <c r="B139" t="s">
        <v>1161</v>
      </c>
      <c r="C139" s="28" t="s">
        <v>1159</v>
      </c>
      <c r="D139" s="33" t="s">
        <v>1160</v>
      </c>
      <c r="E139" s="33" t="s">
        <v>1160</v>
      </c>
    </row>
    <row r="140" spans="1:5" x14ac:dyDescent="0.25">
      <c r="A140" t="s">
        <v>722</v>
      </c>
      <c r="B140" t="s">
        <v>1163</v>
      </c>
      <c r="C140" s="28" t="s">
        <v>1162</v>
      </c>
      <c r="D140" s="33" t="s">
        <v>724</v>
      </c>
      <c r="E140" s="33" t="s">
        <v>724</v>
      </c>
    </row>
    <row r="141" spans="1:5" x14ac:dyDescent="0.25">
      <c r="A141" t="s">
        <v>722</v>
      </c>
      <c r="B141" t="s">
        <v>1165</v>
      </c>
      <c r="C141" s="28" t="s">
        <v>1164</v>
      </c>
      <c r="D141" s="33" t="s">
        <v>729</v>
      </c>
      <c r="E141" s="33" t="s">
        <v>729</v>
      </c>
    </row>
    <row r="142" spans="1:5" x14ac:dyDescent="0.25">
      <c r="A142" t="s">
        <v>722</v>
      </c>
      <c r="B142" t="s">
        <v>1167</v>
      </c>
      <c r="C142" s="28" t="s">
        <v>1166</v>
      </c>
      <c r="D142" s="33" t="s">
        <v>739</v>
      </c>
      <c r="E142" s="33" t="s">
        <v>739</v>
      </c>
    </row>
    <row r="143" spans="1:5" x14ac:dyDescent="0.25">
      <c r="A143" t="s">
        <v>722</v>
      </c>
      <c r="B143" t="s">
        <v>1169</v>
      </c>
      <c r="C143" s="28" t="s">
        <v>1168</v>
      </c>
      <c r="D143" s="33" t="s">
        <v>739</v>
      </c>
      <c r="E143" s="33" t="s">
        <v>739</v>
      </c>
    </row>
    <row r="144" spans="1:5" x14ac:dyDescent="0.25">
      <c r="A144" t="s">
        <v>722</v>
      </c>
      <c r="B144" t="s">
        <v>1171</v>
      </c>
      <c r="C144" s="28" t="s">
        <v>1170</v>
      </c>
      <c r="D144" s="33" t="s">
        <v>890</v>
      </c>
      <c r="E144" s="33" t="s">
        <v>890</v>
      </c>
    </row>
    <row r="145" spans="1:5" x14ac:dyDescent="0.25">
      <c r="A145" t="s">
        <v>722</v>
      </c>
      <c r="B145" t="s">
        <v>1173</v>
      </c>
      <c r="C145" s="28" t="s">
        <v>1172</v>
      </c>
      <c r="D145" s="33" t="s">
        <v>1160</v>
      </c>
      <c r="E145" s="33" t="s">
        <v>1160</v>
      </c>
    </row>
    <row r="146" spans="1:5" x14ac:dyDescent="0.25">
      <c r="A146" t="s">
        <v>722</v>
      </c>
      <c r="B146" t="s">
        <v>1176</v>
      </c>
      <c r="C146" s="28" t="s">
        <v>1174</v>
      </c>
      <c r="D146" s="33" t="s">
        <v>1175</v>
      </c>
      <c r="E146" s="33" t="s">
        <v>1175</v>
      </c>
    </row>
    <row r="147" spans="1:5" x14ac:dyDescent="0.25">
      <c r="A147" t="s">
        <v>722</v>
      </c>
      <c r="B147" t="s">
        <v>1179</v>
      </c>
      <c r="C147" s="28" t="s">
        <v>1177</v>
      </c>
      <c r="D147" s="33" t="s">
        <v>1178</v>
      </c>
      <c r="E147" s="33" t="s">
        <v>1178</v>
      </c>
    </row>
    <row r="148" spans="1:5" x14ac:dyDescent="0.25">
      <c r="A148" t="s">
        <v>722</v>
      </c>
      <c r="B148" t="s">
        <v>1182</v>
      </c>
      <c r="C148" s="28" t="s">
        <v>1180</v>
      </c>
      <c r="D148" s="33" t="s">
        <v>1181</v>
      </c>
      <c r="E148" s="33" t="s">
        <v>1181</v>
      </c>
    </row>
    <row r="149" spans="1:5" x14ac:dyDescent="0.25">
      <c r="A149" t="s">
        <v>722</v>
      </c>
      <c r="B149" t="s">
        <v>1184</v>
      </c>
      <c r="C149" s="28" t="s">
        <v>1183</v>
      </c>
      <c r="D149" s="33" t="s">
        <v>1153</v>
      </c>
      <c r="E149" s="33" t="s">
        <v>1153</v>
      </c>
    </row>
    <row r="150" spans="1:5" x14ac:dyDescent="0.25">
      <c r="A150" t="s">
        <v>722</v>
      </c>
      <c r="B150" t="s">
        <v>1186</v>
      </c>
      <c r="C150" s="28" t="s">
        <v>1185</v>
      </c>
      <c r="D150" s="33" t="s">
        <v>1160</v>
      </c>
      <c r="E150" s="33" t="s">
        <v>1160</v>
      </c>
    </row>
    <row r="151" spans="1:5" x14ac:dyDescent="0.25">
      <c r="A151" t="s">
        <v>722</v>
      </c>
      <c r="B151" t="s">
        <v>1189</v>
      </c>
      <c r="C151" s="28" t="s">
        <v>1187</v>
      </c>
      <c r="D151" s="33" t="s">
        <v>1188</v>
      </c>
      <c r="E151" s="33" t="s">
        <v>1188</v>
      </c>
    </row>
    <row r="152" spans="1:5" x14ac:dyDescent="0.25">
      <c r="A152" t="s">
        <v>722</v>
      </c>
      <c r="B152" t="s">
        <v>1191</v>
      </c>
      <c r="C152" s="28" t="s">
        <v>1190</v>
      </c>
      <c r="D152" s="33" t="s">
        <v>1153</v>
      </c>
      <c r="E152" s="33" t="s">
        <v>1153</v>
      </c>
    </row>
    <row r="153" spans="1:5" x14ac:dyDescent="0.25">
      <c r="A153" t="s">
        <v>722</v>
      </c>
      <c r="B153" t="s">
        <v>1193</v>
      </c>
      <c r="C153" s="28" t="s">
        <v>1192</v>
      </c>
      <c r="D153" s="33" t="s">
        <v>900</v>
      </c>
      <c r="E153" s="33" t="s">
        <v>900</v>
      </c>
    </row>
    <row r="154" spans="1:5" x14ac:dyDescent="0.25">
      <c r="A154" t="s">
        <v>722</v>
      </c>
      <c r="B154" t="s">
        <v>1196</v>
      </c>
      <c r="C154" s="28" t="s">
        <v>1194</v>
      </c>
      <c r="D154" s="33" t="s">
        <v>1195</v>
      </c>
      <c r="E154" s="33" t="s">
        <v>1195</v>
      </c>
    </row>
    <row r="155" spans="1:5" x14ac:dyDescent="0.25">
      <c r="A155" t="s">
        <v>722</v>
      </c>
      <c r="B155" t="s">
        <v>1198</v>
      </c>
      <c r="C155" s="28" t="s">
        <v>1197</v>
      </c>
      <c r="D155" s="33" t="s">
        <v>1153</v>
      </c>
      <c r="E155" s="33" t="s">
        <v>1153</v>
      </c>
    </row>
    <row r="156" spans="1:5" x14ac:dyDescent="0.25">
      <c r="A156" t="s">
        <v>722</v>
      </c>
      <c r="B156" t="s">
        <v>1200</v>
      </c>
      <c r="C156" s="28" t="s">
        <v>1199</v>
      </c>
      <c r="D156" s="33" t="s">
        <v>1188</v>
      </c>
      <c r="E156" s="33" t="s">
        <v>1188</v>
      </c>
    </row>
    <row r="157" spans="1:5" x14ac:dyDescent="0.25">
      <c r="A157" t="s">
        <v>722</v>
      </c>
      <c r="B157" t="s">
        <v>1202</v>
      </c>
      <c r="C157" s="28" t="s">
        <v>1201</v>
      </c>
      <c r="D157" s="33" t="s">
        <v>1188</v>
      </c>
      <c r="E157" s="33" t="s">
        <v>1188</v>
      </c>
    </row>
    <row r="158" spans="1:5" x14ac:dyDescent="0.25">
      <c r="A158" t="s">
        <v>722</v>
      </c>
      <c r="B158" t="s">
        <v>1204</v>
      </c>
      <c r="C158" s="28" t="s">
        <v>1203</v>
      </c>
      <c r="D158" s="33" t="s">
        <v>1188</v>
      </c>
      <c r="E158" s="33" t="s">
        <v>1188</v>
      </c>
    </row>
    <row r="159" spans="1:5" x14ac:dyDescent="0.25">
      <c r="A159" t="s">
        <v>722</v>
      </c>
      <c r="B159" t="s">
        <v>1206</v>
      </c>
      <c r="C159" s="28" t="s">
        <v>1205</v>
      </c>
      <c r="D159" s="33" t="s">
        <v>1188</v>
      </c>
      <c r="E159" s="33" t="s">
        <v>1188</v>
      </c>
    </row>
    <row r="160" spans="1:5" x14ac:dyDescent="0.25">
      <c r="A160" t="s">
        <v>722</v>
      </c>
      <c r="B160" t="s">
        <v>1208</v>
      </c>
      <c r="C160" s="28" t="s">
        <v>1207</v>
      </c>
      <c r="D160" s="33" t="s">
        <v>1188</v>
      </c>
      <c r="E160" s="33" t="s">
        <v>1188</v>
      </c>
    </row>
    <row r="161" spans="1:5" x14ac:dyDescent="0.25">
      <c r="A161" t="s">
        <v>722</v>
      </c>
      <c r="B161" t="s">
        <v>1211</v>
      </c>
      <c r="C161" s="28" t="s">
        <v>1209</v>
      </c>
      <c r="D161" s="33" t="s">
        <v>1210</v>
      </c>
      <c r="E161" s="33" t="s">
        <v>1210</v>
      </c>
    </row>
    <row r="162" spans="1:5" x14ac:dyDescent="0.25">
      <c r="A162" t="s">
        <v>722</v>
      </c>
      <c r="B162" t="s">
        <v>1214</v>
      </c>
      <c r="C162" s="28" t="s">
        <v>1212</v>
      </c>
      <c r="D162" s="33" t="s">
        <v>1213</v>
      </c>
      <c r="E162" s="33" t="s">
        <v>1213</v>
      </c>
    </row>
    <row r="163" spans="1:5" x14ac:dyDescent="0.25">
      <c r="A163" t="s">
        <v>722</v>
      </c>
      <c r="B163" t="s">
        <v>1216</v>
      </c>
      <c r="C163" s="28" t="s">
        <v>1215</v>
      </c>
      <c r="D163" s="33" t="s">
        <v>1210</v>
      </c>
      <c r="E163" s="33" t="s">
        <v>1210</v>
      </c>
    </row>
    <row r="164" spans="1:5" x14ac:dyDescent="0.25">
      <c r="A164" t="s">
        <v>722</v>
      </c>
      <c r="B164" t="s">
        <v>1219</v>
      </c>
      <c r="C164" s="28" t="s">
        <v>1217</v>
      </c>
      <c r="D164" s="33" t="s">
        <v>1218</v>
      </c>
      <c r="E164" s="33" t="s">
        <v>1218</v>
      </c>
    </row>
    <row r="165" spans="1:5" x14ac:dyDescent="0.25">
      <c r="A165" t="s">
        <v>722</v>
      </c>
      <c r="B165" t="s">
        <v>1221</v>
      </c>
      <c r="C165" s="28" t="s">
        <v>1220</v>
      </c>
      <c r="D165" s="33" t="s">
        <v>1213</v>
      </c>
      <c r="E165" s="33" t="s">
        <v>1213</v>
      </c>
    </row>
    <row r="166" spans="1:5" x14ac:dyDescent="0.25">
      <c r="A166" t="s">
        <v>722</v>
      </c>
      <c r="B166" t="s">
        <v>1223</v>
      </c>
      <c r="C166" s="28" t="s">
        <v>1222</v>
      </c>
      <c r="D166" s="33" t="s">
        <v>1181</v>
      </c>
      <c r="E166" s="33" t="s">
        <v>1181</v>
      </c>
    </row>
    <row r="167" spans="1:5" x14ac:dyDescent="0.25">
      <c r="A167" t="s">
        <v>722</v>
      </c>
      <c r="B167" t="s">
        <v>1225</v>
      </c>
      <c r="C167" s="28" t="s">
        <v>1224</v>
      </c>
      <c r="D167" s="33" t="s">
        <v>1213</v>
      </c>
      <c r="E167" s="33" t="s">
        <v>1213</v>
      </c>
    </row>
    <row r="168" spans="1:5" x14ac:dyDescent="0.25">
      <c r="A168" t="s">
        <v>722</v>
      </c>
      <c r="B168" t="s">
        <v>1227</v>
      </c>
      <c r="C168" s="28" t="s">
        <v>1226</v>
      </c>
      <c r="D168" s="33" t="s">
        <v>1153</v>
      </c>
      <c r="E168" s="33" t="s">
        <v>1153</v>
      </c>
    </row>
    <row r="169" spans="1:5" x14ac:dyDescent="0.25">
      <c r="A169" t="s">
        <v>722</v>
      </c>
      <c r="B169" t="s">
        <v>1229</v>
      </c>
      <c r="C169" s="28" t="s">
        <v>1228</v>
      </c>
      <c r="D169" s="33" t="s">
        <v>1181</v>
      </c>
      <c r="E169" s="33" t="s">
        <v>1181</v>
      </c>
    </row>
    <row r="170" spans="1:5" x14ac:dyDescent="0.25">
      <c r="A170" t="s">
        <v>722</v>
      </c>
      <c r="B170" t="s">
        <v>1232</v>
      </c>
      <c r="C170" s="28" t="s">
        <v>1230</v>
      </c>
      <c r="D170" s="33" t="s">
        <v>1231</v>
      </c>
      <c r="E170" s="33" t="s">
        <v>1231</v>
      </c>
    </row>
    <row r="171" spans="1:5" x14ac:dyDescent="0.25">
      <c r="A171" t="s">
        <v>722</v>
      </c>
      <c r="B171" t="s">
        <v>1234</v>
      </c>
      <c r="C171" s="28" t="s">
        <v>1233</v>
      </c>
      <c r="D171" s="33" t="s">
        <v>1160</v>
      </c>
      <c r="E171" s="33" t="s">
        <v>1160</v>
      </c>
    </row>
    <row r="172" spans="1:5" x14ac:dyDescent="0.25">
      <c r="A172" t="s">
        <v>722</v>
      </c>
      <c r="B172" t="s">
        <v>1237</v>
      </c>
      <c r="C172" s="28" t="s">
        <v>1235</v>
      </c>
      <c r="D172" s="33" t="s">
        <v>1236</v>
      </c>
      <c r="E172" s="33" t="s">
        <v>1236</v>
      </c>
    </row>
    <row r="173" spans="1:5" x14ac:dyDescent="0.25">
      <c r="A173" t="s">
        <v>722</v>
      </c>
      <c r="B173" t="s">
        <v>1239</v>
      </c>
      <c r="C173" s="28" t="s">
        <v>1238</v>
      </c>
      <c r="D173" s="33" t="s">
        <v>1181</v>
      </c>
      <c r="E173" s="33" t="s">
        <v>1181</v>
      </c>
    </row>
    <row r="174" spans="1:5" x14ac:dyDescent="0.25">
      <c r="A174" t="s">
        <v>722</v>
      </c>
      <c r="B174" t="s">
        <v>1241</v>
      </c>
      <c r="C174" s="28" t="s">
        <v>1240</v>
      </c>
      <c r="D174" s="33" t="s">
        <v>1213</v>
      </c>
      <c r="E174" s="33" t="s">
        <v>1213</v>
      </c>
    </row>
    <row r="175" spans="1:5" x14ac:dyDescent="0.25">
      <c r="B175" t="s">
        <v>918</v>
      </c>
      <c r="C175" s="28" t="s">
        <v>1242</v>
      </c>
      <c r="D175" s="33" t="s">
        <v>1188</v>
      </c>
      <c r="E175" s="33" t="s">
        <v>1188</v>
      </c>
    </row>
    <row r="176" spans="1:5" x14ac:dyDescent="0.25">
      <c r="A176" t="s">
        <v>722</v>
      </c>
      <c r="B176" t="s">
        <v>717</v>
      </c>
      <c r="C176" s="28" t="s">
        <v>918</v>
      </c>
      <c r="D176" s="33" t="s">
        <v>919</v>
      </c>
      <c r="E176" s="33" t="s">
        <v>919</v>
      </c>
    </row>
    <row r="177" spans="1:5" x14ac:dyDescent="0.25">
      <c r="A177" t="s">
        <v>722</v>
      </c>
      <c r="B177" t="s">
        <v>718</v>
      </c>
      <c r="C177" s="28" t="s">
        <v>762</v>
      </c>
      <c r="D177" s="33" t="s">
        <v>1243</v>
      </c>
      <c r="E177" s="33" t="s">
        <v>1243</v>
      </c>
    </row>
    <row r="178" spans="1:5" x14ac:dyDescent="0.25">
      <c r="A178" t="s">
        <v>722</v>
      </c>
      <c r="B178" t="s">
        <v>719</v>
      </c>
      <c r="C178" s="28" t="s">
        <v>763</v>
      </c>
      <c r="D178" s="33" t="s">
        <v>1244</v>
      </c>
      <c r="E178" s="33" t="s">
        <v>1244</v>
      </c>
    </row>
    <row r="179" spans="1:5" x14ac:dyDescent="0.25">
      <c r="A179" t="s">
        <v>722</v>
      </c>
      <c r="B179" t="s">
        <v>720</v>
      </c>
      <c r="C179" s="28" t="s">
        <v>764</v>
      </c>
      <c r="D179" s="33" t="s">
        <v>1245</v>
      </c>
      <c r="E179" s="33" t="s">
        <v>1245</v>
      </c>
    </row>
    <row r="180" spans="1:5" x14ac:dyDescent="0.25">
      <c r="A180" t="s">
        <v>722</v>
      </c>
      <c r="B180" t="s">
        <v>721</v>
      </c>
      <c r="C180" s="28" t="s">
        <v>765</v>
      </c>
      <c r="D180" s="33" t="s">
        <v>1246</v>
      </c>
      <c r="E180" s="33" t="s">
        <v>1246</v>
      </c>
    </row>
    <row r="181" spans="1:5" x14ac:dyDescent="0.25">
      <c r="A181" t="s">
        <v>722</v>
      </c>
      <c r="B181" t="s">
        <v>1248</v>
      </c>
      <c r="C181" s="28" t="s">
        <v>766</v>
      </c>
      <c r="D181" s="33" t="s">
        <v>1247</v>
      </c>
      <c r="E181" s="33" t="s">
        <v>1247</v>
      </c>
    </row>
    <row r="182" spans="1:5" x14ac:dyDescent="0.25">
      <c r="A182" t="s">
        <v>722</v>
      </c>
      <c r="B182" t="s">
        <v>920</v>
      </c>
      <c r="C182" s="28" t="s">
        <v>1249</v>
      </c>
      <c r="D182" s="33" t="s">
        <v>1250</v>
      </c>
      <c r="E182" s="33" t="s">
        <v>1250</v>
      </c>
    </row>
    <row r="183" spans="1:5" x14ac:dyDescent="0.25">
      <c r="C183" s="28" t="s">
        <v>921</v>
      </c>
      <c r="D183" s="33" t="s">
        <v>1251</v>
      </c>
      <c r="E183" s="33" t="s">
        <v>1251</v>
      </c>
    </row>
    <row r="184" spans="1:5" x14ac:dyDescent="0.25">
      <c r="E184"/>
    </row>
  </sheetData>
  <autoFilter ref="A1:P56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P478"/>
  <sheetViews>
    <sheetView topLeftCell="A28" workbookViewId="0">
      <selection activeCell="A204" sqref="A204"/>
    </sheetView>
  </sheetViews>
  <sheetFormatPr defaultRowHeight="15" x14ac:dyDescent="0.25"/>
  <cols>
    <col min="1" max="1" width="26.7109375" customWidth="1"/>
    <col min="2" max="2" width="15.140625" customWidth="1"/>
    <col min="5" max="6" width="10.7109375" bestFit="1" customWidth="1"/>
    <col min="7" max="7" width="13" customWidth="1"/>
    <col min="8" max="8" width="14.5703125" customWidth="1"/>
    <col min="9" max="9" width="13.7109375" customWidth="1"/>
    <col min="10" max="12" width="10.7109375" bestFit="1" customWidth="1"/>
    <col min="13" max="13" width="12.7109375" customWidth="1"/>
    <col min="14" max="14" width="11.5703125" customWidth="1"/>
    <col min="15" max="26" width="9.7109375" bestFit="1" customWidth="1"/>
    <col min="28" max="28" width="10.7109375" bestFit="1" customWidth="1"/>
    <col min="34" max="34" width="10.7109375" bestFit="1" customWidth="1"/>
    <col min="42" max="42" width="18" customWidth="1"/>
    <col min="44" max="44" width="9.7109375" bestFit="1" customWidth="1"/>
    <col min="45" max="45" width="9.7109375" customWidth="1"/>
    <col min="46" max="46" width="10.28515625" customWidth="1"/>
    <col min="47" max="52" width="9.7109375" bestFit="1" customWidth="1"/>
    <col min="53" max="56" width="10.7109375" bestFit="1" customWidth="1"/>
    <col min="57" max="57" width="14.140625" customWidth="1"/>
    <col min="58" max="62" width="10.7109375" bestFit="1" customWidth="1"/>
    <col min="63" max="63" width="9.7109375" customWidth="1"/>
    <col min="64" max="64" width="16.7109375" bestFit="1" customWidth="1"/>
    <col min="65" max="69" width="10.7109375" bestFit="1" customWidth="1"/>
    <col min="70" max="75" width="10.7109375" customWidth="1"/>
    <col min="76" max="77" width="9.7109375" bestFit="1" customWidth="1"/>
    <col min="78" max="78" width="9.7109375" customWidth="1"/>
    <col min="79" max="84" width="9.7109375" bestFit="1" customWidth="1"/>
    <col min="85" max="87" width="10.7109375" bestFit="1" customWidth="1"/>
    <col min="88" max="104" width="10.7109375" customWidth="1"/>
    <col min="105" max="105" width="9.7109375" bestFit="1" customWidth="1"/>
    <col min="106" max="106" width="9.7109375" customWidth="1"/>
    <col min="107" max="107" width="9.7109375" bestFit="1" customWidth="1"/>
    <col min="108" max="111" width="9.7109375" customWidth="1"/>
    <col min="112" max="113" width="9.7109375" bestFit="1" customWidth="1"/>
    <col min="114" max="114" width="10.7109375" bestFit="1" customWidth="1"/>
    <col min="115" max="115" width="9.7109375" bestFit="1" customWidth="1"/>
  </cols>
  <sheetData>
    <row r="1" spans="1:120" x14ac:dyDescent="0.25">
      <c r="A1" s="26" t="s">
        <v>0</v>
      </c>
      <c r="B1" s="26" t="s">
        <v>1</v>
      </c>
      <c r="C1" s="26" t="s">
        <v>2</v>
      </c>
      <c r="D1" s="26" t="s">
        <v>3</v>
      </c>
      <c r="E1" s="27">
        <v>43852</v>
      </c>
      <c r="F1" s="27">
        <v>43853</v>
      </c>
      <c r="G1" s="27">
        <v>43854</v>
      </c>
      <c r="H1" s="27">
        <v>43855</v>
      </c>
      <c r="I1" s="27">
        <v>43856</v>
      </c>
      <c r="J1" s="27">
        <v>43857</v>
      </c>
      <c r="K1" s="27">
        <v>43858</v>
      </c>
      <c r="L1" s="27">
        <v>43859</v>
      </c>
      <c r="M1" s="27">
        <v>43860</v>
      </c>
      <c r="N1" s="27">
        <v>43861</v>
      </c>
      <c r="O1" s="27">
        <v>43862</v>
      </c>
      <c r="P1" s="27">
        <v>43863</v>
      </c>
      <c r="Q1" s="27">
        <v>43864</v>
      </c>
      <c r="R1" s="27">
        <v>43865</v>
      </c>
      <c r="S1" s="27">
        <v>43866</v>
      </c>
      <c r="T1" s="27">
        <v>43867</v>
      </c>
      <c r="U1" s="27">
        <v>43868</v>
      </c>
      <c r="V1" s="27">
        <v>43869</v>
      </c>
      <c r="W1" s="27">
        <v>43870</v>
      </c>
      <c r="X1" s="27">
        <v>43871</v>
      </c>
      <c r="Y1" s="27">
        <v>43872</v>
      </c>
      <c r="Z1" s="27">
        <v>43873</v>
      </c>
      <c r="AA1" s="27">
        <v>43874</v>
      </c>
      <c r="AB1" s="27">
        <v>43875</v>
      </c>
      <c r="AC1" s="27">
        <v>43876</v>
      </c>
      <c r="AD1" s="27">
        <v>43877</v>
      </c>
      <c r="AE1" s="27">
        <v>43878</v>
      </c>
      <c r="AF1" s="27">
        <v>43879</v>
      </c>
      <c r="AG1" s="27">
        <v>43880</v>
      </c>
      <c r="AH1" s="27">
        <v>43881</v>
      </c>
      <c r="AI1" s="27">
        <v>43882</v>
      </c>
      <c r="AJ1" s="27">
        <v>43883</v>
      </c>
      <c r="AK1" s="27">
        <v>43884</v>
      </c>
      <c r="AL1" s="27">
        <v>43885</v>
      </c>
      <c r="AM1" s="27">
        <v>43886</v>
      </c>
      <c r="AN1" s="27">
        <v>43887</v>
      </c>
      <c r="AO1" s="27">
        <v>43888</v>
      </c>
      <c r="AP1" s="27">
        <v>43889</v>
      </c>
      <c r="AQ1" s="27">
        <v>43890</v>
      </c>
      <c r="AR1" s="27">
        <v>43891</v>
      </c>
      <c r="AS1" s="27">
        <v>43892</v>
      </c>
      <c r="AT1" s="27">
        <v>43893</v>
      </c>
      <c r="AU1" s="27">
        <v>43894</v>
      </c>
      <c r="AV1" s="27">
        <v>43895</v>
      </c>
      <c r="AW1" s="27">
        <v>43896</v>
      </c>
      <c r="AX1" s="27">
        <v>43897</v>
      </c>
      <c r="AY1" s="27">
        <v>43898</v>
      </c>
      <c r="AZ1" s="27">
        <v>43899</v>
      </c>
      <c r="BA1" s="27">
        <v>43900</v>
      </c>
      <c r="BB1" s="27">
        <v>43901</v>
      </c>
      <c r="BC1" s="27">
        <v>43902</v>
      </c>
      <c r="BD1" s="27">
        <v>43903</v>
      </c>
      <c r="BE1" s="27">
        <v>43904</v>
      </c>
      <c r="BF1" s="1">
        <v>43905</v>
      </c>
      <c r="BG1" s="1">
        <v>43906</v>
      </c>
      <c r="BH1" s="1">
        <v>43907</v>
      </c>
      <c r="BI1" s="1">
        <v>43908</v>
      </c>
      <c r="BJ1" s="1">
        <v>43909</v>
      </c>
      <c r="BK1" s="1">
        <v>43910</v>
      </c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</row>
    <row r="2" spans="1:120" x14ac:dyDescent="0.25">
      <c r="A2" s="26"/>
      <c r="B2" s="26" t="s">
        <v>35</v>
      </c>
      <c r="C2" s="26">
        <v>15</v>
      </c>
      <c r="D2" s="26">
        <v>101</v>
      </c>
      <c r="E2" s="26">
        <v>2</v>
      </c>
      <c r="F2" s="26">
        <v>3</v>
      </c>
      <c r="G2" s="26">
        <v>5</v>
      </c>
      <c r="H2" s="26">
        <v>7</v>
      </c>
      <c r="I2" s="26">
        <v>8</v>
      </c>
      <c r="J2" s="26">
        <v>8</v>
      </c>
      <c r="K2" s="26">
        <v>14</v>
      </c>
      <c r="L2" s="26">
        <v>14</v>
      </c>
      <c r="M2" s="26">
        <v>14</v>
      </c>
      <c r="N2" s="26">
        <v>19</v>
      </c>
      <c r="O2" s="26">
        <v>19</v>
      </c>
      <c r="P2" s="26">
        <v>19</v>
      </c>
      <c r="Q2" s="26">
        <v>19</v>
      </c>
      <c r="R2" s="26">
        <v>25</v>
      </c>
      <c r="S2" s="26">
        <v>25</v>
      </c>
      <c r="T2" s="26">
        <v>25</v>
      </c>
      <c r="U2" s="26">
        <v>25</v>
      </c>
      <c r="V2" s="26">
        <v>32</v>
      </c>
      <c r="W2" s="26">
        <v>32</v>
      </c>
      <c r="X2" s="26">
        <v>32</v>
      </c>
      <c r="Y2" s="26">
        <v>33</v>
      </c>
      <c r="Z2" s="26">
        <v>33</v>
      </c>
      <c r="AA2" s="26">
        <v>33</v>
      </c>
      <c r="AB2" s="26">
        <v>33</v>
      </c>
      <c r="AC2" s="26">
        <v>33</v>
      </c>
      <c r="AD2" s="26">
        <v>34</v>
      </c>
      <c r="AE2" s="26">
        <v>35</v>
      </c>
      <c r="AF2" s="26">
        <v>35</v>
      </c>
      <c r="AG2" s="26">
        <v>35</v>
      </c>
      <c r="AH2" s="26">
        <v>35</v>
      </c>
      <c r="AI2" s="26">
        <v>35</v>
      </c>
      <c r="AJ2" s="26">
        <v>35</v>
      </c>
      <c r="AK2" s="26">
        <v>35</v>
      </c>
      <c r="AL2" s="26">
        <v>35</v>
      </c>
      <c r="AM2" s="26">
        <v>37</v>
      </c>
      <c r="AN2" s="26">
        <v>40</v>
      </c>
      <c r="AO2" s="26">
        <v>40</v>
      </c>
      <c r="AP2" s="26">
        <v>41</v>
      </c>
      <c r="AQ2" s="26">
        <v>42</v>
      </c>
      <c r="AR2" s="26">
        <v>42</v>
      </c>
      <c r="AS2" s="26">
        <v>43</v>
      </c>
      <c r="AT2" s="26">
        <v>43</v>
      </c>
      <c r="AU2" s="26">
        <v>43</v>
      </c>
      <c r="AV2" s="26">
        <v>47</v>
      </c>
      <c r="AW2" s="26">
        <v>48</v>
      </c>
      <c r="AX2" s="26">
        <v>50</v>
      </c>
      <c r="AY2" s="26">
        <v>50</v>
      </c>
      <c r="AZ2" s="26">
        <v>50</v>
      </c>
      <c r="BA2" s="26">
        <v>53</v>
      </c>
      <c r="BB2" s="26">
        <v>59</v>
      </c>
      <c r="BC2" s="26">
        <v>70</v>
      </c>
      <c r="BD2" s="26">
        <v>75</v>
      </c>
      <c r="BE2" s="26">
        <v>82</v>
      </c>
      <c r="BF2">
        <v>114</v>
      </c>
      <c r="BG2">
        <v>147</v>
      </c>
      <c r="BH2">
        <v>177</v>
      </c>
      <c r="BI2">
        <v>212</v>
      </c>
      <c r="BJ2">
        <v>272</v>
      </c>
      <c r="BK2" t="s">
        <v>1347</v>
      </c>
      <c r="BM2" s="1"/>
    </row>
    <row r="3" spans="1:120" x14ac:dyDescent="0.25">
      <c r="A3" s="26"/>
      <c r="B3" s="26" t="s">
        <v>36</v>
      </c>
      <c r="C3" s="26">
        <v>36</v>
      </c>
      <c r="D3" s="26">
        <v>138</v>
      </c>
      <c r="E3" s="26">
        <v>2</v>
      </c>
      <c r="F3" s="26">
        <v>1</v>
      </c>
      <c r="G3" s="26">
        <v>2</v>
      </c>
      <c r="H3" s="26">
        <v>2</v>
      </c>
      <c r="I3" s="26">
        <v>4</v>
      </c>
      <c r="J3" s="26">
        <v>4</v>
      </c>
      <c r="K3" s="26">
        <v>7</v>
      </c>
      <c r="L3" s="26">
        <v>7</v>
      </c>
      <c r="M3" s="26">
        <v>11</v>
      </c>
      <c r="N3" s="26">
        <v>15</v>
      </c>
      <c r="O3" s="26">
        <v>20</v>
      </c>
      <c r="P3" s="26">
        <v>20</v>
      </c>
      <c r="Q3" s="26">
        <v>20</v>
      </c>
      <c r="R3" s="26">
        <v>22</v>
      </c>
      <c r="S3" s="26">
        <v>22</v>
      </c>
      <c r="T3" s="26">
        <v>45</v>
      </c>
      <c r="U3" s="26">
        <v>25</v>
      </c>
      <c r="V3" s="26">
        <v>25</v>
      </c>
      <c r="W3" s="26">
        <v>26</v>
      </c>
      <c r="X3" s="26">
        <v>26</v>
      </c>
      <c r="Y3" s="26">
        <v>26</v>
      </c>
      <c r="Z3" s="26">
        <v>28</v>
      </c>
      <c r="AA3" s="26">
        <v>28</v>
      </c>
      <c r="AB3" s="26">
        <v>29</v>
      </c>
      <c r="AC3" s="26">
        <v>43</v>
      </c>
      <c r="AD3" s="26">
        <v>59</v>
      </c>
      <c r="AE3" s="26">
        <v>66</v>
      </c>
      <c r="AF3" s="26">
        <v>74</v>
      </c>
      <c r="AG3" s="26">
        <v>84</v>
      </c>
      <c r="AH3" s="26">
        <v>94</v>
      </c>
      <c r="AI3" s="26">
        <v>105</v>
      </c>
      <c r="AJ3" s="26">
        <v>122</v>
      </c>
      <c r="AK3" s="26">
        <v>147</v>
      </c>
      <c r="AL3" s="26">
        <v>159</v>
      </c>
      <c r="AM3" s="26">
        <v>170</v>
      </c>
      <c r="AN3" s="26">
        <v>189</v>
      </c>
      <c r="AO3" s="26">
        <v>214</v>
      </c>
      <c r="AP3" s="26">
        <v>228</v>
      </c>
      <c r="AQ3" s="26">
        <v>241</v>
      </c>
      <c r="AR3" s="26">
        <v>256</v>
      </c>
      <c r="AS3" s="26">
        <v>274</v>
      </c>
      <c r="AT3" s="26">
        <v>293</v>
      </c>
      <c r="AU3" s="26">
        <v>331</v>
      </c>
      <c r="AV3" s="26">
        <v>360</v>
      </c>
      <c r="AW3" s="26">
        <v>420</v>
      </c>
      <c r="AX3" s="26">
        <v>461</v>
      </c>
      <c r="AY3" s="26">
        <v>502</v>
      </c>
      <c r="AZ3" s="26">
        <v>511</v>
      </c>
      <c r="BA3" s="26">
        <v>581</v>
      </c>
      <c r="BB3" s="26">
        <v>639</v>
      </c>
      <c r="BC3" s="26">
        <v>639</v>
      </c>
      <c r="BD3" s="26">
        <v>701</v>
      </c>
      <c r="BE3" s="26">
        <v>773</v>
      </c>
      <c r="BF3">
        <v>839</v>
      </c>
      <c r="BG3">
        <v>825</v>
      </c>
      <c r="BH3">
        <v>878</v>
      </c>
      <c r="BI3">
        <v>889</v>
      </c>
      <c r="BJ3">
        <v>924</v>
      </c>
      <c r="BK3" t="s">
        <v>1348</v>
      </c>
      <c r="BM3" s="1"/>
    </row>
    <row r="4" spans="1:120" x14ac:dyDescent="0.25">
      <c r="A4" s="26"/>
      <c r="B4" s="26" t="s">
        <v>40</v>
      </c>
      <c r="C4" s="26">
        <v>1.2833000000000001</v>
      </c>
      <c r="D4" s="26">
        <v>103.83329999999999</v>
      </c>
      <c r="E4" s="26">
        <v>0</v>
      </c>
      <c r="F4" s="26">
        <v>1</v>
      </c>
      <c r="G4" s="26">
        <v>3</v>
      </c>
      <c r="H4" s="26">
        <v>3</v>
      </c>
      <c r="I4" s="26">
        <v>4</v>
      </c>
      <c r="J4" s="26">
        <v>5</v>
      </c>
      <c r="K4" s="26">
        <v>7</v>
      </c>
      <c r="L4" s="26">
        <v>7</v>
      </c>
      <c r="M4" s="26">
        <v>10</v>
      </c>
      <c r="N4" s="26">
        <v>13</v>
      </c>
      <c r="O4" s="26">
        <v>16</v>
      </c>
      <c r="P4" s="26">
        <v>18</v>
      </c>
      <c r="Q4" s="26">
        <v>18</v>
      </c>
      <c r="R4" s="26">
        <v>24</v>
      </c>
      <c r="S4" s="26">
        <v>28</v>
      </c>
      <c r="T4" s="26">
        <v>28</v>
      </c>
      <c r="U4" s="26">
        <v>30</v>
      </c>
      <c r="V4" s="26">
        <v>33</v>
      </c>
      <c r="W4" s="26">
        <v>40</v>
      </c>
      <c r="X4" s="26">
        <v>45</v>
      </c>
      <c r="Y4" s="26">
        <v>47</v>
      </c>
      <c r="Z4" s="26">
        <v>50</v>
      </c>
      <c r="AA4" s="26">
        <v>58</v>
      </c>
      <c r="AB4" s="26">
        <v>67</v>
      </c>
      <c r="AC4" s="26">
        <v>72</v>
      </c>
      <c r="AD4" s="26">
        <v>75</v>
      </c>
      <c r="AE4" s="26">
        <v>77</v>
      </c>
      <c r="AF4" s="26">
        <v>81</v>
      </c>
      <c r="AG4" s="26">
        <v>84</v>
      </c>
      <c r="AH4" s="26">
        <v>84</v>
      </c>
      <c r="AI4" s="26">
        <v>85</v>
      </c>
      <c r="AJ4" s="26">
        <v>85</v>
      </c>
      <c r="AK4" s="26">
        <v>89</v>
      </c>
      <c r="AL4" s="26">
        <v>89</v>
      </c>
      <c r="AM4" s="26">
        <v>91</v>
      </c>
      <c r="AN4" s="26">
        <v>93</v>
      </c>
      <c r="AO4" s="26">
        <v>93</v>
      </c>
      <c r="AP4" s="26">
        <v>93</v>
      </c>
      <c r="AQ4" s="26">
        <v>102</v>
      </c>
      <c r="AR4" s="26">
        <v>106</v>
      </c>
      <c r="AS4" s="26">
        <v>108</v>
      </c>
      <c r="AT4" s="26">
        <v>110</v>
      </c>
      <c r="AU4" s="26">
        <v>110</v>
      </c>
      <c r="AV4" s="26">
        <v>117</v>
      </c>
      <c r="AW4" s="26">
        <v>130</v>
      </c>
      <c r="AX4" s="26">
        <v>138</v>
      </c>
      <c r="AY4" s="26">
        <v>150</v>
      </c>
      <c r="AZ4" s="26">
        <v>150</v>
      </c>
      <c r="BA4" s="26">
        <v>160</v>
      </c>
      <c r="BB4" s="26">
        <v>178</v>
      </c>
      <c r="BC4" s="26">
        <v>178</v>
      </c>
      <c r="BD4" s="26">
        <v>200</v>
      </c>
      <c r="BE4" s="26">
        <v>212</v>
      </c>
      <c r="BF4">
        <v>226</v>
      </c>
      <c r="BG4">
        <v>243</v>
      </c>
      <c r="BH4">
        <v>266</v>
      </c>
      <c r="BI4">
        <v>313</v>
      </c>
      <c r="BJ4">
        <v>345</v>
      </c>
      <c r="BK4" t="s">
        <v>1349</v>
      </c>
      <c r="BM4" s="1"/>
    </row>
    <row r="5" spans="1:120" x14ac:dyDescent="0.25">
      <c r="A5" s="26"/>
      <c r="B5" s="26" t="s">
        <v>43</v>
      </c>
      <c r="C5" s="26">
        <v>28.166699999999999</v>
      </c>
      <c r="D5" s="26">
        <v>84.25</v>
      </c>
      <c r="E5" s="26">
        <v>0</v>
      </c>
      <c r="F5" s="26">
        <v>0</v>
      </c>
      <c r="G5" s="26">
        <v>0</v>
      </c>
      <c r="H5" s="26">
        <v>1</v>
      </c>
      <c r="I5" s="26">
        <v>1</v>
      </c>
      <c r="J5" s="26">
        <v>1</v>
      </c>
      <c r="K5" s="26">
        <v>1</v>
      </c>
      <c r="L5" s="26">
        <v>1</v>
      </c>
      <c r="M5" s="26">
        <v>1</v>
      </c>
      <c r="N5" s="26">
        <v>1</v>
      </c>
      <c r="O5" s="26">
        <v>1</v>
      </c>
      <c r="P5" s="26">
        <v>1</v>
      </c>
      <c r="Q5" s="26">
        <v>1</v>
      </c>
      <c r="R5" s="26">
        <v>1</v>
      </c>
      <c r="S5" s="26">
        <v>1</v>
      </c>
      <c r="T5" s="26">
        <v>1</v>
      </c>
      <c r="U5" s="26">
        <v>1</v>
      </c>
      <c r="V5" s="26">
        <v>1</v>
      </c>
      <c r="W5" s="26">
        <v>1</v>
      </c>
      <c r="X5" s="26">
        <v>1</v>
      </c>
      <c r="Y5" s="26">
        <v>1</v>
      </c>
      <c r="Z5" s="26">
        <v>1</v>
      </c>
      <c r="AA5" s="26">
        <v>1</v>
      </c>
      <c r="AB5" s="26">
        <v>1</v>
      </c>
      <c r="AC5" s="26">
        <v>1</v>
      </c>
      <c r="AD5" s="26">
        <v>1</v>
      </c>
      <c r="AE5" s="26">
        <v>1</v>
      </c>
      <c r="AF5" s="26">
        <v>1</v>
      </c>
      <c r="AG5" s="26">
        <v>1</v>
      </c>
      <c r="AH5" s="26">
        <v>1</v>
      </c>
      <c r="AI5" s="26">
        <v>1</v>
      </c>
      <c r="AJ5" s="26">
        <v>1</v>
      </c>
      <c r="AK5" s="26">
        <v>1</v>
      </c>
      <c r="AL5" s="26">
        <v>1</v>
      </c>
      <c r="AM5" s="26">
        <v>1</v>
      </c>
      <c r="AN5" s="26">
        <v>1</v>
      </c>
      <c r="AO5" s="26">
        <v>1</v>
      </c>
      <c r="AP5" s="26">
        <v>1</v>
      </c>
      <c r="AQ5" s="26">
        <v>1</v>
      </c>
      <c r="AR5" s="26">
        <v>1</v>
      </c>
      <c r="AS5" s="26">
        <v>1</v>
      </c>
      <c r="AT5" s="26">
        <v>1</v>
      </c>
      <c r="AU5" s="26">
        <v>1</v>
      </c>
      <c r="AV5" s="26">
        <v>1</v>
      </c>
      <c r="AW5" s="26">
        <v>1</v>
      </c>
      <c r="AX5" s="26">
        <v>1</v>
      </c>
      <c r="AY5" s="26">
        <v>1</v>
      </c>
      <c r="AZ5" s="26">
        <v>1</v>
      </c>
      <c r="BA5" s="26">
        <v>1</v>
      </c>
      <c r="BB5" s="26">
        <v>1</v>
      </c>
      <c r="BC5" s="26">
        <v>1</v>
      </c>
      <c r="BD5" s="26">
        <v>1</v>
      </c>
      <c r="BE5" s="26">
        <v>1</v>
      </c>
      <c r="BF5">
        <v>1</v>
      </c>
      <c r="BG5">
        <v>1</v>
      </c>
      <c r="BH5">
        <v>1</v>
      </c>
      <c r="BI5">
        <v>1</v>
      </c>
      <c r="BJ5">
        <v>1</v>
      </c>
      <c r="BK5" t="s">
        <v>441</v>
      </c>
    </row>
    <row r="6" spans="1:120" x14ac:dyDescent="0.25">
      <c r="A6" s="26"/>
      <c r="B6" s="26" t="s">
        <v>44</v>
      </c>
      <c r="C6" s="26">
        <v>2.5</v>
      </c>
      <c r="D6" s="26">
        <v>112.5</v>
      </c>
      <c r="E6" s="26">
        <v>0</v>
      </c>
      <c r="F6" s="26">
        <v>0</v>
      </c>
      <c r="G6" s="26">
        <v>0</v>
      </c>
      <c r="H6" s="26">
        <v>3</v>
      </c>
      <c r="I6" s="26">
        <v>4</v>
      </c>
      <c r="J6" s="26">
        <v>4</v>
      </c>
      <c r="K6" s="26">
        <v>4</v>
      </c>
      <c r="L6" s="26">
        <v>7</v>
      </c>
      <c r="M6" s="26">
        <v>8</v>
      </c>
      <c r="N6" s="26">
        <v>8</v>
      </c>
      <c r="O6" s="26">
        <v>8</v>
      </c>
      <c r="P6" s="26">
        <v>8</v>
      </c>
      <c r="Q6" s="26">
        <v>8</v>
      </c>
      <c r="R6" s="26">
        <v>10</v>
      </c>
      <c r="S6" s="26">
        <v>12</v>
      </c>
      <c r="T6" s="26">
        <v>12</v>
      </c>
      <c r="U6" s="26">
        <v>12</v>
      </c>
      <c r="V6" s="26">
        <v>16</v>
      </c>
      <c r="W6" s="26">
        <v>16</v>
      </c>
      <c r="X6" s="26">
        <v>18</v>
      </c>
      <c r="Y6" s="26">
        <v>18</v>
      </c>
      <c r="Z6" s="26">
        <v>18</v>
      </c>
      <c r="AA6" s="26">
        <v>19</v>
      </c>
      <c r="AB6" s="26">
        <v>19</v>
      </c>
      <c r="AC6" s="26">
        <v>22</v>
      </c>
      <c r="AD6" s="26">
        <v>22</v>
      </c>
      <c r="AE6" s="26">
        <v>22</v>
      </c>
      <c r="AF6" s="26">
        <v>22</v>
      </c>
      <c r="AG6" s="26">
        <v>22</v>
      </c>
      <c r="AH6" s="26">
        <v>22</v>
      </c>
      <c r="AI6" s="26">
        <v>22</v>
      </c>
      <c r="AJ6" s="26">
        <v>22</v>
      </c>
      <c r="AK6" s="26">
        <v>22</v>
      </c>
      <c r="AL6" s="26">
        <v>22</v>
      </c>
      <c r="AM6" s="26">
        <v>22</v>
      </c>
      <c r="AN6" s="26">
        <v>22</v>
      </c>
      <c r="AO6" s="26">
        <v>23</v>
      </c>
      <c r="AP6" s="26">
        <v>23</v>
      </c>
      <c r="AQ6" s="26">
        <v>25</v>
      </c>
      <c r="AR6" s="26">
        <v>29</v>
      </c>
      <c r="AS6" s="26">
        <v>29</v>
      </c>
      <c r="AT6" s="26">
        <v>36</v>
      </c>
      <c r="AU6" s="26">
        <v>50</v>
      </c>
      <c r="AV6" s="26">
        <v>50</v>
      </c>
      <c r="AW6" s="26">
        <v>83</v>
      </c>
      <c r="AX6" s="26">
        <v>93</v>
      </c>
      <c r="AY6" s="26">
        <v>99</v>
      </c>
      <c r="AZ6" s="26">
        <v>117</v>
      </c>
      <c r="BA6" s="26">
        <v>129</v>
      </c>
      <c r="BB6" s="26">
        <v>149</v>
      </c>
      <c r="BC6" s="26">
        <v>149</v>
      </c>
      <c r="BD6" s="26">
        <v>197</v>
      </c>
      <c r="BE6" s="26">
        <v>238</v>
      </c>
      <c r="BF6">
        <v>428</v>
      </c>
      <c r="BG6">
        <v>566</v>
      </c>
      <c r="BH6">
        <v>673</v>
      </c>
      <c r="BI6">
        <v>790</v>
      </c>
      <c r="BJ6">
        <v>900</v>
      </c>
      <c r="BK6" t="s">
        <v>1350</v>
      </c>
    </row>
    <row r="7" spans="1:120" x14ac:dyDescent="0.25">
      <c r="A7" s="26" t="s">
        <v>45</v>
      </c>
      <c r="B7" s="26" t="s">
        <v>46</v>
      </c>
      <c r="C7" s="26">
        <v>49.282699999999998</v>
      </c>
      <c r="D7" s="26">
        <v>-123.1207</v>
      </c>
      <c r="E7" s="26">
        <v>0</v>
      </c>
      <c r="F7" s="26">
        <v>0</v>
      </c>
      <c r="G7" s="26">
        <v>0</v>
      </c>
      <c r="H7" s="26">
        <v>0</v>
      </c>
      <c r="I7" s="26">
        <v>0</v>
      </c>
      <c r="J7" s="26">
        <v>0</v>
      </c>
      <c r="K7" s="26">
        <v>1</v>
      </c>
      <c r="L7" s="26">
        <v>1</v>
      </c>
      <c r="M7" s="26">
        <v>1</v>
      </c>
      <c r="N7" s="26">
        <v>1</v>
      </c>
      <c r="O7" s="26">
        <v>1</v>
      </c>
      <c r="P7" s="26">
        <v>1</v>
      </c>
      <c r="Q7" s="26">
        <v>1</v>
      </c>
      <c r="R7" s="26">
        <v>1</v>
      </c>
      <c r="S7" s="26">
        <v>2</v>
      </c>
      <c r="T7" s="26">
        <v>2</v>
      </c>
      <c r="U7" s="26">
        <v>4</v>
      </c>
      <c r="V7" s="26">
        <v>4</v>
      </c>
      <c r="W7" s="26">
        <v>4</v>
      </c>
      <c r="X7" s="26">
        <v>4</v>
      </c>
      <c r="Y7" s="26">
        <v>4</v>
      </c>
      <c r="Z7" s="26">
        <v>4</v>
      </c>
      <c r="AA7" s="26">
        <v>4</v>
      </c>
      <c r="AB7" s="26">
        <v>4</v>
      </c>
      <c r="AC7" s="26">
        <v>4</v>
      </c>
      <c r="AD7" s="26">
        <v>4</v>
      </c>
      <c r="AE7" s="26">
        <v>5</v>
      </c>
      <c r="AF7" s="26">
        <v>5</v>
      </c>
      <c r="AG7" s="26">
        <v>5</v>
      </c>
      <c r="AH7" s="26">
        <v>5</v>
      </c>
      <c r="AI7" s="26">
        <v>6</v>
      </c>
      <c r="AJ7" s="26">
        <v>6</v>
      </c>
      <c r="AK7" s="26">
        <v>6</v>
      </c>
      <c r="AL7" s="26">
        <v>6</v>
      </c>
      <c r="AM7" s="26">
        <v>7</v>
      </c>
      <c r="AN7" s="26">
        <v>7</v>
      </c>
      <c r="AO7" s="26">
        <v>7</v>
      </c>
      <c r="AP7" s="26">
        <v>7</v>
      </c>
      <c r="AQ7" s="26">
        <v>8</v>
      </c>
      <c r="AR7" s="26">
        <v>8</v>
      </c>
      <c r="AS7" s="26">
        <v>8</v>
      </c>
      <c r="AT7" s="26">
        <v>9</v>
      </c>
      <c r="AU7" s="26">
        <v>12</v>
      </c>
      <c r="AV7" s="26">
        <v>13</v>
      </c>
      <c r="AW7" s="26">
        <v>21</v>
      </c>
      <c r="AX7" s="26">
        <v>21</v>
      </c>
      <c r="AY7" s="26">
        <v>27</v>
      </c>
      <c r="AZ7" s="26">
        <v>32</v>
      </c>
      <c r="BA7" s="26">
        <v>32</v>
      </c>
      <c r="BB7" s="26">
        <v>39</v>
      </c>
      <c r="BC7" s="26">
        <v>46</v>
      </c>
      <c r="BD7" s="26">
        <v>64</v>
      </c>
      <c r="BE7" s="26">
        <v>64</v>
      </c>
      <c r="BF7">
        <v>73</v>
      </c>
      <c r="BG7">
        <v>103</v>
      </c>
      <c r="BH7">
        <v>103</v>
      </c>
      <c r="BI7">
        <v>186</v>
      </c>
      <c r="BJ7">
        <v>231</v>
      </c>
      <c r="BK7" t="s">
        <v>1351</v>
      </c>
      <c r="BM7" s="1"/>
      <c r="BN7" s="1"/>
      <c r="BO7" s="1"/>
    </row>
    <row r="8" spans="1:120" x14ac:dyDescent="0.25">
      <c r="A8" s="26" t="s">
        <v>47</v>
      </c>
      <c r="B8" s="26" t="s">
        <v>48</v>
      </c>
      <c r="C8" s="26">
        <v>-33.8688</v>
      </c>
      <c r="D8" s="26">
        <v>151.20930000000001</v>
      </c>
      <c r="E8" s="26">
        <v>0</v>
      </c>
      <c r="F8" s="26">
        <v>0</v>
      </c>
      <c r="G8" s="26">
        <v>0</v>
      </c>
      <c r="H8" s="26">
        <v>0</v>
      </c>
      <c r="I8" s="26">
        <v>3</v>
      </c>
      <c r="J8" s="26">
        <v>4</v>
      </c>
      <c r="K8" s="26">
        <v>4</v>
      </c>
      <c r="L8" s="26">
        <v>4</v>
      </c>
      <c r="M8" s="26">
        <v>4</v>
      </c>
      <c r="N8" s="26">
        <v>4</v>
      </c>
      <c r="O8" s="26">
        <v>4</v>
      </c>
      <c r="P8" s="26">
        <v>4</v>
      </c>
      <c r="Q8" s="26">
        <v>4</v>
      </c>
      <c r="R8" s="26">
        <v>4</v>
      </c>
      <c r="S8" s="26">
        <v>4</v>
      </c>
      <c r="T8" s="26">
        <v>4</v>
      </c>
      <c r="U8" s="26">
        <v>4</v>
      </c>
      <c r="V8" s="26">
        <v>4</v>
      </c>
      <c r="W8" s="26">
        <v>4</v>
      </c>
      <c r="X8" s="26">
        <v>4</v>
      </c>
      <c r="Y8" s="26">
        <v>4</v>
      </c>
      <c r="Z8" s="26">
        <v>4</v>
      </c>
      <c r="AA8" s="26">
        <v>4</v>
      </c>
      <c r="AB8" s="26">
        <v>4</v>
      </c>
      <c r="AC8" s="26">
        <v>4</v>
      </c>
      <c r="AD8" s="26">
        <v>4</v>
      </c>
      <c r="AE8" s="26">
        <v>4</v>
      </c>
      <c r="AF8" s="26">
        <v>4</v>
      </c>
      <c r="AG8" s="26">
        <v>4</v>
      </c>
      <c r="AH8" s="26">
        <v>4</v>
      </c>
      <c r="AI8" s="26">
        <v>4</v>
      </c>
      <c r="AJ8" s="26">
        <v>4</v>
      </c>
      <c r="AK8" s="26">
        <v>4</v>
      </c>
      <c r="AL8" s="26">
        <v>4</v>
      </c>
      <c r="AM8" s="26">
        <v>4</v>
      </c>
      <c r="AN8" s="26">
        <v>4</v>
      </c>
      <c r="AO8" s="26">
        <v>4</v>
      </c>
      <c r="AP8" s="26">
        <v>4</v>
      </c>
      <c r="AQ8" s="26">
        <v>4</v>
      </c>
      <c r="AR8" s="26">
        <v>6</v>
      </c>
      <c r="AS8" s="26">
        <v>6</v>
      </c>
      <c r="AT8" s="26">
        <v>13</v>
      </c>
      <c r="AU8" s="26">
        <v>22</v>
      </c>
      <c r="AV8" s="26">
        <v>22</v>
      </c>
      <c r="AW8" s="26">
        <v>26</v>
      </c>
      <c r="AX8" s="26">
        <v>28</v>
      </c>
      <c r="AY8" s="26">
        <v>38</v>
      </c>
      <c r="AZ8" s="26">
        <v>48</v>
      </c>
      <c r="BA8" s="26">
        <v>55</v>
      </c>
      <c r="BB8" s="26">
        <v>65</v>
      </c>
      <c r="BC8" s="26">
        <v>65</v>
      </c>
      <c r="BD8" s="26">
        <v>92</v>
      </c>
      <c r="BE8" s="26">
        <v>112</v>
      </c>
      <c r="BF8">
        <v>134</v>
      </c>
      <c r="BG8">
        <v>171</v>
      </c>
      <c r="BH8">
        <v>210</v>
      </c>
      <c r="BI8">
        <v>267</v>
      </c>
      <c r="BJ8">
        <v>307</v>
      </c>
      <c r="BK8" t="s">
        <v>1352</v>
      </c>
      <c r="BL8" s="1"/>
    </row>
    <row r="9" spans="1:120" x14ac:dyDescent="0.25">
      <c r="A9" s="26" t="s">
        <v>49</v>
      </c>
      <c r="B9" s="26" t="s">
        <v>48</v>
      </c>
      <c r="C9" s="26">
        <v>-37.813600000000001</v>
      </c>
      <c r="D9" s="26">
        <v>144.9631</v>
      </c>
      <c r="E9" s="26">
        <v>0</v>
      </c>
      <c r="F9" s="26">
        <v>0</v>
      </c>
      <c r="G9" s="26">
        <v>0</v>
      </c>
      <c r="H9" s="26">
        <v>0</v>
      </c>
      <c r="I9" s="26">
        <v>1</v>
      </c>
      <c r="J9" s="26">
        <v>1</v>
      </c>
      <c r="K9" s="26">
        <v>1</v>
      </c>
      <c r="L9" s="26">
        <v>1</v>
      </c>
      <c r="M9" s="26">
        <v>2</v>
      </c>
      <c r="N9" s="26">
        <v>3</v>
      </c>
      <c r="O9" s="26">
        <v>4</v>
      </c>
      <c r="P9" s="26">
        <v>4</v>
      </c>
      <c r="Q9" s="26">
        <v>4</v>
      </c>
      <c r="R9" s="26">
        <v>4</v>
      </c>
      <c r="S9" s="26">
        <v>4</v>
      </c>
      <c r="T9" s="26">
        <v>4</v>
      </c>
      <c r="U9" s="26">
        <v>4</v>
      </c>
      <c r="V9" s="26">
        <v>4</v>
      </c>
      <c r="W9" s="26">
        <v>4</v>
      </c>
      <c r="X9" s="26">
        <v>4</v>
      </c>
      <c r="Y9" s="26">
        <v>4</v>
      </c>
      <c r="Z9" s="26">
        <v>4</v>
      </c>
      <c r="AA9" s="26">
        <v>4</v>
      </c>
      <c r="AB9" s="26">
        <v>4</v>
      </c>
      <c r="AC9" s="26">
        <v>4</v>
      </c>
      <c r="AD9" s="26">
        <v>4</v>
      </c>
      <c r="AE9" s="26">
        <v>4</v>
      </c>
      <c r="AF9" s="26">
        <v>4</v>
      </c>
      <c r="AG9" s="26">
        <v>4</v>
      </c>
      <c r="AH9" s="26">
        <v>4</v>
      </c>
      <c r="AI9" s="26">
        <v>4</v>
      </c>
      <c r="AJ9" s="26">
        <v>4</v>
      </c>
      <c r="AK9" s="26">
        <v>4</v>
      </c>
      <c r="AL9" s="26">
        <v>4</v>
      </c>
      <c r="AM9" s="26">
        <v>4</v>
      </c>
      <c r="AN9" s="26">
        <v>4</v>
      </c>
      <c r="AO9" s="26">
        <v>4</v>
      </c>
      <c r="AP9" s="26">
        <v>4</v>
      </c>
      <c r="AQ9" s="26">
        <v>7</v>
      </c>
      <c r="AR9" s="26">
        <v>7</v>
      </c>
      <c r="AS9" s="26">
        <v>9</v>
      </c>
      <c r="AT9" s="26">
        <v>9</v>
      </c>
      <c r="AU9" s="26">
        <v>10</v>
      </c>
      <c r="AV9" s="26">
        <v>10</v>
      </c>
      <c r="AW9" s="26">
        <v>10</v>
      </c>
      <c r="AX9" s="26">
        <v>11</v>
      </c>
      <c r="AY9" s="26">
        <v>11</v>
      </c>
      <c r="AZ9" s="26">
        <v>15</v>
      </c>
      <c r="BA9" s="26">
        <v>18</v>
      </c>
      <c r="BB9" s="26">
        <v>21</v>
      </c>
      <c r="BC9" s="26">
        <v>21</v>
      </c>
      <c r="BD9" s="26">
        <v>36</v>
      </c>
      <c r="BE9" s="26">
        <v>49</v>
      </c>
      <c r="BF9">
        <v>57</v>
      </c>
      <c r="BG9">
        <v>71</v>
      </c>
      <c r="BH9">
        <v>94</v>
      </c>
      <c r="BI9">
        <v>121</v>
      </c>
      <c r="BJ9">
        <v>121</v>
      </c>
      <c r="BK9" t="s">
        <v>1039</v>
      </c>
      <c r="BL9" s="1"/>
      <c r="BM9" s="26"/>
    </row>
    <row r="10" spans="1:120" x14ac:dyDescent="0.25">
      <c r="A10" s="26" t="s">
        <v>50</v>
      </c>
      <c r="B10" s="26" t="s">
        <v>48</v>
      </c>
      <c r="C10" s="26">
        <v>-28.0167</v>
      </c>
      <c r="D10" s="26">
        <v>153.4</v>
      </c>
      <c r="E10" s="26">
        <v>0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1</v>
      </c>
      <c r="M10" s="26">
        <v>3</v>
      </c>
      <c r="N10" s="26">
        <v>2</v>
      </c>
      <c r="O10" s="26">
        <v>3</v>
      </c>
      <c r="P10" s="26">
        <v>2</v>
      </c>
      <c r="Q10" s="26">
        <v>2</v>
      </c>
      <c r="R10" s="26">
        <v>3</v>
      </c>
      <c r="S10" s="26">
        <v>3</v>
      </c>
      <c r="T10" s="26">
        <v>4</v>
      </c>
      <c r="U10" s="26">
        <v>5</v>
      </c>
      <c r="V10" s="26">
        <v>5</v>
      </c>
      <c r="W10" s="26">
        <v>5</v>
      </c>
      <c r="X10" s="26">
        <v>5</v>
      </c>
      <c r="Y10" s="26">
        <v>5</v>
      </c>
      <c r="Z10" s="26">
        <v>5</v>
      </c>
      <c r="AA10" s="26">
        <v>5</v>
      </c>
      <c r="AB10" s="26">
        <v>5</v>
      </c>
      <c r="AC10" s="26">
        <v>5</v>
      </c>
      <c r="AD10" s="26">
        <v>5</v>
      </c>
      <c r="AE10" s="26">
        <v>5</v>
      </c>
      <c r="AF10" s="26">
        <v>5</v>
      </c>
      <c r="AG10" s="26">
        <v>5</v>
      </c>
      <c r="AH10" s="26">
        <v>5</v>
      </c>
      <c r="AI10" s="26">
        <v>5</v>
      </c>
      <c r="AJ10" s="26">
        <v>5</v>
      </c>
      <c r="AK10" s="26">
        <v>5</v>
      </c>
      <c r="AL10" s="26">
        <v>5</v>
      </c>
      <c r="AM10" s="26">
        <v>5</v>
      </c>
      <c r="AN10" s="26">
        <v>5</v>
      </c>
      <c r="AO10" s="26">
        <v>5</v>
      </c>
      <c r="AP10" s="26">
        <v>5</v>
      </c>
      <c r="AQ10" s="26">
        <v>9</v>
      </c>
      <c r="AR10" s="26">
        <v>9</v>
      </c>
      <c r="AS10" s="26">
        <v>9</v>
      </c>
      <c r="AT10" s="26">
        <v>11</v>
      </c>
      <c r="AU10" s="26">
        <v>11</v>
      </c>
      <c r="AV10" s="26">
        <v>13</v>
      </c>
      <c r="AW10" s="26">
        <v>13</v>
      </c>
      <c r="AX10" s="26">
        <v>13</v>
      </c>
      <c r="AY10" s="26">
        <v>15</v>
      </c>
      <c r="AZ10" s="26">
        <v>15</v>
      </c>
      <c r="BA10" s="26">
        <v>18</v>
      </c>
      <c r="BB10" s="26">
        <v>20</v>
      </c>
      <c r="BC10" s="26">
        <v>20</v>
      </c>
      <c r="BD10" s="26">
        <v>35</v>
      </c>
      <c r="BE10" s="26">
        <v>46</v>
      </c>
      <c r="BF10">
        <v>61</v>
      </c>
      <c r="BG10">
        <v>68</v>
      </c>
      <c r="BH10">
        <v>78</v>
      </c>
      <c r="BI10">
        <v>94</v>
      </c>
      <c r="BJ10">
        <v>144</v>
      </c>
      <c r="BK10" t="s">
        <v>1264</v>
      </c>
      <c r="BL10" s="1"/>
    </row>
    <row r="11" spans="1:120" x14ac:dyDescent="0.25">
      <c r="A11" s="26"/>
      <c r="B11" s="26" t="s">
        <v>51</v>
      </c>
      <c r="C11" s="26">
        <v>11.55</v>
      </c>
      <c r="D11" s="26">
        <v>104.91670000000001</v>
      </c>
      <c r="E11" s="26">
        <v>0</v>
      </c>
      <c r="F11" s="26">
        <v>0</v>
      </c>
      <c r="G11" s="26">
        <v>0</v>
      </c>
      <c r="H11" s="26">
        <v>0</v>
      </c>
      <c r="I11" s="26">
        <v>0</v>
      </c>
      <c r="J11" s="26">
        <v>1</v>
      </c>
      <c r="K11" s="26">
        <v>1</v>
      </c>
      <c r="L11" s="26">
        <v>1</v>
      </c>
      <c r="M11" s="26">
        <v>1</v>
      </c>
      <c r="N11" s="26">
        <v>1</v>
      </c>
      <c r="O11" s="26">
        <v>1</v>
      </c>
      <c r="P11" s="26">
        <v>1</v>
      </c>
      <c r="Q11" s="26">
        <v>1</v>
      </c>
      <c r="R11" s="26">
        <v>1</v>
      </c>
      <c r="S11" s="26">
        <v>1</v>
      </c>
      <c r="T11" s="26">
        <v>1</v>
      </c>
      <c r="U11" s="26">
        <v>1</v>
      </c>
      <c r="V11" s="26">
        <v>1</v>
      </c>
      <c r="W11" s="26">
        <v>1</v>
      </c>
      <c r="X11" s="26">
        <v>1</v>
      </c>
      <c r="Y11" s="26">
        <v>1</v>
      </c>
      <c r="Z11" s="26">
        <v>1</v>
      </c>
      <c r="AA11" s="26">
        <v>1</v>
      </c>
      <c r="AB11" s="26">
        <v>1</v>
      </c>
      <c r="AC11" s="26">
        <v>1</v>
      </c>
      <c r="AD11" s="26">
        <v>1</v>
      </c>
      <c r="AE11" s="26">
        <v>1</v>
      </c>
      <c r="AF11" s="26">
        <v>1</v>
      </c>
      <c r="AG11" s="26">
        <v>1</v>
      </c>
      <c r="AH11" s="26">
        <v>1</v>
      </c>
      <c r="AI11" s="26">
        <v>1</v>
      </c>
      <c r="AJ11" s="26">
        <v>1</v>
      </c>
      <c r="AK11" s="26">
        <v>1</v>
      </c>
      <c r="AL11" s="26">
        <v>1</v>
      </c>
      <c r="AM11" s="26">
        <v>1</v>
      </c>
      <c r="AN11" s="26">
        <v>1</v>
      </c>
      <c r="AO11" s="26">
        <v>1</v>
      </c>
      <c r="AP11" s="26">
        <v>1</v>
      </c>
      <c r="AQ11" s="26">
        <v>1</v>
      </c>
      <c r="AR11" s="26">
        <v>1</v>
      </c>
      <c r="AS11" s="26">
        <v>1</v>
      </c>
      <c r="AT11" s="26">
        <v>1</v>
      </c>
      <c r="AU11" s="26">
        <v>1</v>
      </c>
      <c r="AV11" s="26">
        <v>1</v>
      </c>
      <c r="AW11" s="26">
        <v>1</v>
      </c>
      <c r="AX11" s="26">
        <v>1</v>
      </c>
      <c r="AY11" s="26">
        <v>2</v>
      </c>
      <c r="AZ11" s="26">
        <v>2</v>
      </c>
      <c r="BA11" s="26">
        <v>2</v>
      </c>
      <c r="BB11" s="26">
        <v>3</v>
      </c>
      <c r="BC11" s="26">
        <v>3</v>
      </c>
      <c r="BD11" s="26">
        <v>5</v>
      </c>
      <c r="BE11" s="26">
        <v>7</v>
      </c>
      <c r="BF11">
        <v>7</v>
      </c>
      <c r="BG11">
        <v>7</v>
      </c>
      <c r="BH11">
        <v>33</v>
      </c>
      <c r="BI11">
        <v>35</v>
      </c>
      <c r="BJ11">
        <v>37</v>
      </c>
      <c r="BK11" t="s">
        <v>650</v>
      </c>
      <c r="BL11" s="1"/>
    </row>
    <row r="12" spans="1:120" x14ac:dyDescent="0.25">
      <c r="A12" s="26"/>
      <c r="B12" s="26" t="s">
        <v>52</v>
      </c>
      <c r="C12" s="26">
        <v>7</v>
      </c>
      <c r="D12" s="26">
        <v>81</v>
      </c>
      <c r="E12" s="26">
        <v>0</v>
      </c>
      <c r="F12" s="26">
        <v>0</v>
      </c>
      <c r="G12" s="26">
        <v>0</v>
      </c>
      <c r="H12" s="26">
        <v>0</v>
      </c>
      <c r="I12" s="26">
        <v>0</v>
      </c>
      <c r="J12" s="26">
        <v>1</v>
      </c>
      <c r="K12" s="26">
        <v>1</v>
      </c>
      <c r="L12" s="26">
        <v>1</v>
      </c>
      <c r="M12" s="26">
        <v>1</v>
      </c>
      <c r="N12" s="26">
        <v>1</v>
      </c>
      <c r="O12" s="26">
        <v>1</v>
      </c>
      <c r="P12" s="26">
        <v>1</v>
      </c>
      <c r="Q12" s="26">
        <v>1</v>
      </c>
      <c r="R12" s="26">
        <v>1</v>
      </c>
      <c r="S12" s="26">
        <v>1</v>
      </c>
      <c r="T12" s="26">
        <v>1</v>
      </c>
      <c r="U12" s="26">
        <v>1</v>
      </c>
      <c r="V12" s="26">
        <v>1</v>
      </c>
      <c r="W12" s="26">
        <v>1</v>
      </c>
      <c r="X12" s="26">
        <v>1</v>
      </c>
      <c r="Y12" s="26">
        <v>1</v>
      </c>
      <c r="Z12" s="26">
        <v>1</v>
      </c>
      <c r="AA12" s="26">
        <v>1</v>
      </c>
      <c r="AB12" s="26">
        <v>1</v>
      </c>
      <c r="AC12" s="26">
        <v>1</v>
      </c>
      <c r="AD12" s="26">
        <v>1</v>
      </c>
      <c r="AE12" s="26">
        <v>1</v>
      </c>
      <c r="AF12" s="26">
        <v>1</v>
      </c>
      <c r="AG12" s="26">
        <v>1</v>
      </c>
      <c r="AH12" s="26">
        <v>1</v>
      </c>
      <c r="AI12" s="26">
        <v>1</v>
      </c>
      <c r="AJ12" s="26">
        <v>1</v>
      </c>
      <c r="AK12" s="26">
        <v>1</v>
      </c>
      <c r="AL12" s="26">
        <v>1</v>
      </c>
      <c r="AM12" s="26">
        <v>1</v>
      </c>
      <c r="AN12" s="26">
        <v>1</v>
      </c>
      <c r="AO12" s="26">
        <v>1</v>
      </c>
      <c r="AP12" s="26">
        <v>1</v>
      </c>
      <c r="AQ12" s="26">
        <v>1</v>
      </c>
      <c r="AR12" s="26">
        <v>1</v>
      </c>
      <c r="AS12" s="26">
        <v>1</v>
      </c>
      <c r="AT12" s="26">
        <v>1</v>
      </c>
      <c r="AU12" s="26">
        <v>1</v>
      </c>
      <c r="AV12" s="26">
        <v>1</v>
      </c>
      <c r="AW12" s="26">
        <v>1</v>
      </c>
      <c r="AX12" s="26">
        <v>1</v>
      </c>
      <c r="AY12" s="26">
        <v>1</v>
      </c>
      <c r="AZ12" s="26">
        <v>1</v>
      </c>
      <c r="BA12" s="26">
        <v>1</v>
      </c>
      <c r="BB12" s="26">
        <v>2</v>
      </c>
      <c r="BC12" s="26">
        <v>2</v>
      </c>
      <c r="BD12" s="26">
        <v>6</v>
      </c>
      <c r="BE12" s="26">
        <v>10</v>
      </c>
      <c r="BF12">
        <v>18</v>
      </c>
      <c r="BG12">
        <v>28</v>
      </c>
      <c r="BH12">
        <v>44</v>
      </c>
      <c r="BI12">
        <v>51</v>
      </c>
      <c r="BJ12">
        <v>60</v>
      </c>
      <c r="BK12" t="s">
        <v>1353</v>
      </c>
      <c r="BL12" s="1"/>
    </row>
    <row r="13" spans="1:120" x14ac:dyDescent="0.25">
      <c r="A13" s="26"/>
      <c r="B13" s="26" t="s">
        <v>53</v>
      </c>
      <c r="C13" s="26">
        <v>51</v>
      </c>
      <c r="D13" s="26">
        <v>9</v>
      </c>
      <c r="E13" s="26">
        <v>0</v>
      </c>
      <c r="F13" s="26">
        <v>0</v>
      </c>
      <c r="G13" s="26">
        <v>0</v>
      </c>
      <c r="H13" s="26">
        <v>0</v>
      </c>
      <c r="I13" s="26">
        <v>0</v>
      </c>
      <c r="J13" s="26">
        <v>1</v>
      </c>
      <c r="K13" s="26">
        <v>4</v>
      </c>
      <c r="L13" s="26">
        <v>4</v>
      </c>
      <c r="M13" s="26">
        <v>4</v>
      </c>
      <c r="N13" s="26">
        <v>5</v>
      </c>
      <c r="O13" s="26">
        <v>8</v>
      </c>
      <c r="P13" s="26">
        <v>10</v>
      </c>
      <c r="Q13" s="26">
        <v>12</v>
      </c>
      <c r="R13" s="26">
        <v>12</v>
      </c>
      <c r="S13" s="26">
        <v>12</v>
      </c>
      <c r="T13" s="26">
        <v>12</v>
      </c>
      <c r="U13" s="26">
        <v>13</v>
      </c>
      <c r="V13" s="26">
        <v>13</v>
      </c>
      <c r="W13" s="26">
        <v>14</v>
      </c>
      <c r="X13" s="26">
        <v>14</v>
      </c>
      <c r="Y13" s="26">
        <v>16</v>
      </c>
      <c r="Z13" s="26">
        <v>16</v>
      </c>
      <c r="AA13" s="26">
        <v>16</v>
      </c>
      <c r="AB13" s="26">
        <v>16</v>
      </c>
      <c r="AC13" s="26">
        <v>16</v>
      </c>
      <c r="AD13" s="26">
        <v>16</v>
      </c>
      <c r="AE13" s="26">
        <v>16</v>
      </c>
      <c r="AF13" s="26">
        <v>16</v>
      </c>
      <c r="AG13" s="26">
        <v>16</v>
      </c>
      <c r="AH13" s="26">
        <v>16</v>
      </c>
      <c r="AI13" s="26">
        <v>16</v>
      </c>
      <c r="AJ13" s="26">
        <v>16</v>
      </c>
      <c r="AK13" s="26">
        <v>16</v>
      </c>
      <c r="AL13" s="26">
        <v>16</v>
      </c>
      <c r="AM13" s="26">
        <v>17</v>
      </c>
      <c r="AN13" s="26">
        <v>27</v>
      </c>
      <c r="AO13" s="26">
        <v>46</v>
      </c>
      <c r="AP13" s="26">
        <v>48</v>
      </c>
      <c r="AQ13" s="26">
        <v>79</v>
      </c>
      <c r="AR13" s="26">
        <v>130</v>
      </c>
      <c r="AS13" s="26">
        <v>159</v>
      </c>
      <c r="AT13" s="26">
        <v>196</v>
      </c>
      <c r="AU13" s="26">
        <v>262</v>
      </c>
      <c r="AV13" s="26">
        <v>482</v>
      </c>
      <c r="AW13" s="26">
        <v>670</v>
      </c>
      <c r="AX13" s="26">
        <v>799</v>
      </c>
      <c r="AY13" s="26">
        <v>1040</v>
      </c>
      <c r="AZ13" s="26">
        <v>1176</v>
      </c>
      <c r="BA13" s="26">
        <v>1457</v>
      </c>
      <c r="BB13" s="26">
        <v>1908</v>
      </c>
      <c r="BC13" s="26">
        <v>2078</v>
      </c>
      <c r="BD13" s="26">
        <v>3675</v>
      </c>
      <c r="BE13" s="26">
        <v>4585</v>
      </c>
      <c r="BF13">
        <v>5795</v>
      </c>
      <c r="BG13">
        <v>7272</v>
      </c>
      <c r="BH13">
        <v>9257</v>
      </c>
      <c r="BI13">
        <v>12327</v>
      </c>
      <c r="BJ13">
        <v>15320</v>
      </c>
      <c r="BK13" t="s">
        <v>1354</v>
      </c>
      <c r="BL13" s="1"/>
    </row>
    <row r="14" spans="1:120" x14ac:dyDescent="0.25">
      <c r="A14" s="26"/>
      <c r="B14" s="26" t="s">
        <v>54</v>
      </c>
      <c r="C14" s="26">
        <v>64</v>
      </c>
      <c r="D14" s="26">
        <v>26</v>
      </c>
      <c r="E14" s="26">
        <v>0</v>
      </c>
      <c r="F14" s="26">
        <v>0</v>
      </c>
      <c r="G14" s="26">
        <v>0</v>
      </c>
      <c r="H14" s="26">
        <v>0</v>
      </c>
      <c r="I14" s="26">
        <v>0</v>
      </c>
      <c r="J14" s="26">
        <v>0</v>
      </c>
      <c r="K14" s="26">
        <v>0</v>
      </c>
      <c r="L14" s="26">
        <v>1</v>
      </c>
      <c r="M14" s="26">
        <v>1</v>
      </c>
      <c r="N14" s="26">
        <v>1</v>
      </c>
      <c r="O14" s="26">
        <v>1</v>
      </c>
      <c r="P14" s="26">
        <v>1</v>
      </c>
      <c r="Q14" s="26">
        <v>1</v>
      </c>
      <c r="R14" s="26">
        <v>1</v>
      </c>
      <c r="S14" s="26">
        <v>1</v>
      </c>
      <c r="T14" s="26">
        <v>1</v>
      </c>
      <c r="U14" s="26">
        <v>1</v>
      </c>
      <c r="V14" s="26">
        <v>1</v>
      </c>
      <c r="W14" s="26">
        <v>1</v>
      </c>
      <c r="X14" s="26">
        <v>1</v>
      </c>
      <c r="Y14" s="26">
        <v>1</v>
      </c>
      <c r="Z14" s="26">
        <v>1</v>
      </c>
      <c r="AA14" s="26">
        <v>1</v>
      </c>
      <c r="AB14" s="26">
        <v>1</v>
      </c>
      <c r="AC14" s="26">
        <v>1</v>
      </c>
      <c r="AD14" s="26">
        <v>1</v>
      </c>
      <c r="AE14" s="26">
        <v>1</v>
      </c>
      <c r="AF14" s="26">
        <v>1</v>
      </c>
      <c r="AG14" s="26">
        <v>1</v>
      </c>
      <c r="AH14" s="26">
        <v>1</v>
      </c>
      <c r="AI14" s="26">
        <v>1</v>
      </c>
      <c r="AJ14" s="26">
        <v>1</v>
      </c>
      <c r="AK14" s="26">
        <v>1</v>
      </c>
      <c r="AL14" s="26">
        <v>1</v>
      </c>
      <c r="AM14" s="26">
        <v>1</v>
      </c>
      <c r="AN14" s="26">
        <v>2</v>
      </c>
      <c r="AO14" s="26">
        <v>2</v>
      </c>
      <c r="AP14" s="26">
        <v>2</v>
      </c>
      <c r="AQ14" s="26">
        <v>3</v>
      </c>
      <c r="AR14" s="26">
        <v>6</v>
      </c>
      <c r="AS14" s="26">
        <v>6</v>
      </c>
      <c r="AT14" s="26">
        <v>6</v>
      </c>
      <c r="AU14" s="26">
        <v>6</v>
      </c>
      <c r="AV14" s="26">
        <v>12</v>
      </c>
      <c r="AW14" s="26">
        <v>15</v>
      </c>
      <c r="AX14" s="26">
        <v>15</v>
      </c>
      <c r="AY14" s="26">
        <v>23</v>
      </c>
      <c r="AZ14" s="26">
        <v>30</v>
      </c>
      <c r="BA14" s="26">
        <v>40</v>
      </c>
      <c r="BB14" s="26">
        <v>59</v>
      </c>
      <c r="BC14" s="26">
        <v>59</v>
      </c>
      <c r="BD14" s="26">
        <v>155</v>
      </c>
      <c r="BE14" s="26">
        <v>225</v>
      </c>
      <c r="BF14">
        <v>244</v>
      </c>
      <c r="BG14">
        <v>277</v>
      </c>
      <c r="BH14">
        <v>321</v>
      </c>
      <c r="BI14">
        <v>336</v>
      </c>
      <c r="BJ14">
        <v>400</v>
      </c>
      <c r="BK14" t="s">
        <v>1355</v>
      </c>
      <c r="BL14" s="1"/>
    </row>
    <row r="15" spans="1:120" x14ac:dyDescent="0.25">
      <c r="A15" s="26"/>
      <c r="B15" s="26" t="s">
        <v>55</v>
      </c>
      <c r="C15" s="26">
        <v>24</v>
      </c>
      <c r="D15" s="26">
        <v>54</v>
      </c>
      <c r="E15" s="26">
        <v>0</v>
      </c>
      <c r="F15" s="26">
        <v>0</v>
      </c>
      <c r="G15" s="26">
        <v>0</v>
      </c>
      <c r="H15" s="26">
        <v>0</v>
      </c>
      <c r="I15" s="26">
        <v>0</v>
      </c>
      <c r="J15" s="26">
        <v>0</v>
      </c>
      <c r="K15" s="26">
        <v>0</v>
      </c>
      <c r="L15" s="26">
        <v>4</v>
      </c>
      <c r="M15" s="26">
        <v>4</v>
      </c>
      <c r="N15" s="26">
        <v>4</v>
      </c>
      <c r="O15" s="26">
        <v>4</v>
      </c>
      <c r="P15" s="26">
        <v>5</v>
      </c>
      <c r="Q15" s="26">
        <v>5</v>
      </c>
      <c r="R15" s="26">
        <v>5</v>
      </c>
      <c r="S15" s="26">
        <v>5</v>
      </c>
      <c r="T15" s="26">
        <v>5</v>
      </c>
      <c r="U15" s="26">
        <v>5</v>
      </c>
      <c r="V15" s="26">
        <v>7</v>
      </c>
      <c r="W15" s="26">
        <v>7</v>
      </c>
      <c r="X15" s="26">
        <v>8</v>
      </c>
      <c r="Y15" s="26">
        <v>8</v>
      </c>
      <c r="Z15" s="26">
        <v>8</v>
      </c>
      <c r="AA15" s="26">
        <v>8</v>
      </c>
      <c r="AB15" s="26">
        <v>8</v>
      </c>
      <c r="AC15" s="26">
        <v>8</v>
      </c>
      <c r="AD15" s="26">
        <v>9</v>
      </c>
      <c r="AE15" s="26">
        <v>9</v>
      </c>
      <c r="AF15" s="26">
        <v>9</v>
      </c>
      <c r="AG15" s="26">
        <v>9</v>
      </c>
      <c r="AH15" s="26">
        <v>9</v>
      </c>
      <c r="AI15" s="26">
        <v>9</v>
      </c>
      <c r="AJ15" s="26">
        <v>13</v>
      </c>
      <c r="AK15" s="26">
        <v>13</v>
      </c>
      <c r="AL15" s="26">
        <v>13</v>
      </c>
      <c r="AM15" s="26">
        <v>13</v>
      </c>
      <c r="AN15" s="26">
        <v>13</v>
      </c>
      <c r="AO15" s="26">
        <v>13</v>
      </c>
      <c r="AP15" s="26">
        <v>19</v>
      </c>
      <c r="AQ15" s="26">
        <v>21</v>
      </c>
      <c r="AR15" s="26">
        <v>21</v>
      </c>
      <c r="AS15" s="26">
        <v>21</v>
      </c>
      <c r="AT15" s="26">
        <v>27</v>
      </c>
      <c r="AU15" s="26">
        <v>27</v>
      </c>
      <c r="AV15" s="26">
        <v>29</v>
      </c>
      <c r="AW15" s="26">
        <v>29</v>
      </c>
      <c r="AX15" s="26">
        <v>45</v>
      </c>
      <c r="AY15" s="26">
        <v>45</v>
      </c>
      <c r="AZ15" s="26">
        <v>45</v>
      </c>
      <c r="BA15" s="26">
        <v>74</v>
      </c>
      <c r="BB15" s="26">
        <v>74</v>
      </c>
      <c r="BC15" s="26">
        <v>85</v>
      </c>
      <c r="BD15" s="26">
        <v>85</v>
      </c>
      <c r="BE15" s="26">
        <v>85</v>
      </c>
      <c r="BF15">
        <v>98</v>
      </c>
      <c r="BG15">
        <v>98</v>
      </c>
      <c r="BH15">
        <v>98</v>
      </c>
      <c r="BI15">
        <v>113</v>
      </c>
      <c r="BJ15">
        <v>140</v>
      </c>
      <c r="BK15" t="s">
        <v>1356</v>
      </c>
      <c r="BL15" s="1"/>
    </row>
    <row r="16" spans="1:120" x14ac:dyDescent="0.25">
      <c r="A16" s="26"/>
      <c r="B16" s="26" t="s">
        <v>56</v>
      </c>
      <c r="C16" s="26">
        <v>13</v>
      </c>
      <c r="D16" s="26">
        <v>122</v>
      </c>
      <c r="E16" s="26">
        <v>0</v>
      </c>
      <c r="F16" s="26">
        <v>0</v>
      </c>
      <c r="G16" s="26">
        <v>0</v>
      </c>
      <c r="H16" s="26">
        <v>0</v>
      </c>
      <c r="I16" s="26">
        <v>0</v>
      </c>
      <c r="J16" s="26">
        <v>0</v>
      </c>
      <c r="K16" s="26">
        <v>0</v>
      </c>
      <c r="L16" s="26">
        <v>0</v>
      </c>
      <c r="M16" s="26">
        <v>1</v>
      </c>
      <c r="N16" s="26">
        <v>1</v>
      </c>
      <c r="O16" s="26">
        <v>1</v>
      </c>
      <c r="P16" s="26">
        <v>2</v>
      </c>
      <c r="Q16" s="26">
        <v>2</v>
      </c>
      <c r="R16" s="26">
        <v>2</v>
      </c>
      <c r="S16" s="26">
        <v>2</v>
      </c>
      <c r="T16" s="26">
        <v>2</v>
      </c>
      <c r="U16" s="26">
        <v>3</v>
      </c>
      <c r="V16" s="26">
        <v>3</v>
      </c>
      <c r="W16" s="26">
        <v>3</v>
      </c>
      <c r="X16" s="26">
        <v>3</v>
      </c>
      <c r="Y16" s="26">
        <v>3</v>
      </c>
      <c r="Z16" s="26">
        <v>3</v>
      </c>
      <c r="AA16" s="26">
        <v>3</v>
      </c>
      <c r="AB16" s="26">
        <v>3</v>
      </c>
      <c r="AC16" s="26">
        <v>3</v>
      </c>
      <c r="AD16" s="26">
        <v>3</v>
      </c>
      <c r="AE16" s="26">
        <v>3</v>
      </c>
      <c r="AF16" s="26">
        <v>3</v>
      </c>
      <c r="AG16" s="26">
        <v>3</v>
      </c>
      <c r="AH16" s="26">
        <v>3</v>
      </c>
      <c r="AI16" s="26">
        <v>3</v>
      </c>
      <c r="AJ16" s="26">
        <v>3</v>
      </c>
      <c r="AK16" s="26">
        <v>3</v>
      </c>
      <c r="AL16" s="26">
        <v>3</v>
      </c>
      <c r="AM16" s="26">
        <v>3</v>
      </c>
      <c r="AN16" s="26">
        <v>3</v>
      </c>
      <c r="AO16" s="26">
        <v>3</v>
      </c>
      <c r="AP16" s="26">
        <v>3</v>
      </c>
      <c r="AQ16" s="26">
        <v>3</v>
      </c>
      <c r="AR16" s="26">
        <v>3</v>
      </c>
      <c r="AS16" s="26">
        <v>3</v>
      </c>
      <c r="AT16" s="26">
        <v>3</v>
      </c>
      <c r="AU16" s="26">
        <v>3</v>
      </c>
      <c r="AV16" s="26">
        <v>3</v>
      </c>
      <c r="AW16" s="26">
        <v>5</v>
      </c>
      <c r="AX16" s="26">
        <v>6</v>
      </c>
      <c r="AY16" s="26">
        <v>10</v>
      </c>
      <c r="AZ16" s="26">
        <v>20</v>
      </c>
      <c r="BA16" s="26">
        <v>33</v>
      </c>
      <c r="BB16" s="26">
        <v>49</v>
      </c>
      <c r="BC16" s="26">
        <v>52</v>
      </c>
      <c r="BD16" s="26">
        <v>64</v>
      </c>
      <c r="BE16" s="26">
        <v>111</v>
      </c>
      <c r="BF16">
        <v>140</v>
      </c>
      <c r="BG16">
        <v>142</v>
      </c>
      <c r="BH16">
        <v>187</v>
      </c>
      <c r="BI16">
        <v>202</v>
      </c>
      <c r="BJ16">
        <v>217</v>
      </c>
      <c r="BK16" t="s">
        <v>1357</v>
      </c>
      <c r="BL16" s="1"/>
    </row>
    <row r="17" spans="1:64" x14ac:dyDescent="0.25">
      <c r="A17" s="26"/>
      <c r="B17" s="26" t="s">
        <v>57</v>
      </c>
      <c r="C17" s="26">
        <v>21</v>
      </c>
      <c r="D17" s="26">
        <v>78</v>
      </c>
      <c r="E17" s="26">
        <v>0</v>
      </c>
      <c r="F17" s="26">
        <v>0</v>
      </c>
      <c r="G17" s="26">
        <v>0</v>
      </c>
      <c r="H17" s="26">
        <v>0</v>
      </c>
      <c r="I17" s="26">
        <v>0</v>
      </c>
      <c r="J17" s="26">
        <v>0</v>
      </c>
      <c r="K17" s="26">
        <v>0</v>
      </c>
      <c r="L17" s="26">
        <v>0</v>
      </c>
      <c r="M17" s="26">
        <v>1</v>
      </c>
      <c r="N17" s="26">
        <v>1</v>
      </c>
      <c r="O17" s="26">
        <v>1</v>
      </c>
      <c r="P17" s="26">
        <v>2</v>
      </c>
      <c r="Q17" s="26">
        <v>3</v>
      </c>
      <c r="R17" s="26">
        <v>3</v>
      </c>
      <c r="S17" s="26">
        <v>3</v>
      </c>
      <c r="T17" s="26">
        <v>3</v>
      </c>
      <c r="U17" s="26">
        <v>3</v>
      </c>
      <c r="V17" s="26">
        <v>3</v>
      </c>
      <c r="W17" s="26">
        <v>3</v>
      </c>
      <c r="X17" s="26">
        <v>3</v>
      </c>
      <c r="Y17" s="26">
        <v>3</v>
      </c>
      <c r="Z17" s="26">
        <v>3</v>
      </c>
      <c r="AA17" s="26">
        <v>3</v>
      </c>
      <c r="AB17" s="26">
        <v>3</v>
      </c>
      <c r="AC17" s="26">
        <v>3</v>
      </c>
      <c r="AD17" s="26">
        <v>3</v>
      </c>
      <c r="AE17" s="26">
        <v>3</v>
      </c>
      <c r="AF17" s="26">
        <v>3</v>
      </c>
      <c r="AG17" s="26">
        <v>3</v>
      </c>
      <c r="AH17" s="26">
        <v>3</v>
      </c>
      <c r="AI17" s="26">
        <v>3</v>
      </c>
      <c r="AJ17" s="26">
        <v>3</v>
      </c>
      <c r="AK17" s="26">
        <v>3</v>
      </c>
      <c r="AL17" s="26">
        <v>3</v>
      </c>
      <c r="AM17" s="26">
        <v>3</v>
      </c>
      <c r="AN17" s="26">
        <v>3</v>
      </c>
      <c r="AO17" s="26">
        <v>3</v>
      </c>
      <c r="AP17" s="26">
        <v>3</v>
      </c>
      <c r="AQ17" s="26">
        <v>3</v>
      </c>
      <c r="AR17" s="26">
        <v>3</v>
      </c>
      <c r="AS17" s="26">
        <v>5</v>
      </c>
      <c r="AT17" s="26">
        <v>5</v>
      </c>
      <c r="AU17" s="26">
        <v>28</v>
      </c>
      <c r="AV17" s="26">
        <v>30</v>
      </c>
      <c r="AW17" s="26">
        <v>31</v>
      </c>
      <c r="AX17" s="26">
        <v>34</v>
      </c>
      <c r="AY17" s="26">
        <v>39</v>
      </c>
      <c r="AZ17" s="26">
        <v>43</v>
      </c>
      <c r="BA17" s="26">
        <v>56</v>
      </c>
      <c r="BB17" s="26">
        <v>62</v>
      </c>
      <c r="BC17" s="26">
        <v>73</v>
      </c>
      <c r="BD17" s="26">
        <v>82</v>
      </c>
      <c r="BE17" s="26">
        <v>102</v>
      </c>
      <c r="BF17">
        <v>113</v>
      </c>
      <c r="BG17">
        <v>119</v>
      </c>
      <c r="BH17">
        <v>142</v>
      </c>
      <c r="BI17">
        <v>156</v>
      </c>
      <c r="BJ17">
        <v>194</v>
      </c>
      <c r="BK17" t="s">
        <v>1358</v>
      </c>
      <c r="BL17" s="1"/>
    </row>
    <row r="18" spans="1:64" x14ac:dyDescent="0.25">
      <c r="A18" s="26"/>
      <c r="B18" s="26" t="s">
        <v>58</v>
      </c>
      <c r="C18" s="26">
        <v>43</v>
      </c>
      <c r="D18" s="26">
        <v>12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2</v>
      </c>
      <c r="O18" s="26">
        <v>2</v>
      </c>
      <c r="P18" s="26">
        <v>2</v>
      </c>
      <c r="Q18" s="26">
        <v>2</v>
      </c>
      <c r="R18" s="26">
        <v>2</v>
      </c>
      <c r="S18" s="26">
        <v>2</v>
      </c>
      <c r="T18" s="26">
        <v>2</v>
      </c>
      <c r="U18" s="26">
        <v>3</v>
      </c>
      <c r="V18" s="26">
        <v>3</v>
      </c>
      <c r="W18" s="26">
        <v>3</v>
      </c>
      <c r="X18" s="26">
        <v>3</v>
      </c>
      <c r="Y18" s="26">
        <v>3</v>
      </c>
      <c r="Z18" s="26">
        <v>3</v>
      </c>
      <c r="AA18" s="26">
        <v>3</v>
      </c>
      <c r="AB18" s="26">
        <v>3</v>
      </c>
      <c r="AC18" s="26">
        <v>3</v>
      </c>
      <c r="AD18" s="26">
        <v>3</v>
      </c>
      <c r="AE18" s="26">
        <v>3</v>
      </c>
      <c r="AF18" s="26">
        <v>3</v>
      </c>
      <c r="AG18" s="26">
        <v>3</v>
      </c>
      <c r="AH18" s="26">
        <v>3</v>
      </c>
      <c r="AI18" s="26">
        <v>20</v>
      </c>
      <c r="AJ18" s="26">
        <v>62</v>
      </c>
      <c r="AK18" s="26">
        <v>155</v>
      </c>
      <c r="AL18" s="26">
        <v>229</v>
      </c>
      <c r="AM18" s="26">
        <v>322</v>
      </c>
      <c r="AN18" s="26">
        <v>453</v>
      </c>
      <c r="AO18" s="26">
        <v>655</v>
      </c>
      <c r="AP18" s="26">
        <v>888</v>
      </c>
      <c r="AQ18" s="26">
        <v>1128</v>
      </c>
      <c r="AR18" s="26">
        <v>1694</v>
      </c>
      <c r="AS18" s="26">
        <v>2036</v>
      </c>
      <c r="AT18" s="26">
        <v>2502</v>
      </c>
      <c r="AU18" s="26">
        <v>3089</v>
      </c>
      <c r="AV18" s="26">
        <v>3858</v>
      </c>
      <c r="AW18" s="26">
        <v>4636</v>
      </c>
      <c r="AX18" s="26">
        <v>5883</v>
      </c>
      <c r="AY18" s="26">
        <v>7375</v>
      </c>
      <c r="AZ18" s="26">
        <v>9172</v>
      </c>
      <c r="BA18" s="26">
        <v>10149</v>
      </c>
      <c r="BB18" s="26">
        <v>12462</v>
      </c>
      <c r="BC18" s="26">
        <v>12462</v>
      </c>
      <c r="BD18" s="26">
        <v>17660</v>
      </c>
      <c r="BE18" s="26">
        <v>21157</v>
      </c>
      <c r="BF18">
        <v>24747</v>
      </c>
      <c r="BG18">
        <v>27980</v>
      </c>
      <c r="BH18">
        <v>31506</v>
      </c>
      <c r="BI18">
        <v>35713</v>
      </c>
      <c r="BJ18">
        <v>41035</v>
      </c>
      <c r="BK18" t="s">
        <v>1359</v>
      </c>
      <c r="BL18" s="1"/>
    </row>
    <row r="19" spans="1:64" x14ac:dyDescent="0.25">
      <c r="A19" s="26"/>
      <c r="B19" s="26" t="s">
        <v>60</v>
      </c>
      <c r="C19" s="26">
        <v>63</v>
      </c>
      <c r="D19" s="26">
        <v>16</v>
      </c>
      <c r="E19" s="26">
        <v>0</v>
      </c>
      <c r="F19" s="26">
        <v>0</v>
      </c>
      <c r="G19" s="26">
        <v>0</v>
      </c>
      <c r="H19" s="26">
        <v>0</v>
      </c>
      <c r="I19" s="26">
        <v>0</v>
      </c>
      <c r="J19" s="26">
        <v>0</v>
      </c>
      <c r="K19" s="26">
        <v>0</v>
      </c>
      <c r="L19" s="26">
        <v>0</v>
      </c>
      <c r="M19" s="26">
        <v>0</v>
      </c>
      <c r="N19" s="26">
        <v>1</v>
      </c>
      <c r="O19" s="26">
        <v>1</v>
      </c>
      <c r="P19" s="26">
        <v>1</v>
      </c>
      <c r="Q19" s="26">
        <v>1</v>
      </c>
      <c r="R19" s="26">
        <v>1</v>
      </c>
      <c r="S19" s="26">
        <v>1</v>
      </c>
      <c r="T19" s="26">
        <v>1</v>
      </c>
      <c r="U19" s="26">
        <v>1</v>
      </c>
      <c r="V19" s="26">
        <v>1</v>
      </c>
      <c r="W19" s="26">
        <v>1</v>
      </c>
      <c r="X19" s="26">
        <v>1</v>
      </c>
      <c r="Y19" s="26">
        <v>1</v>
      </c>
      <c r="Z19" s="26">
        <v>1</v>
      </c>
      <c r="AA19" s="26">
        <v>1</v>
      </c>
      <c r="AB19" s="26">
        <v>1</v>
      </c>
      <c r="AC19" s="26">
        <v>1</v>
      </c>
      <c r="AD19" s="26">
        <v>1</v>
      </c>
      <c r="AE19" s="26">
        <v>1</v>
      </c>
      <c r="AF19" s="26">
        <v>1</v>
      </c>
      <c r="AG19" s="26">
        <v>1</v>
      </c>
      <c r="AH19" s="26">
        <v>1</v>
      </c>
      <c r="AI19" s="26">
        <v>1</v>
      </c>
      <c r="AJ19" s="26">
        <v>1</v>
      </c>
      <c r="AK19" s="26">
        <v>1</v>
      </c>
      <c r="AL19" s="26">
        <v>1</v>
      </c>
      <c r="AM19" s="26">
        <v>1</v>
      </c>
      <c r="AN19" s="26">
        <v>2</v>
      </c>
      <c r="AO19" s="26">
        <v>7</v>
      </c>
      <c r="AP19" s="26">
        <v>7</v>
      </c>
      <c r="AQ19" s="26">
        <v>12</v>
      </c>
      <c r="AR19" s="26">
        <v>14</v>
      </c>
      <c r="AS19" s="26">
        <v>15</v>
      </c>
      <c r="AT19" s="26">
        <v>21</v>
      </c>
      <c r="AU19" s="26">
        <v>35</v>
      </c>
      <c r="AV19" s="26">
        <v>94</v>
      </c>
      <c r="AW19" s="26">
        <v>101</v>
      </c>
      <c r="AX19" s="26">
        <v>161</v>
      </c>
      <c r="AY19" s="26">
        <v>203</v>
      </c>
      <c r="AZ19" s="26">
        <v>248</v>
      </c>
      <c r="BA19" s="26">
        <v>355</v>
      </c>
      <c r="BB19" s="26">
        <v>500</v>
      </c>
      <c r="BC19" s="26">
        <v>599</v>
      </c>
      <c r="BD19" s="26">
        <v>814</v>
      </c>
      <c r="BE19" s="26">
        <v>961</v>
      </c>
      <c r="BF19">
        <v>1022</v>
      </c>
      <c r="BG19">
        <v>1103</v>
      </c>
      <c r="BH19">
        <v>1190</v>
      </c>
      <c r="BI19">
        <v>1279</v>
      </c>
      <c r="BJ19">
        <v>1439</v>
      </c>
      <c r="BK19" t="s">
        <v>1360</v>
      </c>
      <c r="BL19" s="1"/>
    </row>
    <row r="20" spans="1:64" x14ac:dyDescent="0.25">
      <c r="A20" s="26"/>
      <c r="B20" s="26" t="s">
        <v>61</v>
      </c>
      <c r="C20" s="26">
        <v>40</v>
      </c>
      <c r="D20" s="26">
        <v>-4</v>
      </c>
      <c r="E20" s="26">
        <v>0</v>
      </c>
      <c r="F20" s="26">
        <v>0</v>
      </c>
      <c r="G20" s="26">
        <v>0</v>
      </c>
      <c r="H20" s="26">
        <v>0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1</v>
      </c>
      <c r="P20" s="26">
        <v>1</v>
      </c>
      <c r="Q20" s="26">
        <v>1</v>
      </c>
      <c r="R20" s="26">
        <v>1</v>
      </c>
      <c r="S20" s="26">
        <v>1</v>
      </c>
      <c r="T20" s="26">
        <v>1</v>
      </c>
      <c r="U20" s="26">
        <v>1</v>
      </c>
      <c r="V20" s="26">
        <v>1</v>
      </c>
      <c r="W20" s="26">
        <v>2</v>
      </c>
      <c r="X20" s="26">
        <v>2</v>
      </c>
      <c r="Y20" s="26">
        <v>2</v>
      </c>
      <c r="Z20" s="26">
        <v>2</v>
      </c>
      <c r="AA20" s="26">
        <v>2</v>
      </c>
      <c r="AB20" s="26">
        <v>2</v>
      </c>
      <c r="AC20" s="26">
        <v>2</v>
      </c>
      <c r="AD20" s="26">
        <v>2</v>
      </c>
      <c r="AE20" s="26">
        <v>2</v>
      </c>
      <c r="AF20" s="26">
        <v>2</v>
      </c>
      <c r="AG20" s="26">
        <v>2</v>
      </c>
      <c r="AH20" s="26">
        <v>2</v>
      </c>
      <c r="AI20" s="26">
        <v>2</v>
      </c>
      <c r="AJ20" s="26">
        <v>2</v>
      </c>
      <c r="AK20" s="26">
        <v>2</v>
      </c>
      <c r="AL20" s="26">
        <v>2</v>
      </c>
      <c r="AM20" s="26">
        <v>6</v>
      </c>
      <c r="AN20" s="26">
        <v>13</v>
      </c>
      <c r="AO20" s="26">
        <v>15</v>
      </c>
      <c r="AP20" s="26">
        <v>32</v>
      </c>
      <c r="AQ20" s="26">
        <v>45</v>
      </c>
      <c r="AR20" s="26">
        <v>84</v>
      </c>
      <c r="AS20" s="26">
        <v>120</v>
      </c>
      <c r="AT20" s="26">
        <v>165</v>
      </c>
      <c r="AU20" s="26">
        <v>222</v>
      </c>
      <c r="AV20" s="26">
        <v>259</v>
      </c>
      <c r="AW20" s="26">
        <v>400</v>
      </c>
      <c r="AX20" s="26">
        <v>500</v>
      </c>
      <c r="AY20" s="26">
        <v>673</v>
      </c>
      <c r="AZ20" s="26">
        <v>1073</v>
      </c>
      <c r="BA20" s="26">
        <v>1695</v>
      </c>
      <c r="BB20" s="26">
        <v>2277</v>
      </c>
      <c r="BC20" s="26">
        <v>2277</v>
      </c>
      <c r="BD20" s="26">
        <v>5232</v>
      </c>
      <c r="BE20" s="26">
        <v>6391</v>
      </c>
      <c r="BF20">
        <v>7798</v>
      </c>
      <c r="BG20">
        <v>9942</v>
      </c>
      <c r="BH20">
        <v>11748</v>
      </c>
      <c r="BI20">
        <v>13910</v>
      </c>
      <c r="BJ20">
        <v>17963</v>
      </c>
      <c r="BK20" t="s">
        <v>1361</v>
      </c>
      <c r="BL20" s="1"/>
    </row>
    <row r="21" spans="1:64" x14ac:dyDescent="0.25">
      <c r="A21" s="26" t="s">
        <v>62</v>
      </c>
      <c r="B21" s="26" t="s">
        <v>48</v>
      </c>
      <c r="C21" s="26">
        <v>-34.9285</v>
      </c>
      <c r="D21" s="26">
        <v>138.60069999999999</v>
      </c>
      <c r="E21" s="26">
        <v>0</v>
      </c>
      <c r="F21" s="26">
        <v>0</v>
      </c>
      <c r="G21" s="26">
        <v>0</v>
      </c>
      <c r="H21" s="26">
        <v>0</v>
      </c>
      <c r="I21" s="26">
        <v>0</v>
      </c>
      <c r="J21" s="26">
        <v>0</v>
      </c>
      <c r="K21" s="26">
        <v>0</v>
      </c>
      <c r="L21" s="26">
        <v>0</v>
      </c>
      <c r="M21" s="26">
        <v>0</v>
      </c>
      <c r="N21" s="26">
        <v>0</v>
      </c>
      <c r="O21" s="26">
        <v>1</v>
      </c>
      <c r="P21" s="26">
        <v>2</v>
      </c>
      <c r="Q21" s="26">
        <v>2</v>
      </c>
      <c r="R21" s="26">
        <v>2</v>
      </c>
      <c r="S21" s="26">
        <v>2</v>
      </c>
      <c r="T21" s="26">
        <v>2</v>
      </c>
      <c r="U21" s="26">
        <v>2</v>
      </c>
      <c r="V21" s="26">
        <v>2</v>
      </c>
      <c r="W21" s="26">
        <v>2</v>
      </c>
      <c r="X21" s="26">
        <v>2</v>
      </c>
      <c r="Y21" s="26">
        <v>2</v>
      </c>
      <c r="Z21" s="26">
        <v>2</v>
      </c>
      <c r="AA21" s="26">
        <v>2</v>
      </c>
      <c r="AB21" s="26">
        <v>2</v>
      </c>
      <c r="AC21" s="26">
        <v>2</v>
      </c>
      <c r="AD21" s="26">
        <v>2</v>
      </c>
      <c r="AE21" s="26">
        <v>2</v>
      </c>
      <c r="AF21" s="26">
        <v>2</v>
      </c>
      <c r="AG21" s="26">
        <v>2</v>
      </c>
      <c r="AH21" s="26">
        <v>2</v>
      </c>
      <c r="AI21" s="26">
        <v>2</v>
      </c>
      <c r="AJ21" s="26">
        <v>2</v>
      </c>
      <c r="AK21" s="26">
        <v>2</v>
      </c>
      <c r="AL21" s="26">
        <v>2</v>
      </c>
      <c r="AM21" s="26">
        <v>2</v>
      </c>
      <c r="AN21" s="26">
        <v>2</v>
      </c>
      <c r="AO21" s="26">
        <v>2</v>
      </c>
      <c r="AP21" s="26">
        <v>2</v>
      </c>
      <c r="AQ21" s="26">
        <v>3</v>
      </c>
      <c r="AR21" s="26">
        <v>3</v>
      </c>
      <c r="AS21" s="26">
        <v>3</v>
      </c>
      <c r="AT21" s="26">
        <v>3</v>
      </c>
      <c r="AU21" s="26">
        <v>5</v>
      </c>
      <c r="AV21" s="26">
        <v>5</v>
      </c>
      <c r="AW21" s="26">
        <v>7</v>
      </c>
      <c r="AX21" s="26">
        <v>7</v>
      </c>
      <c r="AY21" s="26">
        <v>7</v>
      </c>
      <c r="AZ21" s="26">
        <v>7</v>
      </c>
      <c r="BA21" s="26">
        <v>7</v>
      </c>
      <c r="BB21" s="26">
        <v>9</v>
      </c>
      <c r="BC21" s="26">
        <v>9</v>
      </c>
      <c r="BD21" s="26">
        <v>16</v>
      </c>
      <c r="BE21" s="26">
        <v>19</v>
      </c>
      <c r="BF21">
        <v>20</v>
      </c>
      <c r="BG21">
        <v>29</v>
      </c>
      <c r="BH21">
        <v>29</v>
      </c>
      <c r="BI21">
        <v>37</v>
      </c>
      <c r="BJ21">
        <v>42</v>
      </c>
      <c r="BK21" t="s">
        <v>812</v>
      </c>
      <c r="BL21" s="1"/>
    </row>
    <row r="22" spans="1:64" x14ac:dyDescent="0.25">
      <c r="A22" s="26"/>
      <c r="B22" s="26" t="s">
        <v>63</v>
      </c>
      <c r="C22" s="26">
        <v>50.833300000000001</v>
      </c>
      <c r="D22" s="26">
        <v>4</v>
      </c>
      <c r="E22" s="26">
        <v>0</v>
      </c>
      <c r="F22" s="26">
        <v>0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1</v>
      </c>
      <c r="S22" s="26">
        <v>1</v>
      </c>
      <c r="T22" s="26">
        <v>1</v>
      </c>
      <c r="U22" s="26">
        <v>1</v>
      </c>
      <c r="V22" s="26">
        <v>1</v>
      </c>
      <c r="W22" s="26">
        <v>1</v>
      </c>
      <c r="X22" s="26">
        <v>1</v>
      </c>
      <c r="Y22" s="26">
        <v>1</v>
      </c>
      <c r="Z22" s="26">
        <v>1</v>
      </c>
      <c r="AA22" s="26">
        <v>1</v>
      </c>
      <c r="AB22" s="26">
        <v>1</v>
      </c>
      <c r="AC22" s="26">
        <v>1</v>
      </c>
      <c r="AD22" s="26">
        <v>1</v>
      </c>
      <c r="AE22" s="26">
        <v>1</v>
      </c>
      <c r="AF22" s="26">
        <v>1</v>
      </c>
      <c r="AG22" s="26">
        <v>1</v>
      </c>
      <c r="AH22" s="26">
        <v>1</v>
      </c>
      <c r="AI22" s="26">
        <v>1</v>
      </c>
      <c r="AJ22" s="26">
        <v>1</v>
      </c>
      <c r="AK22" s="26">
        <v>1</v>
      </c>
      <c r="AL22" s="26">
        <v>1</v>
      </c>
      <c r="AM22" s="26">
        <v>1</v>
      </c>
      <c r="AN22" s="26">
        <v>1</v>
      </c>
      <c r="AO22" s="26">
        <v>1</v>
      </c>
      <c r="AP22" s="26">
        <v>1</v>
      </c>
      <c r="AQ22" s="26">
        <v>1</v>
      </c>
      <c r="AR22" s="26">
        <v>2</v>
      </c>
      <c r="AS22" s="26">
        <v>8</v>
      </c>
      <c r="AT22" s="26">
        <v>13</v>
      </c>
      <c r="AU22" s="26">
        <v>23</v>
      </c>
      <c r="AV22" s="26">
        <v>50</v>
      </c>
      <c r="AW22" s="26">
        <v>109</v>
      </c>
      <c r="AX22" s="26">
        <v>169</v>
      </c>
      <c r="AY22" s="26">
        <v>200</v>
      </c>
      <c r="AZ22" s="26">
        <v>239</v>
      </c>
      <c r="BA22" s="26">
        <v>267</v>
      </c>
      <c r="BB22" s="26">
        <v>314</v>
      </c>
      <c r="BC22" s="26">
        <v>314</v>
      </c>
      <c r="BD22" s="26">
        <v>559</v>
      </c>
      <c r="BE22" s="26">
        <v>689</v>
      </c>
      <c r="BF22">
        <v>886</v>
      </c>
      <c r="BG22">
        <v>1058</v>
      </c>
      <c r="BH22">
        <v>1243</v>
      </c>
      <c r="BI22">
        <v>1486</v>
      </c>
      <c r="BJ22">
        <v>1795</v>
      </c>
      <c r="BK22" t="s">
        <v>1362</v>
      </c>
      <c r="BL22" s="1"/>
    </row>
    <row r="23" spans="1:64" x14ac:dyDescent="0.25">
      <c r="A23" s="26"/>
      <c r="B23" s="26" t="s">
        <v>64</v>
      </c>
      <c r="C23" s="26">
        <v>26</v>
      </c>
      <c r="D23" s="26">
        <v>30</v>
      </c>
      <c r="E23" s="26">
        <v>0</v>
      </c>
      <c r="F23" s="26">
        <v>0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26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6">
        <v>0</v>
      </c>
      <c r="U23" s="26">
        <v>0</v>
      </c>
      <c r="V23" s="26">
        <v>0</v>
      </c>
      <c r="W23" s="26">
        <v>0</v>
      </c>
      <c r="X23" s="26">
        <v>0</v>
      </c>
      <c r="Y23" s="26">
        <v>0</v>
      </c>
      <c r="Z23" s="26">
        <v>0</v>
      </c>
      <c r="AA23" s="26">
        <v>0</v>
      </c>
      <c r="AB23" s="26">
        <v>1</v>
      </c>
      <c r="AC23" s="26">
        <v>1</v>
      </c>
      <c r="AD23" s="26">
        <v>1</v>
      </c>
      <c r="AE23" s="26">
        <v>1</v>
      </c>
      <c r="AF23" s="26">
        <v>1</v>
      </c>
      <c r="AG23" s="26">
        <v>1</v>
      </c>
      <c r="AH23" s="26">
        <v>1</v>
      </c>
      <c r="AI23" s="26">
        <v>1</v>
      </c>
      <c r="AJ23" s="26">
        <v>1</v>
      </c>
      <c r="AK23" s="26">
        <v>1</v>
      </c>
      <c r="AL23" s="26">
        <v>1</v>
      </c>
      <c r="AM23" s="26">
        <v>1</v>
      </c>
      <c r="AN23" s="26">
        <v>1</v>
      </c>
      <c r="AO23" s="26">
        <v>1</v>
      </c>
      <c r="AP23" s="26">
        <v>1</v>
      </c>
      <c r="AQ23" s="26">
        <v>1</v>
      </c>
      <c r="AR23" s="26">
        <v>2</v>
      </c>
      <c r="AS23" s="26">
        <v>2</v>
      </c>
      <c r="AT23" s="26">
        <v>2</v>
      </c>
      <c r="AU23" s="26">
        <v>2</v>
      </c>
      <c r="AV23" s="26">
        <v>3</v>
      </c>
      <c r="AW23" s="26">
        <v>15</v>
      </c>
      <c r="AX23" s="26">
        <v>15</v>
      </c>
      <c r="AY23" s="26">
        <v>49</v>
      </c>
      <c r="AZ23" s="26">
        <v>55</v>
      </c>
      <c r="BA23" s="26">
        <v>59</v>
      </c>
      <c r="BB23" s="26">
        <v>60</v>
      </c>
      <c r="BC23" s="26">
        <v>67</v>
      </c>
      <c r="BD23" s="26">
        <v>80</v>
      </c>
      <c r="BE23" s="26">
        <v>109</v>
      </c>
      <c r="BF23">
        <v>110</v>
      </c>
      <c r="BG23">
        <v>150</v>
      </c>
      <c r="BH23">
        <v>196</v>
      </c>
      <c r="BI23">
        <v>196</v>
      </c>
      <c r="BJ23">
        <v>256</v>
      </c>
      <c r="BK23" t="s">
        <v>1363</v>
      </c>
      <c r="BL23" s="1"/>
    </row>
    <row r="24" spans="1:64" x14ac:dyDescent="0.25">
      <c r="A24" s="26" t="s">
        <v>66</v>
      </c>
      <c r="B24" s="26" t="s">
        <v>48</v>
      </c>
      <c r="C24" s="26">
        <v>35.4437</v>
      </c>
      <c r="D24" s="26">
        <v>139.63800000000001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6">
        <v>0</v>
      </c>
      <c r="U24" s="26">
        <v>0</v>
      </c>
      <c r="V24" s="26">
        <v>0</v>
      </c>
      <c r="W24" s="26">
        <v>0</v>
      </c>
      <c r="X24" s="26">
        <v>0</v>
      </c>
      <c r="Y24" s="26">
        <v>0</v>
      </c>
      <c r="Z24" s="26">
        <v>0</v>
      </c>
      <c r="AA24" s="26">
        <v>0</v>
      </c>
      <c r="AB24" s="26">
        <v>0</v>
      </c>
      <c r="AC24" s="26">
        <v>0</v>
      </c>
      <c r="AD24" s="26">
        <v>0</v>
      </c>
      <c r="AE24" s="26">
        <v>0</v>
      </c>
      <c r="AF24" s="26">
        <v>0</v>
      </c>
      <c r="AG24" s="26">
        <v>0</v>
      </c>
      <c r="AH24" s="26">
        <v>0</v>
      </c>
      <c r="AI24" s="26">
        <v>4</v>
      </c>
      <c r="AJ24" s="26">
        <v>7</v>
      </c>
      <c r="AK24" s="26">
        <v>7</v>
      </c>
      <c r="AL24" s="26">
        <v>7</v>
      </c>
      <c r="AM24" s="26">
        <v>7</v>
      </c>
      <c r="AN24" s="26">
        <v>7</v>
      </c>
      <c r="AO24" s="26">
        <v>8</v>
      </c>
      <c r="AP24" s="26">
        <v>8</v>
      </c>
      <c r="AQ24" s="26">
        <v>0</v>
      </c>
      <c r="AR24" s="26">
        <v>0</v>
      </c>
      <c r="AS24" s="26">
        <v>0</v>
      </c>
      <c r="AT24" s="26">
        <v>0</v>
      </c>
      <c r="AU24" s="26">
        <v>0</v>
      </c>
      <c r="AV24" s="26">
        <v>0</v>
      </c>
      <c r="AW24" s="26">
        <v>0</v>
      </c>
      <c r="AX24" s="26">
        <v>0</v>
      </c>
      <c r="AY24" s="26">
        <v>0</v>
      </c>
      <c r="AZ24" s="26">
        <v>0</v>
      </c>
      <c r="BA24" s="26">
        <v>0</v>
      </c>
      <c r="BB24" s="26">
        <v>0</v>
      </c>
      <c r="BC24" s="26">
        <v>0</v>
      </c>
      <c r="BD24" s="26">
        <v>0</v>
      </c>
      <c r="BE24" s="26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 t="s">
        <v>445</v>
      </c>
      <c r="BL24" s="1"/>
    </row>
    <row r="25" spans="1:64" x14ac:dyDescent="0.25">
      <c r="A25" s="26"/>
      <c r="B25" s="26" t="s">
        <v>67</v>
      </c>
      <c r="C25" s="26">
        <v>33.854700000000001</v>
      </c>
      <c r="D25" s="26">
        <v>35.862299999999998</v>
      </c>
      <c r="E25" s="26">
        <v>0</v>
      </c>
      <c r="F25" s="26">
        <v>0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6">
        <v>0</v>
      </c>
      <c r="U25" s="26">
        <v>0</v>
      </c>
      <c r="V25" s="26">
        <v>0</v>
      </c>
      <c r="W25" s="26">
        <v>0</v>
      </c>
      <c r="X25" s="26">
        <v>0</v>
      </c>
      <c r="Y25" s="26">
        <v>0</v>
      </c>
      <c r="Z25" s="26">
        <v>0</v>
      </c>
      <c r="AA25" s="26">
        <v>0</v>
      </c>
      <c r="AB25" s="26">
        <v>0</v>
      </c>
      <c r="AC25" s="26">
        <v>0</v>
      </c>
      <c r="AD25" s="26">
        <v>0</v>
      </c>
      <c r="AE25" s="26">
        <v>0</v>
      </c>
      <c r="AF25" s="26">
        <v>0</v>
      </c>
      <c r="AG25" s="26">
        <v>0</v>
      </c>
      <c r="AH25" s="26">
        <v>0</v>
      </c>
      <c r="AI25" s="26">
        <v>1</v>
      </c>
      <c r="AJ25" s="26">
        <v>1</v>
      </c>
      <c r="AK25" s="26">
        <v>1</v>
      </c>
      <c r="AL25" s="26">
        <v>1</v>
      </c>
      <c r="AM25" s="26">
        <v>1</v>
      </c>
      <c r="AN25" s="26">
        <v>2</v>
      </c>
      <c r="AO25" s="26">
        <v>2</v>
      </c>
      <c r="AP25" s="26">
        <v>2</v>
      </c>
      <c r="AQ25" s="26">
        <v>4</v>
      </c>
      <c r="AR25" s="26">
        <v>10</v>
      </c>
      <c r="AS25" s="26">
        <v>13</v>
      </c>
      <c r="AT25" s="26">
        <v>13</v>
      </c>
      <c r="AU25" s="26">
        <v>13</v>
      </c>
      <c r="AV25" s="26">
        <v>16</v>
      </c>
      <c r="AW25" s="26">
        <v>22</v>
      </c>
      <c r="AX25" s="26">
        <v>22</v>
      </c>
      <c r="AY25" s="26">
        <v>32</v>
      </c>
      <c r="AZ25" s="26">
        <v>32</v>
      </c>
      <c r="BA25" s="26">
        <v>41</v>
      </c>
      <c r="BB25" s="26">
        <v>61</v>
      </c>
      <c r="BC25" s="26">
        <v>61</v>
      </c>
      <c r="BD25" s="26">
        <v>77</v>
      </c>
      <c r="BE25" s="26">
        <v>93</v>
      </c>
      <c r="BF25">
        <v>110</v>
      </c>
      <c r="BG25">
        <v>99</v>
      </c>
      <c r="BH25">
        <v>120</v>
      </c>
      <c r="BI25">
        <v>133</v>
      </c>
      <c r="BJ25">
        <v>157</v>
      </c>
      <c r="BK25" t="s">
        <v>1364</v>
      </c>
      <c r="BL25" s="1"/>
    </row>
    <row r="26" spans="1:64" x14ac:dyDescent="0.25">
      <c r="A26" s="26"/>
      <c r="B26" s="26" t="s">
        <v>68</v>
      </c>
      <c r="C26" s="26">
        <v>33</v>
      </c>
      <c r="D26" s="26">
        <v>44</v>
      </c>
      <c r="E26" s="26">
        <v>0</v>
      </c>
      <c r="F26" s="26">
        <v>0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6">
        <v>0</v>
      </c>
      <c r="T26" s="26">
        <v>0</v>
      </c>
      <c r="U26" s="26">
        <v>0</v>
      </c>
      <c r="V26" s="26">
        <v>0</v>
      </c>
      <c r="W26" s="26">
        <v>0</v>
      </c>
      <c r="X26" s="26">
        <v>0</v>
      </c>
      <c r="Y26" s="26">
        <v>0</v>
      </c>
      <c r="Z26" s="26">
        <v>0</v>
      </c>
      <c r="AA26" s="26">
        <v>0</v>
      </c>
      <c r="AB26" s="26">
        <v>0</v>
      </c>
      <c r="AC26" s="26">
        <v>0</v>
      </c>
      <c r="AD26" s="26">
        <v>0</v>
      </c>
      <c r="AE26" s="26">
        <v>0</v>
      </c>
      <c r="AF26" s="26">
        <v>0</v>
      </c>
      <c r="AG26" s="26">
        <v>0</v>
      </c>
      <c r="AH26" s="26">
        <v>0</v>
      </c>
      <c r="AI26" s="26">
        <v>0</v>
      </c>
      <c r="AJ26" s="26">
        <v>0</v>
      </c>
      <c r="AK26" s="26">
        <v>0</v>
      </c>
      <c r="AL26" s="26">
        <v>1</v>
      </c>
      <c r="AM26" s="26">
        <v>1</v>
      </c>
      <c r="AN26" s="26">
        <v>5</v>
      </c>
      <c r="AO26" s="26">
        <v>7</v>
      </c>
      <c r="AP26" s="26">
        <v>7</v>
      </c>
      <c r="AQ26" s="26">
        <v>13</v>
      </c>
      <c r="AR26" s="26">
        <v>19</v>
      </c>
      <c r="AS26" s="26">
        <v>26</v>
      </c>
      <c r="AT26" s="26">
        <v>32</v>
      </c>
      <c r="AU26" s="26">
        <v>35</v>
      </c>
      <c r="AV26" s="26">
        <v>35</v>
      </c>
      <c r="AW26" s="26">
        <v>40</v>
      </c>
      <c r="AX26" s="26">
        <v>54</v>
      </c>
      <c r="AY26" s="26">
        <v>60</v>
      </c>
      <c r="AZ26" s="26">
        <v>60</v>
      </c>
      <c r="BA26" s="26">
        <v>71</v>
      </c>
      <c r="BB26" s="26">
        <v>71</v>
      </c>
      <c r="BC26" s="26">
        <v>71</v>
      </c>
      <c r="BD26" s="26">
        <v>101</v>
      </c>
      <c r="BE26" s="26">
        <v>110</v>
      </c>
      <c r="BF26">
        <v>116</v>
      </c>
      <c r="BG26">
        <v>124</v>
      </c>
      <c r="BH26">
        <v>154</v>
      </c>
      <c r="BI26">
        <v>164</v>
      </c>
      <c r="BJ26">
        <v>192</v>
      </c>
      <c r="BK26" t="s">
        <v>1365</v>
      </c>
      <c r="BL26" s="1"/>
    </row>
    <row r="27" spans="1:64" x14ac:dyDescent="0.25">
      <c r="A27" s="26"/>
      <c r="B27" s="26" t="s">
        <v>69</v>
      </c>
      <c r="C27" s="26">
        <v>21</v>
      </c>
      <c r="D27" s="26">
        <v>57</v>
      </c>
      <c r="E27" s="26">
        <v>0</v>
      </c>
      <c r="F27" s="26">
        <v>0</v>
      </c>
      <c r="G27" s="26">
        <v>0</v>
      </c>
      <c r="H27" s="26">
        <v>0</v>
      </c>
      <c r="I27" s="26">
        <v>0</v>
      </c>
      <c r="J27" s="26">
        <v>0</v>
      </c>
      <c r="K27" s="26">
        <v>0</v>
      </c>
      <c r="L27" s="26">
        <v>0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0</v>
      </c>
      <c r="S27" s="26">
        <v>0</v>
      </c>
      <c r="T27" s="26">
        <v>0</v>
      </c>
      <c r="U27" s="26">
        <v>0</v>
      </c>
      <c r="V27" s="26">
        <v>0</v>
      </c>
      <c r="W27" s="26">
        <v>0</v>
      </c>
      <c r="X27" s="26">
        <v>0</v>
      </c>
      <c r="Y27" s="26">
        <v>0</v>
      </c>
      <c r="Z27" s="26">
        <v>0</v>
      </c>
      <c r="AA27" s="26">
        <v>0</v>
      </c>
      <c r="AB27" s="26">
        <v>0</v>
      </c>
      <c r="AC27" s="26">
        <v>0</v>
      </c>
      <c r="AD27" s="26">
        <v>0</v>
      </c>
      <c r="AE27" s="26">
        <v>0</v>
      </c>
      <c r="AF27" s="26">
        <v>0</v>
      </c>
      <c r="AG27" s="26">
        <v>0</v>
      </c>
      <c r="AH27" s="26">
        <v>0</v>
      </c>
      <c r="AI27" s="26">
        <v>0</v>
      </c>
      <c r="AJ27" s="26">
        <v>0</v>
      </c>
      <c r="AK27" s="26">
        <v>0</v>
      </c>
      <c r="AL27" s="26">
        <v>2</v>
      </c>
      <c r="AM27" s="26">
        <v>2</v>
      </c>
      <c r="AN27" s="26">
        <v>4</v>
      </c>
      <c r="AO27" s="26">
        <v>4</v>
      </c>
      <c r="AP27" s="26">
        <v>4</v>
      </c>
      <c r="AQ27" s="26">
        <v>6</v>
      </c>
      <c r="AR27" s="26">
        <v>6</v>
      </c>
      <c r="AS27" s="26">
        <v>6</v>
      </c>
      <c r="AT27" s="26">
        <v>12</v>
      </c>
      <c r="AU27" s="26">
        <v>15</v>
      </c>
      <c r="AV27" s="26">
        <v>16</v>
      </c>
      <c r="AW27" s="26">
        <v>16</v>
      </c>
      <c r="AX27" s="26">
        <v>16</v>
      </c>
      <c r="AY27" s="26">
        <v>16</v>
      </c>
      <c r="AZ27" s="26">
        <v>16</v>
      </c>
      <c r="BA27" s="26">
        <v>18</v>
      </c>
      <c r="BB27" s="26">
        <v>18</v>
      </c>
      <c r="BC27" s="26">
        <v>18</v>
      </c>
      <c r="BD27" s="26">
        <v>19</v>
      </c>
      <c r="BE27" s="26">
        <v>19</v>
      </c>
      <c r="BF27">
        <v>22</v>
      </c>
      <c r="BG27">
        <v>22</v>
      </c>
      <c r="BH27">
        <v>24</v>
      </c>
      <c r="BI27">
        <v>39</v>
      </c>
      <c r="BJ27">
        <v>48</v>
      </c>
      <c r="BK27" t="s">
        <v>1366</v>
      </c>
      <c r="BL27" s="1"/>
    </row>
    <row r="28" spans="1:64" x14ac:dyDescent="0.25">
      <c r="A28" s="26"/>
      <c r="B28" s="26" t="s">
        <v>70</v>
      </c>
      <c r="C28" s="26">
        <v>33</v>
      </c>
      <c r="D28" s="26">
        <v>65</v>
      </c>
      <c r="E28" s="26">
        <v>0</v>
      </c>
      <c r="F28" s="26">
        <v>0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6">
        <v>0</v>
      </c>
      <c r="T28" s="26">
        <v>0</v>
      </c>
      <c r="U28" s="26">
        <v>0</v>
      </c>
      <c r="V28" s="26">
        <v>0</v>
      </c>
      <c r="W28" s="26">
        <v>0</v>
      </c>
      <c r="X28" s="26">
        <v>0</v>
      </c>
      <c r="Y28" s="26">
        <v>0</v>
      </c>
      <c r="Z28" s="26">
        <v>0</v>
      </c>
      <c r="AA28" s="26">
        <v>0</v>
      </c>
      <c r="AB28" s="26">
        <v>0</v>
      </c>
      <c r="AC28" s="26">
        <v>0</v>
      </c>
      <c r="AD28" s="26">
        <v>0</v>
      </c>
      <c r="AE28" s="26">
        <v>0</v>
      </c>
      <c r="AF28" s="26">
        <v>0</v>
      </c>
      <c r="AG28" s="26">
        <v>0</v>
      </c>
      <c r="AH28" s="26">
        <v>0</v>
      </c>
      <c r="AI28" s="26">
        <v>0</v>
      </c>
      <c r="AJ28" s="26">
        <v>0</v>
      </c>
      <c r="AK28" s="26">
        <v>0</v>
      </c>
      <c r="AL28" s="26">
        <v>1</v>
      </c>
      <c r="AM28" s="26">
        <v>1</v>
      </c>
      <c r="AN28" s="26">
        <v>1</v>
      </c>
      <c r="AO28" s="26">
        <v>1</v>
      </c>
      <c r="AP28" s="26">
        <v>1</v>
      </c>
      <c r="AQ28" s="26">
        <v>1</v>
      </c>
      <c r="AR28" s="26">
        <v>1</v>
      </c>
      <c r="AS28" s="26">
        <v>1</v>
      </c>
      <c r="AT28" s="26">
        <v>1</v>
      </c>
      <c r="AU28" s="26">
        <v>1</v>
      </c>
      <c r="AV28" s="26">
        <v>1</v>
      </c>
      <c r="AW28" s="26">
        <v>1</v>
      </c>
      <c r="AX28" s="26">
        <v>1</v>
      </c>
      <c r="AY28" s="26">
        <v>4</v>
      </c>
      <c r="AZ28" s="26">
        <v>4</v>
      </c>
      <c r="BA28" s="26">
        <v>5</v>
      </c>
      <c r="BB28" s="26">
        <v>7</v>
      </c>
      <c r="BC28" s="26">
        <v>7</v>
      </c>
      <c r="BD28" s="26">
        <v>7</v>
      </c>
      <c r="BE28" s="26">
        <v>11</v>
      </c>
      <c r="BF28">
        <v>16</v>
      </c>
      <c r="BG28">
        <v>21</v>
      </c>
      <c r="BH28">
        <v>22</v>
      </c>
      <c r="BI28">
        <v>22</v>
      </c>
      <c r="BJ28">
        <v>22</v>
      </c>
      <c r="BK28" t="s">
        <v>448</v>
      </c>
      <c r="BL28" s="1"/>
    </row>
    <row r="29" spans="1:64" x14ac:dyDescent="0.25">
      <c r="A29" s="26"/>
      <c r="B29" s="26" t="s">
        <v>71</v>
      </c>
      <c r="C29" s="26">
        <v>26.0275</v>
      </c>
      <c r="D29" s="26">
        <v>50.55</v>
      </c>
      <c r="E29" s="26">
        <v>0</v>
      </c>
      <c r="F29" s="26">
        <v>0</v>
      </c>
      <c r="G29" s="26">
        <v>0</v>
      </c>
      <c r="H29" s="26">
        <v>0</v>
      </c>
      <c r="I29" s="26">
        <v>0</v>
      </c>
      <c r="J29" s="26">
        <v>0</v>
      </c>
      <c r="K29" s="26">
        <v>0</v>
      </c>
      <c r="L29" s="26">
        <v>0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6">
        <v>0</v>
      </c>
      <c r="U29" s="26">
        <v>0</v>
      </c>
      <c r="V29" s="26">
        <v>0</v>
      </c>
      <c r="W29" s="26">
        <v>0</v>
      </c>
      <c r="X29" s="26">
        <v>0</v>
      </c>
      <c r="Y29" s="26">
        <v>0</v>
      </c>
      <c r="Z29" s="26">
        <v>0</v>
      </c>
      <c r="AA29" s="26">
        <v>0</v>
      </c>
      <c r="AB29" s="26">
        <v>0</v>
      </c>
      <c r="AC29" s="26">
        <v>0</v>
      </c>
      <c r="AD29" s="26">
        <v>0</v>
      </c>
      <c r="AE29" s="26">
        <v>0</v>
      </c>
      <c r="AF29" s="26">
        <v>0</v>
      </c>
      <c r="AG29" s="26">
        <v>0</v>
      </c>
      <c r="AH29" s="26">
        <v>0</v>
      </c>
      <c r="AI29" s="26">
        <v>0</v>
      </c>
      <c r="AJ29" s="26">
        <v>0</v>
      </c>
      <c r="AK29" s="26">
        <v>0</v>
      </c>
      <c r="AL29" s="26">
        <v>1</v>
      </c>
      <c r="AM29" s="26">
        <v>23</v>
      </c>
      <c r="AN29" s="26">
        <v>33</v>
      </c>
      <c r="AO29" s="26">
        <v>33</v>
      </c>
      <c r="AP29" s="26">
        <v>36</v>
      </c>
      <c r="AQ29" s="26">
        <v>41</v>
      </c>
      <c r="AR29" s="26">
        <v>47</v>
      </c>
      <c r="AS29" s="26">
        <v>49</v>
      </c>
      <c r="AT29" s="26">
        <v>49</v>
      </c>
      <c r="AU29" s="26">
        <v>52</v>
      </c>
      <c r="AV29" s="26">
        <v>55</v>
      </c>
      <c r="AW29" s="26">
        <v>60</v>
      </c>
      <c r="AX29" s="26">
        <v>85</v>
      </c>
      <c r="AY29" s="26">
        <v>85</v>
      </c>
      <c r="AZ29" s="26">
        <v>95</v>
      </c>
      <c r="BA29" s="26">
        <v>110</v>
      </c>
      <c r="BB29" s="26">
        <v>195</v>
      </c>
      <c r="BC29" s="26">
        <v>195</v>
      </c>
      <c r="BD29" s="26">
        <v>189</v>
      </c>
      <c r="BE29" s="26">
        <v>210</v>
      </c>
      <c r="BF29">
        <v>214</v>
      </c>
      <c r="BG29">
        <v>214</v>
      </c>
      <c r="BH29">
        <v>228</v>
      </c>
      <c r="BI29">
        <v>256</v>
      </c>
      <c r="BJ29">
        <v>278</v>
      </c>
      <c r="BK29" t="s">
        <v>1363</v>
      </c>
      <c r="BL29" s="1"/>
    </row>
    <row r="30" spans="1:64" x14ac:dyDescent="0.25">
      <c r="A30" s="26"/>
      <c r="B30" s="26" t="s">
        <v>72</v>
      </c>
      <c r="C30" s="26">
        <v>29.5</v>
      </c>
      <c r="D30" s="26">
        <v>47.75</v>
      </c>
      <c r="E30" s="26">
        <v>0</v>
      </c>
      <c r="F30" s="26">
        <v>0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6">
        <v>0</v>
      </c>
      <c r="T30" s="26">
        <v>0</v>
      </c>
      <c r="U30" s="26">
        <v>0</v>
      </c>
      <c r="V30" s="26">
        <v>0</v>
      </c>
      <c r="W30" s="26">
        <v>0</v>
      </c>
      <c r="X30" s="26">
        <v>0</v>
      </c>
      <c r="Y30" s="26">
        <v>0</v>
      </c>
      <c r="Z30" s="26">
        <v>0</v>
      </c>
      <c r="AA30" s="26">
        <v>0</v>
      </c>
      <c r="AB30" s="26">
        <v>0</v>
      </c>
      <c r="AC30" s="26">
        <v>0</v>
      </c>
      <c r="AD30" s="26">
        <v>0</v>
      </c>
      <c r="AE30" s="26">
        <v>0</v>
      </c>
      <c r="AF30" s="26">
        <v>0</v>
      </c>
      <c r="AG30" s="26">
        <v>0</v>
      </c>
      <c r="AH30" s="26">
        <v>0</v>
      </c>
      <c r="AI30" s="26">
        <v>0</v>
      </c>
      <c r="AJ30" s="26">
        <v>0</v>
      </c>
      <c r="AK30" s="26">
        <v>0</v>
      </c>
      <c r="AL30" s="26">
        <v>1</v>
      </c>
      <c r="AM30" s="26">
        <v>11</v>
      </c>
      <c r="AN30" s="26">
        <v>26</v>
      </c>
      <c r="AO30" s="26">
        <v>43</v>
      </c>
      <c r="AP30" s="26">
        <v>45</v>
      </c>
      <c r="AQ30" s="26">
        <v>45</v>
      </c>
      <c r="AR30" s="26">
        <v>45</v>
      </c>
      <c r="AS30" s="26">
        <v>56</v>
      </c>
      <c r="AT30" s="26">
        <v>56</v>
      </c>
      <c r="AU30" s="26">
        <v>56</v>
      </c>
      <c r="AV30" s="26">
        <v>58</v>
      </c>
      <c r="AW30" s="26">
        <v>58</v>
      </c>
      <c r="AX30" s="26">
        <v>61</v>
      </c>
      <c r="AY30" s="26">
        <v>64</v>
      </c>
      <c r="AZ30" s="26">
        <v>64</v>
      </c>
      <c r="BA30" s="26">
        <v>69</v>
      </c>
      <c r="BB30" s="26">
        <v>72</v>
      </c>
      <c r="BC30" s="26">
        <v>80</v>
      </c>
      <c r="BD30" s="26">
        <v>80</v>
      </c>
      <c r="BE30" s="26">
        <v>104</v>
      </c>
      <c r="BF30">
        <v>112</v>
      </c>
      <c r="BG30">
        <v>123</v>
      </c>
      <c r="BH30">
        <v>130</v>
      </c>
      <c r="BI30">
        <v>142</v>
      </c>
      <c r="BJ30">
        <v>148</v>
      </c>
      <c r="BK30" t="s">
        <v>1367</v>
      </c>
      <c r="BL30" s="1"/>
    </row>
    <row r="31" spans="1:64" x14ac:dyDescent="0.25">
      <c r="A31" s="26"/>
      <c r="B31" s="26" t="s">
        <v>73</v>
      </c>
      <c r="C31" s="26">
        <v>28.033899999999999</v>
      </c>
      <c r="D31" s="26">
        <v>1.6596</v>
      </c>
      <c r="E31" s="26">
        <v>0</v>
      </c>
      <c r="F31" s="26">
        <v>0</v>
      </c>
      <c r="G31" s="26">
        <v>0</v>
      </c>
      <c r="H31" s="26">
        <v>0</v>
      </c>
      <c r="I31" s="26">
        <v>0</v>
      </c>
      <c r="J31" s="26">
        <v>0</v>
      </c>
      <c r="K31" s="26">
        <v>0</v>
      </c>
      <c r="L31" s="26">
        <v>0</v>
      </c>
      <c r="M31" s="26">
        <v>0</v>
      </c>
      <c r="N31" s="26">
        <v>0</v>
      </c>
      <c r="O31" s="26">
        <v>0</v>
      </c>
      <c r="P31" s="26">
        <v>0</v>
      </c>
      <c r="Q31" s="26">
        <v>0</v>
      </c>
      <c r="R31" s="26">
        <v>0</v>
      </c>
      <c r="S31" s="26">
        <v>0</v>
      </c>
      <c r="T31" s="26">
        <v>0</v>
      </c>
      <c r="U31" s="26">
        <v>0</v>
      </c>
      <c r="V31" s="26">
        <v>0</v>
      </c>
      <c r="W31" s="26">
        <v>0</v>
      </c>
      <c r="X31" s="26">
        <v>0</v>
      </c>
      <c r="Y31" s="26">
        <v>0</v>
      </c>
      <c r="Z31" s="26">
        <v>0</v>
      </c>
      <c r="AA31" s="26">
        <v>0</v>
      </c>
      <c r="AB31" s="26">
        <v>0</v>
      </c>
      <c r="AC31" s="26">
        <v>0</v>
      </c>
      <c r="AD31" s="26">
        <v>0</v>
      </c>
      <c r="AE31" s="26">
        <v>0</v>
      </c>
      <c r="AF31" s="26">
        <v>0</v>
      </c>
      <c r="AG31" s="26">
        <v>0</v>
      </c>
      <c r="AH31" s="26">
        <v>0</v>
      </c>
      <c r="AI31" s="26">
        <v>0</v>
      </c>
      <c r="AJ31" s="26">
        <v>0</v>
      </c>
      <c r="AK31" s="26">
        <v>0</v>
      </c>
      <c r="AL31" s="26">
        <v>0</v>
      </c>
      <c r="AM31" s="26">
        <v>1</v>
      </c>
      <c r="AN31" s="26">
        <v>1</v>
      </c>
      <c r="AO31" s="26">
        <v>1</v>
      </c>
      <c r="AP31" s="26">
        <v>1</v>
      </c>
      <c r="AQ31" s="26">
        <v>1</v>
      </c>
      <c r="AR31" s="26">
        <v>1</v>
      </c>
      <c r="AS31" s="26">
        <v>3</v>
      </c>
      <c r="AT31" s="26">
        <v>5</v>
      </c>
      <c r="AU31" s="26">
        <v>12</v>
      </c>
      <c r="AV31" s="26">
        <v>12</v>
      </c>
      <c r="AW31" s="26">
        <v>17</v>
      </c>
      <c r="AX31" s="26">
        <v>17</v>
      </c>
      <c r="AY31" s="26">
        <v>19</v>
      </c>
      <c r="AZ31" s="26">
        <v>20</v>
      </c>
      <c r="BA31" s="26">
        <v>20</v>
      </c>
      <c r="BB31" s="26">
        <v>20</v>
      </c>
      <c r="BC31" s="26">
        <v>24</v>
      </c>
      <c r="BD31" s="26">
        <v>26</v>
      </c>
      <c r="BE31" s="26">
        <v>37</v>
      </c>
      <c r="BF31">
        <v>48</v>
      </c>
      <c r="BG31">
        <v>54</v>
      </c>
      <c r="BH31">
        <v>60</v>
      </c>
      <c r="BI31">
        <v>74</v>
      </c>
      <c r="BJ31">
        <v>87</v>
      </c>
      <c r="BK31" t="s">
        <v>1368</v>
      </c>
      <c r="BL31" s="1"/>
    </row>
    <row r="32" spans="1:64" x14ac:dyDescent="0.25">
      <c r="A32" s="26"/>
      <c r="B32" s="26" t="s">
        <v>74</v>
      </c>
      <c r="C32" s="26">
        <v>45.1</v>
      </c>
      <c r="D32" s="26">
        <v>15.2</v>
      </c>
      <c r="E32" s="26">
        <v>0</v>
      </c>
      <c r="F32" s="26">
        <v>0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6">
        <v>0</v>
      </c>
      <c r="U32" s="26">
        <v>0</v>
      </c>
      <c r="V32" s="26">
        <v>0</v>
      </c>
      <c r="W32" s="26">
        <v>0</v>
      </c>
      <c r="X32" s="26">
        <v>0</v>
      </c>
      <c r="Y32" s="26">
        <v>0</v>
      </c>
      <c r="Z32" s="26">
        <v>0</v>
      </c>
      <c r="AA32" s="26">
        <v>0</v>
      </c>
      <c r="AB32" s="26">
        <v>0</v>
      </c>
      <c r="AC32" s="26">
        <v>0</v>
      </c>
      <c r="AD32" s="26">
        <v>0</v>
      </c>
      <c r="AE32" s="26">
        <v>0</v>
      </c>
      <c r="AF32" s="26">
        <v>0</v>
      </c>
      <c r="AG32" s="26">
        <v>0</v>
      </c>
      <c r="AH32" s="26">
        <v>0</v>
      </c>
      <c r="AI32" s="26">
        <v>0</v>
      </c>
      <c r="AJ32" s="26">
        <v>0</v>
      </c>
      <c r="AK32" s="26">
        <v>0</v>
      </c>
      <c r="AL32" s="26">
        <v>0</v>
      </c>
      <c r="AM32" s="26">
        <v>1</v>
      </c>
      <c r="AN32" s="26">
        <v>3</v>
      </c>
      <c r="AO32" s="26">
        <v>3</v>
      </c>
      <c r="AP32" s="26">
        <v>5</v>
      </c>
      <c r="AQ32" s="26">
        <v>6</v>
      </c>
      <c r="AR32" s="26">
        <v>7</v>
      </c>
      <c r="AS32" s="26">
        <v>7</v>
      </c>
      <c r="AT32" s="26">
        <v>9</v>
      </c>
      <c r="AU32" s="26">
        <v>10</v>
      </c>
      <c r="AV32" s="26">
        <v>10</v>
      </c>
      <c r="AW32" s="26">
        <v>11</v>
      </c>
      <c r="AX32" s="26">
        <v>12</v>
      </c>
      <c r="AY32" s="26">
        <v>12</v>
      </c>
      <c r="AZ32" s="26">
        <v>12</v>
      </c>
      <c r="BA32" s="26">
        <v>14</v>
      </c>
      <c r="BB32" s="26">
        <v>19</v>
      </c>
      <c r="BC32" s="26">
        <v>19</v>
      </c>
      <c r="BD32" s="26">
        <v>32</v>
      </c>
      <c r="BE32" s="26">
        <v>38</v>
      </c>
      <c r="BF32">
        <v>49</v>
      </c>
      <c r="BG32">
        <v>57</v>
      </c>
      <c r="BH32">
        <v>65</v>
      </c>
      <c r="BI32">
        <v>81</v>
      </c>
      <c r="BJ32">
        <v>105</v>
      </c>
      <c r="BK32" t="s">
        <v>1369</v>
      </c>
      <c r="BL32" s="1"/>
    </row>
    <row r="33" spans="1:64" x14ac:dyDescent="0.25">
      <c r="A33" s="26"/>
      <c r="B33" s="26" t="s">
        <v>75</v>
      </c>
      <c r="C33" s="26">
        <v>46.818199999999997</v>
      </c>
      <c r="D33" s="26">
        <v>8.2274999999999991</v>
      </c>
      <c r="E33" s="26">
        <v>0</v>
      </c>
      <c r="F33" s="26">
        <v>0</v>
      </c>
      <c r="G33" s="26">
        <v>0</v>
      </c>
      <c r="H33" s="26">
        <v>0</v>
      </c>
      <c r="I33" s="26">
        <v>0</v>
      </c>
      <c r="J33" s="26">
        <v>0</v>
      </c>
      <c r="K33" s="26">
        <v>0</v>
      </c>
      <c r="L33" s="26">
        <v>0</v>
      </c>
      <c r="M33" s="26">
        <v>0</v>
      </c>
      <c r="N33" s="26">
        <v>0</v>
      </c>
      <c r="O33" s="26">
        <v>0</v>
      </c>
      <c r="P33" s="26">
        <v>0</v>
      </c>
      <c r="Q33" s="26">
        <v>0</v>
      </c>
      <c r="R33" s="26">
        <v>0</v>
      </c>
      <c r="S33" s="26">
        <v>0</v>
      </c>
      <c r="T33" s="26">
        <v>0</v>
      </c>
      <c r="U33" s="26">
        <v>0</v>
      </c>
      <c r="V33" s="26">
        <v>0</v>
      </c>
      <c r="W33" s="26">
        <v>0</v>
      </c>
      <c r="X33" s="26">
        <v>0</v>
      </c>
      <c r="Y33" s="26">
        <v>0</v>
      </c>
      <c r="Z33" s="26">
        <v>0</v>
      </c>
      <c r="AA33" s="26">
        <v>0</v>
      </c>
      <c r="AB33" s="26">
        <v>0</v>
      </c>
      <c r="AC33" s="26">
        <v>0</v>
      </c>
      <c r="AD33" s="26">
        <v>0</v>
      </c>
      <c r="AE33" s="26">
        <v>0</v>
      </c>
      <c r="AF33" s="26">
        <v>0</v>
      </c>
      <c r="AG33" s="26">
        <v>0</v>
      </c>
      <c r="AH33" s="26">
        <v>0</v>
      </c>
      <c r="AI33" s="26">
        <v>0</v>
      </c>
      <c r="AJ33" s="26">
        <v>0</v>
      </c>
      <c r="AK33" s="26">
        <v>0</v>
      </c>
      <c r="AL33" s="26">
        <v>0</v>
      </c>
      <c r="AM33" s="26">
        <v>1</v>
      </c>
      <c r="AN33" s="26">
        <v>1</v>
      </c>
      <c r="AO33" s="26">
        <v>8</v>
      </c>
      <c r="AP33" s="26">
        <v>8</v>
      </c>
      <c r="AQ33" s="26">
        <v>18</v>
      </c>
      <c r="AR33" s="26">
        <v>27</v>
      </c>
      <c r="AS33" s="26">
        <v>42</v>
      </c>
      <c r="AT33" s="26">
        <v>56</v>
      </c>
      <c r="AU33" s="26">
        <v>90</v>
      </c>
      <c r="AV33" s="26">
        <v>114</v>
      </c>
      <c r="AW33" s="26">
        <v>214</v>
      </c>
      <c r="AX33" s="26">
        <v>268</v>
      </c>
      <c r="AY33" s="26">
        <v>337</v>
      </c>
      <c r="AZ33" s="26">
        <v>374</v>
      </c>
      <c r="BA33" s="26">
        <v>491</v>
      </c>
      <c r="BB33" s="26">
        <v>652</v>
      </c>
      <c r="BC33" s="26">
        <v>652</v>
      </c>
      <c r="BD33" s="26">
        <v>1139</v>
      </c>
      <c r="BE33" s="26">
        <v>1359</v>
      </c>
      <c r="BF33">
        <v>2200</v>
      </c>
      <c r="BG33">
        <v>2200</v>
      </c>
      <c r="BH33">
        <v>2700</v>
      </c>
      <c r="BI33">
        <v>3028</v>
      </c>
      <c r="BJ33">
        <v>4075</v>
      </c>
      <c r="BK33" t="s">
        <v>1370</v>
      </c>
      <c r="BL33" s="1"/>
    </row>
    <row r="34" spans="1:64" x14ac:dyDescent="0.25">
      <c r="A34" s="26"/>
      <c r="B34" s="26" t="s">
        <v>76</v>
      </c>
      <c r="C34" s="26">
        <v>47.516199999999998</v>
      </c>
      <c r="D34" s="26">
        <v>14.5501</v>
      </c>
      <c r="E34" s="26">
        <v>0</v>
      </c>
      <c r="F34" s="26">
        <v>0</v>
      </c>
      <c r="G34" s="26">
        <v>0</v>
      </c>
      <c r="H34" s="26">
        <v>0</v>
      </c>
      <c r="I34" s="26">
        <v>0</v>
      </c>
      <c r="J34" s="26">
        <v>0</v>
      </c>
      <c r="K34" s="26">
        <v>0</v>
      </c>
      <c r="L34" s="26">
        <v>0</v>
      </c>
      <c r="M34" s="26">
        <v>0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6">
        <v>0</v>
      </c>
      <c r="T34" s="26">
        <v>0</v>
      </c>
      <c r="U34" s="26">
        <v>0</v>
      </c>
      <c r="V34" s="26">
        <v>0</v>
      </c>
      <c r="W34" s="26">
        <v>0</v>
      </c>
      <c r="X34" s="26">
        <v>0</v>
      </c>
      <c r="Y34" s="26">
        <v>0</v>
      </c>
      <c r="Z34" s="26">
        <v>0</v>
      </c>
      <c r="AA34" s="26">
        <v>0</v>
      </c>
      <c r="AB34" s="26">
        <v>0</v>
      </c>
      <c r="AC34" s="26">
        <v>0</v>
      </c>
      <c r="AD34" s="26">
        <v>0</v>
      </c>
      <c r="AE34" s="26">
        <v>0</v>
      </c>
      <c r="AF34" s="26">
        <v>0</v>
      </c>
      <c r="AG34" s="26">
        <v>0</v>
      </c>
      <c r="AH34" s="26">
        <v>0</v>
      </c>
      <c r="AI34" s="26">
        <v>0</v>
      </c>
      <c r="AJ34" s="26">
        <v>0</v>
      </c>
      <c r="AK34" s="26">
        <v>0</v>
      </c>
      <c r="AL34" s="26">
        <v>0</v>
      </c>
      <c r="AM34" s="26">
        <v>2</v>
      </c>
      <c r="AN34" s="26">
        <v>2</v>
      </c>
      <c r="AO34" s="26">
        <v>3</v>
      </c>
      <c r="AP34" s="26">
        <v>3</v>
      </c>
      <c r="AQ34" s="26">
        <v>9</v>
      </c>
      <c r="AR34" s="26">
        <v>14</v>
      </c>
      <c r="AS34" s="26">
        <v>18</v>
      </c>
      <c r="AT34" s="26">
        <v>21</v>
      </c>
      <c r="AU34" s="26">
        <v>29</v>
      </c>
      <c r="AV34" s="26">
        <v>41</v>
      </c>
      <c r="AW34" s="26">
        <v>55</v>
      </c>
      <c r="AX34" s="26">
        <v>79</v>
      </c>
      <c r="AY34" s="26">
        <v>104</v>
      </c>
      <c r="AZ34" s="26">
        <v>131</v>
      </c>
      <c r="BA34" s="26">
        <v>182</v>
      </c>
      <c r="BB34" s="26">
        <v>246</v>
      </c>
      <c r="BC34" s="26">
        <v>302</v>
      </c>
      <c r="BD34" s="26">
        <v>504</v>
      </c>
      <c r="BE34" s="26">
        <v>655</v>
      </c>
      <c r="BF34">
        <v>860</v>
      </c>
      <c r="BG34">
        <v>1018</v>
      </c>
      <c r="BH34">
        <v>1332</v>
      </c>
      <c r="BI34">
        <v>1646</v>
      </c>
      <c r="BJ34">
        <v>2013</v>
      </c>
      <c r="BK34" t="s">
        <v>1371</v>
      </c>
      <c r="BL34" s="1"/>
    </row>
    <row r="35" spans="1:64" x14ac:dyDescent="0.25">
      <c r="A35" s="26"/>
      <c r="B35" s="26" t="s">
        <v>77</v>
      </c>
      <c r="C35" s="26">
        <v>31</v>
      </c>
      <c r="D35" s="26">
        <v>35</v>
      </c>
      <c r="E35" s="26">
        <v>0</v>
      </c>
      <c r="F35" s="26">
        <v>0</v>
      </c>
      <c r="G35" s="26">
        <v>0</v>
      </c>
      <c r="H35" s="26">
        <v>0</v>
      </c>
      <c r="I35" s="26">
        <v>0</v>
      </c>
      <c r="J35" s="26">
        <v>0</v>
      </c>
      <c r="K35" s="26">
        <v>0</v>
      </c>
      <c r="L35" s="26">
        <v>0</v>
      </c>
      <c r="M35" s="26">
        <v>0</v>
      </c>
      <c r="N35" s="26">
        <v>0</v>
      </c>
      <c r="O35" s="26">
        <v>0</v>
      </c>
      <c r="P35" s="26">
        <v>0</v>
      </c>
      <c r="Q35" s="26">
        <v>0</v>
      </c>
      <c r="R35" s="26">
        <v>0</v>
      </c>
      <c r="S35" s="26">
        <v>0</v>
      </c>
      <c r="T35" s="26">
        <v>0</v>
      </c>
      <c r="U35" s="26">
        <v>0</v>
      </c>
      <c r="V35" s="26">
        <v>0</v>
      </c>
      <c r="W35" s="26">
        <v>0</v>
      </c>
      <c r="X35" s="26">
        <v>0</v>
      </c>
      <c r="Y35" s="26">
        <v>0</v>
      </c>
      <c r="Z35" s="26">
        <v>0</v>
      </c>
      <c r="AA35" s="26">
        <v>0</v>
      </c>
      <c r="AB35" s="26">
        <v>0</v>
      </c>
      <c r="AC35" s="26">
        <v>0</v>
      </c>
      <c r="AD35" s="26">
        <v>0</v>
      </c>
      <c r="AE35" s="26">
        <v>0</v>
      </c>
      <c r="AF35" s="26">
        <v>0</v>
      </c>
      <c r="AG35" s="26">
        <v>0</v>
      </c>
      <c r="AH35" s="26">
        <v>0</v>
      </c>
      <c r="AI35" s="26">
        <v>1</v>
      </c>
      <c r="AJ35" s="26">
        <v>1</v>
      </c>
      <c r="AK35" s="26">
        <v>1</v>
      </c>
      <c r="AL35" s="26">
        <v>1</v>
      </c>
      <c r="AM35" s="26">
        <v>1</v>
      </c>
      <c r="AN35" s="26">
        <v>2</v>
      </c>
      <c r="AO35" s="26">
        <v>3</v>
      </c>
      <c r="AP35" s="26">
        <v>4</v>
      </c>
      <c r="AQ35" s="26">
        <v>7</v>
      </c>
      <c r="AR35" s="26">
        <v>10</v>
      </c>
      <c r="AS35" s="26">
        <v>10</v>
      </c>
      <c r="AT35" s="26">
        <v>12</v>
      </c>
      <c r="AU35" s="26">
        <v>15</v>
      </c>
      <c r="AV35" s="26">
        <v>20</v>
      </c>
      <c r="AW35" s="26">
        <v>37</v>
      </c>
      <c r="AX35" s="26">
        <v>43</v>
      </c>
      <c r="AY35" s="26">
        <v>61</v>
      </c>
      <c r="AZ35" s="26">
        <v>61</v>
      </c>
      <c r="BA35" s="26">
        <v>83</v>
      </c>
      <c r="BB35" s="26">
        <v>109</v>
      </c>
      <c r="BC35" s="26">
        <v>131</v>
      </c>
      <c r="BD35" s="26">
        <v>161</v>
      </c>
      <c r="BE35" s="26">
        <v>193</v>
      </c>
      <c r="BF35">
        <v>251</v>
      </c>
      <c r="BG35">
        <v>255</v>
      </c>
      <c r="BH35">
        <v>337</v>
      </c>
      <c r="BI35">
        <v>433</v>
      </c>
      <c r="BJ35">
        <v>677</v>
      </c>
      <c r="BK35" t="s">
        <v>1372</v>
      </c>
      <c r="BL35" s="1"/>
    </row>
    <row r="36" spans="1:64" x14ac:dyDescent="0.25">
      <c r="A36" s="26"/>
      <c r="B36" s="26" t="s">
        <v>78</v>
      </c>
      <c r="C36" s="26">
        <v>30.375299999999999</v>
      </c>
      <c r="D36" s="26">
        <v>69.345100000000002</v>
      </c>
      <c r="E36" s="26">
        <v>0</v>
      </c>
      <c r="F36" s="26">
        <v>0</v>
      </c>
      <c r="G36" s="26">
        <v>0</v>
      </c>
      <c r="H36" s="26">
        <v>0</v>
      </c>
      <c r="I36" s="26">
        <v>0</v>
      </c>
      <c r="J36" s="26">
        <v>0</v>
      </c>
      <c r="K36" s="26">
        <v>0</v>
      </c>
      <c r="L36" s="26">
        <v>0</v>
      </c>
      <c r="M36" s="26">
        <v>0</v>
      </c>
      <c r="N36" s="26">
        <v>0</v>
      </c>
      <c r="O36" s="26">
        <v>0</v>
      </c>
      <c r="P36" s="26">
        <v>0</v>
      </c>
      <c r="Q36" s="26">
        <v>0</v>
      </c>
      <c r="R36" s="26">
        <v>0</v>
      </c>
      <c r="S36" s="26">
        <v>0</v>
      </c>
      <c r="T36" s="26">
        <v>0</v>
      </c>
      <c r="U36" s="26">
        <v>0</v>
      </c>
      <c r="V36" s="26">
        <v>0</v>
      </c>
      <c r="W36" s="26">
        <v>0</v>
      </c>
      <c r="X36" s="26">
        <v>0</v>
      </c>
      <c r="Y36" s="26">
        <v>0</v>
      </c>
      <c r="Z36" s="26">
        <v>0</v>
      </c>
      <c r="AA36" s="26">
        <v>0</v>
      </c>
      <c r="AB36" s="26">
        <v>0</v>
      </c>
      <c r="AC36" s="26">
        <v>0</v>
      </c>
      <c r="AD36" s="26">
        <v>0</v>
      </c>
      <c r="AE36" s="26">
        <v>0</v>
      </c>
      <c r="AF36" s="26">
        <v>0</v>
      </c>
      <c r="AG36" s="26">
        <v>0</v>
      </c>
      <c r="AH36" s="26">
        <v>0</v>
      </c>
      <c r="AI36" s="26">
        <v>0</v>
      </c>
      <c r="AJ36" s="26">
        <v>0</v>
      </c>
      <c r="AK36" s="26">
        <v>0</v>
      </c>
      <c r="AL36" s="26">
        <v>0</v>
      </c>
      <c r="AM36" s="26">
        <v>0</v>
      </c>
      <c r="AN36" s="26">
        <v>2</v>
      </c>
      <c r="AO36" s="26">
        <v>2</v>
      </c>
      <c r="AP36" s="26">
        <v>2</v>
      </c>
      <c r="AQ36" s="26">
        <v>4</v>
      </c>
      <c r="AR36" s="26">
        <v>4</v>
      </c>
      <c r="AS36" s="26">
        <v>4</v>
      </c>
      <c r="AT36" s="26">
        <v>5</v>
      </c>
      <c r="AU36" s="26">
        <v>5</v>
      </c>
      <c r="AV36" s="26">
        <v>5</v>
      </c>
      <c r="AW36" s="26">
        <v>6</v>
      </c>
      <c r="AX36" s="26">
        <v>6</v>
      </c>
      <c r="AY36" s="26">
        <v>6</v>
      </c>
      <c r="AZ36" s="26">
        <v>6</v>
      </c>
      <c r="BA36" s="26">
        <v>16</v>
      </c>
      <c r="BB36" s="26">
        <v>19</v>
      </c>
      <c r="BC36" s="26">
        <v>20</v>
      </c>
      <c r="BD36" s="26">
        <v>28</v>
      </c>
      <c r="BE36" s="26">
        <v>31</v>
      </c>
      <c r="BF36">
        <v>53</v>
      </c>
      <c r="BG36">
        <v>136</v>
      </c>
      <c r="BH36">
        <v>236</v>
      </c>
      <c r="BI36">
        <v>299</v>
      </c>
      <c r="BJ36">
        <v>454</v>
      </c>
      <c r="BK36" t="s">
        <v>1373</v>
      </c>
      <c r="BL36" s="1"/>
    </row>
    <row r="37" spans="1:64" x14ac:dyDescent="0.25">
      <c r="A37" s="26"/>
      <c r="B37" s="26" t="s">
        <v>79</v>
      </c>
      <c r="C37" s="26">
        <v>-14.234999999999999</v>
      </c>
      <c r="D37" s="26">
        <v>-51.9253</v>
      </c>
      <c r="E37" s="26">
        <v>0</v>
      </c>
      <c r="F37" s="26">
        <v>0</v>
      </c>
      <c r="G37" s="26">
        <v>0</v>
      </c>
      <c r="H37" s="26">
        <v>0</v>
      </c>
      <c r="I37" s="26">
        <v>0</v>
      </c>
      <c r="J37" s="26">
        <v>0</v>
      </c>
      <c r="K37" s="26">
        <v>0</v>
      </c>
      <c r="L37" s="26">
        <v>0</v>
      </c>
      <c r="M37" s="26">
        <v>0</v>
      </c>
      <c r="N37" s="26">
        <v>0</v>
      </c>
      <c r="O37" s="26">
        <v>0</v>
      </c>
      <c r="P37" s="26">
        <v>0</v>
      </c>
      <c r="Q37" s="26">
        <v>0</v>
      </c>
      <c r="R37" s="26">
        <v>0</v>
      </c>
      <c r="S37" s="26">
        <v>0</v>
      </c>
      <c r="T37" s="26">
        <v>0</v>
      </c>
      <c r="U37" s="26">
        <v>0</v>
      </c>
      <c r="V37" s="26">
        <v>0</v>
      </c>
      <c r="W37" s="26">
        <v>0</v>
      </c>
      <c r="X37" s="26">
        <v>0</v>
      </c>
      <c r="Y37" s="26">
        <v>0</v>
      </c>
      <c r="Z37" s="26">
        <v>0</v>
      </c>
      <c r="AA37" s="26">
        <v>0</v>
      </c>
      <c r="AB37" s="26">
        <v>0</v>
      </c>
      <c r="AC37" s="26">
        <v>0</v>
      </c>
      <c r="AD37" s="26">
        <v>0</v>
      </c>
      <c r="AE37" s="26">
        <v>0</v>
      </c>
      <c r="AF37" s="26">
        <v>0</v>
      </c>
      <c r="AG37" s="26">
        <v>0</v>
      </c>
      <c r="AH37" s="26">
        <v>0</v>
      </c>
      <c r="AI37" s="26">
        <v>0</v>
      </c>
      <c r="AJ37" s="26">
        <v>0</v>
      </c>
      <c r="AK37" s="26">
        <v>0</v>
      </c>
      <c r="AL37" s="26">
        <v>0</v>
      </c>
      <c r="AM37" s="26">
        <v>0</v>
      </c>
      <c r="AN37" s="26">
        <v>1</v>
      </c>
      <c r="AO37" s="26">
        <v>1</v>
      </c>
      <c r="AP37" s="26">
        <v>1</v>
      </c>
      <c r="AQ37" s="26">
        <v>2</v>
      </c>
      <c r="AR37" s="26">
        <v>2</v>
      </c>
      <c r="AS37" s="26">
        <v>2</v>
      </c>
      <c r="AT37" s="26">
        <v>2</v>
      </c>
      <c r="AU37" s="26">
        <v>4</v>
      </c>
      <c r="AV37" s="26">
        <v>4</v>
      </c>
      <c r="AW37" s="26">
        <v>13</v>
      </c>
      <c r="AX37" s="26">
        <v>13</v>
      </c>
      <c r="AY37" s="26">
        <v>20</v>
      </c>
      <c r="AZ37" s="26">
        <v>25</v>
      </c>
      <c r="BA37" s="26">
        <v>31</v>
      </c>
      <c r="BB37" s="26">
        <v>38</v>
      </c>
      <c r="BC37" s="26">
        <v>52</v>
      </c>
      <c r="BD37" s="26">
        <v>151</v>
      </c>
      <c r="BE37" s="26">
        <v>151</v>
      </c>
      <c r="BF37">
        <v>162</v>
      </c>
      <c r="BG37">
        <v>200</v>
      </c>
      <c r="BH37">
        <v>321</v>
      </c>
      <c r="BI37">
        <v>372</v>
      </c>
      <c r="BJ37">
        <v>621</v>
      </c>
      <c r="BK37" t="s">
        <v>1374</v>
      </c>
      <c r="BL37" s="1"/>
    </row>
    <row r="38" spans="1:64" x14ac:dyDescent="0.25">
      <c r="A38" s="26"/>
      <c r="B38" s="26" t="s">
        <v>80</v>
      </c>
      <c r="C38" s="26">
        <v>42.315399999999997</v>
      </c>
      <c r="D38" s="26">
        <v>43.356900000000003</v>
      </c>
      <c r="E38" s="26">
        <v>0</v>
      </c>
      <c r="F38" s="26">
        <v>0</v>
      </c>
      <c r="G38" s="26">
        <v>0</v>
      </c>
      <c r="H38" s="26">
        <v>0</v>
      </c>
      <c r="I38" s="26">
        <v>0</v>
      </c>
      <c r="J38" s="26">
        <v>0</v>
      </c>
      <c r="K38" s="26">
        <v>0</v>
      </c>
      <c r="L38" s="26">
        <v>0</v>
      </c>
      <c r="M38" s="26">
        <v>0</v>
      </c>
      <c r="N38" s="26">
        <v>0</v>
      </c>
      <c r="O38" s="26">
        <v>0</v>
      </c>
      <c r="P38" s="26">
        <v>0</v>
      </c>
      <c r="Q38" s="26">
        <v>0</v>
      </c>
      <c r="R38" s="26">
        <v>0</v>
      </c>
      <c r="S38" s="26">
        <v>0</v>
      </c>
      <c r="T38" s="26">
        <v>0</v>
      </c>
      <c r="U38" s="26">
        <v>0</v>
      </c>
      <c r="V38" s="26">
        <v>0</v>
      </c>
      <c r="W38" s="26">
        <v>0</v>
      </c>
      <c r="X38" s="26">
        <v>0</v>
      </c>
      <c r="Y38" s="26">
        <v>0</v>
      </c>
      <c r="Z38" s="26">
        <v>0</v>
      </c>
      <c r="AA38" s="26">
        <v>0</v>
      </c>
      <c r="AB38" s="26">
        <v>0</v>
      </c>
      <c r="AC38" s="26">
        <v>0</v>
      </c>
      <c r="AD38" s="26">
        <v>0</v>
      </c>
      <c r="AE38" s="26">
        <v>0</v>
      </c>
      <c r="AF38" s="26">
        <v>0</v>
      </c>
      <c r="AG38" s="26">
        <v>0</v>
      </c>
      <c r="AH38" s="26">
        <v>0</v>
      </c>
      <c r="AI38" s="26">
        <v>0</v>
      </c>
      <c r="AJ38" s="26">
        <v>0</v>
      </c>
      <c r="AK38" s="26">
        <v>0</v>
      </c>
      <c r="AL38" s="26">
        <v>0</v>
      </c>
      <c r="AM38" s="26">
        <v>0</v>
      </c>
      <c r="AN38" s="26">
        <v>1</v>
      </c>
      <c r="AO38" s="26">
        <v>1</v>
      </c>
      <c r="AP38" s="26">
        <v>1</v>
      </c>
      <c r="AQ38" s="26">
        <v>1</v>
      </c>
      <c r="AR38" s="26">
        <v>3</v>
      </c>
      <c r="AS38" s="26">
        <v>3</v>
      </c>
      <c r="AT38" s="26">
        <v>3</v>
      </c>
      <c r="AU38" s="26">
        <v>3</v>
      </c>
      <c r="AV38" s="26">
        <v>4</v>
      </c>
      <c r="AW38" s="26">
        <v>4</v>
      </c>
      <c r="AX38" s="26">
        <v>4</v>
      </c>
      <c r="AY38" s="26">
        <v>13</v>
      </c>
      <c r="AZ38" s="26">
        <v>15</v>
      </c>
      <c r="BA38" s="26">
        <v>15</v>
      </c>
      <c r="BB38" s="26">
        <v>24</v>
      </c>
      <c r="BC38" s="26">
        <v>24</v>
      </c>
      <c r="BD38" s="26">
        <v>25</v>
      </c>
      <c r="BE38" s="26">
        <v>30</v>
      </c>
      <c r="BF38">
        <v>33</v>
      </c>
      <c r="BG38">
        <v>33</v>
      </c>
      <c r="BH38">
        <v>34</v>
      </c>
      <c r="BI38">
        <v>38</v>
      </c>
      <c r="BJ38">
        <v>40</v>
      </c>
      <c r="BK38" t="s">
        <v>1375</v>
      </c>
      <c r="BL38" s="1"/>
    </row>
    <row r="39" spans="1:64" x14ac:dyDescent="0.25">
      <c r="A39" s="26"/>
      <c r="B39" s="26" t="s">
        <v>81</v>
      </c>
      <c r="C39" s="26">
        <v>39.074199999999998</v>
      </c>
      <c r="D39" s="26">
        <v>21.824300000000001</v>
      </c>
      <c r="E39" s="26">
        <v>0</v>
      </c>
      <c r="F39" s="26">
        <v>0</v>
      </c>
      <c r="G39" s="26">
        <v>0</v>
      </c>
      <c r="H39" s="26">
        <v>0</v>
      </c>
      <c r="I39" s="26">
        <v>0</v>
      </c>
      <c r="J39" s="26">
        <v>0</v>
      </c>
      <c r="K39" s="26">
        <v>0</v>
      </c>
      <c r="L39" s="26">
        <v>0</v>
      </c>
      <c r="M39" s="26">
        <v>0</v>
      </c>
      <c r="N39" s="26">
        <v>0</v>
      </c>
      <c r="O39" s="26">
        <v>0</v>
      </c>
      <c r="P39" s="26">
        <v>0</v>
      </c>
      <c r="Q39" s="26">
        <v>0</v>
      </c>
      <c r="R39" s="26">
        <v>0</v>
      </c>
      <c r="S39" s="26">
        <v>0</v>
      </c>
      <c r="T39" s="26">
        <v>0</v>
      </c>
      <c r="U39" s="26">
        <v>0</v>
      </c>
      <c r="V39" s="26">
        <v>0</v>
      </c>
      <c r="W39" s="26">
        <v>0</v>
      </c>
      <c r="X39" s="26">
        <v>0</v>
      </c>
      <c r="Y39" s="26">
        <v>0</v>
      </c>
      <c r="Z39" s="26">
        <v>0</v>
      </c>
      <c r="AA39" s="26">
        <v>0</v>
      </c>
      <c r="AB39" s="26">
        <v>0</v>
      </c>
      <c r="AC39" s="26">
        <v>0</v>
      </c>
      <c r="AD39" s="26">
        <v>0</v>
      </c>
      <c r="AE39" s="26">
        <v>0</v>
      </c>
      <c r="AF39" s="26">
        <v>0</v>
      </c>
      <c r="AG39" s="26">
        <v>0</v>
      </c>
      <c r="AH39" s="26">
        <v>0</v>
      </c>
      <c r="AI39" s="26">
        <v>0</v>
      </c>
      <c r="AJ39" s="26">
        <v>0</v>
      </c>
      <c r="AK39" s="26">
        <v>0</v>
      </c>
      <c r="AL39" s="26">
        <v>0</v>
      </c>
      <c r="AM39" s="26">
        <v>0</v>
      </c>
      <c r="AN39" s="26">
        <v>1</v>
      </c>
      <c r="AO39" s="26">
        <v>3</v>
      </c>
      <c r="AP39" s="26">
        <v>4</v>
      </c>
      <c r="AQ39" s="26">
        <v>4</v>
      </c>
      <c r="AR39" s="26">
        <v>7</v>
      </c>
      <c r="AS39" s="26">
        <v>7</v>
      </c>
      <c r="AT39" s="26">
        <v>7</v>
      </c>
      <c r="AU39" s="26">
        <v>9</v>
      </c>
      <c r="AV39" s="26">
        <v>31</v>
      </c>
      <c r="AW39" s="26">
        <v>45</v>
      </c>
      <c r="AX39" s="26">
        <v>46</v>
      </c>
      <c r="AY39" s="26">
        <v>73</v>
      </c>
      <c r="AZ39" s="26">
        <v>73</v>
      </c>
      <c r="BA39" s="26">
        <v>89</v>
      </c>
      <c r="BB39" s="26">
        <v>99</v>
      </c>
      <c r="BC39" s="26">
        <v>99</v>
      </c>
      <c r="BD39" s="26">
        <v>190</v>
      </c>
      <c r="BE39" s="26">
        <v>228</v>
      </c>
      <c r="BF39">
        <v>331</v>
      </c>
      <c r="BG39">
        <v>331</v>
      </c>
      <c r="BH39">
        <v>387</v>
      </c>
      <c r="BI39">
        <v>418</v>
      </c>
      <c r="BJ39">
        <v>418</v>
      </c>
      <c r="BK39" t="s">
        <v>1376</v>
      </c>
      <c r="BL39" s="1"/>
    </row>
    <row r="40" spans="1:64" x14ac:dyDescent="0.25">
      <c r="A40" s="26"/>
      <c r="B40" s="26" t="s">
        <v>82</v>
      </c>
      <c r="C40" s="26">
        <v>41.608600000000003</v>
      </c>
      <c r="D40" s="26">
        <v>21.7453</v>
      </c>
      <c r="E40" s="26">
        <v>0</v>
      </c>
      <c r="F40" s="26">
        <v>0</v>
      </c>
      <c r="G40" s="26">
        <v>0</v>
      </c>
      <c r="H40" s="26">
        <v>0</v>
      </c>
      <c r="I40" s="26">
        <v>0</v>
      </c>
      <c r="J40" s="26">
        <v>0</v>
      </c>
      <c r="K40" s="26"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6">
        <v>0</v>
      </c>
      <c r="T40" s="26">
        <v>0</v>
      </c>
      <c r="U40" s="26">
        <v>0</v>
      </c>
      <c r="V40" s="26">
        <v>0</v>
      </c>
      <c r="W40" s="26">
        <v>0</v>
      </c>
      <c r="X40" s="26">
        <v>0</v>
      </c>
      <c r="Y40" s="26">
        <v>0</v>
      </c>
      <c r="Z40" s="26">
        <v>0</v>
      </c>
      <c r="AA40" s="26">
        <v>0</v>
      </c>
      <c r="AB40" s="26">
        <v>0</v>
      </c>
      <c r="AC40" s="26">
        <v>0</v>
      </c>
      <c r="AD40" s="26">
        <v>0</v>
      </c>
      <c r="AE40" s="26">
        <v>0</v>
      </c>
      <c r="AF40" s="26">
        <v>0</v>
      </c>
      <c r="AG40" s="26">
        <v>0</v>
      </c>
      <c r="AH40" s="26">
        <v>0</v>
      </c>
      <c r="AI40" s="26">
        <v>0</v>
      </c>
      <c r="AJ40" s="26">
        <v>0</v>
      </c>
      <c r="AK40" s="26">
        <v>0</v>
      </c>
      <c r="AL40" s="26">
        <v>0</v>
      </c>
      <c r="AM40" s="26">
        <v>0</v>
      </c>
      <c r="AN40" s="26">
        <v>1</v>
      </c>
      <c r="AO40" s="26">
        <v>1</v>
      </c>
      <c r="AP40" s="26">
        <v>1</v>
      </c>
      <c r="AQ40" s="26">
        <v>1</v>
      </c>
      <c r="AR40" s="26">
        <v>1</v>
      </c>
      <c r="AS40" s="26">
        <v>1</v>
      </c>
      <c r="AT40" s="26">
        <v>1</v>
      </c>
      <c r="AU40" s="26">
        <v>1</v>
      </c>
      <c r="AV40" s="26">
        <v>1</v>
      </c>
      <c r="AW40" s="26">
        <v>3</v>
      </c>
      <c r="AX40" s="26">
        <v>3</v>
      </c>
      <c r="AY40" s="26">
        <v>3</v>
      </c>
      <c r="AZ40" s="26">
        <v>3</v>
      </c>
      <c r="BA40" s="26">
        <v>7</v>
      </c>
      <c r="BB40" s="26">
        <v>7</v>
      </c>
      <c r="BC40" s="26">
        <v>7</v>
      </c>
      <c r="BD40" s="26">
        <v>14</v>
      </c>
      <c r="BE40" s="26">
        <v>14</v>
      </c>
      <c r="BF40">
        <v>14</v>
      </c>
      <c r="BG40">
        <v>18</v>
      </c>
      <c r="BH40">
        <v>26</v>
      </c>
      <c r="BI40">
        <v>35</v>
      </c>
      <c r="BJ40">
        <v>48</v>
      </c>
      <c r="BK40" t="s">
        <v>1377</v>
      </c>
      <c r="BL40" s="1"/>
    </row>
    <row r="41" spans="1:64" x14ac:dyDescent="0.25">
      <c r="A41" s="26"/>
      <c r="B41" s="26" t="s">
        <v>83</v>
      </c>
      <c r="C41" s="26">
        <v>60.472000000000001</v>
      </c>
      <c r="D41" s="26">
        <v>8.4688999999999997</v>
      </c>
      <c r="E41" s="26">
        <v>0</v>
      </c>
      <c r="F41" s="26">
        <v>0</v>
      </c>
      <c r="G41" s="26">
        <v>0</v>
      </c>
      <c r="H41" s="26">
        <v>0</v>
      </c>
      <c r="I41" s="26">
        <v>0</v>
      </c>
      <c r="J41" s="26">
        <v>0</v>
      </c>
      <c r="K41" s="26">
        <v>0</v>
      </c>
      <c r="L41" s="26">
        <v>0</v>
      </c>
      <c r="M41" s="26">
        <v>0</v>
      </c>
      <c r="N41" s="26">
        <v>0</v>
      </c>
      <c r="O41" s="26">
        <v>0</v>
      </c>
      <c r="P41" s="26">
        <v>0</v>
      </c>
      <c r="Q41" s="26">
        <v>0</v>
      </c>
      <c r="R41" s="26">
        <v>0</v>
      </c>
      <c r="S41" s="26">
        <v>0</v>
      </c>
      <c r="T41" s="26">
        <v>0</v>
      </c>
      <c r="U41" s="26">
        <v>0</v>
      </c>
      <c r="V41" s="26">
        <v>0</v>
      </c>
      <c r="W41" s="26">
        <v>0</v>
      </c>
      <c r="X41" s="26">
        <v>0</v>
      </c>
      <c r="Y41" s="26">
        <v>0</v>
      </c>
      <c r="Z41" s="26">
        <v>0</v>
      </c>
      <c r="AA41" s="26">
        <v>0</v>
      </c>
      <c r="AB41" s="26">
        <v>0</v>
      </c>
      <c r="AC41" s="26">
        <v>0</v>
      </c>
      <c r="AD41" s="26">
        <v>0</v>
      </c>
      <c r="AE41" s="26">
        <v>0</v>
      </c>
      <c r="AF41" s="26">
        <v>0</v>
      </c>
      <c r="AG41" s="26">
        <v>0</v>
      </c>
      <c r="AH41" s="26">
        <v>0</v>
      </c>
      <c r="AI41" s="26">
        <v>0</v>
      </c>
      <c r="AJ41" s="26">
        <v>0</v>
      </c>
      <c r="AK41" s="26">
        <v>0</v>
      </c>
      <c r="AL41" s="26">
        <v>0</v>
      </c>
      <c r="AM41" s="26">
        <v>0</v>
      </c>
      <c r="AN41" s="26">
        <v>1</v>
      </c>
      <c r="AO41" s="26">
        <v>1</v>
      </c>
      <c r="AP41" s="26">
        <v>6</v>
      </c>
      <c r="AQ41" s="26">
        <v>15</v>
      </c>
      <c r="AR41" s="26">
        <v>19</v>
      </c>
      <c r="AS41" s="26">
        <v>25</v>
      </c>
      <c r="AT41" s="26">
        <v>32</v>
      </c>
      <c r="AU41" s="26">
        <v>56</v>
      </c>
      <c r="AV41" s="26">
        <v>87</v>
      </c>
      <c r="AW41" s="26">
        <v>108</v>
      </c>
      <c r="AX41" s="26">
        <v>147</v>
      </c>
      <c r="AY41" s="26">
        <v>176</v>
      </c>
      <c r="AZ41" s="26">
        <v>205</v>
      </c>
      <c r="BA41" s="26">
        <v>400</v>
      </c>
      <c r="BB41" s="26">
        <v>598</v>
      </c>
      <c r="BC41" s="26">
        <v>702</v>
      </c>
      <c r="BD41" s="26">
        <v>996</v>
      </c>
      <c r="BE41" s="26">
        <v>1090</v>
      </c>
      <c r="BF41">
        <v>1221</v>
      </c>
      <c r="BG41">
        <v>1333</v>
      </c>
      <c r="BH41">
        <v>1463</v>
      </c>
      <c r="BI41">
        <v>1550</v>
      </c>
      <c r="BJ41">
        <v>1746</v>
      </c>
      <c r="BK41" t="s">
        <v>1378</v>
      </c>
      <c r="BL41" s="1"/>
    </row>
    <row r="42" spans="1:64" x14ac:dyDescent="0.25">
      <c r="A42" s="26"/>
      <c r="B42" s="26" t="s">
        <v>84</v>
      </c>
      <c r="C42" s="26">
        <v>45.943199999999997</v>
      </c>
      <c r="D42" s="26">
        <v>24.966799999999999</v>
      </c>
      <c r="E42" s="26">
        <v>0</v>
      </c>
      <c r="F42" s="26">
        <v>0</v>
      </c>
      <c r="G42" s="26">
        <v>0</v>
      </c>
      <c r="H42" s="26">
        <v>0</v>
      </c>
      <c r="I42" s="26">
        <v>0</v>
      </c>
      <c r="J42" s="26">
        <v>0</v>
      </c>
      <c r="K42" s="26">
        <v>0</v>
      </c>
      <c r="L42" s="26">
        <v>0</v>
      </c>
      <c r="M42" s="26">
        <v>0</v>
      </c>
      <c r="N42" s="26">
        <v>0</v>
      </c>
      <c r="O42" s="26">
        <v>0</v>
      </c>
      <c r="P42" s="26">
        <v>0</v>
      </c>
      <c r="Q42" s="26">
        <v>0</v>
      </c>
      <c r="R42" s="26">
        <v>0</v>
      </c>
      <c r="S42" s="26">
        <v>0</v>
      </c>
      <c r="T42" s="26">
        <v>0</v>
      </c>
      <c r="U42" s="26">
        <v>0</v>
      </c>
      <c r="V42" s="26">
        <v>0</v>
      </c>
      <c r="W42" s="26">
        <v>0</v>
      </c>
      <c r="X42" s="26">
        <v>0</v>
      </c>
      <c r="Y42" s="26">
        <v>0</v>
      </c>
      <c r="Z42" s="26">
        <v>0</v>
      </c>
      <c r="AA42" s="26">
        <v>0</v>
      </c>
      <c r="AB42" s="26">
        <v>0</v>
      </c>
      <c r="AC42" s="26">
        <v>0</v>
      </c>
      <c r="AD42" s="26">
        <v>0</v>
      </c>
      <c r="AE42" s="26">
        <v>0</v>
      </c>
      <c r="AF42" s="26">
        <v>0</v>
      </c>
      <c r="AG42" s="26">
        <v>0</v>
      </c>
      <c r="AH42" s="26">
        <v>0</v>
      </c>
      <c r="AI42" s="26">
        <v>0</v>
      </c>
      <c r="AJ42" s="26">
        <v>0</v>
      </c>
      <c r="AK42" s="26">
        <v>0</v>
      </c>
      <c r="AL42" s="26">
        <v>0</v>
      </c>
      <c r="AM42" s="26">
        <v>0</v>
      </c>
      <c r="AN42" s="26">
        <v>1</v>
      </c>
      <c r="AO42" s="26">
        <v>1</v>
      </c>
      <c r="AP42" s="26">
        <v>3</v>
      </c>
      <c r="AQ42" s="26">
        <v>3</v>
      </c>
      <c r="AR42" s="26">
        <v>3</v>
      </c>
      <c r="AS42" s="26">
        <v>3</v>
      </c>
      <c r="AT42" s="26">
        <v>3</v>
      </c>
      <c r="AU42" s="26">
        <v>4</v>
      </c>
      <c r="AV42" s="26">
        <v>6</v>
      </c>
      <c r="AW42" s="26">
        <v>9</v>
      </c>
      <c r="AX42" s="26">
        <v>9</v>
      </c>
      <c r="AY42" s="26">
        <v>15</v>
      </c>
      <c r="AZ42" s="26">
        <v>15</v>
      </c>
      <c r="BA42" s="26">
        <v>25</v>
      </c>
      <c r="BB42" s="26">
        <v>45</v>
      </c>
      <c r="BC42" s="26">
        <v>49</v>
      </c>
      <c r="BD42" s="26">
        <v>89</v>
      </c>
      <c r="BE42" s="26">
        <v>123</v>
      </c>
      <c r="BF42">
        <v>131</v>
      </c>
      <c r="BG42">
        <v>158</v>
      </c>
      <c r="BH42">
        <v>184</v>
      </c>
      <c r="BI42">
        <v>260</v>
      </c>
      <c r="BJ42">
        <v>277</v>
      </c>
      <c r="BK42" t="s">
        <v>1379</v>
      </c>
      <c r="BL42" s="1"/>
    </row>
    <row r="43" spans="1:64" x14ac:dyDescent="0.25">
      <c r="A43" s="26"/>
      <c r="B43" s="26" t="s">
        <v>86</v>
      </c>
      <c r="C43" s="26">
        <v>58.595300000000002</v>
      </c>
      <c r="D43" s="26">
        <v>25.0136</v>
      </c>
      <c r="E43" s="26">
        <v>0</v>
      </c>
      <c r="F43" s="26">
        <v>0</v>
      </c>
      <c r="G43" s="26">
        <v>0</v>
      </c>
      <c r="H43" s="26">
        <v>0</v>
      </c>
      <c r="I43" s="26">
        <v>0</v>
      </c>
      <c r="J43" s="26">
        <v>0</v>
      </c>
      <c r="K43" s="26">
        <v>0</v>
      </c>
      <c r="L43" s="26">
        <v>0</v>
      </c>
      <c r="M43" s="26">
        <v>0</v>
      </c>
      <c r="N43" s="26">
        <v>0</v>
      </c>
      <c r="O43" s="26">
        <v>0</v>
      </c>
      <c r="P43" s="26">
        <v>0</v>
      </c>
      <c r="Q43" s="26">
        <v>0</v>
      </c>
      <c r="R43" s="26">
        <v>0</v>
      </c>
      <c r="S43" s="26">
        <v>0</v>
      </c>
      <c r="T43" s="26">
        <v>0</v>
      </c>
      <c r="U43" s="26">
        <v>0</v>
      </c>
      <c r="V43" s="26">
        <v>0</v>
      </c>
      <c r="W43" s="26">
        <v>0</v>
      </c>
      <c r="X43" s="26">
        <v>0</v>
      </c>
      <c r="Y43" s="26">
        <v>0</v>
      </c>
      <c r="Z43" s="26">
        <v>0</v>
      </c>
      <c r="AA43" s="26">
        <v>0</v>
      </c>
      <c r="AB43" s="26">
        <v>0</v>
      </c>
      <c r="AC43" s="26">
        <v>0</v>
      </c>
      <c r="AD43" s="26">
        <v>0</v>
      </c>
      <c r="AE43" s="26">
        <v>0</v>
      </c>
      <c r="AF43" s="26">
        <v>0</v>
      </c>
      <c r="AG43" s="26">
        <v>0</v>
      </c>
      <c r="AH43" s="26">
        <v>0</v>
      </c>
      <c r="AI43" s="26">
        <v>0</v>
      </c>
      <c r="AJ43" s="26">
        <v>0</v>
      </c>
      <c r="AK43" s="26">
        <v>0</v>
      </c>
      <c r="AL43" s="26">
        <v>0</v>
      </c>
      <c r="AM43" s="26">
        <v>0</v>
      </c>
      <c r="AN43" s="26">
        <v>0</v>
      </c>
      <c r="AO43" s="26">
        <v>1</v>
      </c>
      <c r="AP43" s="26">
        <v>1</v>
      </c>
      <c r="AQ43" s="26">
        <v>1</v>
      </c>
      <c r="AR43" s="26">
        <v>1</v>
      </c>
      <c r="AS43" s="26">
        <v>1</v>
      </c>
      <c r="AT43" s="26">
        <v>2</v>
      </c>
      <c r="AU43" s="26">
        <v>2</v>
      </c>
      <c r="AV43" s="26">
        <v>3</v>
      </c>
      <c r="AW43" s="26">
        <v>10</v>
      </c>
      <c r="AX43" s="26">
        <v>10</v>
      </c>
      <c r="AY43" s="26">
        <v>10</v>
      </c>
      <c r="AZ43" s="26">
        <v>10</v>
      </c>
      <c r="BA43" s="26">
        <v>12</v>
      </c>
      <c r="BB43" s="26">
        <v>16</v>
      </c>
      <c r="BC43" s="26">
        <v>16</v>
      </c>
      <c r="BD43" s="26">
        <v>79</v>
      </c>
      <c r="BE43" s="26">
        <v>115</v>
      </c>
      <c r="BF43">
        <v>171</v>
      </c>
      <c r="BG43">
        <v>205</v>
      </c>
      <c r="BH43">
        <v>225</v>
      </c>
      <c r="BI43">
        <v>258</v>
      </c>
      <c r="BJ43">
        <v>267</v>
      </c>
      <c r="BK43" t="s">
        <v>1380</v>
      </c>
      <c r="BL43" s="1"/>
    </row>
    <row r="44" spans="1:64" x14ac:dyDescent="0.25">
      <c r="A44" s="26"/>
      <c r="B44" s="26" t="s">
        <v>88</v>
      </c>
      <c r="C44" s="26">
        <v>43.942399999999999</v>
      </c>
      <c r="D44" s="26">
        <v>12.457800000000001</v>
      </c>
      <c r="E44" s="26">
        <v>0</v>
      </c>
      <c r="F44" s="26">
        <v>0</v>
      </c>
      <c r="G44" s="26">
        <v>0</v>
      </c>
      <c r="H44" s="26">
        <v>0</v>
      </c>
      <c r="I44" s="26">
        <v>0</v>
      </c>
      <c r="J44" s="26">
        <v>0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6">
        <v>0</v>
      </c>
      <c r="T44" s="26">
        <v>0</v>
      </c>
      <c r="U44" s="26">
        <v>0</v>
      </c>
      <c r="V44" s="26">
        <v>0</v>
      </c>
      <c r="W44" s="26">
        <v>0</v>
      </c>
      <c r="X44" s="26">
        <v>0</v>
      </c>
      <c r="Y44" s="26">
        <v>0</v>
      </c>
      <c r="Z44" s="26">
        <v>0</v>
      </c>
      <c r="AA44" s="26">
        <v>0</v>
      </c>
      <c r="AB44" s="26">
        <v>0</v>
      </c>
      <c r="AC44" s="26">
        <v>0</v>
      </c>
      <c r="AD44" s="26">
        <v>0</v>
      </c>
      <c r="AE44" s="26">
        <v>0</v>
      </c>
      <c r="AF44" s="26">
        <v>0</v>
      </c>
      <c r="AG44" s="26">
        <v>0</v>
      </c>
      <c r="AH44" s="26">
        <v>0</v>
      </c>
      <c r="AI44" s="26">
        <v>0</v>
      </c>
      <c r="AJ44" s="26">
        <v>0</v>
      </c>
      <c r="AK44" s="26">
        <v>0</v>
      </c>
      <c r="AL44" s="26">
        <v>0</v>
      </c>
      <c r="AM44" s="26">
        <v>0</v>
      </c>
      <c r="AN44" s="26">
        <v>0</v>
      </c>
      <c r="AO44" s="26">
        <v>1</v>
      </c>
      <c r="AP44" s="26">
        <v>1</v>
      </c>
      <c r="AQ44" s="26">
        <v>1</v>
      </c>
      <c r="AR44" s="26">
        <v>1</v>
      </c>
      <c r="AS44" s="26">
        <v>8</v>
      </c>
      <c r="AT44" s="26">
        <v>10</v>
      </c>
      <c r="AU44" s="26">
        <v>16</v>
      </c>
      <c r="AV44" s="26">
        <v>21</v>
      </c>
      <c r="AW44" s="26">
        <v>21</v>
      </c>
      <c r="AX44" s="26">
        <v>23</v>
      </c>
      <c r="AY44" s="26">
        <v>36</v>
      </c>
      <c r="AZ44" s="26">
        <v>36</v>
      </c>
      <c r="BA44" s="26">
        <v>51</v>
      </c>
      <c r="BB44" s="26">
        <v>62</v>
      </c>
      <c r="BC44" s="26">
        <v>69</v>
      </c>
      <c r="BD44" s="26">
        <v>80</v>
      </c>
      <c r="BE44" s="26">
        <v>80</v>
      </c>
      <c r="BF44">
        <v>101</v>
      </c>
      <c r="BG44">
        <v>109</v>
      </c>
      <c r="BH44">
        <v>109</v>
      </c>
      <c r="BI44">
        <v>119</v>
      </c>
      <c r="BJ44">
        <v>119</v>
      </c>
      <c r="BK44" t="s">
        <v>1381</v>
      </c>
      <c r="BL44" s="1"/>
    </row>
    <row r="45" spans="1:64" x14ac:dyDescent="0.25">
      <c r="A45" s="26"/>
      <c r="B45" s="26" t="s">
        <v>89</v>
      </c>
      <c r="C45" s="26">
        <v>53.709800000000001</v>
      </c>
      <c r="D45" s="26">
        <v>27.953399999999998</v>
      </c>
      <c r="E45" s="26">
        <v>0</v>
      </c>
      <c r="F45" s="26">
        <v>0</v>
      </c>
      <c r="G45" s="26">
        <v>0</v>
      </c>
      <c r="H45" s="26">
        <v>0</v>
      </c>
      <c r="I45" s="26">
        <v>0</v>
      </c>
      <c r="J45" s="26">
        <v>0</v>
      </c>
      <c r="K45" s="26">
        <v>0</v>
      </c>
      <c r="L45" s="26">
        <v>0</v>
      </c>
      <c r="M45" s="26">
        <v>0</v>
      </c>
      <c r="N45" s="26">
        <v>0</v>
      </c>
      <c r="O45" s="26">
        <v>0</v>
      </c>
      <c r="P45" s="26">
        <v>0</v>
      </c>
      <c r="Q45" s="26">
        <v>0</v>
      </c>
      <c r="R45" s="26">
        <v>0</v>
      </c>
      <c r="S45" s="26">
        <v>0</v>
      </c>
      <c r="T45" s="26">
        <v>0</v>
      </c>
      <c r="U45" s="26">
        <v>0</v>
      </c>
      <c r="V45" s="26">
        <v>0</v>
      </c>
      <c r="W45" s="26">
        <v>0</v>
      </c>
      <c r="X45" s="26">
        <v>0</v>
      </c>
      <c r="Y45" s="26">
        <v>0</v>
      </c>
      <c r="Z45" s="26">
        <v>0</v>
      </c>
      <c r="AA45" s="26">
        <v>0</v>
      </c>
      <c r="AB45" s="26">
        <v>0</v>
      </c>
      <c r="AC45" s="26">
        <v>0</v>
      </c>
      <c r="AD45" s="26">
        <v>0</v>
      </c>
      <c r="AE45" s="26">
        <v>0</v>
      </c>
      <c r="AF45" s="26">
        <v>0</v>
      </c>
      <c r="AG45" s="26">
        <v>0</v>
      </c>
      <c r="AH45" s="26">
        <v>0</v>
      </c>
      <c r="AI45" s="26">
        <v>0</v>
      </c>
      <c r="AJ45" s="26">
        <v>0</v>
      </c>
      <c r="AK45" s="26">
        <v>0</v>
      </c>
      <c r="AL45" s="26">
        <v>0</v>
      </c>
      <c r="AM45" s="26">
        <v>0</v>
      </c>
      <c r="AN45" s="26">
        <v>0</v>
      </c>
      <c r="AO45" s="26">
        <v>0</v>
      </c>
      <c r="AP45" s="26">
        <v>1</v>
      </c>
      <c r="AQ45" s="26">
        <v>1</v>
      </c>
      <c r="AR45" s="26">
        <v>1</v>
      </c>
      <c r="AS45" s="26">
        <v>1</v>
      </c>
      <c r="AT45" s="26">
        <v>1</v>
      </c>
      <c r="AU45" s="26">
        <v>6</v>
      </c>
      <c r="AV45" s="26">
        <v>6</v>
      </c>
      <c r="AW45" s="26">
        <v>6</v>
      </c>
      <c r="AX45" s="26">
        <v>6</v>
      </c>
      <c r="AY45" s="26">
        <v>6</v>
      </c>
      <c r="AZ45" s="26">
        <v>6</v>
      </c>
      <c r="BA45" s="26">
        <v>9</v>
      </c>
      <c r="BB45" s="26">
        <v>9</v>
      </c>
      <c r="BC45" s="26">
        <v>12</v>
      </c>
      <c r="BD45" s="26">
        <v>27</v>
      </c>
      <c r="BE45" s="26">
        <v>27</v>
      </c>
      <c r="BF45">
        <v>27</v>
      </c>
      <c r="BG45">
        <v>36</v>
      </c>
      <c r="BH45">
        <v>36</v>
      </c>
      <c r="BI45">
        <v>51</v>
      </c>
      <c r="BJ45">
        <v>51</v>
      </c>
      <c r="BK45" t="s">
        <v>1382</v>
      </c>
      <c r="BL45" s="1"/>
    </row>
    <row r="46" spans="1:64" x14ac:dyDescent="0.25">
      <c r="A46" s="26"/>
      <c r="B46" s="26" t="s">
        <v>90</v>
      </c>
      <c r="C46" s="26">
        <v>64.963099999999997</v>
      </c>
      <c r="D46" s="26">
        <v>-19.020800000000001</v>
      </c>
      <c r="E46" s="26">
        <v>0</v>
      </c>
      <c r="F46" s="26">
        <v>0</v>
      </c>
      <c r="G46" s="26">
        <v>0</v>
      </c>
      <c r="H46" s="26">
        <v>0</v>
      </c>
      <c r="I46" s="26">
        <v>0</v>
      </c>
      <c r="J46" s="26">
        <v>0</v>
      </c>
      <c r="K46" s="26">
        <v>0</v>
      </c>
      <c r="L46" s="26">
        <v>0</v>
      </c>
      <c r="M46" s="26">
        <v>0</v>
      </c>
      <c r="N46" s="26">
        <v>0</v>
      </c>
      <c r="O46" s="26">
        <v>0</v>
      </c>
      <c r="P46" s="26">
        <v>0</v>
      </c>
      <c r="Q46" s="26">
        <v>0</v>
      </c>
      <c r="R46" s="26">
        <v>0</v>
      </c>
      <c r="S46" s="26">
        <v>0</v>
      </c>
      <c r="T46" s="26">
        <v>0</v>
      </c>
      <c r="U46" s="26">
        <v>0</v>
      </c>
      <c r="V46" s="26">
        <v>0</v>
      </c>
      <c r="W46" s="26">
        <v>0</v>
      </c>
      <c r="X46" s="26">
        <v>0</v>
      </c>
      <c r="Y46" s="26">
        <v>0</v>
      </c>
      <c r="Z46" s="26">
        <v>0</v>
      </c>
      <c r="AA46" s="26">
        <v>0</v>
      </c>
      <c r="AB46" s="26">
        <v>0</v>
      </c>
      <c r="AC46" s="26">
        <v>0</v>
      </c>
      <c r="AD46" s="26">
        <v>0</v>
      </c>
      <c r="AE46" s="26">
        <v>0</v>
      </c>
      <c r="AF46" s="26">
        <v>0</v>
      </c>
      <c r="AG46" s="26">
        <v>0</v>
      </c>
      <c r="AH46" s="26">
        <v>0</v>
      </c>
      <c r="AI46" s="26">
        <v>0</v>
      </c>
      <c r="AJ46" s="26">
        <v>0</v>
      </c>
      <c r="AK46" s="26">
        <v>0</v>
      </c>
      <c r="AL46" s="26">
        <v>0</v>
      </c>
      <c r="AM46" s="26">
        <v>0</v>
      </c>
      <c r="AN46" s="26">
        <v>0</v>
      </c>
      <c r="AO46" s="26">
        <v>0</v>
      </c>
      <c r="AP46" s="26">
        <v>1</v>
      </c>
      <c r="AQ46" s="26">
        <v>1</v>
      </c>
      <c r="AR46" s="26">
        <v>3</v>
      </c>
      <c r="AS46" s="26">
        <v>6</v>
      </c>
      <c r="AT46" s="26">
        <v>11</v>
      </c>
      <c r="AU46" s="26">
        <v>26</v>
      </c>
      <c r="AV46" s="26">
        <v>34</v>
      </c>
      <c r="AW46" s="26">
        <v>43</v>
      </c>
      <c r="AX46" s="26">
        <v>50</v>
      </c>
      <c r="AY46" s="26">
        <v>50</v>
      </c>
      <c r="AZ46" s="26">
        <v>58</v>
      </c>
      <c r="BA46" s="26">
        <v>69</v>
      </c>
      <c r="BB46" s="26">
        <v>85</v>
      </c>
      <c r="BC46" s="26">
        <v>103</v>
      </c>
      <c r="BD46" s="26">
        <v>134</v>
      </c>
      <c r="BE46" s="26">
        <v>156</v>
      </c>
      <c r="BF46">
        <v>171</v>
      </c>
      <c r="BG46">
        <v>180</v>
      </c>
      <c r="BH46">
        <v>220</v>
      </c>
      <c r="BI46">
        <v>250</v>
      </c>
      <c r="BJ46">
        <v>330</v>
      </c>
      <c r="BK46" t="s">
        <v>1383</v>
      </c>
      <c r="BL46" s="1"/>
    </row>
    <row r="47" spans="1:64" x14ac:dyDescent="0.25">
      <c r="A47" s="26"/>
      <c r="B47" s="26" t="s">
        <v>91</v>
      </c>
      <c r="C47" s="26">
        <v>55.169400000000003</v>
      </c>
      <c r="D47" s="26">
        <v>23.8813</v>
      </c>
      <c r="E47" s="26">
        <v>0</v>
      </c>
      <c r="F47" s="26">
        <v>0</v>
      </c>
      <c r="G47" s="26">
        <v>0</v>
      </c>
      <c r="H47" s="26">
        <v>0</v>
      </c>
      <c r="I47" s="26">
        <v>0</v>
      </c>
      <c r="J47" s="26">
        <v>0</v>
      </c>
      <c r="K47" s="26">
        <v>0</v>
      </c>
      <c r="L47" s="26">
        <v>0</v>
      </c>
      <c r="M47" s="26">
        <v>0</v>
      </c>
      <c r="N47" s="26">
        <v>0</v>
      </c>
      <c r="O47" s="26">
        <v>0</v>
      </c>
      <c r="P47" s="26">
        <v>0</v>
      </c>
      <c r="Q47" s="26">
        <v>0</v>
      </c>
      <c r="R47" s="26">
        <v>0</v>
      </c>
      <c r="S47" s="26">
        <v>0</v>
      </c>
      <c r="T47" s="26">
        <v>0</v>
      </c>
      <c r="U47" s="26">
        <v>0</v>
      </c>
      <c r="V47" s="26">
        <v>0</v>
      </c>
      <c r="W47" s="26">
        <v>0</v>
      </c>
      <c r="X47" s="26">
        <v>0</v>
      </c>
      <c r="Y47" s="26">
        <v>0</v>
      </c>
      <c r="Z47" s="26">
        <v>0</v>
      </c>
      <c r="AA47" s="26">
        <v>0</v>
      </c>
      <c r="AB47" s="26">
        <v>0</v>
      </c>
      <c r="AC47" s="26">
        <v>0</v>
      </c>
      <c r="AD47" s="26">
        <v>0</v>
      </c>
      <c r="AE47" s="26">
        <v>0</v>
      </c>
      <c r="AF47" s="26">
        <v>0</v>
      </c>
      <c r="AG47" s="26">
        <v>0</v>
      </c>
      <c r="AH47" s="26">
        <v>0</v>
      </c>
      <c r="AI47" s="26">
        <v>0</v>
      </c>
      <c r="AJ47" s="26">
        <v>0</v>
      </c>
      <c r="AK47" s="26">
        <v>0</v>
      </c>
      <c r="AL47" s="26">
        <v>0</v>
      </c>
      <c r="AM47" s="26">
        <v>0</v>
      </c>
      <c r="AN47" s="26">
        <v>0</v>
      </c>
      <c r="AO47" s="26">
        <v>0</v>
      </c>
      <c r="AP47" s="26">
        <v>1</v>
      </c>
      <c r="AQ47" s="26">
        <v>1</v>
      </c>
      <c r="AR47" s="26">
        <v>1</v>
      </c>
      <c r="AS47" s="26">
        <v>1</v>
      </c>
      <c r="AT47" s="26">
        <v>1</v>
      </c>
      <c r="AU47" s="26">
        <v>1</v>
      </c>
      <c r="AV47" s="26">
        <v>1</v>
      </c>
      <c r="AW47" s="26">
        <v>1</v>
      </c>
      <c r="AX47" s="26">
        <v>1</v>
      </c>
      <c r="AY47" s="26">
        <v>1</v>
      </c>
      <c r="AZ47" s="26">
        <v>1</v>
      </c>
      <c r="BA47" s="26">
        <v>1</v>
      </c>
      <c r="BB47" s="26">
        <v>3</v>
      </c>
      <c r="BC47" s="26">
        <v>3</v>
      </c>
      <c r="BD47" s="26">
        <v>6</v>
      </c>
      <c r="BE47" s="26">
        <v>8</v>
      </c>
      <c r="BF47">
        <v>12</v>
      </c>
      <c r="BG47">
        <v>17</v>
      </c>
      <c r="BH47">
        <v>25</v>
      </c>
      <c r="BI47">
        <v>27</v>
      </c>
      <c r="BJ47">
        <v>36</v>
      </c>
      <c r="BK47" t="s">
        <v>449</v>
      </c>
      <c r="BL47" s="1"/>
    </row>
    <row r="48" spans="1:64" x14ac:dyDescent="0.25">
      <c r="A48" s="26"/>
      <c r="B48" s="26" t="s">
        <v>92</v>
      </c>
      <c r="C48" s="26">
        <v>23.634499999999999</v>
      </c>
      <c r="D48" s="26">
        <v>-102.5528</v>
      </c>
      <c r="E48" s="26">
        <v>0</v>
      </c>
      <c r="F48" s="26">
        <v>0</v>
      </c>
      <c r="G48" s="26">
        <v>0</v>
      </c>
      <c r="H48" s="26">
        <v>0</v>
      </c>
      <c r="I48" s="26">
        <v>0</v>
      </c>
      <c r="J48" s="26">
        <v>0</v>
      </c>
      <c r="K48" s="26">
        <v>0</v>
      </c>
      <c r="L48" s="26">
        <v>0</v>
      </c>
      <c r="M48" s="26">
        <v>0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6">
        <v>0</v>
      </c>
      <c r="T48" s="26">
        <v>0</v>
      </c>
      <c r="U48" s="26">
        <v>0</v>
      </c>
      <c r="V48" s="26">
        <v>0</v>
      </c>
      <c r="W48" s="26">
        <v>0</v>
      </c>
      <c r="X48" s="26">
        <v>0</v>
      </c>
      <c r="Y48" s="26">
        <v>0</v>
      </c>
      <c r="Z48" s="26">
        <v>0</v>
      </c>
      <c r="AA48" s="26">
        <v>0</v>
      </c>
      <c r="AB48" s="26">
        <v>0</v>
      </c>
      <c r="AC48" s="26">
        <v>0</v>
      </c>
      <c r="AD48" s="26">
        <v>0</v>
      </c>
      <c r="AE48" s="26">
        <v>0</v>
      </c>
      <c r="AF48" s="26">
        <v>0</v>
      </c>
      <c r="AG48" s="26">
        <v>0</v>
      </c>
      <c r="AH48" s="26">
        <v>0</v>
      </c>
      <c r="AI48" s="26">
        <v>0</v>
      </c>
      <c r="AJ48" s="26">
        <v>0</v>
      </c>
      <c r="AK48" s="26">
        <v>0</v>
      </c>
      <c r="AL48" s="26">
        <v>0</v>
      </c>
      <c r="AM48" s="26">
        <v>0</v>
      </c>
      <c r="AN48" s="26">
        <v>0</v>
      </c>
      <c r="AO48" s="26">
        <v>0</v>
      </c>
      <c r="AP48" s="26">
        <v>1</v>
      </c>
      <c r="AQ48" s="26">
        <v>4</v>
      </c>
      <c r="AR48" s="26">
        <v>5</v>
      </c>
      <c r="AS48" s="26">
        <v>5</v>
      </c>
      <c r="AT48" s="26">
        <v>5</v>
      </c>
      <c r="AU48" s="26">
        <v>5</v>
      </c>
      <c r="AV48" s="26">
        <v>5</v>
      </c>
      <c r="AW48" s="26">
        <v>6</v>
      </c>
      <c r="AX48" s="26">
        <v>6</v>
      </c>
      <c r="AY48" s="26">
        <v>7</v>
      </c>
      <c r="AZ48" s="26">
        <v>7</v>
      </c>
      <c r="BA48" s="26">
        <v>7</v>
      </c>
      <c r="BB48" s="26">
        <v>8</v>
      </c>
      <c r="BC48" s="26">
        <v>12</v>
      </c>
      <c r="BD48" s="26">
        <v>12</v>
      </c>
      <c r="BE48" s="26">
        <v>26</v>
      </c>
      <c r="BF48">
        <v>41</v>
      </c>
      <c r="BG48">
        <v>53</v>
      </c>
      <c r="BH48">
        <v>82</v>
      </c>
      <c r="BI48">
        <v>93</v>
      </c>
      <c r="BJ48">
        <v>118</v>
      </c>
      <c r="BK48" t="s">
        <v>854</v>
      </c>
      <c r="BL48" s="1"/>
    </row>
    <row r="49" spans="1:64" x14ac:dyDescent="0.25">
      <c r="A49" s="26"/>
      <c r="B49" s="26" t="s">
        <v>93</v>
      </c>
      <c r="C49" s="26">
        <v>-40.900599999999997</v>
      </c>
      <c r="D49" s="26">
        <v>174.886</v>
      </c>
      <c r="E49" s="26">
        <v>0</v>
      </c>
      <c r="F49" s="26">
        <v>0</v>
      </c>
      <c r="G49" s="26">
        <v>0</v>
      </c>
      <c r="H49" s="26">
        <v>0</v>
      </c>
      <c r="I49" s="26">
        <v>0</v>
      </c>
      <c r="J49" s="26">
        <v>0</v>
      </c>
      <c r="K49" s="26">
        <v>0</v>
      </c>
      <c r="L49" s="26">
        <v>0</v>
      </c>
      <c r="M49" s="26">
        <v>0</v>
      </c>
      <c r="N49" s="26">
        <v>0</v>
      </c>
      <c r="O49" s="26">
        <v>0</v>
      </c>
      <c r="P49" s="26">
        <v>0</v>
      </c>
      <c r="Q49" s="26">
        <v>0</v>
      </c>
      <c r="R49" s="26">
        <v>0</v>
      </c>
      <c r="S49" s="26">
        <v>0</v>
      </c>
      <c r="T49" s="26">
        <v>0</v>
      </c>
      <c r="U49" s="26">
        <v>0</v>
      </c>
      <c r="V49" s="26">
        <v>0</v>
      </c>
      <c r="W49" s="26">
        <v>0</v>
      </c>
      <c r="X49" s="26">
        <v>0</v>
      </c>
      <c r="Y49" s="26">
        <v>0</v>
      </c>
      <c r="Z49" s="26">
        <v>0</v>
      </c>
      <c r="AA49" s="26">
        <v>0</v>
      </c>
      <c r="AB49" s="26">
        <v>0</v>
      </c>
      <c r="AC49" s="26">
        <v>0</v>
      </c>
      <c r="AD49" s="26">
        <v>0</v>
      </c>
      <c r="AE49" s="26">
        <v>0</v>
      </c>
      <c r="AF49" s="26">
        <v>0</v>
      </c>
      <c r="AG49" s="26">
        <v>0</v>
      </c>
      <c r="AH49" s="26">
        <v>0</v>
      </c>
      <c r="AI49" s="26">
        <v>0</v>
      </c>
      <c r="AJ49" s="26">
        <v>0</v>
      </c>
      <c r="AK49" s="26">
        <v>0</v>
      </c>
      <c r="AL49" s="26">
        <v>0</v>
      </c>
      <c r="AM49" s="26">
        <v>0</v>
      </c>
      <c r="AN49" s="26">
        <v>0</v>
      </c>
      <c r="AO49" s="26">
        <v>0</v>
      </c>
      <c r="AP49" s="26">
        <v>1</v>
      </c>
      <c r="AQ49" s="26">
        <v>1</v>
      </c>
      <c r="AR49" s="26">
        <v>1</v>
      </c>
      <c r="AS49" s="26">
        <v>1</v>
      </c>
      <c r="AT49" s="26">
        <v>1</v>
      </c>
      <c r="AU49" s="26">
        <v>3</v>
      </c>
      <c r="AV49" s="26">
        <v>3</v>
      </c>
      <c r="AW49" s="26">
        <v>4</v>
      </c>
      <c r="AX49" s="26">
        <v>5</v>
      </c>
      <c r="AY49" s="26">
        <v>5</v>
      </c>
      <c r="AZ49" s="26">
        <v>5</v>
      </c>
      <c r="BA49" s="26">
        <v>5</v>
      </c>
      <c r="BB49" s="26">
        <v>5</v>
      </c>
      <c r="BC49" s="26">
        <v>5</v>
      </c>
      <c r="BD49" s="26">
        <v>5</v>
      </c>
      <c r="BE49" s="26">
        <v>6</v>
      </c>
      <c r="BF49">
        <v>8</v>
      </c>
      <c r="BG49">
        <v>8</v>
      </c>
      <c r="BH49">
        <v>12</v>
      </c>
      <c r="BI49">
        <v>20</v>
      </c>
      <c r="BJ49">
        <v>28</v>
      </c>
      <c r="BK49" t="s">
        <v>810</v>
      </c>
      <c r="BL49" s="1"/>
    </row>
    <row r="50" spans="1:64" x14ac:dyDescent="0.25">
      <c r="A50" s="26"/>
      <c r="B50" s="26" t="s">
        <v>94</v>
      </c>
      <c r="C50" s="26">
        <v>9.0820000000000007</v>
      </c>
      <c r="D50" s="26">
        <v>8.6753</v>
      </c>
      <c r="E50" s="26">
        <v>0</v>
      </c>
      <c r="F50" s="26">
        <v>0</v>
      </c>
      <c r="G50" s="26">
        <v>0</v>
      </c>
      <c r="H50" s="26">
        <v>0</v>
      </c>
      <c r="I50" s="26">
        <v>0</v>
      </c>
      <c r="J50" s="26">
        <v>0</v>
      </c>
      <c r="K50" s="26">
        <v>0</v>
      </c>
      <c r="L50" s="26">
        <v>0</v>
      </c>
      <c r="M50" s="26">
        <v>0</v>
      </c>
      <c r="N50" s="26">
        <v>0</v>
      </c>
      <c r="O50" s="26">
        <v>0</v>
      </c>
      <c r="P50" s="26">
        <v>0</v>
      </c>
      <c r="Q50" s="26">
        <v>0</v>
      </c>
      <c r="R50" s="26">
        <v>0</v>
      </c>
      <c r="S50" s="26">
        <v>0</v>
      </c>
      <c r="T50" s="26">
        <v>0</v>
      </c>
      <c r="U50" s="26">
        <v>0</v>
      </c>
      <c r="V50" s="26">
        <v>0</v>
      </c>
      <c r="W50" s="26">
        <v>0</v>
      </c>
      <c r="X50" s="26">
        <v>0</v>
      </c>
      <c r="Y50" s="26">
        <v>0</v>
      </c>
      <c r="Z50" s="26">
        <v>0</v>
      </c>
      <c r="AA50" s="26">
        <v>0</v>
      </c>
      <c r="AB50" s="26">
        <v>0</v>
      </c>
      <c r="AC50" s="26">
        <v>0</v>
      </c>
      <c r="AD50" s="26">
        <v>0</v>
      </c>
      <c r="AE50" s="26">
        <v>0</v>
      </c>
      <c r="AF50" s="26">
        <v>0</v>
      </c>
      <c r="AG50" s="26">
        <v>0</v>
      </c>
      <c r="AH50" s="26">
        <v>0</v>
      </c>
      <c r="AI50" s="26">
        <v>0</v>
      </c>
      <c r="AJ50" s="26">
        <v>0</v>
      </c>
      <c r="AK50" s="26">
        <v>0</v>
      </c>
      <c r="AL50" s="26">
        <v>0</v>
      </c>
      <c r="AM50" s="26">
        <v>0</v>
      </c>
      <c r="AN50" s="26">
        <v>0</v>
      </c>
      <c r="AO50" s="26">
        <v>0</v>
      </c>
      <c r="AP50" s="26">
        <v>1</v>
      </c>
      <c r="AQ50" s="26">
        <v>1</v>
      </c>
      <c r="AR50" s="26">
        <v>1</v>
      </c>
      <c r="AS50" s="26">
        <v>1</v>
      </c>
      <c r="AT50" s="26">
        <v>1</v>
      </c>
      <c r="AU50" s="26">
        <v>1</v>
      </c>
      <c r="AV50" s="26">
        <v>1</v>
      </c>
      <c r="AW50" s="26">
        <v>1</v>
      </c>
      <c r="AX50" s="26">
        <v>1</v>
      </c>
      <c r="AY50" s="26">
        <v>1</v>
      </c>
      <c r="AZ50" s="26">
        <v>2</v>
      </c>
      <c r="BA50" s="26">
        <v>2</v>
      </c>
      <c r="BB50" s="26">
        <v>2</v>
      </c>
      <c r="BC50" s="26">
        <v>2</v>
      </c>
      <c r="BD50" s="26">
        <v>2</v>
      </c>
      <c r="BE50" s="26">
        <v>2</v>
      </c>
      <c r="BF50">
        <v>2</v>
      </c>
      <c r="BG50">
        <v>2</v>
      </c>
      <c r="BH50">
        <v>3</v>
      </c>
      <c r="BI50">
        <v>8</v>
      </c>
      <c r="BJ50">
        <v>8</v>
      </c>
      <c r="BK50" t="s">
        <v>450</v>
      </c>
      <c r="BL50" s="1"/>
    </row>
    <row r="51" spans="1:64" x14ac:dyDescent="0.25">
      <c r="A51" s="26" t="s">
        <v>95</v>
      </c>
      <c r="B51" s="26" t="s">
        <v>48</v>
      </c>
      <c r="C51" s="26">
        <v>-31.950500000000002</v>
      </c>
      <c r="D51" s="26">
        <v>115.8605</v>
      </c>
      <c r="E51" s="26">
        <v>0</v>
      </c>
      <c r="F51" s="26">
        <v>0</v>
      </c>
      <c r="G51" s="26">
        <v>0</v>
      </c>
      <c r="H51" s="26">
        <v>0</v>
      </c>
      <c r="I51" s="26">
        <v>0</v>
      </c>
      <c r="J51" s="26">
        <v>0</v>
      </c>
      <c r="K51" s="26">
        <v>0</v>
      </c>
      <c r="L51" s="26">
        <v>0</v>
      </c>
      <c r="M51" s="26">
        <v>0</v>
      </c>
      <c r="N51" s="26">
        <v>0</v>
      </c>
      <c r="O51" s="26">
        <v>0</v>
      </c>
      <c r="P51" s="26">
        <v>0</v>
      </c>
      <c r="Q51" s="26">
        <v>0</v>
      </c>
      <c r="R51" s="26">
        <v>0</v>
      </c>
      <c r="S51" s="26">
        <v>0</v>
      </c>
      <c r="T51" s="26">
        <v>0</v>
      </c>
      <c r="U51" s="26">
        <v>0</v>
      </c>
      <c r="V51" s="26">
        <v>0</v>
      </c>
      <c r="W51" s="26">
        <v>0</v>
      </c>
      <c r="X51" s="26">
        <v>0</v>
      </c>
      <c r="Y51" s="26">
        <v>0</v>
      </c>
      <c r="Z51" s="26">
        <v>0</v>
      </c>
      <c r="AA51" s="26">
        <v>0</v>
      </c>
      <c r="AB51" s="26">
        <v>0</v>
      </c>
      <c r="AC51" s="26">
        <v>0</v>
      </c>
      <c r="AD51" s="26">
        <v>0</v>
      </c>
      <c r="AE51" s="26">
        <v>0</v>
      </c>
      <c r="AF51" s="26">
        <v>0</v>
      </c>
      <c r="AG51" s="26">
        <v>0</v>
      </c>
      <c r="AH51" s="26">
        <v>0</v>
      </c>
      <c r="AI51" s="26">
        <v>0</v>
      </c>
      <c r="AJ51" s="26">
        <v>0</v>
      </c>
      <c r="AK51" s="26">
        <v>0</v>
      </c>
      <c r="AL51" s="26">
        <v>0</v>
      </c>
      <c r="AM51" s="26">
        <v>0</v>
      </c>
      <c r="AN51" s="26">
        <v>0</v>
      </c>
      <c r="AO51" s="26">
        <v>0</v>
      </c>
      <c r="AP51" s="26">
        <v>0</v>
      </c>
      <c r="AQ51" s="26">
        <v>2</v>
      </c>
      <c r="AR51" s="26">
        <v>2</v>
      </c>
      <c r="AS51" s="26">
        <v>2</v>
      </c>
      <c r="AT51" s="26">
        <v>2</v>
      </c>
      <c r="AU51" s="26">
        <v>2</v>
      </c>
      <c r="AV51" s="26">
        <v>3</v>
      </c>
      <c r="AW51" s="26">
        <v>3</v>
      </c>
      <c r="AX51" s="26">
        <v>3</v>
      </c>
      <c r="AY51" s="26">
        <v>3</v>
      </c>
      <c r="AZ51" s="26">
        <v>4</v>
      </c>
      <c r="BA51" s="26">
        <v>6</v>
      </c>
      <c r="BB51" s="26">
        <v>9</v>
      </c>
      <c r="BC51" s="26">
        <v>9</v>
      </c>
      <c r="BD51" s="26">
        <v>14</v>
      </c>
      <c r="BE51" s="26">
        <v>17</v>
      </c>
      <c r="BF51">
        <v>17</v>
      </c>
      <c r="BG51">
        <v>28</v>
      </c>
      <c r="BH51">
        <v>31</v>
      </c>
      <c r="BI51">
        <v>35</v>
      </c>
      <c r="BJ51">
        <v>52</v>
      </c>
      <c r="BK51" t="s">
        <v>1384</v>
      </c>
      <c r="BL51" s="1"/>
    </row>
    <row r="52" spans="1:64" x14ac:dyDescent="0.25">
      <c r="A52" s="26"/>
      <c r="B52" s="26" t="s">
        <v>1257</v>
      </c>
      <c r="C52" s="26">
        <v>53.142400000000002</v>
      </c>
      <c r="D52" s="26">
        <v>-7.6920999999999999</v>
      </c>
      <c r="E52" s="26">
        <v>0</v>
      </c>
      <c r="F52" s="26">
        <v>0</v>
      </c>
      <c r="G52" s="26">
        <v>0</v>
      </c>
      <c r="H52" s="26">
        <v>0</v>
      </c>
      <c r="I52" s="26">
        <v>0</v>
      </c>
      <c r="J52" s="26">
        <v>0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6">
        <v>0</v>
      </c>
      <c r="T52" s="26">
        <v>0</v>
      </c>
      <c r="U52" s="26">
        <v>0</v>
      </c>
      <c r="V52" s="26">
        <v>0</v>
      </c>
      <c r="W52" s="26">
        <v>0</v>
      </c>
      <c r="X52" s="26">
        <v>0</v>
      </c>
      <c r="Y52" s="26">
        <v>0</v>
      </c>
      <c r="Z52" s="26">
        <v>0</v>
      </c>
      <c r="AA52" s="26">
        <v>0</v>
      </c>
      <c r="AB52" s="26">
        <v>0</v>
      </c>
      <c r="AC52" s="26">
        <v>0</v>
      </c>
      <c r="AD52" s="26">
        <v>0</v>
      </c>
      <c r="AE52" s="26">
        <v>0</v>
      </c>
      <c r="AF52" s="26">
        <v>0</v>
      </c>
      <c r="AG52" s="26">
        <v>0</v>
      </c>
      <c r="AH52" s="26">
        <v>0</v>
      </c>
      <c r="AI52" s="26">
        <v>0</v>
      </c>
      <c r="AJ52" s="26">
        <v>0</v>
      </c>
      <c r="AK52" s="26">
        <v>0</v>
      </c>
      <c r="AL52" s="26">
        <v>0</v>
      </c>
      <c r="AM52" s="26">
        <v>0</v>
      </c>
      <c r="AN52" s="26">
        <v>0</v>
      </c>
      <c r="AO52" s="26">
        <v>0</v>
      </c>
      <c r="AP52" s="26">
        <v>0</v>
      </c>
      <c r="AQ52" s="26">
        <v>1</v>
      </c>
      <c r="AR52" s="26">
        <v>1</v>
      </c>
      <c r="AS52" s="26">
        <v>1</v>
      </c>
      <c r="AT52" s="26">
        <v>2</v>
      </c>
      <c r="AU52" s="26">
        <v>6</v>
      </c>
      <c r="AV52" s="26">
        <v>6</v>
      </c>
      <c r="AW52" s="26">
        <v>18</v>
      </c>
      <c r="AX52" s="26">
        <v>18</v>
      </c>
      <c r="AY52" s="26">
        <v>19</v>
      </c>
      <c r="AZ52" s="26">
        <v>21</v>
      </c>
      <c r="BA52" s="26">
        <v>34</v>
      </c>
      <c r="BB52" s="26">
        <v>43</v>
      </c>
      <c r="BC52" s="26">
        <v>43</v>
      </c>
      <c r="BD52" s="26">
        <v>90</v>
      </c>
      <c r="BE52" s="26">
        <v>129</v>
      </c>
      <c r="BF52">
        <v>129</v>
      </c>
      <c r="BG52">
        <v>169</v>
      </c>
      <c r="BH52">
        <v>223</v>
      </c>
      <c r="BI52">
        <v>292</v>
      </c>
      <c r="BJ52">
        <v>557</v>
      </c>
      <c r="BK52" t="s">
        <v>1385</v>
      </c>
      <c r="BL52" s="1"/>
    </row>
    <row r="53" spans="1:64" x14ac:dyDescent="0.25">
      <c r="A53" s="26"/>
      <c r="B53" s="26" t="s">
        <v>96</v>
      </c>
      <c r="C53" s="26">
        <v>49.815300000000001</v>
      </c>
      <c r="D53" s="26">
        <v>6.1295999999999999</v>
      </c>
      <c r="E53" s="26">
        <v>0</v>
      </c>
      <c r="F53" s="26">
        <v>0</v>
      </c>
      <c r="G53" s="26">
        <v>0</v>
      </c>
      <c r="H53" s="26">
        <v>0</v>
      </c>
      <c r="I53" s="26">
        <v>0</v>
      </c>
      <c r="J53" s="26">
        <v>0</v>
      </c>
      <c r="K53" s="26">
        <v>0</v>
      </c>
      <c r="L53" s="26">
        <v>0</v>
      </c>
      <c r="M53" s="26">
        <v>0</v>
      </c>
      <c r="N53" s="26">
        <v>0</v>
      </c>
      <c r="O53" s="26">
        <v>0</v>
      </c>
      <c r="P53" s="26">
        <v>0</v>
      </c>
      <c r="Q53" s="26">
        <v>0</v>
      </c>
      <c r="R53" s="26">
        <v>0</v>
      </c>
      <c r="S53" s="26">
        <v>0</v>
      </c>
      <c r="T53" s="26">
        <v>0</v>
      </c>
      <c r="U53" s="26">
        <v>0</v>
      </c>
      <c r="V53" s="26">
        <v>0</v>
      </c>
      <c r="W53" s="26">
        <v>0</v>
      </c>
      <c r="X53" s="26">
        <v>0</v>
      </c>
      <c r="Y53" s="26">
        <v>0</v>
      </c>
      <c r="Z53" s="26">
        <v>0</v>
      </c>
      <c r="AA53" s="26">
        <v>0</v>
      </c>
      <c r="AB53" s="26">
        <v>0</v>
      </c>
      <c r="AC53" s="26">
        <v>0</v>
      </c>
      <c r="AD53" s="26">
        <v>0</v>
      </c>
      <c r="AE53" s="26">
        <v>0</v>
      </c>
      <c r="AF53" s="27">
        <v>0</v>
      </c>
      <c r="AG53" s="26">
        <v>0</v>
      </c>
      <c r="AH53" s="26">
        <v>0</v>
      </c>
      <c r="AI53" s="26">
        <v>0</v>
      </c>
      <c r="AJ53" s="26">
        <v>0</v>
      </c>
      <c r="AK53" s="26">
        <v>0</v>
      </c>
      <c r="AL53" s="26">
        <v>0</v>
      </c>
      <c r="AM53" s="26">
        <v>0</v>
      </c>
      <c r="AN53" s="26">
        <v>0</v>
      </c>
      <c r="AO53" s="26">
        <v>0</v>
      </c>
      <c r="AP53" s="26">
        <v>0</v>
      </c>
      <c r="AQ53" s="26">
        <v>1</v>
      </c>
      <c r="AR53" s="26">
        <v>1</v>
      </c>
      <c r="AS53" s="26">
        <v>1</v>
      </c>
      <c r="AT53" s="26">
        <v>1</v>
      </c>
      <c r="AU53" s="26">
        <v>1</v>
      </c>
      <c r="AV53" s="26">
        <v>1</v>
      </c>
      <c r="AW53" s="26">
        <v>2</v>
      </c>
      <c r="AX53" s="26">
        <v>2</v>
      </c>
      <c r="AY53" s="26">
        <v>3</v>
      </c>
      <c r="AZ53" s="26">
        <v>3</v>
      </c>
      <c r="BA53" s="26">
        <v>5</v>
      </c>
      <c r="BB53" s="26">
        <v>7</v>
      </c>
      <c r="BC53" s="26">
        <v>19</v>
      </c>
      <c r="BD53" s="26">
        <v>34</v>
      </c>
      <c r="BE53" s="26">
        <v>51</v>
      </c>
      <c r="BF53">
        <v>59</v>
      </c>
      <c r="BG53">
        <v>77</v>
      </c>
      <c r="BH53">
        <v>140</v>
      </c>
      <c r="BI53">
        <v>203</v>
      </c>
      <c r="BJ53">
        <v>335</v>
      </c>
      <c r="BK53" t="s">
        <v>1386</v>
      </c>
      <c r="BL53" s="1"/>
    </row>
    <row r="54" spans="1:64" x14ac:dyDescent="0.25">
      <c r="A54" s="26"/>
      <c r="B54" s="26" t="s">
        <v>97</v>
      </c>
      <c r="C54" s="26">
        <v>43.7333</v>
      </c>
      <c r="D54" s="26">
        <v>7.4166999999999996</v>
      </c>
      <c r="E54" s="26">
        <v>0</v>
      </c>
      <c r="F54" s="26">
        <v>0</v>
      </c>
      <c r="G54" s="26">
        <v>0</v>
      </c>
      <c r="H54" s="26">
        <v>0</v>
      </c>
      <c r="I54" s="26">
        <v>0</v>
      </c>
      <c r="J54" s="26">
        <v>0</v>
      </c>
      <c r="K54" s="26">
        <v>0</v>
      </c>
      <c r="L54" s="26">
        <v>0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6">
        <v>0</v>
      </c>
      <c r="T54" s="26">
        <v>0</v>
      </c>
      <c r="U54" s="26">
        <v>0</v>
      </c>
      <c r="V54" s="26">
        <v>0</v>
      </c>
      <c r="W54" s="26">
        <v>0</v>
      </c>
      <c r="X54" s="26">
        <v>0</v>
      </c>
      <c r="Y54" s="26">
        <v>0</v>
      </c>
      <c r="Z54" s="26">
        <v>0</v>
      </c>
      <c r="AA54" s="26">
        <v>0</v>
      </c>
      <c r="AB54" s="26">
        <v>0</v>
      </c>
      <c r="AC54" s="26">
        <v>0</v>
      </c>
      <c r="AD54" s="26">
        <v>0</v>
      </c>
      <c r="AE54" s="26">
        <v>0</v>
      </c>
      <c r="AF54" s="26">
        <v>0</v>
      </c>
      <c r="AG54" s="26">
        <v>0</v>
      </c>
      <c r="AH54" s="26">
        <v>0</v>
      </c>
      <c r="AI54" s="26">
        <v>0</v>
      </c>
      <c r="AJ54" s="26">
        <v>0</v>
      </c>
      <c r="AK54" s="26">
        <v>0</v>
      </c>
      <c r="AL54" s="26">
        <v>0</v>
      </c>
      <c r="AM54" s="26">
        <v>0</v>
      </c>
      <c r="AN54" s="26">
        <v>0</v>
      </c>
      <c r="AO54" s="26">
        <v>0</v>
      </c>
      <c r="AP54" s="26">
        <v>0</v>
      </c>
      <c r="AQ54" s="26">
        <v>1</v>
      </c>
      <c r="AR54" s="26">
        <v>1</v>
      </c>
      <c r="AS54" s="26">
        <v>1</v>
      </c>
      <c r="AT54" s="26">
        <v>1</v>
      </c>
      <c r="AU54" s="26">
        <v>1</v>
      </c>
      <c r="AV54" s="26">
        <v>1</v>
      </c>
      <c r="AW54" s="26">
        <v>1</v>
      </c>
      <c r="AX54" s="26">
        <v>1</v>
      </c>
      <c r="AY54" s="26">
        <v>1</v>
      </c>
      <c r="AZ54" s="26">
        <v>1</v>
      </c>
      <c r="BA54" s="26">
        <v>1</v>
      </c>
      <c r="BB54" s="26">
        <v>1</v>
      </c>
      <c r="BC54" s="26">
        <v>2</v>
      </c>
      <c r="BD54" s="26">
        <v>2</v>
      </c>
      <c r="BE54" s="26">
        <v>2</v>
      </c>
      <c r="BF54">
        <v>2</v>
      </c>
      <c r="BG54">
        <v>7</v>
      </c>
      <c r="BH54">
        <v>7</v>
      </c>
      <c r="BI54">
        <v>7</v>
      </c>
      <c r="BJ54">
        <v>7</v>
      </c>
      <c r="BK54" t="s">
        <v>452</v>
      </c>
      <c r="BL54" s="1"/>
    </row>
    <row r="55" spans="1:64" x14ac:dyDescent="0.25">
      <c r="A55" s="26"/>
      <c r="B55" s="26" t="s">
        <v>98</v>
      </c>
      <c r="C55" s="26">
        <v>25.354800000000001</v>
      </c>
      <c r="D55" s="26">
        <v>51.183900000000001</v>
      </c>
      <c r="E55" s="26">
        <v>0</v>
      </c>
      <c r="F55" s="26">
        <v>0</v>
      </c>
      <c r="G55" s="26">
        <v>0</v>
      </c>
      <c r="H55" s="26">
        <v>0</v>
      </c>
      <c r="I55" s="26">
        <v>0</v>
      </c>
      <c r="J55" s="26">
        <v>0</v>
      </c>
      <c r="K55" s="26">
        <v>0</v>
      </c>
      <c r="L55" s="26">
        <v>0</v>
      </c>
      <c r="M55" s="26">
        <v>0</v>
      </c>
      <c r="N55" s="26">
        <v>0</v>
      </c>
      <c r="O55" s="26">
        <v>0</v>
      </c>
      <c r="P55" s="26">
        <v>0</v>
      </c>
      <c r="Q55" s="26">
        <v>0</v>
      </c>
      <c r="R55" s="26">
        <v>0</v>
      </c>
      <c r="S55" s="26">
        <v>0</v>
      </c>
      <c r="T55" s="26">
        <v>0</v>
      </c>
      <c r="U55" s="26">
        <v>0</v>
      </c>
      <c r="V55" s="26">
        <v>0</v>
      </c>
      <c r="W55" s="26">
        <v>0</v>
      </c>
      <c r="X55" s="26">
        <v>0</v>
      </c>
      <c r="Y55" s="26">
        <v>0</v>
      </c>
      <c r="Z55" s="26">
        <v>0</v>
      </c>
      <c r="AA55" s="26">
        <v>0</v>
      </c>
      <c r="AB55" s="26">
        <v>0</v>
      </c>
      <c r="AC55" s="26">
        <v>0</v>
      </c>
      <c r="AD55" s="26">
        <v>0</v>
      </c>
      <c r="AE55" s="26">
        <v>0</v>
      </c>
      <c r="AF55" s="26">
        <v>0</v>
      </c>
      <c r="AG55" s="26">
        <v>0</v>
      </c>
      <c r="AH55" s="26">
        <v>0</v>
      </c>
      <c r="AI55" s="26">
        <v>0</v>
      </c>
      <c r="AJ55" s="26">
        <v>0</v>
      </c>
      <c r="AK55" s="26">
        <v>0</v>
      </c>
      <c r="AL55" s="26">
        <v>0</v>
      </c>
      <c r="AM55" s="26">
        <v>0</v>
      </c>
      <c r="AN55" s="26">
        <v>0</v>
      </c>
      <c r="AO55" s="26">
        <v>0</v>
      </c>
      <c r="AP55" s="26">
        <v>0</v>
      </c>
      <c r="AQ55" s="26">
        <v>1</v>
      </c>
      <c r="AR55" s="26">
        <v>3</v>
      </c>
      <c r="AS55" s="26">
        <v>3</v>
      </c>
      <c r="AT55" s="26">
        <v>7</v>
      </c>
      <c r="AU55" s="26">
        <v>8</v>
      </c>
      <c r="AV55" s="26">
        <v>8</v>
      </c>
      <c r="AW55" s="26">
        <v>8</v>
      </c>
      <c r="AX55" s="26">
        <v>8</v>
      </c>
      <c r="AY55" s="26">
        <v>15</v>
      </c>
      <c r="AZ55" s="26">
        <v>18</v>
      </c>
      <c r="BA55" s="26">
        <v>24</v>
      </c>
      <c r="BB55" s="26">
        <v>262</v>
      </c>
      <c r="BC55" s="26">
        <v>262</v>
      </c>
      <c r="BD55" s="26">
        <v>320</v>
      </c>
      <c r="BE55" s="26">
        <v>337</v>
      </c>
      <c r="BF55">
        <v>401</v>
      </c>
      <c r="BG55">
        <v>439</v>
      </c>
      <c r="BH55">
        <v>439</v>
      </c>
      <c r="BI55">
        <v>452</v>
      </c>
      <c r="BJ55">
        <v>460</v>
      </c>
      <c r="BK55" t="s">
        <v>1387</v>
      </c>
      <c r="BL55" s="1"/>
    </row>
    <row r="56" spans="1:64" x14ac:dyDescent="0.25">
      <c r="A56" s="26"/>
      <c r="B56" s="26" t="s">
        <v>99</v>
      </c>
      <c r="C56" s="26">
        <v>-1.8311999999999999</v>
      </c>
      <c r="D56" s="26">
        <v>-78.183400000000006</v>
      </c>
      <c r="E56" s="26">
        <v>0</v>
      </c>
      <c r="F56" s="26">
        <v>0</v>
      </c>
      <c r="G56" s="26">
        <v>0</v>
      </c>
      <c r="H56" s="26">
        <v>0</v>
      </c>
      <c r="I56" s="26">
        <v>0</v>
      </c>
      <c r="J56" s="26">
        <v>0</v>
      </c>
      <c r="K56" s="26">
        <v>0</v>
      </c>
      <c r="L56" s="26">
        <v>0</v>
      </c>
      <c r="M56" s="26">
        <v>0</v>
      </c>
      <c r="N56" s="26">
        <v>0</v>
      </c>
      <c r="O56" s="26">
        <v>0</v>
      </c>
      <c r="P56" s="26">
        <v>0</v>
      </c>
      <c r="Q56" s="26">
        <v>0</v>
      </c>
      <c r="R56" s="26">
        <v>0</v>
      </c>
      <c r="S56" s="26">
        <v>0</v>
      </c>
      <c r="T56" s="26">
        <v>0</v>
      </c>
      <c r="U56" s="26">
        <v>0</v>
      </c>
      <c r="V56" s="26">
        <v>0</v>
      </c>
      <c r="W56" s="26">
        <v>0</v>
      </c>
      <c r="X56" s="26">
        <v>0</v>
      </c>
      <c r="Y56" s="26">
        <v>0</v>
      </c>
      <c r="Z56" s="26">
        <v>0</v>
      </c>
      <c r="AA56" s="26">
        <v>0</v>
      </c>
      <c r="AB56" s="26">
        <v>0</v>
      </c>
      <c r="AC56" s="26">
        <v>0</v>
      </c>
      <c r="AD56" s="26">
        <v>0</v>
      </c>
      <c r="AE56" s="26">
        <v>0</v>
      </c>
      <c r="AF56" s="26">
        <v>0</v>
      </c>
      <c r="AG56" s="26">
        <v>0</v>
      </c>
      <c r="AH56" s="26">
        <v>0</v>
      </c>
      <c r="AI56" s="26">
        <v>0</v>
      </c>
      <c r="AJ56" s="26">
        <v>0</v>
      </c>
      <c r="AK56" s="26">
        <v>0</v>
      </c>
      <c r="AL56" s="26">
        <v>0</v>
      </c>
      <c r="AM56" s="26">
        <v>0</v>
      </c>
      <c r="AN56" s="26">
        <v>0</v>
      </c>
      <c r="AO56" s="26">
        <v>0</v>
      </c>
      <c r="AP56" s="26">
        <v>0</v>
      </c>
      <c r="AQ56" s="26">
        <v>0</v>
      </c>
      <c r="AR56" s="26">
        <v>6</v>
      </c>
      <c r="AS56" s="26">
        <v>6</v>
      </c>
      <c r="AT56" s="26">
        <v>7</v>
      </c>
      <c r="AU56" s="26">
        <v>10</v>
      </c>
      <c r="AV56" s="26">
        <v>13</v>
      </c>
      <c r="AW56" s="26">
        <v>13</v>
      </c>
      <c r="AX56" s="26">
        <v>13</v>
      </c>
      <c r="AY56" s="26">
        <v>14</v>
      </c>
      <c r="AZ56" s="26">
        <v>15</v>
      </c>
      <c r="BA56" s="26">
        <v>15</v>
      </c>
      <c r="BB56" s="26">
        <v>17</v>
      </c>
      <c r="BC56" s="26">
        <v>17</v>
      </c>
      <c r="BD56" s="26">
        <v>17</v>
      </c>
      <c r="BE56" s="26">
        <v>28</v>
      </c>
      <c r="BF56">
        <v>28</v>
      </c>
      <c r="BG56">
        <v>37</v>
      </c>
      <c r="BH56">
        <v>58</v>
      </c>
      <c r="BI56">
        <v>111</v>
      </c>
      <c r="BJ56">
        <v>199</v>
      </c>
      <c r="BK56" t="s">
        <v>1388</v>
      </c>
      <c r="BL56" s="1"/>
    </row>
    <row r="57" spans="1:64" x14ac:dyDescent="0.25">
      <c r="A57" s="26"/>
      <c r="B57" s="26" t="s">
        <v>100</v>
      </c>
      <c r="C57" s="26">
        <v>40.143099999999997</v>
      </c>
      <c r="D57" s="26">
        <v>47.576900000000002</v>
      </c>
      <c r="E57" s="26">
        <v>0</v>
      </c>
      <c r="F57" s="26">
        <v>0</v>
      </c>
      <c r="G57" s="26">
        <v>0</v>
      </c>
      <c r="H57" s="26">
        <v>0</v>
      </c>
      <c r="I57" s="26">
        <v>0</v>
      </c>
      <c r="J57" s="26">
        <v>0</v>
      </c>
      <c r="K57" s="26">
        <v>0</v>
      </c>
      <c r="L57" s="26">
        <v>0</v>
      </c>
      <c r="M57" s="26">
        <v>0</v>
      </c>
      <c r="N57" s="26">
        <v>0</v>
      </c>
      <c r="O57" s="26">
        <v>0</v>
      </c>
      <c r="P57" s="26">
        <v>0</v>
      </c>
      <c r="Q57" s="26">
        <v>0</v>
      </c>
      <c r="R57" s="26">
        <v>0</v>
      </c>
      <c r="S57" s="26">
        <v>0</v>
      </c>
      <c r="T57" s="26">
        <v>0</v>
      </c>
      <c r="U57" s="26">
        <v>0</v>
      </c>
      <c r="V57" s="26">
        <v>0</v>
      </c>
      <c r="W57" s="26">
        <v>0</v>
      </c>
      <c r="X57" s="26">
        <v>0</v>
      </c>
      <c r="Y57" s="26">
        <v>0</v>
      </c>
      <c r="Z57" s="26">
        <v>0</v>
      </c>
      <c r="AA57" s="26">
        <v>0</v>
      </c>
      <c r="AB57" s="26">
        <v>0</v>
      </c>
      <c r="AC57" s="26">
        <v>0</v>
      </c>
      <c r="AD57" s="26">
        <v>0</v>
      </c>
      <c r="AE57" s="26">
        <v>0</v>
      </c>
      <c r="AF57" s="26">
        <v>0</v>
      </c>
      <c r="AG57" s="26">
        <v>0</v>
      </c>
      <c r="AH57" s="26">
        <v>0</v>
      </c>
      <c r="AI57" s="26">
        <v>0</v>
      </c>
      <c r="AJ57" s="26">
        <v>0</v>
      </c>
      <c r="AK57" s="26">
        <v>0</v>
      </c>
      <c r="AL57" s="26">
        <v>0</v>
      </c>
      <c r="AM57" s="26">
        <v>0</v>
      </c>
      <c r="AN57" s="26">
        <v>0</v>
      </c>
      <c r="AO57" s="26">
        <v>0</v>
      </c>
      <c r="AP57" s="26">
        <v>0</v>
      </c>
      <c r="AQ57" s="26">
        <v>0</v>
      </c>
      <c r="AR57" s="26">
        <v>3</v>
      </c>
      <c r="AS57" s="26">
        <v>3</v>
      </c>
      <c r="AT57" s="26">
        <v>3</v>
      </c>
      <c r="AU57" s="26">
        <v>3</v>
      </c>
      <c r="AV57" s="26">
        <v>6</v>
      </c>
      <c r="AW57" s="26">
        <v>6</v>
      </c>
      <c r="AX57" s="26">
        <v>9</v>
      </c>
      <c r="AY57" s="26">
        <v>9</v>
      </c>
      <c r="AZ57" s="26">
        <v>9</v>
      </c>
      <c r="BA57" s="26">
        <v>11</v>
      </c>
      <c r="BB57" s="26">
        <v>11</v>
      </c>
      <c r="BC57" s="26">
        <v>11</v>
      </c>
      <c r="BD57" s="26">
        <v>15</v>
      </c>
      <c r="BE57" s="26">
        <v>15</v>
      </c>
      <c r="BF57">
        <v>23</v>
      </c>
      <c r="BG57">
        <v>15</v>
      </c>
      <c r="BH57">
        <v>28</v>
      </c>
      <c r="BI57">
        <v>28</v>
      </c>
      <c r="BJ57">
        <v>44</v>
      </c>
      <c r="BK57" t="s">
        <v>1389</v>
      </c>
    </row>
    <row r="58" spans="1:64" x14ac:dyDescent="0.25">
      <c r="A58" s="26"/>
      <c r="B58" s="26" t="s">
        <v>101</v>
      </c>
      <c r="C58" s="26">
        <v>40.069099999999999</v>
      </c>
      <c r="D58" s="26">
        <v>45.038200000000003</v>
      </c>
      <c r="E58" s="26">
        <v>0</v>
      </c>
      <c r="F58" s="26">
        <v>0</v>
      </c>
      <c r="G58" s="26">
        <v>0</v>
      </c>
      <c r="H58" s="26">
        <v>0</v>
      </c>
      <c r="I58" s="26">
        <v>0</v>
      </c>
      <c r="J58" s="26">
        <v>0</v>
      </c>
      <c r="K58" s="26">
        <v>0</v>
      </c>
      <c r="L58" s="26">
        <v>0</v>
      </c>
      <c r="M58" s="26">
        <v>0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6">
        <v>0</v>
      </c>
      <c r="T58" s="26">
        <v>0</v>
      </c>
      <c r="U58" s="26">
        <v>0</v>
      </c>
      <c r="V58" s="26">
        <v>0</v>
      </c>
      <c r="W58" s="26">
        <v>0</v>
      </c>
      <c r="X58" s="26">
        <v>0</v>
      </c>
      <c r="Y58" s="26">
        <v>0</v>
      </c>
      <c r="Z58" s="26">
        <v>0</v>
      </c>
      <c r="AA58" s="26">
        <v>0</v>
      </c>
      <c r="AB58" s="26">
        <v>0</v>
      </c>
      <c r="AC58" s="26">
        <v>0</v>
      </c>
      <c r="AD58" s="26">
        <v>0</v>
      </c>
      <c r="AE58" s="26">
        <v>0</v>
      </c>
      <c r="AF58" s="26">
        <v>0</v>
      </c>
      <c r="AG58" s="26">
        <v>0</v>
      </c>
      <c r="AH58" s="26">
        <v>0</v>
      </c>
      <c r="AI58" s="26">
        <v>0</v>
      </c>
      <c r="AJ58" s="26">
        <v>0</v>
      </c>
      <c r="AK58" s="26">
        <v>0</v>
      </c>
      <c r="AL58" s="26">
        <v>0</v>
      </c>
      <c r="AM58" s="26">
        <v>0</v>
      </c>
      <c r="AN58" s="26">
        <v>0</v>
      </c>
      <c r="AO58" s="26">
        <v>0</v>
      </c>
      <c r="AP58" s="26">
        <v>0</v>
      </c>
      <c r="AQ58" s="26">
        <v>0</v>
      </c>
      <c r="AR58" s="26">
        <v>1</v>
      </c>
      <c r="AS58" s="26">
        <v>1</v>
      </c>
      <c r="AT58" s="26">
        <v>1</v>
      </c>
      <c r="AU58" s="26">
        <v>1</v>
      </c>
      <c r="AV58" s="26">
        <v>1</v>
      </c>
      <c r="AW58" s="26">
        <v>1</v>
      </c>
      <c r="AX58" s="26">
        <v>1</v>
      </c>
      <c r="AY58" s="26">
        <v>1</v>
      </c>
      <c r="AZ58" s="26">
        <v>1</v>
      </c>
      <c r="BA58" s="26">
        <v>1</v>
      </c>
      <c r="BB58" s="26">
        <v>1</v>
      </c>
      <c r="BC58" s="26">
        <v>4</v>
      </c>
      <c r="BD58" s="26">
        <v>8</v>
      </c>
      <c r="BE58" s="26">
        <v>18</v>
      </c>
      <c r="BF58">
        <v>26</v>
      </c>
      <c r="BG58">
        <v>52</v>
      </c>
      <c r="BH58">
        <v>78</v>
      </c>
      <c r="BI58">
        <v>84</v>
      </c>
      <c r="BJ58">
        <v>115</v>
      </c>
      <c r="BK58" t="s">
        <v>466</v>
      </c>
    </row>
    <row r="59" spans="1:64" x14ac:dyDescent="0.25">
      <c r="A59" s="26"/>
      <c r="B59" s="26" t="s">
        <v>102</v>
      </c>
      <c r="C59" s="26">
        <v>18.735700000000001</v>
      </c>
      <c r="D59" s="26">
        <v>-70.162700000000001</v>
      </c>
      <c r="E59" s="26">
        <v>0</v>
      </c>
      <c r="F59" s="26">
        <v>0</v>
      </c>
      <c r="G59" s="26">
        <v>0</v>
      </c>
      <c r="H59" s="26">
        <v>0</v>
      </c>
      <c r="I59" s="26">
        <v>0</v>
      </c>
      <c r="J59" s="26">
        <v>0</v>
      </c>
      <c r="K59" s="26">
        <v>0</v>
      </c>
      <c r="L59" s="26">
        <v>0</v>
      </c>
      <c r="M59" s="26">
        <v>0</v>
      </c>
      <c r="N59" s="26">
        <v>0</v>
      </c>
      <c r="O59" s="26">
        <v>0</v>
      </c>
      <c r="P59" s="26">
        <v>0</v>
      </c>
      <c r="Q59" s="26">
        <v>0</v>
      </c>
      <c r="R59" s="26">
        <v>0</v>
      </c>
      <c r="S59" s="26">
        <v>0</v>
      </c>
      <c r="T59" s="26">
        <v>0</v>
      </c>
      <c r="U59" s="26">
        <v>0</v>
      </c>
      <c r="V59" s="26">
        <v>0</v>
      </c>
      <c r="W59" s="26">
        <v>0</v>
      </c>
      <c r="X59" s="26">
        <v>0</v>
      </c>
      <c r="Y59" s="26">
        <v>0</v>
      </c>
      <c r="Z59" s="26">
        <v>0</v>
      </c>
      <c r="AA59" s="26">
        <v>0</v>
      </c>
      <c r="AB59" s="26">
        <v>0</v>
      </c>
      <c r="AC59" s="26">
        <v>0</v>
      </c>
      <c r="AD59" s="26">
        <v>0</v>
      </c>
      <c r="AE59" s="26">
        <v>0</v>
      </c>
      <c r="AF59" s="26">
        <v>0</v>
      </c>
      <c r="AG59" s="26">
        <v>0</v>
      </c>
      <c r="AH59" s="26">
        <v>0</v>
      </c>
      <c r="AI59" s="26">
        <v>0</v>
      </c>
      <c r="AJ59" s="26">
        <v>0</v>
      </c>
      <c r="AK59" s="26">
        <v>0</v>
      </c>
      <c r="AL59" s="26">
        <v>0</v>
      </c>
      <c r="AM59" s="26">
        <v>0</v>
      </c>
      <c r="AN59" s="26">
        <v>0</v>
      </c>
      <c r="AO59" s="26">
        <v>0</v>
      </c>
      <c r="AP59" s="26">
        <v>0</v>
      </c>
      <c r="AQ59" s="26">
        <v>0</v>
      </c>
      <c r="AR59" s="26">
        <v>1</v>
      </c>
      <c r="AS59" s="26">
        <v>1</v>
      </c>
      <c r="AT59" s="26">
        <v>1</v>
      </c>
      <c r="AU59" s="26">
        <v>1</v>
      </c>
      <c r="AV59" s="26">
        <v>1</v>
      </c>
      <c r="AW59" s="26">
        <v>2</v>
      </c>
      <c r="AX59" s="26">
        <v>2</v>
      </c>
      <c r="AY59" s="26">
        <v>5</v>
      </c>
      <c r="AZ59" s="26">
        <v>5</v>
      </c>
      <c r="BA59" s="26">
        <v>5</v>
      </c>
      <c r="BB59" s="26">
        <v>5</v>
      </c>
      <c r="BC59" s="26">
        <v>5</v>
      </c>
      <c r="BD59" s="26">
        <v>5</v>
      </c>
      <c r="BE59" s="26">
        <v>11</v>
      </c>
      <c r="BF59">
        <v>11</v>
      </c>
      <c r="BG59">
        <v>11</v>
      </c>
      <c r="BH59">
        <v>21</v>
      </c>
      <c r="BI59">
        <v>21</v>
      </c>
      <c r="BJ59">
        <v>34</v>
      </c>
      <c r="BK59" t="s">
        <v>1390</v>
      </c>
    </row>
    <row r="60" spans="1:64" x14ac:dyDescent="0.25">
      <c r="A60" s="26"/>
      <c r="B60" s="26" t="s">
        <v>103</v>
      </c>
      <c r="C60" s="26">
        <v>-0.7893</v>
      </c>
      <c r="D60" s="26">
        <v>113.9213</v>
      </c>
      <c r="E60" s="26">
        <v>0</v>
      </c>
      <c r="F60" s="26">
        <v>0</v>
      </c>
      <c r="G60" s="26">
        <v>0</v>
      </c>
      <c r="H60" s="26">
        <v>0</v>
      </c>
      <c r="I60" s="26">
        <v>0</v>
      </c>
      <c r="J60" s="26">
        <v>0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6">
        <v>0</v>
      </c>
      <c r="T60" s="26">
        <v>0</v>
      </c>
      <c r="U60" s="26">
        <v>0</v>
      </c>
      <c r="V60" s="26">
        <v>0</v>
      </c>
      <c r="W60" s="26">
        <v>0</v>
      </c>
      <c r="X60" s="26">
        <v>0</v>
      </c>
      <c r="Y60" s="26">
        <v>0</v>
      </c>
      <c r="Z60" s="26">
        <v>0</v>
      </c>
      <c r="AA60" s="26">
        <v>0</v>
      </c>
      <c r="AB60" s="26">
        <v>0</v>
      </c>
      <c r="AC60" s="26">
        <v>0</v>
      </c>
      <c r="AD60" s="26">
        <v>0</v>
      </c>
      <c r="AE60" s="26">
        <v>0</v>
      </c>
      <c r="AF60" s="26">
        <v>0</v>
      </c>
      <c r="AG60" s="26">
        <v>0</v>
      </c>
      <c r="AH60" s="26">
        <v>0</v>
      </c>
      <c r="AI60" s="26">
        <v>0</v>
      </c>
      <c r="AJ60" s="26">
        <v>0</v>
      </c>
      <c r="AK60" s="26">
        <v>0</v>
      </c>
      <c r="AL60" s="26">
        <v>0</v>
      </c>
      <c r="AM60" s="26">
        <v>0</v>
      </c>
      <c r="AN60" s="26">
        <v>0</v>
      </c>
      <c r="AO60" s="26">
        <v>0</v>
      </c>
      <c r="AP60" s="26">
        <v>0</v>
      </c>
      <c r="AQ60" s="26">
        <v>0</v>
      </c>
      <c r="AR60" s="26">
        <v>0</v>
      </c>
      <c r="AS60" s="26">
        <v>2</v>
      </c>
      <c r="AT60" s="26">
        <v>2</v>
      </c>
      <c r="AU60" s="26">
        <v>2</v>
      </c>
      <c r="AV60" s="26">
        <v>2</v>
      </c>
      <c r="AW60" s="26">
        <v>4</v>
      </c>
      <c r="AX60" s="26">
        <v>4</v>
      </c>
      <c r="AY60" s="26">
        <v>6</v>
      </c>
      <c r="AZ60" s="26">
        <v>19</v>
      </c>
      <c r="BA60" s="26">
        <v>27</v>
      </c>
      <c r="BB60" s="26">
        <v>34</v>
      </c>
      <c r="BC60" s="26">
        <v>34</v>
      </c>
      <c r="BD60" s="26">
        <v>69</v>
      </c>
      <c r="BE60" s="26">
        <v>96</v>
      </c>
      <c r="BF60">
        <v>117</v>
      </c>
      <c r="BG60">
        <v>134</v>
      </c>
      <c r="BH60">
        <v>172</v>
      </c>
      <c r="BI60">
        <v>227</v>
      </c>
      <c r="BJ60">
        <v>311</v>
      </c>
      <c r="BK60" t="s">
        <v>1391</v>
      </c>
    </row>
    <row r="61" spans="1:64" x14ac:dyDescent="0.25">
      <c r="A61" s="26"/>
      <c r="B61" s="26" t="s">
        <v>104</v>
      </c>
      <c r="C61" s="26">
        <v>39.399900000000002</v>
      </c>
      <c r="D61" s="26">
        <v>-8.2245000000000008</v>
      </c>
      <c r="E61" s="26">
        <v>0</v>
      </c>
      <c r="F61" s="26">
        <v>0</v>
      </c>
      <c r="G61" s="26">
        <v>0</v>
      </c>
      <c r="H61" s="26">
        <v>0</v>
      </c>
      <c r="I61" s="26">
        <v>0</v>
      </c>
      <c r="J61" s="26">
        <v>0</v>
      </c>
      <c r="K61" s="26">
        <v>0</v>
      </c>
      <c r="L61" s="26">
        <v>0</v>
      </c>
      <c r="M61" s="26">
        <v>0</v>
      </c>
      <c r="N61" s="26">
        <v>0</v>
      </c>
      <c r="O61" s="26">
        <v>0</v>
      </c>
      <c r="P61" s="26">
        <v>0</v>
      </c>
      <c r="Q61" s="26">
        <v>0</v>
      </c>
      <c r="R61" s="26">
        <v>0</v>
      </c>
      <c r="S61" s="26">
        <v>0</v>
      </c>
      <c r="T61" s="26">
        <v>0</v>
      </c>
      <c r="U61" s="26">
        <v>0</v>
      </c>
      <c r="V61" s="26">
        <v>0</v>
      </c>
      <c r="W61" s="26">
        <v>0</v>
      </c>
      <c r="X61" s="26">
        <v>0</v>
      </c>
      <c r="Y61" s="26">
        <v>0</v>
      </c>
      <c r="Z61" s="26">
        <v>0</v>
      </c>
      <c r="AA61" s="26">
        <v>0</v>
      </c>
      <c r="AB61" s="26">
        <v>0</v>
      </c>
      <c r="AC61" s="26">
        <v>0</v>
      </c>
      <c r="AD61" s="26">
        <v>0</v>
      </c>
      <c r="AE61" s="26">
        <v>0</v>
      </c>
      <c r="AF61" s="26">
        <v>0</v>
      </c>
      <c r="AG61" s="26">
        <v>0</v>
      </c>
      <c r="AH61" s="26">
        <v>0</v>
      </c>
      <c r="AI61" s="26">
        <v>0</v>
      </c>
      <c r="AJ61" s="26">
        <v>0</v>
      </c>
      <c r="AK61" s="26">
        <v>0</v>
      </c>
      <c r="AL61" s="26">
        <v>0</v>
      </c>
      <c r="AM61" s="26">
        <v>0</v>
      </c>
      <c r="AN61" s="26">
        <v>0</v>
      </c>
      <c r="AO61" s="26">
        <v>0</v>
      </c>
      <c r="AP61" s="26">
        <v>0</v>
      </c>
      <c r="AQ61" s="26">
        <v>0</v>
      </c>
      <c r="AR61" s="26">
        <v>0</v>
      </c>
      <c r="AS61" s="26">
        <v>2</v>
      </c>
      <c r="AT61" s="26">
        <v>2</v>
      </c>
      <c r="AU61" s="26">
        <v>5</v>
      </c>
      <c r="AV61" s="26">
        <v>8</v>
      </c>
      <c r="AW61" s="26">
        <v>13</v>
      </c>
      <c r="AX61" s="26">
        <v>20</v>
      </c>
      <c r="AY61" s="26">
        <v>30</v>
      </c>
      <c r="AZ61" s="26">
        <v>30</v>
      </c>
      <c r="BA61" s="26">
        <v>41</v>
      </c>
      <c r="BB61" s="26">
        <v>59</v>
      </c>
      <c r="BC61" s="26">
        <v>59</v>
      </c>
      <c r="BD61" s="26">
        <v>112</v>
      </c>
      <c r="BE61" s="26">
        <v>169</v>
      </c>
      <c r="BF61">
        <v>245</v>
      </c>
      <c r="BG61">
        <v>331</v>
      </c>
      <c r="BH61">
        <v>448</v>
      </c>
      <c r="BI61">
        <v>448</v>
      </c>
      <c r="BJ61">
        <v>785</v>
      </c>
      <c r="BK61" t="s">
        <v>1392</v>
      </c>
    </row>
    <row r="62" spans="1:64" x14ac:dyDescent="0.25">
      <c r="A62" s="26"/>
      <c r="B62" s="26" t="s">
        <v>105</v>
      </c>
      <c r="C62" s="26">
        <v>42.506300000000003</v>
      </c>
      <c r="D62" s="26">
        <v>1.5218</v>
      </c>
      <c r="E62" s="26">
        <v>0</v>
      </c>
      <c r="F62" s="26">
        <v>0</v>
      </c>
      <c r="G62" s="26">
        <v>0</v>
      </c>
      <c r="H62" s="26">
        <v>0</v>
      </c>
      <c r="I62" s="26">
        <v>0</v>
      </c>
      <c r="J62" s="26">
        <v>0</v>
      </c>
      <c r="K62" s="26">
        <v>0</v>
      </c>
      <c r="L62" s="26">
        <v>0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6">
        <v>0</v>
      </c>
      <c r="T62" s="26">
        <v>0</v>
      </c>
      <c r="U62" s="26">
        <v>0</v>
      </c>
      <c r="V62" s="26">
        <v>0</v>
      </c>
      <c r="W62" s="26">
        <v>0</v>
      </c>
      <c r="X62" s="26">
        <v>0</v>
      </c>
      <c r="Y62" s="26">
        <v>0</v>
      </c>
      <c r="Z62" s="26">
        <v>0</v>
      </c>
      <c r="AA62" s="26">
        <v>0</v>
      </c>
      <c r="AB62" s="26">
        <v>0</v>
      </c>
      <c r="AC62" s="26">
        <v>0</v>
      </c>
      <c r="AD62" s="26">
        <v>0</v>
      </c>
      <c r="AE62" s="26">
        <v>0</v>
      </c>
      <c r="AF62" s="26">
        <v>0</v>
      </c>
      <c r="AG62" s="26">
        <v>0</v>
      </c>
      <c r="AH62" s="26">
        <v>0</v>
      </c>
      <c r="AI62" s="26">
        <v>0</v>
      </c>
      <c r="AJ62" s="26">
        <v>0</v>
      </c>
      <c r="AK62" s="26">
        <v>0</v>
      </c>
      <c r="AL62" s="26">
        <v>0</v>
      </c>
      <c r="AM62" s="26">
        <v>0</v>
      </c>
      <c r="AN62" s="26">
        <v>0</v>
      </c>
      <c r="AO62" s="26">
        <v>0</v>
      </c>
      <c r="AP62" s="26">
        <v>0</v>
      </c>
      <c r="AQ62" s="26">
        <v>0</v>
      </c>
      <c r="AR62" s="26">
        <v>0</v>
      </c>
      <c r="AS62" s="26">
        <v>1</v>
      </c>
      <c r="AT62" s="26">
        <v>1</v>
      </c>
      <c r="AU62" s="26">
        <v>1</v>
      </c>
      <c r="AV62" s="26">
        <v>1</v>
      </c>
      <c r="AW62" s="26">
        <v>1</v>
      </c>
      <c r="AX62" s="26">
        <v>1</v>
      </c>
      <c r="AY62" s="26">
        <v>1</v>
      </c>
      <c r="AZ62" s="26">
        <v>1</v>
      </c>
      <c r="BA62" s="26">
        <v>1</v>
      </c>
      <c r="BB62" s="26">
        <v>1</v>
      </c>
      <c r="BC62" s="26">
        <v>1</v>
      </c>
      <c r="BD62" s="26">
        <v>1</v>
      </c>
      <c r="BE62" s="26">
        <v>1</v>
      </c>
      <c r="BF62">
        <v>1</v>
      </c>
      <c r="BG62">
        <v>2</v>
      </c>
      <c r="BH62">
        <v>39</v>
      </c>
      <c r="BI62">
        <v>39</v>
      </c>
      <c r="BJ62">
        <v>53</v>
      </c>
      <c r="BK62" t="s">
        <v>470</v>
      </c>
    </row>
    <row r="63" spans="1:64" x14ac:dyDescent="0.25">
      <c r="A63" s="26" t="s">
        <v>106</v>
      </c>
      <c r="B63" s="26" t="s">
        <v>48</v>
      </c>
      <c r="C63" s="26">
        <v>-41.454500000000003</v>
      </c>
      <c r="D63" s="26">
        <v>145.97069999999999</v>
      </c>
      <c r="E63" s="26">
        <v>0</v>
      </c>
      <c r="F63" s="26">
        <v>0</v>
      </c>
      <c r="G63" s="26">
        <v>0</v>
      </c>
      <c r="H63" s="26">
        <v>0</v>
      </c>
      <c r="I63" s="26">
        <v>0</v>
      </c>
      <c r="J63" s="26">
        <v>0</v>
      </c>
      <c r="K63" s="26">
        <v>0</v>
      </c>
      <c r="L63" s="26">
        <v>0</v>
      </c>
      <c r="M63" s="26">
        <v>0</v>
      </c>
      <c r="N63" s="26">
        <v>0</v>
      </c>
      <c r="O63" s="26">
        <v>0</v>
      </c>
      <c r="P63" s="26">
        <v>0</v>
      </c>
      <c r="Q63" s="26">
        <v>0</v>
      </c>
      <c r="R63" s="26">
        <v>0</v>
      </c>
      <c r="S63" s="26">
        <v>0</v>
      </c>
      <c r="T63" s="26">
        <v>0</v>
      </c>
      <c r="U63" s="26">
        <v>0</v>
      </c>
      <c r="V63" s="26">
        <v>0</v>
      </c>
      <c r="W63" s="26">
        <v>0</v>
      </c>
      <c r="X63" s="26">
        <v>0</v>
      </c>
      <c r="Y63" s="26">
        <v>0</v>
      </c>
      <c r="Z63" s="26">
        <v>0</v>
      </c>
      <c r="AA63" s="26">
        <v>0</v>
      </c>
      <c r="AB63" s="26">
        <v>0</v>
      </c>
      <c r="AC63" s="26">
        <v>0</v>
      </c>
      <c r="AD63" s="26">
        <v>0</v>
      </c>
      <c r="AE63" s="26">
        <v>0</v>
      </c>
      <c r="AF63" s="26">
        <v>0</v>
      </c>
      <c r="AG63" s="26">
        <v>0</v>
      </c>
      <c r="AH63" s="26">
        <v>0</v>
      </c>
      <c r="AI63" s="26">
        <v>0</v>
      </c>
      <c r="AJ63" s="26">
        <v>0</v>
      </c>
      <c r="AK63" s="26">
        <v>0</v>
      </c>
      <c r="AL63" s="26">
        <v>0</v>
      </c>
      <c r="AM63" s="26">
        <v>0</v>
      </c>
      <c r="AN63" s="26">
        <v>0</v>
      </c>
      <c r="AO63" s="26">
        <v>0</v>
      </c>
      <c r="AP63" s="26">
        <v>0</v>
      </c>
      <c r="AQ63" s="26">
        <v>0</v>
      </c>
      <c r="AR63" s="26">
        <v>0</v>
      </c>
      <c r="AS63" s="26">
        <v>1</v>
      </c>
      <c r="AT63" s="26">
        <v>1</v>
      </c>
      <c r="AU63" s="26">
        <v>1</v>
      </c>
      <c r="AV63" s="26">
        <v>1</v>
      </c>
      <c r="AW63" s="26">
        <v>1</v>
      </c>
      <c r="AX63" s="26">
        <v>1</v>
      </c>
      <c r="AY63" s="26">
        <v>2</v>
      </c>
      <c r="AZ63" s="26">
        <v>2</v>
      </c>
      <c r="BA63" s="26">
        <v>2</v>
      </c>
      <c r="BB63" s="26">
        <v>3</v>
      </c>
      <c r="BC63" s="26">
        <v>3</v>
      </c>
      <c r="BD63" s="26">
        <v>5</v>
      </c>
      <c r="BE63" s="26">
        <v>5</v>
      </c>
      <c r="BF63">
        <v>6</v>
      </c>
      <c r="BG63">
        <v>7</v>
      </c>
      <c r="BH63">
        <v>7</v>
      </c>
      <c r="BI63">
        <v>10</v>
      </c>
      <c r="BJ63">
        <v>10</v>
      </c>
      <c r="BK63" t="s">
        <v>454</v>
      </c>
    </row>
    <row r="64" spans="1:64" x14ac:dyDescent="0.25">
      <c r="A64" s="26"/>
      <c r="B64" s="26" t="s">
        <v>107</v>
      </c>
      <c r="C64" s="26">
        <v>56.879600000000003</v>
      </c>
      <c r="D64" s="26">
        <v>24.603200000000001</v>
      </c>
      <c r="E64" s="26">
        <v>0</v>
      </c>
      <c r="F64" s="26">
        <v>0</v>
      </c>
      <c r="G64" s="26">
        <v>0</v>
      </c>
      <c r="H64" s="26">
        <v>0</v>
      </c>
      <c r="I64" s="26">
        <v>0</v>
      </c>
      <c r="J64" s="26">
        <v>0</v>
      </c>
      <c r="K64" s="26">
        <v>0</v>
      </c>
      <c r="L64" s="26">
        <v>0</v>
      </c>
      <c r="M64" s="2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6">
        <v>0</v>
      </c>
      <c r="T64" s="26">
        <v>0</v>
      </c>
      <c r="U64" s="26">
        <v>0</v>
      </c>
      <c r="V64" s="26">
        <v>0</v>
      </c>
      <c r="W64" s="26">
        <v>0</v>
      </c>
      <c r="X64" s="26">
        <v>0</v>
      </c>
      <c r="Y64" s="26">
        <v>0</v>
      </c>
      <c r="Z64" s="26">
        <v>0</v>
      </c>
      <c r="AA64" s="26">
        <v>0</v>
      </c>
      <c r="AB64" s="26">
        <v>0</v>
      </c>
      <c r="AC64" s="26">
        <v>0</v>
      </c>
      <c r="AD64" s="26">
        <v>0</v>
      </c>
      <c r="AE64" s="26">
        <v>0</v>
      </c>
      <c r="AF64" s="26">
        <v>0</v>
      </c>
      <c r="AG64" s="26">
        <v>0</v>
      </c>
      <c r="AH64" s="26">
        <v>0</v>
      </c>
      <c r="AI64" s="26">
        <v>0</v>
      </c>
      <c r="AJ64" s="26">
        <v>0</v>
      </c>
      <c r="AK64" s="26">
        <v>0</v>
      </c>
      <c r="AL64" s="26">
        <v>0</v>
      </c>
      <c r="AM64" s="26">
        <v>0</v>
      </c>
      <c r="AN64" s="26">
        <v>0</v>
      </c>
      <c r="AO64" s="26">
        <v>0</v>
      </c>
      <c r="AP64" s="26">
        <v>0</v>
      </c>
      <c r="AQ64" s="26">
        <v>0</v>
      </c>
      <c r="AR64" s="26">
        <v>0</v>
      </c>
      <c r="AS64" s="26">
        <v>1</v>
      </c>
      <c r="AT64" s="26">
        <v>1</v>
      </c>
      <c r="AU64" s="26">
        <v>1</v>
      </c>
      <c r="AV64" s="26">
        <v>1</v>
      </c>
      <c r="AW64" s="26">
        <v>1</v>
      </c>
      <c r="AX64" s="26">
        <v>1</v>
      </c>
      <c r="AY64" s="26">
        <v>2</v>
      </c>
      <c r="AZ64" s="26">
        <v>6</v>
      </c>
      <c r="BA64" s="26">
        <v>8</v>
      </c>
      <c r="BB64" s="26">
        <v>10</v>
      </c>
      <c r="BC64" s="26">
        <v>10</v>
      </c>
      <c r="BD64" s="26">
        <v>17</v>
      </c>
      <c r="BE64" s="26">
        <v>26</v>
      </c>
      <c r="BF64">
        <v>30</v>
      </c>
      <c r="BG64">
        <v>34</v>
      </c>
      <c r="BH64">
        <v>49</v>
      </c>
      <c r="BI64">
        <v>71</v>
      </c>
      <c r="BJ64">
        <v>86</v>
      </c>
      <c r="BK64" t="s">
        <v>1258</v>
      </c>
    </row>
    <row r="65" spans="1:66" x14ac:dyDescent="0.25">
      <c r="A65" s="26"/>
      <c r="B65" s="26" t="s">
        <v>108</v>
      </c>
      <c r="C65" s="26">
        <v>31.791699999999999</v>
      </c>
      <c r="D65" s="26">
        <v>-7.0926</v>
      </c>
      <c r="E65" s="26">
        <v>0</v>
      </c>
      <c r="F65" s="26">
        <v>0</v>
      </c>
      <c r="G65" s="26">
        <v>0</v>
      </c>
      <c r="H65" s="26">
        <v>0</v>
      </c>
      <c r="I65" s="26">
        <v>0</v>
      </c>
      <c r="J65" s="26">
        <v>0</v>
      </c>
      <c r="K65" s="26">
        <v>0</v>
      </c>
      <c r="L65" s="26">
        <v>0</v>
      </c>
      <c r="M65" s="26">
        <v>0</v>
      </c>
      <c r="N65" s="26">
        <v>0</v>
      </c>
      <c r="O65" s="26">
        <v>0</v>
      </c>
      <c r="P65" s="26">
        <v>0</v>
      </c>
      <c r="Q65" s="26">
        <v>0</v>
      </c>
      <c r="R65" s="26">
        <v>0</v>
      </c>
      <c r="S65" s="26">
        <v>0</v>
      </c>
      <c r="T65" s="26">
        <v>0</v>
      </c>
      <c r="U65" s="26">
        <v>0</v>
      </c>
      <c r="V65" s="26">
        <v>0</v>
      </c>
      <c r="W65" s="26">
        <v>0</v>
      </c>
      <c r="X65" s="26">
        <v>0</v>
      </c>
      <c r="Y65" s="26">
        <v>0</v>
      </c>
      <c r="Z65" s="26">
        <v>0</v>
      </c>
      <c r="AA65" s="26">
        <v>0</v>
      </c>
      <c r="AB65" s="26">
        <v>0</v>
      </c>
      <c r="AC65" s="26">
        <v>0</v>
      </c>
      <c r="AD65" s="26">
        <v>0</v>
      </c>
      <c r="AE65" s="26">
        <v>0</v>
      </c>
      <c r="AF65" s="26">
        <v>0</v>
      </c>
      <c r="AG65" s="26">
        <v>0</v>
      </c>
      <c r="AH65" s="26">
        <v>0</v>
      </c>
      <c r="AI65" s="26">
        <v>0</v>
      </c>
      <c r="AJ65" s="26">
        <v>0</v>
      </c>
      <c r="AK65" s="26">
        <v>0</v>
      </c>
      <c r="AL65" s="26">
        <v>0</v>
      </c>
      <c r="AM65" s="26">
        <v>0</v>
      </c>
      <c r="AN65" s="26">
        <v>0</v>
      </c>
      <c r="AO65" s="26">
        <v>0</v>
      </c>
      <c r="AP65" s="26">
        <v>0</v>
      </c>
      <c r="AQ65" s="26">
        <v>0</v>
      </c>
      <c r="AR65" s="26">
        <v>0</v>
      </c>
      <c r="AS65" s="26">
        <v>1</v>
      </c>
      <c r="AT65" s="26">
        <v>1</v>
      </c>
      <c r="AU65" s="26">
        <v>1</v>
      </c>
      <c r="AV65" s="26">
        <v>2</v>
      </c>
      <c r="AW65" s="26">
        <v>2</v>
      </c>
      <c r="AX65" s="26">
        <v>2</v>
      </c>
      <c r="AY65" s="26">
        <v>2</v>
      </c>
      <c r="AZ65" s="26">
        <v>2</v>
      </c>
      <c r="BA65" s="26">
        <v>3</v>
      </c>
      <c r="BB65" s="26">
        <v>5</v>
      </c>
      <c r="BC65" s="26">
        <v>6</v>
      </c>
      <c r="BD65" s="26">
        <v>7</v>
      </c>
      <c r="BE65" s="26">
        <v>17</v>
      </c>
      <c r="BF65">
        <v>28</v>
      </c>
      <c r="BG65">
        <v>29</v>
      </c>
      <c r="BH65">
        <v>38</v>
      </c>
      <c r="BI65">
        <v>49</v>
      </c>
      <c r="BJ65">
        <v>63</v>
      </c>
      <c r="BK65" t="s">
        <v>1268</v>
      </c>
    </row>
    <row r="66" spans="1:66" x14ac:dyDescent="0.25">
      <c r="A66" s="26"/>
      <c r="B66" s="26" t="s">
        <v>109</v>
      </c>
      <c r="C66" s="26">
        <v>24</v>
      </c>
      <c r="D66" s="26">
        <v>45</v>
      </c>
      <c r="E66" s="26">
        <v>0</v>
      </c>
      <c r="F66" s="26">
        <v>0</v>
      </c>
      <c r="G66" s="26">
        <v>0</v>
      </c>
      <c r="H66" s="26">
        <v>0</v>
      </c>
      <c r="I66" s="26">
        <v>0</v>
      </c>
      <c r="J66" s="26">
        <v>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6">
        <v>0</v>
      </c>
      <c r="T66" s="26">
        <v>0</v>
      </c>
      <c r="U66" s="26">
        <v>0</v>
      </c>
      <c r="V66" s="26">
        <v>0</v>
      </c>
      <c r="W66" s="26">
        <v>0</v>
      </c>
      <c r="X66" s="26">
        <v>0</v>
      </c>
      <c r="Y66" s="26">
        <v>0</v>
      </c>
      <c r="Z66" s="26">
        <v>0</v>
      </c>
      <c r="AA66" s="26">
        <v>0</v>
      </c>
      <c r="AB66" s="26">
        <v>0</v>
      </c>
      <c r="AC66" s="26">
        <v>0</v>
      </c>
      <c r="AD66" s="26">
        <v>0</v>
      </c>
      <c r="AE66" s="26">
        <v>0</v>
      </c>
      <c r="AF66" s="26">
        <v>0</v>
      </c>
      <c r="AG66" s="26">
        <v>0</v>
      </c>
      <c r="AH66" s="26">
        <v>0</v>
      </c>
      <c r="AI66" s="26">
        <v>0</v>
      </c>
      <c r="AJ66" s="26">
        <v>0</v>
      </c>
      <c r="AK66" s="26">
        <v>0</v>
      </c>
      <c r="AL66" s="26">
        <v>0</v>
      </c>
      <c r="AM66" s="26">
        <v>0</v>
      </c>
      <c r="AN66" s="26">
        <v>0</v>
      </c>
      <c r="AO66" s="26">
        <v>0</v>
      </c>
      <c r="AP66" s="26">
        <v>0</v>
      </c>
      <c r="AQ66" s="26">
        <v>0</v>
      </c>
      <c r="AR66" s="26">
        <v>0</v>
      </c>
      <c r="AS66" s="26">
        <v>1</v>
      </c>
      <c r="AT66" s="26">
        <v>1</v>
      </c>
      <c r="AU66" s="26">
        <v>1</v>
      </c>
      <c r="AV66" s="26">
        <v>5</v>
      </c>
      <c r="AW66" s="26">
        <v>5</v>
      </c>
      <c r="AX66" s="26">
        <v>5</v>
      </c>
      <c r="AY66" s="26">
        <v>11</v>
      </c>
      <c r="AZ66" s="26">
        <v>15</v>
      </c>
      <c r="BA66" s="26">
        <v>20</v>
      </c>
      <c r="BB66" s="26">
        <v>21</v>
      </c>
      <c r="BC66" s="26">
        <v>45</v>
      </c>
      <c r="BD66" s="26">
        <v>86</v>
      </c>
      <c r="BE66" s="26">
        <v>103</v>
      </c>
      <c r="BF66">
        <v>103</v>
      </c>
      <c r="BG66">
        <v>118</v>
      </c>
      <c r="BH66">
        <v>171</v>
      </c>
      <c r="BI66">
        <v>171</v>
      </c>
      <c r="BJ66">
        <v>274</v>
      </c>
      <c r="BK66" t="s">
        <v>1393</v>
      </c>
    </row>
    <row r="67" spans="1:66" x14ac:dyDescent="0.25">
      <c r="A67" s="26"/>
      <c r="B67" s="26" t="s">
        <v>110</v>
      </c>
      <c r="C67" s="26">
        <v>14.497400000000001</v>
      </c>
      <c r="D67" s="26">
        <v>-14.452400000000001</v>
      </c>
      <c r="E67" s="26">
        <v>0</v>
      </c>
      <c r="F67" s="26">
        <v>0</v>
      </c>
      <c r="G67" s="26">
        <v>0</v>
      </c>
      <c r="H67" s="26">
        <v>0</v>
      </c>
      <c r="I67" s="26">
        <v>0</v>
      </c>
      <c r="J67" s="26">
        <v>0</v>
      </c>
      <c r="K67" s="26">
        <v>0</v>
      </c>
      <c r="L67" s="26">
        <v>0</v>
      </c>
      <c r="M67" s="26">
        <v>0</v>
      </c>
      <c r="N67" s="26">
        <v>0</v>
      </c>
      <c r="O67" s="26">
        <v>0</v>
      </c>
      <c r="P67" s="26">
        <v>0</v>
      </c>
      <c r="Q67" s="26">
        <v>0</v>
      </c>
      <c r="R67" s="26">
        <v>0</v>
      </c>
      <c r="S67" s="26">
        <v>0</v>
      </c>
      <c r="T67" s="26">
        <v>0</v>
      </c>
      <c r="U67" s="26">
        <v>0</v>
      </c>
      <c r="V67" s="26">
        <v>0</v>
      </c>
      <c r="W67" s="26">
        <v>0</v>
      </c>
      <c r="X67" s="26">
        <v>0</v>
      </c>
      <c r="Y67" s="26">
        <v>0</v>
      </c>
      <c r="Z67" s="26">
        <v>0</v>
      </c>
      <c r="AA67" s="26">
        <v>0</v>
      </c>
      <c r="AB67" s="26">
        <v>0</v>
      </c>
      <c r="AC67" s="26">
        <v>0</v>
      </c>
      <c r="AD67" s="26">
        <v>0</v>
      </c>
      <c r="AE67" s="26">
        <v>0</v>
      </c>
      <c r="AF67" s="26">
        <v>0</v>
      </c>
      <c r="AG67" s="26">
        <v>0</v>
      </c>
      <c r="AH67" s="26">
        <v>0</v>
      </c>
      <c r="AI67" s="26">
        <v>0</v>
      </c>
      <c r="AJ67" s="26">
        <v>0</v>
      </c>
      <c r="AK67" s="26">
        <v>0</v>
      </c>
      <c r="AL67" s="26">
        <v>0</v>
      </c>
      <c r="AM67" s="26">
        <v>0</v>
      </c>
      <c r="AN67" s="26">
        <v>0</v>
      </c>
      <c r="AO67" s="26">
        <v>0</v>
      </c>
      <c r="AP67" s="26">
        <v>0</v>
      </c>
      <c r="AQ67" s="26">
        <v>0</v>
      </c>
      <c r="AR67" s="26">
        <v>0</v>
      </c>
      <c r="AS67" s="26">
        <v>1</v>
      </c>
      <c r="AT67" s="26">
        <v>2</v>
      </c>
      <c r="AU67" s="26">
        <v>4</v>
      </c>
      <c r="AV67" s="26">
        <v>4</v>
      </c>
      <c r="AW67" s="26">
        <v>4</v>
      </c>
      <c r="AX67" s="26">
        <v>4</v>
      </c>
      <c r="AY67" s="26">
        <v>4</v>
      </c>
      <c r="AZ67" s="26">
        <v>4</v>
      </c>
      <c r="BA67" s="26">
        <v>4</v>
      </c>
      <c r="BB67" s="26">
        <v>4</v>
      </c>
      <c r="BC67" s="26">
        <v>4</v>
      </c>
      <c r="BD67" s="26">
        <v>10</v>
      </c>
      <c r="BE67" s="26">
        <v>10</v>
      </c>
      <c r="BF67">
        <v>24</v>
      </c>
      <c r="BG67">
        <v>24</v>
      </c>
      <c r="BH67">
        <v>26</v>
      </c>
      <c r="BI67">
        <v>31</v>
      </c>
      <c r="BJ67">
        <v>31</v>
      </c>
      <c r="BK67" t="s">
        <v>1256</v>
      </c>
    </row>
    <row r="68" spans="1:66" x14ac:dyDescent="0.25">
      <c r="A68" s="26"/>
      <c r="B68" s="26" t="s">
        <v>111</v>
      </c>
      <c r="C68" s="26">
        <v>-38.4161</v>
      </c>
      <c r="D68" s="26">
        <v>-63.616700000000002</v>
      </c>
      <c r="E68" s="26">
        <v>0</v>
      </c>
      <c r="F68" s="26">
        <v>0</v>
      </c>
      <c r="G68" s="26">
        <v>0</v>
      </c>
      <c r="H68" s="26">
        <v>0</v>
      </c>
      <c r="I68" s="26">
        <v>0</v>
      </c>
      <c r="J68" s="26">
        <v>0</v>
      </c>
      <c r="K68" s="26">
        <v>0</v>
      </c>
      <c r="L68" s="26">
        <v>0</v>
      </c>
      <c r="M68" s="26">
        <v>0</v>
      </c>
      <c r="N68" s="26">
        <v>0</v>
      </c>
      <c r="O68" s="26">
        <v>0</v>
      </c>
      <c r="P68" s="26">
        <v>0</v>
      </c>
      <c r="Q68" s="26">
        <v>0</v>
      </c>
      <c r="R68" s="26">
        <v>0</v>
      </c>
      <c r="S68" s="26">
        <v>0</v>
      </c>
      <c r="T68" s="26">
        <v>0</v>
      </c>
      <c r="U68" s="26">
        <v>0</v>
      </c>
      <c r="V68" s="26">
        <v>0</v>
      </c>
      <c r="W68" s="26">
        <v>0</v>
      </c>
      <c r="X68" s="26">
        <v>0</v>
      </c>
      <c r="Y68" s="26">
        <v>0</v>
      </c>
      <c r="Z68" s="26">
        <v>0</v>
      </c>
      <c r="AA68" s="26">
        <v>0</v>
      </c>
      <c r="AB68" s="26">
        <v>0</v>
      </c>
      <c r="AC68" s="26">
        <v>0</v>
      </c>
      <c r="AD68" s="26">
        <v>0</v>
      </c>
      <c r="AE68" s="26">
        <v>0</v>
      </c>
      <c r="AF68" s="26">
        <v>0</v>
      </c>
      <c r="AG68" s="26">
        <v>0</v>
      </c>
      <c r="AH68" s="26">
        <v>0</v>
      </c>
      <c r="AI68" s="26">
        <v>0</v>
      </c>
      <c r="AJ68" s="26">
        <v>0</v>
      </c>
      <c r="AK68" s="26">
        <v>0</v>
      </c>
      <c r="AL68" s="26">
        <v>0</v>
      </c>
      <c r="AM68" s="26">
        <v>0</v>
      </c>
      <c r="AN68" s="26">
        <v>0</v>
      </c>
      <c r="AO68" s="26">
        <v>0</v>
      </c>
      <c r="AP68" s="26">
        <v>0</v>
      </c>
      <c r="AQ68" s="26">
        <v>0</v>
      </c>
      <c r="AR68" s="26">
        <v>0</v>
      </c>
      <c r="AS68" s="26">
        <v>0</v>
      </c>
      <c r="AT68" s="26">
        <v>1</v>
      </c>
      <c r="AU68" s="26">
        <v>1</v>
      </c>
      <c r="AV68" s="26">
        <v>1</v>
      </c>
      <c r="AW68" s="26">
        <v>2</v>
      </c>
      <c r="AX68" s="26">
        <v>8</v>
      </c>
      <c r="AY68" s="26">
        <v>12</v>
      </c>
      <c r="AZ68" s="26">
        <v>12</v>
      </c>
      <c r="BA68" s="26">
        <v>17</v>
      </c>
      <c r="BB68" s="26">
        <v>19</v>
      </c>
      <c r="BC68" s="26">
        <v>19</v>
      </c>
      <c r="BD68" s="26">
        <v>31</v>
      </c>
      <c r="BE68" s="26">
        <v>34</v>
      </c>
      <c r="BF68">
        <v>45</v>
      </c>
      <c r="BG68">
        <v>56</v>
      </c>
      <c r="BH68">
        <v>68</v>
      </c>
      <c r="BI68">
        <v>79</v>
      </c>
      <c r="BJ68">
        <v>97</v>
      </c>
      <c r="BK68" t="s">
        <v>1369</v>
      </c>
    </row>
    <row r="69" spans="1:66" x14ac:dyDescent="0.25">
      <c r="A69" s="26"/>
      <c r="B69" s="26" t="s">
        <v>112</v>
      </c>
      <c r="C69" s="26">
        <v>-35.6751</v>
      </c>
      <c r="D69" s="26">
        <v>-71.543000000000006</v>
      </c>
      <c r="E69" s="26">
        <v>0</v>
      </c>
      <c r="F69" s="26">
        <v>0</v>
      </c>
      <c r="G69" s="26">
        <v>0</v>
      </c>
      <c r="H69" s="26">
        <v>0</v>
      </c>
      <c r="I69" s="26">
        <v>0</v>
      </c>
      <c r="J69" s="26">
        <v>0</v>
      </c>
      <c r="K69" s="26">
        <v>0</v>
      </c>
      <c r="L69" s="26">
        <v>0</v>
      </c>
      <c r="M69" s="26">
        <v>0</v>
      </c>
      <c r="N69" s="26">
        <v>0</v>
      </c>
      <c r="O69" s="26">
        <v>0</v>
      </c>
      <c r="P69" s="26">
        <v>0</v>
      </c>
      <c r="Q69" s="26">
        <v>0</v>
      </c>
      <c r="R69" s="26">
        <v>0</v>
      </c>
      <c r="S69" s="26">
        <v>0</v>
      </c>
      <c r="T69" s="26">
        <v>0</v>
      </c>
      <c r="U69" s="26">
        <v>0</v>
      </c>
      <c r="V69" s="26">
        <v>0</v>
      </c>
      <c r="W69" s="26">
        <v>0</v>
      </c>
      <c r="X69" s="26">
        <v>0</v>
      </c>
      <c r="Y69" s="26">
        <v>0</v>
      </c>
      <c r="Z69" s="26">
        <v>0</v>
      </c>
      <c r="AA69" s="26">
        <v>0</v>
      </c>
      <c r="AB69" s="26">
        <v>0</v>
      </c>
      <c r="AC69" s="26">
        <v>0</v>
      </c>
      <c r="AD69" s="26">
        <v>0</v>
      </c>
      <c r="AE69" s="26">
        <v>0</v>
      </c>
      <c r="AF69" s="26">
        <v>0</v>
      </c>
      <c r="AG69" s="26">
        <v>0</v>
      </c>
      <c r="AH69" s="26">
        <v>0</v>
      </c>
      <c r="AI69" s="26">
        <v>0</v>
      </c>
      <c r="AJ69" s="26">
        <v>0</v>
      </c>
      <c r="AK69" s="26">
        <v>0</v>
      </c>
      <c r="AL69" s="26">
        <v>0</v>
      </c>
      <c r="AM69" s="26">
        <v>0</v>
      </c>
      <c r="AN69" s="26">
        <v>0</v>
      </c>
      <c r="AO69" s="26">
        <v>0</v>
      </c>
      <c r="AP69" s="26">
        <v>0</v>
      </c>
      <c r="AQ69" s="26">
        <v>0</v>
      </c>
      <c r="AR69" s="26">
        <v>0</v>
      </c>
      <c r="AS69" s="26">
        <v>0</v>
      </c>
      <c r="AT69" s="26">
        <v>1</v>
      </c>
      <c r="AU69" s="26">
        <v>1</v>
      </c>
      <c r="AV69" s="26">
        <v>4</v>
      </c>
      <c r="AW69" s="26">
        <v>4</v>
      </c>
      <c r="AX69" s="26">
        <v>4</v>
      </c>
      <c r="AY69" s="26">
        <v>8</v>
      </c>
      <c r="AZ69" s="26">
        <v>8</v>
      </c>
      <c r="BA69" s="26">
        <v>13</v>
      </c>
      <c r="BB69" s="26">
        <v>23</v>
      </c>
      <c r="BC69" s="26">
        <v>23</v>
      </c>
      <c r="BD69" s="26">
        <v>43</v>
      </c>
      <c r="BE69" s="26">
        <v>61</v>
      </c>
      <c r="BF69">
        <v>74</v>
      </c>
      <c r="BG69">
        <v>155</v>
      </c>
      <c r="BH69">
        <v>201</v>
      </c>
      <c r="BI69">
        <v>238</v>
      </c>
      <c r="BJ69">
        <v>238</v>
      </c>
      <c r="BK69" t="s">
        <v>1394</v>
      </c>
    </row>
    <row r="70" spans="1:66" x14ac:dyDescent="0.25">
      <c r="A70" s="26"/>
      <c r="B70" s="26" t="s">
        <v>113</v>
      </c>
      <c r="C70" s="26">
        <v>31.24</v>
      </c>
      <c r="D70" s="26">
        <v>36.51</v>
      </c>
      <c r="E70" s="26">
        <v>0</v>
      </c>
      <c r="F70" s="26">
        <v>0</v>
      </c>
      <c r="G70" s="26">
        <v>0</v>
      </c>
      <c r="H70" s="26">
        <v>0</v>
      </c>
      <c r="I70" s="26">
        <v>0</v>
      </c>
      <c r="J70" s="26">
        <v>0</v>
      </c>
      <c r="K70" s="26">
        <v>0</v>
      </c>
      <c r="L70" s="26">
        <v>0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6">
        <v>0</v>
      </c>
      <c r="T70" s="26">
        <v>0</v>
      </c>
      <c r="U70" s="26">
        <v>0</v>
      </c>
      <c r="V70" s="26">
        <v>0</v>
      </c>
      <c r="W70" s="26">
        <v>0</v>
      </c>
      <c r="X70" s="26">
        <v>0</v>
      </c>
      <c r="Y70" s="26">
        <v>0</v>
      </c>
      <c r="Z70" s="26">
        <v>0</v>
      </c>
      <c r="AA70" s="26">
        <v>0</v>
      </c>
      <c r="AB70" s="26">
        <v>0</v>
      </c>
      <c r="AC70" s="26">
        <v>0</v>
      </c>
      <c r="AD70" s="26">
        <v>0</v>
      </c>
      <c r="AE70" s="26">
        <v>0</v>
      </c>
      <c r="AF70" s="26">
        <v>0</v>
      </c>
      <c r="AG70" s="26">
        <v>0</v>
      </c>
      <c r="AH70" s="26">
        <v>0</v>
      </c>
      <c r="AI70" s="26">
        <v>0</v>
      </c>
      <c r="AJ70" s="26">
        <v>0</v>
      </c>
      <c r="AK70" s="26">
        <v>0</v>
      </c>
      <c r="AL70" s="26">
        <v>0</v>
      </c>
      <c r="AM70" s="26">
        <v>0</v>
      </c>
      <c r="AN70" s="26">
        <v>0</v>
      </c>
      <c r="AO70" s="26">
        <v>0</v>
      </c>
      <c r="AP70" s="26">
        <v>0</v>
      </c>
      <c r="AQ70" s="26">
        <v>0</v>
      </c>
      <c r="AR70" s="26">
        <v>0</v>
      </c>
      <c r="AS70" s="26">
        <v>0</v>
      </c>
      <c r="AT70" s="26">
        <v>1</v>
      </c>
      <c r="AU70" s="26">
        <v>1</v>
      </c>
      <c r="AV70" s="26">
        <v>1</v>
      </c>
      <c r="AW70" s="26">
        <v>1</v>
      </c>
      <c r="AX70" s="26">
        <v>1</v>
      </c>
      <c r="AY70" s="26">
        <v>1</v>
      </c>
      <c r="AZ70" s="26">
        <v>1</v>
      </c>
      <c r="BA70" s="26">
        <v>1</v>
      </c>
      <c r="BB70" s="26">
        <v>1</v>
      </c>
      <c r="BC70" s="26">
        <v>1</v>
      </c>
      <c r="BD70" s="26">
        <v>1</v>
      </c>
      <c r="BE70" s="26">
        <v>1</v>
      </c>
      <c r="BF70">
        <v>8</v>
      </c>
      <c r="BG70">
        <v>17</v>
      </c>
      <c r="BH70">
        <v>34</v>
      </c>
      <c r="BI70">
        <v>52</v>
      </c>
      <c r="BJ70">
        <v>69</v>
      </c>
      <c r="BK70" t="s">
        <v>1266</v>
      </c>
    </row>
    <row r="71" spans="1:66" x14ac:dyDescent="0.25">
      <c r="A71" s="26"/>
      <c r="B71" s="26" t="s">
        <v>114</v>
      </c>
      <c r="C71" s="26">
        <v>48.379399999999997</v>
      </c>
      <c r="D71" s="26">
        <v>31.165600000000001</v>
      </c>
      <c r="E71" s="26">
        <v>0</v>
      </c>
      <c r="F71" s="26">
        <v>0</v>
      </c>
      <c r="G71" s="26">
        <v>0</v>
      </c>
      <c r="H71" s="26">
        <v>0</v>
      </c>
      <c r="I71" s="26">
        <v>0</v>
      </c>
      <c r="J71" s="26">
        <v>0</v>
      </c>
      <c r="K71" s="26">
        <v>0</v>
      </c>
      <c r="L71" s="26">
        <v>0</v>
      </c>
      <c r="M71" s="26">
        <v>0</v>
      </c>
      <c r="N71" s="26">
        <v>0</v>
      </c>
      <c r="O71" s="26">
        <v>0</v>
      </c>
      <c r="P71" s="26">
        <v>0</v>
      </c>
      <c r="Q71" s="26">
        <v>0</v>
      </c>
      <c r="R71" s="26">
        <v>0</v>
      </c>
      <c r="S71" s="26">
        <v>0</v>
      </c>
      <c r="T71" s="26">
        <v>0</v>
      </c>
      <c r="U71" s="26">
        <v>0</v>
      </c>
      <c r="V71" s="26">
        <v>0</v>
      </c>
      <c r="W71" s="26">
        <v>0</v>
      </c>
      <c r="X71" s="26">
        <v>0</v>
      </c>
      <c r="Y71" s="26">
        <v>0</v>
      </c>
      <c r="Z71" s="26">
        <v>0</v>
      </c>
      <c r="AA71" s="26">
        <v>0</v>
      </c>
      <c r="AB71" s="26">
        <v>0</v>
      </c>
      <c r="AC71" s="26">
        <v>0</v>
      </c>
      <c r="AD71" s="26">
        <v>0</v>
      </c>
      <c r="AE71" s="26">
        <v>0</v>
      </c>
      <c r="AF71" s="26">
        <v>0</v>
      </c>
      <c r="AG71" s="26">
        <v>0</v>
      </c>
      <c r="AH71" s="26">
        <v>0</v>
      </c>
      <c r="AI71" s="26">
        <v>0</v>
      </c>
      <c r="AJ71" s="26">
        <v>0</v>
      </c>
      <c r="AK71" s="26">
        <v>0</v>
      </c>
      <c r="AL71" s="26">
        <v>0</v>
      </c>
      <c r="AM71" s="26">
        <v>0</v>
      </c>
      <c r="AN71" s="26">
        <v>0</v>
      </c>
      <c r="AO71" s="26">
        <v>0</v>
      </c>
      <c r="AP71" s="26">
        <v>0</v>
      </c>
      <c r="AQ71" s="26">
        <v>0</v>
      </c>
      <c r="AR71" s="26">
        <v>0</v>
      </c>
      <c r="AS71" s="26">
        <v>0</v>
      </c>
      <c r="AT71" s="26">
        <v>1</v>
      </c>
      <c r="AU71" s="26">
        <v>1</v>
      </c>
      <c r="AV71" s="26">
        <v>1</v>
      </c>
      <c r="AW71" s="26">
        <v>1</v>
      </c>
      <c r="AX71" s="26">
        <v>1</v>
      </c>
      <c r="AY71" s="26">
        <v>1</v>
      </c>
      <c r="AZ71" s="26">
        <v>1</v>
      </c>
      <c r="BA71" s="26">
        <v>1</v>
      </c>
      <c r="BB71" s="26">
        <v>1</v>
      </c>
      <c r="BC71" s="26">
        <v>1</v>
      </c>
      <c r="BD71" s="26">
        <v>3</v>
      </c>
      <c r="BE71" s="26">
        <v>3</v>
      </c>
      <c r="BF71">
        <v>3</v>
      </c>
      <c r="BG71">
        <v>7</v>
      </c>
      <c r="BH71">
        <v>14</v>
      </c>
      <c r="BI71">
        <v>14</v>
      </c>
      <c r="BJ71">
        <v>16</v>
      </c>
      <c r="BK71" t="s">
        <v>1260</v>
      </c>
    </row>
    <row r="72" spans="1:66" x14ac:dyDescent="0.25">
      <c r="A72" s="26"/>
      <c r="B72" s="26" t="s">
        <v>116</v>
      </c>
      <c r="C72" s="26">
        <v>47.162500000000001</v>
      </c>
      <c r="D72" s="26">
        <v>19.503299999999999</v>
      </c>
      <c r="E72" s="26">
        <v>0</v>
      </c>
      <c r="F72" s="26">
        <v>0</v>
      </c>
      <c r="G72" s="26">
        <v>0</v>
      </c>
      <c r="H72" s="26">
        <v>0</v>
      </c>
      <c r="I72" s="26">
        <v>0</v>
      </c>
      <c r="J72" s="26">
        <v>0</v>
      </c>
      <c r="K72" s="26">
        <v>0</v>
      </c>
      <c r="L72" s="26">
        <v>0</v>
      </c>
      <c r="M72" s="26">
        <v>0</v>
      </c>
      <c r="N72" s="26">
        <v>0</v>
      </c>
      <c r="O72" s="26">
        <v>0</v>
      </c>
      <c r="P72" s="26">
        <v>0</v>
      </c>
      <c r="Q72" s="26">
        <v>0</v>
      </c>
      <c r="R72" s="26">
        <v>0</v>
      </c>
      <c r="S72" s="26">
        <v>0</v>
      </c>
      <c r="T72" s="26">
        <v>0</v>
      </c>
      <c r="U72" s="26">
        <v>0</v>
      </c>
      <c r="V72" s="26">
        <v>0</v>
      </c>
      <c r="W72" s="26">
        <v>0</v>
      </c>
      <c r="X72" s="26">
        <v>0</v>
      </c>
      <c r="Y72" s="26">
        <v>0</v>
      </c>
      <c r="Z72" s="26">
        <v>0</v>
      </c>
      <c r="AA72" s="26">
        <v>0</v>
      </c>
      <c r="AB72" s="26">
        <v>0</v>
      </c>
      <c r="AC72" s="26">
        <v>0</v>
      </c>
      <c r="AD72" s="26">
        <v>0</v>
      </c>
      <c r="AE72" s="26">
        <v>0</v>
      </c>
      <c r="AF72" s="26">
        <v>0</v>
      </c>
      <c r="AG72" s="26">
        <v>0</v>
      </c>
      <c r="AH72" s="26">
        <v>0</v>
      </c>
      <c r="AI72" s="26">
        <v>0</v>
      </c>
      <c r="AJ72" s="26">
        <v>0</v>
      </c>
      <c r="AK72" s="26">
        <v>0</v>
      </c>
      <c r="AL72" s="26">
        <v>0</v>
      </c>
      <c r="AM72" s="26">
        <v>0</v>
      </c>
      <c r="AN72" s="26">
        <v>0</v>
      </c>
      <c r="AO72" s="26">
        <v>0</v>
      </c>
      <c r="AP72" s="26">
        <v>0</v>
      </c>
      <c r="AQ72" s="26">
        <v>0</v>
      </c>
      <c r="AR72" s="26">
        <v>0</v>
      </c>
      <c r="AS72" s="26">
        <v>0</v>
      </c>
      <c r="AT72" s="26">
        <v>0</v>
      </c>
      <c r="AU72" s="26">
        <v>2</v>
      </c>
      <c r="AV72" s="26">
        <v>2</v>
      </c>
      <c r="AW72" s="26">
        <v>2</v>
      </c>
      <c r="AX72" s="26">
        <v>4</v>
      </c>
      <c r="AY72" s="26">
        <v>7</v>
      </c>
      <c r="AZ72" s="26">
        <v>9</v>
      </c>
      <c r="BA72" s="26">
        <v>9</v>
      </c>
      <c r="BB72" s="26">
        <v>13</v>
      </c>
      <c r="BC72" s="26">
        <v>13</v>
      </c>
      <c r="BD72" s="26">
        <v>19</v>
      </c>
      <c r="BE72" s="26">
        <v>30</v>
      </c>
      <c r="BF72">
        <v>32</v>
      </c>
      <c r="BG72">
        <v>39</v>
      </c>
      <c r="BH72">
        <v>50</v>
      </c>
      <c r="BI72">
        <v>58</v>
      </c>
      <c r="BJ72">
        <v>73</v>
      </c>
      <c r="BK72" t="s">
        <v>1266</v>
      </c>
    </row>
    <row r="73" spans="1:66" x14ac:dyDescent="0.25">
      <c r="A73" s="26" t="s">
        <v>117</v>
      </c>
      <c r="B73" s="26" t="s">
        <v>48</v>
      </c>
      <c r="C73" s="26">
        <v>-12.4634</v>
      </c>
      <c r="D73" s="26">
        <v>130.84559999999999</v>
      </c>
      <c r="E73" s="26">
        <v>0</v>
      </c>
      <c r="F73" s="26">
        <v>0</v>
      </c>
      <c r="G73" s="26">
        <v>0</v>
      </c>
      <c r="H73" s="26">
        <v>0</v>
      </c>
      <c r="I73" s="26">
        <v>0</v>
      </c>
      <c r="J73" s="26">
        <v>0</v>
      </c>
      <c r="K73" s="26">
        <v>0</v>
      </c>
      <c r="L73" s="26">
        <v>0</v>
      </c>
      <c r="M73" s="26">
        <v>0</v>
      </c>
      <c r="N73" s="26">
        <v>0</v>
      </c>
      <c r="O73" s="26">
        <v>0</v>
      </c>
      <c r="P73" s="26">
        <v>0</v>
      </c>
      <c r="Q73" s="26">
        <v>0</v>
      </c>
      <c r="R73" s="26">
        <v>0</v>
      </c>
      <c r="S73" s="26">
        <v>0</v>
      </c>
      <c r="T73" s="26">
        <v>0</v>
      </c>
      <c r="U73" s="26">
        <v>0</v>
      </c>
      <c r="V73" s="26">
        <v>0</v>
      </c>
      <c r="W73" s="26">
        <v>0</v>
      </c>
      <c r="X73" s="26">
        <v>0</v>
      </c>
      <c r="Y73" s="26">
        <v>0</v>
      </c>
      <c r="Z73" s="26">
        <v>0</v>
      </c>
      <c r="AA73" s="26">
        <v>0</v>
      </c>
      <c r="AB73" s="26">
        <v>0</v>
      </c>
      <c r="AC73" s="26">
        <v>0</v>
      </c>
      <c r="AD73" s="26">
        <v>0</v>
      </c>
      <c r="AE73" s="26">
        <v>0</v>
      </c>
      <c r="AF73" s="26">
        <v>0</v>
      </c>
      <c r="AG73" s="26">
        <v>0</v>
      </c>
      <c r="AH73" s="26">
        <v>0</v>
      </c>
      <c r="AI73" s="26">
        <v>0</v>
      </c>
      <c r="AJ73" s="26">
        <v>0</v>
      </c>
      <c r="AK73" s="26">
        <v>0</v>
      </c>
      <c r="AL73" s="26">
        <v>0</v>
      </c>
      <c r="AM73" s="26">
        <v>0</v>
      </c>
      <c r="AN73" s="26">
        <v>0</v>
      </c>
      <c r="AO73" s="26">
        <v>0</v>
      </c>
      <c r="AP73" s="26">
        <v>0</v>
      </c>
      <c r="AQ73" s="26">
        <v>0</v>
      </c>
      <c r="AR73" s="26">
        <v>0</v>
      </c>
      <c r="AS73" s="26">
        <v>0</v>
      </c>
      <c r="AT73" s="26">
        <v>0</v>
      </c>
      <c r="AU73" s="26">
        <v>1</v>
      </c>
      <c r="AV73" s="26">
        <v>1</v>
      </c>
      <c r="AW73" s="26">
        <v>0</v>
      </c>
      <c r="AX73" s="26">
        <v>0</v>
      </c>
      <c r="AY73" s="26">
        <v>0</v>
      </c>
      <c r="AZ73" s="26">
        <v>0</v>
      </c>
      <c r="BA73" s="26">
        <v>1</v>
      </c>
      <c r="BB73" s="26">
        <v>1</v>
      </c>
      <c r="BC73" s="26">
        <v>1</v>
      </c>
      <c r="BD73" s="26">
        <v>1</v>
      </c>
      <c r="BE73" s="26">
        <v>1</v>
      </c>
      <c r="BF73">
        <v>1</v>
      </c>
      <c r="BG73">
        <v>1</v>
      </c>
      <c r="BH73">
        <v>1</v>
      </c>
      <c r="BI73">
        <v>1</v>
      </c>
      <c r="BJ73">
        <v>1</v>
      </c>
      <c r="BK73" t="s">
        <v>442</v>
      </c>
    </row>
    <row r="74" spans="1:66" x14ac:dyDescent="0.25">
      <c r="A74" s="26"/>
      <c r="B74" s="26" t="s">
        <v>119</v>
      </c>
      <c r="C74" s="26">
        <v>47.14</v>
      </c>
      <c r="D74" s="26">
        <v>9.5500000000000007</v>
      </c>
      <c r="E74" s="26">
        <v>0</v>
      </c>
      <c r="F74" s="26">
        <v>0</v>
      </c>
      <c r="G74" s="26">
        <v>0</v>
      </c>
      <c r="H74" s="26">
        <v>0</v>
      </c>
      <c r="I74" s="26">
        <v>0</v>
      </c>
      <c r="J74" s="26">
        <v>0</v>
      </c>
      <c r="K74" s="26">
        <v>0</v>
      </c>
      <c r="L74" s="26">
        <v>0</v>
      </c>
      <c r="M74" s="26">
        <v>0</v>
      </c>
      <c r="N74" s="26">
        <v>0</v>
      </c>
      <c r="O74" s="26">
        <v>0</v>
      </c>
      <c r="P74" s="26">
        <v>0</v>
      </c>
      <c r="Q74" s="26">
        <v>0</v>
      </c>
      <c r="R74" s="26">
        <v>0</v>
      </c>
      <c r="S74" s="26">
        <v>0</v>
      </c>
      <c r="T74" s="26">
        <v>0</v>
      </c>
      <c r="U74" s="26">
        <v>0</v>
      </c>
      <c r="V74" s="26">
        <v>0</v>
      </c>
      <c r="W74" s="26">
        <v>0</v>
      </c>
      <c r="X74" s="26">
        <v>0</v>
      </c>
      <c r="Y74" s="26">
        <v>0</v>
      </c>
      <c r="Z74" s="26">
        <v>0</v>
      </c>
      <c r="AA74" s="26">
        <v>0</v>
      </c>
      <c r="AB74" s="26">
        <v>0</v>
      </c>
      <c r="AC74" s="26">
        <v>0</v>
      </c>
      <c r="AD74" s="26">
        <v>0</v>
      </c>
      <c r="AE74" s="26">
        <v>0</v>
      </c>
      <c r="AF74" s="26">
        <v>0</v>
      </c>
      <c r="AG74" s="26">
        <v>0</v>
      </c>
      <c r="AH74" s="26">
        <v>0</v>
      </c>
      <c r="AI74" s="26">
        <v>0</v>
      </c>
      <c r="AJ74" s="26">
        <v>0</v>
      </c>
      <c r="AK74" s="26">
        <v>0</v>
      </c>
      <c r="AL74" s="26">
        <v>0</v>
      </c>
      <c r="AM74" s="26">
        <v>0</v>
      </c>
      <c r="AN74" s="26">
        <v>0</v>
      </c>
      <c r="AO74" s="26">
        <v>0</v>
      </c>
      <c r="AP74" s="26">
        <v>0</v>
      </c>
      <c r="AQ74" s="26">
        <v>0</v>
      </c>
      <c r="AR74" s="26">
        <v>0</v>
      </c>
      <c r="AS74" s="26">
        <v>0</v>
      </c>
      <c r="AT74" s="26">
        <v>0</v>
      </c>
      <c r="AU74" s="26">
        <v>1</v>
      </c>
      <c r="AV74" s="26">
        <v>1</v>
      </c>
      <c r="AW74" s="26">
        <v>1</v>
      </c>
      <c r="AX74" s="26">
        <v>1</v>
      </c>
      <c r="AY74" s="26">
        <v>1</v>
      </c>
      <c r="AZ74" s="26">
        <v>1</v>
      </c>
      <c r="BA74" s="26">
        <v>1</v>
      </c>
      <c r="BB74" s="26">
        <v>1</v>
      </c>
      <c r="BC74" s="26">
        <v>1</v>
      </c>
      <c r="BD74" s="26">
        <v>1</v>
      </c>
      <c r="BE74" s="26">
        <v>4</v>
      </c>
      <c r="BF74">
        <v>4</v>
      </c>
      <c r="BG74">
        <v>4</v>
      </c>
      <c r="BH74">
        <v>7</v>
      </c>
      <c r="BI74">
        <v>28</v>
      </c>
      <c r="BJ74">
        <v>28</v>
      </c>
      <c r="BK74" t="s">
        <v>471</v>
      </c>
    </row>
    <row r="75" spans="1:66" x14ac:dyDescent="0.25">
      <c r="A75" s="26"/>
      <c r="B75" s="26" t="s">
        <v>120</v>
      </c>
      <c r="C75" s="26">
        <v>51.919400000000003</v>
      </c>
      <c r="D75" s="26">
        <v>19.145099999999999</v>
      </c>
      <c r="E75" s="26">
        <v>0</v>
      </c>
      <c r="F75" s="26">
        <v>0</v>
      </c>
      <c r="G75" s="26">
        <v>0</v>
      </c>
      <c r="H75" s="26">
        <v>0</v>
      </c>
      <c r="I75" s="26">
        <v>0</v>
      </c>
      <c r="J75" s="26">
        <v>0</v>
      </c>
      <c r="K75" s="26">
        <v>0</v>
      </c>
      <c r="L75" s="26">
        <v>0</v>
      </c>
      <c r="M75" s="26">
        <v>0</v>
      </c>
      <c r="N75" s="26">
        <v>0</v>
      </c>
      <c r="O75" s="26">
        <v>0</v>
      </c>
      <c r="P75" s="26">
        <v>0</v>
      </c>
      <c r="Q75" s="26">
        <v>0</v>
      </c>
      <c r="R75" s="26">
        <v>0</v>
      </c>
      <c r="S75" s="26">
        <v>0</v>
      </c>
      <c r="T75" s="26">
        <v>0</v>
      </c>
      <c r="U75" s="26">
        <v>0</v>
      </c>
      <c r="V75" s="26">
        <v>0</v>
      </c>
      <c r="W75" s="26">
        <v>0</v>
      </c>
      <c r="X75" s="26">
        <v>0</v>
      </c>
      <c r="Y75" s="26">
        <v>0</v>
      </c>
      <c r="Z75" s="26">
        <v>0</v>
      </c>
      <c r="AA75" s="26">
        <v>0</v>
      </c>
      <c r="AB75" s="26">
        <v>0</v>
      </c>
      <c r="AC75" s="26">
        <v>0</v>
      </c>
      <c r="AD75" s="26">
        <v>0</v>
      </c>
      <c r="AE75" s="26">
        <v>0</v>
      </c>
      <c r="AF75" s="26">
        <v>0</v>
      </c>
      <c r="AG75" s="26">
        <v>0</v>
      </c>
      <c r="AH75" s="26">
        <v>0</v>
      </c>
      <c r="AI75" s="26">
        <v>0</v>
      </c>
      <c r="AJ75" s="26">
        <v>0</v>
      </c>
      <c r="AK75" s="26">
        <v>0</v>
      </c>
      <c r="AL75" s="26">
        <v>0</v>
      </c>
      <c r="AM75" s="26">
        <v>0</v>
      </c>
      <c r="AN75" s="26">
        <v>0</v>
      </c>
      <c r="AO75" s="26">
        <v>0</v>
      </c>
      <c r="AP75" s="26">
        <v>0</v>
      </c>
      <c r="AQ75" s="26">
        <v>0</v>
      </c>
      <c r="AR75" s="26">
        <v>0</v>
      </c>
      <c r="AS75" s="26">
        <v>0</v>
      </c>
      <c r="AT75" s="26">
        <v>0</v>
      </c>
      <c r="AU75" s="26">
        <v>1</v>
      </c>
      <c r="AV75" s="26">
        <v>1</v>
      </c>
      <c r="AW75" s="26">
        <v>5</v>
      </c>
      <c r="AX75" s="26">
        <v>5</v>
      </c>
      <c r="AY75" s="26">
        <v>11</v>
      </c>
      <c r="AZ75" s="26">
        <v>16</v>
      </c>
      <c r="BA75" s="26">
        <v>22</v>
      </c>
      <c r="BB75" s="26">
        <v>31</v>
      </c>
      <c r="BC75" s="26">
        <v>49</v>
      </c>
      <c r="BD75" s="26">
        <v>68</v>
      </c>
      <c r="BE75" s="26">
        <v>103</v>
      </c>
      <c r="BF75">
        <v>119</v>
      </c>
      <c r="BG75">
        <v>177</v>
      </c>
      <c r="BH75">
        <v>238</v>
      </c>
      <c r="BI75">
        <v>251</v>
      </c>
      <c r="BJ75">
        <v>355</v>
      </c>
      <c r="BK75" t="s">
        <v>1395</v>
      </c>
      <c r="BN75" s="1"/>
    </row>
    <row r="76" spans="1:66" x14ac:dyDescent="0.25">
      <c r="A76" s="26"/>
      <c r="B76" s="26" t="s">
        <v>121</v>
      </c>
      <c r="C76" s="26">
        <v>34</v>
      </c>
      <c r="D76" s="26">
        <v>9</v>
      </c>
      <c r="E76" s="26">
        <v>0</v>
      </c>
      <c r="F76" s="26">
        <v>0</v>
      </c>
      <c r="G76" s="26">
        <v>0</v>
      </c>
      <c r="H76" s="26">
        <v>0</v>
      </c>
      <c r="I76" s="26">
        <v>0</v>
      </c>
      <c r="J76" s="26">
        <v>0</v>
      </c>
      <c r="K76" s="26">
        <v>0</v>
      </c>
      <c r="L76" s="26">
        <v>0</v>
      </c>
      <c r="M76" s="26">
        <v>0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6">
        <v>0</v>
      </c>
      <c r="T76" s="26">
        <v>0</v>
      </c>
      <c r="U76" s="26">
        <v>0</v>
      </c>
      <c r="V76" s="26">
        <v>0</v>
      </c>
      <c r="W76" s="26">
        <v>0</v>
      </c>
      <c r="X76" s="26">
        <v>0</v>
      </c>
      <c r="Y76" s="26">
        <v>0</v>
      </c>
      <c r="Z76" s="26">
        <v>0</v>
      </c>
      <c r="AA76" s="26">
        <v>0</v>
      </c>
      <c r="AB76" s="26">
        <v>0</v>
      </c>
      <c r="AC76" s="26">
        <v>0</v>
      </c>
      <c r="AD76" s="26">
        <v>0</v>
      </c>
      <c r="AE76" s="26">
        <v>0</v>
      </c>
      <c r="AF76" s="26">
        <v>0</v>
      </c>
      <c r="AG76" s="26">
        <v>0</v>
      </c>
      <c r="AH76" s="26">
        <v>0</v>
      </c>
      <c r="AI76" s="26">
        <v>0</v>
      </c>
      <c r="AJ76" s="26">
        <v>0</v>
      </c>
      <c r="AK76" s="26">
        <v>0</v>
      </c>
      <c r="AL76" s="26">
        <v>0</v>
      </c>
      <c r="AM76" s="26">
        <v>0</v>
      </c>
      <c r="AN76" s="26">
        <v>0</v>
      </c>
      <c r="AO76" s="26">
        <v>0</v>
      </c>
      <c r="AP76" s="26">
        <v>0</v>
      </c>
      <c r="AQ76" s="26">
        <v>0</v>
      </c>
      <c r="AR76" s="26">
        <v>0</v>
      </c>
      <c r="AS76" s="26">
        <v>0</v>
      </c>
      <c r="AT76" s="26">
        <v>0</v>
      </c>
      <c r="AU76" s="26">
        <v>1</v>
      </c>
      <c r="AV76" s="26">
        <v>1</v>
      </c>
      <c r="AW76" s="26">
        <v>1</v>
      </c>
      <c r="AX76" s="26">
        <v>1</v>
      </c>
      <c r="AY76" s="26">
        <v>2</v>
      </c>
      <c r="AZ76" s="26">
        <v>2</v>
      </c>
      <c r="BA76" s="26">
        <v>5</v>
      </c>
      <c r="BB76" s="26">
        <v>7</v>
      </c>
      <c r="BC76" s="26">
        <v>7</v>
      </c>
      <c r="BD76" s="26">
        <v>16</v>
      </c>
      <c r="BE76" s="26">
        <v>18</v>
      </c>
      <c r="BF76">
        <v>18</v>
      </c>
      <c r="BG76">
        <v>20</v>
      </c>
      <c r="BH76">
        <v>24</v>
      </c>
      <c r="BI76">
        <v>29</v>
      </c>
      <c r="BJ76">
        <v>39</v>
      </c>
      <c r="BK76" t="s">
        <v>1396</v>
      </c>
      <c r="BN76" s="1"/>
    </row>
    <row r="77" spans="1:66" x14ac:dyDescent="0.25">
      <c r="A77" s="26"/>
      <c r="B77" s="26" t="s">
        <v>122</v>
      </c>
      <c r="C77" s="26">
        <v>43.915900000000001</v>
      </c>
      <c r="D77" s="26">
        <v>17.679099999999998</v>
      </c>
      <c r="E77" s="26">
        <v>0</v>
      </c>
      <c r="F77" s="26">
        <v>0</v>
      </c>
      <c r="G77" s="26">
        <v>0</v>
      </c>
      <c r="H77" s="26">
        <v>0</v>
      </c>
      <c r="I77" s="26">
        <v>0</v>
      </c>
      <c r="J77" s="26">
        <v>0</v>
      </c>
      <c r="K77" s="26">
        <v>0</v>
      </c>
      <c r="L77" s="26">
        <v>0</v>
      </c>
      <c r="M77" s="26">
        <v>0</v>
      </c>
      <c r="N77" s="26">
        <v>0</v>
      </c>
      <c r="O77" s="26">
        <v>0</v>
      </c>
      <c r="P77" s="26">
        <v>0</v>
      </c>
      <c r="Q77" s="26">
        <v>0</v>
      </c>
      <c r="R77" s="26">
        <v>0</v>
      </c>
      <c r="S77" s="26">
        <v>0</v>
      </c>
      <c r="T77" s="26">
        <v>0</v>
      </c>
      <c r="U77" s="26">
        <v>0</v>
      </c>
      <c r="V77" s="26">
        <v>0</v>
      </c>
      <c r="W77" s="26">
        <v>0</v>
      </c>
      <c r="X77" s="26">
        <v>0</v>
      </c>
      <c r="Y77" s="26">
        <v>0</v>
      </c>
      <c r="Z77" s="26">
        <v>0</v>
      </c>
      <c r="AA77" s="26">
        <v>0</v>
      </c>
      <c r="AB77" s="26">
        <v>0</v>
      </c>
      <c r="AC77" s="26">
        <v>0</v>
      </c>
      <c r="AD77" s="26">
        <v>0</v>
      </c>
      <c r="AE77" s="26">
        <v>0</v>
      </c>
      <c r="AF77" s="26">
        <v>0</v>
      </c>
      <c r="AG77" s="26">
        <v>0</v>
      </c>
      <c r="AH77" s="26">
        <v>0</v>
      </c>
      <c r="AI77" s="26">
        <v>0</v>
      </c>
      <c r="AJ77" s="26">
        <v>0</v>
      </c>
      <c r="AK77" s="26">
        <v>0</v>
      </c>
      <c r="AL77" s="26">
        <v>0</v>
      </c>
      <c r="AM77" s="26">
        <v>0</v>
      </c>
      <c r="AN77" s="26">
        <v>0</v>
      </c>
      <c r="AO77" s="26">
        <v>0</v>
      </c>
      <c r="AP77" s="26">
        <v>0</v>
      </c>
      <c r="AQ77" s="26">
        <v>0</v>
      </c>
      <c r="AR77" s="26">
        <v>0</v>
      </c>
      <c r="AS77" s="26">
        <v>0</v>
      </c>
      <c r="AT77" s="26">
        <v>0</v>
      </c>
      <c r="AU77" s="26">
        <v>0</v>
      </c>
      <c r="AV77" s="26">
        <v>2</v>
      </c>
      <c r="AW77" s="26">
        <v>2</v>
      </c>
      <c r="AX77" s="26">
        <v>3</v>
      </c>
      <c r="AY77" s="26">
        <v>3</v>
      </c>
      <c r="AZ77" s="26">
        <v>3</v>
      </c>
      <c r="BA77" s="26">
        <v>5</v>
      </c>
      <c r="BB77" s="26">
        <v>7</v>
      </c>
      <c r="BC77" s="26">
        <v>11</v>
      </c>
      <c r="BD77" s="26">
        <v>13</v>
      </c>
      <c r="BE77" s="26">
        <v>18</v>
      </c>
      <c r="BF77">
        <v>24</v>
      </c>
      <c r="BG77">
        <v>25</v>
      </c>
      <c r="BH77">
        <v>26</v>
      </c>
      <c r="BI77">
        <v>38</v>
      </c>
      <c r="BJ77">
        <v>63</v>
      </c>
      <c r="BK77" t="s">
        <v>1397</v>
      </c>
      <c r="BN77" s="1"/>
    </row>
    <row r="78" spans="1:66" x14ac:dyDescent="0.25">
      <c r="A78" s="26"/>
      <c r="B78" s="26" t="s">
        <v>123</v>
      </c>
      <c r="C78" s="26">
        <v>46.151200000000003</v>
      </c>
      <c r="D78" s="26">
        <v>14.9955</v>
      </c>
      <c r="E78" s="26">
        <v>0</v>
      </c>
      <c r="F78" s="26">
        <v>0</v>
      </c>
      <c r="G78" s="26">
        <v>0</v>
      </c>
      <c r="H78" s="26">
        <v>0</v>
      </c>
      <c r="I78" s="26">
        <v>0</v>
      </c>
      <c r="J78" s="26">
        <v>0</v>
      </c>
      <c r="K78" s="26">
        <v>0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6">
        <v>0</v>
      </c>
      <c r="T78" s="26">
        <v>0</v>
      </c>
      <c r="U78" s="26">
        <v>0</v>
      </c>
      <c r="V78" s="26">
        <v>0</v>
      </c>
      <c r="W78" s="26">
        <v>0</v>
      </c>
      <c r="X78" s="26">
        <v>0</v>
      </c>
      <c r="Y78" s="26">
        <v>0</v>
      </c>
      <c r="Z78" s="26">
        <v>0</v>
      </c>
      <c r="AA78" s="26">
        <v>0</v>
      </c>
      <c r="AB78" s="26">
        <v>0</v>
      </c>
      <c r="AC78" s="26">
        <v>0</v>
      </c>
      <c r="AD78" s="26">
        <v>0</v>
      </c>
      <c r="AE78" s="26">
        <v>0</v>
      </c>
      <c r="AF78" s="26">
        <v>0</v>
      </c>
      <c r="AG78" s="26">
        <v>0</v>
      </c>
      <c r="AH78" s="26">
        <v>0</v>
      </c>
      <c r="AI78" s="26">
        <v>0</v>
      </c>
      <c r="AJ78" s="26">
        <v>0</v>
      </c>
      <c r="AK78" s="26">
        <v>0</v>
      </c>
      <c r="AL78" s="26">
        <v>0</v>
      </c>
      <c r="AM78" s="26">
        <v>0</v>
      </c>
      <c r="AN78" s="26">
        <v>0</v>
      </c>
      <c r="AO78" s="26">
        <v>0</v>
      </c>
      <c r="AP78" s="26">
        <v>0</v>
      </c>
      <c r="AQ78" s="26">
        <v>0</v>
      </c>
      <c r="AR78" s="26">
        <v>0</v>
      </c>
      <c r="AS78" s="26">
        <v>0</v>
      </c>
      <c r="AT78" s="26">
        <v>0</v>
      </c>
      <c r="AU78" s="26">
        <v>0</v>
      </c>
      <c r="AV78" s="26">
        <v>2</v>
      </c>
      <c r="AW78" s="26">
        <v>7</v>
      </c>
      <c r="AX78" s="26">
        <v>7</v>
      </c>
      <c r="AY78" s="26">
        <v>16</v>
      </c>
      <c r="AZ78" s="26">
        <v>16</v>
      </c>
      <c r="BA78" s="26">
        <v>31</v>
      </c>
      <c r="BB78" s="26">
        <v>57</v>
      </c>
      <c r="BC78" s="26">
        <v>89</v>
      </c>
      <c r="BD78" s="26">
        <v>141</v>
      </c>
      <c r="BE78" s="26">
        <v>181</v>
      </c>
      <c r="BF78">
        <v>219</v>
      </c>
      <c r="BG78">
        <v>253</v>
      </c>
      <c r="BH78">
        <v>275</v>
      </c>
      <c r="BI78">
        <v>275</v>
      </c>
      <c r="BJ78">
        <v>286</v>
      </c>
      <c r="BK78" t="s">
        <v>1398</v>
      </c>
      <c r="BN78" s="1"/>
    </row>
    <row r="79" spans="1:66" x14ac:dyDescent="0.25">
      <c r="A79" s="26"/>
      <c r="B79" s="26" t="s">
        <v>124</v>
      </c>
      <c r="C79" s="26">
        <v>-30.5595</v>
      </c>
      <c r="D79" s="26">
        <v>22.9375</v>
      </c>
      <c r="E79" s="26">
        <v>0</v>
      </c>
      <c r="F79" s="26">
        <v>0</v>
      </c>
      <c r="G79" s="26">
        <v>0</v>
      </c>
      <c r="H79" s="26">
        <v>0</v>
      </c>
      <c r="I79" s="26">
        <v>0</v>
      </c>
      <c r="J79" s="26">
        <v>0</v>
      </c>
      <c r="K79" s="26">
        <v>0</v>
      </c>
      <c r="L79" s="26">
        <v>0</v>
      </c>
      <c r="M79" s="26">
        <v>0</v>
      </c>
      <c r="N79" s="26">
        <v>0</v>
      </c>
      <c r="O79" s="26">
        <v>0</v>
      </c>
      <c r="P79" s="26">
        <v>0</v>
      </c>
      <c r="Q79" s="26">
        <v>0</v>
      </c>
      <c r="R79" s="26">
        <v>0</v>
      </c>
      <c r="S79" s="26">
        <v>0</v>
      </c>
      <c r="T79" s="26">
        <v>0</v>
      </c>
      <c r="U79" s="26">
        <v>0</v>
      </c>
      <c r="V79" s="26">
        <v>0</v>
      </c>
      <c r="W79" s="26">
        <v>0</v>
      </c>
      <c r="X79" s="26">
        <v>0</v>
      </c>
      <c r="Y79" s="26">
        <v>0</v>
      </c>
      <c r="Z79" s="26">
        <v>0</v>
      </c>
      <c r="AA79" s="26">
        <v>0</v>
      </c>
      <c r="AB79" s="26">
        <v>0</v>
      </c>
      <c r="AC79" s="26">
        <v>0</v>
      </c>
      <c r="AD79" s="26">
        <v>0</v>
      </c>
      <c r="AE79" s="26">
        <v>0</v>
      </c>
      <c r="AF79" s="26">
        <v>0</v>
      </c>
      <c r="AG79" s="26">
        <v>0</v>
      </c>
      <c r="AH79" s="26">
        <v>0</v>
      </c>
      <c r="AI79" s="26">
        <v>0</v>
      </c>
      <c r="AJ79" s="26">
        <v>0</v>
      </c>
      <c r="AK79" s="26">
        <v>0</v>
      </c>
      <c r="AL79" s="26">
        <v>0</v>
      </c>
      <c r="AM79" s="26">
        <v>0</v>
      </c>
      <c r="AN79" s="26">
        <v>0</v>
      </c>
      <c r="AO79" s="26">
        <v>0</v>
      </c>
      <c r="AP79" s="26">
        <v>0</v>
      </c>
      <c r="AQ79" s="26">
        <v>0</v>
      </c>
      <c r="AR79" s="26">
        <v>0</v>
      </c>
      <c r="AS79" s="26">
        <v>0</v>
      </c>
      <c r="AT79" s="26">
        <v>0</v>
      </c>
      <c r="AU79" s="26">
        <v>0</v>
      </c>
      <c r="AV79" s="26">
        <v>1</v>
      </c>
      <c r="AW79" s="26">
        <v>1</v>
      </c>
      <c r="AX79" s="26">
        <v>1</v>
      </c>
      <c r="AY79" s="26">
        <v>3</v>
      </c>
      <c r="AZ79" s="26">
        <v>3</v>
      </c>
      <c r="BA79" s="26">
        <v>7</v>
      </c>
      <c r="BB79" s="26">
        <v>13</v>
      </c>
      <c r="BC79" s="26">
        <v>17</v>
      </c>
      <c r="BD79" s="26">
        <v>24</v>
      </c>
      <c r="BE79" s="26">
        <v>38</v>
      </c>
      <c r="BF79">
        <v>51</v>
      </c>
      <c r="BG79">
        <v>62</v>
      </c>
      <c r="BH79">
        <v>62</v>
      </c>
      <c r="BI79">
        <v>116</v>
      </c>
      <c r="BJ79">
        <v>150</v>
      </c>
      <c r="BK79" t="s">
        <v>1253</v>
      </c>
      <c r="BN79" s="1"/>
    </row>
    <row r="80" spans="1:66" x14ac:dyDescent="0.25">
      <c r="A80" s="26"/>
      <c r="B80" s="26" t="s">
        <v>125</v>
      </c>
      <c r="C80" s="26">
        <v>27.514199999999999</v>
      </c>
      <c r="D80" s="26">
        <v>90.433599999999998</v>
      </c>
      <c r="E80" s="26">
        <v>0</v>
      </c>
      <c r="F80" s="26">
        <v>0</v>
      </c>
      <c r="G80" s="26">
        <v>0</v>
      </c>
      <c r="H80" s="26">
        <v>0</v>
      </c>
      <c r="I80" s="26">
        <v>0</v>
      </c>
      <c r="J80" s="26">
        <v>0</v>
      </c>
      <c r="K80" s="26">
        <v>0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6">
        <v>0</v>
      </c>
      <c r="T80" s="26">
        <v>0</v>
      </c>
      <c r="U80" s="26">
        <v>0</v>
      </c>
      <c r="V80" s="26">
        <v>0</v>
      </c>
      <c r="W80" s="26">
        <v>0</v>
      </c>
      <c r="X80" s="26">
        <v>0</v>
      </c>
      <c r="Y80" s="26">
        <v>0</v>
      </c>
      <c r="Z80" s="26">
        <v>0</v>
      </c>
      <c r="AA80" s="26">
        <v>0</v>
      </c>
      <c r="AB80" s="26">
        <v>0</v>
      </c>
      <c r="AC80" s="26">
        <v>0</v>
      </c>
      <c r="AD80" s="26">
        <v>0</v>
      </c>
      <c r="AE80" s="26">
        <v>0</v>
      </c>
      <c r="AF80" s="26">
        <v>0</v>
      </c>
      <c r="AG80" s="26">
        <v>0</v>
      </c>
      <c r="AH80" s="26">
        <v>0</v>
      </c>
      <c r="AI80" s="26">
        <v>0</v>
      </c>
      <c r="AJ80" s="26">
        <v>0</v>
      </c>
      <c r="AK80" s="26">
        <v>0</v>
      </c>
      <c r="AL80" s="26">
        <v>0</v>
      </c>
      <c r="AM80" s="26">
        <v>0</v>
      </c>
      <c r="AN80" s="26">
        <v>0</v>
      </c>
      <c r="AO80" s="26">
        <v>0</v>
      </c>
      <c r="AP80" s="26">
        <v>0</v>
      </c>
      <c r="AQ80" s="26">
        <v>0</v>
      </c>
      <c r="AR80" s="26">
        <v>0</v>
      </c>
      <c r="AS80" s="26">
        <v>0</v>
      </c>
      <c r="AT80" s="26">
        <v>0</v>
      </c>
      <c r="AU80" s="26">
        <v>0</v>
      </c>
      <c r="AV80" s="26">
        <v>0</v>
      </c>
      <c r="AW80" s="26">
        <v>1</v>
      </c>
      <c r="AX80" s="26">
        <v>1</v>
      </c>
      <c r="AY80" s="26">
        <v>1</v>
      </c>
      <c r="AZ80" s="26">
        <v>1</v>
      </c>
      <c r="BA80" s="26">
        <v>1</v>
      </c>
      <c r="BB80" s="26">
        <v>1</v>
      </c>
      <c r="BC80" s="26">
        <v>1</v>
      </c>
      <c r="BD80" s="26">
        <v>1</v>
      </c>
      <c r="BE80" s="26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 t="s">
        <v>443</v>
      </c>
      <c r="BN80" s="1"/>
    </row>
    <row r="81" spans="1:66" x14ac:dyDescent="0.25">
      <c r="A81" s="26"/>
      <c r="B81" s="26" t="s">
        <v>126</v>
      </c>
      <c r="C81" s="26">
        <v>3.8479999999999999</v>
      </c>
      <c r="D81" s="26">
        <v>11.5021</v>
      </c>
      <c r="E81" s="26">
        <v>0</v>
      </c>
      <c r="F81" s="26">
        <v>0</v>
      </c>
      <c r="G81" s="26">
        <v>0</v>
      </c>
      <c r="H81" s="26">
        <v>0</v>
      </c>
      <c r="I81" s="26">
        <v>0</v>
      </c>
      <c r="J81" s="26">
        <v>0</v>
      </c>
      <c r="K81" s="26">
        <v>0</v>
      </c>
      <c r="L81" s="26">
        <v>0</v>
      </c>
      <c r="M81" s="26">
        <v>0</v>
      </c>
      <c r="N81" s="26">
        <v>0</v>
      </c>
      <c r="O81" s="26">
        <v>0</v>
      </c>
      <c r="P81" s="26">
        <v>0</v>
      </c>
      <c r="Q81" s="26">
        <v>0</v>
      </c>
      <c r="R81" s="26">
        <v>0</v>
      </c>
      <c r="S81" s="26">
        <v>0</v>
      </c>
      <c r="T81" s="26">
        <v>0</v>
      </c>
      <c r="U81" s="26">
        <v>0</v>
      </c>
      <c r="V81" s="26">
        <v>0</v>
      </c>
      <c r="W81" s="26">
        <v>0</v>
      </c>
      <c r="X81" s="26">
        <v>0</v>
      </c>
      <c r="Y81" s="26">
        <v>0</v>
      </c>
      <c r="Z81" s="26">
        <v>0</v>
      </c>
      <c r="AA81" s="26">
        <v>0</v>
      </c>
      <c r="AB81" s="26">
        <v>0</v>
      </c>
      <c r="AC81" s="26">
        <v>0</v>
      </c>
      <c r="AD81" s="26">
        <v>0</v>
      </c>
      <c r="AE81" s="26">
        <v>0</v>
      </c>
      <c r="AF81" s="26">
        <v>0</v>
      </c>
      <c r="AG81" s="26">
        <v>0</v>
      </c>
      <c r="AH81" s="26">
        <v>0</v>
      </c>
      <c r="AI81" s="26">
        <v>0</v>
      </c>
      <c r="AJ81" s="26">
        <v>0</v>
      </c>
      <c r="AK81" s="26">
        <v>0</v>
      </c>
      <c r="AL81" s="26">
        <v>0</v>
      </c>
      <c r="AM81" s="26">
        <v>0</v>
      </c>
      <c r="AN81" s="26">
        <v>0</v>
      </c>
      <c r="AO81" s="26">
        <v>0</v>
      </c>
      <c r="AP81" s="26">
        <v>0</v>
      </c>
      <c r="AQ81" s="26">
        <v>0</v>
      </c>
      <c r="AR81" s="26">
        <v>0</v>
      </c>
      <c r="AS81" s="26">
        <v>0</v>
      </c>
      <c r="AT81" s="26">
        <v>0</v>
      </c>
      <c r="AU81" s="26">
        <v>0</v>
      </c>
      <c r="AV81" s="26">
        <v>0</v>
      </c>
      <c r="AW81" s="26">
        <v>1</v>
      </c>
      <c r="AX81" s="26">
        <v>1</v>
      </c>
      <c r="AY81" s="26">
        <v>2</v>
      </c>
      <c r="AZ81" s="26">
        <v>2</v>
      </c>
      <c r="BA81" s="26">
        <v>2</v>
      </c>
      <c r="BB81" s="26">
        <v>2</v>
      </c>
      <c r="BC81" s="26">
        <v>2</v>
      </c>
      <c r="BD81" s="26">
        <v>2</v>
      </c>
      <c r="BE81" s="26">
        <v>2</v>
      </c>
      <c r="BF81">
        <v>2</v>
      </c>
      <c r="BG81">
        <v>4</v>
      </c>
      <c r="BH81">
        <v>10</v>
      </c>
      <c r="BI81">
        <v>10</v>
      </c>
      <c r="BJ81">
        <v>13</v>
      </c>
      <c r="BK81" t="s">
        <v>651</v>
      </c>
      <c r="BN81" s="1"/>
    </row>
    <row r="82" spans="1:66" x14ac:dyDescent="0.25">
      <c r="A82" s="26"/>
      <c r="B82" s="26" t="s">
        <v>127</v>
      </c>
      <c r="C82" s="26">
        <v>4.5709</v>
      </c>
      <c r="D82" s="26">
        <v>-74.297300000000007</v>
      </c>
      <c r="E82" s="26">
        <v>0</v>
      </c>
      <c r="F82" s="26">
        <v>0</v>
      </c>
      <c r="G82" s="26">
        <v>0</v>
      </c>
      <c r="H82" s="26">
        <v>0</v>
      </c>
      <c r="I82" s="26">
        <v>0</v>
      </c>
      <c r="J82" s="26">
        <v>0</v>
      </c>
      <c r="K82" s="26">
        <v>0</v>
      </c>
      <c r="L82" s="26">
        <v>0</v>
      </c>
      <c r="M82" s="26">
        <v>0</v>
      </c>
      <c r="N82" s="26">
        <v>0</v>
      </c>
      <c r="O82" s="26">
        <v>0</v>
      </c>
      <c r="P82" s="26">
        <v>0</v>
      </c>
      <c r="Q82" s="26">
        <v>0</v>
      </c>
      <c r="R82" s="26">
        <v>0</v>
      </c>
      <c r="S82" s="26">
        <v>0</v>
      </c>
      <c r="T82" s="26">
        <v>0</v>
      </c>
      <c r="U82" s="26">
        <v>0</v>
      </c>
      <c r="V82" s="26">
        <v>0</v>
      </c>
      <c r="W82" s="26">
        <v>0</v>
      </c>
      <c r="X82" s="26">
        <v>0</v>
      </c>
      <c r="Y82" s="26">
        <v>0</v>
      </c>
      <c r="Z82" s="26">
        <v>0</v>
      </c>
      <c r="AA82" s="26">
        <v>0</v>
      </c>
      <c r="AB82" s="26">
        <v>0</v>
      </c>
      <c r="AC82" s="26">
        <v>0</v>
      </c>
      <c r="AD82" s="26">
        <v>0</v>
      </c>
      <c r="AE82" s="26">
        <v>0</v>
      </c>
      <c r="AF82" s="26">
        <v>0</v>
      </c>
      <c r="AG82" s="26">
        <v>0</v>
      </c>
      <c r="AH82" s="26">
        <v>0</v>
      </c>
      <c r="AI82" s="26">
        <v>0</v>
      </c>
      <c r="AJ82" s="26">
        <v>0</v>
      </c>
      <c r="AK82" s="26">
        <v>0</v>
      </c>
      <c r="AL82" s="26">
        <v>0</v>
      </c>
      <c r="AM82" s="26">
        <v>0</v>
      </c>
      <c r="AN82" s="26">
        <v>0</v>
      </c>
      <c r="AO82" s="26">
        <v>0</v>
      </c>
      <c r="AP82" s="26">
        <v>0</v>
      </c>
      <c r="AQ82" s="26">
        <v>0</v>
      </c>
      <c r="AR82" s="26">
        <v>0</v>
      </c>
      <c r="AS82" s="26">
        <v>0</v>
      </c>
      <c r="AT82" s="26">
        <v>0</v>
      </c>
      <c r="AU82" s="26">
        <v>0</v>
      </c>
      <c r="AV82" s="26">
        <v>0</v>
      </c>
      <c r="AW82" s="26">
        <v>1</v>
      </c>
      <c r="AX82" s="26">
        <v>1</v>
      </c>
      <c r="AY82" s="26">
        <v>1</v>
      </c>
      <c r="AZ82" s="26">
        <v>1</v>
      </c>
      <c r="BA82" s="26">
        <v>3</v>
      </c>
      <c r="BB82" s="26">
        <v>9</v>
      </c>
      <c r="BC82" s="26">
        <v>9</v>
      </c>
      <c r="BD82" s="26">
        <v>13</v>
      </c>
      <c r="BE82" s="26">
        <v>22</v>
      </c>
      <c r="BF82">
        <v>34</v>
      </c>
      <c r="BG82">
        <v>54</v>
      </c>
      <c r="BH82">
        <v>65</v>
      </c>
      <c r="BI82">
        <v>93</v>
      </c>
      <c r="BJ82">
        <v>102</v>
      </c>
      <c r="BK82" t="s">
        <v>1369</v>
      </c>
      <c r="BN82" s="1"/>
    </row>
    <row r="83" spans="1:66" x14ac:dyDescent="0.25">
      <c r="A83" s="26"/>
      <c r="B83" s="26" t="s">
        <v>128</v>
      </c>
      <c r="C83" s="26">
        <v>9.7489000000000008</v>
      </c>
      <c r="D83" s="26">
        <v>-83.753399999999999</v>
      </c>
      <c r="E83" s="26">
        <v>0</v>
      </c>
      <c r="F83" s="26">
        <v>0</v>
      </c>
      <c r="G83" s="26">
        <v>0</v>
      </c>
      <c r="H83" s="26">
        <v>0</v>
      </c>
      <c r="I83" s="26">
        <v>0</v>
      </c>
      <c r="J83" s="26">
        <v>0</v>
      </c>
      <c r="K83" s="26">
        <v>0</v>
      </c>
      <c r="L83" s="26">
        <v>0</v>
      </c>
      <c r="M83" s="26">
        <v>0</v>
      </c>
      <c r="N83" s="26">
        <v>0</v>
      </c>
      <c r="O83" s="26">
        <v>0</v>
      </c>
      <c r="P83" s="26">
        <v>0</v>
      </c>
      <c r="Q83" s="26">
        <v>0</v>
      </c>
      <c r="R83" s="26">
        <v>0</v>
      </c>
      <c r="S83" s="26">
        <v>0</v>
      </c>
      <c r="T83" s="26">
        <v>0</v>
      </c>
      <c r="U83" s="26">
        <v>0</v>
      </c>
      <c r="V83" s="26">
        <v>0</v>
      </c>
      <c r="W83" s="26">
        <v>0</v>
      </c>
      <c r="X83" s="26">
        <v>0</v>
      </c>
      <c r="Y83" s="26">
        <v>0</v>
      </c>
      <c r="Z83" s="26">
        <v>0</v>
      </c>
      <c r="AA83" s="26">
        <v>0</v>
      </c>
      <c r="AB83" s="26">
        <v>0</v>
      </c>
      <c r="AC83" s="26">
        <v>0</v>
      </c>
      <c r="AD83" s="26">
        <v>0</v>
      </c>
      <c r="AE83" s="26">
        <v>0</v>
      </c>
      <c r="AF83" s="26">
        <v>0</v>
      </c>
      <c r="AG83" s="26">
        <v>0</v>
      </c>
      <c r="AH83" s="26">
        <v>0</v>
      </c>
      <c r="AI83" s="26">
        <v>0</v>
      </c>
      <c r="AJ83" s="26">
        <v>0</v>
      </c>
      <c r="AK83" s="26">
        <v>0</v>
      </c>
      <c r="AL83" s="26">
        <v>0</v>
      </c>
      <c r="AM83" s="26">
        <v>0</v>
      </c>
      <c r="AN83" s="26">
        <v>0</v>
      </c>
      <c r="AO83" s="26">
        <v>0</v>
      </c>
      <c r="AP83" s="26">
        <v>0</v>
      </c>
      <c r="AQ83" s="26">
        <v>0</v>
      </c>
      <c r="AR83" s="26">
        <v>0</v>
      </c>
      <c r="AS83" s="26">
        <v>0</v>
      </c>
      <c r="AT83" s="26">
        <v>0</v>
      </c>
      <c r="AU83" s="26">
        <v>0</v>
      </c>
      <c r="AV83" s="26">
        <v>0</v>
      </c>
      <c r="AW83" s="26">
        <v>1</v>
      </c>
      <c r="AX83" s="26">
        <v>1</v>
      </c>
      <c r="AY83" s="26">
        <v>5</v>
      </c>
      <c r="AZ83" s="26">
        <v>9</v>
      </c>
      <c r="BA83" s="26">
        <v>9</v>
      </c>
      <c r="BB83" s="26">
        <v>13</v>
      </c>
      <c r="BC83" s="26">
        <v>22</v>
      </c>
      <c r="BD83" s="26">
        <v>23</v>
      </c>
      <c r="BE83" s="26">
        <v>26</v>
      </c>
      <c r="BF83">
        <v>27</v>
      </c>
      <c r="BG83">
        <v>35</v>
      </c>
      <c r="BH83">
        <v>41</v>
      </c>
      <c r="BI83">
        <v>50</v>
      </c>
      <c r="BJ83">
        <v>69</v>
      </c>
      <c r="BK83" t="s">
        <v>1397</v>
      </c>
      <c r="BN83" s="1"/>
    </row>
    <row r="84" spans="1:66" x14ac:dyDescent="0.25">
      <c r="A84" s="26"/>
      <c r="B84" s="26" t="s">
        <v>129</v>
      </c>
      <c r="C84" s="26">
        <v>-9.19</v>
      </c>
      <c r="D84" s="26">
        <v>-75.015199999999993</v>
      </c>
      <c r="E84" s="26">
        <v>0</v>
      </c>
      <c r="F84" s="26">
        <v>0</v>
      </c>
      <c r="G84" s="26">
        <v>0</v>
      </c>
      <c r="H84" s="26">
        <v>0</v>
      </c>
      <c r="I84" s="26">
        <v>0</v>
      </c>
      <c r="J84" s="26">
        <v>0</v>
      </c>
      <c r="K84" s="26">
        <v>0</v>
      </c>
      <c r="L84" s="26">
        <v>0</v>
      </c>
      <c r="M84" s="26">
        <v>0</v>
      </c>
      <c r="N84" s="26">
        <v>0</v>
      </c>
      <c r="O84" s="26">
        <v>0</v>
      </c>
      <c r="P84" s="26">
        <v>0</v>
      </c>
      <c r="Q84" s="26">
        <v>0</v>
      </c>
      <c r="R84" s="26">
        <v>0</v>
      </c>
      <c r="S84" s="26">
        <v>0</v>
      </c>
      <c r="T84" s="26">
        <v>0</v>
      </c>
      <c r="U84" s="26">
        <v>0</v>
      </c>
      <c r="V84" s="26">
        <v>0</v>
      </c>
      <c r="W84" s="26">
        <v>0</v>
      </c>
      <c r="X84" s="26">
        <v>0</v>
      </c>
      <c r="Y84" s="26">
        <v>0</v>
      </c>
      <c r="Z84" s="26">
        <v>0</v>
      </c>
      <c r="AA84" s="26">
        <v>0</v>
      </c>
      <c r="AB84" s="26">
        <v>0</v>
      </c>
      <c r="AC84" s="26">
        <v>0</v>
      </c>
      <c r="AD84" s="26">
        <v>0</v>
      </c>
      <c r="AE84" s="26">
        <v>0</v>
      </c>
      <c r="AF84" s="26">
        <v>0</v>
      </c>
      <c r="AG84" s="26">
        <v>0</v>
      </c>
      <c r="AH84" s="26">
        <v>0</v>
      </c>
      <c r="AI84" s="26">
        <v>0</v>
      </c>
      <c r="AJ84" s="26">
        <v>0</v>
      </c>
      <c r="AK84" s="26">
        <v>0</v>
      </c>
      <c r="AL84" s="26">
        <v>0</v>
      </c>
      <c r="AM84" s="26">
        <v>0</v>
      </c>
      <c r="AN84" s="26">
        <v>0</v>
      </c>
      <c r="AO84" s="26">
        <v>0</v>
      </c>
      <c r="AP84" s="26">
        <v>0</v>
      </c>
      <c r="AQ84" s="26">
        <v>0</v>
      </c>
      <c r="AR84" s="26">
        <v>0</v>
      </c>
      <c r="AS84" s="26">
        <v>0</v>
      </c>
      <c r="AT84" s="26">
        <v>0</v>
      </c>
      <c r="AU84" s="26">
        <v>0</v>
      </c>
      <c r="AV84" s="26">
        <v>0</v>
      </c>
      <c r="AW84" s="26">
        <v>1</v>
      </c>
      <c r="AX84" s="26">
        <v>1</v>
      </c>
      <c r="AY84" s="26">
        <v>6</v>
      </c>
      <c r="AZ84" s="26">
        <v>7</v>
      </c>
      <c r="BA84" s="26">
        <v>11</v>
      </c>
      <c r="BB84" s="26">
        <v>11</v>
      </c>
      <c r="BC84" s="26">
        <v>15</v>
      </c>
      <c r="BD84" s="26">
        <v>28</v>
      </c>
      <c r="BE84" s="26">
        <v>38</v>
      </c>
      <c r="BF84">
        <v>43</v>
      </c>
      <c r="BG84">
        <v>86</v>
      </c>
      <c r="BH84">
        <v>117</v>
      </c>
      <c r="BI84">
        <v>145</v>
      </c>
      <c r="BJ84">
        <v>234</v>
      </c>
      <c r="BK84" t="s">
        <v>1399</v>
      </c>
      <c r="BN84" s="1"/>
    </row>
    <row r="85" spans="1:66" x14ac:dyDescent="0.25">
      <c r="A85" s="26"/>
      <c r="B85" s="26" t="s">
        <v>130</v>
      </c>
      <c r="C85" s="26">
        <v>44.016500000000001</v>
      </c>
      <c r="D85" s="26">
        <v>21.0059</v>
      </c>
      <c r="E85" s="26">
        <v>0</v>
      </c>
      <c r="F85" s="26">
        <v>0</v>
      </c>
      <c r="G85" s="26">
        <v>0</v>
      </c>
      <c r="H85" s="26">
        <v>0</v>
      </c>
      <c r="I85" s="26">
        <v>0</v>
      </c>
      <c r="J85" s="26">
        <v>0</v>
      </c>
      <c r="K85" s="26">
        <v>0</v>
      </c>
      <c r="L85" s="26">
        <v>0</v>
      </c>
      <c r="M85" s="26">
        <v>0</v>
      </c>
      <c r="N85" s="26">
        <v>0</v>
      </c>
      <c r="O85" s="26">
        <v>0</v>
      </c>
      <c r="P85" s="26">
        <v>0</v>
      </c>
      <c r="Q85" s="26">
        <v>0</v>
      </c>
      <c r="R85" s="26">
        <v>0</v>
      </c>
      <c r="S85" s="26">
        <v>0</v>
      </c>
      <c r="T85" s="26">
        <v>0</v>
      </c>
      <c r="U85" s="26">
        <v>0</v>
      </c>
      <c r="V85" s="26">
        <v>0</v>
      </c>
      <c r="W85" s="26">
        <v>0</v>
      </c>
      <c r="X85" s="26">
        <v>0</v>
      </c>
      <c r="Y85" s="26">
        <v>0</v>
      </c>
      <c r="Z85" s="26">
        <v>0</v>
      </c>
      <c r="AA85" s="26">
        <v>0</v>
      </c>
      <c r="AB85" s="26">
        <v>0</v>
      </c>
      <c r="AC85" s="26">
        <v>0</v>
      </c>
      <c r="AD85" s="26">
        <v>0</v>
      </c>
      <c r="AE85" s="26">
        <v>0</v>
      </c>
      <c r="AF85" s="26">
        <v>0</v>
      </c>
      <c r="AG85" s="26">
        <v>0</v>
      </c>
      <c r="AH85" s="26">
        <v>0</v>
      </c>
      <c r="AI85" s="26">
        <v>0</v>
      </c>
      <c r="AJ85" s="26">
        <v>0</v>
      </c>
      <c r="AK85" s="26">
        <v>0</v>
      </c>
      <c r="AL85" s="26">
        <v>0</v>
      </c>
      <c r="AM85" s="26">
        <v>0</v>
      </c>
      <c r="AN85" s="26">
        <v>0</v>
      </c>
      <c r="AO85" s="26">
        <v>0</v>
      </c>
      <c r="AP85" s="26">
        <v>0</v>
      </c>
      <c r="AQ85" s="26">
        <v>0</v>
      </c>
      <c r="AR85" s="26">
        <v>0</v>
      </c>
      <c r="AS85" s="26">
        <v>0</v>
      </c>
      <c r="AT85" s="26">
        <v>0</v>
      </c>
      <c r="AU85" s="26">
        <v>0</v>
      </c>
      <c r="AV85" s="26">
        <v>0</v>
      </c>
      <c r="AW85" s="26">
        <v>1</v>
      </c>
      <c r="AX85" s="26">
        <v>1</v>
      </c>
      <c r="AY85" s="26">
        <v>1</v>
      </c>
      <c r="AZ85" s="26">
        <v>1</v>
      </c>
      <c r="BA85" s="26">
        <v>5</v>
      </c>
      <c r="BB85" s="26">
        <v>12</v>
      </c>
      <c r="BC85" s="26">
        <v>19</v>
      </c>
      <c r="BD85" s="26">
        <v>35</v>
      </c>
      <c r="BE85" s="26">
        <v>46</v>
      </c>
      <c r="BF85">
        <v>48</v>
      </c>
      <c r="BG85">
        <v>55</v>
      </c>
      <c r="BH85">
        <v>65</v>
      </c>
      <c r="BI85">
        <v>83</v>
      </c>
      <c r="BJ85">
        <v>103</v>
      </c>
      <c r="BK85" t="s">
        <v>1400</v>
      </c>
      <c r="BN85" s="1"/>
    </row>
    <row r="86" spans="1:66" x14ac:dyDescent="0.25">
      <c r="A86" s="26"/>
      <c r="B86" s="26" t="s">
        <v>131</v>
      </c>
      <c r="C86" s="26">
        <v>48.668999999999997</v>
      </c>
      <c r="D86" s="26">
        <v>19.699000000000002</v>
      </c>
      <c r="E86" s="26">
        <v>0</v>
      </c>
      <c r="F86" s="26">
        <v>0</v>
      </c>
      <c r="G86" s="26">
        <v>0</v>
      </c>
      <c r="H86" s="26">
        <v>0</v>
      </c>
      <c r="I86" s="26">
        <v>0</v>
      </c>
      <c r="J86" s="26">
        <v>0</v>
      </c>
      <c r="K86" s="26">
        <v>0</v>
      </c>
      <c r="L86" s="26">
        <v>0</v>
      </c>
      <c r="M86" s="26">
        <v>0</v>
      </c>
      <c r="N86" s="26">
        <v>0</v>
      </c>
      <c r="O86" s="26">
        <v>0</v>
      </c>
      <c r="P86" s="26">
        <v>0</v>
      </c>
      <c r="Q86" s="26">
        <v>0</v>
      </c>
      <c r="R86" s="26">
        <v>0</v>
      </c>
      <c r="S86" s="26">
        <v>0</v>
      </c>
      <c r="T86" s="26">
        <v>0</v>
      </c>
      <c r="U86" s="26">
        <v>0</v>
      </c>
      <c r="V86" s="26">
        <v>0</v>
      </c>
      <c r="W86" s="26">
        <v>0</v>
      </c>
      <c r="X86" s="26">
        <v>0</v>
      </c>
      <c r="Y86" s="26">
        <v>0</v>
      </c>
      <c r="Z86" s="26">
        <v>0</v>
      </c>
      <c r="AA86" s="26">
        <v>0</v>
      </c>
      <c r="AB86" s="26">
        <v>0</v>
      </c>
      <c r="AC86" s="26">
        <v>0</v>
      </c>
      <c r="AD86" s="26">
        <v>0</v>
      </c>
      <c r="AE86" s="26">
        <v>0</v>
      </c>
      <c r="AF86" s="26">
        <v>0</v>
      </c>
      <c r="AG86" s="26">
        <v>0</v>
      </c>
      <c r="AH86" s="26">
        <v>0</v>
      </c>
      <c r="AI86" s="26">
        <v>0</v>
      </c>
      <c r="AJ86" s="26">
        <v>0</v>
      </c>
      <c r="AK86" s="26">
        <v>0</v>
      </c>
      <c r="AL86" s="26">
        <v>0</v>
      </c>
      <c r="AM86" s="26">
        <v>0</v>
      </c>
      <c r="AN86" s="26">
        <v>0</v>
      </c>
      <c r="AO86" s="26">
        <v>0</v>
      </c>
      <c r="AP86" s="26">
        <v>0</v>
      </c>
      <c r="AQ86" s="26">
        <v>0</v>
      </c>
      <c r="AR86" s="26">
        <v>0</v>
      </c>
      <c r="AS86" s="26">
        <v>0</v>
      </c>
      <c r="AT86" s="26">
        <v>0</v>
      </c>
      <c r="AU86" s="26">
        <v>0</v>
      </c>
      <c r="AV86" s="26">
        <v>0</v>
      </c>
      <c r="AW86" s="26">
        <v>1</v>
      </c>
      <c r="AX86" s="26">
        <v>1</v>
      </c>
      <c r="AY86" s="26">
        <v>3</v>
      </c>
      <c r="AZ86" s="26">
        <v>3</v>
      </c>
      <c r="BA86" s="26">
        <v>7</v>
      </c>
      <c r="BB86" s="26">
        <v>10</v>
      </c>
      <c r="BC86" s="26">
        <v>16</v>
      </c>
      <c r="BD86" s="26">
        <v>32</v>
      </c>
      <c r="BE86" s="26">
        <v>44</v>
      </c>
      <c r="BF86">
        <v>54</v>
      </c>
      <c r="BG86">
        <v>63</v>
      </c>
      <c r="BH86">
        <v>72</v>
      </c>
      <c r="BI86">
        <v>105</v>
      </c>
      <c r="BJ86">
        <v>123</v>
      </c>
      <c r="BK86" t="s">
        <v>1401</v>
      </c>
      <c r="BN86" s="1"/>
    </row>
    <row r="87" spans="1:66" x14ac:dyDescent="0.25">
      <c r="A87" s="26"/>
      <c r="B87" s="26" t="s">
        <v>132</v>
      </c>
      <c r="C87" s="26">
        <v>8.6195000000000004</v>
      </c>
      <c r="D87" s="26">
        <v>0.82479999999999998</v>
      </c>
      <c r="E87" s="26">
        <v>0</v>
      </c>
      <c r="F87" s="26">
        <v>0</v>
      </c>
      <c r="G87" s="26">
        <v>0</v>
      </c>
      <c r="H87" s="26">
        <v>0</v>
      </c>
      <c r="I87" s="26">
        <v>0</v>
      </c>
      <c r="J87" s="26">
        <v>0</v>
      </c>
      <c r="K87" s="26">
        <v>0</v>
      </c>
      <c r="L87" s="26">
        <v>0</v>
      </c>
      <c r="M87" s="26">
        <v>0</v>
      </c>
      <c r="N87" s="26">
        <v>0</v>
      </c>
      <c r="O87" s="26">
        <v>0</v>
      </c>
      <c r="P87" s="26">
        <v>0</v>
      </c>
      <c r="Q87" s="26">
        <v>0</v>
      </c>
      <c r="R87" s="26">
        <v>0</v>
      </c>
      <c r="S87" s="26">
        <v>0</v>
      </c>
      <c r="T87" s="26">
        <v>0</v>
      </c>
      <c r="U87" s="26">
        <v>0</v>
      </c>
      <c r="V87" s="26">
        <v>0</v>
      </c>
      <c r="W87" s="26">
        <v>0</v>
      </c>
      <c r="X87" s="26">
        <v>0</v>
      </c>
      <c r="Y87" s="26">
        <v>0</v>
      </c>
      <c r="Z87" s="26">
        <v>0</v>
      </c>
      <c r="AA87" s="26">
        <v>0</v>
      </c>
      <c r="AB87" s="26">
        <v>0</v>
      </c>
      <c r="AC87" s="26">
        <v>0</v>
      </c>
      <c r="AD87" s="26">
        <v>0</v>
      </c>
      <c r="AE87" s="26">
        <v>0</v>
      </c>
      <c r="AF87" s="26">
        <v>0</v>
      </c>
      <c r="AG87" s="26">
        <v>0</v>
      </c>
      <c r="AH87" s="26">
        <v>0</v>
      </c>
      <c r="AI87" s="26">
        <v>0</v>
      </c>
      <c r="AJ87" s="26">
        <v>0</v>
      </c>
      <c r="AK87" s="26">
        <v>0</v>
      </c>
      <c r="AL87" s="26">
        <v>0</v>
      </c>
      <c r="AM87" s="26">
        <v>0</v>
      </c>
      <c r="AN87" s="26">
        <v>0</v>
      </c>
      <c r="AO87" s="26">
        <v>0</v>
      </c>
      <c r="AP87" s="26">
        <v>0</v>
      </c>
      <c r="AQ87" s="26">
        <v>0</v>
      </c>
      <c r="AR87" s="26">
        <v>0</v>
      </c>
      <c r="AS87" s="26">
        <v>0</v>
      </c>
      <c r="AT87" s="26">
        <v>0</v>
      </c>
      <c r="AU87" s="26">
        <v>0</v>
      </c>
      <c r="AV87" s="26">
        <v>0</v>
      </c>
      <c r="AW87" s="26">
        <v>1</v>
      </c>
      <c r="AX87" s="26">
        <v>1</v>
      </c>
      <c r="AY87" s="26">
        <v>1</v>
      </c>
      <c r="AZ87" s="26">
        <v>1</v>
      </c>
      <c r="BA87" s="26">
        <v>1</v>
      </c>
      <c r="BB87" s="26">
        <v>1</v>
      </c>
      <c r="BC87" s="26">
        <v>1</v>
      </c>
      <c r="BD87" s="26">
        <v>1</v>
      </c>
      <c r="BE87" s="26">
        <v>1</v>
      </c>
      <c r="BF87">
        <v>1</v>
      </c>
      <c r="BG87">
        <v>1</v>
      </c>
      <c r="BH87">
        <v>1</v>
      </c>
      <c r="BI87">
        <v>1</v>
      </c>
      <c r="BJ87">
        <v>1</v>
      </c>
      <c r="BK87" t="s">
        <v>444</v>
      </c>
      <c r="BN87" s="1"/>
    </row>
    <row r="88" spans="1:66" x14ac:dyDescent="0.25">
      <c r="A88" s="26"/>
      <c r="B88" s="26" t="s">
        <v>134</v>
      </c>
      <c r="C88" s="26">
        <v>35.9375</v>
      </c>
      <c r="D88" s="26">
        <v>14.375400000000001</v>
      </c>
      <c r="E88" s="26">
        <v>0</v>
      </c>
      <c r="F88" s="26">
        <v>0</v>
      </c>
      <c r="G88" s="26">
        <v>0</v>
      </c>
      <c r="H88" s="26">
        <v>0</v>
      </c>
      <c r="I88" s="26">
        <v>0</v>
      </c>
      <c r="J88" s="26">
        <v>0</v>
      </c>
      <c r="K88" s="26">
        <v>0</v>
      </c>
      <c r="L88" s="26">
        <v>0</v>
      </c>
      <c r="M88" s="26">
        <v>0</v>
      </c>
      <c r="N88" s="26">
        <v>0</v>
      </c>
      <c r="O88" s="26">
        <v>0</v>
      </c>
      <c r="P88" s="26">
        <v>0</v>
      </c>
      <c r="Q88" s="26">
        <v>0</v>
      </c>
      <c r="R88" s="26">
        <v>0</v>
      </c>
      <c r="S88" s="26">
        <v>0</v>
      </c>
      <c r="T88" s="26">
        <v>0</v>
      </c>
      <c r="U88" s="26">
        <v>0</v>
      </c>
      <c r="V88" s="26">
        <v>0</v>
      </c>
      <c r="W88" s="26">
        <v>0</v>
      </c>
      <c r="X88" s="26">
        <v>0</v>
      </c>
      <c r="Y88" s="26">
        <v>0</v>
      </c>
      <c r="Z88" s="26">
        <v>0</v>
      </c>
      <c r="AA88" s="26">
        <v>0</v>
      </c>
      <c r="AB88" s="26">
        <v>0</v>
      </c>
      <c r="AC88" s="26">
        <v>0</v>
      </c>
      <c r="AD88" s="26">
        <v>0</v>
      </c>
      <c r="AE88" s="26">
        <v>0</v>
      </c>
      <c r="AF88" s="26">
        <v>0</v>
      </c>
      <c r="AG88" s="26">
        <v>0</v>
      </c>
      <c r="AH88" s="26">
        <v>0</v>
      </c>
      <c r="AI88" s="26">
        <v>0</v>
      </c>
      <c r="AJ88" s="26">
        <v>0</v>
      </c>
      <c r="AK88" s="26">
        <v>0</v>
      </c>
      <c r="AL88" s="26">
        <v>0</v>
      </c>
      <c r="AM88" s="26">
        <v>0</v>
      </c>
      <c r="AN88" s="26">
        <v>0</v>
      </c>
      <c r="AO88" s="26">
        <v>0</v>
      </c>
      <c r="AP88" s="26">
        <v>0</v>
      </c>
      <c r="AQ88" s="26">
        <v>0</v>
      </c>
      <c r="AR88" s="26">
        <v>0</v>
      </c>
      <c r="AS88" s="26">
        <v>0</v>
      </c>
      <c r="AT88" s="26">
        <v>0</v>
      </c>
      <c r="AU88" s="26">
        <v>0</v>
      </c>
      <c r="AV88" s="26">
        <v>0</v>
      </c>
      <c r="AW88" s="26">
        <v>0</v>
      </c>
      <c r="AX88" s="26">
        <v>3</v>
      </c>
      <c r="AY88" s="26">
        <v>3</v>
      </c>
      <c r="AZ88" s="26">
        <v>3</v>
      </c>
      <c r="BA88" s="26">
        <v>5</v>
      </c>
      <c r="BB88" s="26">
        <v>6</v>
      </c>
      <c r="BC88" s="26">
        <v>6</v>
      </c>
      <c r="BD88" s="26">
        <v>12</v>
      </c>
      <c r="BE88" s="26">
        <v>18</v>
      </c>
      <c r="BF88">
        <v>21</v>
      </c>
      <c r="BG88">
        <v>30</v>
      </c>
      <c r="BH88">
        <v>38</v>
      </c>
      <c r="BI88">
        <v>38</v>
      </c>
      <c r="BJ88">
        <v>53</v>
      </c>
      <c r="BK88" t="s">
        <v>1384</v>
      </c>
      <c r="BN88" s="1"/>
    </row>
    <row r="89" spans="1:66" x14ac:dyDescent="0.25">
      <c r="A89" s="26"/>
      <c r="B89" s="26" t="s">
        <v>135</v>
      </c>
      <c r="C89" s="26">
        <v>14.641500000000001</v>
      </c>
      <c r="D89" s="26">
        <v>-61.0242</v>
      </c>
      <c r="E89" s="26">
        <v>0</v>
      </c>
      <c r="F89" s="26">
        <v>0</v>
      </c>
      <c r="G89" s="26">
        <v>0</v>
      </c>
      <c r="H89" s="26">
        <v>0</v>
      </c>
      <c r="I89" s="26">
        <v>0</v>
      </c>
      <c r="J89" s="26">
        <v>0</v>
      </c>
      <c r="K89" s="26">
        <v>0</v>
      </c>
      <c r="L89" s="26">
        <v>0</v>
      </c>
      <c r="M89" s="26">
        <v>0</v>
      </c>
      <c r="N89" s="26">
        <v>0</v>
      </c>
      <c r="O89" s="26">
        <v>0</v>
      </c>
      <c r="P89" s="26">
        <v>0</v>
      </c>
      <c r="Q89" s="26">
        <v>0</v>
      </c>
      <c r="R89" s="26">
        <v>0</v>
      </c>
      <c r="S89" s="26">
        <v>0</v>
      </c>
      <c r="T89" s="26">
        <v>0</v>
      </c>
      <c r="U89" s="26">
        <v>0</v>
      </c>
      <c r="V89" s="26">
        <v>0</v>
      </c>
      <c r="W89" s="26">
        <v>0</v>
      </c>
      <c r="X89" s="26">
        <v>0</v>
      </c>
      <c r="Y89" s="26">
        <v>0</v>
      </c>
      <c r="Z89" s="26">
        <v>0</v>
      </c>
      <c r="AA89" s="26">
        <v>0</v>
      </c>
      <c r="AB89" s="26">
        <v>0</v>
      </c>
      <c r="AC89" s="26">
        <v>0</v>
      </c>
      <c r="AD89" s="26">
        <v>0</v>
      </c>
      <c r="AE89" s="26">
        <v>0</v>
      </c>
      <c r="AF89" s="26">
        <v>0</v>
      </c>
      <c r="AG89" s="26">
        <v>0</v>
      </c>
      <c r="AH89" s="26">
        <v>0</v>
      </c>
      <c r="AI89" s="26">
        <v>0</v>
      </c>
      <c r="AJ89" s="26">
        <v>0</v>
      </c>
      <c r="AK89" s="26">
        <v>0</v>
      </c>
      <c r="AL89" s="26">
        <v>0</v>
      </c>
      <c r="AM89" s="26">
        <v>0</v>
      </c>
      <c r="AN89" s="26">
        <v>0</v>
      </c>
      <c r="AO89" s="26">
        <v>0</v>
      </c>
      <c r="AP89" s="26">
        <v>0</v>
      </c>
      <c r="AQ89" s="26">
        <v>0</v>
      </c>
      <c r="AR89" s="26">
        <v>0</v>
      </c>
      <c r="AS89" s="26">
        <v>0</v>
      </c>
      <c r="AT89" s="26">
        <v>0</v>
      </c>
      <c r="AU89" s="26">
        <v>0</v>
      </c>
      <c r="AV89" s="26">
        <v>0</v>
      </c>
      <c r="AW89" s="26">
        <v>0</v>
      </c>
      <c r="AX89" s="26">
        <v>2</v>
      </c>
      <c r="AY89" s="26">
        <v>2</v>
      </c>
      <c r="AZ89" s="26">
        <v>2</v>
      </c>
      <c r="BA89" s="26">
        <v>2</v>
      </c>
      <c r="BB89" s="26">
        <v>3</v>
      </c>
      <c r="BC89" s="26">
        <v>3</v>
      </c>
      <c r="BD89" s="26">
        <v>3</v>
      </c>
      <c r="BE89" s="26">
        <v>9</v>
      </c>
      <c r="BF89">
        <v>9</v>
      </c>
      <c r="BG89">
        <v>15</v>
      </c>
      <c r="BH89">
        <v>16</v>
      </c>
      <c r="BI89">
        <v>19</v>
      </c>
      <c r="BJ89">
        <v>23</v>
      </c>
      <c r="BK89" t="s">
        <v>1402</v>
      </c>
      <c r="BN89" s="1"/>
    </row>
    <row r="90" spans="1:66" x14ac:dyDescent="0.25">
      <c r="A90" s="26"/>
      <c r="B90" s="26" t="s">
        <v>136</v>
      </c>
      <c r="C90" s="26">
        <v>42.733899999999998</v>
      </c>
      <c r="D90" s="26">
        <v>25.485800000000001</v>
      </c>
      <c r="E90" s="26">
        <v>0</v>
      </c>
      <c r="F90" s="26">
        <v>0</v>
      </c>
      <c r="G90" s="26">
        <v>0</v>
      </c>
      <c r="H90" s="26">
        <v>0</v>
      </c>
      <c r="I90" s="26">
        <v>0</v>
      </c>
      <c r="J90" s="26">
        <v>0</v>
      </c>
      <c r="K90" s="26">
        <v>0</v>
      </c>
      <c r="L90" s="26">
        <v>0</v>
      </c>
      <c r="M90" s="26">
        <v>0</v>
      </c>
      <c r="N90" s="26">
        <v>0</v>
      </c>
      <c r="O90" s="26">
        <v>0</v>
      </c>
      <c r="P90" s="26">
        <v>0</v>
      </c>
      <c r="Q90" s="26">
        <v>0</v>
      </c>
      <c r="R90" s="26">
        <v>0</v>
      </c>
      <c r="S90" s="26">
        <v>0</v>
      </c>
      <c r="T90" s="26">
        <v>0</v>
      </c>
      <c r="U90" s="26">
        <v>0</v>
      </c>
      <c r="V90" s="26">
        <v>0</v>
      </c>
      <c r="W90" s="26">
        <v>0</v>
      </c>
      <c r="X90" s="26">
        <v>0</v>
      </c>
      <c r="Y90" s="26">
        <v>0</v>
      </c>
      <c r="Z90" s="26">
        <v>0</v>
      </c>
      <c r="AA90" s="26">
        <v>0</v>
      </c>
      <c r="AB90" s="26">
        <v>0</v>
      </c>
      <c r="AC90" s="26">
        <v>0</v>
      </c>
      <c r="AD90" s="26">
        <v>0</v>
      </c>
      <c r="AE90" s="26">
        <v>0</v>
      </c>
      <c r="AF90" s="26">
        <v>0</v>
      </c>
      <c r="AG90" s="26">
        <v>0</v>
      </c>
      <c r="AH90" s="26">
        <v>0</v>
      </c>
      <c r="AI90" s="26">
        <v>0</v>
      </c>
      <c r="AJ90" s="26">
        <v>0</v>
      </c>
      <c r="AK90" s="26">
        <v>0</v>
      </c>
      <c r="AL90" s="26">
        <v>0</v>
      </c>
      <c r="AM90" s="26">
        <v>0</v>
      </c>
      <c r="AN90" s="26">
        <v>0</v>
      </c>
      <c r="AO90" s="26">
        <v>0</v>
      </c>
      <c r="AP90" s="26">
        <v>0</v>
      </c>
      <c r="AQ90" s="26">
        <v>0</v>
      </c>
      <c r="AR90" s="26">
        <v>0</v>
      </c>
      <c r="AS90" s="26">
        <v>0</v>
      </c>
      <c r="AT90" s="26">
        <v>0</v>
      </c>
      <c r="AU90" s="26">
        <v>0</v>
      </c>
      <c r="AV90" s="26">
        <v>0</v>
      </c>
      <c r="AW90" s="26">
        <v>0</v>
      </c>
      <c r="AX90" s="26">
        <v>0</v>
      </c>
      <c r="AY90" s="26">
        <v>4</v>
      </c>
      <c r="AZ90" s="26">
        <v>4</v>
      </c>
      <c r="BA90" s="26">
        <v>4</v>
      </c>
      <c r="BB90" s="26">
        <v>7</v>
      </c>
      <c r="BC90" s="26">
        <v>7</v>
      </c>
      <c r="BD90" s="26">
        <v>23</v>
      </c>
      <c r="BE90" s="26">
        <v>41</v>
      </c>
      <c r="BF90">
        <v>51</v>
      </c>
      <c r="BG90">
        <v>52</v>
      </c>
      <c r="BH90">
        <v>67</v>
      </c>
      <c r="BI90">
        <v>92</v>
      </c>
      <c r="BJ90">
        <v>94</v>
      </c>
      <c r="BK90" t="s">
        <v>1403</v>
      </c>
      <c r="BN90" s="1"/>
    </row>
    <row r="91" spans="1:66" x14ac:dyDescent="0.25">
      <c r="A91" s="26"/>
      <c r="B91" s="26" t="s">
        <v>137</v>
      </c>
      <c r="C91" s="26">
        <v>3.2027999999999999</v>
      </c>
      <c r="D91" s="26">
        <v>73.220699999999994</v>
      </c>
      <c r="E91" s="26">
        <v>0</v>
      </c>
      <c r="F91" s="26">
        <v>0</v>
      </c>
      <c r="G91" s="26">
        <v>0</v>
      </c>
      <c r="H91" s="26">
        <v>0</v>
      </c>
      <c r="I91" s="26">
        <v>0</v>
      </c>
      <c r="J91" s="26">
        <v>0</v>
      </c>
      <c r="K91" s="26">
        <v>0</v>
      </c>
      <c r="L91" s="26">
        <v>0</v>
      </c>
      <c r="M91" s="26">
        <v>0</v>
      </c>
      <c r="N91" s="26">
        <v>0</v>
      </c>
      <c r="O91" s="26">
        <v>0</v>
      </c>
      <c r="P91" s="26">
        <v>0</v>
      </c>
      <c r="Q91" s="26">
        <v>0</v>
      </c>
      <c r="R91" s="26">
        <v>0</v>
      </c>
      <c r="S91" s="26">
        <v>0</v>
      </c>
      <c r="T91" s="26">
        <v>0</v>
      </c>
      <c r="U91" s="26">
        <v>0</v>
      </c>
      <c r="V91" s="26">
        <v>0</v>
      </c>
      <c r="W91" s="26">
        <v>0</v>
      </c>
      <c r="X91" s="26">
        <v>0</v>
      </c>
      <c r="Y91" s="26">
        <v>0</v>
      </c>
      <c r="Z91" s="26">
        <v>0</v>
      </c>
      <c r="AA91" s="26">
        <v>0</v>
      </c>
      <c r="AB91" s="26">
        <v>0</v>
      </c>
      <c r="AC91" s="26">
        <v>0</v>
      </c>
      <c r="AD91" s="26">
        <v>0</v>
      </c>
      <c r="AE91" s="26">
        <v>0</v>
      </c>
      <c r="AF91" s="26">
        <v>0</v>
      </c>
      <c r="AG91" s="26">
        <v>0</v>
      </c>
      <c r="AH91" s="26">
        <v>0</v>
      </c>
      <c r="AI91" s="26">
        <v>0</v>
      </c>
      <c r="AJ91" s="26">
        <v>0</v>
      </c>
      <c r="AK91" s="26">
        <v>0</v>
      </c>
      <c r="AL91" s="26">
        <v>0</v>
      </c>
      <c r="AM91" s="26">
        <v>0</v>
      </c>
      <c r="AN91" s="26">
        <v>0</v>
      </c>
      <c r="AO91" s="26">
        <v>0</v>
      </c>
      <c r="AP91" s="26">
        <v>0</v>
      </c>
      <c r="AQ91" s="26">
        <v>0</v>
      </c>
      <c r="AR91" s="26">
        <v>0</v>
      </c>
      <c r="AS91" s="26">
        <v>0</v>
      </c>
      <c r="AT91" s="26">
        <v>0</v>
      </c>
      <c r="AU91" s="26">
        <v>0</v>
      </c>
      <c r="AV91" s="26">
        <v>0</v>
      </c>
      <c r="AW91" s="26">
        <v>0</v>
      </c>
      <c r="AX91" s="26">
        <v>0</v>
      </c>
      <c r="AY91" s="26">
        <v>4</v>
      </c>
      <c r="AZ91" s="26">
        <v>4</v>
      </c>
      <c r="BA91" s="26">
        <v>6</v>
      </c>
      <c r="BB91" s="26">
        <v>8</v>
      </c>
      <c r="BC91" s="26">
        <v>8</v>
      </c>
      <c r="BD91" s="26">
        <v>9</v>
      </c>
      <c r="BE91" s="26">
        <v>10</v>
      </c>
      <c r="BF91">
        <v>13</v>
      </c>
      <c r="BG91">
        <v>13</v>
      </c>
      <c r="BH91">
        <v>13</v>
      </c>
      <c r="BI91">
        <v>13</v>
      </c>
      <c r="BJ91">
        <v>13</v>
      </c>
      <c r="BK91" t="s">
        <v>809</v>
      </c>
      <c r="BN91" s="1"/>
    </row>
    <row r="92" spans="1:66" x14ac:dyDescent="0.25">
      <c r="A92" s="26"/>
      <c r="B92" s="26" t="s">
        <v>138</v>
      </c>
      <c r="C92" s="26">
        <v>23.684999999999999</v>
      </c>
      <c r="D92" s="26">
        <v>90.356300000000005</v>
      </c>
      <c r="E92" s="26">
        <v>0</v>
      </c>
      <c r="F92" s="26">
        <v>0</v>
      </c>
      <c r="G92" s="26">
        <v>0</v>
      </c>
      <c r="H92" s="26">
        <v>0</v>
      </c>
      <c r="I92" s="26">
        <v>0</v>
      </c>
      <c r="J92" s="26">
        <v>0</v>
      </c>
      <c r="K92" s="26">
        <v>0</v>
      </c>
      <c r="L92" s="26">
        <v>0</v>
      </c>
      <c r="M92" s="26">
        <v>0</v>
      </c>
      <c r="N92" s="26">
        <v>0</v>
      </c>
      <c r="O92" s="26">
        <v>0</v>
      </c>
      <c r="P92" s="26">
        <v>0</v>
      </c>
      <c r="Q92" s="26">
        <v>0</v>
      </c>
      <c r="R92" s="26">
        <v>0</v>
      </c>
      <c r="S92" s="26">
        <v>0</v>
      </c>
      <c r="T92" s="26">
        <v>0</v>
      </c>
      <c r="U92" s="26">
        <v>0</v>
      </c>
      <c r="V92" s="26">
        <v>0</v>
      </c>
      <c r="W92" s="26">
        <v>0</v>
      </c>
      <c r="X92" s="26">
        <v>0</v>
      </c>
      <c r="Y92" s="26">
        <v>0</v>
      </c>
      <c r="Z92" s="26">
        <v>0</v>
      </c>
      <c r="AA92" s="26">
        <v>0</v>
      </c>
      <c r="AB92" s="26">
        <v>0</v>
      </c>
      <c r="AC92" s="26">
        <v>0</v>
      </c>
      <c r="AD92" s="26">
        <v>0</v>
      </c>
      <c r="AE92" s="26">
        <v>0</v>
      </c>
      <c r="AF92" s="26">
        <v>0</v>
      </c>
      <c r="AG92" s="26">
        <v>0</v>
      </c>
      <c r="AH92" s="26">
        <v>0</v>
      </c>
      <c r="AI92" s="26">
        <v>0</v>
      </c>
      <c r="AJ92" s="26">
        <v>0</v>
      </c>
      <c r="AK92" s="26">
        <v>0</v>
      </c>
      <c r="AL92" s="26">
        <v>0</v>
      </c>
      <c r="AM92" s="26">
        <v>0</v>
      </c>
      <c r="AN92" s="26">
        <v>0</v>
      </c>
      <c r="AO92" s="26">
        <v>0</v>
      </c>
      <c r="AP92" s="26">
        <v>0</v>
      </c>
      <c r="AQ92" s="26">
        <v>0</v>
      </c>
      <c r="AR92" s="26">
        <v>0</v>
      </c>
      <c r="AS92" s="26">
        <v>0</v>
      </c>
      <c r="AT92" s="26">
        <v>0</v>
      </c>
      <c r="AU92" s="26">
        <v>0</v>
      </c>
      <c r="AV92" s="26">
        <v>0</v>
      </c>
      <c r="AW92" s="26">
        <v>0</v>
      </c>
      <c r="AX92" s="26">
        <v>0</v>
      </c>
      <c r="AY92" s="26">
        <v>3</v>
      </c>
      <c r="AZ92" s="26">
        <v>3</v>
      </c>
      <c r="BA92" s="26">
        <v>3</v>
      </c>
      <c r="BB92" s="26">
        <v>3</v>
      </c>
      <c r="BC92" s="26">
        <v>3</v>
      </c>
      <c r="BD92" s="26">
        <v>3</v>
      </c>
      <c r="BE92" s="26">
        <v>3</v>
      </c>
      <c r="BF92">
        <v>5</v>
      </c>
      <c r="BG92">
        <v>8</v>
      </c>
      <c r="BH92">
        <v>10</v>
      </c>
      <c r="BI92">
        <v>14</v>
      </c>
      <c r="BJ92">
        <v>17</v>
      </c>
      <c r="BK92" t="s">
        <v>651</v>
      </c>
      <c r="BN92" s="1"/>
    </row>
    <row r="93" spans="1:66" x14ac:dyDescent="0.25">
      <c r="A93" s="26"/>
      <c r="B93" s="26" t="s">
        <v>140</v>
      </c>
      <c r="C93" s="26">
        <v>-23.442499999999999</v>
      </c>
      <c r="D93" s="26">
        <v>-58.443800000000003</v>
      </c>
      <c r="E93" s="26">
        <v>0</v>
      </c>
      <c r="F93" s="26">
        <v>0</v>
      </c>
      <c r="G93" s="26">
        <v>0</v>
      </c>
      <c r="H93" s="26">
        <v>0</v>
      </c>
      <c r="I93" s="26">
        <v>0</v>
      </c>
      <c r="J93" s="26">
        <v>0</v>
      </c>
      <c r="K93" s="26">
        <v>0</v>
      </c>
      <c r="L93" s="26">
        <v>0</v>
      </c>
      <c r="M93" s="26">
        <v>0</v>
      </c>
      <c r="N93" s="26">
        <v>0</v>
      </c>
      <c r="O93" s="26">
        <v>0</v>
      </c>
      <c r="P93" s="26">
        <v>0</v>
      </c>
      <c r="Q93" s="26">
        <v>0</v>
      </c>
      <c r="R93" s="26">
        <v>0</v>
      </c>
      <c r="S93" s="26">
        <v>0</v>
      </c>
      <c r="T93" s="26">
        <v>0</v>
      </c>
      <c r="U93" s="26">
        <v>0</v>
      </c>
      <c r="V93" s="26">
        <v>0</v>
      </c>
      <c r="W93" s="26">
        <v>0</v>
      </c>
      <c r="X93" s="26">
        <v>0</v>
      </c>
      <c r="Y93" s="26">
        <v>0</v>
      </c>
      <c r="Z93" s="26">
        <v>0</v>
      </c>
      <c r="AA93" s="26">
        <v>0</v>
      </c>
      <c r="AB93" s="26">
        <v>0</v>
      </c>
      <c r="AC93" s="26">
        <v>0</v>
      </c>
      <c r="AD93" s="26">
        <v>0</v>
      </c>
      <c r="AE93" s="26">
        <v>0</v>
      </c>
      <c r="AF93" s="26">
        <v>0</v>
      </c>
      <c r="AG93" s="26">
        <v>0</v>
      </c>
      <c r="AH93" s="26">
        <v>0</v>
      </c>
      <c r="AI93" s="26">
        <v>0</v>
      </c>
      <c r="AJ93" s="26">
        <v>0</v>
      </c>
      <c r="AK93" s="26">
        <v>0</v>
      </c>
      <c r="AL93" s="26">
        <v>0</v>
      </c>
      <c r="AM93" s="26">
        <v>0</v>
      </c>
      <c r="AN93" s="26">
        <v>0</v>
      </c>
      <c r="AO93" s="26">
        <v>0</v>
      </c>
      <c r="AP93" s="26">
        <v>0</v>
      </c>
      <c r="AQ93" s="26">
        <v>0</v>
      </c>
      <c r="AR93" s="26">
        <v>0</v>
      </c>
      <c r="AS93" s="26">
        <v>0</v>
      </c>
      <c r="AT93" s="26">
        <v>0</v>
      </c>
      <c r="AU93" s="26">
        <v>0</v>
      </c>
      <c r="AV93" s="26">
        <v>0</v>
      </c>
      <c r="AW93" s="26">
        <v>0</v>
      </c>
      <c r="AX93" s="26">
        <v>0</v>
      </c>
      <c r="AY93" s="26">
        <v>1</v>
      </c>
      <c r="AZ93" s="26">
        <v>1</v>
      </c>
      <c r="BA93" s="26">
        <v>1</v>
      </c>
      <c r="BB93" s="26">
        <v>5</v>
      </c>
      <c r="BC93" s="26">
        <v>5</v>
      </c>
      <c r="BD93" s="26">
        <v>6</v>
      </c>
      <c r="BE93" s="26">
        <v>6</v>
      </c>
      <c r="BF93">
        <v>6</v>
      </c>
      <c r="BG93">
        <v>8</v>
      </c>
      <c r="BH93">
        <v>9</v>
      </c>
      <c r="BI93">
        <v>11</v>
      </c>
      <c r="BJ93">
        <v>11</v>
      </c>
      <c r="BK93" t="s">
        <v>809</v>
      </c>
      <c r="BN93" s="1"/>
    </row>
    <row r="94" spans="1:66" x14ac:dyDescent="0.25">
      <c r="A94" s="26" t="s">
        <v>141</v>
      </c>
      <c r="B94" s="26" t="s">
        <v>46</v>
      </c>
      <c r="C94" s="26">
        <v>51.253799999999998</v>
      </c>
      <c r="D94" s="26">
        <v>-85.3232</v>
      </c>
      <c r="E94" s="26">
        <v>0</v>
      </c>
      <c r="F94" s="26">
        <v>0</v>
      </c>
      <c r="G94" s="26">
        <v>0</v>
      </c>
      <c r="H94" s="26">
        <v>0</v>
      </c>
      <c r="I94" s="26">
        <v>1</v>
      </c>
      <c r="J94" s="26">
        <v>1</v>
      </c>
      <c r="K94" s="26">
        <v>1</v>
      </c>
      <c r="L94" s="26">
        <v>1</v>
      </c>
      <c r="M94" s="26">
        <v>1</v>
      </c>
      <c r="N94" s="26">
        <v>3</v>
      </c>
      <c r="O94" s="26">
        <v>3</v>
      </c>
      <c r="P94" s="26">
        <v>3</v>
      </c>
      <c r="Q94" s="26">
        <v>3</v>
      </c>
      <c r="R94" s="26">
        <v>3</v>
      </c>
      <c r="S94" s="26">
        <v>3</v>
      </c>
      <c r="T94" s="26">
        <v>3</v>
      </c>
      <c r="U94" s="26">
        <v>3</v>
      </c>
      <c r="V94" s="26">
        <v>3</v>
      </c>
      <c r="W94" s="26">
        <v>3</v>
      </c>
      <c r="X94" s="26">
        <v>3</v>
      </c>
      <c r="Y94" s="26">
        <v>3</v>
      </c>
      <c r="Z94" s="26">
        <v>3</v>
      </c>
      <c r="AA94" s="26">
        <v>3</v>
      </c>
      <c r="AB94" s="26">
        <v>3</v>
      </c>
      <c r="AC94" s="26">
        <v>3</v>
      </c>
      <c r="AD94" s="26">
        <v>3</v>
      </c>
      <c r="AE94" s="26">
        <v>3</v>
      </c>
      <c r="AF94" s="26">
        <v>3</v>
      </c>
      <c r="AG94" s="26">
        <v>3</v>
      </c>
      <c r="AH94" s="26">
        <v>3</v>
      </c>
      <c r="AI94" s="26">
        <v>3</v>
      </c>
      <c r="AJ94" s="26">
        <v>3</v>
      </c>
      <c r="AK94" s="26">
        <v>3</v>
      </c>
      <c r="AL94" s="26">
        <v>4</v>
      </c>
      <c r="AM94" s="26">
        <v>4</v>
      </c>
      <c r="AN94" s="26">
        <v>4</v>
      </c>
      <c r="AO94" s="26">
        <v>6</v>
      </c>
      <c r="AP94" s="26">
        <v>6</v>
      </c>
      <c r="AQ94" s="26">
        <v>11</v>
      </c>
      <c r="AR94" s="26">
        <v>15</v>
      </c>
      <c r="AS94" s="26">
        <v>18</v>
      </c>
      <c r="AT94" s="26">
        <v>20</v>
      </c>
      <c r="AU94" s="26">
        <v>20</v>
      </c>
      <c r="AV94" s="26">
        <v>22</v>
      </c>
      <c r="AW94" s="26">
        <v>25</v>
      </c>
      <c r="AX94" s="26">
        <v>28</v>
      </c>
      <c r="AY94" s="26">
        <v>29</v>
      </c>
      <c r="AZ94" s="26">
        <v>34</v>
      </c>
      <c r="BA94" s="26">
        <v>36</v>
      </c>
      <c r="BB94" s="26">
        <v>41</v>
      </c>
      <c r="BC94" s="26">
        <v>42</v>
      </c>
      <c r="BD94" s="26">
        <v>74</v>
      </c>
      <c r="BE94" s="26">
        <v>79</v>
      </c>
      <c r="BF94">
        <v>104</v>
      </c>
      <c r="BG94">
        <v>177</v>
      </c>
      <c r="BH94">
        <v>185</v>
      </c>
      <c r="BI94">
        <v>221</v>
      </c>
      <c r="BJ94">
        <v>257</v>
      </c>
      <c r="BK94" t="s">
        <v>1379</v>
      </c>
      <c r="BN94" s="1"/>
    </row>
    <row r="95" spans="1:66" x14ac:dyDescent="0.25">
      <c r="A95" s="26" t="s">
        <v>142</v>
      </c>
      <c r="B95" s="26" t="s">
        <v>46</v>
      </c>
      <c r="C95" s="26">
        <v>53.933300000000003</v>
      </c>
      <c r="D95" s="26">
        <v>-116.5765</v>
      </c>
      <c r="E95" s="26">
        <v>0</v>
      </c>
      <c r="F95" s="26">
        <v>0</v>
      </c>
      <c r="G95" s="26">
        <v>0</v>
      </c>
      <c r="H95" s="26">
        <v>0</v>
      </c>
      <c r="I95" s="26">
        <v>0</v>
      </c>
      <c r="J95" s="26">
        <v>0</v>
      </c>
      <c r="K95" s="26">
        <v>0</v>
      </c>
      <c r="L95" s="26">
        <v>0</v>
      </c>
      <c r="M95" s="26">
        <v>0</v>
      </c>
      <c r="N95" s="26">
        <v>0</v>
      </c>
      <c r="O95" s="26">
        <v>0</v>
      </c>
      <c r="P95" s="26">
        <v>0</v>
      </c>
      <c r="Q95" s="26">
        <v>0</v>
      </c>
      <c r="R95" s="26">
        <v>0</v>
      </c>
      <c r="S95" s="26">
        <v>0</v>
      </c>
      <c r="T95" s="26">
        <v>0</v>
      </c>
      <c r="U95" s="26">
        <v>0</v>
      </c>
      <c r="V95" s="26">
        <v>0</v>
      </c>
      <c r="W95" s="26">
        <v>0</v>
      </c>
      <c r="X95" s="26">
        <v>0</v>
      </c>
      <c r="Y95" s="26">
        <v>0</v>
      </c>
      <c r="Z95" s="26">
        <v>0</v>
      </c>
      <c r="AA95" s="26">
        <v>0</v>
      </c>
      <c r="AB95" s="26">
        <v>0</v>
      </c>
      <c r="AC95" s="26">
        <v>0</v>
      </c>
      <c r="AD95" s="26">
        <v>0</v>
      </c>
      <c r="AE95" s="26">
        <v>0</v>
      </c>
      <c r="AF95" s="26">
        <v>0</v>
      </c>
      <c r="AG95" s="26">
        <v>0</v>
      </c>
      <c r="AH95" s="26">
        <v>0</v>
      </c>
      <c r="AI95" s="26">
        <v>0</v>
      </c>
      <c r="AJ95" s="26">
        <v>0</v>
      </c>
      <c r="AK95" s="26">
        <v>0</v>
      </c>
      <c r="AL95" s="26">
        <v>0</v>
      </c>
      <c r="AM95" s="26">
        <v>0</v>
      </c>
      <c r="AN95" s="26">
        <v>0</v>
      </c>
      <c r="AO95" s="26">
        <v>0</v>
      </c>
      <c r="AP95" s="26">
        <v>0</v>
      </c>
      <c r="AQ95" s="26">
        <v>0</v>
      </c>
      <c r="AR95" s="26">
        <v>0</v>
      </c>
      <c r="AS95" s="26">
        <v>0</v>
      </c>
      <c r="AT95" s="26">
        <v>0</v>
      </c>
      <c r="AU95" s="26">
        <v>0</v>
      </c>
      <c r="AV95" s="26">
        <v>0</v>
      </c>
      <c r="AW95" s="26">
        <v>1</v>
      </c>
      <c r="AX95" s="26">
        <v>2</v>
      </c>
      <c r="AY95" s="26">
        <v>4</v>
      </c>
      <c r="AZ95" s="26">
        <v>7</v>
      </c>
      <c r="BA95" s="26">
        <v>7</v>
      </c>
      <c r="BB95" s="26">
        <v>19</v>
      </c>
      <c r="BC95" s="26">
        <v>19</v>
      </c>
      <c r="BD95" s="26">
        <v>29</v>
      </c>
      <c r="BE95" s="26">
        <v>29</v>
      </c>
      <c r="BF95">
        <v>39</v>
      </c>
      <c r="BG95">
        <v>56</v>
      </c>
      <c r="BH95">
        <v>74</v>
      </c>
      <c r="BI95">
        <v>97</v>
      </c>
      <c r="BJ95">
        <v>119</v>
      </c>
      <c r="BK95" t="s">
        <v>465</v>
      </c>
      <c r="BN95" s="1"/>
    </row>
    <row r="96" spans="1:66" x14ac:dyDescent="0.25">
      <c r="A96" s="26" t="s">
        <v>143</v>
      </c>
      <c r="B96" s="26" t="s">
        <v>46</v>
      </c>
      <c r="C96" s="26">
        <v>52.939900000000002</v>
      </c>
      <c r="D96" s="26">
        <v>-73.549099999999996</v>
      </c>
      <c r="E96" s="26">
        <v>0</v>
      </c>
      <c r="F96" s="26">
        <v>0</v>
      </c>
      <c r="G96" s="26">
        <v>0</v>
      </c>
      <c r="H96" s="26">
        <v>0</v>
      </c>
      <c r="I96" s="26">
        <v>0</v>
      </c>
      <c r="J96" s="26">
        <v>0</v>
      </c>
      <c r="K96" s="26">
        <v>0</v>
      </c>
      <c r="L96" s="26">
        <v>0</v>
      </c>
      <c r="M96" s="26">
        <v>0</v>
      </c>
      <c r="N96" s="26">
        <v>0</v>
      </c>
      <c r="O96" s="26">
        <v>0</v>
      </c>
      <c r="P96" s="26">
        <v>0</v>
      </c>
      <c r="Q96" s="26">
        <v>0</v>
      </c>
      <c r="R96" s="26">
        <v>0</v>
      </c>
      <c r="S96" s="26">
        <v>0</v>
      </c>
      <c r="T96" s="26">
        <v>0</v>
      </c>
      <c r="U96" s="26">
        <v>0</v>
      </c>
      <c r="V96" s="26">
        <v>0</v>
      </c>
      <c r="W96" s="26">
        <v>0</v>
      </c>
      <c r="X96" s="26">
        <v>0</v>
      </c>
      <c r="Y96" s="26">
        <v>0</v>
      </c>
      <c r="Z96" s="26">
        <v>0</v>
      </c>
      <c r="AA96" s="26">
        <v>0</v>
      </c>
      <c r="AB96" s="26">
        <v>0</v>
      </c>
      <c r="AC96" s="26">
        <v>0</v>
      </c>
      <c r="AD96" s="26">
        <v>0</v>
      </c>
      <c r="AE96" s="26">
        <v>0</v>
      </c>
      <c r="AF96" s="26">
        <v>0</v>
      </c>
      <c r="AG96" s="26">
        <v>0</v>
      </c>
      <c r="AH96" s="26">
        <v>0</v>
      </c>
      <c r="AI96" s="26">
        <v>0</v>
      </c>
      <c r="AJ96" s="26">
        <v>0</v>
      </c>
      <c r="AK96" s="26">
        <v>0</v>
      </c>
      <c r="AL96" s="26">
        <v>0</v>
      </c>
      <c r="AM96" s="26">
        <v>0</v>
      </c>
      <c r="AN96" s="26">
        <v>0</v>
      </c>
      <c r="AO96" s="26">
        <v>0</v>
      </c>
      <c r="AP96" s="26">
        <v>1</v>
      </c>
      <c r="AQ96" s="26">
        <v>1</v>
      </c>
      <c r="AR96" s="26">
        <v>1</v>
      </c>
      <c r="AS96" s="26">
        <v>1</v>
      </c>
      <c r="AT96" s="26">
        <v>1</v>
      </c>
      <c r="AU96" s="26">
        <v>1</v>
      </c>
      <c r="AV96" s="26">
        <v>2</v>
      </c>
      <c r="AW96" s="26">
        <v>2</v>
      </c>
      <c r="AX96" s="26">
        <v>3</v>
      </c>
      <c r="AY96" s="26">
        <v>4</v>
      </c>
      <c r="AZ96" s="26">
        <v>4</v>
      </c>
      <c r="BA96" s="26">
        <v>4</v>
      </c>
      <c r="BB96" s="26">
        <v>8</v>
      </c>
      <c r="BC96" s="26">
        <v>9</v>
      </c>
      <c r="BD96" s="26">
        <v>17</v>
      </c>
      <c r="BE96" s="26">
        <v>17</v>
      </c>
      <c r="BF96">
        <v>24</v>
      </c>
      <c r="BG96">
        <v>50</v>
      </c>
      <c r="BH96">
        <v>74</v>
      </c>
      <c r="BI96">
        <v>94</v>
      </c>
      <c r="BJ96">
        <v>121</v>
      </c>
      <c r="BK96" t="s">
        <v>1404</v>
      </c>
      <c r="BN96" s="1"/>
    </row>
    <row r="97" spans="1:66" x14ac:dyDescent="0.25">
      <c r="A97" s="26"/>
      <c r="B97" s="26" t="s">
        <v>144</v>
      </c>
      <c r="C97" s="26">
        <v>41.153300000000002</v>
      </c>
      <c r="D97" s="26">
        <v>20.168299999999999</v>
      </c>
      <c r="E97" s="26">
        <v>0</v>
      </c>
      <c r="F97" s="26">
        <v>0</v>
      </c>
      <c r="G97" s="26">
        <v>0</v>
      </c>
      <c r="H97" s="26">
        <v>0</v>
      </c>
      <c r="I97" s="26">
        <v>0</v>
      </c>
      <c r="J97" s="26">
        <v>0</v>
      </c>
      <c r="K97" s="26">
        <v>0</v>
      </c>
      <c r="L97" s="26">
        <v>0</v>
      </c>
      <c r="M97" s="26">
        <v>0</v>
      </c>
      <c r="N97" s="26">
        <v>0</v>
      </c>
      <c r="O97" s="26">
        <v>0</v>
      </c>
      <c r="P97" s="26">
        <v>0</v>
      </c>
      <c r="Q97" s="26">
        <v>0</v>
      </c>
      <c r="R97" s="26">
        <v>0</v>
      </c>
      <c r="S97" s="26">
        <v>0</v>
      </c>
      <c r="T97" s="26">
        <v>0</v>
      </c>
      <c r="U97" s="26">
        <v>0</v>
      </c>
      <c r="V97" s="26">
        <v>0</v>
      </c>
      <c r="W97" s="26">
        <v>0</v>
      </c>
      <c r="X97" s="26">
        <v>0</v>
      </c>
      <c r="Y97" s="26">
        <v>0</v>
      </c>
      <c r="Z97" s="26">
        <v>0</v>
      </c>
      <c r="AA97" s="26">
        <v>0</v>
      </c>
      <c r="AB97" s="26">
        <v>0</v>
      </c>
      <c r="AC97" s="26">
        <v>0</v>
      </c>
      <c r="AD97" s="26">
        <v>0</v>
      </c>
      <c r="AE97" s="26">
        <v>0</v>
      </c>
      <c r="AF97" s="26">
        <v>0</v>
      </c>
      <c r="AG97" s="26">
        <v>0</v>
      </c>
      <c r="AH97" s="26">
        <v>0</v>
      </c>
      <c r="AI97" s="26">
        <v>0</v>
      </c>
      <c r="AJ97" s="26">
        <v>0</v>
      </c>
      <c r="AK97" s="26">
        <v>0</v>
      </c>
      <c r="AL97" s="26">
        <v>0</v>
      </c>
      <c r="AM97" s="26">
        <v>0</v>
      </c>
      <c r="AN97" s="26">
        <v>0</v>
      </c>
      <c r="AO97" s="26">
        <v>0</v>
      </c>
      <c r="AP97" s="26">
        <v>0</v>
      </c>
      <c r="AQ97" s="26">
        <v>0</v>
      </c>
      <c r="AR97" s="26">
        <v>0</v>
      </c>
      <c r="AS97" s="26">
        <v>0</v>
      </c>
      <c r="AT97" s="26">
        <v>0</v>
      </c>
      <c r="AU97" s="26">
        <v>0</v>
      </c>
      <c r="AV97" s="26">
        <v>0</v>
      </c>
      <c r="AW97" s="26">
        <v>0</v>
      </c>
      <c r="AX97" s="26">
        <v>0</v>
      </c>
      <c r="AY97" s="26">
        <v>0</v>
      </c>
      <c r="AZ97" s="26">
        <v>2</v>
      </c>
      <c r="BA97" s="26">
        <v>10</v>
      </c>
      <c r="BB97" s="26">
        <v>12</v>
      </c>
      <c r="BC97" s="26">
        <v>23</v>
      </c>
      <c r="BD97" s="26">
        <v>33</v>
      </c>
      <c r="BE97" s="26">
        <v>38</v>
      </c>
      <c r="BF97">
        <v>42</v>
      </c>
      <c r="BG97">
        <v>51</v>
      </c>
      <c r="BH97">
        <v>55</v>
      </c>
      <c r="BI97">
        <v>59</v>
      </c>
      <c r="BJ97">
        <v>64</v>
      </c>
      <c r="BK97" t="s">
        <v>1267</v>
      </c>
      <c r="BN97" s="1"/>
    </row>
    <row r="98" spans="1:66" x14ac:dyDescent="0.25">
      <c r="A98" s="26"/>
      <c r="B98" s="26" t="s">
        <v>145</v>
      </c>
      <c r="C98" s="26">
        <v>35.126399999999997</v>
      </c>
      <c r="D98" s="26">
        <v>33.429900000000004</v>
      </c>
      <c r="E98" s="26">
        <v>0</v>
      </c>
      <c r="F98" s="26">
        <v>0</v>
      </c>
      <c r="G98" s="26">
        <v>0</v>
      </c>
      <c r="H98" s="26">
        <v>0</v>
      </c>
      <c r="I98" s="26">
        <v>0</v>
      </c>
      <c r="J98" s="26">
        <v>0</v>
      </c>
      <c r="K98" s="26">
        <v>0</v>
      </c>
      <c r="L98" s="26">
        <v>0</v>
      </c>
      <c r="M98" s="26">
        <v>0</v>
      </c>
      <c r="N98" s="26">
        <v>0</v>
      </c>
      <c r="O98" s="26">
        <v>0</v>
      </c>
      <c r="P98" s="26">
        <v>0</v>
      </c>
      <c r="Q98" s="26">
        <v>0</v>
      </c>
      <c r="R98" s="26">
        <v>0</v>
      </c>
      <c r="S98" s="26">
        <v>0</v>
      </c>
      <c r="T98" s="26">
        <v>0</v>
      </c>
      <c r="U98" s="26">
        <v>0</v>
      </c>
      <c r="V98" s="26">
        <v>0</v>
      </c>
      <c r="W98" s="26">
        <v>0</v>
      </c>
      <c r="X98" s="26">
        <v>0</v>
      </c>
      <c r="Y98" s="26">
        <v>0</v>
      </c>
      <c r="Z98" s="26">
        <v>0</v>
      </c>
      <c r="AA98" s="26">
        <v>0</v>
      </c>
      <c r="AB98" s="26">
        <v>0</v>
      </c>
      <c r="AC98" s="26">
        <v>0</v>
      </c>
      <c r="AD98" s="26">
        <v>0</v>
      </c>
      <c r="AE98" s="26">
        <v>0</v>
      </c>
      <c r="AF98" s="26">
        <v>0</v>
      </c>
      <c r="AG98" s="26">
        <v>0</v>
      </c>
      <c r="AH98" s="26">
        <v>0</v>
      </c>
      <c r="AI98" s="26">
        <v>0</v>
      </c>
      <c r="AJ98" s="26">
        <v>0</v>
      </c>
      <c r="AK98" s="26">
        <v>0</v>
      </c>
      <c r="AL98" s="26">
        <v>0</v>
      </c>
      <c r="AM98" s="26">
        <v>0</v>
      </c>
      <c r="AN98" s="26">
        <v>0</v>
      </c>
      <c r="AO98" s="26">
        <v>0</v>
      </c>
      <c r="AP98" s="26">
        <v>0</v>
      </c>
      <c r="AQ98" s="26">
        <v>0</v>
      </c>
      <c r="AR98" s="26">
        <v>0</v>
      </c>
      <c r="AS98" s="26">
        <v>0</v>
      </c>
      <c r="AT98" s="26">
        <v>0</v>
      </c>
      <c r="AU98" s="26">
        <v>0</v>
      </c>
      <c r="AV98" s="26">
        <v>0</v>
      </c>
      <c r="AW98" s="26">
        <v>0</v>
      </c>
      <c r="AX98" s="26">
        <v>0</v>
      </c>
      <c r="AY98" s="26">
        <v>0</v>
      </c>
      <c r="AZ98" s="26">
        <v>2</v>
      </c>
      <c r="BA98" s="26">
        <v>3</v>
      </c>
      <c r="BB98" s="26">
        <v>6</v>
      </c>
      <c r="BC98" s="26">
        <v>6</v>
      </c>
      <c r="BD98" s="26">
        <v>14</v>
      </c>
      <c r="BE98" s="26">
        <v>26</v>
      </c>
      <c r="BF98">
        <v>26</v>
      </c>
      <c r="BG98">
        <v>33</v>
      </c>
      <c r="BH98">
        <v>46</v>
      </c>
      <c r="BI98">
        <v>49</v>
      </c>
      <c r="BJ98">
        <v>67</v>
      </c>
      <c r="BK98" t="s">
        <v>1377</v>
      </c>
      <c r="BN98" s="1"/>
    </row>
    <row r="99" spans="1:66" x14ac:dyDescent="0.25">
      <c r="A99" s="26"/>
      <c r="B99" s="26" t="s">
        <v>146</v>
      </c>
      <c r="C99" s="26">
        <v>4.5353000000000003</v>
      </c>
      <c r="D99" s="26">
        <v>114.7277</v>
      </c>
      <c r="E99" s="26">
        <v>0</v>
      </c>
      <c r="F99" s="26">
        <v>0</v>
      </c>
      <c r="G99" s="26">
        <v>0</v>
      </c>
      <c r="H99" s="26">
        <v>0</v>
      </c>
      <c r="I99" s="26">
        <v>0</v>
      </c>
      <c r="J99" s="26">
        <v>0</v>
      </c>
      <c r="K99" s="26">
        <v>0</v>
      </c>
      <c r="L99" s="26">
        <v>0</v>
      </c>
      <c r="M99" s="26">
        <v>0</v>
      </c>
      <c r="N99" s="26">
        <v>0</v>
      </c>
      <c r="O99" s="26">
        <v>0</v>
      </c>
      <c r="P99" s="26">
        <v>0</v>
      </c>
      <c r="Q99" s="26">
        <v>0</v>
      </c>
      <c r="R99" s="26">
        <v>0</v>
      </c>
      <c r="S99" s="26">
        <v>0</v>
      </c>
      <c r="T99" s="26">
        <v>0</v>
      </c>
      <c r="U99" s="26">
        <v>0</v>
      </c>
      <c r="V99" s="26">
        <v>0</v>
      </c>
      <c r="W99" s="26">
        <v>0</v>
      </c>
      <c r="X99" s="26">
        <v>0</v>
      </c>
      <c r="Y99" s="26">
        <v>0</v>
      </c>
      <c r="Z99" s="26">
        <v>0</v>
      </c>
      <c r="AA99" s="26">
        <v>0</v>
      </c>
      <c r="AB99" s="26">
        <v>0</v>
      </c>
      <c r="AC99" s="26">
        <v>0</v>
      </c>
      <c r="AD99" s="26">
        <v>0</v>
      </c>
      <c r="AE99" s="26">
        <v>0</v>
      </c>
      <c r="AF99" s="26">
        <v>0</v>
      </c>
      <c r="AG99" s="26">
        <v>0</v>
      </c>
      <c r="AH99" s="26">
        <v>0</v>
      </c>
      <c r="AI99" s="26">
        <v>0</v>
      </c>
      <c r="AJ99" s="26">
        <v>0</v>
      </c>
      <c r="AK99" s="26">
        <v>0</v>
      </c>
      <c r="AL99" s="26">
        <v>0</v>
      </c>
      <c r="AM99" s="26">
        <v>0</v>
      </c>
      <c r="AN99" s="26">
        <v>0</v>
      </c>
      <c r="AO99" s="26">
        <v>0</v>
      </c>
      <c r="AP99" s="26">
        <v>0</v>
      </c>
      <c r="AQ99" s="26">
        <v>0</v>
      </c>
      <c r="AR99" s="26">
        <v>0</v>
      </c>
      <c r="AS99" s="26">
        <v>0</v>
      </c>
      <c r="AT99" s="26">
        <v>0</v>
      </c>
      <c r="AU99" s="26">
        <v>0</v>
      </c>
      <c r="AV99" s="26">
        <v>0</v>
      </c>
      <c r="AW99" s="26">
        <v>0</v>
      </c>
      <c r="AX99" s="26">
        <v>0</v>
      </c>
      <c r="AY99" s="26">
        <v>0</v>
      </c>
      <c r="AZ99" s="26">
        <v>1</v>
      </c>
      <c r="BA99" s="26">
        <v>1</v>
      </c>
      <c r="BB99" s="26">
        <v>11</v>
      </c>
      <c r="BC99" s="26">
        <v>11</v>
      </c>
      <c r="BD99" s="26">
        <v>37</v>
      </c>
      <c r="BE99" s="26">
        <v>40</v>
      </c>
      <c r="BF99">
        <v>50</v>
      </c>
      <c r="BG99">
        <v>54</v>
      </c>
      <c r="BH99">
        <v>56</v>
      </c>
      <c r="BI99">
        <v>68</v>
      </c>
      <c r="BJ99">
        <v>75</v>
      </c>
      <c r="BK99" t="s">
        <v>1405</v>
      </c>
      <c r="BN99" s="1"/>
    </row>
    <row r="100" spans="1:66" x14ac:dyDescent="0.25">
      <c r="A100" s="26" t="s">
        <v>147</v>
      </c>
      <c r="B100" s="26" t="s">
        <v>37</v>
      </c>
      <c r="C100" s="26">
        <v>47.4009</v>
      </c>
      <c r="D100" s="26">
        <v>-121.4905</v>
      </c>
      <c r="E100" s="26">
        <v>0</v>
      </c>
      <c r="F100" s="26">
        <v>0</v>
      </c>
      <c r="G100" s="26">
        <v>0</v>
      </c>
      <c r="H100" s="26">
        <v>0</v>
      </c>
      <c r="I100" s="26">
        <v>0</v>
      </c>
      <c r="J100" s="26">
        <v>0</v>
      </c>
      <c r="K100" s="26">
        <v>0</v>
      </c>
      <c r="L100" s="26">
        <v>0</v>
      </c>
      <c r="M100" s="26">
        <v>0</v>
      </c>
      <c r="N100" s="26">
        <v>0</v>
      </c>
      <c r="O100" s="26">
        <v>0</v>
      </c>
      <c r="P100" s="26">
        <v>0</v>
      </c>
      <c r="Q100" s="26">
        <v>0</v>
      </c>
      <c r="R100" s="26">
        <v>0</v>
      </c>
      <c r="S100" s="26">
        <v>0</v>
      </c>
      <c r="T100" s="26">
        <v>0</v>
      </c>
      <c r="U100" s="26">
        <v>0</v>
      </c>
      <c r="V100" s="26">
        <v>0</v>
      </c>
      <c r="W100" s="26">
        <v>0</v>
      </c>
      <c r="X100" s="26">
        <v>0</v>
      </c>
      <c r="Y100" s="26">
        <v>0</v>
      </c>
      <c r="Z100" s="26">
        <v>0</v>
      </c>
      <c r="AA100" s="26">
        <v>0</v>
      </c>
      <c r="AB100" s="26">
        <v>0</v>
      </c>
      <c r="AC100" s="26">
        <v>0</v>
      </c>
      <c r="AD100" s="26">
        <v>0</v>
      </c>
      <c r="AE100" s="26">
        <v>0</v>
      </c>
      <c r="AF100" s="26">
        <v>0</v>
      </c>
      <c r="AG100" s="26">
        <v>0</v>
      </c>
      <c r="AH100" s="26">
        <v>0</v>
      </c>
      <c r="AI100" s="26">
        <v>0</v>
      </c>
      <c r="AJ100" s="26">
        <v>0</v>
      </c>
      <c r="AK100" s="26">
        <v>0</v>
      </c>
      <c r="AL100" s="26">
        <v>0</v>
      </c>
      <c r="AM100" s="26">
        <v>0</v>
      </c>
      <c r="AN100" s="26">
        <v>0</v>
      </c>
      <c r="AO100" s="26">
        <v>0</v>
      </c>
      <c r="AP100" s="26">
        <v>0</v>
      </c>
      <c r="AQ100" s="26">
        <v>0</v>
      </c>
      <c r="AR100" s="26">
        <v>0</v>
      </c>
      <c r="AS100" s="26">
        <v>0</v>
      </c>
      <c r="AT100" s="26">
        <v>0</v>
      </c>
      <c r="AU100" s="26">
        <v>0</v>
      </c>
      <c r="AV100" s="26">
        <v>0</v>
      </c>
      <c r="AW100" s="26">
        <v>0</v>
      </c>
      <c r="AX100" s="26">
        <v>0</v>
      </c>
      <c r="AY100" s="26">
        <v>0</v>
      </c>
      <c r="AZ100" s="26">
        <v>0</v>
      </c>
      <c r="BA100" s="26">
        <v>267</v>
      </c>
      <c r="BB100" s="26">
        <v>366</v>
      </c>
      <c r="BC100" s="26">
        <v>442</v>
      </c>
      <c r="BD100" s="26">
        <v>568</v>
      </c>
      <c r="BE100" s="26">
        <v>572</v>
      </c>
      <c r="BF100">
        <v>643</v>
      </c>
      <c r="BG100">
        <v>904</v>
      </c>
      <c r="BH100">
        <v>1076</v>
      </c>
      <c r="BI100">
        <v>1014</v>
      </c>
      <c r="BJ100">
        <v>1376</v>
      </c>
      <c r="BK100" t="s">
        <v>1406</v>
      </c>
      <c r="BN100" s="1"/>
    </row>
    <row r="101" spans="1:66" x14ac:dyDescent="0.25">
      <c r="A101" s="26" t="s">
        <v>148</v>
      </c>
      <c r="B101" s="26" t="s">
        <v>37</v>
      </c>
      <c r="C101" s="26">
        <v>42.165700000000001</v>
      </c>
      <c r="D101" s="26">
        <v>-74.948099999999997</v>
      </c>
      <c r="E101" s="26">
        <v>0</v>
      </c>
      <c r="F101" s="26">
        <v>0</v>
      </c>
      <c r="G101" s="26">
        <v>0</v>
      </c>
      <c r="H101" s="26">
        <v>0</v>
      </c>
      <c r="I101" s="26">
        <v>0</v>
      </c>
      <c r="J101" s="26">
        <v>0</v>
      </c>
      <c r="K101" s="26">
        <v>0</v>
      </c>
      <c r="L101" s="26">
        <v>0</v>
      </c>
      <c r="M101" s="26">
        <v>0</v>
      </c>
      <c r="N101" s="26">
        <v>0</v>
      </c>
      <c r="O101" s="26">
        <v>0</v>
      </c>
      <c r="P101" s="26">
        <v>0</v>
      </c>
      <c r="Q101" s="26">
        <v>0</v>
      </c>
      <c r="R101" s="26">
        <v>0</v>
      </c>
      <c r="S101" s="26">
        <v>0</v>
      </c>
      <c r="T101" s="26">
        <v>0</v>
      </c>
      <c r="U101" s="26">
        <v>0</v>
      </c>
      <c r="V101" s="26">
        <v>0</v>
      </c>
      <c r="W101" s="26">
        <v>0</v>
      </c>
      <c r="X101" s="26">
        <v>0</v>
      </c>
      <c r="Y101" s="26">
        <v>0</v>
      </c>
      <c r="Z101" s="26">
        <v>0</v>
      </c>
      <c r="AA101" s="26">
        <v>0</v>
      </c>
      <c r="AB101" s="26">
        <v>0</v>
      </c>
      <c r="AC101" s="26">
        <v>0</v>
      </c>
      <c r="AD101" s="26">
        <v>0</v>
      </c>
      <c r="AE101" s="26">
        <v>0</v>
      </c>
      <c r="AF101" s="26">
        <v>0</v>
      </c>
      <c r="AG101" s="26">
        <v>0</v>
      </c>
      <c r="AH101" s="26">
        <v>0</v>
      </c>
      <c r="AI101" s="26">
        <v>0</v>
      </c>
      <c r="AJ101" s="26">
        <v>0</v>
      </c>
      <c r="AK101" s="26">
        <v>0</v>
      </c>
      <c r="AL101" s="26">
        <v>0</v>
      </c>
      <c r="AM101" s="26">
        <v>0</v>
      </c>
      <c r="AN101" s="26">
        <v>0</v>
      </c>
      <c r="AO101" s="26">
        <v>0</v>
      </c>
      <c r="AP101" s="26">
        <v>0</v>
      </c>
      <c r="AQ101" s="26">
        <v>0</v>
      </c>
      <c r="AR101" s="26">
        <v>0</v>
      </c>
      <c r="AS101" s="26">
        <v>0</v>
      </c>
      <c r="AT101" s="26">
        <v>0</v>
      </c>
      <c r="AU101" s="26">
        <v>0</v>
      </c>
      <c r="AV101" s="26">
        <v>0</v>
      </c>
      <c r="AW101" s="26">
        <v>0</v>
      </c>
      <c r="AX101" s="26">
        <v>0</v>
      </c>
      <c r="AY101" s="26">
        <v>0</v>
      </c>
      <c r="AZ101" s="26">
        <v>0</v>
      </c>
      <c r="BA101" s="26">
        <v>173</v>
      </c>
      <c r="BB101" s="26">
        <v>220</v>
      </c>
      <c r="BC101" s="26">
        <v>328</v>
      </c>
      <c r="BD101" s="26">
        <v>421</v>
      </c>
      <c r="BE101" s="26">
        <v>525</v>
      </c>
      <c r="BF101">
        <v>732</v>
      </c>
      <c r="BG101">
        <v>967</v>
      </c>
      <c r="BH101">
        <v>1706</v>
      </c>
      <c r="BI101">
        <v>2495</v>
      </c>
      <c r="BJ101">
        <v>5365</v>
      </c>
      <c r="BK101" t="s">
        <v>1407</v>
      </c>
      <c r="BN101" s="1"/>
    </row>
    <row r="102" spans="1:66" x14ac:dyDescent="0.25">
      <c r="A102" s="26" t="s">
        <v>149</v>
      </c>
      <c r="B102" s="26" t="s">
        <v>37</v>
      </c>
      <c r="C102" s="26">
        <v>36.116199999999999</v>
      </c>
      <c r="D102" s="26">
        <v>-119.6816</v>
      </c>
      <c r="E102" s="26">
        <v>0</v>
      </c>
      <c r="F102" s="26">
        <v>0</v>
      </c>
      <c r="G102" s="26">
        <v>0</v>
      </c>
      <c r="H102" s="26">
        <v>0</v>
      </c>
      <c r="I102" s="26">
        <v>0</v>
      </c>
      <c r="J102" s="26">
        <v>0</v>
      </c>
      <c r="K102" s="26">
        <v>0</v>
      </c>
      <c r="L102" s="26">
        <v>0</v>
      </c>
      <c r="M102" s="26">
        <v>0</v>
      </c>
      <c r="N102" s="26">
        <v>0</v>
      </c>
      <c r="O102" s="26">
        <v>0</v>
      </c>
      <c r="P102" s="26">
        <v>0</v>
      </c>
      <c r="Q102" s="26">
        <v>0</v>
      </c>
      <c r="R102" s="26">
        <v>0</v>
      </c>
      <c r="S102" s="26">
        <v>0</v>
      </c>
      <c r="T102" s="26">
        <v>0</v>
      </c>
      <c r="U102" s="26">
        <v>0</v>
      </c>
      <c r="V102" s="26">
        <v>0</v>
      </c>
      <c r="W102" s="26">
        <v>0</v>
      </c>
      <c r="X102" s="26">
        <v>0</v>
      </c>
      <c r="Y102" s="26">
        <v>0</v>
      </c>
      <c r="Z102" s="26">
        <v>0</v>
      </c>
      <c r="AA102" s="26">
        <v>0</v>
      </c>
      <c r="AB102" s="26">
        <v>0</v>
      </c>
      <c r="AC102" s="26">
        <v>0</v>
      </c>
      <c r="AD102" s="26">
        <v>0</v>
      </c>
      <c r="AE102" s="26">
        <v>0</v>
      </c>
      <c r="AF102" s="26">
        <v>0</v>
      </c>
      <c r="AG102" s="26">
        <v>0</v>
      </c>
      <c r="AH102" s="26">
        <v>0</v>
      </c>
      <c r="AI102" s="26">
        <v>0</v>
      </c>
      <c r="AJ102" s="26">
        <v>0</v>
      </c>
      <c r="AK102" s="26">
        <v>0</v>
      </c>
      <c r="AL102" s="26">
        <v>0</v>
      </c>
      <c r="AM102" s="26">
        <v>0</v>
      </c>
      <c r="AN102" s="26">
        <v>0</v>
      </c>
      <c r="AO102" s="26">
        <v>0</v>
      </c>
      <c r="AP102" s="26">
        <v>0</v>
      </c>
      <c r="AQ102" s="26">
        <v>0</v>
      </c>
      <c r="AR102" s="26">
        <v>0</v>
      </c>
      <c r="AS102" s="26">
        <v>0</v>
      </c>
      <c r="AT102" s="26">
        <v>0</v>
      </c>
      <c r="AU102" s="26">
        <v>0</v>
      </c>
      <c r="AV102" s="26">
        <v>0</v>
      </c>
      <c r="AW102" s="26">
        <v>0</v>
      </c>
      <c r="AX102" s="26">
        <v>0</v>
      </c>
      <c r="AY102" s="26">
        <v>0</v>
      </c>
      <c r="AZ102" s="26">
        <v>0</v>
      </c>
      <c r="BA102" s="26">
        <v>144</v>
      </c>
      <c r="BB102" s="26">
        <v>177</v>
      </c>
      <c r="BC102" s="26">
        <v>221</v>
      </c>
      <c r="BD102" s="26">
        <v>282</v>
      </c>
      <c r="BE102" s="26">
        <v>340</v>
      </c>
      <c r="BF102">
        <v>426</v>
      </c>
      <c r="BG102">
        <v>557</v>
      </c>
      <c r="BH102">
        <v>698</v>
      </c>
      <c r="BI102">
        <v>751</v>
      </c>
      <c r="BJ102">
        <v>952</v>
      </c>
      <c r="BK102" t="s">
        <v>1408</v>
      </c>
      <c r="BN102" s="1"/>
    </row>
    <row r="103" spans="1:66" x14ac:dyDescent="0.25">
      <c r="A103" s="26" t="s">
        <v>150</v>
      </c>
      <c r="B103" s="26" t="s">
        <v>37</v>
      </c>
      <c r="C103" s="26">
        <v>42.230200000000004</v>
      </c>
      <c r="D103" s="26">
        <v>-71.530100000000004</v>
      </c>
      <c r="E103" s="26">
        <v>0</v>
      </c>
      <c r="F103" s="26">
        <v>0</v>
      </c>
      <c r="G103" s="26">
        <v>0</v>
      </c>
      <c r="H103" s="26">
        <v>0</v>
      </c>
      <c r="I103" s="26">
        <v>0</v>
      </c>
      <c r="J103" s="26">
        <v>0</v>
      </c>
      <c r="K103" s="26">
        <v>0</v>
      </c>
      <c r="L103" s="26">
        <v>0</v>
      </c>
      <c r="M103" s="26">
        <v>0</v>
      </c>
      <c r="N103" s="26">
        <v>0</v>
      </c>
      <c r="O103" s="26">
        <v>0</v>
      </c>
      <c r="P103" s="26">
        <v>0</v>
      </c>
      <c r="Q103" s="26">
        <v>0</v>
      </c>
      <c r="R103" s="26">
        <v>0</v>
      </c>
      <c r="S103" s="26">
        <v>0</v>
      </c>
      <c r="T103" s="26">
        <v>0</v>
      </c>
      <c r="U103" s="26">
        <v>0</v>
      </c>
      <c r="V103" s="26">
        <v>0</v>
      </c>
      <c r="W103" s="26">
        <v>0</v>
      </c>
      <c r="X103" s="26">
        <v>0</v>
      </c>
      <c r="Y103" s="26">
        <v>0</v>
      </c>
      <c r="Z103" s="26">
        <v>0</v>
      </c>
      <c r="AA103" s="26">
        <v>0</v>
      </c>
      <c r="AB103" s="26">
        <v>0</v>
      </c>
      <c r="AC103" s="26">
        <v>0</v>
      </c>
      <c r="AD103" s="26">
        <v>0</v>
      </c>
      <c r="AE103" s="26">
        <v>0</v>
      </c>
      <c r="AF103" s="26">
        <v>0</v>
      </c>
      <c r="AG103" s="26">
        <v>0</v>
      </c>
      <c r="AH103" s="26">
        <v>0</v>
      </c>
      <c r="AI103" s="26">
        <v>0</v>
      </c>
      <c r="AJ103" s="26">
        <v>0</v>
      </c>
      <c r="AK103" s="26">
        <v>0</v>
      </c>
      <c r="AL103" s="26">
        <v>0</v>
      </c>
      <c r="AM103" s="26">
        <v>0</v>
      </c>
      <c r="AN103" s="26">
        <v>0</v>
      </c>
      <c r="AO103" s="26">
        <v>0</v>
      </c>
      <c r="AP103" s="26">
        <v>0</v>
      </c>
      <c r="AQ103" s="26">
        <v>0</v>
      </c>
      <c r="AR103" s="26">
        <v>0</v>
      </c>
      <c r="AS103" s="26">
        <v>0</v>
      </c>
      <c r="AT103" s="26">
        <v>0</v>
      </c>
      <c r="AU103" s="26">
        <v>0</v>
      </c>
      <c r="AV103" s="26">
        <v>0</v>
      </c>
      <c r="AW103" s="26">
        <v>0</v>
      </c>
      <c r="AX103" s="26">
        <v>0</v>
      </c>
      <c r="AY103" s="26">
        <v>0</v>
      </c>
      <c r="AZ103" s="26">
        <v>0</v>
      </c>
      <c r="BA103" s="26">
        <v>92</v>
      </c>
      <c r="BB103" s="26">
        <v>95</v>
      </c>
      <c r="BC103" s="26">
        <v>108</v>
      </c>
      <c r="BD103" s="26">
        <v>123</v>
      </c>
      <c r="BE103" s="26">
        <v>138</v>
      </c>
      <c r="BF103">
        <v>164</v>
      </c>
      <c r="BG103">
        <v>197</v>
      </c>
      <c r="BH103">
        <v>218</v>
      </c>
      <c r="BI103">
        <v>218</v>
      </c>
      <c r="BJ103">
        <v>328</v>
      </c>
      <c r="BK103" t="s">
        <v>1409</v>
      </c>
      <c r="BN103" s="1"/>
    </row>
    <row r="104" spans="1:66" x14ac:dyDescent="0.25">
      <c r="A104" s="26" t="s">
        <v>151</v>
      </c>
      <c r="B104" s="26" t="s">
        <v>37</v>
      </c>
      <c r="C104" s="26">
        <v>35.4437</v>
      </c>
      <c r="D104" s="26">
        <v>139.63800000000001</v>
      </c>
      <c r="E104" s="26">
        <v>0</v>
      </c>
      <c r="F104" s="26">
        <v>0</v>
      </c>
      <c r="G104" s="26">
        <v>0</v>
      </c>
      <c r="H104" s="26">
        <v>0</v>
      </c>
      <c r="I104" s="26">
        <v>0</v>
      </c>
      <c r="J104" s="26">
        <v>0</v>
      </c>
      <c r="K104" s="26">
        <v>0</v>
      </c>
      <c r="L104" s="26">
        <v>0</v>
      </c>
      <c r="M104" s="26">
        <v>0</v>
      </c>
      <c r="N104" s="26">
        <v>0</v>
      </c>
      <c r="O104" s="26">
        <v>0</v>
      </c>
      <c r="P104" s="26">
        <v>0</v>
      </c>
      <c r="Q104" s="26">
        <v>0</v>
      </c>
      <c r="R104" s="26">
        <v>0</v>
      </c>
      <c r="S104" s="26">
        <v>0</v>
      </c>
      <c r="T104" s="26">
        <v>0</v>
      </c>
      <c r="U104" s="26">
        <v>0</v>
      </c>
      <c r="V104" s="26">
        <v>0</v>
      </c>
      <c r="W104" s="26">
        <v>0</v>
      </c>
      <c r="X104" s="26">
        <v>0</v>
      </c>
      <c r="Y104" s="26">
        <v>0</v>
      </c>
      <c r="Z104" s="26">
        <v>0</v>
      </c>
      <c r="AA104" s="26">
        <v>0</v>
      </c>
      <c r="AB104" s="26">
        <v>0</v>
      </c>
      <c r="AC104" s="26">
        <v>0</v>
      </c>
      <c r="AD104" s="26">
        <v>0</v>
      </c>
      <c r="AE104" s="26">
        <v>0</v>
      </c>
      <c r="AF104" s="26">
        <v>0</v>
      </c>
      <c r="AG104" s="26">
        <v>0</v>
      </c>
      <c r="AH104" s="26">
        <v>0</v>
      </c>
      <c r="AI104" s="26">
        <v>0</v>
      </c>
      <c r="AJ104" s="26">
        <v>0</v>
      </c>
      <c r="AK104" s="26">
        <v>0</v>
      </c>
      <c r="AL104" s="26">
        <v>36</v>
      </c>
      <c r="AM104" s="26">
        <v>36</v>
      </c>
      <c r="AN104" s="26">
        <v>42</v>
      </c>
      <c r="AO104" s="26">
        <v>42</v>
      </c>
      <c r="AP104" s="26">
        <v>44</v>
      </c>
      <c r="AQ104" s="26">
        <v>44</v>
      </c>
      <c r="AR104" s="26">
        <v>44</v>
      </c>
      <c r="AS104" s="26">
        <v>45</v>
      </c>
      <c r="AT104" s="26">
        <v>45</v>
      </c>
      <c r="AU104" s="26">
        <v>45</v>
      </c>
      <c r="AV104" s="26">
        <v>45</v>
      </c>
      <c r="AW104" s="26">
        <v>45</v>
      </c>
      <c r="AX104" s="26">
        <v>45</v>
      </c>
      <c r="AY104" s="26">
        <v>45</v>
      </c>
      <c r="AZ104" s="26">
        <v>45</v>
      </c>
      <c r="BA104" s="26">
        <v>46</v>
      </c>
      <c r="BB104" s="26">
        <v>46</v>
      </c>
      <c r="BC104" s="26">
        <v>46</v>
      </c>
      <c r="BD104" s="26">
        <v>46</v>
      </c>
      <c r="BE104" s="26">
        <v>46</v>
      </c>
      <c r="BF104">
        <v>46</v>
      </c>
      <c r="BG104">
        <v>47</v>
      </c>
      <c r="BH104">
        <v>47</v>
      </c>
      <c r="BI104">
        <v>47</v>
      </c>
      <c r="BJ104">
        <v>47</v>
      </c>
      <c r="BK104" t="s">
        <v>449</v>
      </c>
      <c r="BN104" s="1"/>
    </row>
    <row r="105" spans="1:66" x14ac:dyDescent="0.25">
      <c r="A105" s="26" t="s">
        <v>152</v>
      </c>
      <c r="B105" s="26" t="s">
        <v>37</v>
      </c>
      <c r="C105" s="26">
        <v>37.648899999999998</v>
      </c>
      <c r="D105" s="26">
        <v>-122.66549999999999</v>
      </c>
      <c r="E105" s="26">
        <v>0</v>
      </c>
      <c r="F105" s="26">
        <v>0</v>
      </c>
      <c r="G105" s="26">
        <v>0</v>
      </c>
      <c r="H105" s="26">
        <v>0</v>
      </c>
      <c r="I105" s="26">
        <v>0</v>
      </c>
      <c r="J105" s="26">
        <v>0</v>
      </c>
      <c r="K105" s="26">
        <v>0</v>
      </c>
      <c r="L105" s="26">
        <v>0</v>
      </c>
      <c r="M105" s="26">
        <v>0</v>
      </c>
      <c r="N105" s="26">
        <v>0</v>
      </c>
      <c r="O105" s="26">
        <v>0</v>
      </c>
      <c r="P105" s="26">
        <v>0</v>
      </c>
      <c r="Q105" s="26">
        <v>0</v>
      </c>
      <c r="R105" s="26">
        <v>0</v>
      </c>
      <c r="S105" s="26">
        <v>0</v>
      </c>
      <c r="T105" s="26">
        <v>0</v>
      </c>
      <c r="U105" s="26">
        <v>0</v>
      </c>
      <c r="V105" s="26">
        <v>0</v>
      </c>
      <c r="W105" s="26">
        <v>0</v>
      </c>
      <c r="X105" s="26">
        <v>0</v>
      </c>
      <c r="Y105" s="26">
        <v>0</v>
      </c>
      <c r="Z105" s="26">
        <v>0</v>
      </c>
      <c r="AA105" s="26">
        <v>0</v>
      </c>
      <c r="AB105" s="26">
        <v>0</v>
      </c>
      <c r="AC105" s="26">
        <v>0</v>
      </c>
      <c r="AD105" s="26">
        <v>0</v>
      </c>
      <c r="AE105" s="26">
        <v>0</v>
      </c>
      <c r="AF105" s="26">
        <v>0</v>
      </c>
      <c r="AG105" s="26">
        <v>0</v>
      </c>
      <c r="AH105" s="26">
        <v>0</v>
      </c>
      <c r="AI105" s="26">
        <v>0</v>
      </c>
      <c r="AJ105" s="26">
        <v>0</v>
      </c>
      <c r="AK105" s="26">
        <v>0</v>
      </c>
      <c r="AL105" s="26">
        <v>0</v>
      </c>
      <c r="AM105" s="26">
        <v>0</v>
      </c>
      <c r="AN105" s="26">
        <v>0</v>
      </c>
      <c r="AO105" s="26">
        <v>0</v>
      </c>
      <c r="AP105" s="26">
        <v>0</v>
      </c>
      <c r="AQ105" s="26">
        <v>0</v>
      </c>
      <c r="AR105" s="26">
        <v>0</v>
      </c>
      <c r="AS105" s="26">
        <v>0</v>
      </c>
      <c r="AT105" s="26">
        <v>0</v>
      </c>
      <c r="AU105" s="26">
        <v>0</v>
      </c>
      <c r="AV105" s="26">
        <v>0</v>
      </c>
      <c r="AW105" s="26">
        <v>0</v>
      </c>
      <c r="AX105" s="26">
        <v>21</v>
      </c>
      <c r="AY105" s="26">
        <v>21</v>
      </c>
      <c r="AZ105" s="26">
        <v>21</v>
      </c>
      <c r="BA105" s="26">
        <v>21</v>
      </c>
      <c r="BB105" s="26">
        <v>21</v>
      </c>
      <c r="BC105" s="26">
        <v>21</v>
      </c>
      <c r="BD105" s="26">
        <v>21</v>
      </c>
      <c r="BE105" s="26">
        <v>21</v>
      </c>
      <c r="BF105">
        <v>21</v>
      </c>
      <c r="BG105">
        <v>20</v>
      </c>
      <c r="BH105">
        <v>21</v>
      </c>
      <c r="BI105">
        <v>21</v>
      </c>
      <c r="BJ105">
        <v>22</v>
      </c>
      <c r="BK105" t="s">
        <v>808</v>
      </c>
      <c r="BN105" s="1"/>
    </row>
    <row r="106" spans="1:66" x14ac:dyDescent="0.25">
      <c r="A106" s="26" t="s">
        <v>80</v>
      </c>
      <c r="B106" s="26" t="s">
        <v>37</v>
      </c>
      <c r="C106" s="26">
        <v>33.040599999999998</v>
      </c>
      <c r="D106" s="26">
        <v>-83.643100000000004</v>
      </c>
      <c r="E106" s="26">
        <v>0</v>
      </c>
      <c r="F106" s="26">
        <v>0</v>
      </c>
      <c r="G106" s="26">
        <v>0</v>
      </c>
      <c r="H106" s="26">
        <v>0</v>
      </c>
      <c r="I106" s="26">
        <v>0</v>
      </c>
      <c r="J106" s="26">
        <v>0</v>
      </c>
      <c r="K106" s="26">
        <v>0</v>
      </c>
      <c r="L106" s="26">
        <v>0</v>
      </c>
      <c r="M106" s="26">
        <v>0</v>
      </c>
      <c r="N106" s="26">
        <v>0</v>
      </c>
      <c r="O106" s="26">
        <v>0</v>
      </c>
      <c r="P106" s="26">
        <v>0</v>
      </c>
      <c r="Q106" s="26">
        <v>0</v>
      </c>
      <c r="R106" s="26">
        <v>0</v>
      </c>
      <c r="S106" s="26">
        <v>0</v>
      </c>
      <c r="T106" s="26">
        <v>0</v>
      </c>
      <c r="U106" s="26">
        <v>0</v>
      </c>
      <c r="V106" s="26">
        <v>0</v>
      </c>
      <c r="W106" s="26">
        <v>0</v>
      </c>
      <c r="X106" s="26">
        <v>0</v>
      </c>
      <c r="Y106" s="26">
        <v>0</v>
      </c>
      <c r="Z106" s="26">
        <v>0</v>
      </c>
      <c r="AA106" s="26">
        <v>0</v>
      </c>
      <c r="AB106" s="26">
        <v>0</v>
      </c>
      <c r="AC106" s="26">
        <v>0</v>
      </c>
      <c r="AD106" s="26">
        <v>0</v>
      </c>
      <c r="AE106" s="26">
        <v>0</v>
      </c>
      <c r="AF106" s="26">
        <v>0</v>
      </c>
      <c r="AG106" s="26">
        <v>0</v>
      </c>
      <c r="AH106" s="26">
        <v>0</v>
      </c>
      <c r="AI106" s="26">
        <v>0</v>
      </c>
      <c r="AJ106" s="26">
        <v>0</v>
      </c>
      <c r="AK106" s="26">
        <v>0</v>
      </c>
      <c r="AL106" s="26">
        <v>0</v>
      </c>
      <c r="AM106" s="26">
        <v>0</v>
      </c>
      <c r="AN106" s="26">
        <v>0</v>
      </c>
      <c r="AO106" s="26">
        <v>0</v>
      </c>
      <c r="AP106" s="26">
        <v>0</v>
      </c>
      <c r="AQ106" s="26">
        <v>0</v>
      </c>
      <c r="AR106" s="26">
        <v>0</v>
      </c>
      <c r="AS106" s="26">
        <v>0</v>
      </c>
      <c r="AT106" s="26">
        <v>0</v>
      </c>
      <c r="AU106" s="26">
        <v>0</v>
      </c>
      <c r="AV106" s="26">
        <v>0</v>
      </c>
      <c r="AW106" s="26">
        <v>0</v>
      </c>
      <c r="AX106" s="26">
        <v>0</v>
      </c>
      <c r="AY106" s="26">
        <v>0</v>
      </c>
      <c r="AZ106" s="26">
        <v>0</v>
      </c>
      <c r="BA106" s="26">
        <v>17</v>
      </c>
      <c r="BB106" s="26">
        <v>23</v>
      </c>
      <c r="BC106" s="26">
        <v>31</v>
      </c>
      <c r="BD106" s="26">
        <v>42</v>
      </c>
      <c r="BE106" s="26">
        <v>66</v>
      </c>
      <c r="BF106">
        <v>99</v>
      </c>
      <c r="BG106">
        <v>121</v>
      </c>
      <c r="BH106">
        <v>146</v>
      </c>
      <c r="BI106">
        <v>199</v>
      </c>
      <c r="BJ106">
        <v>287</v>
      </c>
      <c r="BK106" t="s">
        <v>1410</v>
      </c>
      <c r="BN106" s="1"/>
    </row>
    <row r="107" spans="1:66" x14ac:dyDescent="0.25">
      <c r="A107" s="26" t="s">
        <v>153</v>
      </c>
      <c r="B107" s="26" t="s">
        <v>37</v>
      </c>
      <c r="C107" s="26">
        <v>39.059800000000003</v>
      </c>
      <c r="D107" s="26">
        <v>-105.3111</v>
      </c>
      <c r="E107" s="26">
        <v>0</v>
      </c>
      <c r="F107" s="26">
        <v>0</v>
      </c>
      <c r="G107" s="26">
        <v>0</v>
      </c>
      <c r="H107" s="26">
        <v>0</v>
      </c>
      <c r="I107" s="26">
        <v>0</v>
      </c>
      <c r="J107" s="26">
        <v>0</v>
      </c>
      <c r="K107" s="26">
        <v>0</v>
      </c>
      <c r="L107" s="26">
        <v>0</v>
      </c>
      <c r="M107" s="26">
        <v>0</v>
      </c>
      <c r="N107" s="26">
        <v>0</v>
      </c>
      <c r="O107" s="26">
        <v>0</v>
      </c>
      <c r="P107" s="26">
        <v>0</v>
      </c>
      <c r="Q107" s="26">
        <v>0</v>
      </c>
      <c r="R107" s="26">
        <v>0</v>
      </c>
      <c r="S107" s="26">
        <v>0</v>
      </c>
      <c r="T107" s="26">
        <v>0</v>
      </c>
      <c r="U107" s="26">
        <v>0</v>
      </c>
      <c r="V107" s="26">
        <v>0</v>
      </c>
      <c r="W107" s="26">
        <v>0</v>
      </c>
      <c r="X107" s="26">
        <v>0</v>
      </c>
      <c r="Y107" s="26">
        <v>0</v>
      </c>
      <c r="Z107" s="26">
        <v>0</v>
      </c>
      <c r="AA107" s="26">
        <v>0</v>
      </c>
      <c r="AB107" s="26">
        <v>0</v>
      </c>
      <c r="AC107" s="26">
        <v>0</v>
      </c>
      <c r="AD107" s="26">
        <v>0</v>
      </c>
      <c r="AE107" s="26">
        <v>0</v>
      </c>
      <c r="AF107" s="26">
        <v>0</v>
      </c>
      <c r="AG107" s="26">
        <v>0</v>
      </c>
      <c r="AH107" s="26">
        <v>0</v>
      </c>
      <c r="AI107" s="26">
        <v>0</v>
      </c>
      <c r="AJ107" s="26">
        <v>0</v>
      </c>
      <c r="AK107" s="26">
        <v>0</v>
      </c>
      <c r="AL107" s="26">
        <v>0</v>
      </c>
      <c r="AM107" s="26">
        <v>0</v>
      </c>
      <c r="AN107" s="26">
        <v>0</v>
      </c>
      <c r="AO107" s="26">
        <v>0</v>
      </c>
      <c r="AP107" s="26">
        <v>0</v>
      </c>
      <c r="AQ107" s="26">
        <v>0</v>
      </c>
      <c r="AR107" s="26">
        <v>0</v>
      </c>
      <c r="AS107" s="26">
        <v>0</v>
      </c>
      <c r="AT107" s="26">
        <v>0</v>
      </c>
      <c r="AU107" s="26">
        <v>0</v>
      </c>
      <c r="AV107" s="26">
        <v>0</v>
      </c>
      <c r="AW107" s="26">
        <v>0</v>
      </c>
      <c r="AX107" s="26">
        <v>0</v>
      </c>
      <c r="AY107" s="26">
        <v>0</v>
      </c>
      <c r="AZ107" s="26">
        <v>0</v>
      </c>
      <c r="BA107" s="26">
        <v>15</v>
      </c>
      <c r="BB107" s="26">
        <v>34</v>
      </c>
      <c r="BC107" s="26">
        <v>45</v>
      </c>
      <c r="BD107" s="26">
        <v>49</v>
      </c>
      <c r="BE107" s="26">
        <v>101</v>
      </c>
      <c r="BF107">
        <v>131</v>
      </c>
      <c r="BG107">
        <v>160</v>
      </c>
      <c r="BH107">
        <v>160</v>
      </c>
      <c r="BI107">
        <v>184</v>
      </c>
      <c r="BJ107">
        <v>277</v>
      </c>
      <c r="BK107" t="s">
        <v>1411</v>
      </c>
      <c r="BN107" s="1"/>
    </row>
    <row r="108" spans="1:66" x14ac:dyDescent="0.25">
      <c r="A108" s="26" t="s">
        <v>154</v>
      </c>
      <c r="B108" s="26" t="s">
        <v>37</v>
      </c>
      <c r="C108" s="26">
        <v>27.766300000000001</v>
      </c>
      <c r="D108" s="26">
        <v>-81.686800000000005</v>
      </c>
      <c r="E108" s="26">
        <v>0</v>
      </c>
      <c r="F108" s="26">
        <v>0</v>
      </c>
      <c r="G108" s="26">
        <v>0</v>
      </c>
      <c r="H108" s="26">
        <v>0</v>
      </c>
      <c r="I108" s="26">
        <v>0</v>
      </c>
      <c r="J108" s="26">
        <v>0</v>
      </c>
      <c r="K108" s="26">
        <v>0</v>
      </c>
      <c r="L108" s="26">
        <v>0</v>
      </c>
      <c r="M108" s="26">
        <v>0</v>
      </c>
      <c r="N108" s="26">
        <v>0</v>
      </c>
      <c r="O108" s="26">
        <v>0</v>
      </c>
      <c r="P108" s="26">
        <v>0</v>
      </c>
      <c r="Q108" s="26">
        <v>0</v>
      </c>
      <c r="R108" s="26">
        <v>0</v>
      </c>
      <c r="S108" s="26">
        <v>0</v>
      </c>
      <c r="T108" s="26">
        <v>0</v>
      </c>
      <c r="U108" s="26">
        <v>0</v>
      </c>
      <c r="V108" s="26">
        <v>0</v>
      </c>
      <c r="W108" s="26">
        <v>0</v>
      </c>
      <c r="X108" s="26">
        <v>0</v>
      </c>
      <c r="Y108" s="26">
        <v>0</v>
      </c>
      <c r="Z108" s="26">
        <v>0</v>
      </c>
      <c r="AA108" s="26">
        <v>0</v>
      </c>
      <c r="AB108" s="26">
        <v>0</v>
      </c>
      <c r="AC108" s="26">
        <v>0</v>
      </c>
      <c r="AD108" s="26">
        <v>0</v>
      </c>
      <c r="AE108" s="26">
        <v>0</v>
      </c>
      <c r="AF108" s="26">
        <v>0</v>
      </c>
      <c r="AG108" s="26">
        <v>0</v>
      </c>
      <c r="AH108" s="26">
        <v>0</v>
      </c>
      <c r="AI108" s="26">
        <v>0</v>
      </c>
      <c r="AJ108" s="26">
        <v>0</v>
      </c>
      <c r="AK108" s="26">
        <v>0</v>
      </c>
      <c r="AL108" s="26">
        <v>0</v>
      </c>
      <c r="AM108" s="26">
        <v>0</v>
      </c>
      <c r="AN108" s="26">
        <v>0</v>
      </c>
      <c r="AO108" s="26">
        <v>0</v>
      </c>
      <c r="AP108" s="26">
        <v>0</v>
      </c>
      <c r="AQ108" s="26">
        <v>0</v>
      </c>
      <c r="AR108" s="26">
        <v>0</v>
      </c>
      <c r="AS108" s="26">
        <v>0</v>
      </c>
      <c r="AT108" s="26">
        <v>0</v>
      </c>
      <c r="AU108" s="26">
        <v>0</v>
      </c>
      <c r="AV108" s="26">
        <v>0</v>
      </c>
      <c r="AW108" s="26">
        <v>0</v>
      </c>
      <c r="AX108" s="26">
        <v>0</v>
      </c>
      <c r="AY108" s="26">
        <v>0</v>
      </c>
      <c r="AZ108" s="26">
        <v>0</v>
      </c>
      <c r="BA108" s="26">
        <v>15</v>
      </c>
      <c r="BB108" s="26">
        <v>28</v>
      </c>
      <c r="BC108" s="26">
        <v>35</v>
      </c>
      <c r="BD108" s="26">
        <v>50</v>
      </c>
      <c r="BE108" s="26">
        <v>76</v>
      </c>
      <c r="BF108">
        <v>115</v>
      </c>
      <c r="BG108">
        <v>155</v>
      </c>
      <c r="BH108">
        <v>216</v>
      </c>
      <c r="BI108">
        <v>314</v>
      </c>
      <c r="BJ108">
        <v>417</v>
      </c>
      <c r="BK108" t="s">
        <v>1412</v>
      </c>
      <c r="BN108" s="1"/>
    </row>
    <row r="109" spans="1:66" x14ac:dyDescent="0.25">
      <c r="A109" s="26" t="s">
        <v>155</v>
      </c>
      <c r="B109" s="26" t="s">
        <v>37</v>
      </c>
      <c r="C109" s="26">
        <v>40.298900000000003</v>
      </c>
      <c r="D109" s="26">
        <v>-74.521000000000001</v>
      </c>
      <c r="E109" s="26">
        <v>0</v>
      </c>
      <c r="F109" s="26">
        <v>0</v>
      </c>
      <c r="G109" s="26">
        <v>0</v>
      </c>
      <c r="H109" s="26">
        <v>0</v>
      </c>
      <c r="I109" s="26">
        <v>0</v>
      </c>
      <c r="J109" s="26">
        <v>0</v>
      </c>
      <c r="K109" s="26">
        <v>0</v>
      </c>
      <c r="L109" s="26">
        <v>0</v>
      </c>
      <c r="M109" s="26">
        <v>0</v>
      </c>
      <c r="N109" s="26">
        <v>0</v>
      </c>
      <c r="O109" s="26">
        <v>0</v>
      </c>
      <c r="P109" s="26">
        <v>0</v>
      </c>
      <c r="Q109" s="26">
        <v>0</v>
      </c>
      <c r="R109" s="26">
        <v>0</v>
      </c>
      <c r="S109" s="26">
        <v>0</v>
      </c>
      <c r="T109" s="26">
        <v>0</v>
      </c>
      <c r="U109" s="26">
        <v>0</v>
      </c>
      <c r="V109" s="26">
        <v>0</v>
      </c>
      <c r="W109" s="26">
        <v>0</v>
      </c>
      <c r="X109" s="26">
        <v>0</v>
      </c>
      <c r="Y109" s="26">
        <v>0</v>
      </c>
      <c r="Z109" s="26">
        <v>0</v>
      </c>
      <c r="AA109" s="26">
        <v>0</v>
      </c>
      <c r="AB109" s="26">
        <v>0</v>
      </c>
      <c r="AC109" s="26">
        <v>0</v>
      </c>
      <c r="AD109" s="26">
        <v>0</v>
      </c>
      <c r="AE109" s="26">
        <v>0</v>
      </c>
      <c r="AF109" s="26">
        <v>0</v>
      </c>
      <c r="AG109" s="26">
        <v>0</v>
      </c>
      <c r="AH109" s="26">
        <v>0</v>
      </c>
      <c r="AI109" s="26">
        <v>0</v>
      </c>
      <c r="AJ109" s="26">
        <v>0</v>
      </c>
      <c r="AK109" s="26">
        <v>0</v>
      </c>
      <c r="AL109" s="26">
        <v>0</v>
      </c>
      <c r="AM109" s="26">
        <v>0</v>
      </c>
      <c r="AN109" s="26">
        <v>0</v>
      </c>
      <c r="AO109" s="26">
        <v>0</v>
      </c>
      <c r="AP109" s="26">
        <v>0</v>
      </c>
      <c r="AQ109" s="26">
        <v>0</v>
      </c>
      <c r="AR109" s="26">
        <v>0</v>
      </c>
      <c r="AS109" s="26">
        <v>0</v>
      </c>
      <c r="AT109" s="26">
        <v>0</v>
      </c>
      <c r="AU109" s="26">
        <v>0</v>
      </c>
      <c r="AV109" s="26">
        <v>0</v>
      </c>
      <c r="AW109" s="26">
        <v>0</v>
      </c>
      <c r="AX109" s="26">
        <v>0</v>
      </c>
      <c r="AY109" s="26">
        <v>0</v>
      </c>
      <c r="AZ109" s="26">
        <v>0</v>
      </c>
      <c r="BA109" s="26">
        <v>15</v>
      </c>
      <c r="BB109" s="26">
        <v>23</v>
      </c>
      <c r="BC109" s="26">
        <v>29</v>
      </c>
      <c r="BD109" s="26">
        <v>29</v>
      </c>
      <c r="BE109" s="26">
        <v>69</v>
      </c>
      <c r="BF109">
        <v>98</v>
      </c>
      <c r="BG109">
        <v>178</v>
      </c>
      <c r="BH109">
        <v>267</v>
      </c>
      <c r="BI109">
        <v>267</v>
      </c>
      <c r="BJ109">
        <v>742</v>
      </c>
      <c r="BK109" t="s">
        <v>1413</v>
      </c>
      <c r="BN109" s="1"/>
    </row>
    <row r="110" spans="1:66" x14ac:dyDescent="0.25">
      <c r="A110" s="26" t="s">
        <v>156</v>
      </c>
      <c r="B110" s="26" t="s">
        <v>37</v>
      </c>
      <c r="C110" s="26">
        <v>44.572000000000003</v>
      </c>
      <c r="D110" s="26">
        <v>-122.07089999999999</v>
      </c>
      <c r="E110" s="26">
        <v>0</v>
      </c>
      <c r="F110" s="26">
        <v>0</v>
      </c>
      <c r="G110" s="26">
        <v>0</v>
      </c>
      <c r="H110" s="26">
        <v>0</v>
      </c>
      <c r="I110" s="26">
        <v>0</v>
      </c>
      <c r="J110" s="26">
        <v>0</v>
      </c>
      <c r="K110" s="26">
        <v>0</v>
      </c>
      <c r="L110" s="26">
        <v>0</v>
      </c>
      <c r="M110" s="26">
        <v>0</v>
      </c>
      <c r="N110" s="26">
        <v>0</v>
      </c>
      <c r="O110" s="26">
        <v>0</v>
      </c>
      <c r="P110" s="26">
        <v>0</v>
      </c>
      <c r="Q110" s="26">
        <v>0</v>
      </c>
      <c r="R110" s="26">
        <v>0</v>
      </c>
      <c r="S110" s="26">
        <v>0</v>
      </c>
      <c r="T110" s="26">
        <v>0</v>
      </c>
      <c r="U110" s="26">
        <v>0</v>
      </c>
      <c r="V110" s="26">
        <v>0</v>
      </c>
      <c r="W110" s="26">
        <v>0</v>
      </c>
      <c r="X110" s="26">
        <v>0</v>
      </c>
      <c r="Y110" s="26">
        <v>0</v>
      </c>
      <c r="Z110" s="26">
        <v>0</v>
      </c>
      <c r="AA110" s="26">
        <v>0</v>
      </c>
      <c r="AB110" s="26">
        <v>0</v>
      </c>
      <c r="AC110" s="26">
        <v>0</v>
      </c>
      <c r="AD110" s="26">
        <v>0</v>
      </c>
      <c r="AE110" s="26">
        <v>0</v>
      </c>
      <c r="AF110" s="26">
        <v>0</v>
      </c>
      <c r="AG110" s="26">
        <v>0</v>
      </c>
      <c r="AH110" s="26">
        <v>0</v>
      </c>
      <c r="AI110" s="26">
        <v>0</v>
      </c>
      <c r="AJ110" s="26">
        <v>0</v>
      </c>
      <c r="AK110" s="26">
        <v>0</v>
      </c>
      <c r="AL110" s="26">
        <v>0</v>
      </c>
      <c r="AM110" s="26">
        <v>0</v>
      </c>
      <c r="AN110" s="26">
        <v>0</v>
      </c>
      <c r="AO110" s="26">
        <v>0</v>
      </c>
      <c r="AP110" s="26">
        <v>0</v>
      </c>
      <c r="AQ110" s="26">
        <v>0</v>
      </c>
      <c r="AR110" s="26">
        <v>0</v>
      </c>
      <c r="AS110" s="26">
        <v>0</v>
      </c>
      <c r="AT110" s="26">
        <v>0</v>
      </c>
      <c r="AU110" s="26">
        <v>0</v>
      </c>
      <c r="AV110" s="26">
        <v>0</v>
      </c>
      <c r="AW110" s="26">
        <v>0</v>
      </c>
      <c r="AX110" s="26">
        <v>0</v>
      </c>
      <c r="AY110" s="26">
        <v>0</v>
      </c>
      <c r="AZ110" s="26">
        <v>0</v>
      </c>
      <c r="BA110" s="26">
        <v>15</v>
      </c>
      <c r="BB110" s="26">
        <v>19</v>
      </c>
      <c r="BC110" s="26">
        <v>24</v>
      </c>
      <c r="BD110" s="26">
        <v>30</v>
      </c>
      <c r="BE110" s="26">
        <v>32</v>
      </c>
      <c r="BF110">
        <v>36</v>
      </c>
      <c r="BG110">
        <v>39</v>
      </c>
      <c r="BH110">
        <v>66</v>
      </c>
      <c r="BI110">
        <v>68</v>
      </c>
      <c r="BJ110">
        <v>88</v>
      </c>
      <c r="BK110" t="s">
        <v>1414</v>
      </c>
      <c r="BN110" s="1"/>
    </row>
    <row r="111" spans="1:66" x14ac:dyDescent="0.25">
      <c r="A111" s="26" t="s">
        <v>157</v>
      </c>
      <c r="B111" s="26" t="s">
        <v>37</v>
      </c>
      <c r="C111" s="26">
        <v>31.054500000000001</v>
      </c>
      <c r="D111" s="26">
        <v>-97.563500000000005</v>
      </c>
      <c r="E111" s="26">
        <v>0</v>
      </c>
      <c r="F111" s="26">
        <v>0</v>
      </c>
      <c r="G111" s="26">
        <v>0</v>
      </c>
      <c r="H111" s="26">
        <v>0</v>
      </c>
      <c r="I111" s="26">
        <v>0</v>
      </c>
      <c r="J111" s="26">
        <v>0</v>
      </c>
      <c r="K111" s="26">
        <v>0</v>
      </c>
      <c r="L111" s="26">
        <v>0</v>
      </c>
      <c r="M111" s="26">
        <v>0</v>
      </c>
      <c r="N111" s="26">
        <v>0</v>
      </c>
      <c r="O111" s="26">
        <v>0</v>
      </c>
      <c r="P111" s="26">
        <v>0</v>
      </c>
      <c r="Q111" s="26">
        <v>0</v>
      </c>
      <c r="R111" s="26">
        <v>0</v>
      </c>
      <c r="S111" s="26">
        <v>0</v>
      </c>
      <c r="T111" s="26">
        <v>0</v>
      </c>
      <c r="U111" s="26">
        <v>0</v>
      </c>
      <c r="V111" s="26">
        <v>0</v>
      </c>
      <c r="W111" s="26">
        <v>0</v>
      </c>
      <c r="X111" s="26">
        <v>0</v>
      </c>
      <c r="Y111" s="26">
        <v>0</v>
      </c>
      <c r="Z111" s="26">
        <v>0</v>
      </c>
      <c r="AA111" s="26">
        <v>0</v>
      </c>
      <c r="AB111" s="26">
        <v>0</v>
      </c>
      <c r="AC111" s="26">
        <v>0</v>
      </c>
      <c r="AD111" s="26">
        <v>0</v>
      </c>
      <c r="AE111" s="26">
        <v>0</v>
      </c>
      <c r="AF111" s="26">
        <v>0</v>
      </c>
      <c r="AG111" s="26">
        <v>0</v>
      </c>
      <c r="AH111" s="26">
        <v>0</v>
      </c>
      <c r="AI111" s="26">
        <v>0</v>
      </c>
      <c r="AJ111" s="26">
        <v>0</v>
      </c>
      <c r="AK111" s="26">
        <v>0</v>
      </c>
      <c r="AL111" s="26">
        <v>0</v>
      </c>
      <c r="AM111" s="26">
        <v>0</v>
      </c>
      <c r="AN111" s="26">
        <v>0</v>
      </c>
      <c r="AO111" s="26">
        <v>0</v>
      </c>
      <c r="AP111" s="26">
        <v>0</v>
      </c>
      <c r="AQ111" s="26">
        <v>0</v>
      </c>
      <c r="AR111" s="26">
        <v>0</v>
      </c>
      <c r="AS111" s="26">
        <v>0</v>
      </c>
      <c r="AT111" s="26">
        <v>0</v>
      </c>
      <c r="AU111" s="26">
        <v>0</v>
      </c>
      <c r="AV111" s="26">
        <v>0</v>
      </c>
      <c r="AW111" s="26">
        <v>0</v>
      </c>
      <c r="AX111" s="26">
        <v>0</v>
      </c>
      <c r="AY111" s="26">
        <v>0</v>
      </c>
      <c r="AZ111" s="26">
        <v>0</v>
      </c>
      <c r="BA111" s="26">
        <v>13</v>
      </c>
      <c r="BB111" s="26">
        <v>21</v>
      </c>
      <c r="BC111" s="26">
        <v>27</v>
      </c>
      <c r="BD111" s="26">
        <v>43</v>
      </c>
      <c r="BE111" s="26">
        <v>57</v>
      </c>
      <c r="BF111">
        <v>72</v>
      </c>
      <c r="BG111">
        <v>85</v>
      </c>
      <c r="BH111">
        <v>110</v>
      </c>
      <c r="BI111">
        <v>173</v>
      </c>
      <c r="BJ111">
        <v>260</v>
      </c>
      <c r="BK111" t="s">
        <v>1415</v>
      </c>
      <c r="BN111" s="1"/>
    </row>
    <row r="112" spans="1:66" x14ac:dyDescent="0.25">
      <c r="A112" s="26" t="s">
        <v>158</v>
      </c>
      <c r="B112" s="26" t="s">
        <v>37</v>
      </c>
      <c r="C112" s="26">
        <v>40.349499999999999</v>
      </c>
      <c r="D112" s="26">
        <v>-88.986099999999993</v>
      </c>
      <c r="E112" s="26">
        <v>0</v>
      </c>
      <c r="F112" s="26">
        <v>0</v>
      </c>
      <c r="G112" s="26">
        <v>0</v>
      </c>
      <c r="H112" s="26">
        <v>0</v>
      </c>
      <c r="I112" s="26">
        <v>0</v>
      </c>
      <c r="J112" s="26">
        <v>0</v>
      </c>
      <c r="K112" s="26">
        <v>0</v>
      </c>
      <c r="L112" s="26">
        <v>0</v>
      </c>
      <c r="M112" s="26">
        <v>0</v>
      </c>
      <c r="N112" s="26">
        <v>0</v>
      </c>
      <c r="O112" s="26">
        <v>0</v>
      </c>
      <c r="P112" s="26">
        <v>0</v>
      </c>
      <c r="Q112" s="26">
        <v>0</v>
      </c>
      <c r="R112" s="26">
        <v>0</v>
      </c>
      <c r="S112" s="26">
        <v>0</v>
      </c>
      <c r="T112" s="26">
        <v>0</v>
      </c>
      <c r="U112" s="26">
        <v>0</v>
      </c>
      <c r="V112" s="26">
        <v>0</v>
      </c>
      <c r="W112" s="26">
        <v>0</v>
      </c>
      <c r="X112" s="26">
        <v>0</v>
      </c>
      <c r="Y112" s="26">
        <v>0</v>
      </c>
      <c r="Z112" s="26">
        <v>0</v>
      </c>
      <c r="AA112" s="26">
        <v>0</v>
      </c>
      <c r="AB112" s="26">
        <v>0</v>
      </c>
      <c r="AC112" s="26">
        <v>0</v>
      </c>
      <c r="AD112" s="26">
        <v>0</v>
      </c>
      <c r="AE112" s="26">
        <v>0</v>
      </c>
      <c r="AF112" s="26">
        <v>0</v>
      </c>
      <c r="AG112" s="26">
        <v>0</v>
      </c>
      <c r="AH112" s="26">
        <v>0</v>
      </c>
      <c r="AI112" s="26">
        <v>0</v>
      </c>
      <c r="AJ112" s="26">
        <v>0</v>
      </c>
      <c r="AK112" s="26">
        <v>0</v>
      </c>
      <c r="AL112" s="26">
        <v>0</v>
      </c>
      <c r="AM112" s="26">
        <v>0</v>
      </c>
      <c r="AN112" s="26">
        <v>0</v>
      </c>
      <c r="AO112" s="26">
        <v>0</v>
      </c>
      <c r="AP112" s="26">
        <v>0</v>
      </c>
      <c r="AQ112" s="26">
        <v>0</v>
      </c>
      <c r="AR112" s="26">
        <v>0</v>
      </c>
      <c r="AS112" s="26">
        <v>0</v>
      </c>
      <c r="AT112" s="26">
        <v>0</v>
      </c>
      <c r="AU112" s="26">
        <v>0</v>
      </c>
      <c r="AV112" s="26">
        <v>0</v>
      </c>
      <c r="AW112" s="26">
        <v>0</v>
      </c>
      <c r="AX112" s="26">
        <v>0</v>
      </c>
      <c r="AY112" s="26">
        <v>0</v>
      </c>
      <c r="AZ112" s="26">
        <v>0</v>
      </c>
      <c r="BA112" s="26">
        <v>12</v>
      </c>
      <c r="BB112" s="26">
        <v>25</v>
      </c>
      <c r="BC112" s="26">
        <v>32</v>
      </c>
      <c r="BD112" s="26">
        <v>46</v>
      </c>
      <c r="BE112" s="26">
        <v>64</v>
      </c>
      <c r="BF112">
        <v>93</v>
      </c>
      <c r="BG112">
        <v>105</v>
      </c>
      <c r="BH112">
        <v>161</v>
      </c>
      <c r="BI112">
        <v>162</v>
      </c>
      <c r="BJ112">
        <v>422</v>
      </c>
      <c r="BK112" t="s">
        <v>1416</v>
      </c>
      <c r="BN112" s="1"/>
    </row>
    <row r="113" spans="1:66" x14ac:dyDescent="0.25">
      <c r="A113" s="26" t="s">
        <v>159</v>
      </c>
      <c r="B113" s="26" t="s">
        <v>37</v>
      </c>
      <c r="C113" s="26">
        <v>40.590800000000002</v>
      </c>
      <c r="D113" s="26">
        <v>-77.209800000000001</v>
      </c>
      <c r="E113" s="26">
        <v>0</v>
      </c>
      <c r="F113" s="26">
        <v>0</v>
      </c>
      <c r="G113" s="26">
        <v>0</v>
      </c>
      <c r="H113" s="26">
        <v>0</v>
      </c>
      <c r="I113" s="26">
        <v>0</v>
      </c>
      <c r="J113" s="26">
        <v>0</v>
      </c>
      <c r="K113" s="26">
        <v>0</v>
      </c>
      <c r="L113" s="26">
        <v>0</v>
      </c>
      <c r="M113" s="26">
        <v>0</v>
      </c>
      <c r="N113" s="26">
        <v>0</v>
      </c>
      <c r="O113" s="26">
        <v>0</v>
      </c>
      <c r="P113" s="26">
        <v>0</v>
      </c>
      <c r="Q113" s="26">
        <v>0</v>
      </c>
      <c r="R113" s="26">
        <v>0</v>
      </c>
      <c r="S113" s="26">
        <v>0</v>
      </c>
      <c r="T113" s="26">
        <v>0</v>
      </c>
      <c r="U113" s="26">
        <v>0</v>
      </c>
      <c r="V113" s="26">
        <v>0</v>
      </c>
      <c r="W113" s="26">
        <v>0</v>
      </c>
      <c r="X113" s="26">
        <v>0</v>
      </c>
      <c r="Y113" s="26">
        <v>0</v>
      </c>
      <c r="Z113" s="26">
        <v>0</v>
      </c>
      <c r="AA113" s="26">
        <v>0</v>
      </c>
      <c r="AB113" s="26">
        <v>0</v>
      </c>
      <c r="AC113" s="26">
        <v>0</v>
      </c>
      <c r="AD113" s="26">
        <v>0</v>
      </c>
      <c r="AE113" s="26">
        <v>0</v>
      </c>
      <c r="AF113" s="26">
        <v>0</v>
      </c>
      <c r="AG113" s="26">
        <v>0</v>
      </c>
      <c r="AH113" s="26">
        <v>0</v>
      </c>
      <c r="AI113" s="26">
        <v>0</v>
      </c>
      <c r="AJ113" s="26">
        <v>0</v>
      </c>
      <c r="AK113" s="26">
        <v>0</v>
      </c>
      <c r="AL113" s="26">
        <v>0</v>
      </c>
      <c r="AM113" s="26">
        <v>0</v>
      </c>
      <c r="AN113" s="26">
        <v>0</v>
      </c>
      <c r="AO113" s="26">
        <v>0</v>
      </c>
      <c r="AP113" s="26">
        <v>0</v>
      </c>
      <c r="AQ113" s="26">
        <v>0</v>
      </c>
      <c r="AR113" s="26">
        <v>0</v>
      </c>
      <c r="AS113" s="26">
        <v>0</v>
      </c>
      <c r="AT113" s="26">
        <v>0</v>
      </c>
      <c r="AU113" s="26">
        <v>0</v>
      </c>
      <c r="AV113" s="26">
        <v>0</v>
      </c>
      <c r="AW113" s="26">
        <v>0</v>
      </c>
      <c r="AX113" s="26">
        <v>0</v>
      </c>
      <c r="AY113" s="26">
        <v>0</v>
      </c>
      <c r="AZ113" s="26">
        <v>0</v>
      </c>
      <c r="BA113" s="26">
        <v>12</v>
      </c>
      <c r="BB113" s="26">
        <v>16</v>
      </c>
      <c r="BC113" s="26">
        <v>22</v>
      </c>
      <c r="BD113" s="26">
        <v>41</v>
      </c>
      <c r="BE113" s="26">
        <v>47</v>
      </c>
      <c r="BF113">
        <v>66</v>
      </c>
      <c r="BG113">
        <v>77</v>
      </c>
      <c r="BH113">
        <v>112</v>
      </c>
      <c r="BI113">
        <v>152</v>
      </c>
      <c r="BJ113">
        <v>206</v>
      </c>
      <c r="BK113" t="s">
        <v>1417</v>
      </c>
      <c r="BN113" s="1"/>
    </row>
    <row r="114" spans="1:66" x14ac:dyDescent="0.25">
      <c r="A114" s="26" t="s">
        <v>160</v>
      </c>
      <c r="B114" s="26" t="s">
        <v>37</v>
      </c>
      <c r="C114" s="26">
        <v>42.011499999999998</v>
      </c>
      <c r="D114" s="26">
        <v>-93.210499999999996</v>
      </c>
      <c r="E114" s="26">
        <v>0</v>
      </c>
      <c r="F114" s="26">
        <v>0</v>
      </c>
      <c r="G114" s="26">
        <v>0</v>
      </c>
      <c r="H114" s="26">
        <v>0</v>
      </c>
      <c r="I114" s="26">
        <v>0</v>
      </c>
      <c r="J114" s="26">
        <v>0</v>
      </c>
      <c r="K114" s="26">
        <v>0</v>
      </c>
      <c r="L114" s="26">
        <v>0</v>
      </c>
      <c r="M114" s="26">
        <v>0</v>
      </c>
      <c r="N114" s="26">
        <v>0</v>
      </c>
      <c r="O114" s="26">
        <v>0</v>
      </c>
      <c r="P114" s="26">
        <v>0</v>
      </c>
      <c r="Q114" s="26">
        <v>0</v>
      </c>
      <c r="R114" s="26">
        <v>0</v>
      </c>
      <c r="S114" s="26">
        <v>0</v>
      </c>
      <c r="T114" s="26">
        <v>0</v>
      </c>
      <c r="U114" s="26">
        <v>0</v>
      </c>
      <c r="V114" s="26">
        <v>0</v>
      </c>
      <c r="W114" s="26">
        <v>0</v>
      </c>
      <c r="X114" s="26">
        <v>0</v>
      </c>
      <c r="Y114" s="26">
        <v>0</v>
      </c>
      <c r="Z114" s="26">
        <v>0</v>
      </c>
      <c r="AA114" s="26">
        <v>0</v>
      </c>
      <c r="AB114" s="26">
        <v>0</v>
      </c>
      <c r="AC114" s="26">
        <v>0</v>
      </c>
      <c r="AD114" s="26">
        <v>0</v>
      </c>
      <c r="AE114" s="26">
        <v>0</v>
      </c>
      <c r="AF114" s="26">
        <v>0</v>
      </c>
      <c r="AG114" s="26">
        <v>0</v>
      </c>
      <c r="AH114" s="26">
        <v>0</v>
      </c>
      <c r="AI114" s="26">
        <v>0</v>
      </c>
      <c r="AJ114" s="26">
        <v>0</v>
      </c>
      <c r="AK114" s="26">
        <v>0</v>
      </c>
      <c r="AL114" s="26">
        <v>0</v>
      </c>
      <c r="AM114" s="26">
        <v>0</v>
      </c>
      <c r="AN114" s="26">
        <v>0</v>
      </c>
      <c r="AO114" s="26">
        <v>0</v>
      </c>
      <c r="AP114" s="26">
        <v>0</v>
      </c>
      <c r="AQ114" s="26">
        <v>0</v>
      </c>
      <c r="AR114" s="26">
        <v>0</v>
      </c>
      <c r="AS114" s="26">
        <v>0</v>
      </c>
      <c r="AT114" s="26">
        <v>0</v>
      </c>
      <c r="AU114" s="26">
        <v>0</v>
      </c>
      <c r="AV114" s="26">
        <v>0</v>
      </c>
      <c r="AW114" s="26">
        <v>0</v>
      </c>
      <c r="AX114" s="26">
        <v>0</v>
      </c>
      <c r="AY114" s="26">
        <v>0</v>
      </c>
      <c r="AZ114" s="26">
        <v>0</v>
      </c>
      <c r="BA114" s="26">
        <v>8</v>
      </c>
      <c r="BB114" s="26">
        <v>13</v>
      </c>
      <c r="BC114" s="26">
        <v>16</v>
      </c>
      <c r="BD114" s="26">
        <v>17</v>
      </c>
      <c r="BE114" s="26">
        <v>17</v>
      </c>
      <c r="BF114">
        <v>18</v>
      </c>
      <c r="BG114">
        <v>23</v>
      </c>
      <c r="BH114">
        <v>23</v>
      </c>
      <c r="BI114">
        <v>29</v>
      </c>
      <c r="BJ114">
        <v>44</v>
      </c>
      <c r="BK114" t="s">
        <v>1418</v>
      </c>
      <c r="BN114" s="1"/>
    </row>
    <row r="115" spans="1:66" x14ac:dyDescent="0.25">
      <c r="A115" s="26" t="s">
        <v>161</v>
      </c>
      <c r="B115" s="26" t="s">
        <v>37</v>
      </c>
      <c r="C115" s="26">
        <v>39.063899999999997</v>
      </c>
      <c r="D115" s="26">
        <v>-76.802099999999996</v>
      </c>
      <c r="E115" s="26">
        <v>0</v>
      </c>
      <c r="F115" s="26">
        <v>0</v>
      </c>
      <c r="G115" s="26">
        <v>0</v>
      </c>
      <c r="H115" s="26">
        <v>0</v>
      </c>
      <c r="I115" s="26">
        <v>0</v>
      </c>
      <c r="J115" s="26">
        <v>0</v>
      </c>
      <c r="K115" s="26">
        <v>0</v>
      </c>
      <c r="L115" s="26">
        <v>0</v>
      </c>
      <c r="M115" s="26">
        <v>0</v>
      </c>
      <c r="N115" s="26">
        <v>0</v>
      </c>
      <c r="O115" s="26">
        <v>0</v>
      </c>
      <c r="P115" s="26">
        <v>0</v>
      </c>
      <c r="Q115" s="26">
        <v>0</v>
      </c>
      <c r="R115" s="26">
        <v>0</v>
      </c>
      <c r="S115" s="26">
        <v>0</v>
      </c>
      <c r="T115" s="26">
        <v>0</v>
      </c>
      <c r="U115" s="26">
        <v>0</v>
      </c>
      <c r="V115" s="26">
        <v>0</v>
      </c>
      <c r="W115" s="26">
        <v>0</v>
      </c>
      <c r="X115" s="26">
        <v>0</v>
      </c>
      <c r="Y115" s="26">
        <v>0</v>
      </c>
      <c r="Z115" s="26">
        <v>0</v>
      </c>
      <c r="AA115" s="26">
        <v>0</v>
      </c>
      <c r="AB115" s="26">
        <v>0</v>
      </c>
      <c r="AC115" s="26">
        <v>0</v>
      </c>
      <c r="AD115" s="26">
        <v>0</v>
      </c>
      <c r="AE115" s="26">
        <v>0</v>
      </c>
      <c r="AF115" s="26">
        <v>0</v>
      </c>
      <c r="AG115" s="26">
        <v>0</v>
      </c>
      <c r="AH115" s="26">
        <v>0</v>
      </c>
      <c r="AI115" s="26">
        <v>0</v>
      </c>
      <c r="AJ115" s="26">
        <v>0</v>
      </c>
      <c r="AK115" s="26">
        <v>0</v>
      </c>
      <c r="AL115" s="26">
        <v>0</v>
      </c>
      <c r="AM115" s="26">
        <v>0</v>
      </c>
      <c r="AN115" s="26">
        <v>0</v>
      </c>
      <c r="AO115" s="26">
        <v>0</v>
      </c>
      <c r="AP115" s="26">
        <v>0</v>
      </c>
      <c r="AQ115" s="26">
        <v>0</v>
      </c>
      <c r="AR115" s="26">
        <v>0</v>
      </c>
      <c r="AS115" s="26">
        <v>0</v>
      </c>
      <c r="AT115" s="26">
        <v>0</v>
      </c>
      <c r="AU115" s="26">
        <v>0</v>
      </c>
      <c r="AV115" s="26">
        <v>0</v>
      </c>
      <c r="AW115" s="26">
        <v>0</v>
      </c>
      <c r="AX115" s="26">
        <v>0</v>
      </c>
      <c r="AY115" s="26">
        <v>0</v>
      </c>
      <c r="AZ115" s="26">
        <v>0</v>
      </c>
      <c r="BA115" s="26">
        <v>8</v>
      </c>
      <c r="BB115" s="26">
        <v>9</v>
      </c>
      <c r="BC115" s="26">
        <v>12</v>
      </c>
      <c r="BD115" s="26">
        <v>18</v>
      </c>
      <c r="BE115" s="26">
        <v>26</v>
      </c>
      <c r="BF115">
        <v>32</v>
      </c>
      <c r="BG115">
        <v>41</v>
      </c>
      <c r="BH115">
        <v>60</v>
      </c>
      <c r="BI115">
        <v>85</v>
      </c>
      <c r="BJ115">
        <v>107</v>
      </c>
      <c r="BK115" t="s">
        <v>1419</v>
      </c>
      <c r="BN115" s="1"/>
    </row>
    <row r="116" spans="1:66" x14ac:dyDescent="0.25">
      <c r="A116" s="26" t="s">
        <v>162</v>
      </c>
      <c r="B116" s="26" t="s">
        <v>37</v>
      </c>
      <c r="C116" s="26">
        <v>35.630099999999999</v>
      </c>
      <c r="D116" s="26">
        <v>-79.806399999999996</v>
      </c>
      <c r="E116" s="26">
        <v>0</v>
      </c>
      <c r="F116" s="26">
        <v>0</v>
      </c>
      <c r="G116" s="26">
        <v>0</v>
      </c>
      <c r="H116" s="26">
        <v>0</v>
      </c>
      <c r="I116" s="26">
        <v>0</v>
      </c>
      <c r="J116" s="26">
        <v>0</v>
      </c>
      <c r="K116" s="26">
        <v>0</v>
      </c>
      <c r="L116" s="26">
        <v>0</v>
      </c>
      <c r="M116" s="26">
        <v>0</v>
      </c>
      <c r="N116" s="26">
        <v>0</v>
      </c>
      <c r="O116" s="26">
        <v>0</v>
      </c>
      <c r="P116" s="26">
        <v>0</v>
      </c>
      <c r="Q116" s="26">
        <v>0</v>
      </c>
      <c r="R116" s="26">
        <v>0</v>
      </c>
      <c r="S116" s="26">
        <v>0</v>
      </c>
      <c r="T116" s="26">
        <v>0</v>
      </c>
      <c r="U116" s="26">
        <v>0</v>
      </c>
      <c r="V116" s="26">
        <v>0</v>
      </c>
      <c r="W116" s="26">
        <v>0</v>
      </c>
      <c r="X116" s="26">
        <v>0</v>
      </c>
      <c r="Y116" s="26">
        <v>0</v>
      </c>
      <c r="Z116" s="26">
        <v>0</v>
      </c>
      <c r="AA116" s="26">
        <v>0</v>
      </c>
      <c r="AB116" s="26">
        <v>0</v>
      </c>
      <c r="AC116" s="26">
        <v>0</v>
      </c>
      <c r="AD116" s="26">
        <v>0</v>
      </c>
      <c r="AE116" s="26">
        <v>0</v>
      </c>
      <c r="AF116" s="26">
        <v>0</v>
      </c>
      <c r="AG116" s="26">
        <v>0</v>
      </c>
      <c r="AH116" s="26">
        <v>0</v>
      </c>
      <c r="AI116" s="26">
        <v>0</v>
      </c>
      <c r="AJ116" s="26">
        <v>0</v>
      </c>
      <c r="AK116" s="26">
        <v>0</v>
      </c>
      <c r="AL116" s="26">
        <v>0</v>
      </c>
      <c r="AM116" s="26">
        <v>0</v>
      </c>
      <c r="AN116" s="26">
        <v>0</v>
      </c>
      <c r="AO116" s="26">
        <v>0</v>
      </c>
      <c r="AP116" s="26">
        <v>0</v>
      </c>
      <c r="AQ116" s="26">
        <v>0</v>
      </c>
      <c r="AR116" s="26">
        <v>0</v>
      </c>
      <c r="AS116" s="26">
        <v>0</v>
      </c>
      <c r="AT116" s="26">
        <v>0</v>
      </c>
      <c r="AU116" s="26">
        <v>0</v>
      </c>
      <c r="AV116" s="26">
        <v>0</v>
      </c>
      <c r="AW116" s="26">
        <v>0</v>
      </c>
      <c r="AX116" s="26">
        <v>0</v>
      </c>
      <c r="AY116" s="26">
        <v>0</v>
      </c>
      <c r="AZ116" s="26">
        <v>0</v>
      </c>
      <c r="BA116" s="26">
        <v>7</v>
      </c>
      <c r="BB116" s="26">
        <v>7</v>
      </c>
      <c r="BC116" s="26">
        <v>15</v>
      </c>
      <c r="BD116" s="26">
        <v>17</v>
      </c>
      <c r="BE116" s="26">
        <v>24</v>
      </c>
      <c r="BF116">
        <v>33</v>
      </c>
      <c r="BG116">
        <v>38</v>
      </c>
      <c r="BH116">
        <v>64</v>
      </c>
      <c r="BI116">
        <v>70</v>
      </c>
      <c r="BJ116">
        <v>123</v>
      </c>
      <c r="BK116" t="s">
        <v>1420</v>
      </c>
      <c r="BN116" s="1"/>
    </row>
    <row r="117" spans="1:66" x14ac:dyDescent="0.25">
      <c r="A117" s="26" t="s">
        <v>163</v>
      </c>
      <c r="B117" s="26" t="s">
        <v>37</v>
      </c>
      <c r="C117" s="26">
        <v>33.856900000000003</v>
      </c>
      <c r="D117" s="26">
        <v>-80.944999999999993</v>
      </c>
      <c r="E117" s="26">
        <v>0</v>
      </c>
      <c r="F117" s="26">
        <v>0</v>
      </c>
      <c r="G117" s="26">
        <v>0</v>
      </c>
      <c r="H117" s="26">
        <v>0</v>
      </c>
      <c r="I117" s="26">
        <v>0</v>
      </c>
      <c r="J117" s="26">
        <v>0</v>
      </c>
      <c r="K117" s="26">
        <v>0</v>
      </c>
      <c r="L117" s="26">
        <v>0</v>
      </c>
      <c r="M117" s="26">
        <v>0</v>
      </c>
      <c r="N117" s="26">
        <v>0</v>
      </c>
      <c r="O117" s="26">
        <v>0</v>
      </c>
      <c r="P117" s="26">
        <v>0</v>
      </c>
      <c r="Q117" s="26">
        <v>0</v>
      </c>
      <c r="R117" s="26">
        <v>0</v>
      </c>
      <c r="S117" s="26">
        <v>0</v>
      </c>
      <c r="T117" s="26">
        <v>0</v>
      </c>
      <c r="U117" s="26">
        <v>0</v>
      </c>
      <c r="V117" s="26">
        <v>0</v>
      </c>
      <c r="W117" s="26">
        <v>0</v>
      </c>
      <c r="X117" s="26">
        <v>0</v>
      </c>
      <c r="Y117" s="26">
        <v>0</v>
      </c>
      <c r="Z117" s="26">
        <v>0</v>
      </c>
      <c r="AA117" s="26">
        <v>0</v>
      </c>
      <c r="AB117" s="26">
        <v>0</v>
      </c>
      <c r="AC117" s="26">
        <v>0</v>
      </c>
      <c r="AD117" s="26">
        <v>0</v>
      </c>
      <c r="AE117" s="26">
        <v>0</v>
      </c>
      <c r="AF117" s="26">
        <v>0</v>
      </c>
      <c r="AG117" s="26">
        <v>0</v>
      </c>
      <c r="AH117" s="26">
        <v>0</v>
      </c>
      <c r="AI117" s="26">
        <v>0</v>
      </c>
      <c r="AJ117" s="26">
        <v>0</v>
      </c>
      <c r="AK117" s="26">
        <v>0</v>
      </c>
      <c r="AL117" s="26">
        <v>0</v>
      </c>
      <c r="AM117" s="26">
        <v>0</v>
      </c>
      <c r="AN117" s="26">
        <v>0</v>
      </c>
      <c r="AO117" s="26">
        <v>0</v>
      </c>
      <c r="AP117" s="26">
        <v>0</v>
      </c>
      <c r="AQ117" s="26">
        <v>0</v>
      </c>
      <c r="AR117" s="26">
        <v>0</v>
      </c>
      <c r="AS117" s="26">
        <v>0</v>
      </c>
      <c r="AT117" s="26">
        <v>0</v>
      </c>
      <c r="AU117" s="26">
        <v>0</v>
      </c>
      <c r="AV117" s="26">
        <v>0</v>
      </c>
      <c r="AW117" s="26">
        <v>0</v>
      </c>
      <c r="AX117" s="26">
        <v>0</v>
      </c>
      <c r="AY117" s="26">
        <v>0</v>
      </c>
      <c r="AZ117" s="26">
        <v>0</v>
      </c>
      <c r="BA117" s="26">
        <v>7</v>
      </c>
      <c r="BB117" s="26">
        <v>10</v>
      </c>
      <c r="BC117" s="26">
        <v>12</v>
      </c>
      <c r="BD117" s="26">
        <v>13</v>
      </c>
      <c r="BE117" s="26">
        <v>19</v>
      </c>
      <c r="BF117">
        <v>28</v>
      </c>
      <c r="BG117">
        <v>33</v>
      </c>
      <c r="BH117">
        <v>47</v>
      </c>
      <c r="BI117">
        <v>47</v>
      </c>
      <c r="BJ117">
        <v>81</v>
      </c>
      <c r="BK117" t="s">
        <v>1421</v>
      </c>
      <c r="BN117" s="1"/>
    </row>
    <row r="118" spans="1:66" x14ac:dyDescent="0.25">
      <c r="A118" s="26" t="s">
        <v>164</v>
      </c>
      <c r="B118" s="26" t="s">
        <v>37</v>
      </c>
      <c r="C118" s="26">
        <v>35.747799999999998</v>
      </c>
      <c r="D118" s="26">
        <v>-86.692300000000003</v>
      </c>
      <c r="E118" s="26">
        <v>0</v>
      </c>
      <c r="F118" s="26">
        <v>0</v>
      </c>
      <c r="G118" s="26">
        <v>0</v>
      </c>
      <c r="H118" s="26">
        <v>0</v>
      </c>
      <c r="I118" s="26">
        <v>0</v>
      </c>
      <c r="J118" s="26">
        <v>0</v>
      </c>
      <c r="K118" s="26">
        <v>0</v>
      </c>
      <c r="L118" s="26">
        <v>0</v>
      </c>
      <c r="M118" s="26">
        <v>0</v>
      </c>
      <c r="N118" s="26">
        <v>0</v>
      </c>
      <c r="O118" s="26">
        <v>0</v>
      </c>
      <c r="P118" s="26">
        <v>0</v>
      </c>
      <c r="Q118" s="26">
        <v>0</v>
      </c>
      <c r="R118" s="26">
        <v>0</v>
      </c>
      <c r="S118" s="26">
        <v>0</v>
      </c>
      <c r="T118" s="26">
        <v>0</v>
      </c>
      <c r="U118" s="26">
        <v>0</v>
      </c>
      <c r="V118" s="26">
        <v>0</v>
      </c>
      <c r="W118" s="26">
        <v>0</v>
      </c>
      <c r="X118" s="26">
        <v>0</v>
      </c>
      <c r="Y118" s="26">
        <v>0</v>
      </c>
      <c r="Z118" s="26">
        <v>0</v>
      </c>
      <c r="AA118" s="26">
        <v>0</v>
      </c>
      <c r="AB118" s="26">
        <v>0</v>
      </c>
      <c r="AC118" s="26">
        <v>0</v>
      </c>
      <c r="AD118" s="26">
        <v>0</v>
      </c>
      <c r="AE118" s="26">
        <v>0</v>
      </c>
      <c r="AF118" s="26">
        <v>0</v>
      </c>
      <c r="AG118" s="26">
        <v>0</v>
      </c>
      <c r="AH118" s="26">
        <v>0</v>
      </c>
      <c r="AI118" s="26">
        <v>0</v>
      </c>
      <c r="AJ118" s="26">
        <v>0</v>
      </c>
      <c r="AK118" s="26">
        <v>0</v>
      </c>
      <c r="AL118" s="26">
        <v>0</v>
      </c>
      <c r="AM118" s="26">
        <v>0</v>
      </c>
      <c r="AN118" s="26">
        <v>0</v>
      </c>
      <c r="AO118" s="26">
        <v>0</v>
      </c>
      <c r="AP118" s="26">
        <v>0</v>
      </c>
      <c r="AQ118" s="26">
        <v>0</v>
      </c>
      <c r="AR118" s="26">
        <v>0</v>
      </c>
      <c r="AS118" s="26">
        <v>0</v>
      </c>
      <c r="AT118" s="26">
        <v>0</v>
      </c>
      <c r="AU118" s="26">
        <v>0</v>
      </c>
      <c r="AV118" s="26">
        <v>0</v>
      </c>
      <c r="AW118" s="26">
        <v>0</v>
      </c>
      <c r="AX118" s="26">
        <v>0</v>
      </c>
      <c r="AY118" s="26">
        <v>0</v>
      </c>
      <c r="AZ118" s="26">
        <v>0</v>
      </c>
      <c r="BA118" s="26">
        <v>7</v>
      </c>
      <c r="BB118" s="26">
        <v>9</v>
      </c>
      <c r="BC118" s="26">
        <v>18</v>
      </c>
      <c r="BD118" s="26">
        <v>26</v>
      </c>
      <c r="BE118" s="26">
        <v>32</v>
      </c>
      <c r="BF118">
        <v>39</v>
      </c>
      <c r="BG118">
        <v>52</v>
      </c>
      <c r="BH118">
        <v>74</v>
      </c>
      <c r="BI118">
        <v>79</v>
      </c>
      <c r="BJ118">
        <v>154</v>
      </c>
      <c r="BK118" t="s">
        <v>1422</v>
      </c>
      <c r="BN118" s="1"/>
    </row>
    <row r="119" spans="1:66" x14ac:dyDescent="0.25">
      <c r="A119" s="26" t="s">
        <v>165</v>
      </c>
      <c r="B119" s="26" t="s">
        <v>37</v>
      </c>
      <c r="C119" s="26">
        <v>37.769300000000001</v>
      </c>
      <c r="D119" s="26">
        <v>-78.17</v>
      </c>
      <c r="E119" s="26">
        <v>0</v>
      </c>
      <c r="F119" s="26">
        <v>0</v>
      </c>
      <c r="G119" s="26">
        <v>0</v>
      </c>
      <c r="H119" s="26">
        <v>0</v>
      </c>
      <c r="I119" s="26">
        <v>0</v>
      </c>
      <c r="J119" s="26">
        <v>0</v>
      </c>
      <c r="K119" s="26">
        <v>0</v>
      </c>
      <c r="L119" s="26">
        <v>0</v>
      </c>
      <c r="M119" s="26">
        <v>0</v>
      </c>
      <c r="N119" s="26">
        <v>0</v>
      </c>
      <c r="O119" s="26">
        <v>0</v>
      </c>
      <c r="P119" s="26">
        <v>0</v>
      </c>
      <c r="Q119" s="26">
        <v>0</v>
      </c>
      <c r="R119" s="26">
        <v>0</v>
      </c>
      <c r="S119" s="26">
        <v>0</v>
      </c>
      <c r="T119" s="26">
        <v>0</v>
      </c>
      <c r="U119" s="26">
        <v>0</v>
      </c>
      <c r="V119" s="26">
        <v>0</v>
      </c>
      <c r="W119" s="26">
        <v>0</v>
      </c>
      <c r="X119" s="26">
        <v>0</v>
      </c>
      <c r="Y119" s="26">
        <v>0</v>
      </c>
      <c r="Z119" s="26">
        <v>0</v>
      </c>
      <c r="AA119" s="26">
        <v>0</v>
      </c>
      <c r="AB119" s="26">
        <v>0</v>
      </c>
      <c r="AC119" s="26">
        <v>0</v>
      </c>
      <c r="AD119" s="26">
        <v>0</v>
      </c>
      <c r="AE119" s="26">
        <v>0</v>
      </c>
      <c r="AF119" s="26">
        <v>0</v>
      </c>
      <c r="AG119" s="26">
        <v>0</v>
      </c>
      <c r="AH119" s="26">
        <v>0</v>
      </c>
      <c r="AI119" s="26">
        <v>0</v>
      </c>
      <c r="AJ119" s="26">
        <v>0</v>
      </c>
      <c r="AK119" s="26">
        <v>0</v>
      </c>
      <c r="AL119" s="26">
        <v>0</v>
      </c>
      <c r="AM119" s="26">
        <v>0</v>
      </c>
      <c r="AN119" s="26">
        <v>0</v>
      </c>
      <c r="AO119" s="26">
        <v>0</v>
      </c>
      <c r="AP119" s="26">
        <v>0</v>
      </c>
      <c r="AQ119" s="26">
        <v>0</v>
      </c>
      <c r="AR119" s="26">
        <v>0</v>
      </c>
      <c r="AS119" s="26">
        <v>0</v>
      </c>
      <c r="AT119" s="26">
        <v>0</v>
      </c>
      <c r="AU119" s="26">
        <v>0</v>
      </c>
      <c r="AV119" s="26">
        <v>0</v>
      </c>
      <c r="AW119" s="26">
        <v>0</v>
      </c>
      <c r="AX119" s="26">
        <v>0</v>
      </c>
      <c r="AY119" s="26">
        <v>0</v>
      </c>
      <c r="AZ119" s="26">
        <v>0</v>
      </c>
      <c r="BA119" s="26">
        <v>7</v>
      </c>
      <c r="BB119" s="26">
        <v>9</v>
      </c>
      <c r="BC119" s="26">
        <v>17</v>
      </c>
      <c r="BD119" s="26">
        <v>30</v>
      </c>
      <c r="BE119" s="26">
        <v>41</v>
      </c>
      <c r="BF119">
        <v>45</v>
      </c>
      <c r="BG119">
        <v>49</v>
      </c>
      <c r="BH119">
        <v>67</v>
      </c>
      <c r="BI119">
        <v>77</v>
      </c>
      <c r="BJ119">
        <v>99</v>
      </c>
      <c r="BK119" t="s">
        <v>1423</v>
      </c>
      <c r="BN119" s="1"/>
    </row>
    <row r="120" spans="1:66" x14ac:dyDescent="0.25">
      <c r="A120" s="26" t="s">
        <v>166</v>
      </c>
      <c r="B120" s="26" t="s">
        <v>37</v>
      </c>
      <c r="C120" s="26">
        <v>33.729799999999997</v>
      </c>
      <c r="D120" s="26">
        <v>-111.4312</v>
      </c>
      <c r="E120" s="26">
        <v>0</v>
      </c>
      <c r="F120" s="26">
        <v>0</v>
      </c>
      <c r="G120" s="26">
        <v>0</v>
      </c>
      <c r="H120" s="26">
        <v>0</v>
      </c>
      <c r="I120" s="26">
        <v>0</v>
      </c>
      <c r="J120" s="26">
        <v>0</v>
      </c>
      <c r="K120" s="26">
        <v>0</v>
      </c>
      <c r="L120" s="26">
        <v>0</v>
      </c>
      <c r="M120" s="26">
        <v>0</v>
      </c>
      <c r="N120" s="26">
        <v>0</v>
      </c>
      <c r="O120" s="26">
        <v>0</v>
      </c>
      <c r="P120" s="26">
        <v>0</v>
      </c>
      <c r="Q120" s="26">
        <v>0</v>
      </c>
      <c r="R120" s="26">
        <v>0</v>
      </c>
      <c r="S120" s="26">
        <v>0</v>
      </c>
      <c r="T120" s="26">
        <v>0</v>
      </c>
      <c r="U120" s="26">
        <v>0</v>
      </c>
      <c r="V120" s="26">
        <v>0</v>
      </c>
      <c r="W120" s="26">
        <v>0</v>
      </c>
      <c r="X120" s="26">
        <v>0</v>
      </c>
      <c r="Y120" s="26">
        <v>0</v>
      </c>
      <c r="Z120" s="26">
        <v>0</v>
      </c>
      <c r="AA120" s="26">
        <v>0</v>
      </c>
      <c r="AB120" s="26">
        <v>0</v>
      </c>
      <c r="AC120" s="26">
        <v>0</v>
      </c>
      <c r="AD120" s="26">
        <v>0</v>
      </c>
      <c r="AE120" s="26">
        <v>0</v>
      </c>
      <c r="AF120" s="26">
        <v>0</v>
      </c>
      <c r="AG120" s="26">
        <v>0</v>
      </c>
      <c r="AH120" s="26">
        <v>0</v>
      </c>
      <c r="AI120" s="26">
        <v>0</v>
      </c>
      <c r="AJ120" s="26">
        <v>0</v>
      </c>
      <c r="AK120" s="26">
        <v>0</v>
      </c>
      <c r="AL120" s="26">
        <v>0</v>
      </c>
      <c r="AM120" s="26">
        <v>0</v>
      </c>
      <c r="AN120" s="26">
        <v>0</v>
      </c>
      <c r="AO120" s="26">
        <v>0</v>
      </c>
      <c r="AP120" s="26">
        <v>0</v>
      </c>
      <c r="AQ120" s="26">
        <v>0</v>
      </c>
      <c r="AR120" s="26">
        <v>0</v>
      </c>
      <c r="AS120" s="26">
        <v>0</v>
      </c>
      <c r="AT120" s="26">
        <v>0</v>
      </c>
      <c r="AU120" s="26">
        <v>0</v>
      </c>
      <c r="AV120" s="26">
        <v>0</v>
      </c>
      <c r="AW120" s="26">
        <v>0</v>
      </c>
      <c r="AX120" s="26">
        <v>0</v>
      </c>
      <c r="AY120" s="26">
        <v>0</v>
      </c>
      <c r="AZ120" s="26">
        <v>0</v>
      </c>
      <c r="BA120" s="26">
        <v>6</v>
      </c>
      <c r="BB120" s="26">
        <v>9</v>
      </c>
      <c r="BC120" s="26">
        <v>9</v>
      </c>
      <c r="BD120" s="26">
        <v>9</v>
      </c>
      <c r="BE120" s="26">
        <v>12</v>
      </c>
      <c r="BF120">
        <v>13</v>
      </c>
      <c r="BG120">
        <v>18</v>
      </c>
      <c r="BH120">
        <v>20</v>
      </c>
      <c r="BI120">
        <v>27</v>
      </c>
      <c r="BJ120">
        <v>45</v>
      </c>
      <c r="BK120" t="s">
        <v>1405</v>
      </c>
      <c r="BN120" s="1"/>
    </row>
    <row r="121" spans="1:66" x14ac:dyDescent="0.25">
      <c r="A121" s="26" t="s">
        <v>167</v>
      </c>
      <c r="B121" s="26" t="s">
        <v>37</v>
      </c>
      <c r="C121" s="26">
        <v>39.849400000000003</v>
      </c>
      <c r="D121" s="26">
        <v>-86.258300000000006</v>
      </c>
      <c r="E121" s="26">
        <v>0</v>
      </c>
      <c r="F121" s="26">
        <v>0</v>
      </c>
      <c r="G121" s="26">
        <v>0</v>
      </c>
      <c r="H121" s="26">
        <v>0</v>
      </c>
      <c r="I121" s="26">
        <v>0</v>
      </c>
      <c r="J121" s="26">
        <v>0</v>
      </c>
      <c r="K121" s="26">
        <v>0</v>
      </c>
      <c r="L121" s="26">
        <v>0</v>
      </c>
      <c r="M121" s="26">
        <v>0</v>
      </c>
      <c r="N121" s="26">
        <v>0</v>
      </c>
      <c r="O121" s="26">
        <v>0</v>
      </c>
      <c r="P121" s="26">
        <v>0</v>
      </c>
      <c r="Q121" s="26">
        <v>0</v>
      </c>
      <c r="R121" s="26">
        <v>0</v>
      </c>
      <c r="S121" s="26">
        <v>0</v>
      </c>
      <c r="T121" s="26">
        <v>0</v>
      </c>
      <c r="U121" s="26">
        <v>0</v>
      </c>
      <c r="V121" s="26">
        <v>0</v>
      </c>
      <c r="W121" s="26">
        <v>0</v>
      </c>
      <c r="X121" s="26">
        <v>0</v>
      </c>
      <c r="Y121" s="26">
        <v>0</v>
      </c>
      <c r="Z121" s="26">
        <v>0</v>
      </c>
      <c r="AA121" s="26">
        <v>0</v>
      </c>
      <c r="AB121" s="26">
        <v>0</v>
      </c>
      <c r="AC121" s="26">
        <v>0</v>
      </c>
      <c r="AD121" s="26">
        <v>0</v>
      </c>
      <c r="AE121" s="26">
        <v>0</v>
      </c>
      <c r="AF121" s="26">
        <v>0</v>
      </c>
      <c r="AG121" s="26">
        <v>0</v>
      </c>
      <c r="AH121" s="26">
        <v>0</v>
      </c>
      <c r="AI121" s="26">
        <v>0</v>
      </c>
      <c r="AJ121" s="26">
        <v>0</v>
      </c>
      <c r="AK121" s="26">
        <v>0</v>
      </c>
      <c r="AL121" s="26">
        <v>0</v>
      </c>
      <c r="AM121" s="26">
        <v>0</v>
      </c>
      <c r="AN121" s="26">
        <v>0</v>
      </c>
      <c r="AO121" s="26">
        <v>0</v>
      </c>
      <c r="AP121" s="26">
        <v>0</v>
      </c>
      <c r="AQ121" s="26">
        <v>0</v>
      </c>
      <c r="AR121" s="26">
        <v>0</v>
      </c>
      <c r="AS121" s="26">
        <v>0</v>
      </c>
      <c r="AT121" s="26">
        <v>0</v>
      </c>
      <c r="AU121" s="26">
        <v>0</v>
      </c>
      <c r="AV121" s="26">
        <v>0</v>
      </c>
      <c r="AW121" s="26">
        <v>0</v>
      </c>
      <c r="AX121" s="26">
        <v>0</v>
      </c>
      <c r="AY121" s="26">
        <v>0</v>
      </c>
      <c r="AZ121" s="26">
        <v>0</v>
      </c>
      <c r="BA121" s="26">
        <v>6</v>
      </c>
      <c r="BB121" s="26">
        <v>11</v>
      </c>
      <c r="BC121" s="26">
        <v>13</v>
      </c>
      <c r="BD121" s="26">
        <v>13</v>
      </c>
      <c r="BE121" s="26">
        <v>16</v>
      </c>
      <c r="BF121">
        <v>20</v>
      </c>
      <c r="BG121">
        <v>25</v>
      </c>
      <c r="BH121">
        <v>30</v>
      </c>
      <c r="BI121">
        <v>39</v>
      </c>
      <c r="BJ121">
        <v>60</v>
      </c>
      <c r="BK121" t="s">
        <v>1269</v>
      </c>
      <c r="BN121" s="1"/>
    </row>
    <row r="122" spans="1:66" x14ac:dyDescent="0.25">
      <c r="A122" s="26" t="s">
        <v>168</v>
      </c>
      <c r="B122" s="26" t="s">
        <v>37</v>
      </c>
      <c r="C122" s="26">
        <v>37.668100000000003</v>
      </c>
      <c r="D122" s="26">
        <v>-84.670100000000005</v>
      </c>
      <c r="E122" s="26">
        <v>0</v>
      </c>
      <c r="F122" s="26">
        <v>0</v>
      </c>
      <c r="G122" s="26">
        <v>0</v>
      </c>
      <c r="H122" s="26">
        <v>0</v>
      </c>
      <c r="I122" s="26">
        <v>0</v>
      </c>
      <c r="J122" s="26">
        <v>0</v>
      </c>
      <c r="K122" s="26">
        <v>0</v>
      </c>
      <c r="L122" s="26">
        <v>0</v>
      </c>
      <c r="M122" s="26">
        <v>0</v>
      </c>
      <c r="N122" s="26">
        <v>0</v>
      </c>
      <c r="O122" s="26">
        <v>0</v>
      </c>
      <c r="P122" s="26">
        <v>0</v>
      </c>
      <c r="Q122" s="26">
        <v>0</v>
      </c>
      <c r="R122" s="26">
        <v>0</v>
      </c>
      <c r="S122" s="26">
        <v>0</v>
      </c>
      <c r="T122" s="26">
        <v>0</v>
      </c>
      <c r="U122" s="26">
        <v>0</v>
      </c>
      <c r="V122" s="26">
        <v>0</v>
      </c>
      <c r="W122" s="26">
        <v>0</v>
      </c>
      <c r="X122" s="26">
        <v>0</v>
      </c>
      <c r="Y122" s="26">
        <v>0</v>
      </c>
      <c r="Z122" s="26">
        <v>0</v>
      </c>
      <c r="AA122" s="26">
        <v>0</v>
      </c>
      <c r="AB122" s="26">
        <v>0</v>
      </c>
      <c r="AC122" s="26">
        <v>0</v>
      </c>
      <c r="AD122" s="26">
        <v>0</v>
      </c>
      <c r="AE122" s="26">
        <v>0</v>
      </c>
      <c r="AF122" s="26">
        <v>0</v>
      </c>
      <c r="AG122" s="26">
        <v>0</v>
      </c>
      <c r="AH122" s="26">
        <v>0</v>
      </c>
      <c r="AI122" s="26">
        <v>0</v>
      </c>
      <c r="AJ122" s="26">
        <v>0</v>
      </c>
      <c r="AK122" s="26">
        <v>0</v>
      </c>
      <c r="AL122" s="26">
        <v>0</v>
      </c>
      <c r="AM122" s="26">
        <v>0</v>
      </c>
      <c r="AN122" s="26">
        <v>0</v>
      </c>
      <c r="AO122" s="26">
        <v>0</v>
      </c>
      <c r="AP122" s="26">
        <v>0</v>
      </c>
      <c r="AQ122" s="26">
        <v>0</v>
      </c>
      <c r="AR122" s="26">
        <v>0</v>
      </c>
      <c r="AS122" s="26">
        <v>0</v>
      </c>
      <c r="AT122" s="26">
        <v>0</v>
      </c>
      <c r="AU122" s="26">
        <v>0</v>
      </c>
      <c r="AV122" s="26">
        <v>0</v>
      </c>
      <c r="AW122" s="26">
        <v>0</v>
      </c>
      <c r="AX122" s="26">
        <v>0</v>
      </c>
      <c r="AY122" s="26">
        <v>0</v>
      </c>
      <c r="AZ122" s="26">
        <v>0</v>
      </c>
      <c r="BA122" s="26">
        <v>6</v>
      </c>
      <c r="BB122" s="26">
        <v>8</v>
      </c>
      <c r="BC122" s="26">
        <v>10</v>
      </c>
      <c r="BD122" s="26">
        <v>14</v>
      </c>
      <c r="BE122" s="26">
        <v>14</v>
      </c>
      <c r="BF122">
        <v>20</v>
      </c>
      <c r="BG122">
        <v>21</v>
      </c>
      <c r="BH122">
        <v>26</v>
      </c>
      <c r="BI122">
        <v>27</v>
      </c>
      <c r="BJ122">
        <v>37</v>
      </c>
      <c r="BK122" t="s">
        <v>1263</v>
      </c>
      <c r="BN122" s="1"/>
    </row>
    <row r="123" spans="1:66" x14ac:dyDescent="0.25">
      <c r="A123" s="26" t="s">
        <v>169</v>
      </c>
      <c r="B123" s="26" t="s">
        <v>37</v>
      </c>
      <c r="C123" s="26">
        <v>38.897399999999998</v>
      </c>
      <c r="D123" s="26">
        <v>-77.026799999999994</v>
      </c>
      <c r="E123" s="26">
        <v>0</v>
      </c>
      <c r="F123" s="26">
        <v>0</v>
      </c>
      <c r="G123" s="26">
        <v>0</v>
      </c>
      <c r="H123" s="26">
        <v>0</v>
      </c>
      <c r="I123" s="26">
        <v>0</v>
      </c>
      <c r="J123" s="26">
        <v>0</v>
      </c>
      <c r="K123" s="26">
        <v>0</v>
      </c>
      <c r="L123" s="26">
        <v>0</v>
      </c>
      <c r="M123" s="26">
        <v>0</v>
      </c>
      <c r="N123" s="26">
        <v>0</v>
      </c>
      <c r="O123" s="26">
        <v>0</v>
      </c>
      <c r="P123" s="26">
        <v>0</v>
      </c>
      <c r="Q123" s="26">
        <v>0</v>
      </c>
      <c r="R123" s="26">
        <v>0</v>
      </c>
      <c r="S123" s="26">
        <v>0</v>
      </c>
      <c r="T123" s="26">
        <v>0</v>
      </c>
      <c r="U123" s="26">
        <v>0</v>
      </c>
      <c r="V123" s="26">
        <v>0</v>
      </c>
      <c r="W123" s="26">
        <v>0</v>
      </c>
      <c r="X123" s="26">
        <v>0</v>
      </c>
      <c r="Y123" s="26">
        <v>0</v>
      </c>
      <c r="Z123" s="26">
        <v>0</v>
      </c>
      <c r="AA123" s="26">
        <v>0</v>
      </c>
      <c r="AB123" s="26">
        <v>0</v>
      </c>
      <c r="AC123" s="26">
        <v>0</v>
      </c>
      <c r="AD123" s="26">
        <v>0</v>
      </c>
      <c r="AE123" s="26">
        <v>0</v>
      </c>
      <c r="AF123" s="26">
        <v>0</v>
      </c>
      <c r="AG123" s="26">
        <v>0</v>
      </c>
      <c r="AH123" s="26">
        <v>0</v>
      </c>
      <c r="AI123" s="26">
        <v>0</v>
      </c>
      <c r="AJ123" s="26">
        <v>0</v>
      </c>
      <c r="AK123" s="26">
        <v>0</v>
      </c>
      <c r="AL123" s="26">
        <v>0</v>
      </c>
      <c r="AM123" s="26">
        <v>0</v>
      </c>
      <c r="AN123" s="26">
        <v>0</v>
      </c>
      <c r="AO123" s="26">
        <v>0</v>
      </c>
      <c r="AP123" s="26">
        <v>0</v>
      </c>
      <c r="AQ123" s="26">
        <v>0</v>
      </c>
      <c r="AR123" s="26">
        <v>0</v>
      </c>
      <c r="AS123" s="26">
        <v>0</v>
      </c>
      <c r="AT123" s="26">
        <v>0</v>
      </c>
      <c r="AU123" s="26">
        <v>0</v>
      </c>
      <c r="AV123" s="26">
        <v>0</v>
      </c>
      <c r="AW123" s="26">
        <v>0</v>
      </c>
      <c r="AX123" s="26">
        <v>0</v>
      </c>
      <c r="AY123" s="26">
        <v>0</v>
      </c>
      <c r="AZ123" s="26">
        <v>0</v>
      </c>
      <c r="BA123" s="26">
        <v>5</v>
      </c>
      <c r="BB123" s="26">
        <v>10</v>
      </c>
      <c r="BC123" s="26">
        <v>10</v>
      </c>
      <c r="BD123" s="26">
        <v>10</v>
      </c>
      <c r="BE123" s="26">
        <v>10</v>
      </c>
      <c r="BF123">
        <v>16</v>
      </c>
      <c r="BG123">
        <v>22</v>
      </c>
      <c r="BH123">
        <v>22</v>
      </c>
      <c r="BI123">
        <v>31</v>
      </c>
      <c r="BJ123">
        <v>40</v>
      </c>
      <c r="BK123" t="s">
        <v>1259</v>
      </c>
      <c r="BN123" s="1"/>
    </row>
    <row r="124" spans="1:66" x14ac:dyDescent="0.25">
      <c r="A124" s="26" t="s">
        <v>170</v>
      </c>
      <c r="B124" s="26" t="s">
        <v>37</v>
      </c>
      <c r="C124" s="26">
        <v>38.313499999999998</v>
      </c>
      <c r="D124" s="26">
        <v>-117.05540000000001</v>
      </c>
      <c r="E124" s="26">
        <v>0</v>
      </c>
      <c r="F124" s="26">
        <v>0</v>
      </c>
      <c r="G124" s="26">
        <v>0</v>
      </c>
      <c r="H124" s="26">
        <v>0</v>
      </c>
      <c r="I124" s="26">
        <v>0</v>
      </c>
      <c r="J124" s="26">
        <v>0</v>
      </c>
      <c r="K124" s="26">
        <v>0</v>
      </c>
      <c r="L124" s="26">
        <v>0</v>
      </c>
      <c r="M124" s="26">
        <v>0</v>
      </c>
      <c r="N124" s="26">
        <v>0</v>
      </c>
      <c r="O124" s="26">
        <v>0</v>
      </c>
      <c r="P124" s="26">
        <v>0</v>
      </c>
      <c r="Q124" s="26">
        <v>0</v>
      </c>
      <c r="R124" s="26">
        <v>0</v>
      </c>
      <c r="S124" s="26">
        <v>0</v>
      </c>
      <c r="T124" s="26">
        <v>0</v>
      </c>
      <c r="U124" s="26">
        <v>0</v>
      </c>
      <c r="V124" s="26">
        <v>0</v>
      </c>
      <c r="W124" s="26">
        <v>0</v>
      </c>
      <c r="X124" s="26">
        <v>0</v>
      </c>
      <c r="Y124" s="26">
        <v>0</v>
      </c>
      <c r="Z124" s="26">
        <v>0</v>
      </c>
      <c r="AA124" s="26">
        <v>0</v>
      </c>
      <c r="AB124" s="26">
        <v>0</v>
      </c>
      <c r="AC124" s="26">
        <v>0</v>
      </c>
      <c r="AD124" s="26">
        <v>0</v>
      </c>
      <c r="AE124" s="26">
        <v>0</v>
      </c>
      <c r="AF124" s="26">
        <v>0</v>
      </c>
      <c r="AG124" s="26">
        <v>0</v>
      </c>
      <c r="AH124" s="26">
        <v>0</v>
      </c>
      <c r="AI124" s="26">
        <v>0</v>
      </c>
      <c r="AJ124" s="26">
        <v>0</v>
      </c>
      <c r="AK124" s="26">
        <v>0</v>
      </c>
      <c r="AL124" s="26">
        <v>0</v>
      </c>
      <c r="AM124" s="26">
        <v>0</v>
      </c>
      <c r="AN124" s="26">
        <v>0</v>
      </c>
      <c r="AO124" s="26">
        <v>0</v>
      </c>
      <c r="AP124" s="26">
        <v>0</v>
      </c>
      <c r="AQ124" s="26">
        <v>0</v>
      </c>
      <c r="AR124" s="26">
        <v>0</v>
      </c>
      <c r="AS124" s="26">
        <v>0</v>
      </c>
      <c r="AT124" s="26">
        <v>0</v>
      </c>
      <c r="AU124" s="26">
        <v>0</v>
      </c>
      <c r="AV124" s="26">
        <v>0</v>
      </c>
      <c r="AW124" s="26">
        <v>0</v>
      </c>
      <c r="AX124" s="26">
        <v>0</v>
      </c>
      <c r="AY124" s="26">
        <v>0</v>
      </c>
      <c r="AZ124" s="26">
        <v>0</v>
      </c>
      <c r="BA124" s="26">
        <v>4</v>
      </c>
      <c r="BB124" s="26">
        <v>7</v>
      </c>
      <c r="BC124" s="26">
        <v>14</v>
      </c>
      <c r="BD124" s="26">
        <v>17</v>
      </c>
      <c r="BE124" s="26">
        <v>21</v>
      </c>
      <c r="BF124">
        <v>24</v>
      </c>
      <c r="BG124">
        <v>45</v>
      </c>
      <c r="BH124">
        <v>56</v>
      </c>
      <c r="BI124">
        <v>55</v>
      </c>
      <c r="BJ124">
        <v>95</v>
      </c>
      <c r="BK124" t="s">
        <v>1414</v>
      </c>
    </row>
    <row r="125" spans="1:66" x14ac:dyDescent="0.25">
      <c r="A125" s="26" t="s">
        <v>171</v>
      </c>
      <c r="B125" s="26" t="s">
        <v>37</v>
      </c>
      <c r="C125" s="26">
        <v>43.452500000000001</v>
      </c>
      <c r="D125" s="26">
        <v>-71.563900000000004</v>
      </c>
      <c r="E125" s="26">
        <v>0</v>
      </c>
      <c r="F125" s="26">
        <v>0</v>
      </c>
      <c r="G125" s="26">
        <v>0</v>
      </c>
      <c r="H125" s="26">
        <v>0</v>
      </c>
      <c r="I125" s="26">
        <v>0</v>
      </c>
      <c r="J125" s="26">
        <v>0</v>
      </c>
      <c r="K125" s="26">
        <v>0</v>
      </c>
      <c r="L125" s="26">
        <v>0</v>
      </c>
      <c r="M125" s="26">
        <v>0</v>
      </c>
      <c r="N125" s="26">
        <v>0</v>
      </c>
      <c r="O125" s="26">
        <v>0</v>
      </c>
      <c r="P125" s="26">
        <v>0</v>
      </c>
      <c r="Q125" s="26">
        <v>0</v>
      </c>
      <c r="R125" s="26">
        <v>0</v>
      </c>
      <c r="S125" s="26">
        <v>0</v>
      </c>
      <c r="T125" s="26">
        <v>0</v>
      </c>
      <c r="U125" s="26">
        <v>0</v>
      </c>
      <c r="V125" s="26">
        <v>0</v>
      </c>
      <c r="W125" s="26">
        <v>0</v>
      </c>
      <c r="X125" s="26">
        <v>0</v>
      </c>
      <c r="Y125" s="26">
        <v>0</v>
      </c>
      <c r="Z125" s="26">
        <v>0</v>
      </c>
      <c r="AA125" s="26">
        <v>0</v>
      </c>
      <c r="AB125" s="26">
        <v>0</v>
      </c>
      <c r="AC125" s="26">
        <v>0</v>
      </c>
      <c r="AD125" s="26">
        <v>0</v>
      </c>
      <c r="AE125" s="26">
        <v>0</v>
      </c>
      <c r="AF125" s="26">
        <v>0</v>
      </c>
      <c r="AG125" s="26">
        <v>0</v>
      </c>
      <c r="AH125" s="26">
        <v>0</v>
      </c>
      <c r="AI125" s="26">
        <v>0</v>
      </c>
      <c r="AJ125" s="26">
        <v>0</v>
      </c>
      <c r="AK125" s="26">
        <v>0</v>
      </c>
      <c r="AL125" s="26">
        <v>0</v>
      </c>
      <c r="AM125" s="26">
        <v>0</v>
      </c>
      <c r="AN125" s="26">
        <v>0</v>
      </c>
      <c r="AO125" s="26">
        <v>0</v>
      </c>
      <c r="AP125" s="26">
        <v>0</v>
      </c>
      <c r="AQ125" s="26">
        <v>0</v>
      </c>
      <c r="AR125" s="26">
        <v>0</v>
      </c>
      <c r="AS125" s="26">
        <v>0</v>
      </c>
      <c r="AT125" s="26">
        <v>0</v>
      </c>
      <c r="AU125" s="26">
        <v>0</v>
      </c>
      <c r="AV125" s="26">
        <v>0</v>
      </c>
      <c r="AW125" s="26">
        <v>0</v>
      </c>
      <c r="AX125" s="26">
        <v>0</v>
      </c>
      <c r="AY125" s="26">
        <v>0</v>
      </c>
      <c r="AZ125" s="26">
        <v>0</v>
      </c>
      <c r="BA125" s="26">
        <v>4</v>
      </c>
      <c r="BB125" s="26">
        <v>5</v>
      </c>
      <c r="BC125" s="26">
        <v>6</v>
      </c>
      <c r="BD125" s="26">
        <v>6</v>
      </c>
      <c r="BE125" s="26">
        <v>7</v>
      </c>
      <c r="BF125">
        <v>13</v>
      </c>
      <c r="BG125">
        <v>17</v>
      </c>
      <c r="BH125">
        <v>26</v>
      </c>
      <c r="BI125">
        <v>26</v>
      </c>
      <c r="BJ125">
        <v>44</v>
      </c>
      <c r="BK125" t="s">
        <v>1389</v>
      </c>
    </row>
    <row r="126" spans="1:66" x14ac:dyDescent="0.25">
      <c r="A126" s="26" t="s">
        <v>172</v>
      </c>
      <c r="B126" s="26" t="s">
        <v>37</v>
      </c>
      <c r="C126" s="26">
        <v>45.694499999999998</v>
      </c>
      <c r="D126" s="26">
        <v>-93.900199999999998</v>
      </c>
      <c r="E126" s="26">
        <v>0</v>
      </c>
      <c r="F126" s="26">
        <v>0</v>
      </c>
      <c r="G126" s="26">
        <v>0</v>
      </c>
      <c r="H126" s="26">
        <v>0</v>
      </c>
      <c r="I126" s="26">
        <v>0</v>
      </c>
      <c r="J126" s="26">
        <v>0</v>
      </c>
      <c r="K126" s="26">
        <v>0</v>
      </c>
      <c r="L126" s="26">
        <v>0</v>
      </c>
      <c r="M126" s="26">
        <v>0</v>
      </c>
      <c r="N126" s="26">
        <v>0</v>
      </c>
      <c r="O126" s="26">
        <v>0</v>
      </c>
      <c r="P126" s="26">
        <v>0</v>
      </c>
      <c r="Q126" s="26">
        <v>0</v>
      </c>
      <c r="R126" s="26">
        <v>0</v>
      </c>
      <c r="S126" s="26">
        <v>0</v>
      </c>
      <c r="T126" s="26">
        <v>0</v>
      </c>
      <c r="U126" s="26">
        <v>0</v>
      </c>
      <c r="V126" s="26">
        <v>0</v>
      </c>
      <c r="W126" s="26">
        <v>0</v>
      </c>
      <c r="X126" s="26">
        <v>0</v>
      </c>
      <c r="Y126" s="26">
        <v>0</v>
      </c>
      <c r="Z126" s="26">
        <v>0</v>
      </c>
      <c r="AA126" s="26">
        <v>0</v>
      </c>
      <c r="AB126" s="26">
        <v>0</v>
      </c>
      <c r="AC126" s="26">
        <v>0</v>
      </c>
      <c r="AD126" s="26">
        <v>0</v>
      </c>
      <c r="AE126" s="26">
        <v>0</v>
      </c>
      <c r="AF126" s="26">
        <v>0</v>
      </c>
      <c r="AG126" s="26">
        <v>0</v>
      </c>
      <c r="AH126" s="26">
        <v>0</v>
      </c>
      <c r="AI126" s="26">
        <v>0</v>
      </c>
      <c r="AJ126" s="26">
        <v>0</v>
      </c>
      <c r="AK126" s="26">
        <v>0</v>
      </c>
      <c r="AL126" s="26">
        <v>0</v>
      </c>
      <c r="AM126" s="26">
        <v>0</v>
      </c>
      <c r="AN126" s="26">
        <v>0</v>
      </c>
      <c r="AO126" s="26">
        <v>0</v>
      </c>
      <c r="AP126" s="26">
        <v>0</v>
      </c>
      <c r="AQ126" s="26">
        <v>0</v>
      </c>
      <c r="AR126" s="26">
        <v>0</v>
      </c>
      <c r="AS126" s="26">
        <v>0</v>
      </c>
      <c r="AT126" s="26">
        <v>0</v>
      </c>
      <c r="AU126" s="26">
        <v>0</v>
      </c>
      <c r="AV126" s="26">
        <v>0</v>
      </c>
      <c r="AW126" s="26">
        <v>0</v>
      </c>
      <c r="AX126" s="26">
        <v>0</v>
      </c>
      <c r="AY126" s="26">
        <v>0</v>
      </c>
      <c r="AZ126" s="26">
        <v>0</v>
      </c>
      <c r="BA126" s="26">
        <v>3</v>
      </c>
      <c r="BB126" s="26">
        <v>5</v>
      </c>
      <c r="BC126" s="26">
        <v>9</v>
      </c>
      <c r="BD126" s="26">
        <v>14</v>
      </c>
      <c r="BE126" s="26">
        <v>21</v>
      </c>
      <c r="BF126">
        <v>35</v>
      </c>
      <c r="BG126">
        <v>54</v>
      </c>
      <c r="BH126">
        <v>60</v>
      </c>
      <c r="BI126">
        <v>77</v>
      </c>
      <c r="BJ126">
        <v>89</v>
      </c>
      <c r="BK126" t="s">
        <v>1424</v>
      </c>
    </row>
    <row r="127" spans="1:66" x14ac:dyDescent="0.25">
      <c r="A127" s="26" t="s">
        <v>173</v>
      </c>
      <c r="B127" s="26" t="s">
        <v>37</v>
      </c>
      <c r="C127" s="26">
        <v>41.125399999999999</v>
      </c>
      <c r="D127" s="26">
        <v>-98.268100000000004</v>
      </c>
      <c r="E127" s="26">
        <v>0</v>
      </c>
      <c r="F127" s="26">
        <v>0</v>
      </c>
      <c r="G127" s="26">
        <v>0</v>
      </c>
      <c r="H127" s="26">
        <v>0</v>
      </c>
      <c r="I127" s="26">
        <v>0</v>
      </c>
      <c r="J127" s="26">
        <v>0</v>
      </c>
      <c r="K127" s="26">
        <v>0</v>
      </c>
      <c r="L127" s="26">
        <v>0</v>
      </c>
      <c r="M127" s="26">
        <v>0</v>
      </c>
      <c r="N127" s="26">
        <v>0</v>
      </c>
      <c r="O127" s="26">
        <v>0</v>
      </c>
      <c r="P127" s="26">
        <v>0</v>
      </c>
      <c r="Q127" s="26">
        <v>0</v>
      </c>
      <c r="R127" s="26">
        <v>0</v>
      </c>
      <c r="S127" s="26">
        <v>0</v>
      </c>
      <c r="T127" s="26">
        <v>0</v>
      </c>
      <c r="U127" s="26">
        <v>0</v>
      </c>
      <c r="V127" s="26">
        <v>0</v>
      </c>
      <c r="W127" s="26">
        <v>0</v>
      </c>
      <c r="X127" s="26">
        <v>0</v>
      </c>
      <c r="Y127" s="26">
        <v>0</v>
      </c>
      <c r="Z127" s="26">
        <v>0</v>
      </c>
      <c r="AA127" s="26">
        <v>0</v>
      </c>
      <c r="AB127" s="26">
        <v>0</v>
      </c>
      <c r="AC127" s="26">
        <v>0</v>
      </c>
      <c r="AD127" s="26">
        <v>0</v>
      </c>
      <c r="AE127" s="26">
        <v>0</v>
      </c>
      <c r="AF127" s="26">
        <v>0</v>
      </c>
      <c r="AG127" s="26">
        <v>0</v>
      </c>
      <c r="AH127" s="26">
        <v>0</v>
      </c>
      <c r="AI127" s="26">
        <v>0</v>
      </c>
      <c r="AJ127" s="26">
        <v>0</v>
      </c>
      <c r="AK127" s="26">
        <v>0</v>
      </c>
      <c r="AL127" s="26">
        <v>0</v>
      </c>
      <c r="AM127" s="26">
        <v>0</v>
      </c>
      <c r="AN127" s="26">
        <v>0</v>
      </c>
      <c r="AO127" s="26">
        <v>0</v>
      </c>
      <c r="AP127" s="26">
        <v>0</v>
      </c>
      <c r="AQ127" s="26">
        <v>0</v>
      </c>
      <c r="AR127" s="26">
        <v>0</v>
      </c>
      <c r="AS127" s="26">
        <v>0</v>
      </c>
      <c r="AT127" s="26">
        <v>0</v>
      </c>
      <c r="AU127" s="26">
        <v>0</v>
      </c>
      <c r="AV127" s="26">
        <v>0</v>
      </c>
      <c r="AW127" s="26">
        <v>0</v>
      </c>
      <c r="AX127" s="26">
        <v>0</v>
      </c>
      <c r="AY127" s="26">
        <v>0</v>
      </c>
      <c r="AZ127" s="26">
        <v>0</v>
      </c>
      <c r="BA127" s="26">
        <v>3</v>
      </c>
      <c r="BB127" s="26">
        <v>5</v>
      </c>
      <c r="BC127" s="26">
        <v>10</v>
      </c>
      <c r="BD127" s="26">
        <v>13</v>
      </c>
      <c r="BE127" s="26">
        <v>14</v>
      </c>
      <c r="BF127">
        <v>17</v>
      </c>
      <c r="BG127">
        <v>18</v>
      </c>
      <c r="BH127">
        <v>21</v>
      </c>
      <c r="BI127">
        <v>24</v>
      </c>
      <c r="BJ127">
        <v>29</v>
      </c>
      <c r="BK127" t="s">
        <v>855</v>
      </c>
    </row>
    <row r="128" spans="1:66" x14ac:dyDescent="0.25">
      <c r="A128" s="26" t="s">
        <v>174</v>
      </c>
      <c r="B128" s="26" t="s">
        <v>37</v>
      </c>
      <c r="C128" s="26">
        <v>40.388800000000003</v>
      </c>
      <c r="D128" s="26">
        <v>-82.764899999999997</v>
      </c>
      <c r="E128" s="26">
        <v>0</v>
      </c>
      <c r="F128" s="26">
        <v>0</v>
      </c>
      <c r="G128" s="26">
        <v>0</v>
      </c>
      <c r="H128" s="26">
        <v>0</v>
      </c>
      <c r="I128" s="26">
        <v>0</v>
      </c>
      <c r="J128" s="26">
        <v>0</v>
      </c>
      <c r="K128" s="26">
        <v>0</v>
      </c>
      <c r="L128" s="26">
        <v>0</v>
      </c>
      <c r="M128" s="26">
        <v>0</v>
      </c>
      <c r="N128" s="26">
        <v>0</v>
      </c>
      <c r="O128" s="26">
        <v>0</v>
      </c>
      <c r="P128" s="26">
        <v>0</v>
      </c>
      <c r="Q128" s="26">
        <v>0</v>
      </c>
      <c r="R128" s="26">
        <v>0</v>
      </c>
      <c r="S128" s="26">
        <v>0</v>
      </c>
      <c r="T128" s="26">
        <v>0</v>
      </c>
      <c r="U128" s="26">
        <v>0</v>
      </c>
      <c r="V128" s="26">
        <v>0</v>
      </c>
      <c r="W128" s="26">
        <v>0</v>
      </c>
      <c r="X128" s="26">
        <v>0</v>
      </c>
      <c r="Y128" s="26">
        <v>0</v>
      </c>
      <c r="Z128" s="26">
        <v>0</v>
      </c>
      <c r="AA128" s="26">
        <v>0</v>
      </c>
      <c r="AB128" s="26">
        <v>0</v>
      </c>
      <c r="AC128" s="26">
        <v>0</v>
      </c>
      <c r="AD128" s="26">
        <v>0</v>
      </c>
      <c r="AE128" s="26">
        <v>0</v>
      </c>
      <c r="AF128" s="26">
        <v>0</v>
      </c>
      <c r="AG128" s="26">
        <v>0</v>
      </c>
      <c r="AH128" s="26">
        <v>0</v>
      </c>
      <c r="AI128" s="26">
        <v>0</v>
      </c>
      <c r="AJ128" s="26">
        <v>0</v>
      </c>
      <c r="AK128" s="26">
        <v>0</v>
      </c>
      <c r="AL128" s="26">
        <v>0</v>
      </c>
      <c r="AM128" s="26">
        <v>0</v>
      </c>
      <c r="AN128" s="26">
        <v>0</v>
      </c>
      <c r="AO128" s="26">
        <v>0</v>
      </c>
      <c r="AP128" s="26">
        <v>0</v>
      </c>
      <c r="AQ128" s="26">
        <v>0</v>
      </c>
      <c r="AR128" s="26">
        <v>0</v>
      </c>
      <c r="AS128" s="26">
        <v>0</v>
      </c>
      <c r="AT128" s="26">
        <v>0</v>
      </c>
      <c r="AU128" s="26">
        <v>0</v>
      </c>
      <c r="AV128" s="26">
        <v>0</v>
      </c>
      <c r="AW128" s="26">
        <v>0</v>
      </c>
      <c r="AX128" s="26">
        <v>0</v>
      </c>
      <c r="AY128" s="26">
        <v>0</v>
      </c>
      <c r="AZ128" s="26">
        <v>0</v>
      </c>
      <c r="BA128" s="26">
        <v>3</v>
      </c>
      <c r="BB128" s="26">
        <v>4</v>
      </c>
      <c r="BC128" s="26">
        <v>5</v>
      </c>
      <c r="BD128" s="26">
        <v>13</v>
      </c>
      <c r="BE128" s="26">
        <v>26</v>
      </c>
      <c r="BF128">
        <v>37</v>
      </c>
      <c r="BG128">
        <v>50</v>
      </c>
      <c r="BH128">
        <v>67</v>
      </c>
      <c r="BI128">
        <v>86</v>
      </c>
      <c r="BJ128">
        <v>119</v>
      </c>
      <c r="BK128" t="s">
        <v>1265</v>
      </c>
    </row>
    <row r="129" spans="1:63" x14ac:dyDescent="0.25">
      <c r="A129" s="26" t="s">
        <v>175</v>
      </c>
      <c r="B129" s="26" t="s">
        <v>37</v>
      </c>
      <c r="C129" s="26">
        <v>41.680900000000001</v>
      </c>
      <c r="D129" s="26">
        <v>-71.511799999999994</v>
      </c>
      <c r="E129" s="26">
        <v>0</v>
      </c>
      <c r="F129" s="26">
        <v>0</v>
      </c>
      <c r="G129" s="26">
        <v>0</v>
      </c>
      <c r="H129" s="26">
        <v>0</v>
      </c>
      <c r="I129" s="26">
        <v>0</v>
      </c>
      <c r="J129" s="26">
        <v>0</v>
      </c>
      <c r="K129" s="26">
        <v>0</v>
      </c>
      <c r="L129" s="26">
        <v>0</v>
      </c>
      <c r="M129" s="26">
        <v>0</v>
      </c>
      <c r="N129" s="26">
        <v>0</v>
      </c>
      <c r="O129" s="26">
        <v>0</v>
      </c>
      <c r="P129" s="26">
        <v>0</v>
      </c>
      <c r="Q129" s="26">
        <v>0</v>
      </c>
      <c r="R129" s="26">
        <v>0</v>
      </c>
      <c r="S129" s="26">
        <v>0</v>
      </c>
      <c r="T129" s="26">
        <v>0</v>
      </c>
      <c r="U129" s="26">
        <v>0</v>
      </c>
      <c r="V129" s="26">
        <v>0</v>
      </c>
      <c r="W129" s="26">
        <v>0</v>
      </c>
      <c r="X129" s="26">
        <v>0</v>
      </c>
      <c r="Y129" s="26">
        <v>0</v>
      </c>
      <c r="Z129" s="26">
        <v>0</v>
      </c>
      <c r="AA129" s="26">
        <v>0</v>
      </c>
      <c r="AB129" s="26">
        <v>0</v>
      </c>
      <c r="AC129" s="26">
        <v>0</v>
      </c>
      <c r="AD129" s="26">
        <v>0</v>
      </c>
      <c r="AE129" s="26">
        <v>0</v>
      </c>
      <c r="AF129" s="26">
        <v>0</v>
      </c>
      <c r="AG129" s="26">
        <v>0</v>
      </c>
      <c r="AH129" s="26">
        <v>0</v>
      </c>
      <c r="AI129" s="26">
        <v>0</v>
      </c>
      <c r="AJ129" s="26">
        <v>0</v>
      </c>
      <c r="AK129" s="26">
        <v>0</v>
      </c>
      <c r="AL129" s="26">
        <v>0</v>
      </c>
      <c r="AM129" s="26">
        <v>0</v>
      </c>
      <c r="AN129" s="26">
        <v>0</v>
      </c>
      <c r="AO129" s="26">
        <v>0</v>
      </c>
      <c r="AP129" s="26">
        <v>0</v>
      </c>
      <c r="AQ129" s="26">
        <v>0</v>
      </c>
      <c r="AR129" s="26">
        <v>0</v>
      </c>
      <c r="AS129" s="26">
        <v>0</v>
      </c>
      <c r="AT129" s="26">
        <v>0</v>
      </c>
      <c r="AU129" s="26">
        <v>0</v>
      </c>
      <c r="AV129" s="26">
        <v>0</v>
      </c>
      <c r="AW129" s="26">
        <v>0</v>
      </c>
      <c r="AX129" s="26">
        <v>0</v>
      </c>
      <c r="AY129" s="26">
        <v>0</v>
      </c>
      <c r="AZ129" s="26">
        <v>0</v>
      </c>
      <c r="BA129" s="26">
        <v>3</v>
      </c>
      <c r="BB129" s="26">
        <v>5</v>
      </c>
      <c r="BC129" s="26">
        <v>5</v>
      </c>
      <c r="BD129" s="26">
        <v>14</v>
      </c>
      <c r="BE129" s="26">
        <v>20</v>
      </c>
      <c r="BF129">
        <v>20</v>
      </c>
      <c r="BG129">
        <v>21</v>
      </c>
      <c r="BH129">
        <v>23</v>
      </c>
      <c r="BI129">
        <v>33</v>
      </c>
      <c r="BJ129">
        <v>44</v>
      </c>
      <c r="BK129" t="s">
        <v>1396</v>
      </c>
    </row>
    <row r="130" spans="1:63" x14ac:dyDescent="0.25">
      <c r="A130" s="26" t="s">
        <v>176</v>
      </c>
      <c r="B130" s="26" t="s">
        <v>37</v>
      </c>
      <c r="C130" s="26">
        <v>44.268500000000003</v>
      </c>
      <c r="D130" s="26">
        <v>-89.616500000000002</v>
      </c>
      <c r="E130" s="26">
        <v>0</v>
      </c>
      <c r="F130" s="26">
        <v>0</v>
      </c>
      <c r="G130" s="26">
        <v>0</v>
      </c>
      <c r="H130" s="26">
        <v>0</v>
      </c>
      <c r="I130" s="26">
        <v>0</v>
      </c>
      <c r="J130" s="26">
        <v>0</v>
      </c>
      <c r="K130" s="26">
        <v>0</v>
      </c>
      <c r="L130" s="26">
        <v>0</v>
      </c>
      <c r="M130" s="26">
        <v>0</v>
      </c>
      <c r="N130" s="26">
        <v>0</v>
      </c>
      <c r="O130" s="26">
        <v>0</v>
      </c>
      <c r="P130" s="26">
        <v>0</v>
      </c>
      <c r="Q130" s="26">
        <v>0</v>
      </c>
      <c r="R130" s="26">
        <v>0</v>
      </c>
      <c r="S130" s="26">
        <v>0</v>
      </c>
      <c r="T130" s="26">
        <v>0</v>
      </c>
      <c r="U130" s="26">
        <v>0</v>
      </c>
      <c r="V130" s="26">
        <v>0</v>
      </c>
      <c r="W130" s="26">
        <v>0</v>
      </c>
      <c r="X130" s="26">
        <v>0</v>
      </c>
      <c r="Y130" s="26">
        <v>0</v>
      </c>
      <c r="Z130" s="26">
        <v>0</v>
      </c>
      <c r="AA130" s="26">
        <v>0</v>
      </c>
      <c r="AB130" s="26">
        <v>0</v>
      </c>
      <c r="AC130" s="26">
        <v>0</v>
      </c>
      <c r="AD130" s="26">
        <v>0</v>
      </c>
      <c r="AE130" s="26">
        <v>0</v>
      </c>
      <c r="AF130" s="26">
        <v>0</v>
      </c>
      <c r="AG130" s="26">
        <v>0</v>
      </c>
      <c r="AH130" s="26">
        <v>0</v>
      </c>
      <c r="AI130" s="26">
        <v>0</v>
      </c>
      <c r="AJ130" s="26">
        <v>0</v>
      </c>
      <c r="AK130" s="26">
        <v>0</v>
      </c>
      <c r="AL130" s="26">
        <v>0</v>
      </c>
      <c r="AM130" s="26">
        <v>0</v>
      </c>
      <c r="AN130" s="26">
        <v>0</v>
      </c>
      <c r="AO130" s="26">
        <v>0</v>
      </c>
      <c r="AP130" s="26">
        <v>0</v>
      </c>
      <c r="AQ130" s="26">
        <v>0</v>
      </c>
      <c r="AR130" s="26">
        <v>0</v>
      </c>
      <c r="AS130" s="26">
        <v>0</v>
      </c>
      <c r="AT130" s="26">
        <v>0</v>
      </c>
      <c r="AU130" s="26">
        <v>0</v>
      </c>
      <c r="AV130" s="26">
        <v>0</v>
      </c>
      <c r="AW130" s="26">
        <v>0</v>
      </c>
      <c r="AX130" s="26">
        <v>0</v>
      </c>
      <c r="AY130" s="26">
        <v>0</v>
      </c>
      <c r="AZ130" s="26">
        <v>0</v>
      </c>
      <c r="BA130" s="26">
        <v>3</v>
      </c>
      <c r="BB130" s="26">
        <v>6</v>
      </c>
      <c r="BC130" s="26">
        <v>8</v>
      </c>
      <c r="BD130" s="26">
        <v>19</v>
      </c>
      <c r="BE130" s="26">
        <v>27</v>
      </c>
      <c r="BF130">
        <v>32</v>
      </c>
      <c r="BG130">
        <v>47</v>
      </c>
      <c r="BH130">
        <v>72</v>
      </c>
      <c r="BI130">
        <v>92</v>
      </c>
      <c r="BJ130">
        <v>159</v>
      </c>
      <c r="BK130" t="s">
        <v>1425</v>
      </c>
    </row>
    <row r="131" spans="1:63" x14ac:dyDescent="0.25">
      <c r="A131" s="26" t="s">
        <v>177</v>
      </c>
      <c r="B131" s="26" t="s">
        <v>37</v>
      </c>
      <c r="C131" s="26">
        <v>41.597799999999999</v>
      </c>
      <c r="D131" s="26">
        <v>-72.755399999999995</v>
      </c>
      <c r="E131" s="26">
        <v>0</v>
      </c>
      <c r="F131" s="26">
        <v>0</v>
      </c>
      <c r="G131" s="26">
        <v>0</v>
      </c>
      <c r="H131" s="26">
        <v>0</v>
      </c>
      <c r="I131" s="26">
        <v>0</v>
      </c>
      <c r="J131" s="26">
        <v>0</v>
      </c>
      <c r="K131" s="26">
        <v>0</v>
      </c>
      <c r="L131" s="26">
        <v>0</v>
      </c>
      <c r="M131" s="26">
        <v>0</v>
      </c>
      <c r="N131" s="26">
        <v>0</v>
      </c>
      <c r="O131" s="26">
        <v>0</v>
      </c>
      <c r="P131" s="26">
        <v>0</v>
      </c>
      <c r="Q131" s="26">
        <v>0</v>
      </c>
      <c r="R131" s="26">
        <v>0</v>
      </c>
      <c r="S131" s="26">
        <v>0</v>
      </c>
      <c r="T131" s="26">
        <v>0</v>
      </c>
      <c r="U131" s="26">
        <v>0</v>
      </c>
      <c r="V131" s="26">
        <v>0</v>
      </c>
      <c r="W131" s="26">
        <v>0</v>
      </c>
      <c r="X131" s="26">
        <v>0</v>
      </c>
      <c r="Y131" s="26">
        <v>0</v>
      </c>
      <c r="Z131" s="26">
        <v>0</v>
      </c>
      <c r="AA131" s="26">
        <v>0</v>
      </c>
      <c r="AB131" s="26">
        <v>0</v>
      </c>
      <c r="AC131" s="26">
        <v>0</v>
      </c>
      <c r="AD131" s="26">
        <v>0</v>
      </c>
      <c r="AE131" s="26">
        <v>0</v>
      </c>
      <c r="AF131" s="26">
        <v>0</v>
      </c>
      <c r="AG131" s="26">
        <v>0</v>
      </c>
      <c r="AH131" s="26">
        <v>0</v>
      </c>
      <c r="AI131" s="26">
        <v>0</v>
      </c>
      <c r="AJ131" s="26">
        <v>0</v>
      </c>
      <c r="AK131" s="26">
        <v>0</v>
      </c>
      <c r="AL131" s="26">
        <v>0</v>
      </c>
      <c r="AM131" s="26">
        <v>0</v>
      </c>
      <c r="AN131" s="26">
        <v>0</v>
      </c>
      <c r="AO131" s="26">
        <v>0</v>
      </c>
      <c r="AP131" s="26">
        <v>0</v>
      </c>
      <c r="AQ131" s="26">
        <v>0</v>
      </c>
      <c r="AR131" s="26">
        <v>0</v>
      </c>
      <c r="AS131" s="26">
        <v>0</v>
      </c>
      <c r="AT131" s="26">
        <v>0</v>
      </c>
      <c r="AU131" s="26">
        <v>0</v>
      </c>
      <c r="AV131" s="26">
        <v>0</v>
      </c>
      <c r="AW131" s="26">
        <v>0</v>
      </c>
      <c r="AX131" s="26">
        <v>0</v>
      </c>
      <c r="AY131" s="26">
        <v>0</v>
      </c>
      <c r="AZ131" s="26">
        <v>0</v>
      </c>
      <c r="BA131" s="26">
        <v>2</v>
      </c>
      <c r="BB131" s="26">
        <v>3</v>
      </c>
      <c r="BC131" s="26">
        <v>5</v>
      </c>
      <c r="BD131" s="26">
        <v>11</v>
      </c>
      <c r="BE131" s="26">
        <v>22</v>
      </c>
      <c r="BF131">
        <v>24</v>
      </c>
      <c r="BG131">
        <v>30</v>
      </c>
      <c r="BH131">
        <v>68</v>
      </c>
      <c r="BI131">
        <v>68</v>
      </c>
      <c r="BJ131">
        <v>159</v>
      </c>
      <c r="BK131" t="s">
        <v>1426</v>
      </c>
    </row>
    <row r="132" spans="1:63" x14ac:dyDescent="0.25">
      <c r="A132" s="26" t="s">
        <v>178</v>
      </c>
      <c r="B132" s="26" t="s">
        <v>37</v>
      </c>
      <c r="C132" s="26">
        <v>21.0943</v>
      </c>
      <c r="D132" s="26">
        <v>-157.4983</v>
      </c>
      <c r="E132" s="26">
        <v>0</v>
      </c>
      <c r="F132" s="26">
        <v>0</v>
      </c>
      <c r="G132" s="26">
        <v>0</v>
      </c>
      <c r="H132" s="26">
        <v>0</v>
      </c>
      <c r="I132" s="26">
        <v>0</v>
      </c>
      <c r="J132" s="26">
        <v>0</v>
      </c>
      <c r="K132" s="26">
        <v>0</v>
      </c>
      <c r="L132" s="26">
        <v>0</v>
      </c>
      <c r="M132" s="26">
        <v>0</v>
      </c>
      <c r="N132" s="26">
        <v>0</v>
      </c>
      <c r="O132" s="26">
        <v>0</v>
      </c>
      <c r="P132" s="26">
        <v>0</v>
      </c>
      <c r="Q132" s="26">
        <v>0</v>
      </c>
      <c r="R132" s="26">
        <v>0</v>
      </c>
      <c r="S132" s="26">
        <v>0</v>
      </c>
      <c r="T132" s="26">
        <v>0</v>
      </c>
      <c r="U132" s="26">
        <v>0</v>
      </c>
      <c r="V132" s="26">
        <v>0</v>
      </c>
      <c r="W132" s="26">
        <v>0</v>
      </c>
      <c r="X132" s="26">
        <v>0</v>
      </c>
      <c r="Y132" s="26">
        <v>0</v>
      </c>
      <c r="Z132" s="26">
        <v>0</v>
      </c>
      <c r="AA132" s="26">
        <v>0</v>
      </c>
      <c r="AB132" s="26">
        <v>0</v>
      </c>
      <c r="AC132" s="26">
        <v>0</v>
      </c>
      <c r="AD132" s="26">
        <v>0</v>
      </c>
      <c r="AE132" s="26">
        <v>0</v>
      </c>
      <c r="AF132" s="26">
        <v>0</v>
      </c>
      <c r="AG132" s="26">
        <v>0</v>
      </c>
      <c r="AH132" s="26">
        <v>0</v>
      </c>
      <c r="AI132" s="26">
        <v>0</v>
      </c>
      <c r="AJ132" s="26">
        <v>0</v>
      </c>
      <c r="AK132" s="26">
        <v>0</v>
      </c>
      <c r="AL132" s="26">
        <v>0</v>
      </c>
      <c r="AM132" s="26">
        <v>0</v>
      </c>
      <c r="AN132" s="26">
        <v>0</v>
      </c>
      <c r="AO132" s="26">
        <v>0</v>
      </c>
      <c r="AP132" s="26">
        <v>0</v>
      </c>
      <c r="AQ132" s="26">
        <v>0</v>
      </c>
      <c r="AR132" s="26">
        <v>0</v>
      </c>
      <c r="AS132" s="26">
        <v>0</v>
      </c>
      <c r="AT132" s="26">
        <v>0</v>
      </c>
      <c r="AU132" s="26">
        <v>0</v>
      </c>
      <c r="AV132" s="26">
        <v>0</v>
      </c>
      <c r="AW132" s="26">
        <v>0</v>
      </c>
      <c r="AX132" s="26">
        <v>0</v>
      </c>
      <c r="AY132" s="26">
        <v>0</v>
      </c>
      <c r="AZ132" s="26">
        <v>0</v>
      </c>
      <c r="BA132" s="26">
        <v>2</v>
      </c>
      <c r="BB132" s="26">
        <v>2</v>
      </c>
      <c r="BC132" s="26">
        <v>2</v>
      </c>
      <c r="BD132" s="26">
        <v>2</v>
      </c>
      <c r="BE132" s="26">
        <v>4</v>
      </c>
      <c r="BF132">
        <v>6</v>
      </c>
      <c r="BG132">
        <v>7</v>
      </c>
      <c r="BH132">
        <v>10</v>
      </c>
      <c r="BI132">
        <v>14</v>
      </c>
      <c r="BJ132">
        <v>16</v>
      </c>
      <c r="BK132" t="s">
        <v>472</v>
      </c>
    </row>
    <row r="133" spans="1:63" x14ac:dyDescent="0.25">
      <c r="A133" s="26" t="s">
        <v>179</v>
      </c>
      <c r="B133" s="26" t="s">
        <v>37</v>
      </c>
      <c r="C133" s="26">
        <v>35.565300000000001</v>
      </c>
      <c r="D133" s="26">
        <v>-96.928899999999999</v>
      </c>
      <c r="E133" s="26">
        <v>0</v>
      </c>
      <c r="F133" s="26">
        <v>0</v>
      </c>
      <c r="G133" s="26">
        <v>0</v>
      </c>
      <c r="H133" s="26">
        <v>0</v>
      </c>
      <c r="I133" s="26">
        <v>0</v>
      </c>
      <c r="J133" s="26">
        <v>0</v>
      </c>
      <c r="K133" s="26">
        <v>0</v>
      </c>
      <c r="L133" s="26">
        <v>0</v>
      </c>
      <c r="M133" s="26">
        <v>0</v>
      </c>
      <c r="N133" s="26">
        <v>0</v>
      </c>
      <c r="O133" s="26">
        <v>0</v>
      </c>
      <c r="P133" s="26">
        <v>0</v>
      </c>
      <c r="Q133" s="26">
        <v>0</v>
      </c>
      <c r="R133" s="26">
        <v>0</v>
      </c>
      <c r="S133" s="26">
        <v>0</v>
      </c>
      <c r="T133" s="26">
        <v>0</v>
      </c>
      <c r="U133" s="26">
        <v>0</v>
      </c>
      <c r="V133" s="26">
        <v>0</v>
      </c>
      <c r="W133" s="26">
        <v>0</v>
      </c>
      <c r="X133" s="26">
        <v>0</v>
      </c>
      <c r="Y133" s="26">
        <v>0</v>
      </c>
      <c r="Z133" s="26">
        <v>0</v>
      </c>
      <c r="AA133" s="26">
        <v>0</v>
      </c>
      <c r="AB133" s="26">
        <v>0</v>
      </c>
      <c r="AC133" s="26">
        <v>0</v>
      </c>
      <c r="AD133" s="26">
        <v>0</v>
      </c>
      <c r="AE133" s="26">
        <v>0</v>
      </c>
      <c r="AF133" s="26">
        <v>0</v>
      </c>
      <c r="AG133" s="26">
        <v>0</v>
      </c>
      <c r="AH133" s="26">
        <v>0</v>
      </c>
      <c r="AI133" s="26">
        <v>0</v>
      </c>
      <c r="AJ133" s="26">
        <v>0</v>
      </c>
      <c r="AK133" s="26">
        <v>0</v>
      </c>
      <c r="AL133" s="26">
        <v>0</v>
      </c>
      <c r="AM133" s="26">
        <v>0</v>
      </c>
      <c r="AN133" s="26">
        <v>0</v>
      </c>
      <c r="AO133" s="26">
        <v>0</v>
      </c>
      <c r="AP133" s="26">
        <v>0</v>
      </c>
      <c r="AQ133" s="26">
        <v>0</v>
      </c>
      <c r="AR133" s="26">
        <v>0</v>
      </c>
      <c r="AS133" s="26">
        <v>0</v>
      </c>
      <c r="AT133" s="26">
        <v>0</v>
      </c>
      <c r="AU133" s="26">
        <v>0</v>
      </c>
      <c r="AV133" s="26">
        <v>0</v>
      </c>
      <c r="AW133" s="26">
        <v>0</v>
      </c>
      <c r="AX133" s="26">
        <v>0</v>
      </c>
      <c r="AY133" s="26">
        <v>0</v>
      </c>
      <c r="AZ133" s="26">
        <v>0</v>
      </c>
      <c r="BA133" s="26">
        <v>2</v>
      </c>
      <c r="BB133" s="26">
        <v>2</v>
      </c>
      <c r="BC133" s="26">
        <v>2</v>
      </c>
      <c r="BD133" s="26">
        <v>2</v>
      </c>
      <c r="BE133" s="26">
        <v>4</v>
      </c>
      <c r="BF133">
        <v>7</v>
      </c>
      <c r="BG133">
        <v>10</v>
      </c>
      <c r="BH133">
        <v>19</v>
      </c>
      <c r="BI133">
        <v>19</v>
      </c>
      <c r="BJ133">
        <v>44</v>
      </c>
      <c r="BK133" t="s">
        <v>449</v>
      </c>
    </row>
    <row r="134" spans="1:63" x14ac:dyDescent="0.25">
      <c r="A134" s="26" t="s">
        <v>180</v>
      </c>
      <c r="B134" s="26" t="s">
        <v>37</v>
      </c>
      <c r="C134" s="26">
        <v>40.15</v>
      </c>
      <c r="D134" s="26">
        <v>-111.86239999999999</v>
      </c>
      <c r="E134" s="26">
        <v>0</v>
      </c>
      <c r="F134" s="26">
        <v>0</v>
      </c>
      <c r="G134" s="26">
        <v>0</v>
      </c>
      <c r="H134" s="26">
        <v>0</v>
      </c>
      <c r="I134" s="26">
        <v>0</v>
      </c>
      <c r="J134" s="26">
        <v>0</v>
      </c>
      <c r="K134" s="26">
        <v>0</v>
      </c>
      <c r="L134" s="26">
        <v>0</v>
      </c>
      <c r="M134" s="26">
        <v>0</v>
      </c>
      <c r="N134" s="26">
        <v>0</v>
      </c>
      <c r="O134" s="26">
        <v>0</v>
      </c>
      <c r="P134" s="26">
        <v>0</v>
      </c>
      <c r="Q134" s="26">
        <v>0</v>
      </c>
      <c r="R134" s="26">
        <v>0</v>
      </c>
      <c r="S134" s="26">
        <v>0</v>
      </c>
      <c r="T134" s="26">
        <v>0</v>
      </c>
      <c r="U134" s="26">
        <v>0</v>
      </c>
      <c r="V134" s="26">
        <v>0</v>
      </c>
      <c r="W134" s="26">
        <v>0</v>
      </c>
      <c r="X134" s="26">
        <v>0</v>
      </c>
      <c r="Y134" s="26">
        <v>0</v>
      </c>
      <c r="Z134" s="26">
        <v>0</v>
      </c>
      <c r="AA134" s="26">
        <v>0</v>
      </c>
      <c r="AB134" s="26">
        <v>0</v>
      </c>
      <c r="AC134" s="26">
        <v>0</v>
      </c>
      <c r="AD134" s="26">
        <v>0</v>
      </c>
      <c r="AE134" s="26">
        <v>0</v>
      </c>
      <c r="AF134" s="26">
        <v>0</v>
      </c>
      <c r="AG134" s="26">
        <v>0</v>
      </c>
      <c r="AH134" s="26">
        <v>0</v>
      </c>
      <c r="AI134" s="26">
        <v>0</v>
      </c>
      <c r="AJ134" s="26">
        <v>0</v>
      </c>
      <c r="AK134" s="26">
        <v>0</v>
      </c>
      <c r="AL134" s="26">
        <v>0</v>
      </c>
      <c r="AM134" s="26">
        <v>0</v>
      </c>
      <c r="AN134" s="26">
        <v>0</v>
      </c>
      <c r="AO134" s="26">
        <v>0</v>
      </c>
      <c r="AP134" s="26">
        <v>0</v>
      </c>
      <c r="AQ134" s="26">
        <v>0</v>
      </c>
      <c r="AR134" s="26">
        <v>0</v>
      </c>
      <c r="AS134" s="26">
        <v>0</v>
      </c>
      <c r="AT134" s="26">
        <v>0</v>
      </c>
      <c r="AU134" s="26">
        <v>0</v>
      </c>
      <c r="AV134" s="26">
        <v>0</v>
      </c>
      <c r="AW134" s="26">
        <v>0</v>
      </c>
      <c r="AX134" s="26">
        <v>0</v>
      </c>
      <c r="AY134" s="26">
        <v>0</v>
      </c>
      <c r="AZ134" s="26">
        <v>0</v>
      </c>
      <c r="BA134" s="26">
        <v>2</v>
      </c>
      <c r="BB134" s="26">
        <v>3</v>
      </c>
      <c r="BC134" s="26">
        <v>5</v>
      </c>
      <c r="BD134" s="26">
        <v>9</v>
      </c>
      <c r="BE134" s="26">
        <v>10</v>
      </c>
      <c r="BF134">
        <v>28</v>
      </c>
      <c r="BG134">
        <v>39</v>
      </c>
      <c r="BH134">
        <v>51</v>
      </c>
      <c r="BI134">
        <v>51</v>
      </c>
      <c r="BJ134">
        <v>80</v>
      </c>
      <c r="BK134" t="s">
        <v>1405</v>
      </c>
    </row>
    <row r="135" spans="1:63" x14ac:dyDescent="0.25">
      <c r="A135" s="26"/>
      <c r="B135" s="26" t="s">
        <v>181</v>
      </c>
      <c r="C135" s="26">
        <v>12.238300000000001</v>
      </c>
      <c r="D135" s="26">
        <v>-1.5616000000000001</v>
      </c>
      <c r="E135" s="26">
        <v>0</v>
      </c>
      <c r="F135" s="26">
        <v>0</v>
      </c>
      <c r="G135" s="26">
        <v>0</v>
      </c>
      <c r="H135" s="26">
        <v>0</v>
      </c>
      <c r="I135" s="26">
        <v>0</v>
      </c>
      <c r="J135" s="26">
        <v>0</v>
      </c>
      <c r="K135" s="26">
        <v>0</v>
      </c>
      <c r="L135" s="26">
        <v>0</v>
      </c>
      <c r="M135" s="26">
        <v>0</v>
      </c>
      <c r="N135" s="26">
        <v>0</v>
      </c>
      <c r="O135" s="26">
        <v>0</v>
      </c>
      <c r="P135" s="26">
        <v>0</v>
      </c>
      <c r="Q135" s="26">
        <v>0</v>
      </c>
      <c r="R135" s="26">
        <v>0</v>
      </c>
      <c r="S135" s="26">
        <v>0</v>
      </c>
      <c r="T135" s="26">
        <v>0</v>
      </c>
      <c r="U135" s="26">
        <v>0</v>
      </c>
      <c r="V135" s="26">
        <v>0</v>
      </c>
      <c r="W135" s="26">
        <v>0</v>
      </c>
      <c r="X135" s="26">
        <v>0</v>
      </c>
      <c r="Y135" s="26">
        <v>0</v>
      </c>
      <c r="Z135" s="26">
        <v>0</v>
      </c>
      <c r="AA135" s="26">
        <v>0</v>
      </c>
      <c r="AB135" s="26">
        <v>0</v>
      </c>
      <c r="AC135" s="26">
        <v>0</v>
      </c>
      <c r="AD135" s="26">
        <v>0</v>
      </c>
      <c r="AE135" s="26">
        <v>0</v>
      </c>
      <c r="AF135" s="26">
        <v>0</v>
      </c>
      <c r="AG135" s="26">
        <v>0</v>
      </c>
      <c r="AH135" s="26">
        <v>0</v>
      </c>
      <c r="AI135" s="26">
        <v>0</v>
      </c>
      <c r="AJ135" s="26">
        <v>0</v>
      </c>
      <c r="AK135" s="26">
        <v>0</v>
      </c>
      <c r="AL135" s="26">
        <v>0</v>
      </c>
      <c r="AM135" s="26">
        <v>0</v>
      </c>
      <c r="AN135" s="26">
        <v>0</v>
      </c>
      <c r="AO135" s="26">
        <v>0</v>
      </c>
      <c r="AP135" s="26">
        <v>0</v>
      </c>
      <c r="AQ135" s="26">
        <v>0</v>
      </c>
      <c r="AR135" s="26">
        <v>0</v>
      </c>
      <c r="AS135" s="26">
        <v>0</v>
      </c>
      <c r="AT135" s="26">
        <v>0</v>
      </c>
      <c r="AU135" s="26">
        <v>0</v>
      </c>
      <c r="AV135" s="26">
        <v>0</v>
      </c>
      <c r="AW135" s="26">
        <v>0</v>
      </c>
      <c r="AX135" s="26">
        <v>0</v>
      </c>
      <c r="AY135" s="26">
        <v>0</v>
      </c>
      <c r="AZ135" s="26">
        <v>0</v>
      </c>
      <c r="BA135" s="26">
        <v>1</v>
      </c>
      <c r="BB135" s="26">
        <v>2</v>
      </c>
      <c r="BC135" s="26">
        <v>2</v>
      </c>
      <c r="BD135" s="26">
        <v>2</v>
      </c>
      <c r="BE135" s="26">
        <v>2</v>
      </c>
      <c r="BF135">
        <v>3</v>
      </c>
      <c r="BG135">
        <v>15</v>
      </c>
      <c r="BH135">
        <v>15</v>
      </c>
      <c r="BI135">
        <v>20</v>
      </c>
      <c r="BJ135">
        <v>33</v>
      </c>
      <c r="BK135" t="s">
        <v>1427</v>
      </c>
    </row>
    <row r="136" spans="1:63" x14ac:dyDescent="0.25">
      <c r="A136" s="26"/>
      <c r="B136" s="26" t="s">
        <v>182</v>
      </c>
      <c r="C136" s="26">
        <v>41.902900000000002</v>
      </c>
      <c r="D136" s="26">
        <v>12.4534</v>
      </c>
      <c r="E136" s="26">
        <v>0</v>
      </c>
      <c r="F136" s="26">
        <v>0</v>
      </c>
      <c r="G136" s="26">
        <v>0</v>
      </c>
      <c r="H136" s="26">
        <v>0</v>
      </c>
      <c r="I136" s="26">
        <v>0</v>
      </c>
      <c r="J136" s="26">
        <v>0</v>
      </c>
      <c r="K136" s="26">
        <v>0</v>
      </c>
      <c r="L136" s="26">
        <v>0</v>
      </c>
      <c r="M136" s="26">
        <v>0</v>
      </c>
      <c r="N136" s="26">
        <v>0</v>
      </c>
      <c r="O136" s="26">
        <v>0</v>
      </c>
      <c r="P136" s="26">
        <v>0</v>
      </c>
      <c r="Q136" s="26">
        <v>0</v>
      </c>
      <c r="R136" s="26">
        <v>0</v>
      </c>
      <c r="S136" s="26">
        <v>0</v>
      </c>
      <c r="T136" s="26">
        <v>0</v>
      </c>
      <c r="U136" s="26">
        <v>0</v>
      </c>
      <c r="V136" s="26">
        <v>0</v>
      </c>
      <c r="W136" s="26">
        <v>0</v>
      </c>
      <c r="X136" s="26">
        <v>0</v>
      </c>
      <c r="Y136" s="26">
        <v>0</v>
      </c>
      <c r="Z136" s="26">
        <v>0</v>
      </c>
      <c r="AA136" s="26">
        <v>0</v>
      </c>
      <c r="AB136" s="26">
        <v>0</v>
      </c>
      <c r="AC136" s="26">
        <v>0</v>
      </c>
      <c r="AD136" s="26">
        <v>0</v>
      </c>
      <c r="AE136" s="26">
        <v>0</v>
      </c>
      <c r="AF136" s="26">
        <v>0</v>
      </c>
      <c r="AG136" s="26">
        <v>0</v>
      </c>
      <c r="AH136" s="26">
        <v>0</v>
      </c>
      <c r="AI136" s="26">
        <v>0</v>
      </c>
      <c r="AJ136" s="26">
        <v>0</v>
      </c>
      <c r="AK136" s="26">
        <v>0</v>
      </c>
      <c r="AL136" s="26">
        <v>0</v>
      </c>
      <c r="AM136" s="26">
        <v>0</v>
      </c>
      <c r="AN136" s="26">
        <v>0</v>
      </c>
      <c r="AO136" s="26">
        <v>0</v>
      </c>
      <c r="AP136" s="26">
        <v>0</v>
      </c>
      <c r="AQ136" s="26">
        <v>0</v>
      </c>
      <c r="AR136" s="26">
        <v>0</v>
      </c>
      <c r="AS136" s="26">
        <v>0</v>
      </c>
      <c r="AT136" s="26">
        <v>0</v>
      </c>
      <c r="AU136" s="26">
        <v>0</v>
      </c>
      <c r="AV136" s="26">
        <v>0</v>
      </c>
      <c r="AW136" s="26">
        <v>1</v>
      </c>
      <c r="AX136" s="26">
        <v>1</v>
      </c>
      <c r="AY136" s="26">
        <v>1</v>
      </c>
      <c r="AZ136" s="26">
        <v>1</v>
      </c>
      <c r="BA136" s="26">
        <v>1</v>
      </c>
      <c r="BB136" s="26">
        <v>1</v>
      </c>
      <c r="BC136" s="26">
        <v>1</v>
      </c>
      <c r="BD136" s="26">
        <v>1</v>
      </c>
      <c r="BE136" s="26">
        <v>1</v>
      </c>
      <c r="BF136">
        <v>1</v>
      </c>
      <c r="BG136">
        <v>1</v>
      </c>
      <c r="BH136">
        <v>1</v>
      </c>
      <c r="BI136">
        <v>1</v>
      </c>
      <c r="BJ136">
        <v>1</v>
      </c>
      <c r="BK136" t="s">
        <v>441</v>
      </c>
    </row>
    <row r="137" spans="1:63" x14ac:dyDescent="0.25">
      <c r="A137" s="26"/>
      <c r="B137" s="26" t="s">
        <v>183</v>
      </c>
      <c r="C137" s="26">
        <v>46.862499999999997</v>
      </c>
      <c r="D137" s="26">
        <v>103.8467</v>
      </c>
      <c r="E137" s="26">
        <v>0</v>
      </c>
      <c r="F137" s="26">
        <v>0</v>
      </c>
      <c r="G137" s="26">
        <v>0</v>
      </c>
      <c r="H137" s="26">
        <v>0</v>
      </c>
      <c r="I137" s="26">
        <v>0</v>
      </c>
      <c r="J137" s="26">
        <v>0</v>
      </c>
      <c r="K137" s="26">
        <v>0</v>
      </c>
      <c r="L137" s="26">
        <v>0</v>
      </c>
      <c r="M137" s="26">
        <v>0</v>
      </c>
      <c r="N137" s="26">
        <v>0</v>
      </c>
      <c r="O137" s="26">
        <v>0</v>
      </c>
      <c r="P137" s="26">
        <v>0</v>
      </c>
      <c r="Q137" s="26">
        <v>0</v>
      </c>
      <c r="R137" s="26">
        <v>0</v>
      </c>
      <c r="S137" s="26">
        <v>0</v>
      </c>
      <c r="T137" s="26">
        <v>0</v>
      </c>
      <c r="U137" s="26">
        <v>0</v>
      </c>
      <c r="V137" s="26">
        <v>0</v>
      </c>
      <c r="W137" s="26">
        <v>0</v>
      </c>
      <c r="X137" s="26">
        <v>0</v>
      </c>
      <c r="Y137" s="26">
        <v>0</v>
      </c>
      <c r="Z137" s="26">
        <v>0</v>
      </c>
      <c r="AA137" s="26">
        <v>0</v>
      </c>
      <c r="AB137" s="26">
        <v>0</v>
      </c>
      <c r="AC137" s="26">
        <v>0</v>
      </c>
      <c r="AD137" s="26">
        <v>0</v>
      </c>
      <c r="AE137" s="26">
        <v>0</v>
      </c>
      <c r="AF137" s="26">
        <v>0</v>
      </c>
      <c r="AG137" s="26">
        <v>0</v>
      </c>
      <c r="AH137" s="26">
        <v>0</v>
      </c>
      <c r="AI137" s="26">
        <v>0</v>
      </c>
      <c r="AJ137" s="26">
        <v>0</v>
      </c>
      <c r="AK137" s="26">
        <v>0</v>
      </c>
      <c r="AL137" s="26">
        <v>0</v>
      </c>
      <c r="AM137" s="26">
        <v>0</v>
      </c>
      <c r="AN137" s="26">
        <v>0</v>
      </c>
      <c r="AO137" s="26">
        <v>0</v>
      </c>
      <c r="AP137" s="26">
        <v>0</v>
      </c>
      <c r="AQ137" s="26">
        <v>0</v>
      </c>
      <c r="AR137" s="26">
        <v>0</v>
      </c>
      <c r="AS137" s="26">
        <v>0</v>
      </c>
      <c r="AT137" s="26">
        <v>0</v>
      </c>
      <c r="AU137" s="26">
        <v>0</v>
      </c>
      <c r="AV137" s="26">
        <v>0</v>
      </c>
      <c r="AW137" s="26">
        <v>0</v>
      </c>
      <c r="AX137" s="26">
        <v>0</v>
      </c>
      <c r="AY137" s="26">
        <v>0</v>
      </c>
      <c r="AZ137" s="26">
        <v>0</v>
      </c>
      <c r="BA137" s="26">
        <v>1</v>
      </c>
      <c r="BB137" s="26">
        <v>1</v>
      </c>
      <c r="BC137" s="26">
        <v>1</v>
      </c>
      <c r="BD137" s="26">
        <v>1</v>
      </c>
      <c r="BE137" s="26">
        <v>1</v>
      </c>
      <c r="BF137">
        <v>1</v>
      </c>
      <c r="BG137">
        <v>1</v>
      </c>
      <c r="BH137">
        <v>5</v>
      </c>
      <c r="BI137">
        <v>6</v>
      </c>
      <c r="BJ137">
        <v>6</v>
      </c>
      <c r="BK137" t="s">
        <v>455</v>
      </c>
    </row>
    <row r="138" spans="1:63" x14ac:dyDescent="0.25">
      <c r="A138" s="26"/>
      <c r="B138" s="26" t="s">
        <v>184</v>
      </c>
      <c r="C138" s="26">
        <v>8.5380000000000003</v>
      </c>
      <c r="D138" s="26">
        <v>-80.7821</v>
      </c>
      <c r="E138" s="26">
        <v>0</v>
      </c>
      <c r="F138" s="26">
        <v>0</v>
      </c>
      <c r="G138" s="26">
        <v>0</v>
      </c>
      <c r="H138" s="26">
        <v>0</v>
      </c>
      <c r="I138" s="26">
        <v>0</v>
      </c>
      <c r="J138" s="26">
        <v>0</v>
      </c>
      <c r="K138" s="26">
        <v>0</v>
      </c>
      <c r="L138" s="26">
        <v>0</v>
      </c>
      <c r="M138" s="26">
        <v>0</v>
      </c>
      <c r="N138" s="26">
        <v>0</v>
      </c>
      <c r="O138" s="26">
        <v>0</v>
      </c>
      <c r="P138" s="26">
        <v>0</v>
      </c>
      <c r="Q138" s="26">
        <v>0</v>
      </c>
      <c r="R138" s="26">
        <v>0</v>
      </c>
      <c r="S138" s="26">
        <v>0</v>
      </c>
      <c r="T138" s="26">
        <v>0</v>
      </c>
      <c r="U138" s="26">
        <v>0</v>
      </c>
      <c r="V138" s="26">
        <v>0</v>
      </c>
      <c r="W138" s="26">
        <v>0</v>
      </c>
      <c r="X138" s="26">
        <v>0</v>
      </c>
      <c r="Y138" s="26">
        <v>0</v>
      </c>
      <c r="Z138" s="26">
        <v>0</v>
      </c>
      <c r="AA138" s="26">
        <v>0</v>
      </c>
      <c r="AB138" s="26">
        <v>0</v>
      </c>
      <c r="AC138" s="26">
        <v>0</v>
      </c>
      <c r="AD138" s="26">
        <v>0</v>
      </c>
      <c r="AE138" s="26">
        <v>0</v>
      </c>
      <c r="AF138" s="26">
        <v>0</v>
      </c>
      <c r="AG138" s="26">
        <v>0</v>
      </c>
      <c r="AH138" s="26">
        <v>0</v>
      </c>
      <c r="AI138" s="26">
        <v>0</v>
      </c>
      <c r="AJ138" s="26">
        <v>0</v>
      </c>
      <c r="AK138" s="26">
        <v>0</v>
      </c>
      <c r="AL138" s="26">
        <v>0</v>
      </c>
      <c r="AM138" s="26">
        <v>0</v>
      </c>
      <c r="AN138" s="26">
        <v>0</v>
      </c>
      <c r="AO138" s="26">
        <v>0</v>
      </c>
      <c r="AP138" s="26">
        <v>0</v>
      </c>
      <c r="AQ138" s="26">
        <v>0</v>
      </c>
      <c r="AR138" s="26">
        <v>0</v>
      </c>
      <c r="AS138" s="26">
        <v>0</v>
      </c>
      <c r="AT138" s="26">
        <v>0</v>
      </c>
      <c r="AU138" s="26">
        <v>0</v>
      </c>
      <c r="AV138" s="26">
        <v>0</v>
      </c>
      <c r="AW138" s="26">
        <v>0</v>
      </c>
      <c r="AX138" s="26">
        <v>0</v>
      </c>
      <c r="AY138" s="26">
        <v>0</v>
      </c>
      <c r="AZ138" s="26">
        <v>0</v>
      </c>
      <c r="BA138" s="26">
        <v>1</v>
      </c>
      <c r="BB138" s="26">
        <v>8</v>
      </c>
      <c r="BC138" s="26">
        <v>11</v>
      </c>
      <c r="BD138" s="26">
        <v>27</v>
      </c>
      <c r="BE138" s="26">
        <v>36</v>
      </c>
      <c r="BF138">
        <v>43</v>
      </c>
      <c r="BG138">
        <v>55</v>
      </c>
      <c r="BH138">
        <v>69</v>
      </c>
      <c r="BI138">
        <v>86</v>
      </c>
      <c r="BJ138">
        <v>109</v>
      </c>
      <c r="BK138" t="s">
        <v>1401</v>
      </c>
    </row>
    <row r="139" spans="1:63" x14ac:dyDescent="0.25">
      <c r="A139" s="26" t="s">
        <v>185</v>
      </c>
      <c r="B139" s="26" t="s">
        <v>37</v>
      </c>
      <c r="C139" s="26">
        <v>38.526600000000002</v>
      </c>
      <c r="D139" s="26">
        <v>-96.726500000000001</v>
      </c>
      <c r="E139" s="26">
        <v>0</v>
      </c>
      <c r="F139" s="26">
        <v>0</v>
      </c>
      <c r="G139" s="26">
        <v>0</v>
      </c>
      <c r="H139" s="26">
        <v>0</v>
      </c>
      <c r="I139" s="26">
        <v>0</v>
      </c>
      <c r="J139" s="26">
        <v>0</v>
      </c>
      <c r="K139" s="26">
        <v>0</v>
      </c>
      <c r="L139" s="26">
        <v>0</v>
      </c>
      <c r="M139" s="26">
        <v>0</v>
      </c>
      <c r="N139" s="26">
        <v>0</v>
      </c>
      <c r="O139" s="26">
        <v>0</v>
      </c>
      <c r="P139" s="26">
        <v>0</v>
      </c>
      <c r="Q139" s="26">
        <v>0</v>
      </c>
      <c r="R139" s="26">
        <v>0</v>
      </c>
      <c r="S139" s="26">
        <v>0</v>
      </c>
      <c r="T139" s="26">
        <v>0</v>
      </c>
      <c r="U139" s="26">
        <v>0</v>
      </c>
      <c r="V139" s="26">
        <v>0</v>
      </c>
      <c r="W139" s="26">
        <v>0</v>
      </c>
      <c r="X139" s="26">
        <v>0</v>
      </c>
      <c r="Y139" s="26">
        <v>0</v>
      </c>
      <c r="Z139" s="26">
        <v>0</v>
      </c>
      <c r="AA139" s="26">
        <v>0</v>
      </c>
      <c r="AB139" s="26">
        <v>0</v>
      </c>
      <c r="AC139" s="26">
        <v>0</v>
      </c>
      <c r="AD139" s="26">
        <v>0</v>
      </c>
      <c r="AE139" s="26">
        <v>0</v>
      </c>
      <c r="AF139" s="26">
        <v>0</v>
      </c>
      <c r="AG139" s="26">
        <v>0</v>
      </c>
      <c r="AH139" s="26">
        <v>0</v>
      </c>
      <c r="AI139" s="26">
        <v>0</v>
      </c>
      <c r="AJ139" s="26">
        <v>0</v>
      </c>
      <c r="AK139" s="26">
        <v>0</v>
      </c>
      <c r="AL139" s="26">
        <v>0</v>
      </c>
      <c r="AM139" s="26">
        <v>0</v>
      </c>
      <c r="AN139" s="26">
        <v>0</v>
      </c>
      <c r="AO139" s="26">
        <v>0</v>
      </c>
      <c r="AP139" s="26">
        <v>0</v>
      </c>
      <c r="AQ139" s="26">
        <v>0</v>
      </c>
      <c r="AR139" s="26">
        <v>0</v>
      </c>
      <c r="AS139" s="26">
        <v>0</v>
      </c>
      <c r="AT139" s="26">
        <v>0</v>
      </c>
      <c r="AU139" s="26">
        <v>0</v>
      </c>
      <c r="AV139" s="26">
        <v>0</v>
      </c>
      <c r="AW139" s="26">
        <v>0</v>
      </c>
      <c r="AX139" s="26">
        <v>0</v>
      </c>
      <c r="AY139" s="26">
        <v>0</v>
      </c>
      <c r="AZ139" s="26">
        <v>0</v>
      </c>
      <c r="BA139" s="26">
        <v>1</v>
      </c>
      <c r="BB139" s="26">
        <v>1</v>
      </c>
      <c r="BC139" s="26">
        <v>1</v>
      </c>
      <c r="BD139" s="26">
        <v>5</v>
      </c>
      <c r="BE139" s="26">
        <v>8</v>
      </c>
      <c r="BF139">
        <v>8</v>
      </c>
      <c r="BG139">
        <v>11</v>
      </c>
      <c r="BH139">
        <v>18</v>
      </c>
      <c r="BI139">
        <v>18</v>
      </c>
      <c r="BJ139">
        <v>34</v>
      </c>
      <c r="BK139" t="s">
        <v>1389</v>
      </c>
    </row>
    <row r="140" spans="1:63" x14ac:dyDescent="0.25">
      <c r="A140" s="26" t="s">
        <v>186</v>
      </c>
      <c r="B140" s="26" t="s">
        <v>37</v>
      </c>
      <c r="C140" s="26">
        <v>31.169499999999999</v>
      </c>
      <c r="D140" s="26">
        <v>-91.867800000000003</v>
      </c>
      <c r="E140" s="26">
        <v>0</v>
      </c>
      <c r="F140" s="26">
        <v>0</v>
      </c>
      <c r="G140" s="26">
        <v>0</v>
      </c>
      <c r="H140" s="26">
        <v>0</v>
      </c>
      <c r="I140" s="26">
        <v>0</v>
      </c>
      <c r="J140" s="26">
        <v>0</v>
      </c>
      <c r="K140" s="26">
        <v>0</v>
      </c>
      <c r="L140" s="26">
        <v>0</v>
      </c>
      <c r="M140" s="26">
        <v>0</v>
      </c>
      <c r="N140" s="26">
        <v>0</v>
      </c>
      <c r="O140" s="26">
        <v>0</v>
      </c>
      <c r="P140" s="26">
        <v>0</v>
      </c>
      <c r="Q140" s="26">
        <v>0</v>
      </c>
      <c r="R140" s="26">
        <v>0</v>
      </c>
      <c r="S140" s="26">
        <v>0</v>
      </c>
      <c r="T140" s="26">
        <v>0</v>
      </c>
      <c r="U140" s="26">
        <v>0</v>
      </c>
      <c r="V140" s="26">
        <v>0</v>
      </c>
      <c r="W140" s="26">
        <v>0</v>
      </c>
      <c r="X140" s="26">
        <v>0</v>
      </c>
      <c r="Y140" s="26">
        <v>0</v>
      </c>
      <c r="Z140" s="26">
        <v>0</v>
      </c>
      <c r="AA140" s="26">
        <v>0</v>
      </c>
      <c r="AB140" s="26">
        <v>0</v>
      </c>
      <c r="AC140" s="26">
        <v>0</v>
      </c>
      <c r="AD140" s="26">
        <v>0</v>
      </c>
      <c r="AE140" s="26">
        <v>0</v>
      </c>
      <c r="AF140" s="26">
        <v>0</v>
      </c>
      <c r="AG140" s="26">
        <v>0</v>
      </c>
      <c r="AH140" s="26">
        <v>0</v>
      </c>
      <c r="AI140" s="26">
        <v>0</v>
      </c>
      <c r="AJ140" s="26">
        <v>0</v>
      </c>
      <c r="AK140" s="26">
        <v>0</v>
      </c>
      <c r="AL140" s="26">
        <v>0</v>
      </c>
      <c r="AM140" s="26">
        <v>0</v>
      </c>
      <c r="AN140" s="26">
        <v>0</v>
      </c>
      <c r="AO140" s="26">
        <v>0</v>
      </c>
      <c r="AP140" s="26">
        <v>0</v>
      </c>
      <c r="AQ140" s="26">
        <v>0</v>
      </c>
      <c r="AR140" s="26">
        <v>0</v>
      </c>
      <c r="AS140" s="26">
        <v>0</v>
      </c>
      <c r="AT140" s="26">
        <v>0</v>
      </c>
      <c r="AU140" s="26">
        <v>0</v>
      </c>
      <c r="AV140" s="26">
        <v>0</v>
      </c>
      <c r="AW140" s="26">
        <v>0</v>
      </c>
      <c r="AX140" s="26">
        <v>0</v>
      </c>
      <c r="AY140" s="26">
        <v>0</v>
      </c>
      <c r="AZ140" s="26">
        <v>0</v>
      </c>
      <c r="BA140" s="26">
        <v>1</v>
      </c>
      <c r="BB140" s="26">
        <v>6</v>
      </c>
      <c r="BC140" s="26">
        <v>19</v>
      </c>
      <c r="BD140" s="26">
        <v>36</v>
      </c>
      <c r="BE140" s="26">
        <v>77</v>
      </c>
      <c r="BF140">
        <v>91</v>
      </c>
      <c r="BG140">
        <v>136</v>
      </c>
      <c r="BH140">
        <v>196</v>
      </c>
      <c r="BI140">
        <v>257</v>
      </c>
      <c r="BJ140">
        <v>392</v>
      </c>
      <c r="BK140" t="s">
        <v>1428</v>
      </c>
    </row>
    <row r="141" spans="1:63" x14ac:dyDescent="0.25">
      <c r="A141" s="26" t="s">
        <v>187</v>
      </c>
      <c r="B141" s="26" t="s">
        <v>37</v>
      </c>
      <c r="C141" s="26">
        <v>38.456099999999999</v>
      </c>
      <c r="D141" s="26">
        <v>-92.288399999999996</v>
      </c>
      <c r="E141" s="26">
        <v>0</v>
      </c>
      <c r="F141" s="26">
        <v>0</v>
      </c>
      <c r="G141" s="26">
        <v>0</v>
      </c>
      <c r="H141" s="26">
        <v>0</v>
      </c>
      <c r="I141" s="26">
        <v>0</v>
      </c>
      <c r="J141" s="26">
        <v>0</v>
      </c>
      <c r="K141" s="26">
        <v>0</v>
      </c>
      <c r="L141" s="26">
        <v>0</v>
      </c>
      <c r="M141" s="26">
        <v>0</v>
      </c>
      <c r="N141" s="26">
        <v>0</v>
      </c>
      <c r="O141" s="26">
        <v>0</v>
      </c>
      <c r="P141" s="26">
        <v>0</v>
      </c>
      <c r="Q141" s="26">
        <v>0</v>
      </c>
      <c r="R141" s="26">
        <v>0</v>
      </c>
      <c r="S141" s="26">
        <v>0</v>
      </c>
      <c r="T141" s="26">
        <v>0</v>
      </c>
      <c r="U141" s="26">
        <v>0</v>
      </c>
      <c r="V141" s="26">
        <v>0</v>
      </c>
      <c r="W141" s="26">
        <v>0</v>
      </c>
      <c r="X141" s="26">
        <v>0</v>
      </c>
      <c r="Y141" s="26">
        <v>0</v>
      </c>
      <c r="Z141" s="26">
        <v>0</v>
      </c>
      <c r="AA141" s="26">
        <v>0</v>
      </c>
      <c r="AB141" s="26">
        <v>0</v>
      </c>
      <c r="AC141" s="26">
        <v>0</v>
      </c>
      <c r="AD141" s="26">
        <v>0</v>
      </c>
      <c r="AE141" s="26">
        <v>0</v>
      </c>
      <c r="AF141" s="26">
        <v>0</v>
      </c>
      <c r="AG141" s="26">
        <v>0</v>
      </c>
      <c r="AH141" s="26">
        <v>0</v>
      </c>
      <c r="AI141" s="26">
        <v>0</v>
      </c>
      <c r="AJ141" s="26">
        <v>0</v>
      </c>
      <c r="AK141" s="26">
        <v>0</v>
      </c>
      <c r="AL141" s="26">
        <v>0</v>
      </c>
      <c r="AM141" s="26">
        <v>0</v>
      </c>
      <c r="AN141" s="26">
        <v>0</v>
      </c>
      <c r="AO141" s="26">
        <v>0</v>
      </c>
      <c r="AP141" s="26">
        <v>0</v>
      </c>
      <c r="AQ141" s="26">
        <v>0</v>
      </c>
      <c r="AR141" s="26">
        <v>0</v>
      </c>
      <c r="AS141" s="26">
        <v>0</v>
      </c>
      <c r="AT141" s="26">
        <v>0</v>
      </c>
      <c r="AU141" s="26">
        <v>0</v>
      </c>
      <c r="AV141" s="26">
        <v>0</v>
      </c>
      <c r="AW141" s="26">
        <v>0</v>
      </c>
      <c r="AX141" s="26">
        <v>0</v>
      </c>
      <c r="AY141" s="26">
        <v>0</v>
      </c>
      <c r="AZ141" s="26">
        <v>0</v>
      </c>
      <c r="BA141" s="26">
        <v>1</v>
      </c>
      <c r="BB141" s="26">
        <v>1</v>
      </c>
      <c r="BC141" s="26">
        <v>1</v>
      </c>
      <c r="BD141" s="26">
        <v>2</v>
      </c>
      <c r="BE141" s="26">
        <v>4</v>
      </c>
      <c r="BF141">
        <v>5</v>
      </c>
      <c r="BG141">
        <v>6</v>
      </c>
      <c r="BH141">
        <v>11</v>
      </c>
      <c r="BI141">
        <v>18</v>
      </c>
      <c r="BJ141">
        <v>31</v>
      </c>
      <c r="BK141" t="s">
        <v>1429</v>
      </c>
    </row>
    <row r="142" spans="1:63" x14ac:dyDescent="0.25">
      <c r="A142" s="26" t="s">
        <v>188</v>
      </c>
      <c r="B142" s="26" t="s">
        <v>37</v>
      </c>
      <c r="C142" s="26">
        <v>44.045900000000003</v>
      </c>
      <c r="D142" s="26">
        <v>-72.710700000000003</v>
      </c>
      <c r="E142" s="26">
        <v>0</v>
      </c>
      <c r="F142" s="26">
        <v>0</v>
      </c>
      <c r="G142" s="26">
        <v>0</v>
      </c>
      <c r="H142" s="26">
        <v>0</v>
      </c>
      <c r="I142" s="26">
        <v>0</v>
      </c>
      <c r="J142" s="26">
        <v>0</v>
      </c>
      <c r="K142" s="26">
        <v>0</v>
      </c>
      <c r="L142" s="26">
        <v>0</v>
      </c>
      <c r="M142" s="26">
        <v>0</v>
      </c>
      <c r="N142" s="26">
        <v>0</v>
      </c>
      <c r="O142" s="26">
        <v>0</v>
      </c>
      <c r="P142" s="26">
        <v>0</v>
      </c>
      <c r="Q142" s="26">
        <v>0</v>
      </c>
      <c r="R142" s="26">
        <v>0</v>
      </c>
      <c r="S142" s="26">
        <v>0</v>
      </c>
      <c r="T142" s="26">
        <v>0</v>
      </c>
      <c r="U142" s="26">
        <v>0</v>
      </c>
      <c r="V142" s="26">
        <v>0</v>
      </c>
      <c r="W142" s="26">
        <v>0</v>
      </c>
      <c r="X142" s="26">
        <v>0</v>
      </c>
      <c r="Y142" s="26">
        <v>0</v>
      </c>
      <c r="Z142" s="26">
        <v>0</v>
      </c>
      <c r="AA142" s="26">
        <v>0</v>
      </c>
      <c r="AB142" s="26">
        <v>0</v>
      </c>
      <c r="AC142" s="26">
        <v>0</v>
      </c>
      <c r="AD142" s="26">
        <v>0</v>
      </c>
      <c r="AE142" s="26">
        <v>0</v>
      </c>
      <c r="AF142" s="26">
        <v>0</v>
      </c>
      <c r="AG142" s="26">
        <v>0</v>
      </c>
      <c r="AH142" s="26">
        <v>0</v>
      </c>
      <c r="AI142" s="26">
        <v>0</v>
      </c>
      <c r="AJ142" s="26">
        <v>0</v>
      </c>
      <c r="AK142" s="26">
        <v>0</v>
      </c>
      <c r="AL142" s="26">
        <v>0</v>
      </c>
      <c r="AM142" s="26">
        <v>0</v>
      </c>
      <c r="AN142" s="26">
        <v>0</v>
      </c>
      <c r="AO142" s="26">
        <v>0</v>
      </c>
      <c r="AP142" s="26">
        <v>0</v>
      </c>
      <c r="AQ142" s="26">
        <v>0</v>
      </c>
      <c r="AR142" s="26">
        <v>0</v>
      </c>
      <c r="AS142" s="26">
        <v>0</v>
      </c>
      <c r="AT142" s="26">
        <v>0</v>
      </c>
      <c r="AU142" s="26">
        <v>0</v>
      </c>
      <c r="AV142" s="26">
        <v>0</v>
      </c>
      <c r="AW142" s="26">
        <v>0</v>
      </c>
      <c r="AX142" s="26">
        <v>0</v>
      </c>
      <c r="AY142" s="26">
        <v>0</v>
      </c>
      <c r="AZ142" s="26">
        <v>0</v>
      </c>
      <c r="BA142" s="26">
        <v>1</v>
      </c>
      <c r="BB142" s="26">
        <v>1</v>
      </c>
      <c r="BC142" s="26">
        <v>2</v>
      </c>
      <c r="BD142" s="26">
        <v>2</v>
      </c>
      <c r="BE142" s="26">
        <v>5</v>
      </c>
      <c r="BF142">
        <v>8</v>
      </c>
      <c r="BG142">
        <v>12</v>
      </c>
      <c r="BH142">
        <v>12</v>
      </c>
      <c r="BI142">
        <v>18</v>
      </c>
      <c r="BJ142">
        <v>22</v>
      </c>
      <c r="BK142" t="s">
        <v>1260</v>
      </c>
    </row>
    <row r="143" spans="1:63" x14ac:dyDescent="0.25">
      <c r="A143" s="26" t="s">
        <v>189</v>
      </c>
      <c r="B143" s="26" t="s">
        <v>37</v>
      </c>
      <c r="C143" s="26">
        <v>61.370699999999999</v>
      </c>
      <c r="D143" s="26">
        <v>-152.40440000000001</v>
      </c>
      <c r="E143" s="26">
        <v>0</v>
      </c>
      <c r="F143" s="26">
        <v>0</v>
      </c>
      <c r="G143" s="26">
        <v>0</v>
      </c>
      <c r="H143" s="26">
        <v>0</v>
      </c>
      <c r="I143" s="26">
        <v>0</v>
      </c>
      <c r="J143" s="26">
        <v>0</v>
      </c>
      <c r="K143" s="26">
        <v>0</v>
      </c>
      <c r="L143" s="26">
        <v>0</v>
      </c>
      <c r="M143" s="26">
        <v>0</v>
      </c>
      <c r="N143" s="26">
        <v>0</v>
      </c>
      <c r="O143" s="26">
        <v>0</v>
      </c>
      <c r="P143" s="26">
        <v>0</v>
      </c>
      <c r="Q143" s="26">
        <v>0</v>
      </c>
      <c r="R143" s="26">
        <v>0</v>
      </c>
      <c r="S143" s="26">
        <v>0</v>
      </c>
      <c r="T143" s="26">
        <v>0</v>
      </c>
      <c r="U143" s="26">
        <v>0</v>
      </c>
      <c r="V143" s="26">
        <v>0</v>
      </c>
      <c r="W143" s="26">
        <v>0</v>
      </c>
      <c r="X143" s="26">
        <v>0</v>
      </c>
      <c r="Y143" s="26">
        <v>0</v>
      </c>
      <c r="Z143" s="26">
        <v>0</v>
      </c>
      <c r="AA143" s="26">
        <v>0</v>
      </c>
      <c r="AB143" s="26">
        <v>0</v>
      </c>
      <c r="AC143" s="26">
        <v>0</v>
      </c>
      <c r="AD143" s="26">
        <v>0</v>
      </c>
      <c r="AE143" s="26">
        <v>0</v>
      </c>
      <c r="AF143" s="26">
        <v>0</v>
      </c>
      <c r="AG143" s="26">
        <v>0</v>
      </c>
      <c r="AH143" s="26">
        <v>0</v>
      </c>
      <c r="AI143" s="26">
        <v>0</v>
      </c>
      <c r="AJ143" s="26">
        <v>0</v>
      </c>
      <c r="AK143" s="26">
        <v>0</v>
      </c>
      <c r="AL143" s="26">
        <v>0</v>
      </c>
      <c r="AM143" s="26">
        <v>0</v>
      </c>
      <c r="AN143" s="26">
        <v>0</v>
      </c>
      <c r="AO143" s="26">
        <v>0</v>
      </c>
      <c r="AP143" s="26">
        <v>0</v>
      </c>
      <c r="AQ143" s="26">
        <v>0</v>
      </c>
      <c r="AR143" s="26">
        <v>0</v>
      </c>
      <c r="AS143" s="26">
        <v>0</v>
      </c>
      <c r="AT143" s="26">
        <v>0</v>
      </c>
      <c r="AU143" s="26">
        <v>0</v>
      </c>
      <c r="AV143" s="26">
        <v>0</v>
      </c>
      <c r="AW143" s="26">
        <v>0</v>
      </c>
      <c r="AX143" s="26">
        <v>0</v>
      </c>
      <c r="AY143" s="26">
        <v>0</v>
      </c>
      <c r="AZ143" s="26">
        <v>0</v>
      </c>
      <c r="BA143" s="26">
        <v>0</v>
      </c>
      <c r="BB143" s="26">
        <v>0</v>
      </c>
      <c r="BC143" s="26">
        <v>0</v>
      </c>
      <c r="BD143" s="26">
        <v>1</v>
      </c>
      <c r="BE143" s="26">
        <v>1</v>
      </c>
      <c r="BF143">
        <v>1</v>
      </c>
      <c r="BG143">
        <v>1</v>
      </c>
      <c r="BH143">
        <v>3</v>
      </c>
      <c r="BI143">
        <v>6</v>
      </c>
      <c r="BJ143">
        <v>9</v>
      </c>
      <c r="BK143" t="s">
        <v>450</v>
      </c>
    </row>
    <row r="144" spans="1:63" x14ac:dyDescent="0.25">
      <c r="A144" s="26" t="s">
        <v>190</v>
      </c>
      <c r="B144" s="26" t="s">
        <v>37</v>
      </c>
      <c r="C144" s="26">
        <v>34.969700000000003</v>
      </c>
      <c r="D144" s="26">
        <v>-92.373099999999994</v>
      </c>
      <c r="E144" s="26">
        <v>0</v>
      </c>
      <c r="F144" s="26">
        <v>0</v>
      </c>
      <c r="G144" s="26">
        <v>0</v>
      </c>
      <c r="H144" s="26">
        <v>0</v>
      </c>
      <c r="I144" s="26">
        <v>0</v>
      </c>
      <c r="J144" s="26">
        <v>0</v>
      </c>
      <c r="K144" s="26">
        <v>0</v>
      </c>
      <c r="L144" s="26">
        <v>0</v>
      </c>
      <c r="M144" s="26">
        <v>0</v>
      </c>
      <c r="N144" s="26">
        <v>0</v>
      </c>
      <c r="O144" s="26">
        <v>0</v>
      </c>
      <c r="P144" s="26">
        <v>0</v>
      </c>
      <c r="Q144" s="26">
        <v>0</v>
      </c>
      <c r="R144" s="26">
        <v>0</v>
      </c>
      <c r="S144" s="26">
        <v>0</v>
      </c>
      <c r="T144" s="26">
        <v>0</v>
      </c>
      <c r="U144" s="26">
        <v>0</v>
      </c>
      <c r="V144" s="26">
        <v>0</v>
      </c>
      <c r="W144" s="26">
        <v>0</v>
      </c>
      <c r="X144" s="26">
        <v>0</v>
      </c>
      <c r="Y144" s="26">
        <v>0</v>
      </c>
      <c r="Z144" s="26">
        <v>0</v>
      </c>
      <c r="AA144" s="26">
        <v>0</v>
      </c>
      <c r="AB144" s="26">
        <v>0</v>
      </c>
      <c r="AC144" s="26">
        <v>0</v>
      </c>
      <c r="AD144" s="26">
        <v>0</v>
      </c>
      <c r="AE144" s="26">
        <v>0</v>
      </c>
      <c r="AF144" s="26">
        <v>0</v>
      </c>
      <c r="AG144" s="26">
        <v>0</v>
      </c>
      <c r="AH144" s="26">
        <v>0</v>
      </c>
      <c r="AI144" s="26">
        <v>0</v>
      </c>
      <c r="AJ144" s="26">
        <v>0</v>
      </c>
      <c r="AK144" s="26">
        <v>0</v>
      </c>
      <c r="AL144" s="26">
        <v>0</v>
      </c>
      <c r="AM144" s="26">
        <v>0</v>
      </c>
      <c r="AN144" s="26">
        <v>0</v>
      </c>
      <c r="AO144" s="26">
        <v>0</v>
      </c>
      <c r="AP144" s="26">
        <v>0</v>
      </c>
      <c r="AQ144" s="26">
        <v>0</v>
      </c>
      <c r="AR144" s="26">
        <v>0</v>
      </c>
      <c r="AS144" s="26">
        <v>0</v>
      </c>
      <c r="AT144" s="26">
        <v>0</v>
      </c>
      <c r="AU144" s="26">
        <v>0</v>
      </c>
      <c r="AV144" s="26">
        <v>0</v>
      </c>
      <c r="AW144" s="26">
        <v>0</v>
      </c>
      <c r="AX144" s="26">
        <v>0</v>
      </c>
      <c r="AY144" s="26">
        <v>0</v>
      </c>
      <c r="AZ144" s="26">
        <v>0</v>
      </c>
      <c r="BA144" s="26">
        <v>0</v>
      </c>
      <c r="BB144" s="26">
        <v>1</v>
      </c>
      <c r="BC144" s="26">
        <v>6</v>
      </c>
      <c r="BD144" s="26">
        <v>6</v>
      </c>
      <c r="BE144" s="26">
        <v>12</v>
      </c>
      <c r="BF144">
        <v>16</v>
      </c>
      <c r="BG144">
        <v>22</v>
      </c>
      <c r="BH144">
        <v>22</v>
      </c>
      <c r="BI144">
        <v>33</v>
      </c>
      <c r="BJ144">
        <v>62</v>
      </c>
      <c r="BK144" t="s">
        <v>1430</v>
      </c>
    </row>
    <row r="145" spans="1:63" x14ac:dyDescent="0.25">
      <c r="A145" s="26" t="s">
        <v>191</v>
      </c>
      <c r="B145" s="26" t="s">
        <v>37</v>
      </c>
      <c r="C145" s="26">
        <v>39.3185</v>
      </c>
      <c r="D145" s="26">
        <v>-75.507099999999994</v>
      </c>
      <c r="E145" s="26">
        <v>0</v>
      </c>
      <c r="F145" s="26">
        <v>0</v>
      </c>
      <c r="G145" s="26">
        <v>0</v>
      </c>
      <c r="H145" s="26">
        <v>0</v>
      </c>
      <c r="I145" s="26">
        <v>0</v>
      </c>
      <c r="J145" s="26">
        <v>0</v>
      </c>
      <c r="K145" s="26">
        <v>0</v>
      </c>
      <c r="L145" s="26">
        <v>0</v>
      </c>
      <c r="M145" s="26">
        <v>0</v>
      </c>
      <c r="N145" s="26">
        <v>0</v>
      </c>
      <c r="O145" s="26">
        <v>0</v>
      </c>
      <c r="P145" s="26">
        <v>0</v>
      </c>
      <c r="Q145" s="26">
        <v>0</v>
      </c>
      <c r="R145" s="26">
        <v>0</v>
      </c>
      <c r="S145" s="26">
        <v>0</v>
      </c>
      <c r="T145" s="26">
        <v>0</v>
      </c>
      <c r="U145" s="26">
        <v>0</v>
      </c>
      <c r="V145" s="26">
        <v>0</v>
      </c>
      <c r="W145" s="26">
        <v>0</v>
      </c>
      <c r="X145" s="26">
        <v>0</v>
      </c>
      <c r="Y145" s="26">
        <v>0</v>
      </c>
      <c r="Z145" s="26">
        <v>0</v>
      </c>
      <c r="AA145" s="26">
        <v>0</v>
      </c>
      <c r="AB145" s="26">
        <v>0</v>
      </c>
      <c r="AC145" s="26">
        <v>0</v>
      </c>
      <c r="AD145" s="26">
        <v>0</v>
      </c>
      <c r="AE145" s="26">
        <v>0</v>
      </c>
      <c r="AF145" s="26">
        <v>0</v>
      </c>
      <c r="AG145" s="26">
        <v>0</v>
      </c>
      <c r="AH145" s="26">
        <v>0</v>
      </c>
      <c r="AI145" s="26">
        <v>0</v>
      </c>
      <c r="AJ145" s="26">
        <v>0</v>
      </c>
      <c r="AK145" s="26">
        <v>0</v>
      </c>
      <c r="AL145" s="26">
        <v>0</v>
      </c>
      <c r="AM145" s="26">
        <v>0</v>
      </c>
      <c r="AN145" s="26">
        <v>0</v>
      </c>
      <c r="AO145" s="26">
        <v>0</v>
      </c>
      <c r="AP145" s="26">
        <v>0</v>
      </c>
      <c r="AQ145" s="26">
        <v>0</v>
      </c>
      <c r="AR145" s="26">
        <v>0</v>
      </c>
      <c r="AS145" s="26">
        <v>0</v>
      </c>
      <c r="AT145" s="26">
        <v>0</v>
      </c>
      <c r="AU145" s="26">
        <v>0</v>
      </c>
      <c r="AV145" s="26">
        <v>0</v>
      </c>
      <c r="AW145" s="26">
        <v>0</v>
      </c>
      <c r="AX145" s="26">
        <v>0</v>
      </c>
      <c r="AY145" s="26">
        <v>0</v>
      </c>
      <c r="AZ145" s="26">
        <v>0</v>
      </c>
      <c r="BA145" s="26">
        <v>0</v>
      </c>
      <c r="BB145" s="26">
        <v>1</v>
      </c>
      <c r="BC145" s="26">
        <v>1</v>
      </c>
      <c r="BD145" s="26">
        <v>4</v>
      </c>
      <c r="BE145" s="26">
        <v>6</v>
      </c>
      <c r="BF145">
        <v>7</v>
      </c>
      <c r="BG145">
        <v>8</v>
      </c>
      <c r="BH145">
        <v>16</v>
      </c>
      <c r="BI145">
        <v>19</v>
      </c>
      <c r="BJ145">
        <v>30</v>
      </c>
      <c r="BK145" t="s">
        <v>1256</v>
      </c>
    </row>
    <row r="146" spans="1:63" x14ac:dyDescent="0.25">
      <c r="A146" s="26" t="s">
        <v>192</v>
      </c>
      <c r="B146" s="26" t="s">
        <v>37</v>
      </c>
      <c r="C146" s="26">
        <v>44.240499999999997</v>
      </c>
      <c r="D146" s="26">
        <v>-114.47880000000001</v>
      </c>
      <c r="E146" s="26">
        <v>0</v>
      </c>
      <c r="F146" s="26">
        <v>0</v>
      </c>
      <c r="G146" s="26">
        <v>0</v>
      </c>
      <c r="H146" s="26">
        <v>0</v>
      </c>
      <c r="I146" s="26">
        <v>0</v>
      </c>
      <c r="J146" s="26">
        <v>0</v>
      </c>
      <c r="K146" s="26">
        <v>0</v>
      </c>
      <c r="L146" s="26">
        <v>0</v>
      </c>
      <c r="M146" s="26">
        <v>0</v>
      </c>
      <c r="N146" s="26">
        <v>0</v>
      </c>
      <c r="O146" s="26">
        <v>0</v>
      </c>
      <c r="P146" s="26">
        <v>0</v>
      </c>
      <c r="Q146" s="26">
        <v>0</v>
      </c>
      <c r="R146" s="26">
        <v>0</v>
      </c>
      <c r="S146" s="26">
        <v>0</v>
      </c>
      <c r="T146" s="26">
        <v>0</v>
      </c>
      <c r="U146" s="26">
        <v>0</v>
      </c>
      <c r="V146" s="26">
        <v>0</v>
      </c>
      <c r="W146" s="26">
        <v>0</v>
      </c>
      <c r="X146" s="26">
        <v>0</v>
      </c>
      <c r="Y146" s="26">
        <v>0</v>
      </c>
      <c r="Z146" s="26">
        <v>0</v>
      </c>
      <c r="AA146" s="26">
        <v>0</v>
      </c>
      <c r="AB146" s="26">
        <v>0</v>
      </c>
      <c r="AC146" s="26">
        <v>0</v>
      </c>
      <c r="AD146" s="26">
        <v>0</v>
      </c>
      <c r="AE146" s="26">
        <v>0</v>
      </c>
      <c r="AF146" s="26">
        <v>0</v>
      </c>
      <c r="AG146" s="26">
        <v>0</v>
      </c>
      <c r="AH146" s="26">
        <v>0</v>
      </c>
      <c r="AI146" s="26">
        <v>0</v>
      </c>
      <c r="AJ146" s="26">
        <v>0</v>
      </c>
      <c r="AK146" s="26">
        <v>0</v>
      </c>
      <c r="AL146" s="26">
        <v>0</v>
      </c>
      <c r="AM146" s="26">
        <v>0</v>
      </c>
      <c r="AN146" s="26">
        <v>0</v>
      </c>
      <c r="AO146" s="26">
        <v>0</v>
      </c>
      <c r="AP146" s="26">
        <v>0</v>
      </c>
      <c r="AQ146" s="26">
        <v>0</v>
      </c>
      <c r="AR146" s="26">
        <v>0</v>
      </c>
      <c r="AS146" s="26">
        <v>0</v>
      </c>
      <c r="AT146" s="26">
        <v>0</v>
      </c>
      <c r="AU146" s="26">
        <v>0</v>
      </c>
      <c r="AV146" s="26">
        <v>0</v>
      </c>
      <c r="AW146" s="26">
        <v>0</v>
      </c>
      <c r="AX146" s="26">
        <v>0</v>
      </c>
      <c r="AY146" s="26">
        <v>0</v>
      </c>
      <c r="AZ146" s="26">
        <v>0</v>
      </c>
      <c r="BA146" s="26">
        <v>0</v>
      </c>
      <c r="BB146" s="26">
        <v>0</v>
      </c>
      <c r="BC146" s="26">
        <v>0</v>
      </c>
      <c r="BD146" s="26">
        <v>1</v>
      </c>
      <c r="BE146" s="26">
        <v>2</v>
      </c>
      <c r="BF146">
        <v>5</v>
      </c>
      <c r="BG146">
        <v>5</v>
      </c>
      <c r="BH146">
        <v>8</v>
      </c>
      <c r="BI146">
        <v>9</v>
      </c>
      <c r="BJ146">
        <v>11</v>
      </c>
      <c r="BK146" t="s">
        <v>808</v>
      </c>
    </row>
    <row r="147" spans="1:63" x14ac:dyDescent="0.25">
      <c r="A147" s="26" t="s">
        <v>193</v>
      </c>
      <c r="B147" s="26" t="s">
        <v>37</v>
      </c>
      <c r="C147" s="26">
        <v>44.693899999999999</v>
      </c>
      <c r="D147" s="26">
        <v>-69.381900000000002</v>
      </c>
      <c r="E147" s="26">
        <v>0</v>
      </c>
      <c r="F147" s="26">
        <v>0</v>
      </c>
      <c r="G147" s="26">
        <v>0</v>
      </c>
      <c r="H147" s="26">
        <v>0</v>
      </c>
      <c r="I147" s="26">
        <v>0</v>
      </c>
      <c r="J147" s="26">
        <v>0</v>
      </c>
      <c r="K147" s="26">
        <v>0</v>
      </c>
      <c r="L147" s="26">
        <v>0</v>
      </c>
      <c r="M147" s="26">
        <v>0</v>
      </c>
      <c r="N147" s="26">
        <v>0</v>
      </c>
      <c r="O147" s="26">
        <v>0</v>
      </c>
      <c r="P147" s="26">
        <v>0</v>
      </c>
      <c r="Q147" s="26">
        <v>0</v>
      </c>
      <c r="R147" s="26">
        <v>0</v>
      </c>
      <c r="S147" s="26">
        <v>0</v>
      </c>
      <c r="T147" s="26">
        <v>0</v>
      </c>
      <c r="U147" s="26">
        <v>0</v>
      </c>
      <c r="V147" s="26">
        <v>0</v>
      </c>
      <c r="W147" s="26">
        <v>0</v>
      </c>
      <c r="X147" s="26">
        <v>0</v>
      </c>
      <c r="Y147" s="26">
        <v>0</v>
      </c>
      <c r="Z147" s="26">
        <v>0</v>
      </c>
      <c r="AA147" s="26">
        <v>0</v>
      </c>
      <c r="AB147" s="26">
        <v>0</v>
      </c>
      <c r="AC147" s="26">
        <v>0</v>
      </c>
      <c r="AD147" s="26">
        <v>0</v>
      </c>
      <c r="AE147" s="26">
        <v>0</v>
      </c>
      <c r="AF147" s="26">
        <v>0</v>
      </c>
      <c r="AG147" s="26">
        <v>0</v>
      </c>
      <c r="AH147" s="26">
        <v>0</v>
      </c>
      <c r="AI147" s="26">
        <v>0</v>
      </c>
      <c r="AJ147" s="26">
        <v>0</v>
      </c>
      <c r="AK147" s="26">
        <v>0</v>
      </c>
      <c r="AL147" s="26">
        <v>0</v>
      </c>
      <c r="AM147" s="26">
        <v>0</v>
      </c>
      <c r="AN147" s="26">
        <v>0</v>
      </c>
      <c r="AO147" s="26">
        <v>0</v>
      </c>
      <c r="AP147" s="26">
        <v>0</v>
      </c>
      <c r="AQ147" s="26">
        <v>0</v>
      </c>
      <c r="AR147" s="26">
        <v>0</v>
      </c>
      <c r="AS147" s="26">
        <v>0</v>
      </c>
      <c r="AT147" s="26">
        <v>0</v>
      </c>
      <c r="AU147" s="26">
        <v>0</v>
      </c>
      <c r="AV147" s="26">
        <v>0</v>
      </c>
      <c r="AW147" s="26">
        <v>0</v>
      </c>
      <c r="AX147" s="26">
        <v>0</v>
      </c>
      <c r="AY147" s="26">
        <v>0</v>
      </c>
      <c r="AZ147" s="26">
        <v>0</v>
      </c>
      <c r="BA147" s="26">
        <v>0</v>
      </c>
      <c r="BB147" s="26">
        <v>0</v>
      </c>
      <c r="BC147" s="26">
        <v>0</v>
      </c>
      <c r="BD147" s="26">
        <v>1</v>
      </c>
      <c r="BE147" s="26">
        <v>3</v>
      </c>
      <c r="BF147">
        <v>12</v>
      </c>
      <c r="BG147">
        <v>17</v>
      </c>
      <c r="BH147">
        <v>32</v>
      </c>
      <c r="BI147">
        <v>42</v>
      </c>
      <c r="BJ147">
        <v>52</v>
      </c>
      <c r="BK147" t="s">
        <v>1431</v>
      </c>
    </row>
    <row r="148" spans="1:63" x14ac:dyDescent="0.25">
      <c r="A148" s="26" t="s">
        <v>194</v>
      </c>
      <c r="B148" s="26" t="s">
        <v>37</v>
      </c>
      <c r="C148" s="26">
        <v>43.326599999999999</v>
      </c>
      <c r="D148" s="26">
        <v>-84.536100000000005</v>
      </c>
      <c r="E148" s="26">
        <v>0</v>
      </c>
      <c r="F148" s="26">
        <v>0</v>
      </c>
      <c r="G148" s="26">
        <v>0</v>
      </c>
      <c r="H148" s="26">
        <v>0</v>
      </c>
      <c r="I148" s="26">
        <v>0</v>
      </c>
      <c r="J148" s="26">
        <v>0</v>
      </c>
      <c r="K148" s="26">
        <v>0</v>
      </c>
      <c r="L148" s="26">
        <v>0</v>
      </c>
      <c r="M148" s="26">
        <v>0</v>
      </c>
      <c r="N148" s="26">
        <v>0</v>
      </c>
      <c r="O148" s="26">
        <v>0</v>
      </c>
      <c r="P148" s="26">
        <v>0</v>
      </c>
      <c r="Q148" s="26">
        <v>0</v>
      </c>
      <c r="R148" s="26">
        <v>0</v>
      </c>
      <c r="S148" s="26">
        <v>0</v>
      </c>
      <c r="T148" s="26">
        <v>0</v>
      </c>
      <c r="U148" s="26">
        <v>0</v>
      </c>
      <c r="V148" s="26">
        <v>0</v>
      </c>
      <c r="W148" s="26">
        <v>0</v>
      </c>
      <c r="X148" s="26">
        <v>0</v>
      </c>
      <c r="Y148" s="26">
        <v>0</v>
      </c>
      <c r="Z148" s="26">
        <v>0</v>
      </c>
      <c r="AA148" s="26">
        <v>0</v>
      </c>
      <c r="AB148" s="26">
        <v>0</v>
      </c>
      <c r="AC148" s="26">
        <v>0</v>
      </c>
      <c r="AD148" s="26">
        <v>0</v>
      </c>
      <c r="AE148" s="26">
        <v>0</v>
      </c>
      <c r="AF148" s="26">
        <v>0</v>
      </c>
      <c r="AG148" s="26">
        <v>0</v>
      </c>
      <c r="AH148" s="26">
        <v>0</v>
      </c>
      <c r="AI148" s="26">
        <v>0</v>
      </c>
      <c r="AJ148" s="26">
        <v>0</v>
      </c>
      <c r="AK148" s="26">
        <v>0</v>
      </c>
      <c r="AL148" s="26">
        <v>0</v>
      </c>
      <c r="AM148" s="26">
        <v>0</v>
      </c>
      <c r="AN148" s="26">
        <v>0</v>
      </c>
      <c r="AO148" s="26">
        <v>0</v>
      </c>
      <c r="AP148" s="26">
        <v>0</v>
      </c>
      <c r="AQ148" s="26">
        <v>0</v>
      </c>
      <c r="AR148" s="26">
        <v>0</v>
      </c>
      <c r="AS148" s="26">
        <v>0</v>
      </c>
      <c r="AT148" s="26">
        <v>0</v>
      </c>
      <c r="AU148" s="26">
        <v>0</v>
      </c>
      <c r="AV148" s="26">
        <v>0</v>
      </c>
      <c r="AW148" s="26">
        <v>0</v>
      </c>
      <c r="AX148" s="26">
        <v>0</v>
      </c>
      <c r="AY148" s="26">
        <v>0</v>
      </c>
      <c r="AZ148" s="26">
        <v>0</v>
      </c>
      <c r="BA148" s="26">
        <v>0</v>
      </c>
      <c r="BB148" s="26">
        <v>2</v>
      </c>
      <c r="BC148" s="26">
        <v>2</v>
      </c>
      <c r="BD148" s="26">
        <v>16</v>
      </c>
      <c r="BE148" s="26">
        <v>25</v>
      </c>
      <c r="BF148">
        <v>33</v>
      </c>
      <c r="BG148">
        <v>53</v>
      </c>
      <c r="BH148">
        <v>65</v>
      </c>
      <c r="BI148">
        <v>83</v>
      </c>
      <c r="BJ148">
        <v>334</v>
      </c>
      <c r="BK148" t="s">
        <v>1432</v>
      </c>
    </row>
    <row r="149" spans="1:63" x14ac:dyDescent="0.25">
      <c r="A149" s="26" t="s">
        <v>195</v>
      </c>
      <c r="B149" s="26" t="s">
        <v>37</v>
      </c>
      <c r="C149" s="26">
        <v>32.741599999999998</v>
      </c>
      <c r="D149" s="26">
        <v>-89.678700000000006</v>
      </c>
      <c r="E149" s="26">
        <v>0</v>
      </c>
      <c r="F149" s="26">
        <v>0</v>
      </c>
      <c r="G149" s="26">
        <v>0</v>
      </c>
      <c r="H149" s="26">
        <v>0</v>
      </c>
      <c r="I149" s="26">
        <v>0</v>
      </c>
      <c r="J149" s="26">
        <v>0</v>
      </c>
      <c r="K149" s="26">
        <v>0</v>
      </c>
      <c r="L149" s="26">
        <v>0</v>
      </c>
      <c r="M149" s="26">
        <v>0</v>
      </c>
      <c r="N149" s="26">
        <v>0</v>
      </c>
      <c r="O149" s="26">
        <v>0</v>
      </c>
      <c r="P149" s="26">
        <v>0</v>
      </c>
      <c r="Q149" s="26">
        <v>0</v>
      </c>
      <c r="R149" s="26">
        <v>0</v>
      </c>
      <c r="S149" s="26">
        <v>0</v>
      </c>
      <c r="T149" s="26">
        <v>0</v>
      </c>
      <c r="U149" s="26">
        <v>0</v>
      </c>
      <c r="V149" s="26">
        <v>0</v>
      </c>
      <c r="W149" s="26">
        <v>0</v>
      </c>
      <c r="X149" s="26">
        <v>0</v>
      </c>
      <c r="Y149" s="26">
        <v>0</v>
      </c>
      <c r="Z149" s="26">
        <v>0</v>
      </c>
      <c r="AA149" s="26">
        <v>0</v>
      </c>
      <c r="AB149" s="26">
        <v>0</v>
      </c>
      <c r="AC149" s="26">
        <v>0</v>
      </c>
      <c r="AD149" s="26">
        <v>0</v>
      </c>
      <c r="AE149" s="26">
        <v>0</v>
      </c>
      <c r="AF149" s="26">
        <v>0</v>
      </c>
      <c r="AG149" s="26">
        <v>0</v>
      </c>
      <c r="AH149" s="26">
        <v>0</v>
      </c>
      <c r="AI149" s="26">
        <v>0</v>
      </c>
      <c r="AJ149" s="26">
        <v>0</v>
      </c>
      <c r="AK149" s="26">
        <v>0</v>
      </c>
      <c r="AL149" s="26">
        <v>0</v>
      </c>
      <c r="AM149" s="26">
        <v>0</v>
      </c>
      <c r="AN149" s="26">
        <v>0</v>
      </c>
      <c r="AO149" s="26">
        <v>0</v>
      </c>
      <c r="AP149" s="26">
        <v>0</v>
      </c>
      <c r="AQ149" s="26">
        <v>0</v>
      </c>
      <c r="AR149" s="26">
        <v>0</v>
      </c>
      <c r="AS149" s="26">
        <v>0</v>
      </c>
      <c r="AT149" s="26">
        <v>0</v>
      </c>
      <c r="AU149" s="26">
        <v>0</v>
      </c>
      <c r="AV149" s="26">
        <v>0</v>
      </c>
      <c r="AW149" s="26">
        <v>0</v>
      </c>
      <c r="AX149" s="26">
        <v>0</v>
      </c>
      <c r="AY149" s="26">
        <v>0</v>
      </c>
      <c r="AZ149" s="26">
        <v>0</v>
      </c>
      <c r="BA149" s="26">
        <v>0</v>
      </c>
      <c r="BB149" s="26">
        <v>0</v>
      </c>
      <c r="BC149" s="26">
        <v>1</v>
      </c>
      <c r="BD149" s="26">
        <v>1</v>
      </c>
      <c r="BE149" s="26">
        <v>6</v>
      </c>
      <c r="BF149">
        <v>10</v>
      </c>
      <c r="BG149">
        <v>13</v>
      </c>
      <c r="BH149">
        <v>21</v>
      </c>
      <c r="BI149">
        <v>34</v>
      </c>
      <c r="BJ149">
        <v>50</v>
      </c>
      <c r="BK149" t="s">
        <v>1433</v>
      </c>
    </row>
    <row r="150" spans="1:63" x14ac:dyDescent="0.25">
      <c r="A150" s="26" t="s">
        <v>196</v>
      </c>
      <c r="B150" s="26" t="s">
        <v>37</v>
      </c>
      <c r="C150" s="26">
        <v>46.921900000000001</v>
      </c>
      <c r="D150" s="26">
        <v>-110.45440000000001</v>
      </c>
      <c r="E150" s="26">
        <v>0</v>
      </c>
      <c r="F150" s="26">
        <v>0</v>
      </c>
      <c r="G150" s="26">
        <v>0</v>
      </c>
      <c r="H150" s="26">
        <v>0</v>
      </c>
      <c r="I150" s="26">
        <v>0</v>
      </c>
      <c r="J150" s="26">
        <v>0</v>
      </c>
      <c r="K150" s="26">
        <v>0</v>
      </c>
      <c r="L150" s="26">
        <v>0</v>
      </c>
      <c r="M150" s="26">
        <v>0</v>
      </c>
      <c r="N150" s="26">
        <v>0</v>
      </c>
      <c r="O150" s="26">
        <v>0</v>
      </c>
      <c r="P150" s="26">
        <v>0</v>
      </c>
      <c r="Q150" s="26">
        <v>0</v>
      </c>
      <c r="R150" s="26">
        <v>0</v>
      </c>
      <c r="S150" s="26">
        <v>0</v>
      </c>
      <c r="T150" s="26">
        <v>0</v>
      </c>
      <c r="U150" s="26">
        <v>0</v>
      </c>
      <c r="V150" s="26">
        <v>0</v>
      </c>
      <c r="W150" s="26">
        <v>0</v>
      </c>
      <c r="X150" s="26">
        <v>0</v>
      </c>
      <c r="Y150" s="26">
        <v>0</v>
      </c>
      <c r="Z150" s="26">
        <v>0</v>
      </c>
      <c r="AA150" s="26">
        <v>0</v>
      </c>
      <c r="AB150" s="26">
        <v>0</v>
      </c>
      <c r="AC150" s="26">
        <v>0</v>
      </c>
      <c r="AD150" s="26">
        <v>0</v>
      </c>
      <c r="AE150" s="26">
        <v>0</v>
      </c>
      <c r="AF150" s="26">
        <v>0</v>
      </c>
      <c r="AG150" s="26">
        <v>0</v>
      </c>
      <c r="AH150" s="26">
        <v>0</v>
      </c>
      <c r="AI150" s="26">
        <v>0</v>
      </c>
      <c r="AJ150" s="26">
        <v>0</v>
      </c>
      <c r="AK150" s="26">
        <v>0</v>
      </c>
      <c r="AL150" s="26">
        <v>0</v>
      </c>
      <c r="AM150" s="26">
        <v>0</v>
      </c>
      <c r="AN150" s="26">
        <v>0</v>
      </c>
      <c r="AO150" s="26">
        <v>0</v>
      </c>
      <c r="AP150" s="26">
        <v>0</v>
      </c>
      <c r="AQ150" s="26">
        <v>0</v>
      </c>
      <c r="AR150" s="26">
        <v>0</v>
      </c>
      <c r="AS150" s="26">
        <v>0</v>
      </c>
      <c r="AT150" s="26">
        <v>0</v>
      </c>
      <c r="AU150" s="26">
        <v>0</v>
      </c>
      <c r="AV150" s="26">
        <v>0</v>
      </c>
      <c r="AW150" s="26">
        <v>0</v>
      </c>
      <c r="AX150" s="26">
        <v>0</v>
      </c>
      <c r="AY150" s="26">
        <v>0</v>
      </c>
      <c r="AZ150" s="26">
        <v>0</v>
      </c>
      <c r="BA150" s="26">
        <v>0</v>
      </c>
      <c r="BB150" s="26">
        <v>1</v>
      </c>
      <c r="BC150" s="26">
        <v>1</v>
      </c>
      <c r="BD150" s="26">
        <v>1</v>
      </c>
      <c r="BE150" s="26">
        <v>5</v>
      </c>
      <c r="BF150">
        <v>7</v>
      </c>
      <c r="BG150">
        <v>7</v>
      </c>
      <c r="BH150">
        <v>9</v>
      </c>
      <c r="BI150">
        <v>11</v>
      </c>
      <c r="BJ150">
        <v>11</v>
      </c>
      <c r="BK150" t="s">
        <v>1270</v>
      </c>
    </row>
    <row r="151" spans="1:63" x14ac:dyDescent="0.25">
      <c r="A151" s="26" t="s">
        <v>197</v>
      </c>
      <c r="B151" s="26" t="s">
        <v>37</v>
      </c>
      <c r="C151" s="26">
        <v>34.840499999999999</v>
      </c>
      <c r="D151" s="26">
        <v>-106.24850000000001</v>
      </c>
      <c r="E151" s="26">
        <v>0</v>
      </c>
      <c r="F151" s="26">
        <v>0</v>
      </c>
      <c r="G151" s="26">
        <v>0</v>
      </c>
      <c r="H151" s="26">
        <v>0</v>
      </c>
      <c r="I151" s="26">
        <v>0</v>
      </c>
      <c r="J151" s="26">
        <v>0</v>
      </c>
      <c r="K151" s="26">
        <v>0</v>
      </c>
      <c r="L151" s="26">
        <v>0</v>
      </c>
      <c r="M151" s="26">
        <v>0</v>
      </c>
      <c r="N151" s="26">
        <v>0</v>
      </c>
      <c r="O151" s="26">
        <v>0</v>
      </c>
      <c r="P151" s="26">
        <v>0</v>
      </c>
      <c r="Q151" s="26">
        <v>0</v>
      </c>
      <c r="R151" s="26">
        <v>0</v>
      </c>
      <c r="S151" s="26">
        <v>0</v>
      </c>
      <c r="T151" s="26">
        <v>0</v>
      </c>
      <c r="U151" s="26">
        <v>0</v>
      </c>
      <c r="V151" s="26">
        <v>0</v>
      </c>
      <c r="W151" s="26">
        <v>0</v>
      </c>
      <c r="X151" s="26">
        <v>0</v>
      </c>
      <c r="Y151" s="26">
        <v>0</v>
      </c>
      <c r="Z151" s="26">
        <v>0</v>
      </c>
      <c r="AA151" s="26">
        <v>0</v>
      </c>
      <c r="AB151" s="26">
        <v>0</v>
      </c>
      <c r="AC151" s="26">
        <v>0</v>
      </c>
      <c r="AD151" s="26">
        <v>0</v>
      </c>
      <c r="AE151" s="26">
        <v>0</v>
      </c>
      <c r="AF151" s="26">
        <v>0</v>
      </c>
      <c r="AG151" s="26">
        <v>0</v>
      </c>
      <c r="AH151" s="26">
        <v>0</v>
      </c>
      <c r="AI151" s="26">
        <v>0</v>
      </c>
      <c r="AJ151" s="26">
        <v>0</v>
      </c>
      <c r="AK151" s="26">
        <v>0</v>
      </c>
      <c r="AL151" s="26">
        <v>0</v>
      </c>
      <c r="AM151" s="26">
        <v>0</v>
      </c>
      <c r="AN151" s="26">
        <v>0</v>
      </c>
      <c r="AO151" s="26">
        <v>0</v>
      </c>
      <c r="AP151" s="26">
        <v>0</v>
      </c>
      <c r="AQ151" s="26">
        <v>0</v>
      </c>
      <c r="AR151" s="26">
        <v>0</v>
      </c>
      <c r="AS151" s="26">
        <v>0</v>
      </c>
      <c r="AT151" s="26">
        <v>0</v>
      </c>
      <c r="AU151" s="26">
        <v>0</v>
      </c>
      <c r="AV151" s="26">
        <v>0</v>
      </c>
      <c r="AW151" s="26">
        <v>0</v>
      </c>
      <c r="AX151" s="26">
        <v>0</v>
      </c>
      <c r="AY151" s="26">
        <v>0</v>
      </c>
      <c r="AZ151" s="26">
        <v>0</v>
      </c>
      <c r="BA151" s="26">
        <v>0</v>
      </c>
      <c r="BB151" s="26">
        <v>3</v>
      </c>
      <c r="BC151" s="26">
        <v>5</v>
      </c>
      <c r="BD151" s="26">
        <v>10</v>
      </c>
      <c r="BE151" s="26">
        <v>10</v>
      </c>
      <c r="BF151">
        <v>13</v>
      </c>
      <c r="BG151">
        <v>17</v>
      </c>
      <c r="BH151">
        <v>23</v>
      </c>
      <c r="BI151">
        <v>23</v>
      </c>
      <c r="BJ151">
        <v>35</v>
      </c>
      <c r="BK151" t="s">
        <v>1375</v>
      </c>
    </row>
    <row r="152" spans="1:63" x14ac:dyDescent="0.25">
      <c r="A152" s="26" t="s">
        <v>198</v>
      </c>
      <c r="B152" s="26" t="s">
        <v>37</v>
      </c>
      <c r="C152" s="26">
        <v>47.5289</v>
      </c>
      <c r="D152" s="26">
        <v>-99.784000000000006</v>
      </c>
      <c r="E152" s="26">
        <v>0</v>
      </c>
      <c r="F152" s="26">
        <v>0</v>
      </c>
      <c r="G152" s="26">
        <v>0</v>
      </c>
      <c r="H152" s="26">
        <v>0</v>
      </c>
      <c r="I152" s="26">
        <v>0</v>
      </c>
      <c r="J152" s="26">
        <v>0</v>
      </c>
      <c r="K152" s="26">
        <v>0</v>
      </c>
      <c r="L152" s="26">
        <v>0</v>
      </c>
      <c r="M152" s="26">
        <v>0</v>
      </c>
      <c r="N152" s="26">
        <v>0</v>
      </c>
      <c r="O152" s="26">
        <v>0</v>
      </c>
      <c r="P152" s="26">
        <v>0</v>
      </c>
      <c r="Q152" s="26">
        <v>0</v>
      </c>
      <c r="R152" s="26">
        <v>0</v>
      </c>
      <c r="S152" s="26">
        <v>0</v>
      </c>
      <c r="T152" s="26">
        <v>0</v>
      </c>
      <c r="U152" s="26">
        <v>0</v>
      </c>
      <c r="V152" s="26">
        <v>0</v>
      </c>
      <c r="W152" s="26">
        <v>0</v>
      </c>
      <c r="X152" s="26">
        <v>0</v>
      </c>
      <c r="Y152" s="26">
        <v>0</v>
      </c>
      <c r="Z152" s="26">
        <v>0</v>
      </c>
      <c r="AA152" s="26">
        <v>0</v>
      </c>
      <c r="AB152" s="26">
        <v>0</v>
      </c>
      <c r="AC152" s="26">
        <v>0</v>
      </c>
      <c r="AD152" s="26">
        <v>0</v>
      </c>
      <c r="AE152" s="26">
        <v>0</v>
      </c>
      <c r="AF152" s="26">
        <v>0</v>
      </c>
      <c r="AG152" s="26">
        <v>0</v>
      </c>
      <c r="AH152" s="26">
        <v>0</v>
      </c>
      <c r="AI152" s="26">
        <v>0</v>
      </c>
      <c r="AJ152" s="26">
        <v>0</v>
      </c>
      <c r="AK152" s="26">
        <v>0</v>
      </c>
      <c r="AL152" s="26">
        <v>0</v>
      </c>
      <c r="AM152" s="26">
        <v>0</v>
      </c>
      <c r="AN152" s="26">
        <v>0</v>
      </c>
      <c r="AO152" s="26">
        <v>0</v>
      </c>
      <c r="AP152" s="26">
        <v>0</v>
      </c>
      <c r="AQ152" s="26">
        <v>0</v>
      </c>
      <c r="AR152" s="26">
        <v>0</v>
      </c>
      <c r="AS152" s="26">
        <v>0</v>
      </c>
      <c r="AT152" s="26">
        <v>0</v>
      </c>
      <c r="AU152" s="26">
        <v>0</v>
      </c>
      <c r="AV152" s="26">
        <v>0</v>
      </c>
      <c r="AW152" s="26">
        <v>0</v>
      </c>
      <c r="AX152" s="26">
        <v>0</v>
      </c>
      <c r="AY152" s="26">
        <v>0</v>
      </c>
      <c r="AZ152" s="26">
        <v>0</v>
      </c>
      <c r="BA152" s="26">
        <v>0</v>
      </c>
      <c r="BB152" s="26">
        <v>0</v>
      </c>
      <c r="BC152" s="26">
        <v>1</v>
      </c>
      <c r="BD152" s="26">
        <v>1</v>
      </c>
      <c r="BE152" s="26">
        <v>1</v>
      </c>
      <c r="BF152">
        <v>1</v>
      </c>
      <c r="BG152">
        <v>1</v>
      </c>
      <c r="BH152">
        <v>3</v>
      </c>
      <c r="BI152">
        <v>6</v>
      </c>
      <c r="BJ152">
        <v>18</v>
      </c>
      <c r="BK152" t="s">
        <v>1262</v>
      </c>
    </row>
    <row r="153" spans="1:63" x14ac:dyDescent="0.25">
      <c r="A153" s="26" t="s">
        <v>199</v>
      </c>
      <c r="B153" s="26" t="s">
        <v>37</v>
      </c>
      <c r="C153" s="26">
        <v>44.299799999999998</v>
      </c>
      <c r="D153" s="26">
        <v>-99.438800000000001</v>
      </c>
      <c r="E153" s="26">
        <v>0</v>
      </c>
      <c r="F153" s="26">
        <v>0</v>
      </c>
      <c r="G153" s="26">
        <v>0</v>
      </c>
      <c r="H153" s="26">
        <v>0</v>
      </c>
      <c r="I153" s="26">
        <v>0</v>
      </c>
      <c r="J153" s="26">
        <v>0</v>
      </c>
      <c r="K153" s="26">
        <v>0</v>
      </c>
      <c r="L153" s="26">
        <v>0</v>
      </c>
      <c r="M153" s="26">
        <v>0</v>
      </c>
      <c r="N153" s="26">
        <v>0</v>
      </c>
      <c r="O153" s="26">
        <v>0</v>
      </c>
      <c r="P153" s="26">
        <v>0</v>
      </c>
      <c r="Q153" s="26">
        <v>0</v>
      </c>
      <c r="R153" s="26">
        <v>0</v>
      </c>
      <c r="S153" s="26">
        <v>0</v>
      </c>
      <c r="T153" s="26">
        <v>0</v>
      </c>
      <c r="U153" s="26">
        <v>0</v>
      </c>
      <c r="V153" s="26">
        <v>0</v>
      </c>
      <c r="W153" s="26">
        <v>0</v>
      </c>
      <c r="X153" s="26">
        <v>0</v>
      </c>
      <c r="Y153" s="26">
        <v>0</v>
      </c>
      <c r="Z153" s="26">
        <v>0</v>
      </c>
      <c r="AA153" s="26">
        <v>0</v>
      </c>
      <c r="AB153" s="26">
        <v>0</v>
      </c>
      <c r="AC153" s="26">
        <v>0</v>
      </c>
      <c r="AD153" s="26">
        <v>0</v>
      </c>
      <c r="AE153" s="26">
        <v>0</v>
      </c>
      <c r="AF153" s="26">
        <v>0</v>
      </c>
      <c r="AG153" s="26">
        <v>0</v>
      </c>
      <c r="AH153" s="26">
        <v>0</v>
      </c>
      <c r="AI153" s="26">
        <v>0</v>
      </c>
      <c r="AJ153" s="26">
        <v>0</v>
      </c>
      <c r="AK153" s="26">
        <v>0</v>
      </c>
      <c r="AL153" s="26">
        <v>0</v>
      </c>
      <c r="AM153" s="26">
        <v>0</v>
      </c>
      <c r="AN153" s="26">
        <v>0</v>
      </c>
      <c r="AO153" s="26">
        <v>0</v>
      </c>
      <c r="AP153" s="26">
        <v>0</v>
      </c>
      <c r="AQ153" s="26">
        <v>0</v>
      </c>
      <c r="AR153" s="26">
        <v>0</v>
      </c>
      <c r="AS153" s="26">
        <v>0</v>
      </c>
      <c r="AT153" s="26">
        <v>0</v>
      </c>
      <c r="AU153" s="26">
        <v>0</v>
      </c>
      <c r="AV153" s="26">
        <v>0</v>
      </c>
      <c r="AW153" s="26">
        <v>0</v>
      </c>
      <c r="AX153" s="26">
        <v>0</v>
      </c>
      <c r="AY153" s="26">
        <v>0</v>
      </c>
      <c r="AZ153" s="26">
        <v>0</v>
      </c>
      <c r="BA153" s="26">
        <v>0</v>
      </c>
      <c r="BB153" s="26">
        <v>8</v>
      </c>
      <c r="BC153" s="26">
        <v>8</v>
      </c>
      <c r="BD153" s="26">
        <v>8</v>
      </c>
      <c r="BE153" s="26">
        <v>9</v>
      </c>
      <c r="BF153">
        <v>9</v>
      </c>
      <c r="BG153">
        <v>10</v>
      </c>
      <c r="BH153">
        <v>11</v>
      </c>
      <c r="BI153">
        <v>11</v>
      </c>
      <c r="BJ153">
        <v>11</v>
      </c>
      <c r="BK153" t="s">
        <v>456</v>
      </c>
    </row>
    <row r="154" spans="1:63" x14ac:dyDescent="0.25">
      <c r="A154" s="26" t="s">
        <v>200</v>
      </c>
      <c r="B154" s="26" t="s">
        <v>37</v>
      </c>
      <c r="C154" s="26">
        <v>38.491199999999999</v>
      </c>
      <c r="D154" s="26">
        <v>-80.954499999999996</v>
      </c>
      <c r="E154" s="26">
        <v>0</v>
      </c>
      <c r="F154" s="26">
        <v>0</v>
      </c>
      <c r="G154" s="26">
        <v>0</v>
      </c>
      <c r="H154" s="26">
        <v>0</v>
      </c>
      <c r="I154" s="26">
        <v>0</v>
      </c>
      <c r="J154" s="26">
        <v>0</v>
      </c>
      <c r="K154" s="26">
        <v>0</v>
      </c>
      <c r="L154" s="26">
        <v>0</v>
      </c>
      <c r="M154" s="26">
        <v>0</v>
      </c>
      <c r="N154" s="26">
        <v>0</v>
      </c>
      <c r="O154" s="26">
        <v>0</v>
      </c>
      <c r="P154" s="26">
        <v>0</v>
      </c>
      <c r="Q154" s="26">
        <v>0</v>
      </c>
      <c r="R154" s="26">
        <v>0</v>
      </c>
      <c r="S154" s="26">
        <v>0</v>
      </c>
      <c r="T154" s="26">
        <v>0</v>
      </c>
      <c r="U154" s="26">
        <v>0</v>
      </c>
      <c r="V154" s="26">
        <v>0</v>
      </c>
      <c r="W154" s="26">
        <v>0</v>
      </c>
      <c r="X154" s="26">
        <v>0</v>
      </c>
      <c r="Y154" s="26">
        <v>0</v>
      </c>
      <c r="Z154" s="26">
        <v>0</v>
      </c>
      <c r="AA154" s="26">
        <v>0</v>
      </c>
      <c r="AB154" s="26">
        <v>0</v>
      </c>
      <c r="AC154" s="26">
        <v>0</v>
      </c>
      <c r="AD154" s="26">
        <v>0</v>
      </c>
      <c r="AE154" s="26">
        <v>0</v>
      </c>
      <c r="AF154" s="26">
        <v>0</v>
      </c>
      <c r="AG154" s="26">
        <v>0</v>
      </c>
      <c r="AH154" s="26">
        <v>0</v>
      </c>
      <c r="AI154" s="26">
        <v>0</v>
      </c>
      <c r="AJ154" s="26">
        <v>0</v>
      </c>
      <c r="AK154" s="26">
        <v>0</v>
      </c>
      <c r="AL154" s="26">
        <v>0</v>
      </c>
      <c r="AM154" s="26">
        <v>0</v>
      </c>
      <c r="AN154" s="26">
        <v>0</v>
      </c>
      <c r="AO154" s="26">
        <v>0</v>
      </c>
      <c r="AP154" s="26">
        <v>0</v>
      </c>
      <c r="AQ154" s="26">
        <v>0</v>
      </c>
      <c r="AR154" s="26">
        <v>0</v>
      </c>
      <c r="AS154" s="26">
        <v>0</v>
      </c>
      <c r="AT154" s="26">
        <v>0</v>
      </c>
      <c r="AU154" s="26">
        <v>0</v>
      </c>
      <c r="AV154" s="26">
        <v>0</v>
      </c>
      <c r="AW154" s="26">
        <v>0</v>
      </c>
      <c r="AX154" s="26">
        <v>0</v>
      </c>
      <c r="AY154" s="26">
        <v>0</v>
      </c>
      <c r="AZ154" s="26">
        <v>0</v>
      </c>
      <c r="BA154" s="26">
        <v>0</v>
      </c>
      <c r="BB154" s="26">
        <v>0</v>
      </c>
      <c r="BC154" s="26">
        <v>0</v>
      </c>
      <c r="BD154" s="26">
        <v>0</v>
      </c>
      <c r="BE154" s="26">
        <v>0</v>
      </c>
      <c r="BF154">
        <v>0</v>
      </c>
      <c r="BG154">
        <v>0</v>
      </c>
      <c r="BH154">
        <v>1</v>
      </c>
      <c r="BI154">
        <v>1</v>
      </c>
      <c r="BJ154">
        <v>2</v>
      </c>
      <c r="BK154" t="s">
        <v>447</v>
      </c>
    </row>
    <row r="155" spans="1:63" x14ac:dyDescent="0.25">
      <c r="A155" s="26" t="s">
        <v>201</v>
      </c>
      <c r="B155" s="26" t="s">
        <v>37</v>
      </c>
      <c r="C155" s="26">
        <v>42.756</v>
      </c>
      <c r="D155" s="26">
        <v>-107.30249999999999</v>
      </c>
      <c r="E155" s="26">
        <v>0</v>
      </c>
      <c r="F155" s="26">
        <v>0</v>
      </c>
      <c r="G155" s="26">
        <v>0</v>
      </c>
      <c r="H155" s="26">
        <v>0</v>
      </c>
      <c r="I155" s="26">
        <v>0</v>
      </c>
      <c r="J155" s="26">
        <v>0</v>
      </c>
      <c r="K155" s="26">
        <v>0</v>
      </c>
      <c r="L155" s="26">
        <v>0</v>
      </c>
      <c r="M155" s="26">
        <v>0</v>
      </c>
      <c r="N155" s="26">
        <v>0</v>
      </c>
      <c r="O155" s="26">
        <v>0</v>
      </c>
      <c r="P155" s="26">
        <v>0</v>
      </c>
      <c r="Q155" s="26">
        <v>0</v>
      </c>
      <c r="R155" s="26">
        <v>0</v>
      </c>
      <c r="S155" s="26">
        <v>0</v>
      </c>
      <c r="T155" s="26">
        <v>0</v>
      </c>
      <c r="U155" s="26">
        <v>0</v>
      </c>
      <c r="V155" s="26">
        <v>0</v>
      </c>
      <c r="W155" s="26">
        <v>0</v>
      </c>
      <c r="X155" s="26">
        <v>0</v>
      </c>
      <c r="Y155" s="26">
        <v>0</v>
      </c>
      <c r="Z155" s="26">
        <v>0</v>
      </c>
      <c r="AA155" s="26">
        <v>0</v>
      </c>
      <c r="AB155" s="26">
        <v>0</v>
      </c>
      <c r="AC155" s="26">
        <v>0</v>
      </c>
      <c r="AD155" s="26">
        <v>0</v>
      </c>
      <c r="AE155" s="26">
        <v>0</v>
      </c>
      <c r="AF155" s="26">
        <v>0</v>
      </c>
      <c r="AG155" s="26">
        <v>0</v>
      </c>
      <c r="AH155" s="26">
        <v>0</v>
      </c>
      <c r="AI155" s="26">
        <v>0</v>
      </c>
      <c r="AJ155" s="26">
        <v>0</v>
      </c>
      <c r="AK155" s="26">
        <v>0</v>
      </c>
      <c r="AL155" s="26">
        <v>0</v>
      </c>
      <c r="AM155" s="26">
        <v>0</v>
      </c>
      <c r="AN155" s="26">
        <v>0</v>
      </c>
      <c r="AO155" s="26">
        <v>0</v>
      </c>
      <c r="AP155" s="26">
        <v>0</v>
      </c>
      <c r="AQ155" s="26">
        <v>0</v>
      </c>
      <c r="AR155" s="26">
        <v>0</v>
      </c>
      <c r="AS155" s="26">
        <v>0</v>
      </c>
      <c r="AT155" s="26">
        <v>0</v>
      </c>
      <c r="AU155" s="26">
        <v>0</v>
      </c>
      <c r="AV155" s="26">
        <v>0</v>
      </c>
      <c r="AW155" s="26">
        <v>0</v>
      </c>
      <c r="AX155" s="26">
        <v>0</v>
      </c>
      <c r="AY155" s="26">
        <v>0</v>
      </c>
      <c r="AZ155" s="26">
        <v>0</v>
      </c>
      <c r="BA155" s="26">
        <v>0</v>
      </c>
      <c r="BB155" s="26">
        <v>0</v>
      </c>
      <c r="BC155" s="26">
        <v>1</v>
      </c>
      <c r="BD155" s="26">
        <v>1</v>
      </c>
      <c r="BE155" s="26">
        <v>2</v>
      </c>
      <c r="BF155">
        <v>3</v>
      </c>
      <c r="BG155">
        <v>3</v>
      </c>
      <c r="BH155">
        <v>11</v>
      </c>
      <c r="BI155">
        <v>15</v>
      </c>
      <c r="BJ155">
        <v>18</v>
      </c>
      <c r="BK155" t="s">
        <v>1262</v>
      </c>
    </row>
    <row r="156" spans="1:63" x14ac:dyDescent="0.25">
      <c r="A156" s="26" t="s">
        <v>16</v>
      </c>
      <c r="B156" s="26" t="s">
        <v>225</v>
      </c>
      <c r="C156" s="26">
        <v>30.9756</v>
      </c>
      <c r="D156" s="26">
        <v>112.27070000000001</v>
      </c>
      <c r="E156" s="26">
        <v>444</v>
      </c>
      <c r="F156" s="26">
        <v>444</v>
      </c>
      <c r="G156" s="26">
        <v>549</v>
      </c>
      <c r="H156" s="26">
        <v>761</v>
      </c>
      <c r="I156" s="26">
        <v>1058</v>
      </c>
      <c r="J156" s="26">
        <v>1423</v>
      </c>
      <c r="K156" s="26">
        <v>3554</v>
      </c>
      <c r="L156" s="26">
        <v>3554</v>
      </c>
      <c r="M156" s="26">
        <v>4903</v>
      </c>
      <c r="N156" s="26">
        <v>5806</v>
      </c>
      <c r="O156" s="26">
        <v>7153</v>
      </c>
      <c r="P156" s="26">
        <v>11177</v>
      </c>
      <c r="Q156" s="26">
        <v>13522</v>
      </c>
      <c r="R156" s="26">
        <v>16678</v>
      </c>
      <c r="S156" s="26">
        <v>19665</v>
      </c>
      <c r="T156" s="26">
        <v>22112</v>
      </c>
      <c r="U156" s="26">
        <v>24953</v>
      </c>
      <c r="V156" s="26">
        <v>27100</v>
      </c>
      <c r="W156" s="26">
        <v>29631</v>
      </c>
      <c r="X156" s="26">
        <v>31728</v>
      </c>
      <c r="Y156" s="26">
        <v>33366</v>
      </c>
      <c r="Z156" s="26">
        <v>33366</v>
      </c>
      <c r="AA156" s="26">
        <v>48206</v>
      </c>
      <c r="AB156" s="26">
        <v>54406</v>
      </c>
      <c r="AC156" s="26">
        <v>56249</v>
      </c>
      <c r="AD156" s="26">
        <v>58182</v>
      </c>
      <c r="AE156" s="26">
        <v>59989</v>
      </c>
      <c r="AF156" s="26">
        <v>61682</v>
      </c>
      <c r="AG156" s="26">
        <v>62031</v>
      </c>
      <c r="AH156" s="26">
        <v>62442</v>
      </c>
      <c r="AI156" s="26">
        <v>62662</v>
      </c>
      <c r="AJ156" s="26">
        <v>64084</v>
      </c>
      <c r="AK156" s="26">
        <v>64084</v>
      </c>
      <c r="AL156" s="26">
        <v>64287</v>
      </c>
      <c r="AM156" s="26">
        <v>64786</v>
      </c>
      <c r="AN156" s="26">
        <v>65187</v>
      </c>
      <c r="AO156" s="26">
        <v>65596</v>
      </c>
      <c r="AP156" s="26">
        <v>65914</v>
      </c>
      <c r="AQ156" s="26">
        <v>66337</v>
      </c>
      <c r="AR156" s="26">
        <v>66907</v>
      </c>
      <c r="AS156" s="26">
        <v>67103</v>
      </c>
      <c r="AT156" s="26">
        <v>67217</v>
      </c>
      <c r="AU156" s="26">
        <v>67332</v>
      </c>
      <c r="AV156" s="26">
        <v>67466</v>
      </c>
      <c r="AW156" s="26">
        <v>67592</v>
      </c>
      <c r="AX156" s="26">
        <v>67666</v>
      </c>
      <c r="AY156" s="26">
        <v>67707</v>
      </c>
      <c r="AZ156" s="26">
        <v>67743</v>
      </c>
      <c r="BA156" s="26">
        <v>67760</v>
      </c>
      <c r="BB156" s="26">
        <v>67773</v>
      </c>
      <c r="BC156" s="26">
        <v>67781</v>
      </c>
      <c r="BD156" s="26">
        <v>67786</v>
      </c>
      <c r="BE156" s="26">
        <v>67790</v>
      </c>
      <c r="BF156">
        <v>67794</v>
      </c>
      <c r="BG156">
        <v>67798</v>
      </c>
      <c r="BH156">
        <v>67799</v>
      </c>
      <c r="BI156">
        <v>67800</v>
      </c>
      <c r="BJ156">
        <v>67800</v>
      </c>
      <c r="BK156" t="s">
        <v>1271</v>
      </c>
    </row>
    <row r="157" spans="1:63" x14ac:dyDescent="0.25">
      <c r="A157" s="26"/>
      <c r="B157" s="26" t="s">
        <v>65</v>
      </c>
      <c r="C157" s="26">
        <v>32</v>
      </c>
      <c r="D157" s="26">
        <v>53</v>
      </c>
      <c r="E157" s="26">
        <v>0</v>
      </c>
      <c r="F157" s="26">
        <v>0</v>
      </c>
      <c r="G157" s="26">
        <v>0</v>
      </c>
      <c r="H157" s="26">
        <v>0</v>
      </c>
      <c r="I157" s="26">
        <v>0</v>
      </c>
      <c r="J157" s="26">
        <v>0</v>
      </c>
      <c r="K157" s="26">
        <v>0</v>
      </c>
      <c r="L157" s="26">
        <v>0</v>
      </c>
      <c r="M157" s="26">
        <v>0</v>
      </c>
      <c r="N157" s="26">
        <v>0</v>
      </c>
      <c r="O157" s="26">
        <v>0</v>
      </c>
      <c r="P157" s="26">
        <v>0</v>
      </c>
      <c r="Q157" s="26">
        <v>0</v>
      </c>
      <c r="R157" s="26">
        <v>0</v>
      </c>
      <c r="S157" s="26">
        <v>0</v>
      </c>
      <c r="T157" s="26">
        <v>0</v>
      </c>
      <c r="U157" s="26">
        <v>0</v>
      </c>
      <c r="V157" s="26">
        <v>0</v>
      </c>
      <c r="W157" s="26">
        <v>0</v>
      </c>
      <c r="X157" s="26">
        <v>0</v>
      </c>
      <c r="Y157" s="26">
        <v>0</v>
      </c>
      <c r="Z157" s="26">
        <v>0</v>
      </c>
      <c r="AA157" s="26">
        <v>0</v>
      </c>
      <c r="AB157" s="26">
        <v>0</v>
      </c>
      <c r="AC157" s="26">
        <v>0</v>
      </c>
      <c r="AD157" s="26">
        <v>0</v>
      </c>
      <c r="AE157" s="26">
        <v>0</v>
      </c>
      <c r="AF157" s="26">
        <v>0</v>
      </c>
      <c r="AG157" s="26">
        <v>2</v>
      </c>
      <c r="AH157" s="26">
        <v>5</v>
      </c>
      <c r="AI157" s="26">
        <v>18</v>
      </c>
      <c r="AJ157" s="26">
        <v>28</v>
      </c>
      <c r="AK157" s="26">
        <v>43</v>
      </c>
      <c r="AL157" s="26">
        <v>61</v>
      </c>
      <c r="AM157" s="26">
        <v>95</v>
      </c>
      <c r="AN157" s="26">
        <v>139</v>
      </c>
      <c r="AO157" s="26">
        <v>245</v>
      </c>
      <c r="AP157" s="26">
        <v>388</v>
      </c>
      <c r="AQ157" s="26">
        <v>593</v>
      </c>
      <c r="AR157" s="26">
        <v>978</v>
      </c>
      <c r="AS157" s="26">
        <v>1501</v>
      </c>
      <c r="AT157" s="26">
        <v>2336</v>
      </c>
      <c r="AU157" s="26">
        <v>2922</v>
      </c>
      <c r="AV157" s="26">
        <v>3513</v>
      </c>
      <c r="AW157" s="26">
        <v>4747</v>
      </c>
      <c r="AX157" s="26">
        <v>5823</v>
      </c>
      <c r="AY157" s="26">
        <v>6566</v>
      </c>
      <c r="AZ157" s="26">
        <v>7161</v>
      </c>
      <c r="BA157" s="26">
        <v>8042</v>
      </c>
      <c r="BB157" s="26">
        <v>9000</v>
      </c>
      <c r="BC157" s="26">
        <v>10075</v>
      </c>
      <c r="BD157" s="26">
        <v>11364</v>
      </c>
      <c r="BE157" s="26">
        <v>12729</v>
      </c>
      <c r="BF157">
        <v>13938</v>
      </c>
      <c r="BG157">
        <v>14991</v>
      </c>
      <c r="BH157">
        <v>16169</v>
      </c>
      <c r="BI157">
        <v>17361</v>
      </c>
      <c r="BJ157">
        <v>18407</v>
      </c>
      <c r="BK157" t="s">
        <v>1434</v>
      </c>
    </row>
    <row r="158" spans="1:63" x14ac:dyDescent="0.25">
      <c r="A158" s="26"/>
      <c r="B158" s="26" t="s">
        <v>246</v>
      </c>
      <c r="C158" s="26">
        <v>36</v>
      </c>
      <c r="D158" s="26">
        <v>128</v>
      </c>
      <c r="E158" s="26">
        <v>1</v>
      </c>
      <c r="F158" s="26">
        <v>1</v>
      </c>
      <c r="G158" s="26">
        <v>2</v>
      </c>
      <c r="H158" s="26">
        <v>2</v>
      </c>
      <c r="I158" s="26">
        <v>3</v>
      </c>
      <c r="J158" s="26">
        <v>4</v>
      </c>
      <c r="K158" s="26">
        <v>4</v>
      </c>
      <c r="L158" s="26">
        <v>4</v>
      </c>
      <c r="M158" s="26">
        <v>4</v>
      </c>
      <c r="N158" s="26">
        <v>11</v>
      </c>
      <c r="O158" s="26">
        <v>12</v>
      </c>
      <c r="P158" s="26">
        <v>15</v>
      </c>
      <c r="Q158" s="26">
        <v>15</v>
      </c>
      <c r="R158" s="26">
        <v>16</v>
      </c>
      <c r="S158" s="26">
        <v>19</v>
      </c>
      <c r="T158" s="26">
        <v>23</v>
      </c>
      <c r="U158" s="26">
        <v>24</v>
      </c>
      <c r="V158" s="26">
        <v>24</v>
      </c>
      <c r="W158" s="26">
        <v>25</v>
      </c>
      <c r="X158" s="26">
        <v>27</v>
      </c>
      <c r="Y158" s="26">
        <v>28</v>
      </c>
      <c r="Z158" s="26">
        <v>28</v>
      </c>
      <c r="AA158" s="26">
        <v>28</v>
      </c>
      <c r="AB158" s="26">
        <v>28</v>
      </c>
      <c r="AC158" s="26">
        <v>28</v>
      </c>
      <c r="AD158" s="26">
        <v>29</v>
      </c>
      <c r="AE158" s="26">
        <v>30</v>
      </c>
      <c r="AF158" s="26">
        <v>31</v>
      </c>
      <c r="AG158" s="26">
        <v>31</v>
      </c>
      <c r="AH158" s="26">
        <v>104</v>
      </c>
      <c r="AI158" s="26">
        <v>204</v>
      </c>
      <c r="AJ158" s="26">
        <v>433</v>
      </c>
      <c r="AK158" s="26">
        <v>602</v>
      </c>
      <c r="AL158" s="26">
        <v>833</v>
      </c>
      <c r="AM158" s="26">
        <v>977</v>
      </c>
      <c r="AN158" s="26">
        <v>1261</v>
      </c>
      <c r="AO158" s="26">
        <v>1766</v>
      </c>
      <c r="AP158" s="26">
        <v>2337</v>
      </c>
      <c r="AQ158" s="26">
        <v>3150</v>
      </c>
      <c r="AR158" s="26">
        <v>3736</v>
      </c>
      <c r="AS158" s="26">
        <v>4335</v>
      </c>
      <c r="AT158" s="26">
        <v>5186</v>
      </c>
      <c r="AU158" s="26">
        <v>5621</v>
      </c>
      <c r="AV158" s="26">
        <v>6088</v>
      </c>
      <c r="AW158" s="26">
        <v>6593</v>
      </c>
      <c r="AX158" s="26">
        <v>7041</v>
      </c>
      <c r="AY158" s="26">
        <v>7314</v>
      </c>
      <c r="AZ158" s="26">
        <v>7478</v>
      </c>
      <c r="BA158" s="26">
        <v>7513</v>
      </c>
      <c r="BB158" s="26">
        <v>7755</v>
      </c>
      <c r="BC158" s="26">
        <v>7869</v>
      </c>
      <c r="BD158" s="26">
        <v>7979</v>
      </c>
      <c r="BE158" s="26">
        <v>8086</v>
      </c>
      <c r="BF158">
        <v>8162</v>
      </c>
      <c r="BG158">
        <v>8236</v>
      </c>
      <c r="BH158">
        <v>8320</v>
      </c>
      <c r="BI158">
        <v>8413</v>
      </c>
      <c r="BJ158">
        <v>8565</v>
      </c>
      <c r="BK158" t="s">
        <v>1435</v>
      </c>
    </row>
    <row r="159" spans="1:63" x14ac:dyDescent="0.25">
      <c r="A159" s="26" t="s">
        <v>42</v>
      </c>
      <c r="B159" s="26" t="s">
        <v>42</v>
      </c>
      <c r="C159" s="26">
        <v>46.227600000000002</v>
      </c>
      <c r="D159" s="26">
        <v>2.2136999999999998</v>
      </c>
      <c r="E159" s="26">
        <v>0</v>
      </c>
      <c r="F159" s="26">
        <v>0</v>
      </c>
      <c r="G159" s="26">
        <v>2</v>
      </c>
      <c r="H159" s="26">
        <v>3</v>
      </c>
      <c r="I159" s="26">
        <v>3</v>
      </c>
      <c r="J159" s="26">
        <v>3</v>
      </c>
      <c r="K159" s="26">
        <v>4</v>
      </c>
      <c r="L159" s="26">
        <v>5</v>
      </c>
      <c r="M159" s="26">
        <v>5</v>
      </c>
      <c r="N159" s="26">
        <v>5</v>
      </c>
      <c r="O159" s="26">
        <v>6</v>
      </c>
      <c r="P159" s="26">
        <v>6</v>
      </c>
      <c r="Q159" s="26">
        <v>6</v>
      </c>
      <c r="R159" s="26">
        <v>6</v>
      </c>
      <c r="S159" s="26">
        <v>6</v>
      </c>
      <c r="T159" s="26">
        <v>6</v>
      </c>
      <c r="U159" s="26">
        <v>6</v>
      </c>
      <c r="V159" s="26">
        <v>11</v>
      </c>
      <c r="W159" s="26">
        <v>11</v>
      </c>
      <c r="X159" s="26">
        <v>11</v>
      </c>
      <c r="Y159" s="26">
        <v>11</v>
      </c>
      <c r="Z159" s="26">
        <v>11</v>
      </c>
      <c r="AA159" s="26">
        <v>11</v>
      </c>
      <c r="AB159" s="26">
        <v>11</v>
      </c>
      <c r="AC159" s="26">
        <v>12</v>
      </c>
      <c r="AD159" s="26">
        <v>12</v>
      </c>
      <c r="AE159" s="26">
        <v>12</v>
      </c>
      <c r="AF159" s="26">
        <v>12</v>
      </c>
      <c r="AG159" s="26">
        <v>12</v>
      </c>
      <c r="AH159" s="26">
        <v>12</v>
      </c>
      <c r="AI159" s="26">
        <v>12</v>
      </c>
      <c r="AJ159" s="26">
        <v>12</v>
      </c>
      <c r="AK159" s="26">
        <v>12</v>
      </c>
      <c r="AL159" s="26">
        <v>12</v>
      </c>
      <c r="AM159" s="26">
        <v>14</v>
      </c>
      <c r="AN159" s="26">
        <v>18</v>
      </c>
      <c r="AO159" s="26">
        <v>38</v>
      </c>
      <c r="AP159" s="26">
        <v>57</v>
      </c>
      <c r="AQ159" s="26">
        <v>100</v>
      </c>
      <c r="AR159" s="26">
        <v>130</v>
      </c>
      <c r="AS159" s="26">
        <v>191</v>
      </c>
      <c r="AT159" s="26">
        <v>204</v>
      </c>
      <c r="AU159" s="26">
        <v>285</v>
      </c>
      <c r="AV159" s="26">
        <v>377</v>
      </c>
      <c r="AW159" s="26">
        <v>653</v>
      </c>
      <c r="AX159" s="26">
        <v>949</v>
      </c>
      <c r="AY159" s="26">
        <v>1126</v>
      </c>
      <c r="AZ159" s="26">
        <v>1209</v>
      </c>
      <c r="BA159" s="26">
        <v>1784</v>
      </c>
      <c r="BB159" s="26">
        <v>2281</v>
      </c>
      <c r="BC159" s="26">
        <v>2281</v>
      </c>
      <c r="BD159" s="26">
        <v>3661</v>
      </c>
      <c r="BE159" s="26">
        <v>4469</v>
      </c>
      <c r="BF159">
        <v>4499</v>
      </c>
      <c r="BG159">
        <v>6633</v>
      </c>
      <c r="BH159">
        <v>7652</v>
      </c>
      <c r="BI159">
        <v>9043</v>
      </c>
      <c r="BJ159">
        <v>10871</v>
      </c>
      <c r="BK159" t="s">
        <v>1436</v>
      </c>
    </row>
    <row r="160" spans="1:63" x14ac:dyDescent="0.25">
      <c r="A160" s="26" t="s">
        <v>9</v>
      </c>
      <c r="B160" s="26" t="s">
        <v>225</v>
      </c>
      <c r="C160" s="26">
        <v>23.341699999999999</v>
      </c>
      <c r="D160" s="26">
        <v>113.42440000000001</v>
      </c>
      <c r="E160" s="26">
        <v>26</v>
      </c>
      <c r="F160" s="26">
        <v>32</v>
      </c>
      <c r="G160" s="26">
        <v>53</v>
      </c>
      <c r="H160" s="26">
        <v>78</v>
      </c>
      <c r="I160" s="26">
        <v>111</v>
      </c>
      <c r="J160" s="26">
        <v>151</v>
      </c>
      <c r="K160" s="26">
        <v>207</v>
      </c>
      <c r="L160" s="26">
        <v>277</v>
      </c>
      <c r="M160" s="26">
        <v>354</v>
      </c>
      <c r="N160" s="26">
        <v>436</v>
      </c>
      <c r="O160" s="26">
        <v>535</v>
      </c>
      <c r="P160" s="26">
        <v>632</v>
      </c>
      <c r="Q160" s="26">
        <v>725</v>
      </c>
      <c r="R160" s="26">
        <v>813</v>
      </c>
      <c r="S160" s="26">
        <v>895</v>
      </c>
      <c r="T160" s="26">
        <v>970</v>
      </c>
      <c r="U160" s="26">
        <v>1034</v>
      </c>
      <c r="V160" s="26">
        <v>1095</v>
      </c>
      <c r="W160" s="26">
        <v>1131</v>
      </c>
      <c r="X160" s="26">
        <v>1159</v>
      </c>
      <c r="Y160" s="26">
        <v>1177</v>
      </c>
      <c r="Z160" s="26">
        <v>1219</v>
      </c>
      <c r="AA160" s="26">
        <v>1241</v>
      </c>
      <c r="AB160" s="26">
        <v>1261</v>
      </c>
      <c r="AC160" s="26">
        <v>1294</v>
      </c>
      <c r="AD160" s="26">
        <v>1316</v>
      </c>
      <c r="AE160" s="26">
        <v>1322</v>
      </c>
      <c r="AF160" s="26">
        <v>1328</v>
      </c>
      <c r="AG160" s="26">
        <v>1331</v>
      </c>
      <c r="AH160" s="26">
        <v>1332</v>
      </c>
      <c r="AI160" s="26">
        <v>1333</v>
      </c>
      <c r="AJ160" s="26">
        <v>1339</v>
      </c>
      <c r="AK160" s="26">
        <v>1342</v>
      </c>
      <c r="AL160" s="26">
        <v>1345</v>
      </c>
      <c r="AM160" s="26">
        <v>1347</v>
      </c>
      <c r="AN160" s="26">
        <v>1347</v>
      </c>
      <c r="AO160" s="26">
        <v>1347</v>
      </c>
      <c r="AP160" s="26">
        <v>1348</v>
      </c>
      <c r="AQ160" s="26">
        <v>1349</v>
      </c>
      <c r="AR160" s="26">
        <v>1349</v>
      </c>
      <c r="AS160" s="26">
        <v>1350</v>
      </c>
      <c r="AT160" s="26">
        <v>1350</v>
      </c>
      <c r="AU160" s="26">
        <v>1350</v>
      </c>
      <c r="AV160" s="26">
        <v>1351</v>
      </c>
      <c r="AW160" s="26">
        <v>1352</v>
      </c>
      <c r="AX160" s="26">
        <v>1352</v>
      </c>
      <c r="AY160" s="26">
        <v>1352</v>
      </c>
      <c r="AZ160" s="26">
        <v>1352</v>
      </c>
      <c r="BA160" s="26">
        <v>1353</v>
      </c>
      <c r="BB160" s="26">
        <v>1356</v>
      </c>
      <c r="BC160" s="26">
        <v>1356</v>
      </c>
      <c r="BD160" s="26">
        <v>1356</v>
      </c>
      <c r="BE160" s="26">
        <v>1356</v>
      </c>
      <c r="BF160">
        <v>1360</v>
      </c>
      <c r="BG160">
        <v>1361</v>
      </c>
      <c r="BH160">
        <v>1364</v>
      </c>
      <c r="BI160">
        <v>1370</v>
      </c>
      <c r="BJ160">
        <v>1378</v>
      </c>
      <c r="BK160" t="s">
        <v>1437</v>
      </c>
    </row>
    <row r="161" spans="1:63" x14ac:dyDescent="0.25">
      <c r="A161" s="26" t="s">
        <v>15</v>
      </c>
      <c r="B161" s="26" t="s">
        <v>225</v>
      </c>
      <c r="C161" s="26">
        <v>33.881999999999998</v>
      </c>
      <c r="D161" s="26">
        <v>113.614</v>
      </c>
      <c r="E161" s="26">
        <v>5</v>
      </c>
      <c r="F161" s="26">
        <v>5</v>
      </c>
      <c r="G161" s="26">
        <v>9</v>
      </c>
      <c r="H161" s="26">
        <v>32</v>
      </c>
      <c r="I161" s="26">
        <v>83</v>
      </c>
      <c r="J161" s="26">
        <v>128</v>
      </c>
      <c r="K161" s="26">
        <v>168</v>
      </c>
      <c r="L161" s="26">
        <v>206</v>
      </c>
      <c r="M161" s="26">
        <v>278</v>
      </c>
      <c r="N161" s="26">
        <v>352</v>
      </c>
      <c r="O161" s="26">
        <v>422</v>
      </c>
      <c r="P161" s="26">
        <v>493</v>
      </c>
      <c r="Q161" s="26">
        <v>566</v>
      </c>
      <c r="R161" s="26">
        <v>675</v>
      </c>
      <c r="S161" s="26">
        <v>764</v>
      </c>
      <c r="T161" s="26">
        <v>851</v>
      </c>
      <c r="U161" s="26">
        <v>914</v>
      </c>
      <c r="V161" s="26">
        <v>981</v>
      </c>
      <c r="W161" s="26">
        <v>1033</v>
      </c>
      <c r="X161" s="26">
        <v>1073</v>
      </c>
      <c r="Y161" s="26">
        <v>1105</v>
      </c>
      <c r="Z161" s="26">
        <v>1135</v>
      </c>
      <c r="AA161" s="26">
        <v>1169</v>
      </c>
      <c r="AB161" s="26">
        <v>1184</v>
      </c>
      <c r="AC161" s="26">
        <v>1212</v>
      </c>
      <c r="AD161" s="26">
        <v>1231</v>
      </c>
      <c r="AE161" s="26">
        <v>1246</v>
      </c>
      <c r="AF161" s="26">
        <v>1257</v>
      </c>
      <c r="AG161" s="26">
        <v>1262</v>
      </c>
      <c r="AH161" s="26">
        <v>1265</v>
      </c>
      <c r="AI161" s="26">
        <v>1267</v>
      </c>
      <c r="AJ161" s="26">
        <v>1270</v>
      </c>
      <c r="AK161" s="26">
        <v>1271</v>
      </c>
      <c r="AL161" s="26">
        <v>1271</v>
      </c>
      <c r="AM161" s="26">
        <v>1271</v>
      </c>
      <c r="AN161" s="26">
        <v>1271</v>
      </c>
      <c r="AO161" s="26">
        <v>1272</v>
      </c>
      <c r="AP161" s="26">
        <v>1272</v>
      </c>
      <c r="AQ161" s="26">
        <v>1272</v>
      </c>
      <c r="AR161" s="26">
        <v>1272</v>
      </c>
      <c r="AS161" s="26">
        <v>1272</v>
      </c>
      <c r="AT161" s="26">
        <v>1272</v>
      </c>
      <c r="AU161" s="26">
        <v>1272</v>
      </c>
      <c r="AV161" s="26">
        <v>1272</v>
      </c>
      <c r="AW161" s="26">
        <v>1272</v>
      </c>
      <c r="AX161" s="26">
        <v>1272</v>
      </c>
      <c r="AY161" s="26">
        <v>1272</v>
      </c>
      <c r="AZ161" s="26">
        <v>1272</v>
      </c>
      <c r="BA161" s="26">
        <v>1272</v>
      </c>
      <c r="BB161" s="26">
        <v>1273</v>
      </c>
      <c r="BC161" s="26">
        <v>1273</v>
      </c>
      <c r="BD161" s="26">
        <v>1273</v>
      </c>
      <c r="BE161" s="26">
        <v>1273</v>
      </c>
      <c r="BF161">
        <v>1273</v>
      </c>
      <c r="BG161">
        <v>1273</v>
      </c>
      <c r="BH161">
        <v>1273</v>
      </c>
      <c r="BI161">
        <v>1273</v>
      </c>
      <c r="BJ161">
        <v>1273</v>
      </c>
      <c r="BK161" t="s">
        <v>457</v>
      </c>
    </row>
    <row r="162" spans="1:63" x14ac:dyDescent="0.25">
      <c r="A162" s="26" t="s">
        <v>34</v>
      </c>
      <c r="B162" s="26" t="s">
        <v>225</v>
      </c>
      <c r="C162" s="26">
        <v>29.183199999999999</v>
      </c>
      <c r="D162" s="26">
        <v>120.0934</v>
      </c>
      <c r="E162" s="26">
        <v>10</v>
      </c>
      <c r="F162" s="26">
        <v>27</v>
      </c>
      <c r="G162" s="26">
        <v>43</v>
      </c>
      <c r="H162" s="26">
        <v>62</v>
      </c>
      <c r="I162" s="26">
        <v>104</v>
      </c>
      <c r="J162" s="26">
        <v>128</v>
      </c>
      <c r="K162" s="26">
        <v>173</v>
      </c>
      <c r="L162" s="26">
        <v>296</v>
      </c>
      <c r="M162" s="26">
        <v>428</v>
      </c>
      <c r="N162" s="26">
        <v>538</v>
      </c>
      <c r="O162" s="26">
        <v>599</v>
      </c>
      <c r="P162" s="26">
        <v>661</v>
      </c>
      <c r="Q162" s="26">
        <v>724</v>
      </c>
      <c r="R162" s="26">
        <v>829</v>
      </c>
      <c r="S162" s="26">
        <v>895</v>
      </c>
      <c r="T162" s="26">
        <v>954</v>
      </c>
      <c r="U162" s="26">
        <v>1006</v>
      </c>
      <c r="V162" s="26">
        <v>1048</v>
      </c>
      <c r="W162" s="26">
        <v>1075</v>
      </c>
      <c r="X162" s="26">
        <v>1092</v>
      </c>
      <c r="Y162" s="26">
        <v>1117</v>
      </c>
      <c r="Z162" s="26">
        <v>1131</v>
      </c>
      <c r="AA162" s="26">
        <v>1145</v>
      </c>
      <c r="AB162" s="26">
        <v>1155</v>
      </c>
      <c r="AC162" s="26">
        <v>1162</v>
      </c>
      <c r="AD162" s="26">
        <v>1167</v>
      </c>
      <c r="AE162" s="26">
        <v>1171</v>
      </c>
      <c r="AF162" s="26">
        <v>1172</v>
      </c>
      <c r="AG162" s="26">
        <v>1174</v>
      </c>
      <c r="AH162" s="26">
        <v>1175</v>
      </c>
      <c r="AI162" s="26">
        <v>1203</v>
      </c>
      <c r="AJ162" s="26">
        <v>1205</v>
      </c>
      <c r="AK162" s="26">
        <v>1205</v>
      </c>
      <c r="AL162" s="26">
        <v>1205</v>
      </c>
      <c r="AM162" s="26">
        <v>1205</v>
      </c>
      <c r="AN162" s="26">
        <v>1205</v>
      </c>
      <c r="AO162" s="26">
        <v>1205</v>
      </c>
      <c r="AP162" s="26">
        <v>1205</v>
      </c>
      <c r="AQ162" s="26">
        <v>1205</v>
      </c>
      <c r="AR162" s="26">
        <v>1205</v>
      </c>
      <c r="AS162" s="26">
        <v>1206</v>
      </c>
      <c r="AT162" s="26">
        <v>1213</v>
      </c>
      <c r="AU162" s="26">
        <v>1213</v>
      </c>
      <c r="AV162" s="26">
        <v>1215</v>
      </c>
      <c r="AW162" s="26">
        <v>1215</v>
      </c>
      <c r="AX162" s="26">
        <v>1215</v>
      </c>
      <c r="AY162" s="26">
        <v>1215</v>
      </c>
      <c r="AZ162" s="26">
        <v>1215</v>
      </c>
      <c r="BA162" s="26">
        <v>1215</v>
      </c>
      <c r="BB162" s="26">
        <v>1215</v>
      </c>
      <c r="BC162" s="26">
        <v>1215</v>
      </c>
      <c r="BD162" s="26">
        <v>1215</v>
      </c>
      <c r="BE162" s="26">
        <v>1227</v>
      </c>
      <c r="BF162">
        <v>1231</v>
      </c>
      <c r="BG162">
        <v>1231</v>
      </c>
      <c r="BH162">
        <v>1232</v>
      </c>
      <c r="BI162">
        <v>1232</v>
      </c>
      <c r="BJ162">
        <v>1233</v>
      </c>
      <c r="BK162" t="s">
        <v>1438</v>
      </c>
    </row>
    <row r="163" spans="1:63" x14ac:dyDescent="0.25">
      <c r="A163" s="26" t="s">
        <v>17</v>
      </c>
      <c r="B163" s="26" t="s">
        <v>225</v>
      </c>
      <c r="C163" s="26">
        <v>27.610399999999998</v>
      </c>
      <c r="D163" s="26">
        <v>111.7088</v>
      </c>
      <c r="E163" s="26">
        <v>4</v>
      </c>
      <c r="F163" s="26">
        <v>9</v>
      </c>
      <c r="G163" s="26">
        <v>24</v>
      </c>
      <c r="H163" s="26">
        <v>43</v>
      </c>
      <c r="I163" s="26">
        <v>69</v>
      </c>
      <c r="J163" s="26">
        <v>100</v>
      </c>
      <c r="K163" s="26">
        <v>143</v>
      </c>
      <c r="L163" s="26">
        <v>221</v>
      </c>
      <c r="M163" s="26">
        <v>277</v>
      </c>
      <c r="N163" s="26">
        <v>332</v>
      </c>
      <c r="O163" s="26">
        <v>389</v>
      </c>
      <c r="P163" s="26">
        <v>463</v>
      </c>
      <c r="Q163" s="26">
        <v>521</v>
      </c>
      <c r="R163" s="26">
        <v>593</v>
      </c>
      <c r="S163" s="26">
        <v>661</v>
      </c>
      <c r="T163" s="26">
        <v>711</v>
      </c>
      <c r="U163" s="26">
        <v>772</v>
      </c>
      <c r="V163" s="26">
        <v>803</v>
      </c>
      <c r="W163" s="26">
        <v>838</v>
      </c>
      <c r="X163" s="26">
        <v>879</v>
      </c>
      <c r="Y163" s="26">
        <v>912</v>
      </c>
      <c r="Z163" s="26">
        <v>946</v>
      </c>
      <c r="AA163" s="26">
        <v>968</v>
      </c>
      <c r="AB163" s="26">
        <v>988</v>
      </c>
      <c r="AC163" s="26">
        <v>1001</v>
      </c>
      <c r="AD163" s="26">
        <v>1004</v>
      </c>
      <c r="AE163" s="26">
        <v>1006</v>
      </c>
      <c r="AF163" s="26">
        <v>1007</v>
      </c>
      <c r="AG163" s="26">
        <v>1008</v>
      </c>
      <c r="AH163" s="26">
        <v>1010</v>
      </c>
      <c r="AI163" s="26">
        <v>1011</v>
      </c>
      <c r="AJ163" s="26">
        <v>1013</v>
      </c>
      <c r="AK163" s="26">
        <v>1016</v>
      </c>
      <c r="AL163" s="26">
        <v>1016</v>
      </c>
      <c r="AM163" s="26">
        <v>1016</v>
      </c>
      <c r="AN163" s="26">
        <v>1016</v>
      </c>
      <c r="AO163" s="26">
        <v>1017</v>
      </c>
      <c r="AP163" s="26">
        <v>1017</v>
      </c>
      <c r="AQ163" s="26">
        <v>1018</v>
      </c>
      <c r="AR163" s="26">
        <v>1018</v>
      </c>
      <c r="AS163" s="26">
        <v>1018</v>
      </c>
      <c r="AT163" s="26">
        <v>1018</v>
      </c>
      <c r="AU163" s="26">
        <v>1018</v>
      </c>
      <c r="AV163" s="26">
        <v>1018</v>
      </c>
      <c r="AW163" s="26">
        <v>1018</v>
      </c>
      <c r="AX163" s="26">
        <v>1018</v>
      </c>
      <c r="AY163" s="26">
        <v>1018</v>
      </c>
      <c r="AZ163" s="26">
        <v>1018</v>
      </c>
      <c r="BA163" s="26">
        <v>1018</v>
      </c>
      <c r="BB163" s="26">
        <v>1018</v>
      </c>
      <c r="BC163" s="26">
        <v>1018</v>
      </c>
      <c r="BD163" s="26">
        <v>1018</v>
      </c>
      <c r="BE163" s="26">
        <v>1018</v>
      </c>
      <c r="BF163">
        <v>1018</v>
      </c>
      <c r="BG163">
        <v>1018</v>
      </c>
      <c r="BH163">
        <v>1018</v>
      </c>
      <c r="BI163">
        <v>1018</v>
      </c>
      <c r="BJ163">
        <v>1018</v>
      </c>
      <c r="BK163" t="s">
        <v>458</v>
      </c>
    </row>
    <row r="164" spans="1:63" x14ac:dyDescent="0.25">
      <c r="A164" s="26" t="s">
        <v>4</v>
      </c>
      <c r="B164" s="26" t="s">
        <v>225</v>
      </c>
      <c r="C164" s="26">
        <v>31.825700000000001</v>
      </c>
      <c r="D164" s="26">
        <v>117.2264</v>
      </c>
      <c r="E164" s="26">
        <v>1</v>
      </c>
      <c r="F164" s="26">
        <v>9</v>
      </c>
      <c r="G164" s="26">
        <v>15</v>
      </c>
      <c r="H164" s="26">
        <v>39</v>
      </c>
      <c r="I164" s="26">
        <v>60</v>
      </c>
      <c r="J164" s="26">
        <v>70</v>
      </c>
      <c r="K164" s="26">
        <v>106</v>
      </c>
      <c r="L164" s="26">
        <v>152</v>
      </c>
      <c r="M164" s="26">
        <v>200</v>
      </c>
      <c r="N164" s="26">
        <v>237</v>
      </c>
      <c r="O164" s="26">
        <v>297</v>
      </c>
      <c r="P164" s="26">
        <v>340</v>
      </c>
      <c r="Q164" s="26">
        <v>408</v>
      </c>
      <c r="R164" s="26">
        <v>480</v>
      </c>
      <c r="S164" s="26">
        <v>530</v>
      </c>
      <c r="T164" s="26">
        <v>591</v>
      </c>
      <c r="U164" s="26">
        <v>665</v>
      </c>
      <c r="V164" s="26">
        <v>733</v>
      </c>
      <c r="W164" s="26">
        <v>779</v>
      </c>
      <c r="X164" s="26">
        <v>830</v>
      </c>
      <c r="Y164" s="26">
        <v>860</v>
      </c>
      <c r="Z164" s="26">
        <v>889</v>
      </c>
      <c r="AA164" s="26">
        <v>910</v>
      </c>
      <c r="AB164" s="26">
        <v>934</v>
      </c>
      <c r="AC164" s="26">
        <v>950</v>
      </c>
      <c r="AD164" s="26">
        <v>962</v>
      </c>
      <c r="AE164" s="26">
        <v>973</v>
      </c>
      <c r="AF164" s="26">
        <v>982</v>
      </c>
      <c r="AG164" s="26">
        <v>986</v>
      </c>
      <c r="AH164" s="26">
        <v>987</v>
      </c>
      <c r="AI164" s="26">
        <v>988</v>
      </c>
      <c r="AJ164" s="26">
        <v>989</v>
      </c>
      <c r="AK164" s="26">
        <v>989</v>
      </c>
      <c r="AL164" s="26">
        <v>989</v>
      </c>
      <c r="AM164" s="26">
        <v>989</v>
      </c>
      <c r="AN164" s="26">
        <v>989</v>
      </c>
      <c r="AO164" s="26">
        <v>989</v>
      </c>
      <c r="AP164" s="26">
        <v>990</v>
      </c>
      <c r="AQ164" s="26">
        <v>990</v>
      </c>
      <c r="AR164" s="26">
        <v>990</v>
      </c>
      <c r="AS164" s="26">
        <v>990</v>
      </c>
      <c r="AT164" s="26">
        <v>990</v>
      </c>
      <c r="AU164" s="26">
        <v>990</v>
      </c>
      <c r="AV164" s="26">
        <v>990</v>
      </c>
      <c r="AW164" s="26">
        <v>990</v>
      </c>
      <c r="AX164" s="26">
        <v>990</v>
      </c>
      <c r="AY164" s="26">
        <v>990</v>
      </c>
      <c r="AZ164" s="26">
        <v>990</v>
      </c>
      <c r="BA164" s="26">
        <v>990</v>
      </c>
      <c r="BB164" s="26">
        <v>990</v>
      </c>
      <c r="BC164" s="26">
        <v>990</v>
      </c>
      <c r="BD164" s="26">
        <v>990</v>
      </c>
      <c r="BE164" s="26">
        <v>990</v>
      </c>
      <c r="BF164">
        <v>990</v>
      </c>
      <c r="BG164">
        <v>990</v>
      </c>
      <c r="BH164">
        <v>990</v>
      </c>
      <c r="BI164">
        <v>990</v>
      </c>
      <c r="BJ164">
        <v>990</v>
      </c>
      <c r="BK164" t="s">
        <v>459</v>
      </c>
    </row>
    <row r="165" spans="1:63" x14ac:dyDescent="0.25">
      <c r="A165" s="26" t="s">
        <v>20</v>
      </c>
      <c r="B165" s="26" t="s">
        <v>225</v>
      </c>
      <c r="C165" s="26">
        <v>27.614000000000001</v>
      </c>
      <c r="D165" s="26">
        <v>115.7221</v>
      </c>
      <c r="E165" s="26">
        <v>2</v>
      </c>
      <c r="F165" s="26">
        <v>7</v>
      </c>
      <c r="G165" s="26">
        <v>18</v>
      </c>
      <c r="H165" s="26">
        <v>18</v>
      </c>
      <c r="I165" s="26">
        <v>36</v>
      </c>
      <c r="J165" s="26">
        <v>72</v>
      </c>
      <c r="K165" s="26">
        <v>109</v>
      </c>
      <c r="L165" s="26">
        <v>109</v>
      </c>
      <c r="M165" s="26">
        <v>162</v>
      </c>
      <c r="N165" s="26">
        <v>240</v>
      </c>
      <c r="O165" s="26">
        <v>286</v>
      </c>
      <c r="P165" s="26">
        <v>333</v>
      </c>
      <c r="Q165" s="26">
        <v>391</v>
      </c>
      <c r="R165" s="26">
        <v>476</v>
      </c>
      <c r="S165" s="26">
        <v>548</v>
      </c>
      <c r="T165" s="26">
        <v>600</v>
      </c>
      <c r="U165" s="26">
        <v>661</v>
      </c>
      <c r="V165" s="26">
        <v>698</v>
      </c>
      <c r="W165" s="26">
        <v>740</v>
      </c>
      <c r="X165" s="26">
        <v>771</v>
      </c>
      <c r="Y165" s="26">
        <v>804</v>
      </c>
      <c r="Z165" s="26">
        <v>844</v>
      </c>
      <c r="AA165" s="26">
        <v>872</v>
      </c>
      <c r="AB165" s="26">
        <v>900</v>
      </c>
      <c r="AC165" s="26">
        <v>913</v>
      </c>
      <c r="AD165" s="26">
        <v>925</v>
      </c>
      <c r="AE165" s="26">
        <v>930</v>
      </c>
      <c r="AF165" s="26">
        <v>933</v>
      </c>
      <c r="AG165" s="26">
        <v>934</v>
      </c>
      <c r="AH165" s="26">
        <v>934</v>
      </c>
      <c r="AI165" s="26">
        <v>934</v>
      </c>
      <c r="AJ165" s="26">
        <v>934</v>
      </c>
      <c r="AK165" s="26">
        <v>934</v>
      </c>
      <c r="AL165" s="26">
        <v>934</v>
      </c>
      <c r="AM165" s="26">
        <v>934</v>
      </c>
      <c r="AN165" s="26">
        <v>934</v>
      </c>
      <c r="AO165" s="26">
        <v>934</v>
      </c>
      <c r="AP165" s="26">
        <v>935</v>
      </c>
      <c r="AQ165" s="26">
        <v>935</v>
      </c>
      <c r="AR165" s="26">
        <v>935</v>
      </c>
      <c r="AS165" s="26">
        <v>935</v>
      </c>
      <c r="AT165" s="26">
        <v>935</v>
      </c>
      <c r="AU165" s="26">
        <v>935</v>
      </c>
      <c r="AV165" s="26">
        <v>935</v>
      </c>
      <c r="AW165" s="26">
        <v>935</v>
      </c>
      <c r="AX165" s="26">
        <v>935</v>
      </c>
      <c r="AY165" s="26">
        <v>935</v>
      </c>
      <c r="AZ165" s="26">
        <v>935</v>
      </c>
      <c r="BA165" s="26">
        <v>935</v>
      </c>
      <c r="BB165" s="26">
        <v>935</v>
      </c>
      <c r="BC165" s="26">
        <v>935</v>
      </c>
      <c r="BD165" s="26">
        <v>935</v>
      </c>
      <c r="BE165" s="26">
        <v>935</v>
      </c>
      <c r="BF165">
        <v>935</v>
      </c>
      <c r="BG165">
        <v>935</v>
      </c>
      <c r="BH165">
        <v>935</v>
      </c>
      <c r="BI165">
        <v>935</v>
      </c>
      <c r="BJ165">
        <v>935</v>
      </c>
      <c r="BK165" t="s">
        <v>460</v>
      </c>
    </row>
    <row r="166" spans="1:63" x14ac:dyDescent="0.25">
      <c r="A166" s="26" t="s">
        <v>26</v>
      </c>
      <c r="B166" s="26" t="s">
        <v>225</v>
      </c>
      <c r="C166" s="26">
        <v>36.342700000000001</v>
      </c>
      <c r="D166" s="26">
        <v>118.1498</v>
      </c>
      <c r="E166" s="26">
        <v>2</v>
      </c>
      <c r="F166" s="26">
        <v>6</v>
      </c>
      <c r="G166" s="26">
        <v>15</v>
      </c>
      <c r="H166" s="26">
        <v>27</v>
      </c>
      <c r="I166" s="26">
        <v>46</v>
      </c>
      <c r="J166" s="26">
        <v>75</v>
      </c>
      <c r="K166" s="26">
        <v>95</v>
      </c>
      <c r="L166" s="26">
        <v>130</v>
      </c>
      <c r="M166" s="26">
        <v>158</v>
      </c>
      <c r="N166" s="26">
        <v>184</v>
      </c>
      <c r="O166" s="26">
        <v>206</v>
      </c>
      <c r="P166" s="26">
        <v>230</v>
      </c>
      <c r="Q166" s="26">
        <v>259</v>
      </c>
      <c r="R166" s="26">
        <v>275</v>
      </c>
      <c r="S166" s="26">
        <v>307</v>
      </c>
      <c r="T166" s="26">
        <v>347</v>
      </c>
      <c r="U166" s="26">
        <v>386</v>
      </c>
      <c r="V166" s="26">
        <v>416</v>
      </c>
      <c r="W166" s="26">
        <v>444</v>
      </c>
      <c r="X166" s="26">
        <v>466</v>
      </c>
      <c r="Y166" s="26">
        <v>487</v>
      </c>
      <c r="Z166" s="26">
        <v>497</v>
      </c>
      <c r="AA166" s="26">
        <v>509</v>
      </c>
      <c r="AB166" s="26">
        <v>523</v>
      </c>
      <c r="AC166" s="26">
        <v>532</v>
      </c>
      <c r="AD166" s="26">
        <v>537</v>
      </c>
      <c r="AE166" s="26">
        <v>541</v>
      </c>
      <c r="AF166" s="26">
        <v>543</v>
      </c>
      <c r="AG166" s="26">
        <v>544</v>
      </c>
      <c r="AH166" s="26">
        <v>546</v>
      </c>
      <c r="AI166" s="26">
        <v>749</v>
      </c>
      <c r="AJ166" s="26">
        <v>750</v>
      </c>
      <c r="AK166" s="26">
        <v>754</v>
      </c>
      <c r="AL166" s="26">
        <v>755</v>
      </c>
      <c r="AM166" s="26">
        <v>756</v>
      </c>
      <c r="AN166" s="26">
        <v>756</v>
      </c>
      <c r="AO166" s="26">
        <v>756</v>
      </c>
      <c r="AP166" s="26">
        <v>756</v>
      </c>
      <c r="AQ166" s="26">
        <v>756</v>
      </c>
      <c r="AR166" s="26">
        <v>758</v>
      </c>
      <c r="AS166" s="26">
        <v>758</v>
      </c>
      <c r="AT166" s="26">
        <v>758</v>
      </c>
      <c r="AU166" s="26">
        <v>758</v>
      </c>
      <c r="AV166" s="26">
        <v>758</v>
      </c>
      <c r="AW166" s="26">
        <v>758</v>
      </c>
      <c r="AX166" s="26">
        <v>758</v>
      </c>
      <c r="AY166" s="26">
        <v>758</v>
      </c>
      <c r="AZ166" s="26">
        <v>758</v>
      </c>
      <c r="BA166" s="26">
        <v>758</v>
      </c>
      <c r="BB166" s="26">
        <v>760</v>
      </c>
      <c r="BC166" s="26">
        <v>760</v>
      </c>
      <c r="BD166" s="26">
        <v>760</v>
      </c>
      <c r="BE166" s="26">
        <v>760</v>
      </c>
      <c r="BF166">
        <v>760</v>
      </c>
      <c r="BG166">
        <v>760</v>
      </c>
      <c r="BH166">
        <v>761</v>
      </c>
      <c r="BI166">
        <v>761</v>
      </c>
      <c r="BJ166">
        <v>761</v>
      </c>
      <c r="BK166" t="s">
        <v>1439</v>
      </c>
    </row>
    <row r="167" spans="1:63" x14ac:dyDescent="0.25">
      <c r="A167" s="26" t="s">
        <v>151</v>
      </c>
      <c r="B167" s="26" t="s">
        <v>226</v>
      </c>
      <c r="C167" s="26">
        <v>35.4437</v>
      </c>
      <c r="D167" s="26">
        <v>139.63800000000001</v>
      </c>
      <c r="E167" s="26">
        <v>0</v>
      </c>
      <c r="F167" s="26">
        <v>0</v>
      </c>
      <c r="G167" s="26">
        <v>0</v>
      </c>
      <c r="H167" s="26">
        <v>0</v>
      </c>
      <c r="I167" s="26">
        <v>0</v>
      </c>
      <c r="J167" s="26">
        <v>0</v>
      </c>
      <c r="K167" s="26">
        <v>0</v>
      </c>
      <c r="L167" s="26">
        <v>0</v>
      </c>
      <c r="M167" s="26">
        <v>0</v>
      </c>
      <c r="N167" s="26">
        <v>0</v>
      </c>
      <c r="O167" s="26">
        <v>0</v>
      </c>
      <c r="P167" s="26">
        <v>0</v>
      </c>
      <c r="Q167" s="26">
        <v>0</v>
      </c>
      <c r="R167" s="26">
        <v>0</v>
      </c>
      <c r="S167" s="26">
        <v>0</v>
      </c>
      <c r="T167" s="26">
        <v>0</v>
      </c>
      <c r="U167" s="26">
        <v>61</v>
      </c>
      <c r="V167" s="26">
        <v>61</v>
      </c>
      <c r="W167" s="26">
        <v>64</v>
      </c>
      <c r="X167" s="26">
        <v>135</v>
      </c>
      <c r="Y167" s="26">
        <v>135</v>
      </c>
      <c r="Z167" s="26">
        <v>175</v>
      </c>
      <c r="AA167" s="26">
        <v>175</v>
      </c>
      <c r="AB167" s="26">
        <v>218</v>
      </c>
      <c r="AC167" s="26">
        <v>285</v>
      </c>
      <c r="AD167" s="26">
        <v>355</v>
      </c>
      <c r="AE167" s="26">
        <v>454</v>
      </c>
      <c r="AF167" s="26">
        <v>542</v>
      </c>
      <c r="AG167" s="26">
        <v>621</v>
      </c>
      <c r="AH167" s="26">
        <v>634</v>
      </c>
      <c r="AI167" s="26">
        <v>634</v>
      </c>
      <c r="AJ167" s="26">
        <v>634</v>
      </c>
      <c r="AK167" s="26">
        <v>691</v>
      </c>
      <c r="AL167" s="26">
        <v>691</v>
      </c>
      <c r="AM167" s="26">
        <v>691</v>
      </c>
      <c r="AN167" s="26">
        <v>705</v>
      </c>
      <c r="AO167" s="26">
        <v>705</v>
      </c>
      <c r="AP167" s="26">
        <v>705</v>
      </c>
      <c r="AQ167" s="26">
        <v>705</v>
      </c>
      <c r="AR167" s="26">
        <v>705</v>
      </c>
      <c r="AS167" s="26">
        <v>705</v>
      </c>
      <c r="AT167" s="26">
        <v>706</v>
      </c>
      <c r="AU167" s="26">
        <v>706</v>
      </c>
      <c r="AV167" s="26">
        <v>706</v>
      </c>
      <c r="AW167" s="26">
        <v>696</v>
      </c>
      <c r="AX167" s="26">
        <v>696</v>
      </c>
      <c r="AY167" s="26">
        <v>696</v>
      </c>
      <c r="AZ167" s="26">
        <v>696</v>
      </c>
      <c r="BA167" s="26">
        <v>696</v>
      </c>
      <c r="BB167" s="26">
        <v>696</v>
      </c>
      <c r="BC167" s="26">
        <v>696</v>
      </c>
      <c r="BD167" s="26">
        <v>696</v>
      </c>
      <c r="BE167" s="26">
        <v>696</v>
      </c>
      <c r="BF167">
        <v>696</v>
      </c>
      <c r="BG167">
        <v>696</v>
      </c>
      <c r="BH167">
        <v>696</v>
      </c>
      <c r="BI167">
        <v>712</v>
      </c>
      <c r="BJ167">
        <v>712</v>
      </c>
      <c r="BK167" t="s">
        <v>1272</v>
      </c>
    </row>
    <row r="168" spans="1:63" x14ac:dyDescent="0.25">
      <c r="A168" s="26" t="s">
        <v>19</v>
      </c>
      <c r="B168" s="26" t="s">
        <v>225</v>
      </c>
      <c r="C168" s="26">
        <v>32.9711</v>
      </c>
      <c r="D168" s="26">
        <v>119.455</v>
      </c>
      <c r="E168" s="26">
        <v>1</v>
      </c>
      <c r="F168" s="26">
        <v>5</v>
      </c>
      <c r="G168" s="26">
        <v>9</v>
      </c>
      <c r="H168" s="26">
        <v>18</v>
      </c>
      <c r="I168" s="26">
        <v>33</v>
      </c>
      <c r="J168" s="26">
        <v>47</v>
      </c>
      <c r="K168" s="26">
        <v>70</v>
      </c>
      <c r="L168" s="26">
        <v>99</v>
      </c>
      <c r="M168" s="26">
        <v>129</v>
      </c>
      <c r="N168" s="26">
        <v>168</v>
      </c>
      <c r="O168" s="26">
        <v>202</v>
      </c>
      <c r="P168" s="26">
        <v>236</v>
      </c>
      <c r="Q168" s="26">
        <v>271</v>
      </c>
      <c r="R168" s="26">
        <v>308</v>
      </c>
      <c r="S168" s="26">
        <v>341</v>
      </c>
      <c r="T168" s="26">
        <v>373</v>
      </c>
      <c r="U168" s="26">
        <v>408</v>
      </c>
      <c r="V168" s="26">
        <v>439</v>
      </c>
      <c r="W168" s="26">
        <v>468</v>
      </c>
      <c r="X168" s="26">
        <v>492</v>
      </c>
      <c r="Y168" s="26">
        <v>515</v>
      </c>
      <c r="Z168" s="26">
        <v>543</v>
      </c>
      <c r="AA168" s="26">
        <v>570</v>
      </c>
      <c r="AB168" s="26">
        <v>593</v>
      </c>
      <c r="AC168" s="26">
        <v>604</v>
      </c>
      <c r="AD168" s="26">
        <v>617</v>
      </c>
      <c r="AE168" s="26">
        <v>626</v>
      </c>
      <c r="AF168" s="26">
        <v>629</v>
      </c>
      <c r="AG168" s="26">
        <v>631</v>
      </c>
      <c r="AH168" s="26">
        <v>631</v>
      </c>
      <c r="AI168" s="26">
        <v>631</v>
      </c>
      <c r="AJ168" s="26">
        <v>631</v>
      </c>
      <c r="AK168" s="26">
        <v>631</v>
      </c>
      <c r="AL168" s="26">
        <v>631</v>
      </c>
      <c r="AM168" s="26">
        <v>631</v>
      </c>
      <c r="AN168" s="26">
        <v>631</v>
      </c>
      <c r="AO168" s="26">
        <v>631</v>
      </c>
      <c r="AP168" s="26">
        <v>631</v>
      </c>
      <c r="AQ168" s="26">
        <v>631</v>
      </c>
      <c r="AR168" s="26">
        <v>631</v>
      </c>
      <c r="AS168" s="26">
        <v>631</v>
      </c>
      <c r="AT168" s="26">
        <v>631</v>
      </c>
      <c r="AU168" s="26">
        <v>631</v>
      </c>
      <c r="AV168" s="26">
        <v>631</v>
      </c>
      <c r="AW168" s="26">
        <v>631</v>
      </c>
      <c r="AX168" s="26">
        <v>631</v>
      </c>
      <c r="AY168" s="26">
        <v>631</v>
      </c>
      <c r="AZ168" s="26">
        <v>631</v>
      </c>
      <c r="BA168" s="26">
        <v>631</v>
      </c>
      <c r="BB168" s="26">
        <v>631</v>
      </c>
      <c r="BC168" s="26">
        <v>631</v>
      </c>
      <c r="BD168" s="26">
        <v>631</v>
      </c>
      <c r="BE168" s="26">
        <v>631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 t="s">
        <v>461</v>
      </c>
    </row>
    <row r="169" spans="1:63" x14ac:dyDescent="0.25">
      <c r="A169" s="26" t="s">
        <v>6</v>
      </c>
      <c r="B169" s="26" t="s">
        <v>225</v>
      </c>
      <c r="C169" s="26">
        <v>30.057200000000002</v>
      </c>
      <c r="D169" s="26">
        <v>107.874</v>
      </c>
      <c r="E169" s="26">
        <v>6</v>
      </c>
      <c r="F169" s="26">
        <v>9</v>
      </c>
      <c r="G169" s="26">
        <v>27</v>
      </c>
      <c r="H169" s="26">
        <v>57</v>
      </c>
      <c r="I169" s="26">
        <v>75</v>
      </c>
      <c r="J169" s="26">
        <v>110</v>
      </c>
      <c r="K169" s="26">
        <v>132</v>
      </c>
      <c r="L169" s="26">
        <v>147</v>
      </c>
      <c r="M169" s="26">
        <v>182</v>
      </c>
      <c r="N169" s="26">
        <v>211</v>
      </c>
      <c r="O169" s="26">
        <v>247</v>
      </c>
      <c r="P169" s="26">
        <v>300</v>
      </c>
      <c r="Q169" s="26">
        <v>337</v>
      </c>
      <c r="R169" s="26">
        <v>366</v>
      </c>
      <c r="S169" s="26">
        <v>389</v>
      </c>
      <c r="T169" s="26">
        <v>411</v>
      </c>
      <c r="U169" s="26">
        <v>426</v>
      </c>
      <c r="V169" s="26">
        <v>428</v>
      </c>
      <c r="W169" s="26">
        <v>468</v>
      </c>
      <c r="X169" s="26">
        <v>486</v>
      </c>
      <c r="Y169" s="26">
        <v>505</v>
      </c>
      <c r="Z169" s="26">
        <v>518</v>
      </c>
      <c r="AA169" s="26">
        <v>529</v>
      </c>
      <c r="AB169" s="26">
        <v>537</v>
      </c>
      <c r="AC169" s="26">
        <v>544</v>
      </c>
      <c r="AD169" s="26">
        <v>551</v>
      </c>
      <c r="AE169" s="26">
        <v>553</v>
      </c>
      <c r="AF169" s="26">
        <v>555</v>
      </c>
      <c r="AG169" s="26">
        <v>560</v>
      </c>
      <c r="AH169" s="26">
        <v>567</v>
      </c>
      <c r="AI169" s="26">
        <v>572</v>
      </c>
      <c r="AJ169" s="26">
        <v>573</v>
      </c>
      <c r="AK169" s="26">
        <v>575</v>
      </c>
      <c r="AL169" s="26">
        <v>576</v>
      </c>
      <c r="AM169" s="26">
        <v>576</v>
      </c>
      <c r="AN169" s="26">
        <v>576</v>
      </c>
      <c r="AO169" s="26">
        <v>576</v>
      </c>
      <c r="AP169" s="26">
        <v>576</v>
      </c>
      <c r="AQ169" s="26">
        <v>576</v>
      </c>
      <c r="AR169" s="26">
        <v>576</v>
      </c>
      <c r="AS169" s="26">
        <v>576</v>
      </c>
      <c r="AT169" s="26">
        <v>576</v>
      </c>
      <c r="AU169" s="26">
        <v>576</v>
      </c>
      <c r="AV169" s="26">
        <v>576</v>
      </c>
      <c r="AW169" s="26">
        <v>576</v>
      </c>
      <c r="AX169" s="26">
        <v>576</v>
      </c>
      <c r="AY169" s="26">
        <v>576</v>
      </c>
      <c r="AZ169" s="26">
        <v>576</v>
      </c>
      <c r="BA169" s="26">
        <v>576</v>
      </c>
      <c r="BB169" s="26">
        <v>576</v>
      </c>
      <c r="BC169" s="26">
        <v>576</v>
      </c>
      <c r="BD169" s="26">
        <v>576</v>
      </c>
      <c r="BE169" s="26">
        <v>576</v>
      </c>
      <c r="BF169">
        <v>576</v>
      </c>
      <c r="BG169">
        <v>576</v>
      </c>
      <c r="BH169">
        <v>576</v>
      </c>
      <c r="BI169">
        <v>576</v>
      </c>
      <c r="BJ169">
        <v>576</v>
      </c>
      <c r="BK169" t="s">
        <v>462</v>
      </c>
    </row>
    <row r="170" spans="1:63" x14ac:dyDescent="0.25">
      <c r="A170" s="26" t="s">
        <v>29</v>
      </c>
      <c r="B170" s="26" t="s">
        <v>225</v>
      </c>
      <c r="C170" s="26">
        <v>30.617100000000001</v>
      </c>
      <c r="D170" s="26">
        <v>102.7103</v>
      </c>
      <c r="E170" s="26">
        <v>5</v>
      </c>
      <c r="F170" s="26">
        <v>8</v>
      </c>
      <c r="G170" s="26">
        <v>15</v>
      </c>
      <c r="H170" s="26">
        <v>28</v>
      </c>
      <c r="I170" s="26">
        <v>44</v>
      </c>
      <c r="J170" s="26">
        <v>69</v>
      </c>
      <c r="K170" s="26">
        <v>90</v>
      </c>
      <c r="L170" s="26">
        <v>108</v>
      </c>
      <c r="M170" s="26">
        <v>142</v>
      </c>
      <c r="N170" s="26">
        <v>177</v>
      </c>
      <c r="O170" s="26">
        <v>207</v>
      </c>
      <c r="P170" s="26">
        <v>231</v>
      </c>
      <c r="Q170" s="26">
        <v>254</v>
      </c>
      <c r="R170" s="26">
        <v>282</v>
      </c>
      <c r="S170" s="26">
        <v>301</v>
      </c>
      <c r="T170" s="26">
        <v>321</v>
      </c>
      <c r="U170" s="26">
        <v>344</v>
      </c>
      <c r="V170" s="26">
        <v>364</v>
      </c>
      <c r="W170" s="26">
        <v>386</v>
      </c>
      <c r="X170" s="26">
        <v>405</v>
      </c>
      <c r="Y170" s="26">
        <v>417</v>
      </c>
      <c r="Z170" s="26">
        <v>436</v>
      </c>
      <c r="AA170" s="26">
        <v>451</v>
      </c>
      <c r="AB170" s="26">
        <v>463</v>
      </c>
      <c r="AC170" s="26">
        <v>470</v>
      </c>
      <c r="AD170" s="26">
        <v>481</v>
      </c>
      <c r="AE170" s="26">
        <v>495</v>
      </c>
      <c r="AF170" s="26">
        <v>508</v>
      </c>
      <c r="AG170" s="26">
        <v>514</v>
      </c>
      <c r="AH170" s="26">
        <v>520</v>
      </c>
      <c r="AI170" s="26">
        <v>525</v>
      </c>
      <c r="AJ170" s="26">
        <v>526</v>
      </c>
      <c r="AK170" s="26">
        <v>526</v>
      </c>
      <c r="AL170" s="26">
        <v>527</v>
      </c>
      <c r="AM170" s="26">
        <v>529</v>
      </c>
      <c r="AN170" s="26">
        <v>531</v>
      </c>
      <c r="AO170" s="26">
        <v>534</v>
      </c>
      <c r="AP170" s="26">
        <v>538</v>
      </c>
      <c r="AQ170" s="26">
        <v>538</v>
      </c>
      <c r="AR170" s="26">
        <v>538</v>
      </c>
      <c r="AS170" s="26">
        <v>538</v>
      </c>
      <c r="AT170" s="26">
        <v>538</v>
      </c>
      <c r="AU170" s="26">
        <v>538</v>
      </c>
      <c r="AV170" s="26">
        <v>539</v>
      </c>
      <c r="AW170" s="26">
        <v>539</v>
      </c>
      <c r="AX170" s="26">
        <v>539</v>
      </c>
      <c r="AY170" s="26">
        <v>539</v>
      </c>
      <c r="AZ170" s="26">
        <v>539</v>
      </c>
      <c r="BA170" s="26">
        <v>539</v>
      </c>
      <c r="BB170" s="26">
        <v>539</v>
      </c>
      <c r="BC170" s="26">
        <v>539</v>
      </c>
      <c r="BD170" s="26">
        <v>539</v>
      </c>
      <c r="BE170" s="26">
        <v>539</v>
      </c>
      <c r="BF170">
        <v>539</v>
      </c>
      <c r="BG170">
        <v>539</v>
      </c>
      <c r="BH170">
        <v>540</v>
      </c>
      <c r="BI170">
        <v>540</v>
      </c>
      <c r="BJ170">
        <v>540</v>
      </c>
      <c r="BK170" t="s">
        <v>1440</v>
      </c>
    </row>
    <row r="171" spans="1:63" x14ac:dyDescent="0.25">
      <c r="A171" s="26" t="s">
        <v>14</v>
      </c>
      <c r="B171" s="26" t="s">
        <v>225</v>
      </c>
      <c r="C171" s="26">
        <v>47.862000000000002</v>
      </c>
      <c r="D171" s="26">
        <v>127.7615</v>
      </c>
      <c r="E171" s="26">
        <v>0</v>
      </c>
      <c r="F171" s="26">
        <v>2</v>
      </c>
      <c r="G171" s="26">
        <v>4</v>
      </c>
      <c r="H171" s="26">
        <v>9</v>
      </c>
      <c r="I171" s="26">
        <v>15</v>
      </c>
      <c r="J171" s="26">
        <v>21</v>
      </c>
      <c r="K171" s="26">
        <v>33</v>
      </c>
      <c r="L171" s="26">
        <v>38</v>
      </c>
      <c r="M171" s="26">
        <v>44</v>
      </c>
      <c r="N171" s="26">
        <v>59</v>
      </c>
      <c r="O171" s="26">
        <v>80</v>
      </c>
      <c r="P171" s="26">
        <v>95</v>
      </c>
      <c r="Q171" s="26">
        <v>121</v>
      </c>
      <c r="R171" s="26">
        <v>155</v>
      </c>
      <c r="S171" s="26">
        <v>190</v>
      </c>
      <c r="T171" s="26">
        <v>227</v>
      </c>
      <c r="U171" s="26">
        <v>277</v>
      </c>
      <c r="V171" s="26">
        <v>295</v>
      </c>
      <c r="W171" s="26">
        <v>307</v>
      </c>
      <c r="X171" s="26">
        <v>331</v>
      </c>
      <c r="Y171" s="26">
        <v>360</v>
      </c>
      <c r="Z171" s="26">
        <v>378</v>
      </c>
      <c r="AA171" s="26">
        <v>395</v>
      </c>
      <c r="AB171" s="26">
        <v>419</v>
      </c>
      <c r="AC171" s="26">
        <v>425</v>
      </c>
      <c r="AD171" s="26">
        <v>445</v>
      </c>
      <c r="AE171" s="26">
        <v>457</v>
      </c>
      <c r="AF171" s="26">
        <v>464</v>
      </c>
      <c r="AG171" s="26">
        <v>470</v>
      </c>
      <c r="AH171" s="26">
        <v>476</v>
      </c>
      <c r="AI171" s="26">
        <v>479</v>
      </c>
      <c r="AJ171" s="26">
        <v>479</v>
      </c>
      <c r="AK171" s="26">
        <v>480</v>
      </c>
      <c r="AL171" s="26">
        <v>480</v>
      </c>
      <c r="AM171" s="26">
        <v>480</v>
      </c>
      <c r="AN171" s="26">
        <v>480</v>
      </c>
      <c r="AO171" s="26">
        <v>480</v>
      </c>
      <c r="AP171" s="26">
        <v>480</v>
      </c>
      <c r="AQ171" s="26">
        <v>480</v>
      </c>
      <c r="AR171" s="26">
        <v>480</v>
      </c>
      <c r="AS171" s="26">
        <v>480</v>
      </c>
      <c r="AT171" s="26">
        <v>480</v>
      </c>
      <c r="AU171" s="26">
        <v>480</v>
      </c>
      <c r="AV171" s="26">
        <v>481</v>
      </c>
      <c r="AW171" s="26">
        <v>481</v>
      </c>
      <c r="AX171" s="26">
        <v>481</v>
      </c>
      <c r="AY171" s="26">
        <v>481</v>
      </c>
      <c r="AZ171" s="26">
        <v>481</v>
      </c>
      <c r="BA171" s="26">
        <v>481</v>
      </c>
      <c r="BB171" s="26">
        <v>482</v>
      </c>
      <c r="BC171" s="26">
        <v>482</v>
      </c>
      <c r="BD171" s="26">
        <v>482</v>
      </c>
      <c r="BE171" s="26">
        <v>482</v>
      </c>
      <c r="BF171">
        <v>482</v>
      </c>
      <c r="BG171">
        <v>482</v>
      </c>
      <c r="BH171">
        <v>482</v>
      </c>
      <c r="BI171">
        <v>482</v>
      </c>
      <c r="BJ171">
        <v>483</v>
      </c>
      <c r="BK171" t="s">
        <v>1386</v>
      </c>
    </row>
    <row r="172" spans="1:63" x14ac:dyDescent="0.25">
      <c r="A172" s="26" t="s">
        <v>85</v>
      </c>
      <c r="B172" s="26" t="s">
        <v>85</v>
      </c>
      <c r="C172" s="26">
        <v>56.2639</v>
      </c>
      <c r="D172" s="26">
        <v>9.5017999999999994</v>
      </c>
      <c r="E172" s="26">
        <v>0</v>
      </c>
      <c r="F172" s="26">
        <v>0</v>
      </c>
      <c r="G172" s="26">
        <v>0</v>
      </c>
      <c r="H172" s="26">
        <v>0</v>
      </c>
      <c r="I172" s="26">
        <v>0</v>
      </c>
      <c r="J172" s="26">
        <v>0</v>
      </c>
      <c r="K172" s="26">
        <v>0</v>
      </c>
      <c r="L172" s="26">
        <v>0</v>
      </c>
      <c r="M172" s="26">
        <v>0</v>
      </c>
      <c r="N172" s="26">
        <v>0</v>
      </c>
      <c r="O172" s="26">
        <v>0</v>
      </c>
      <c r="P172" s="26">
        <v>0</v>
      </c>
      <c r="Q172" s="26">
        <v>0</v>
      </c>
      <c r="R172" s="26">
        <v>0</v>
      </c>
      <c r="S172" s="26">
        <v>0</v>
      </c>
      <c r="T172" s="26">
        <v>0</v>
      </c>
      <c r="U172" s="26">
        <v>0</v>
      </c>
      <c r="V172" s="26">
        <v>0</v>
      </c>
      <c r="W172" s="26">
        <v>0</v>
      </c>
      <c r="X172" s="26">
        <v>0</v>
      </c>
      <c r="Y172" s="26">
        <v>0</v>
      </c>
      <c r="Z172" s="26">
        <v>0</v>
      </c>
      <c r="AA172" s="26">
        <v>0</v>
      </c>
      <c r="AB172" s="26">
        <v>0</v>
      </c>
      <c r="AC172" s="26">
        <v>0</v>
      </c>
      <c r="AD172" s="26">
        <v>0</v>
      </c>
      <c r="AE172" s="26">
        <v>0</v>
      </c>
      <c r="AF172" s="26">
        <v>0</v>
      </c>
      <c r="AG172" s="26">
        <v>0</v>
      </c>
      <c r="AH172" s="26">
        <v>0</v>
      </c>
      <c r="AI172" s="26">
        <v>0</v>
      </c>
      <c r="AJ172" s="26">
        <v>0</v>
      </c>
      <c r="AK172" s="26">
        <v>0</v>
      </c>
      <c r="AL172" s="26">
        <v>0</v>
      </c>
      <c r="AM172" s="26">
        <v>0</v>
      </c>
      <c r="AN172" s="26">
        <v>0</v>
      </c>
      <c r="AO172" s="26">
        <v>1</v>
      </c>
      <c r="AP172" s="26">
        <v>1</v>
      </c>
      <c r="AQ172" s="26">
        <v>3</v>
      </c>
      <c r="AR172" s="26">
        <v>4</v>
      </c>
      <c r="AS172" s="26">
        <v>4</v>
      </c>
      <c r="AT172" s="26">
        <v>6</v>
      </c>
      <c r="AU172" s="26">
        <v>10</v>
      </c>
      <c r="AV172" s="26">
        <v>10</v>
      </c>
      <c r="AW172" s="26">
        <v>23</v>
      </c>
      <c r="AX172" s="26">
        <v>23</v>
      </c>
      <c r="AY172" s="26">
        <v>35</v>
      </c>
      <c r="AZ172" s="26">
        <v>90</v>
      </c>
      <c r="BA172" s="26">
        <v>262</v>
      </c>
      <c r="BB172" s="26">
        <v>442</v>
      </c>
      <c r="BC172" s="26">
        <v>615</v>
      </c>
      <c r="BD172" s="26">
        <v>801</v>
      </c>
      <c r="BE172" s="26">
        <v>827</v>
      </c>
      <c r="BF172">
        <v>864</v>
      </c>
      <c r="BG172">
        <v>914</v>
      </c>
      <c r="BH172">
        <v>977</v>
      </c>
      <c r="BI172">
        <v>1057</v>
      </c>
      <c r="BJ172">
        <v>1151</v>
      </c>
      <c r="BK172" t="s">
        <v>1441</v>
      </c>
    </row>
    <row r="173" spans="1:63" x14ac:dyDescent="0.25">
      <c r="A173" s="26" t="s">
        <v>5</v>
      </c>
      <c r="B173" s="26" t="s">
        <v>225</v>
      </c>
      <c r="C173" s="26">
        <v>40.182400000000001</v>
      </c>
      <c r="D173" s="26">
        <v>116.41419999999999</v>
      </c>
      <c r="E173" s="26">
        <v>14</v>
      </c>
      <c r="F173" s="26">
        <v>22</v>
      </c>
      <c r="G173" s="26">
        <v>36</v>
      </c>
      <c r="H173" s="26">
        <v>41</v>
      </c>
      <c r="I173" s="26">
        <v>68</v>
      </c>
      <c r="J173" s="26">
        <v>80</v>
      </c>
      <c r="K173" s="26">
        <v>91</v>
      </c>
      <c r="L173" s="26">
        <v>111</v>
      </c>
      <c r="M173" s="26">
        <v>114</v>
      </c>
      <c r="N173" s="26">
        <v>139</v>
      </c>
      <c r="O173" s="26">
        <v>168</v>
      </c>
      <c r="P173" s="26">
        <v>191</v>
      </c>
      <c r="Q173" s="26">
        <v>212</v>
      </c>
      <c r="R173" s="26">
        <v>228</v>
      </c>
      <c r="S173" s="26">
        <v>253</v>
      </c>
      <c r="T173" s="26">
        <v>274</v>
      </c>
      <c r="U173" s="26">
        <v>297</v>
      </c>
      <c r="V173" s="26">
        <v>315</v>
      </c>
      <c r="W173" s="26">
        <v>326</v>
      </c>
      <c r="X173" s="26">
        <v>337</v>
      </c>
      <c r="Y173" s="26">
        <v>342</v>
      </c>
      <c r="Z173" s="26">
        <v>352</v>
      </c>
      <c r="AA173" s="26">
        <v>366</v>
      </c>
      <c r="AB173" s="26">
        <v>372</v>
      </c>
      <c r="AC173" s="26">
        <v>375</v>
      </c>
      <c r="AD173" s="26">
        <v>380</v>
      </c>
      <c r="AE173" s="26">
        <v>381</v>
      </c>
      <c r="AF173" s="26">
        <v>387</v>
      </c>
      <c r="AG173" s="26">
        <v>393</v>
      </c>
      <c r="AH173" s="26">
        <v>395</v>
      </c>
      <c r="AI173" s="26">
        <v>396</v>
      </c>
      <c r="AJ173" s="26">
        <v>399</v>
      </c>
      <c r="AK173" s="26">
        <v>399</v>
      </c>
      <c r="AL173" s="26">
        <v>399</v>
      </c>
      <c r="AM173" s="26">
        <v>400</v>
      </c>
      <c r="AN173" s="26">
        <v>400</v>
      </c>
      <c r="AO173" s="26">
        <v>410</v>
      </c>
      <c r="AP173" s="26">
        <v>410</v>
      </c>
      <c r="AQ173" s="26">
        <v>411</v>
      </c>
      <c r="AR173" s="26">
        <v>413</v>
      </c>
      <c r="AS173" s="26">
        <v>414</v>
      </c>
      <c r="AT173" s="26">
        <v>414</v>
      </c>
      <c r="AU173" s="26">
        <v>418</v>
      </c>
      <c r="AV173" s="26">
        <v>418</v>
      </c>
      <c r="AW173" s="26">
        <v>422</v>
      </c>
      <c r="AX173" s="26">
        <v>426</v>
      </c>
      <c r="AY173" s="26">
        <v>428</v>
      </c>
      <c r="AZ173" s="26">
        <v>428</v>
      </c>
      <c r="BA173" s="26">
        <v>429</v>
      </c>
      <c r="BB173" s="26">
        <v>435</v>
      </c>
      <c r="BC173" s="26">
        <v>435</v>
      </c>
      <c r="BD173" s="26">
        <v>436</v>
      </c>
      <c r="BE173" s="26">
        <v>437</v>
      </c>
      <c r="BF173">
        <v>442</v>
      </c>
      <c r="BG173">
        <v>452</v>
      </c>
      <c r="BH173">
        <v>456</v>
      </c>
      <c r="BI173">
        <v>469</v>
      </c>
      <c r="BJ173">
        <v>480</v>
      </c>
      <c r="BK173" t="s">
        <v>1442</v>
      </c>
    </row>
    <row r="174" spans="1:63" x14ac:dyDescent="0.25">
      <c r="A174" s="26" t="s">
        <v>27</v>
      </c>
      <c r="B174" s="26" t="s">
        <v>225</v>
      </c>
      <c r="C174" s="26">
        <v>31.202000000000002</v>
      </c>
      <c r="D174" s="26">
        <v>121.4491</v>
      </c>
      <c r="E174" s="26">
        <v>9</v>
      </c>
      <c r="F174" s="26">
        <v>16</v>
      </c>
      <c r="G174" s="26">
        <v>20</v>
      </c>
      <c r="H174" s="26">
        <v>33</v>
      </c>
      <c r="I174" s="26">
        <v>40</v>
      </c>
      <c r="J174" s="26">
        <v>53</v>
      </c>
      <c r="K174" s="26">
        <v>66</v>
      </c>
      <c r="L174" s="26">
        <v>96</v>
      </c>
      <c r="M174" s="26">
        <v>112</v>
      </c>
      <c r="N174" s="26">
        <v>135</v>
      </c>
      <c r="O174" s="26">
        <v>169</v>
      </c>
      <c r="P174" s="26">
        <v>182</v>
      </c>
      <c r="Q174" s="26">
        <v>203</v>
      </c>
      <c r="R174" s="26">
        <v>219</v>
      </c>
      <c r="S174" s="26">
        <v>243</v>
      </c>
      <c r="T174" s="26">
        <v>257</v>
      </c>
      <c r="U174" s="26">
        <v>277</v>
      </c>
      <c r="V174" s="26">
        <v>286</v>
      </c>
      <c r="W174" s="26">
        <v>293</v>
      </c>
      <c r="X174" s="26">
        <v>299</v>
      </c>
      <c r="Y174" s="26">
        <v>303</v>
      </c>
      <c r="Z174" s="26">
        <v>311</v>
      </c>
      <c r="AA174" s="26">
        <v>315</v>
      </c>
      <c r="AB174" s="26">
        <v>318</v>
      </c>
      <c r="AC174" s="26">
        <v>326</v>
      </c>
      <c r="AD174" s="26">
        <v>328</v>
      </c>
      <c r="AE174" s="26">
        <v>333</v>
      </c>
      <c r="AF174" s="26">
        <v>333</v>
      </c>
      <c r="AG174" s="26">
        <v>333</v>
      </c>
      <c r="AH174" s="26">
        <v>334</v>
      </c>
      <c r="AI174" s="26">
        <v>334</v>
      </c>
      <c r="AJ174" s="26">
        <v>335</v>
      </c>
      <c r="AK174" s="26">
        <v>335</v>
      </c>
      <c r="AL174" s="26">
        <v>335</v>
      </c>
      <c r="AM174" s="26">
        <v>336</v>
      </c>
      <c r="AN174" s="26">
        <v>337</v>
      </c>
      <c r="AO174" s="26">
        <v>337</v>
      </c>
      <c r="AP174" s="26">
        <v>337</v>
      </c>
      <c r="AQ174" s="26">
        <v>337</v>
      </c>
      <c r="AR174" s="26">
        <v>337</v>
      </c>
      <c r="AS174" s="26">
        <v>337</v>
      </c>
      <c r="AT174" s="26">
        <v>338</v>
      </c>
      <c r="AU174" s="26">
        <v>338</v>
      </c>
      <c r="AV174" s="26">
        <v>339</v>
      </c>
      <c r="AW174" s="26">
        <v>342</v>
      </c>
      <c r="AX174" s="26">
        <v>342</v>
      </c>
      <c r="AY174" s="26">
        <v>342</v>
      </c>
      <c r="AZ174" s="26">
        <v>342</v>
      </c>
      <c r="BA174" s="26">
        <v>344</v>
      </c>
      <c r="BB174" s="26">
        <v>344</v>
      </c>
      <c r="BC174" s="26">
        <v>344</v>
      </c>
      <c r="BD174" s="26">
        <v>346</v>
      </c>
      <c r="BE174" s="26">
        <v>353</v>
      </c>
      <c r="BF174">
        <v>353</v>
      </c>
      <c r="BG174">
        <v>355</v>
      </c>
      <c r="BH174">
        <v>358</v>
      </c>
      <c r="BI174">
        <v>361</v>
      </c>
      <c r="BJ174">
        <v>363</v>
      </c>
      <c r="BK174" t="s">
        <v>1443</v>
      </c>
    </row>
    <row r="175" spans="1:63" x14ac:dyDescent="0.25">
      <c r="A175" s="26" t="s">
        <v>13</v>
      </c>
      <c r="B175" s="26" t="s">
        <v>225</v>
      </c>
      <c r="C175" s="26">
        <v>39.548999999999999</v>
      </c>
      <c r="D175" s="26">
        <v>116.1306</v>
      </c>
      <c r="E175" s="26">
        <v>1</v>
      </c>
      <c r="F175" s="26">
        <v>1</v>
      </c>
      <c r="G175" s="26">
        <v>2</v>
      </c>
      <c r="H175" s="26">
        <v>8</v>
      </c>
      <c r="I175" s="26">
        <v>13</v>
      </c>
      <c r="J175" s="26">
        <v>18</v>
      </c>
      <c r="K175" s="26">
        <v>33</v>
      </c>
      <c r="L175" s="26">
        <v>48</v>
      </c>
      <c r="M175" s="26">
        <v>65</v>
      </c>
      <c r="N175" s="26">
        <v>82</v>
      </c>
      <c r="O175" s="26">
        <v>96</v>
      </c>
      <c r="P175" s="26">
        <v>104</v>
      </c>
      <c r="Q175" s="26">
        <v>113</v>
      </c>
      <c r="R175" s="26">
        <v>126</v>
      </c>
      <c r="S175" s="26">
        <v>135</v>
      </c>
      <c r="T175" s="26">
        <v>157</v>
      </c>
      <c r="U175" s="26">
        <v>172</v>
      </c>
      <c r="V175" s="26">
        <v>195</v>
      </c>
      <c r="W175" s="26">
        <v>206</v>
      </c>
      <c r="X175" s="26">
        <v>218</v>
      </c>
      <c r="Y175" s="26">
        <v>239</v>
      </c>
      <c r="Z175" s="26">
        <v>251</v>
      </c>
      <c r="AA175" s="26">
        <v>265</v>
      </c>
      <c r="AB175" s="26">
        <v>283</v>
      </c>
      <c r="AC175" s="26">
        <v>291</v>
      </c>
      <c r="AD175" s="26">
        <v>300</v>
      </c>
      <c r="AE175" s="26">
        <v>301</v>
      </c>
      <c r="AF175" s="26">
        <v>306</v>
      </c>
      <c r="AG175" s="26">
        <v>306</v>
      </c>
      <c r="AH175" s="26">
        <v>307</v>
      </c>
      <c r="AI175" s="26">
        <v>308</v>
      </c>
      <c r="AJ175" s="26">
        <v>309</v>
      </c>
      <c r="AK175" s="26">
        <v>311</v>
      </c>
      <c r="AL175" s="26">
        <v>311</v>
      </c>
      <c r="AM175" s="26">
        <v>311</v>
      </c>
      <c r="AN175" s="26">
        <v>312</v>
      </c>
      <c r="AO175" s="26">
        <v>317</v>
      </c>
      <c r="AP175" s="26">
        <v>318</v>
      </c>
      <c r="AQ175" s="26">
        <v>318</v>
      </c>
      <c r="AR175" s="26">
        <v>318</v>
      </c>
      <c r="AS175" s="26">
        <v>318</v>
      </c>
      <c r="AT175" s="26">
        <v>318</v>
      </c>
      <c r="AU175" s="26">
        <v>318</v>
      </c>
      <c r="AV175" s="26">
        <v>318</v>
      </c>
      <c r="AW175" s="26">
        <v>318</v>
      </c>
      <c r="AX175" s="26">
        <v>318</v>
      </c>
      <c r="AY175" s="26">
        <v>318</v>
      </c>
      <c r="AZ175" s="26">
        <v>318</v>
      </c>
      <c r="BA175" s="26">
        <v>318</v>
      </c>
      <c r="BB175" s="26">
        <v>318</v>
      </c>
      <c r="BC175" s="26">
        <v>318</v>
      </c>
      <c r="BD175" s="26">
        <v>318</v>
      </c>
      <c r="BE175" s="26">
        <v>318</v>
      </c>
      <c r="BF175">
        <v>318</v>
      </c>
      <c r="BG175">
        <v>318</v>
      </c>
      <c r="BH175">
        <v>318</v>
      </c>
      <c r="BI175">
        <v>318</v>
      </c>
      <c r="BJ175">
        <v>318</v>
      </c>
      <c r="BK175" t="s">
        <v>463</v>
      </c>
    </row>
    <row r="176" spans="1:63" x14ac:dyDescent="0.25">
      <c r="A176" s="26" t="s">
        <v>7</v>
      </c>
      <c r="B176" s="26" t="s">
        <v>225</v>
      </c>
      <c r="C176" s="26">
        <v>26.078900000000001</v>
      </c>
      <c r="D176" s="26">
        <v>117.98739999999999</v>
      </c>
      <c r="E176" s="26">
        <v>1</v>
      </c>
      <c r="F176" s="26">
        <v>5</v>
      </c>
      <c r="G176" s="26">
        <v>10</v>
      </c>
      <c r="H176" s="26">
        <v>18</v>
      </c>
      <c r="I176" s="26">
        <v>35</v>
      </c>
      <c r="J176" s="26">
        <v>59</v>
      </c>
      <c r="K176" s="26">
        <v>80</v>
      </c>
      <c r="L176" s="26">
        <v>84</v>
      </c>
      <c r="M176" s="26">
        <v>101</v>
      </c>
      <c r="N176" s="26">
        <v>120</v>
      </c>
      <c r="O176" s="26">
        <v>144</v>
      </c>
      <c r="P176" s="26">
        <v>159</v>
      </c>
      <c r="Q176" s="26">
        <v>179</v>
      </c>
      <c r="R176" s="26">
        <v>194</v>
      </c>
      <c r="S176" s="26">
        <v>205</v>
      </c>
      <c r="T176" s="26">
        <v>215</v>
      </c>
      <c r="U176" s="26">
        <v>224</v>
      </c>
      <c r="V176" s="26">
        <v>239</v>
      </c>
      <c r="W176" s="26">
        <v>250</v>
      </c>
      <c r="X176" s="26">
        <v>261</v>
      </c>
      <c r="Y176" s="26">
        <v>267</v>
      </c>
      <c r="Z176" s="26">
        <v>272</v>
      </c>
      <c r="AA176" s="26">
        <v>279</v>
      </c>
      <c r="AB176" s="26">
        <v>281</v>
      </c>
      <c r="AC176" s="26">
        <v>285</v>
      </c>
      <c r="AD176" s="26">
        <v>287</v>
      </c>
      <c r="AE176" s="26">
        <v>290</v>
      </c>
      <c r="AF176" s="26">
        <v>292</v>
      </c>
      <c r="AG176" s="26">
        <v>293</v>
      </c>
      <c r="AH176" s="26">
        <v>293</v>
      </c>
      <c r="AI176" s="26">
        <v>293</v>
      </c>
      <c r="AJ176" s="26">
        <v>293</v>
      </c>
      <c r="AK176" s="26">
        <v>293</v>
      </c>
      <c r="AL176" s="26">
        <v>293</v>
      </c>
      <c r="AM176" s="26">
        <v>294</v>
      </c>
      <c r="AN176" s="26">
        <v>294</v>
      </c>
      <c r="AO176" s="26">
        <v>296</v>
      </c>
      <c r="AP176" s="26">
        <v>296</v>
      </c>
      <c r="AQ176" s="26">
        <v>296</v>
      </c>
      <c r="AR176" s="26">
        <v>296</v>
      </c>
      <c r="AS176" s="26">
        <v>296</v>
      </c>
      <c r="AT176" s="26">
        <v>296</v>
      </c>
      <c r="AU176" s="26">
        <v>296</v>
      </c>
      <c r="AV176" s="26">
        <v>296</v>
      </c>
      <c r="AW176" s="26">
        <v>296</v>
      </c>
      <c r="AX176" s="26">
        <v>296</v>
      </c>
      <c r="AY176" s="26">
        <v>296</v>
      </c>
      <c r="AZ176" s="26">
        <v>296</v>
      </c>
      <c r="BA176" s="26">
        <v>296</v>
      </c>
      <c r="BB176" s="26">
        <v>296</v>
      </c>
      <c r="BC176" s="26">
        <v>296</v>
      </c>
      <c r="BD176" s="26">
        <v>296</v>
      </c>
      <c r="BE176" s="26">
        <v>296</v>
      </c>
      <c r="BF176">
        <v>296</v>
      </c>
      <c r="BG176">
        <v>296</v>
      </c>
      <c r="BH176">
        <v>296</v>
      </c>
      <c r="BI176">
        <v>296</v>
      </c>
      <c r="BJ176">
        <v>296</v>
      </c>
      <c r="BK176" t="s">
        <v>1255</v>
      </c>
    </row>
    <row r="177" spans="1:63" x14ac:dyDescent="0.25">
      <c r="A177" s="26" t="s">
        <v>10</v>
      </c>
      <c r="B177" s="26" t="s">
        <v>225</v>
      </c>
      <c r="C177" s="26">
        <v>23.829799999999999</v>
      </c>
      <c r="D177" s="26">
        <v>108.7881</v>
      </c>
      <c r="E177" s="26">
        <v>2</v>
      </c>
      <c r="F177" s="26">
        <v>5</v>
      </c>
      <c r="G177" s="26">
        <v>23</v>
      </c>
      <c r="H177" s="26">
        <v>23</v>
      </c>
      <c r="I177" s="26">
        <v>36</v>
      </c>
      <c r="J177" s="26">
        <v>46</v>
      </c>
      <c r="K177" s="26">
        <v>51</v>
      </c>
      <c r="L177" s="26">
        <v>58</v>
      </c>
      <c r="M177" s="26">
        <v>78</v>
      </c>
      <c r="N177" s="26">
        <v>87</v>
      </c>
      <c r="O177" s="26">
        <v>100</v>
      </c>
      <c r="P177" s="26">
        <v>111</v>
      </c>
      <c r="Q177" s="26">
        <v>127</v>
      </c>
      <c r="R177" s="26">
        <v>139</v>
      </c>
      <c r="S177" s="26">
        <v>150</v>
      </c>
      <c r="T177" s="26">
        <v>168</v>
      </c>
      <c r="U177" s="26">
        <v>172</v>
      </c>
      <c r="V177" s="26">
        <v>183</v>
      </c>
      <c r="W177" s="26">
        <v>195</v>
      </c>
      <c r="X177" s="26">
        <v>210</v>
      </c>
      <c r="Y177" s="26">
        <v>215</v>
      </c>
      <c r="Z177" s="26">
        <v>222</v>
      </c>
      <c r="AA177" s="26">
        <v>222</v>
      </c>
      <c r="AB177" s="26">
        <v>226</v>
      </c>
      <c r="AC177" s="26">
        <v>235</v>
      </c>
      <c r="AD177" s="26">
        <v>237</v>
      </c>
      <c r="AE177" s="26">
        <v>238</v>
      </c>
      <c r="AF177" s="26">
        <v>242</v>
      </c>
      <c r="AG177" s="26">
        <v>244</v>
      </c>
      <c r="AH177" s="26">
        <v>245</v>
      </c>
      <c r="AI177" s="26">
        <v>246</v>
      </c>
      <c r="AJ177" s="26">
        <v>249</v>
      </c>
      <c r="AK177" s="26">
        <v>249</v>
      </c>
      <c r="AL177" s="26">
        <v>251</v>
      </c>
      <c r="AM177" s="26">
        <v>252</v>
      </c>
      <c r="AN177" s="26">
        <v>252</v>
      </c>
      <c r="AO177" s="26">
        <v>252</v>
      </c>
      <c r="AP177" s="26">
        <v>252</v>
      </c>
      <c r="AQ177" s="26">
        <v>252</v>
      </c>
      <c r="AR177" s="26">
        <v>252</v>
      </c>
      <c r="AS177" s="26">
        <v>252</v>
      </c>
      <c r="AT177" s="26">
        <v>252</v>
      </c>
      <c r="AU177" s="26">
        <v>252</v>
      </c>
      <c r="AV177" s="26">
        <v>252</v>
      </c>
      <c r="AW177" s="26">
        <v>252</v>
      </c>
      <c r="AX177" s="26">
        <v>252</v>
      </c>
      <c r="AY177" s="26">
        <v>252</v>
      </c>
      <c r="AZ177" s="26">
        <v>252</v>
      </c>
      <c r="BA177" s="26">
        <v>252</v>
      </c>
      <c r="BB177" s="26">
        <v>252</v>
      </c>
      <c r="BC177" s="26">
        <v>252</v>
      </c>
      <c r="BD177" s="26">
        <v>252</v>
      </c>
      <c r="BE177" s="26">
        <v>252</v>
      </c>
      <c r="BF177">
        <v>252</v>
      </c>
      <c r="BG177">
        <v>252</v>
      </c>
      <c r="BH177">
        <v>253</v>
      </c>
      <c r="BI177">
        <v>253</v>
      </c>
      <c r="BJ177">
        <v>253</v>
      </c>
      <c r="BK177" t="s">
        <v>1444</v>
      </c>
    </row>
    <row r="178" spans="1:63" x14ac:dyDescent="0.25">
      <c r="A178" s="26" t="s">
        <v>25</v>
      </c>
      <c r="B178" s="26" t="s">
        <v>225</v>
      </c>
      <c r="C178" s="26">
        <v>35.191699999999997</v>
      </c>
      <c r="D178" s="26">
        <v>108.87009999999999</v>
      </c>
      <c r="E178" s="26">
        <v>0</v>
      </c>
      <c r="F178" s="26">
        <v>3</v>
      </c>
      <c r="G178" s="26">
        <v>5</v>
      </c>
      <c r="H178" s="26">
        <v>15</v>
      </c>
      <c r="I178" s="26">
        <v>22</v>
      </c>
      <c r="J178" s="26">
        <v>35</v>
      </c>
      <c r="K178" s="26">
        <v>46</v>
      </c>
      <c r="L178" s="26">
        <v>56</v>
      </c>
      <c r="M178" s="26">
        <v>63</v>
      </c>
      <c r="N178" s="26">
        <v>87</v>
      </c>
      <c r="O178" s="26">
        <v>101</v>
      </c>
      <c r="P178" s="26">
        <v>116</v>
      </c>
      <c r="Q178" s="26">
        <v>128</v>
      </c>
      <c r="R178" s="26">
        <v>142</v>
      </c>
      <c r="S178" s="26">
        <v>165</v>
      </c>
      <c r="T178" s="26">
        <v>173</v>
      </c>
      <c r="U178" s="26">
        <v>184</v>
      </c>
      <c r="V178" s="26">
        <v>195</v>
      </c>
      <c r="W178" s="26">
        <v>208</v>
      </c>
      <c r="X178" s="26">
        <v>213</v>
      </c>
      <c r="Y178" s="26">
        <v>219</v>
      </c>
      <c r="Z178" s="26">
        <v>225</v>
      </c>
      <c r="AA178" s="26">
        <v>229</v>
      </c>
      <c r="AB178" s="26">
        <v>230</v>
      </c>
      <c r="AC178" s="26">
        <v>232</v>
      </c>
      <c r="AD178" s="26">
        <v>236</v>
      </c>
      <c r="AE178" s="26">
        <v>240</v>
      </c>
      <c r="AF178" s="26">
        <v>240</v>
      </c>
      <c r="AG178" s="26">
        <v>242</v>
      </c>
      <c r="AH178" s="26">
        <v>245</v>
      </c>
      <c r="AI178" s="26">
        <v>245</v>
      </c>
      <c r="AJ178" s="26">
        <v>245</v>
      </c>
      <c r="AK178" s="26">
        <v>245</v>
      </c>
      <c r="AL178" s="26">
        <v>245</v>
      </c>
      <c r="AM178" s="26">
        <v>245</v>
      </c>
      <c r="AN178" s="26">
        <v>245</v>
      </c>
      <c r="AO178" s="26">
        <v>245</v>
      </c>
      <c r="AP178" s="26">
        <v>245</v>
      </c>
      <c r="AQ178" s="26">
        <v>245</v>
      </c>
      <c r="AR178" s="26">
        <v>245</v>
      </c>
      <c r="AS178" s="26">
        <v>245</v>
      </c>
      <c r="AT178" s="26">
        <v>245</v>
      </c>
      <c r="AU178" s="26">
        <v>245</v>
      </c>
      <c r="AV178" s="26">
        <v>245</v>
      </c>
      <c r="AW178" s="26">
        <v>245</v>
      </c>
      <c r="AX178" s="26">
        <v>245</v>
      </c>
      <c r="AY178" s="26">
        <v>245</v>
      </c>
      <c r="AZ178" s="26">
        <v>245</v>
      </c>
      <c r="BA178" s="26">
        <v>245</v>
      </c>
      <c r="BB178" s="26">
        <v>245</v>
      </c>
      <c r="BC178" s="26">
        <v>245</v>
      </c>
      <c r="BD178" s="26">
        <v>245</v>
      </c>
      <c r="BE178" s="26">
        <v>245</v>
      </c>
      <c r="BF178">
        <v>245</v>
      </c>
      <c r="BG178">
        <v>245</v>
      </c>
      <c r="BH178">
        <v>246</v>
      </c>
      <c r="BI178">
        <v>246</v>
      </c>
      <c r="BJ178">
        <v>246</v>
      </c>
      <c r="BK178" t="s">
        <v>1445</v>
      </c>
    </row>
    <row r="179" spans="1:63" x14ac:dyDescent="0.25">
      <c r="A179" s="26" t="s">
        <v>33</v>
      </c>
      <c r="B179" s="26" t="s">
        <v>225</v>
      </c>
      <c r="C179" s="26">
        <v>24.974</v>
      </c>
      <c r="D179" s="26">
        <v>101.48699999999999</v>
      </c>
      <c r="E179" s="26">
        <v>1</v>
      </c>
      <c r="F179" s="26">
        <v>2</v>
      </c>
      <c r="G179" s="26">
        <v>5</v>
      </c>
      <c r="H179" s="26">
        <v>11</v>
      </c>
      <c r="I179" s="26">
        <v>16</v>
      </c>
      <c r="J179" s="26">
        <v>26</v>
      </c>
      <c r="K179" s="26">
        <v>44</v>
      </c>
      <c r="L179" s="26">
        <v>55</v>
      </c>
      <c r="M179" s="26">
        <v>70</v>
      </c>
      <c r="N179" s="26">
        <v>83</v>
      </c>
      <c r="O179" s="26">
        <v>93</v>
      </c>
      <c r="P179" s="26">
        <v>105</v>
      </c>
      <c r="Q179" s="26">
        <v>117</v>
      </c>
      <c r="R179" s="26">
        <v>122</v>
      </c>
      <c r="S179" s="26">
        <v>128</v>
      </c>
      <c r="T179" s="26">
        <v>133</v>
      </c>
      <c r="U179" s="26">
        <v>138</v>
      </c>
      <c r="V179" s="26">
        <v>138</v>
      </c>
      <c r="W179" s="26">
        <v>141</v>
      </c>
      <c r="X179" s="26">
        <v>149</v>
      </c>
      <c r="Y179" s="26">
        <v>153</v>
      </c>
      <c r="Z179" s="26">
        <v>154</v>
      </c>
      <c r="AA179" s="26">
        <v>156</v>
      </c>
      <c r="AB179" s="26">
        <v>162</v>
      </c>
      <c r="AC179" s="26">
        <v>168</v>
      </c>
      <c r="AD179" s="26">
        <v>171</v>
      </c>
      <c r="AE179" s="26">
        <v>171</v>
      </c>
      <c r="AF179" s="26">
        <v>172</v>
      </c>
      <c r="AG179" s="26">
        <v>172</v>
      </c>
      <c r="AH179" s="26">
        <v>174</v>
      </c>
      <c r="AI179" s="26">
        <v>174</v>
      </c>
      <c r="AJ179" s="26">
        <v>174</v>
      </c>
      <c r="AK179" s="26">
        <v>174</v>
      </c>
      <c r="AL179" s="26">
        <v>174</v>
      </c>
      <c r="AM179" s="26">
        <v>174</v>
      </c>
      <c r="AN179" s="26">
        <v>174</v>
      </c>
      <c r="AO179" s="26">
        <v>174</v>
      </c>
      <c r="AP179" s="26">
        <v>174</v>
      </c>
      <c r="AQ179" s="26">
        <v>174</v>
      </c>
      <c r="AR179" s="26">
        <v>174</v>
      </c>
      <c r="AS179" s="26">
        <v>174</v>
      </c>
      <c r="AT179" s="26">
        <v>174</v>
      </c>
      <c r="AU179" s="26">
        <v>174</v>
      </c>
      <c r="AV179" s="26">
        <v>174</v>
      </c>
      <c r="AW179" s="26">
        <v>174</v>
      </c>
      <c r="AX179" s="26">
        <v>174</v>
      </c>
      <c r="AY179" s="26">
        <v>174</v>
      </c>
      <c r="AZ179" s="26">
        <v>174</v>
      </c>
      <c r="BA179" s="26">
        <v>174</v>
      </c>
      <c r="BB179" s="26">
        <v>174</v>
      </c>
      <c r="BC179" s="26">
        <v>174</v>
      </c>
      <c r="BD179" s="26">
        <v>174</v>
      </c>
      <c r="BE179" s="26">
        <v>174</v>
      </c>
      <c r="BF179">
        <v>174</v>
      </c>
      <c r="BG179">
        <v>176</v>
      </c>
      <c r="BH179">
        <v>176</v>
      </c>
      <c r="BI179">
        <v>176</v>
      </c>
      <c r="BJ179">
        <v>176</v>
      </c>
      <c r="BK179" t="s">
        <v>1273</v>
      </c>
    </row>
    <row r="180" spans="1:63" x14ac:dyDescent="0.25">
      <c r="A180" s="26" t="s">
        <v>12</v>
      </c>
      <c r="B180" s="26" t="s">
        <v>225</v>
      </c>
      <c r="C180" s="26">
        <v>19.195900000000002</v>
      </c>
      <c r="D180" s="26">
        <v>109.7453</v>
      </c>
      <c r="E180" s="26">
        <v>4</v>
      </c>
      <c r="F180" s="26">
        <v>5</v>
      </c>
      <c r="G180" s="26">
        <v>8</v>
      </c>
      <c r="H180" s="26">
        <v>19</v>
      </c>
      <c r="I180" s="26">
        <v>22</v>
      </c>
      <c r="J180" s="26">
        <v>33</v>
      </c>
      <c r="K180" s="26">
        <v>40</v>
      </c>
      <c r="L180" s="26">
        <v>43</v>
      </c>
      <c r="M180" s="26">
        <v>46</v>
      </c>
      <c r="N180" s="26">
        <v>52</v>
      </c>
      <c r="O180" s="26">
        <v>62</v>
      </c>
      <c r="P180" s="26">
        <v>64</v>
      </c>
      <c r="Q180" s="26">
        <v>72</v>
      </c>
      <c r="R180" s="26">
        <v>80</v>
      </c>
      <c r="S180" s="26">
        <v>99</v>
      </c>
      <c r="T180" s="26">
        <v>106</v>
      </c>
      <c r="U180" s="26">
        <v>117</v>
      </c>
      <c r="V180" s="26">
        <v>124</v>
      </c>
      <c r="W180" s="26">
        <v>131</v>
      </c>
      <c r="X180" s="26">
        <v>138</v>
      </c>
      <c r="Y180" s="26">
        <v>144</v>
      </c>
      <c r="Z180" s="26">
        <v>157</v>
      </c>
      <c r="AA180" s="26">
        <v>157</v>
      </c>
      <c r="AB180" s="26">
        <v>159</v>
      </c>
      <c r="AC180" s="26">
        <v>162</v>
      </c>
      <c r="AD180" s="26">
        <v>162</v>
      </c>
      <c r="AE180" s="26">
        <v>163</v>
      </c>
      <c r="AF180" s="26">
        <v>163</v>
      </c>
      <c r="AG180" s="26">
        <v>168</v>
      </c>
      <c r="AH180" s="26">
        <v>168</v>
      </c>
      <c r="AI180" s="26">
        <v>168</v>
      </c>
      <c r="AJ180" s="26">
        <v>168</v>
      </c>
      <c r="AK180" s="26">
        <v>168</v>
      </c>
      <c r="AL180" s="26">
        <v>168</v>
      </c>
      <c r="AM180" s="26">
        <v>168</v>
      </c>
      <c r="AN180" s="26">
        <v>168</v>
      </c>
      <c r="AO180" s="26">
        <v>168</v>
      </c>
      <c r="AP180" s="26">
        <v>168</v>
      </c>
      <c r="AQ180" s="26">
        <v>168</v>
      </c>
      <c r="AR180" s="26">
        <v>168</v>
      </c>
      <c r="AS180" s="26">
        <v>168</v>
      </c>
      <c r="AT180" s="26">
        <v>168</v>
      </c>
      <c r="AU180" s="26">
        <v>168</v>
      </c>
      <c r="AV180" s="26">
        <v>168</v>
      </c>
      <c r="AW180" s="26">
        <v>168</v>
      </c>
      <c r="AX180" s="26">
        <v>168</v>
      </c>
      <c r="AY180" s="26">
        <v>168</v>
      </c>
      <c r="AZ180" s="26">
        <v>168</v>
      </c>
      <c r="BA180" s="26">
        <v>168</v>
      </c>
      <c r="BB180" s="26">
        <v>168</v>
      </c>
      <c r="BC180" s="26">
        <v>168</v>
      </c>
      <c r="BD180" s="26">
        <v>168</v>
      </c>
      <c r="BE180" s="26">
        <v>168</v>
      </c>
      <c r="BF180">
        <v>168</v>
      </c>
      <c r="BG180">
        <v>168</v>
      </c>
      <c r="BH180">
        <v>168</v>
      </c>
      <c r="BI180">
        <v>168</v>
      </c>
      <c r="BJ180">
        <v>168</v>
      </c>
      <c r="BK180" t="s">
        <v>464</v>
      </c>
    </row>
    <row r="181" spans="1:63" x14ac:dyDescent="0.25">
      <c r="A181" s="26" t="s">
        <v>11</v>
      </c>
      <c r="B181" s="26" t="s">
        <v>225</v>
      </c>
      <c r="C181" s="26">
        <v>26.8154</v>
      </c>
      <c r="D181" s="26">
        <v>106.87479999999999</v>
      </c>
      <c r="E181" s="26">
        <v>1</v>
      </c>
      <c r="F181" s="26">
        <v>3</v>
      </c>
      <c r="G181" s="26">
        <v>3</v>
      </c>
      <c r="H181" s="26">
        <v>4</v>
      </c>
      <c r="I181" s="26">
        <v>5</v>
      </c>
      <c r="J181" s="26">
        <v>7</v>
      </c>
      <c r="K181" s="26">
        <v>9</v>
      </c>
      <c r="L181" s="26">
        <v>9</v>
      </c>
      <c r="M181" s="26">
        <v>12</v>
      </c>
      <c r="N181" s="26">
        <v>29</v>
      </c>
      <c r="O181" s="26">
        <v>29</v>
      </c>
      <c r="P181" s="26">
        <v>38</v>
      </c>
      <c r="Q181" s="26">
        <v>46</v>
      </c>
      <c r="R181" s="26">
        <v>58</v>
      </c>
      <c r="S181" s="26">
        <v>64</v>
      </c>
      <c r="T181" s="26">
        <v>71</v>
      </c>
      <c r="U181" s="26">
        <v>81</v>
      </c>
      <c r="V181" s="26">
        <v>89</v>
      </c>
      <c r="W181" s="26">
        <v>99</v>
      </c>
      <c r="X181" s="26">
        <v>109</v>
      </c>
      <c r="Y181" s="26">
        <v>127</v>
      </c>
      <c r="Z181" s="26">
        <v>133</v>
      </c>
      <c r="AA181" s="26">
        <v>135</v>
      </c>
      <c r="AB181" s="26">
        <v>140</v>
      </c>
      <c r="AC181" s="26">
        <v>143</v>
      </c>
      <c r="AD181" s="26">
        <v>144</v>
      </c>
      <c r="AE181" s="26">
        <v>146</v>
      </c>
      <c r="AF181" s="26">
        <v>146</v>
      </c>
      <c r="AG181" s="26">
        <v>146</v>
      </c>
      <c r="AH181" s="26">
        <v>146</v>
      </c>
      <c r="AI181" s="26">
        <v>146</v>
      </c>
      <c r="AJ181" s="26">
        <v>146</v>
      </c>
      <c r="AK181" s="26">
        <v>146</v>
      </c>
      <c r="AL181" s="26">
        <v>146</v>
      </c>
      <c r="AM181" s="26">
        <v>146</v>
      </c>
      <c r="AN181" s="26">
        <v>146</v>
      </c>
      <c r="AO181" s="26">
        <v>146</v>
      </c>
      <c r="AP181" s="26">
        <v>146</v>
      </c>
      <c r="AQ181" s="26">
        <v>146</v>
      </c>
      <c r="AR181" s="26">
        <v>146</v>
      </c>
      <c r="AS181" s="26">
        <v>146</v>
      </c>
      <c r="AT181" s="26">
        <v>146</v>
      </c>
      <c r="AU181" s="26">
        <v>146</v>
      </c>
      <c r="AV181" s="26">
        <v>146</v>
      </c>
      <c r="AW181" s="26">
        <v>146</v>
      </c>
      <c r="AX181" s="26">
        <v>146</v>
      </c>
      <c r="AY181" s="26">
        <v>146</v>
      </c>
      <c r="AZ181" s="26">
        <v>146</v>
      </c>
      <c r="BA181" s="26">
        <v>146</v>
      </c>
      <c r="BB181" s="26">
        <v>146</v>
      </c>
      <c r="BC181" s="26">
        <v>146</v>
      </c>
      <c r="BD181" s="26">
        <v>146</v>
      </c>
      <c r="BE181" s="26">
        <v>146</v>
      </c>
      <c r="BF181">
        <v>146</v>
      </c>
      <c r="BG181">
        <v>146</v>
      </c>
      <c r="BH181">
        <v>147</v>
      </c>
      <c r="BI181">
        <v>146</v>
      </c>
      <c r="BJ181">
        <v>146</v>
      </c>
      <c r="BK181" t="s">
        <v>465</v>
      </c>
    </row>
    <row r="182" spans="1:63" x14ac:dyDescent="0.25">
      <c r="A182" s="26" t="s">
        <v>30</v>
      </c>
      <c r="B182" s="26" t="s">
        <v>225</v>
      </c>
      <c r="C182" s="26">
        <v>39.305399999999999</v>
      </c>
      <c r="D182" s="26">
        <v>117.32299999999999</v>
      </c>
      <c r="E182" s="26">
        <v>4</v>
      </c>
      <c r="F182" s="26">
        <v>4</v>
      </c>
      <c r="G182" s="26">
        <v>8</v>
      </c>
      <c r="H182" s="26">
        <v>10</v>
      </c>
      <c r="I182" s="26">
        <v>14</v>
      </c>
      <c r="J182" s="26">
        <v>23</v>
      </c>
      <c r="K182" s="26">
        <v>24</v>
      </c>
      <c r="L182" s="26">
        <v>27</v>
      </c>
      <c r="M182" s="26">
        <v>31</v>
      </c>
      <c r="N182" s="26">
        <v>32</v>
      </c>
      <c r="O182" s="26">
        <v>41</v>
      </c>
      <c r="P182" s="26">
        <v>48</v>
      </c>
      <c r="Q182" s="26">
        <v>60</v>
      </c>
      <c r="R182" s="26">
        <v>67</v>
      </c>
      <c r="S182" s="26">
        <v>69</v>
      </c>
      <c r="T182" s="26">
        <v>79</v>
      </c>
      <c r="U182" s="26">
        <v>81</v>
      </c>
      <c r="V182" s="26">
        <v>88</v>
      </c>
      <c r="W182" s="26">
        <v>91</v>
      </c>
      <c r="X182" s="26">
        <v>95</v>
      </c>
      <c r="Y182" s="26">
        <v>106</v>
      </c>
      <c r="Z182" s="26">
        <v>112</v>
      </c>
      <c r="AA182" s="26">
        <v>119</v>
      </c>
      <c r="AB182" s="26">
        <v>120</v>
      </c>
      <c r="AC182" s="26">
        <v>122</v>
      </c>
      <c r="AD182" s="26">
        <v>124</v>
      </c>
      <c r="AE182" s="26">
        <v>125</v>
      </c>
      <c r="AF182" s="26">
        <v>128</v>
      </c>
      <c r="AG182" s="26">
        <v>130</v>
      </c>
      <c r="AH182" s="26">
        <v>131</v>
      </c>
      <c r="AI182" s="26">
        <v>132</v>
      </c>
      <c r="AJ182" s="26">
        <v>135</v>
      </c>
      <c r="AK182" s="26">
        <v>135</v>
      </c>
      <c r="AL182" s="26">
        <v>135</v>
      </c>
      <c r="AM182" s="26">
        <v>135</v>
      </c>
      <c r="AN182" s="26">
        <v>135</v>
      </c>
      <c r="AO182" s="26">
        <v>136</v>
      </c>
      <c r="AP182" s="26">
        <v>136</v>
      </c>
      <c r="AQ182" s="26">
        <v>136</v>
      </c>
      <c r="AR182" s="26">
        <v>136</v>
      </c>
      <c r="AS182" s="26">
        <v>136</v>
      </c>
      <c r="AT182" s="26">
        <v>136</v>
      </c>
      <c r="AU182" s="26">
        <v>136</v>
      </c>
      <c r="AV182" s="26">
        <v>136</v>
      </c>
      <c r="AW182" s="26">
        <v>136</v>
      </c>
      <c r="AX182" s="26">
        <v>136</v>
      </c>
      <c r="AY182" s="26">
        <v>136</v>
      </c>
      <c r="AZ182" s="26">
        <v>136</v>
      </c>
      <c r="BA182" s="26">
        <v>136</v>
      </c>
      <c r="BB182" s="26">
        <v>136</v>
      </c>
      <c r="BC182" s="26">
        <v>136</v>
      </c>
      <c r="BD182" s="26">
        <v>136</v>
      </c>
      <c r="BE182" s="26">
        <v>136</v>
      </c>
      <c r="BF182">
        <v>136</v>
      </c>
      <c r="BG182">
        <v>136</v>
      </c>
      <c r="BH182">
        <v>136</v>
      </c>
      <c r="BI182">
        <v>136</v>
      </c>
      <c r="BJ182">
        <v>137</v>
      </c>
      <c r="BK182" t="s">
        <v>1401</v>
      </c>
    </row>
    <row r="183" spans="1:63" x14ac:dyDescent="0.25">
      <c r="A183" s="26" t="s">
        <v>28</v>
      </c>
      <c r="B183" s="26" t="s">
        <v>225</v>
      </c>
      <c r="C183" s="26">
        <v>37.5777</v>
      </c>
      <c r="D183" s="26">
        <v>112.29219999999999</v>
      </c>
      <c r="E183" s="26">
        <v>1</v>
      </c>
      <c r="F183" s="26">
        <v>1</v>
      </c>
      <c r="G183" s="26">
        <v>1</v>
      </c>
      <c r="H183" s="26">
        <v>6</v>
      </c>
      <c r="I183" s="26">
        <v>9</v>
      </c>
      <c r="J183" s="26">
        <v>13</v>
      </c>
      <c r="K183" s="26">
        <v>27</v>
      </c>
      <c r="L183" s="26">
        <v>27</v>
      </c>
      <c r="M183" s="26">
        <v>35</v>
      </c>
      <c r="N183" s="26">
        <v>39</v>
      </c>
      <c r="O183" s="26">
        <v>47</v>
      </c>
      <c r="P183" s="26">
        <v>66</v>
      </c>
      <c r="Q183" s="26">
        <v>74</v>
      </c>
      <c r="R183" s="26">
        <v>81</v>
      </c>
      <c r="S183" s="26">
        <v>81</v>
      </c>
      <c r="T183" s="26">
        <v>96</v>
      </c>
      <c r="U183" s="26">
        <v>104</v>
      </c>
      <c r="V183" s="26">
        <v>115</v>
      </c>
      <c r="W183" s="26">
        <v>119</v>
      </c>
      <c r="X183" s="26">
        <v>119</v>
      </c>
      <c r="Y183" s="26">
        <v>124</v>
      </c>
      <c r="Z183" s="26">
        <v>126</v>
      </c>
      <c r="AA183" s="26">
        <v>126</v>
      </c>
      <c r="AB183" s="26">
        <v>127</v>
      </c>
      <c r="AC183" s="26">
        <v>128</v>
      </c>
      <c r="AD183" s="26">
        <v>129</v>
      </c>
      <c r="AE183" s="26">
        <v>130</v>
      </c>
      <c r="AF183" s="26">
        <v>131</v>
      </c>
      <c r="AG183" s="26">
        <v>131</v>
      </c>
      <c r="AH183" s="26">
        <v>132</v>
      </c>
      <c r="AI183" s="26">
        <v>132</v>
      </c>
      <c r="AJ183" s="26">
        <v>132</v>
      </c>
      <c r="AK183" s="26">
        <v>132</v>
      </c>
      <c r="AL183" s="26">
        <v>133</v>
      </c>
      <c r="AM183" s="26">
        <v>133</v>
      </c>
      <c r="AN183" s="26">
        <v>133</v>
      </c>
      <c r="AO183" s="26">
        <v>133</v>
      </c>
      <c r="AP183" s="26">
        <v>133</v>
      </c>
      <c r="AQ183" s="26">
        <v>133</v>
      </c>
      <c r="AR183" s="26">
        <v>133</v>
      </c>
      <c r="AS183" s="26">
        <v>133</v>
      </c>
      <c r="AT183" s="26">
        <v>133</v>
      </c>
      <c r="AU183" s="26">
        <v>133</v>
      </c>
      <c r="AV183" s="26">
        <v>133</v>
      </c>
      <c r="AW183" s="26">
        <v>133</v>
      </c>
      <c r="AX183" s="26">
        <v>133</v>
      </c>
      <c r="AY183" s="26">
        <v>133</v>
      </c>
      <c r="AZ183" s="26">
        <v>133</v>
      </c>
      <c r="BA183" s="26">
        <v>133</v>
      </c>
      <c r="BB183" s="26">
        <v>133</v>
      </c>
      <c r="BC183" s="26">
        <v>133</v>
      </c>
      <c r="BD183" s="26">
        <v>133</v>
      </c>
      <c r="BE183" s="26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 t="s">
        <v>467</v>
      </c>
    </row>
    <row r="184" spans="1:63" x14ac:dyDescent="0.25">
      <c r="A184" s="26" t="s">
        <v>8</v>
      </c>
      <c r="B184" s="26" t="s">
        <v>225</v>
      </c>
      <c r="C184" s="26">
        <v>37.809899999999999</v>
      </c>
      <c r="D184" s="26">
        <v>101.0583</v>
      </c>
      <c r="E184" s="26">
        <v>0</v>
      </c>
      <c r="F184" s="26">
        <v>2</v>
      </c>
      <c r="G184" s="26">
        <v>2</v>
      </c>
      <c r="H184" s="26">
        <v>4</v>
      </c>
      <c r="I184" s="26">
        <v>7</v>
      </c>
      <c r="J184" s="26">
        <v>14</v>
      </c>
      <c r="K184" s="26">
        <v>19</v>
      </c>
      <c r="L184" s="26">
        <v>24</v>
      </c>
      <c r="M184" s="26">
        <v>26</v>
      </c>
      <c r="N184" s="26">
        <v>29</v>
      </c>
      <c r="O184" s="26">
        <v>40</v>
      </c>
      <c r="P184" s="26">
        <v>51</v>
      </c>
      <c r="Q184" s="26">
        <v>55</v>
      </c>
      <c r="R184" s="26">
        <v>57</v>
      </c>
      <c r="S184" s="26">
        <v>62</v>
      </c>
      <c r="T184" s="26">
        <v>62</v>
      </c>
      <c r="U184" s="26">
        <v>67</v>
      </c>
      <c r="V184" s="26">
        <v>79</v>
      </c>
      <c r="W184" s="26">
        <v>83</v>
      </c>
      <c r="X184" s="26">
        <v>83</v>
      </c>
      <c r="Y184" s="26">
        <v>86</v>
      </c>
      <c r="Z184" s="26">
        <v>87</v>
      </c>
      <c r="AA184" s="26">
        <v>90</v>
      </c>
      <c r="AB184" s="26">
        <v>90</v>
      </c>
      <c r="AC184" s="26">
        <v>90</v>
      </c>
      <c r="AD184" s="26">
        <v>90</v>
      </c>
      <c r="AE184" s="26">
        <v>91</v>
      </c>
      <c r="AF184" s="26">
        <v>91</v>
      </c>
      <c r="AG184" s="26">
        <v>91</v>
      </c>
      <c r="AH184" s="26">
        <v>91</v>
      </c>
      <c r="AI184" s="26">
        <v>91</v>
      </c>
      <c r="AJ184" s="26">
        <v>91</v>
      </c>
      <c r="AK184" s="26">
        <v>91</v>
      </c>
      <c r="AL184" s="26">
        <v>91</v>
      </c>
      <c r="AM184" s="26">
        <v>91</v>
      </c>
      <c r="AN184" s="26">
        <v>91</v>
      </c>
      <c r="AO184" s="26">
        <v>91</v>
      </c>
      <c r="AP184" s="26">
        <v>91</v>
      </c>
      <c r="AQ184" s="26">
        <v>91</v>
      </c>
      <c r="AR184" s="26">
        <v>91</v>
      </c>
      <c r="AS184" s="26">
        <v>91</v>
      </c>
      <c r="AT184" s="26">
        <v>91</v>
      </c>
      <c r="AU184" s="26">
        <v>91</v>
      </c>
      <c r="AV184" s="26">
        <v>102</v>
      </c>
      <c r="AW184" s="26">
        <v>119</v>
      </c>
      <c r="AX184" s="26">
        <v>120</v>
      </c>
      <c r="AY184" s="26">
        <v>124</v>
      </c>
      <c r="AZ184" s="26">
        <v>124</v>
      </c>
      <c r="BA184" s="26">
        <v>125</v>
      </c>
      <c r="BB184" s="26">
        <v>127</v>
      </c>
      <c r="BC184" s="26">
        <v>127</v>
      </c>
      <c r="BD184" s="26">
        <v>127</v>
      </c>
      <c r="BE184" s="26">
        <v>129</v>
      </c>
      <c r="BF184">
        <v>133</v>
      </c>
      <c r="BG184">
        <v>133</v>
      </c>
      <c r="BH184">
        <v>133</v>
      </c>
      <c r="BI184">
        <v>133</v>
      </c>
      <c r="BJ184">
        <v>134</v>
      </c>
      <c r="BK184" t="s">
        <v>1446</v>
      </c>
    </row>
    <row r="185" spans="1:63" x14ac:dyDescent="0.25">
      <c r="A185" s="26" t="s">
        <v>39</v>
      </c>
      <c r="B185" s="26" t="s">
        <v>225</v>
      </c>
      <c r="C185" s="26">
        <v>22.3</v>
      </c>
      <c r="D185" s="26">
        <v>114.2</v>
      </c>
      <c r="E185" s="26">
        <v>0</v>
      </c>
      <c r="F185" s="26">
        <v>2</v>
      </c>
      <c r="G185" s="26">
        <v>2</v>
      </c>
      <c r="H185" s="26">
        <v>5</v>
      </c>
      <c r="I185" s="26">
        <v>8</v>
      </c>
      <c r="J185" s="26">
        <v>8</v>
      </c>
      <c r="K185" s="26">
        <v>8</v>
      </c>
      <c r="L185" s="26">
        <v>10</v>
      </c>
      <c r="M185" s="26">
        <v>10</v>
      </c>
      <c r="N185" s="26">
        <v>12</v>
      </c>
      <c r="O185" s="26">
        <v>13</v>
      </c>
      <c r="P185" s="26">
        <v>15</v>
      </c>
      <c r="Q185" s="26">
        <v>15</v>
      </c>
      <c r="R185" s="26">
        <v>17</v>
      </c>
      <c r="S185" s="26">
        <v>21</v>
      </c>
      <c r="T185" s="26">
        <v>24</v>
      </c>
      <c r="U185" s="26">
        <v>25</v>
      </c>
      <c r="V185" s="26">
        <v>26</v>
      </c>
      <c r="W185" s="26">
        <v>29</v>
      </c>
      <c r="X185" s="26">
        <v>38</v>
      </c>
      <c r="Y185" s="26">
        <v>49</v>
      </c>
      <c r="Z185" s="26">
        <v>50</v>
      </c>
      <c r="AA185" s="26">
        <v>53</v>
      </c>
      <c r="AB185" s="26">
        <v>56</v>
      </c>
      <c r="AC185" s="26">
        <v>56</v>
      </c>
      <c r="AD185" s="26">
        <v>57</v>
      </c>
      <c r="AE185" s="26">
        <v>60</v>
      </c>
      <c r="AF185" s="26">
        <v>62</v>
      </c>
      <c r="AG185" s="26">
        <v>63</v>
      </c>
      <c r="AH185" s="26">
        <v>68</v>
      </c>
      <c r="AI185" s="26">
        <v>68</v>
      </c>
      <c r="AJ185" s="26">
        <v>69</v>
      </c>
      <c r="AK185" s="26">
        <v>74</v>
      </c>
      <c r="AL185" s="26">
        <v>79</v>
      </c>
      <c r="AM185" s="26">
        <v>84</v>
      </c>
      <c r="AN185" s="26">
        <v>91</v>
      </c>
      <c r="AO185" s="26">
        <v>92</v>
      </c>
      <c r="AP185" s="26">
        <v>94</v>
      </c>
      <c r="AQ185" s="26">
        <v>95</v>
      </c>
      <c r="AR185" s="26">
        <v>96</v>
      </c>
      <c r="AS185" s="26">
        <v>100</v>
      </c>
      <c r="AT185" s="26">
        <v>100</v>
      </c>
      <c r="AU185" s="26">
        <v>105</v>
      </c>
      <c r="AV185" s="26">
        <v>105</v>
      </c>
      <c r="AW185" s="26">
        <v>107</v>
      </c>
      <c r="AX185" s="26">
        <v>108</v>
      </c>
      <c r="AY185" s="26">
        <v>114</v>
      </c>
      <c r="AZ185" s="26">
        <v>115</v>
      </c>
      <c r="BA185" s="26">
        <v>120</v>
      </c>
      <c r="BB185" s="26">
        <v>126</v>
      </c>
      <c r="BC185" s="26">
        <v>129</v>
      </c>
      <c r="BD185" s="26">
        <v>134</v>
      </c>
      <c r="BE185" s="26">
        <v>140</v>
      </c>
      <c r="BF185">
        <v>145</v>
      </c>
      <c r="BG185">
        <v>155</v>
      </c>
      <c r="BH185">
        <v>162</v>
      </c>
      <c r="BI185">
        <v>181</v>
      </c>
      <c r="BJ185">
        <v>208</v>
      </c>
      <c r="BK185" t="s">
        <v>1254</v>
      </c>
    </row>
    <row r="186" spans="1:63" x14ac:dyDescent="0.25">
      <c r="A186" s="26" t="s">
        <v>22</v>
      </c>
      <c r="B186" s="26" t="s">
        <v>225</v>
      </c>
      <c r="C186" s="26">
        <v>41.2956</v>
      </c>
      <c r="D186" s="26">
        <v>122.60850000000001</v>
      </c>
      <c r="E186" s="26">
        <v>2</v>
      </c>
      <c r="F186" s="26">
        <v>3</v>
      </c>
      <c r="G186" s="26">
        <v>4</v>
      </c>
      <c r="H186" s="26">
        <v>17</v>
      </c>
      <c r="I186" s="26">
        <v>21</v>
      </c>
      <c r="J186" s="26">
        <v>27</v>
      </c>
      <c r="K186" s="26">
        <v>34</v>
      </c>
      <c r="L186" s="26">
        <v>39</v>
      </c>
      <c r="M186" s="26">
        <v>41</v>
      </c>
      <c r="N186" s="26">
        <v>48</v>
      </c>
      <c r="O186" s="26">
        <v>64</v>
      </c>
      <c r="P186" s="26">
        <v>70</v>
      </c>
      <c r="Q186" s="26">
        <v>74</v>
      </c>
      <c r="R186" s="26">
        <v>81</v>
      </c>
      <c r="S186" s="26">
        <v>89</v>
      </c>
      <c r="T186" s="26">
        <v>94</v>
      </c>
      <c r="U186" s="26">
        <v>99</v>
      </c>
      <c r="V186" s="26">
        <v>105</v>
      </c>
      <c r="W186" s="26">
        <v>107</v>
      </c>
      <c r="X186" s="26">
        <v>108</v>
      </c>
      <c r="Y186" s="26">
        <v>111</v>
      </c>
      <c r="Z186" s="26">
        <v>116</v>
      </c>
      <c r="AA186" s="26">
        <v>117</v>
      </c>
      <c r="AB186" s="26">
        <v>119</v>
      </c>
      <c r="AC186" s="26">
        <v>119</v>
      </c>
      <c r="AD186" s="26">
        <v>121</v>
      </c>
      <c r="AE186" s="26">
        <v>121</v>
      </c>
      <c r="AF186" s="26">
        <v>121</v>
      </c>
      <c r="AG186" s="26">
        <v>121</v>
      </c>
      <c r="AH186" s="26">
        <v>121</v>
      </c>
      <c r="AI186" s="26">
        <v>121</v>
      </c>
      <c r="AJ186" s="26">
        <v>121</v>
      </c>
      <c r="AK186" s="26">
        <v>121</v>
      </c>
      <c r="AL186" s="26">
        <v>121</v>
      </c>
      <c r="AM186" s="26">
        <v>121</v>
      </c>
      <c r="AN186" s="26">
        <v>121</v>
      </c>
      <c r="AO186" s="26">
        <v>121</v>
      </c>
      <c r="AP186" s="26">
        <v>121</v>
      </c>
      <c r="AQ186" s="26">
        <v>121</v>
      </c>
      <c r="AR186" s="26">
        <v>122</v>
      </c>
      <c r="AS186" s="26">
        <v>122</v>
      </c>
      <c r="AT186" s="26">
        <v>125</v>
      </c>
      <c r="AU186" s="26">
        <v>125</v>
      </c>
      <c r="AV186" s="26">
        <v>125</v>
      </c>
      <c r="AW186" s="26">
        <v>125</v>
      </c>
      <c r="AX186" s="26">
        <v>125</v>
      </c>
      <c r="AY186" s="26">
        <v>125</v>
      </c>
      <c r="AZ186" s="26">
        <v>125</v>
      </c>
      <c r="BA186" s="26">
        <v>125</v>
      </c>
      <c r="BB186" s="26">
        <v>125</v>
      </c>
      <c r="BC186" s="26">
        <v>125</v>
      </c>
      <c r="BD186" s="26">
        <v>125</v>
      </c>
      <c r="BE186" s="26">
        <v>125</v>
      </c>
      <c r="BF186">
        <v>125</v>
      </c>
      <c r="BG186">
        <v>125</v>
      </c>
      <c r="BH186">
        <v>125</v>
      </c>
      <c r="BI186">
        <v>125</v>
      </c>
      <c r="BJ186">
        <v>125</v>
      </c>
      <c r="BK186" t="s">
        <v>1421</v>
      </c>
    </row>
    <row r="187" spans="1:63" x14ac:dyDescent="0.25">
      <c r="A187" s="26" t="s">
        <v>21</v>
      </c>
      <c r="B187" s="26" t="s">
        <v>225</v>
      </c>
      <c r="C187" s="26">
        <v>43.6661</v>
      </c>
      <c r="D187" s="26">
        <v>126.1923</v>
      </c>
      <c r="E187" s="26">
        <v>0</v>
      </c>
      <c r="F187" s="26">
        <v>1</v>
      </c>
      <c r="G187" s="26">
        <v>3</v>
      </c>
      <c r="H187" s="26">
        <v>4</v>
      </c>
      <c r="I187" s="26">
        <v>4</v>
      </c>
      <c r="J187" s="26">
        <v>6</v>
      </c>
      <c r="K187" s="26">
        <v>8</v>
      </c>
      <c r="L187" s="26">
        <v>9</v>
      </c>
      <c r="M187" s="26">
        <v>14</v>
      </c>
      <c r="N187" s="26">
        <v>14</v>
      </c>
      <c r="O187" s="26">
        <v>17</v>
      </c>
      <c r="P187" s="26">
        <v>23</v>
      </c>
      <c r="Q187" s="26">
        <v>31</v>
      </c>
      <c r="R187" s="26">
        <v>42</v>
      </c>
      <c r="S187" s="26">
        <v>54</v>
      </c>
      <c r="T187" s="26">
        <v>59</v>
      </c>
      <c r="U187" s="26">
        <v>65</v>
      </c>
      <c r="V187" s="26">
        <v>69</v>
      </c>
      <c r="W187" s="26">
        <v>78</v>
      </c>
      <c r="X187" s="26">
        <v>80</v>
      </c>
      <c r="Y187" s="26">
        <v>81</v>
      </c>
      <c r="Z187" s="26">
        <v>83</v>
      </c>
      <c r="AA187" s="26">
        <v>84</v>
      </c>
      <c r="AB187" s="26">
        <v>86</v>
      </c>
      <c r="AC187" s="26">
        <v>88</v>
      </c>
      <c r="AD187" s="26">
        <v>89</v>
      </c>
      <c r="AE187" s="26">
        <v>89</v>
      </c>
      <c r="AF187" s="26">
        <v>89</v>
      </c>
      <c r="AG187" s="26">
        <v>90</v>
      </c>
      <c r="AH187" s="26">
        <v>91</v>
      </c>
      <c r="AI187" s="26">
        <v>91</v>
      </c>
      <c r="AJ187" s="26">
        <v>91</v>
      </c>
      <c r="AK187" s="26">
        <v>91</v>
      </c>
      <c r="AL187" s="26">
        <v>93</v>
      </c>
      <c r="AM187" s="26">
        <v>93</v>
      </c>
      <c r="AN187" s="26">
        <v>93</v>
      </c>
      <c r="AO187" s="26">
        <v>93</v>
      </c>
      <c r="AP187" s="26">
        <v>93</v>
      </c>
      <c r="AQ187" s="26">
        <v>93</v>
      </c>
      <c r="AR187" s="26">
        <v>93</v>
      </c>
      <c r="AS187" s="26">
        <v>93</v>
      </c>
      <c r="AT187" s="26">
        <v>93</v>
      </c>
      <c r="AU187" s="26">
        <v>93</v>
      </c>
      <c r="AV187" s="26">
        <v>93</v>
      </c>
      <c r="AW187" s="26">
        <v>93</v>
      </c>
      <c r="AX187" s="26">
        <v>93</v>
      </c>
      <c r="AY187" s="26">
        <v>93</v>
      </c>
      <c r="AZ187" s="26">
        <v>93</v>
      </c>
      <c r="BA187" s="26">
        <v>93</v>
      </c>
      <c r="BB187" s="26">
        <v>93</v>
      </c>
      <c r="BC187" s="26">
        <v>93</v>
      </c>
      <c r="BD187" s="26">
        <v>93</v>
      </c>
      <c r="BE187" s="26">
        <v>93</v>
      </c>
      <c r="BF187">
        <v>93</v>
      </c>
      <c r="BG187">
        <v>93</v>
      </c>
      <c r="BH187">
        <v>93</v>
      </c>
      <c r="BI187">
        <v>93</v>
      </c>
      <c r="BJ187">
        <v>93</v>
      </c>
      <c r="BK187" t="s">
        <v>468</v>
      </c>
    </row>
    <row r="188" spans="1:63" x14ac:dyDescent="0.25">
      <c r="A188" s="26"/>
      <c r="B188" s="26" t="s">
        <v>227</v>
      </c>
      <c r="C188" s="26">
        <v>49.817500000000003</v>
      </c>
      <c r="D188" s="26">
        <v>15.473000000000001</v>
      </c>
      <c r="E188" s="26">
        <v>0</v>
      </c>
      <c r="F188" s="26">
        <v>0</v>
      </c>
      <c r="G188" s="26">
        <v>0</v>
      </c>
      <c r="H188" s="26">
        <v>0</v>
      </c>
      <c r="I188" s="26">
        <v>0</v>
      </c>
      <c r="J188" s="26">
        <v>0</v>
      </c>
      <c r="K188" s="26">
        <v>0</v>
      </c>
      <c r="L188" s="26">
        <v>0</v>
      </c>
      <c r="M188" s="26">
        <v>0</v>
      </c>
      <c r="N188" s="26">
        <v>0</v>
      </c>
      <c r="O188" s="26">
        <v>0</v>
      </c>
      <c r="P188" s="26">
        <v>0</v>
      </c>
      <c r="Q188" s="26">
        <v>0</v>
      </c>
      <c r="R188" s="26">
        <v>0</v>
      </c>
      <c r="S188" s="26">
        <v>0</v>
      </c>
      <c r="T188" s="26">
        <v>0</v>
      </c>
      <c r="U188" s="26">
        <v>0</v>
      </c>
      <c r="V188" s="26">
        <v>0</v>
      </c>
      <c r="W188" s="26">
        <v>0</v>
      </c>
      <c r="X188" s="26">
        <v>0</v>
      </c>
      <c r="Y188" s="26">
        <v>0</v>
      </c>
      <c r="Z188" s="26">
        <v>0</v>
      </c>
      <c r="AA188" s="26">
        <v>0</v>
      </c>
      <c r="AB188" s="26">
        <v>0</v>
      </c>
      <c r="AC188" s="26">
        <v>0</v>
      </c>
      <c r="AD188" s="26">
        <v>0</v>
      </c>
      <c r="AE188" s="26">
        <v>0</v>
      </c>
      <c r="AF188" s="26">
        <v>0</v>
      </c>
      <c r="AG188" s="26">
        <v>0</v>
      </c>
      <c r="AH188" s="26">
        <v>0</v>
      </c>
      <c r="AI188" s="26">
        <v>0</v>
      </c>
      <c r="AJ188" s="26">
        <v>0</v>
      </c>
      <c r="AK188" s="26">
        <v>0</v>
      </c>
      <c r="AL188" s="26">
        <v>0</v>
      </c>
      <c r="AM188" s="26">
        <v>0</v>
      </c>
      <c r="AN188" s="26">
        <v>0</v>
      </c>
      <c r="AO188" s="26">
        <v>0</v>
      </c>
      <c r="AP188" s="26">
        <v>0</v>
      </c>
      <c r="AQ188" s="26">
        <v>0</v>
      </c>
      <c r="AR188" s="26">
        <v>3</v>
      </c>
      <c r="AS188" s="26">
        <v>3</v>
      </c>
      <c r="AT188" s="26">
        <v>5</v>
      </c>
      <c r="AU188" s="26">
        <v>8</v>
      </c>
      <c r="AV188" s="26">
        <v>12</v>
      </c>
      <c r="AW188" s="26">
        <v>18</v>
      </c>
      <c r="AX188" s="26">
        <v>19</v>
      </c>
      <c r="AY188" s="26">
        <v>31</v>
      </c>
      <c r="AZ188" s="26">
        <v>31</v>
      </c>
      <c r="BA188" s="26">
        <v>41</v>
      </c>
      <c r="BB188" s="26">
        <v>91</v>
      </c>
      <c r="BC188" s="26">
        <v>94</v>
      </c>
      <c r="BD188" s="26">
        <v>141</v>
      </c>
      <c r="BE188" s="26">
        <v>189</v>
      </c>
      <c r="BF188">
        <v>253</v>
      </c>
      <c r="BG188">
        <v>298</v>
      </c>
      <c r="BH188">
        <v>396</v>
      </c>
      <c r="BI188">
        <v>464</v>
      </c>
      <c r="BJ188">
        <v>694</v>
      </c>
      <c r="BK188" t="s">
        <v>1447</v>
      </c>
    </row>
    <row r="189" spans="1:63" x14ac:dyDescent="0.25">
      <c r="A189" s="26" t="s">
        <v>32</v>
      </c>
      <c r="B189" s="26" t="s">
        <v>225</v>
      </c>
      <c r="C189" s="26">
        <v>41.112900000000003</v>
      </c>
      <c r="D189" s="26">
        <v>85.240099999999998</v>
      </c>
      <c r="E189" s="26">
        <v>0</v>
      </c>
      <c r="F189" s="26">
        <v>2</v>
      </c>
      <c r="G189" s="26">
        <v>2</v>
      </c>
      <c r="H189" s="26">
        <v>3</v>
      </c>
      <c r="I189" s="26">
        <v>4</v>
      </c>
      <c r="J189" s="26">
        <v>5</v>
      </c>
      <c r="K189" s="26">
        <v>10</v>
      </c>
      <c r="L189" s="26">
        <v>13</v>
      </c>
      <c r="M189" s="26">
        <v>14</v>
      </c>
      <c r="N189" s="26">
        <v>17</v>
      </c>
      <c r="O189" s="26">
        <v>18</v>
      </c>
      <c r="P189" s="26">
        <v>21</v>
      </c>
      <c r="Q189" s="26">
        <v>24</v>
      </c>
      <c r="R189" s="26">
        <v>29</v>
      </c>
      <c r="S189" s="26">
        <v>32</v>
      </c>
      <c r="T189" s="26">
        <v>36</v>
      </c>
      <c r="U189" s="26">
        <v>39</v>
      </c>
      <c r="V189" s="26">
        <v>42</v>
      </c>
      <c r="W189" s="26">
        <v>45</v>
      </c>
      <c r="X189" s="26">
        <v>49</v>
      </c>
      <c r="Y189" s="26">
        <v>55</v>
      </c>
      <c r="Z189" s="26">
        <v>59</v>
      </c>
      <c r="AA189" s="26">
        <v>63</v>
      </c>
      <c r="AB189" s="26">
        <v>65</v>
      </c>
      <c r="AC189" s="26">
        <v>70</v>
      </c>
      <c r="AD189" s="26">
        <v>71</v>
      </c>
      <c r="AE189" s="26">
        <v>75</v>
      </c>
      <c r="AF189" s="26">
        <v>76</v>
      </c>
      <c r="AG189" s="26">
        <v>76</v>
      </c>
      <c r="AH189" s="26">
        <v>76</v>
      </c>
      <c r="AI189" s="26">
        <v>76</v>
      </c>
      <c r="AJ189" s="26">
        <v>76</v>
      </c>
      <c r="AK189" s="26">
        <v>76</v>
      </c>
      <c r="AL189" s="26">
        <v>76</v>
      </c>
      <c r="AM189" s="26">
        <v>76</v>
      </c>
      <c r="AN189" s="26">
        <v>76</v>
      </c>
      <c r="AO189" s="26">
        <v>76</v>
      </c>
      <c r="AP189" s="26">
        <v>76</v>
      </c>
      <c r="AQ189" s="26">
        <v>76</v>
      </c>
      <c r="AR189" s="26">
        <v>76</v>
      </c>
      <c r="AS189" s="26">
        <v>76</v>
      </c>
      <c r="AT189" s="26">
        <v>76</v>
      </c>
      <c r="AU189" s="26">
        <v>76</v>
      </c>
      <c r="AV189" s="26">
        <v>76</v>
      </c>
      <c r="AW189" s="26">
        <v>76</v>
      </c>
      <c r="AX189" s="26">
        <v>76</v>
      </c>
      <c r="AY189" s="26">
        <v>76</v>
      </c>
      <c r="AZ189" s="26">
        <v>76</v>
      </c>
      <c r="BA189" s="26">
        <v>76</v>
      </c>
      <c r="BB189" s="26">
        <v>76</v>
      </c>
      <c r="BC189" s="26">
        <v>76</v>
      </c>
      <c r="BD189" s="26">
        <v>76</v>
      </c>
      <c r="BE189" s="26">
        <v>76</v>
      </c>
      <c r="BF189">
        <v>76</v>
      </c>
      <c r="BG189">
        <v>76</v>
      </c>
      <c r="BH189">
        <v>76</v>
      </c>
      <c r="BI189">
        <v>76</v>
      </c>
      <c r="BJ189">
        <v>76</v>
      </c>
      <c r="BK189" t="s">
        <v>469</v>
      </c>
    </row>
    <row r="190" spans="1:63" x14ac:dyDescent="0.25">
      <c r="A190" s="26" t="s">
        <v>18</v>
      </c>
      <c r="B190" s="26" t="s">
        <v>225</v>
      </c>
      <c r="C190" s="26">
        <v>44.093499999999999</v>
      </c>
      <c r="D190" s="26">
        <v>113.9448</v>
      </c>
      <c r="E190" s="26">
        <v>0</v>
      </c>
      <c r="F190" s="26">
        <v>0</v>
      </c>
      <c r="G190" s="26">
        <v>1</v>
      </c>
      <c r="H190" s="26">
        <v>7</v>
      </c>
      <c r="I190" s="26">
        <v>7</v>
      </c>
      <c r="J190" s="26">
        <v>11</v>
      </c>
      <c r="K190" s="26">
        <v>15</v>
      </c>
      <c r="L190" s="26">
        <v>16</v>
      </c>
      <c r="M190" s="26">
        <v>19</v>
      </c>
      <c r="N190" s="26">
        <v>20</v>
      </c>
      <c r="O190" s="26">
        <v>23</v>
      </c>
      <c r="P190" s="26">
        <v>27</v>
      </c>
      <c r="Q190" s="26">
        <v>34</v>
      </c>
      <c r="R190" s="26">
        <v>35</v>
      </c>
      <c r="S190" s="26">
        <v>42</v>
      </c>
      <c r="T190" s="26">
        <v>46</v>
      </c>
      <c r="U190" s="26">
        <v>50</v>
      </c>
      <c r="V190" s="26">
        <v>52</v>
      </c>
      <c r="W190" s="26">
        <v>54</v>
      </c>
      <c r="X190" s="26">
        <v>58</v>
      </c>
      <c r="Y190" s="26">
        <v>58</v>
      </c>
      <c r="Z190" s="26">
        <v>60</v>
      </c>
      <c r="AA190" s="26">
        <v>61</v>
      </c>
      <c r="AB190" s="26">
        <v>65</v>
      </c>
      <c r="AC190" s="26">
        <v>68</v>
      </c>
      <c r="AD190" s="26">
        <v>70</v>
      </c>
      <c r="AE190" s="26">
        <v>72</v>
      </c>
      <c r="AF190" s="26">
        <v>73</v>
      </c>
      <c r="AG190" s="26">
        <v>75</v>
      </c>
      <c r="AH190" s="26">
        <v>75</v>
      </c>
      <c r="AI190" s="26">
        <v>75</v>
      </c>
      <c r="AJ190" s="26">
        <v>75</v>
      </c>
      <c r="AK190" s="26">
        <v>75</v>
      </c>
      <c r="AL190" s="26">
        <v>75</v>
      </c>
      <c r="AM190" s="26">
        <v>75</v>
      </c>
      <c r="AN190" s="26">
        <v>75</v>
      </c>
      <c r="AO190" s="26">
        <v>75</v>
      </c>
      <c r="AP190" s="26">
        <v>75</v>
      </c>
      <c r="AQ190" s="26">
        <v>75</v>
      </c>
      <c r="AR190" s="26">
        <v>75</v>
      </c>
      <c r="AS190" s="26">
        <v>75</v>
      </c>
      <c r="AT190" s="26">
        <v>75</v>
      </c>
      <c r="AU190" s="26">
        <v>75</v>
      </c>
      <c r="AV190" s="26">
        <v>75</v>
      </c>
      <c r="AW190" s="26">
        <v>75</v>
      </c>
      <c r="AX190" s="26">
        <v>75</v>
      </c>
      <c r="AY190" s="26">
        <v>75</v>
      </c>
      <c r="AZ190" s="26">
        <v>75</v>
      </c>
      <c r="BA190" s="26">
        <v>75</v>
      </c>
      <c r="BB190" s="26">
        <v>75</v>
      </c>
      <c r="BC190" s="26">
        <v>75</v>
      </c>
      <c r="BD190" s="26">
        <v>75</v>
      </c>
      <c r="BE190" s="26">
        <v>75</v>
      </c>
      <c r="BF190">
        <v>75</v>
      </c>
      <c r="BG190">
        <v>75</v>
      </c>
      <c r="BH190">
        <v>75</v>
      </c>
      <c r="BI190">
        <v>75</v>
      </c>
      <c r="BJ190">
        <v>75</v>
      </c>
      <c r="BK190" t="s">
        <v>470</v>
      </c>
    </row>
    <row r="191" spans="1:63" x14ac:dyDescent="0.25">
      <c r="A191" s="26" t="s">
        <v>23</v>
      </c>
      <c r="B191" s="26" t="s">
        <v>225</v>
      </c>
      <c r="C191" s="26">
        <v>37.269199999999998</v>
      </c>
      <c r="D191" s="26">
        <v>106.16549999999999</v>
      </c>
      <c r="E191" s="26">
        <v>1</v>
      </c>
      <c r="F191" s="26">
        <v>1</v>
      </c>
      <c r="G191" s="26">
        <v>2</v>
      </c>
      <c r="H191" s="26">
        <v>3</v>
      </c>
      <c r="I191" s="26">
        <v>4</v>
      </c>
      <c r="J191" s="26">
        <v>7</v>
      </c>
      <c r="K191" s="26">
        <v>11</v>
      </c>
      <c r="L191" s="26">
        <v>12</v>
      </c>
      <c r="M191" s="26">
        <v>17</v>
      </c>
      <c r="N191" s="26">
        <v>21</v>
      </c>
      <c r="O191" s="26">
        <v>26</v>
      </c>
      <c r="P191" s="26">
        <v>28</v>
      </c>
      <c r="Q191" s="26">
        <v>31</v>
      </c>
      <c r="R191" s="26">
        <v>34</v>
      </c>
      <c r="S191" s="26">
        <v>34</v>
      </c>
      <c r="T191" s="26">
        <v>40</v>
      </c>
      <c r="U191" s="26">
        <v>43</v>
      </c>
      <c r="V191" s="26">
        <v>45</v>
      </c>
      <c r="W191" s="26">
        <v>45</v>
      </c>
      <c r="X191" s="26">
        <v>49</v>
      </c>
      <c r="Y191" s="26">
        <v>53</v>
      </c>
      <c r="Z191" s="26">
        <v>58</v>
      </c>
      <c r="AA191" s="26">
        <v>64</v>
      </c>
      <c r="AB191" s="26">
        <v>67</v>
      </c>
      <c r="AC191" s="26">
        <v>70</v>
      </c>
      <c r="AD191" s="26">
        <v>70</v>
      </c>
      <c r="AE191" s="26">
        <v>70</v>
      </c>
      <c r="AF191" s="26">
        <v>70</v>
      </c>
      <c r="AG191" s="26">
        <v>71</v>
      </c>
      <c r="AH191" s="26">
        <v>71</v>
      </c>
      <c r="AI191" s="26">
        <v>71</v>
      </c>
      <c r="AJ191" s="26">
        <v>71</v>
      </c>
      <c r="AK191" s="26">
        <v>71</v>
      </c>
      <c r="AL191" s="26">
        <v>71</v>
      </c>
      <c r="AM191" s="26">
        <v>71</v>
      </c>
      <c r="AN191" s="26">
        <v>71</v>
      </c>
      <c r="AO191" s="26">
        <v>72</v>
      </c>
      <c r="AP191" s="26">
        <v>72</v>
      </c>
      <c r="AQ191" s="26">
        <v>73</v>
      </c>
      <c r="AR191" s="26">
        <v>73</v>
      </c>
      <c r="AS191" s="26">
        <v>74</v>
      </c>
      <c r="AT191" s="26">
        <v>74</v>
      </c>
      <c r="AU191" s="26">
        <v>75</v>
      </c>
      <c r="AV191" s="26">
        <v>75</v>
      </c>
      <c r="AW191" s="26">
        <v>75</v>
      </c>
      <c r="AX191" s="26">
        <v>75</v>
      </c>
      <c r="AY191" s="26">
        <v>75</v>
      </c>
      <c r="AZ191" s="26">
        <v>75</v>
      </c>
      <c r="BA191" s="26">
        <v>75</v>
      </c>
      <c r="BB191" s="26">
        <v>75</v>
      </c>
      <c r="BC191" s="26">
        <v>75</v>
      </c>
      <c r="BD191" s="26">
        <v>75</v>
      </c>
      <c r="BE191" s="26">
        <v>75</v>
      </c>
      <c r="BF191">
        <v>75</v>
      </c>
      <c r="BG191">
        <v>75</v>
      </c>
      <c r="BH191">
        <v>75</v>
      </c>
      <c r="BI191">
        <v>75</v>
      </c>
      <c r="BJ191">
        <v>75</v>
      </c>
      <c r="BK191" t="s">
        <v>470</v>
      </c>
    </row>
    <row r="192" spans="1:63" x14ac:dyDescent="0.25">
      <c r="A192" s="26"/>
      <c r="B192" s="26" t="s">
        <v>228</v>
      </c>
      <c r="C192" s="26">
        <v>23.7</v>
      </c>
      <c r="D192" s="26">
        <v>121</v>
      </c>
      <c r="E192" s="26">
        <v>1</v>
      </c>
      <c r="F192" s="26">
        <v>1</v>
      </c>
      <c r="G192" s="26">
        <v>3</v>
      </c>
      <c r="H192" s="26">
        <v>3</v>
      </c>
      <c r="I192" s="26">
        <v>4</v>
      </c>
      <c r="J192" s="26">
        <v>5</v>
      </c>
      <c r="K192" s="26">
        <v>8</v>
      </c>
      <c r="L192" s="26">
        <v>8</v>
      </c>
      <c r="M192" s="26">
        <v>9</v>
      </c>
      <c r="N192" s="26">
        <v>10</v>
      </c>
      <c r="O192" s="26">
        <v>10</v>
      </c>
      <c r="P192" s="26">
        <v>10</v>
      </c>
      <c r="Q192" s="26">
        <v>10</v>
      </c>
      <c r="R192" s="26">
        <v>11</v>
      </c>
      <c r="S192" s="26">
        <v>11</v>
      </c>
      <c r="T192" s="26">
        <v>16</v>
      </c>
      <c r="U192" s="26">
        <v>16</v>
      </c>
      <c r="V192" s="26">
        <v>17</v>
      </c>
      <c r="W192" s="26">
        <v>18</v>
      </c>
      <c r="X192" s="26">
        <v>18</v>
      </c>
      <c r="Y192" s="26">
        <v>18</v>
      </c>
      <c r="Z192" s="26">
        <v>18</v>
      </c>
      <c r="AA192" s="26">
        <v>18</v>
      </c>
      <c r="AB192" s="26">
        <v>18</v>
      </c>
      <c r="AC192" s="26">
        <v>18</v>
      </c>
      <c r="AD192" s="26">
        <v>20</v>
      </c>
      <c r="AE192" s="26">
        <v>22</v>
      </c>
      <c r="AF192" s="26">
        <v>22</v>
      </c>
      <c r="AG192" s="26">
        <v>23</v>
      </c>
      <c r="AH192" s="26">
        <v>24</v>
      </c>
      <c r="AI192" s="26">
        <v>26</v>
      </c>
      <c r="AJ192" s="26">
        <v>26</v>
      </c>
      <c r="AK192" s="26">
        <v>28</v>
      </c>
      <c r="AL192" s="26">
        <v>30</v>
      </c>
      <c r="AM192" s="26">
        <v>31</v>
      </c>
      <c r="AN192" s="26">
        <v>32</v>
      </c>
      <c r="AO192" s="26">
        <v>32</v>
      </c>
      <c r="AP192" s="26">
        <v>34</v>
      </c>
      <c r="AQ192" s="26">
        <v>39</v>
      </c>
      <c r="AR192" s="26">
        <v>40</v>
      </c>
      <c r="AS192" s="26">
        <v>41</v>
      </c>
      <c r="AT192" s="26">
        <v>42</v>
      </c>
      <c r="AU192" s="26">
        <v>42</v>
      </c>
      <c r="AV192" s="26">
        <v>44</v>
      </c>
      <c r="AW192" s="26">
        <v>45</v>
      </c>
      <c r="AX192" s="26">
        <v>45</v>
      </c>
      <c r="AY192" s="26">
        <v>45</v>
      </c>
      <c r="AZ192" s="26">
        <v>45</v>
      </c>
      <c r="BA192" s="26">
        <v>47</v>
      </c>
      <c r="BB192" s="26">
        <v>48</v>
      </c>
      <c r="BC192" s="26">
        <v>49</v>
      </c>
      <c r="BD192" s="26">
        <v>50</v>
      </c>
      <c r="BE192" s="26">
        <v>53</v>
      </c>
      <c r="BF192">
        <v>59</v>
      </c>
      <c r="BG192">
        <v>67</v>
      </c>
      <c r="BH192">
        <v>77</v>
      </c>
      <c r="BI192">
        <v>100</v>
      </c>
      <c r="BJ192">
        <v>108</v>
      </c>
      <c r="BK192" t="s">
        <v>1400</v>
      </c>
    </row>
    <row r="193" spans="1:63" x14ac:dyDescent="0.25">
      <c r="A193" s="26"/>
      <c r="B193" s="26" t="s">
        <v>41</v>
      </c>
      <c r="C193" s="26">
        <v>16</v>
      </c>
      <c r="D193" s="26">
        <v>108</v>
      </c>
      <c r="E193" s="26">
        <v>0</v>
      </c>
      <c r="F193" s="26">
        <v>2</v>
      </c>
      <c r="G193" s="26">
        <v>2</v>
      </c>
      <c r="H193" s="26">
        <v>2</v>
      </c>
      <c r="I193" s="26">
        <v>2</v>
      </c>
      <c r="J193" s="26">
        <v>2</v>
      </c>
      <c r="K193" s="26">
        <v>2</v>
      </c>
      <c r="L193" s="26">
        <v>2</v>
      </c>
      <c r="M193" s="26">
        <v>2</v>
      </c>
      <c r="N193" s="26">
        <v>2</v>
      </c>
      <c r="O193" s="26">
        <v>6</v>
      </c>
      <c r="P193" s="26">
        <v>6</v>
      </c>
      <c r="Q193" s="26">
        <v>8</v>
      </c>
      <c r="R193" s="26">
        <v>8</v>
      </c>
      <c r="S193" s="26">
        <v>8</v>
      </c>
      <c r="T193" s="26">
        <v>10</v>
      </c>
      <c r="U193" s="26">
        <v>10</v>
      </c>
      <c r="V193" s="26">
        <v>13</v>
      </c>
      <c r="W193" s="26">
        <v>13</v>
      </c>
      <c r="X193" s="26">
        <v>14</v>
      </c>
      <c r="Y193" s="26">
        <v>15</v>
      </c>
      <c r="Z193" s="26">
        <v>15</v>
      </c>
      <c r="AA193" s="26">
        <v>16</v>
      </c>
      <c r="AB193" s="26">
        <v>16</v>
      </c>
      <c r="AC193" s="26">
        <v>16</v>
      </c>
      <c r="AD193" s="26">
        <v>16</v>
      </c>
      <c r="AE193" s="26">
        <v>16</v>
      </c>
      <c r="AF193" s="26">
        <v>16</v>
      </c>
      <c r="AG193" s="26">
        <v>16</v>
      </c>
      <c r="AH193" s="26">
        <v>16</v>
      </c>
      <c r="AI193" s="26">
        <v>16</v>
      </c>
      <c r="AJ193" s="26">
        <v>16</v>
      </c>
      <c r="AK193" s="26">
        <v>16</v>
      </c>
      <c r="AL193" s="26">
        <v>16</v>
      </c>
      <c r="AM193" s="26">
        <v>16</v>
      </c>
      <c r="AN193" s="26">
        <v>16</v>
      </c>
      <c r="AO193" s="26">
        <v>16</v>
      </c>
      <c r="AP193" s="26">
        <v>16</v>
      </c>
      <c r="AQ193" s="26">
        <v>16</v>
      </c>
      <c r="AR193" s="26">
        <v>16</v>
      </c>
      <c r="AS193" s="26">
        <v>16</v>
      </c>
      <c r="AT193" s="26">
        <v>16</v>
      </c>
      <c r="AU193" s="26">
        <v>16</v>
      </c>
      <c r="AV193" s="26">
        <v>16</v>
      </c>
      <c r="AW193" s="26">
        <v>16</v>
      </c>
      <c r="AX193" s="26">
        <v>18</v>
      </c>
      <c r="AY193" s="26">
        <v>30</v>
      </c>
      <c r="AZ193" s="26">
        <v>30</v>
      </c>
      <c r="BA193" s="26">
        <v>31</v>
      </c>
      <c r="BB193" s="26">
        <v>38</v>
      </c>
      <c r="BC193" s="26">
        <v>39</v>
      </c>
      <c r="BD193" s="26">
        <v>47</v>
      </c>
      <c r="BE193" s="26">
        <v>53</v>
      </c>
      <c r="BF193">
        <v>56</v>
      </c>
      <c r="BG193">
        <v>61</v>
      </c>
      <c r="BH193">
        <v>66</v>
      </c>
      <c r="BI193">
        <v>75</v>
      </c>
      <c r="BJ193">
        <v>85</v>
      </c>
      <c r="BK193" t="s">
        <v>1448</v>
      </c>
    </row>
    <row r="194" spans="1:63" x14ac:dyDescent="0.25">
      <c r="A194" s="26"/>
      <c r="B194" s="26" t="s">
        <v>59</v>
      </c>
      <c r="C194" s="26">
        <v>60</v>
      </c>
      <c r="D194" s="26">
        <v>90</v>
      </c>
      <c r="E194" s="26">
        <v>0</v>
      </c>
      <c r="F194" s="26">
        <v>0</v>
      </c>
      <c r="G194" s="26">
        <v>0</v>
      </c>
      <c r="H194" s="26">
        <v>0</v>
      </c>
      <c r="I194" s="26">
        <v>0</v>
      </c>
      <c r="J194" s="26">
        <v>0</v>
      </c>
      <c r="K194" s="26">
        <v>0</v>
      </c>
      <c r="L194" s="26">
        <v>0</v>
      </c>
      <c r="M194" s="26">
        <v>0</v>
      </c>
      <c r="N194" s="26">
        <v>2</v>
      </c>
      <c r="O194" s="26">
        <v>2</v>
      </c>
      <c r="P194" s="26">
        <v>2</v>
      </c>
      <c r="Q194" s="26">
        <v>2</v>
      </c>
      <c r="R194" s="26">
        <v>2</v>
      </c>
      <c r="S194" s="26">
        <v>2</v>
      </c>
      <c r="T194" s="26">
        <v>2</v>
      </c>
      <c r="U194" s="26">
        <v>2</v>
      </c>
      <c r="V194" s="26">
        <v>2</v>
      </c>
      <c r="W194" s="26">
        <v>2</v>
      </c>
      <c r="X194" s="26">
        <v>2</v>
      </c>
      <c r="Y194" s="26">
        <v>2</v>
      </c>
      <c r="Z194" s="26">
        <v>2</v>
      </c>
      <c r="AA194" s="26">
        <v>2</v>
      </c>
      <c r="AB194" s="26">
        <v>2</v>
      </c>
      <c r="AC194" s="26">
        <v>2</v>
      </c>
      <c r="AD194" s="26">
        <v>2</v>
      </c>
      <c r="AE194" s="26">
        <v>2</v>
      </c>
      <c r="AF194" s="26">
        <v>2</v>
      </c>
      <c r="AG194" s="26">
        <v>2</v>
      </c>
      <c r="AH194" s="26">
        <v>2</v>
      </c>
      <c r="AI194" s="26">
        <v>2</v>
      </c>
      <c r="AJ194" s="26">
        <v>2</v>
      </c>
      <c r="AK194" s="26">
        <v>2</v>
      </c>
      <c r="AL194" s="26">
        <v>2</v>
      </c>
      <c r="AM194" s="26">
        <v>2</v>
      </c>
      <c r="AN194" s="26">
        <v>2</v>
      </c>
      <c r="AO194" s="26">
        <v>2</v>
      </c>
      <c r="AP194" s="26">
        <v>2</v>
      </c>
      <c r="AQ194" s="26">
        <v>2</v>
      </c>
      <c r="AR194" s="26">
        <v>2</v>
      </c>
      <c r="AS194" s="26">
        <v>3</v>
      </c>
      <c r="AT194" s="26">
        <v>3</v>
      </c>
      <c r="AU194" s="26">
        <v>3</v>
      </c>
      <c r="AV194" s="26">
        <v>4</v>
      </c>
      <c r="AW194" s="26">
        <v>13</v>
      </c>
      <c r="AX194" s="26">
        <v>13</v>
      </c>
      <c r="AY194" s="26">
        <v>17</v>
      </c>
      <c r="AZ194" s="26">
        <v>17</v>
      </c>
      <c r="BA194" s="26">
        <v>20</v>
      </c>
      <c r="BB194" s="26">
        <v>20</v>
      </c>
      <c r="BC194" s="26">
        <v>28</v>
      </c>
      <c r="BD194" s="26">
        <v>45</v>
      </c>
      <c r="BE194" s="26">
        <v>59</v>
      </c>
      <c r="BF194">
        <v>63</v>
      </c>
      <c r="BG194">
        <v>90</v>
      </c>
      <c r="BH194">
        <v>114</v>
      </c>
      <c r="BI194">
        <v>147</v>
      </c>
      <c r="BJ194">
        <v>199</v>
      </c>
      <c r="BK194" t="s">
        <v>856</v>
      </c>
    </row>
    <row r="195" spans="1:63" x14ac:dyDescent="0.25">
      <c r="A195" s="26" t="s">
        <v>24</v>
      </c>
      <c r="B195" s="26" t="s">
        <v>225</v>
      </c>
      <c r="C195" s="26">
        <v>35.745199999999997</v>
      </c>
      <c r="D195" s="26">
        <v>95.995599999999996</v>
      </c>
      <c r="E195" s="26">
        <v>0</v>
      </c>
      <c r="F195" s="26">
        <v>0</v>
      </c>
      <c r="G195" s="26">
        <v>0</v>
      </c>
      <c r="H195" s="26">
        <v>1</v>
      </c>
      <c r="I195" s="26">
        <v>1</v>
      </c>
      <c r="J195" s="26">
        <v>6</v>
      </c>
      <c r="K195" s="26">
        <v>6</v>
      </c>
      <c r="L195" s="26">
        <v>6</v>
      </c>
      <c r="M195" s="26">
        <v>8</v>
      </c>
      <c r="N195" s="26">
        <v>8</v>
      </c>
      <c r="O195" s="26">
        <v>9</v>
      </c>
      <c r="P195" s="26">
        <v>11</v>
      </c>
      <c r="Q195" s="26">
        <v>13</v>
      </c>
      <c r="R195" s="26">
        <v>15</v>
      </c>
      <c r="S195" s="26">
        <v>17</v>
      </c>
      <c r="T195" s="26">
        <v>18</v>
      </c>
      <c r="U195" s="26">
        <v>18</v>
      </c>
      <c r="V195" s="26">
        <v>18</v>
      </c>
      <c r="W195" s="26">
        <v>18</v>
      </c>
      <c r="X195" s="26">
        <v>18</v>
      </c>
      <c r="Y195" s="26">
        <v>18</v>
      </c>
      <c r="Z195" s="26">
        <v>18</v>
      </c>
      <c r="AA195" s="26">
        <v>18</v>
      </c>
      <c r="AB195" s="26">
        <v>18</v>
      </c>
      <c r="AC195" s="26">
        <v>18</v>
      </c>
      <c r="AD195" s="26">
        <v>18</v>
      </c>
      <c r="AE195" s="26">
        <v>18</v>
      </c>
      <c r="AF195" s="26">
        <v>18</v>
      </c>
      <c r="AG195" s="26">
        <v>18</v>
      </c>
      <c r="AH195" s="26">
        <v>18</v>
      </c>
      <c r="AI195" s="26">
        <v>18</v>
      </c>
      <c r="AJ195" s="26">
        <v>18</v>
      </c>
      <c r="AK195" s="26">
        <v>18</v>
      </c>
      <c r="AL195" s="26">
        <v>18</v>
      </c>
      <c r="AM195" s="26">
        <v>18</v>
      </c>
      <c r="AN195" s="26">
        <v>18</v>
      </c>
      <c r="AO195" s="26">
        <v>18</v>
      </c>
      <c r="AP195" s="26">
        <v>18</v>
      </c>
      <c r="AQ195" s="26">
        <v>18</v>
      </c>
      <c r="AR195" s="26">
        <v>18</v>
      </c>
      <c r="AS195" s="26">
        <v>18</v>
      </c>
      <c r="AT195" s="26">
        <v>18</v>
      </c>
      <c r="AU195" s="26">
        <v>18</v>
      </c>
      <c r="AV195" s="26">
        <v>18</v>
      </c>
      <c r="AW195" s="26">
        <v>18</v>
      </c>
      <c r="AX195" s="26">
        <v>18</v>
      </c>
      <c r="AY195" s="26">
        <v>18</v>
      </c>
      <c r="AZ195" s="26">
        <v>18</v>
      </c>
      <c r="BA195" s="26">
        <v>18</v>
      </c>
      <c r="BB195" s="26">
        <v>18</v>
      </c>
      <c r="BC195" s="26">
        <v>18</v>
      </c>
      <c r="BD195" s="26">
        <v>18</v>
      </c>
      <c r="BE195" s="26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 t="s">
        <v>446</v>
      </c>
    </row>
    <row r="196" spans="1:63" x14ac:dyDescent="0.25">
      <c r="A196" s="26" t="s">
        <v>38</v>
      </c>
      <c r="B196" s="26" t="s">
        <v>225</v>
      </c>
      <c r="C196" s="26">
        <v>22.166699999999999</v>
      </c>
      <c r="D196" s="26">
        <v>113.55</v>
      </c>
      <c r="E196" s="26">
        <v>1</v>
      </c>
      <c r="F196" s="26">
        <v>2</v>
      </c>
      <c r="G196" s="26">
        <v>2</v>
      </c>
      <c r="H196" s="26">
        <v>2</v>
      </c>
      <c r="I196" s="26">
        <v>5</v>
      </c>
      <c r="J196" s="26">
        <v>6</v>
      </c>
      <c r="K196" s="26">
        <v>7</v>
      </c>
      <c r="L196" s="26">
        <v>7</v>
      </c>
      <c r="M196" s="26">
        <v>7</v>
      </c>
      <c r="N196" s="26">
        <v>7</v>
      </c>
      <c r="O196" s="26">
        <v>7</v>
      </c>
      <c r="P196" s="26">
        <v>8</v>
      </c>
      <c r="Q196" s="26">
        <v>8</v>
      </c>
      <c r="R196" s="26">
        <v>10</v>
      </c>
      <c r="S196" s="26">
        <v>10</v>
      </c>
      <c r="T196" s="26">
        <v>10</v>
      </c>
      <c r="U196" s="26">
        <v>10</v>
      </c>
      <c r="V196" s="26">
        <v>10</v>
      </c>
      <c r="W196" s="26">
        <v>10</v>
      </c>
      <c r="X196" s="26">
        <v>10</v>
      </c>
      <c r="Y196" s="26">
        <v>10</v>
      </c>
      <c r="Z196" s="26">
        <v>10</v>
      </c>
      <c r="AA196" s="26">
        <v>10</v>
      </c>
      <c r="AB196" s="26">
        <v>10</v>
      </c>
      <c r="AC196" s="26">
        <v>10</v>
      </c>
      <c r="AD196" s="26">
        <v>10</v>
      </c>
      <c r="AE196" s="26">
        <v>10</v>
      </c>
      <c r="AF196" s="26">
        <v>10</v>
      </c>
      <c r="AG196" s="26">
        <v>10</v>
      </c>
      <c r="AH196" s="26">
        <v>10</v>
      </c>
      <c r="AI196" s="26">
        <v>10</v>
      </c>
      <c r="AJ196" s="26">
        <v>10</v>
      </c>
      <c r="AK196" s="26">
        <v>10</v>
      </c>
      <c r="AL196" s="26">
        <v>10</v>
      </c>
      <c r="AM196" s="26">
        <v>10</v>
      </c>
      <c r="AN196" s="26">
        <v>10</v>
      </c>
      <c r="AO196" s="26">
        <v>10</v>
      </c>
      <c r="AP196" s="26">
        <v>10</v>
      </c>
      <c r="AQ196" s="26">
        <v>10</v>
      </c>
      <c r="AR196" s="26">
        <v>10</v>
      </c>
      <c r="AS196" s="26">
        <v>10</v>
      </c>
      <c r="AT196" s="26">
        <v>10</v>
      </c>
      <c r="AU196" s="26">
        <v>10</v>
      </c>
      <c r="AV196" s="26">
        <v>10</v>
      </c>
      <c r="AW196" s="26">
        <v>10</v>
      </c>
      <c r="AX196" s="26">
        <v>10</v>
      </c>
      <c r="AY196" s="26">
        <v>10</v>
      </c>
      <c r="AZ196" s="26">
        <v>10</v>
      </c>
      <c r="BA196" s="26">
        <v>10</v>
      </c>
      <c r="BB196" s="26">
        <v>10</v>
      </c>
      <c r="BC196" s="26">
        <v>10</v>
      </c>
      <c r="BD196" s="26">
        <v>10</v>
      </c>
      <c r="BE196" s="26">
        <v>10</v>
      </c>
      <c r="BF196">
        <v>10</v>
      </c>
      <c r="BG196">
        <v>11</v>
      </c>
      <c r="BH196">
        <v>12</v>
      </c>
      <c r="BI196">
        <v>15</v>
      </c>
      <c r="BJ196">
        <v>17</v>
      </c>
      <c r="BK196" t="s">
        <v>1449</v>
      </c>
    </row>
    <row r="197" spans="1:63" x14ac:dyDescent="0.25">
      <c r="A197" s="26"/>
      <c r="B197" s="26" t="s">
        <v>139</v>
      </c>
      <c r="C197" s="26">
        <v>47.4116</v>
      </c>
      <c r="D197" s="26">
        <v>28.369900000000001</v>
      </c>
      <c r="E197" s="26">
        <v>0</v>
      </c>
      <c r="F197" s="26">
        <v>0</v>
      </c>
      <c r="G197" s="26">
        <v>0</v>
      </c>
      <c r="H197" s="26">
        <v>0</v>
      </c>
      <c r="I197" s="26">
        <v>0</v>
      </c>
      <c r="J197" s="26">
        <v>0</v>
      </c>
      <c r="K197" s="26">
        <v>0</v>
      </c>
      <c r="L197" s="26">
        <v>0</v>
      </c>
      <c r="M197" s="26">
        <v>0</v>
      </c>
      <c r="N197" s="26">
        <v>0</v>
      </c>
      <c r="O197" s="26">
        <v>0</v>
      </c>
      <c r="P197" s="26">
        <v>0</v>
      </c>
      <c r="Q197" s="26">
        <v>0</v>
      </c>
      <c r="R197" s="26">
        <v>0</v>
      </c>
      <c r="S197" s="26">
        <v>0</v>
      </c>
      <c r="T197" s="26">
        <v>0</v>
      </c>
      <c r="U197" s="26">
        <v>0</v>
      </c>
      <c r="V197" s="26">
        <v>0</v>
      </c>
      <c r="W197" s="26">
        <v>0</v>
      </c>
      <c r="X197" s="26">
        <v>0</v>
      </c>
      <c r="Y197" s="26">
        <v>0</v>
      </c>
      <c r="Z197" s="26">
        <v>0</v>
      </c>
      <c r="AA197" s="26">
        <v>0</v>
      </c>
      <c r="AB197" s="26">
        <v>0</v>
      </c>
      <c r="AC197" s="26">
        <v>0</v>
      </c>
      <c r="AD197" s="26">
        <v>0</v>
      </c>
      <c r="AE197" s="26">
        <v>0</v>
      </c>
      <c r="AF197" s="26">
        <v>0</v>
      </c>
      <c r="AG197" s="26">
        <v>0</v>
      </c>
      <c r="AH197" s="26">
        <v>0</v>
      </c>
      <c r="AI197" s="26">
        <v>0</v>
      </c>
      <c r="AJ197" s="26">
        <v>0</v>
      </c>
      <c r="AK197" s="26">
        <v>0</v>
      </c>
      <c r="AL197" s="26">
        <v>0</v>
      </c>
      <c r="AM197" s="26">
        <v>0</v>
      </c>
      <c r="AN197" s="26">
        <v>0</v>
      </c>
      <c r="AO197" s="26">
        <v>0</v>
      </c>
      <c r="AP197" s="26">
        <v>0</v>
      </c>
      <c r="AQ197" s="26">
        <v>0</v>
      </c>
      <c r="AR197" s="26">
        <v>0</v>
      </c>
      <c r="AS197" s="26">
        <v>0</v>
      </c>
      <c r="AT197" s="26">
        <v>0</v>
      </c>
      <c r="AU197" s="26">
        <v>0</v>
      </c>
      <c r="AV197" s="26">
        <v>0</v>
      </c>
      <c r="AW197" s="26">
        <v>0</v>
      </c>
      <c r="AX197" s="26">
        <v>0</v>
      </c>
      <c r="AY197" s="26">
        <v>1</v>
      </c>
      <c r="AZ197" s="26">
        <v>1</v>
      </c>
      <c r="BA197" s="26">
        <v>3</v>
      </c>
      <c r="BB197" s="26">
        <v>3</v>
      </c>
      <c r="BC197" s="26">
        <v>3</v>
      </c>
      <c r="BD197" s="26">
        <v>6</v>
      </c>
      <c r="BE197" s="26">
        <v>12</v>
      </c>
      <c r="BF197">
        <v>23</v>
      </c>
      <c r="BG197">
        <v>23</v>
      </c>
      <c r="BH197">
        <v>30</v>
      </c>
      <c r="BI197">
        <v>30</v>
      </c>
      <c r="BJ197">
        <v>49</v>
      </c>
      <c r="BK197" t="s">
        <v>1450</v>
      </c>
    </row>
    <row r="198" spans="1:63" x14ac:dyDescent="0.25">
      <c r="A198" s="26"/>
      <c r="B198" s="26" t="s">
        <v>229</v>
      </c>
      <c r="C198" s="26">
        <v>-16.290199999999999</v>
      </c>
      <c r="D198" s="26">
        <v>-63.588700000000003</v>
      </c>
      <c r="E198" s="26">
        <v>0</v>
      </c>
      <c r="F198" s="26">
        <v>0</v>
      </c>
      <c r="G198" s="26">
        <v>0</v>
      </c>
      <c r="H198" s="26">
        <v>0</v>
      </c>
      <c r="I198" s="26">
        <v>0</v>
      </c>
      <c r="J198" s="26">
        <v>0</v>
      </c>
      <c r="K198" s="26">
        <v>0</v>
      </c>
      <c r="L198" s="26">
        <v>0</v>
      </c>
      <c r="M198" s="26">
        <v>0</v>
      </c>
      <c r="N198" s="26">
        <v>0</v>
      </c>
      <c r="O198" s="26">
        <v>0</v>
      </c>
      <c r="P198" s="26">
        <v>0</v>
      </c>
      <c r="Q198" s="26">
        <v>0</v>
      </c>
      <c r="R198" s="26">
        <v>0</v>
      </c>
      <c r="S198" s="26">
        <v>0</v>
      </c>
      <c r="T198" s="26">
        <v>0</v>
      </c>
      <c r="U198" s="26">
        <v>0</v>
      </c>
      <c r="V198" s="26">
        <v>0</v>
      </c>
      <c r="W198" s="26">
        <v>0</v>
      </c>
      <c r="X198" s="26">
        <v>0</v>
      </c>
      <c r="Y198" s="26">
        <v>0</v>
      </c>
      <c r="Z198" s="26">
        <v>0</v>
      </c>
      <c r="AA198" s="26">
        <v>0</v>
      </c>
      <c r="AB198" s="26">
        <v>0</v>
      </c>
      <c r="AC198" s="26">
        <v>0</v>
      </c>
      <c r="AD198" s="26">
        <v>0</v>
      </c>
      <c r="AE198" s="26">
        <v>0</v>
      </c>
      <c r="AF198" s="26">
        <v>0</v>
      </c>
      <c r="AG198" s="26">
        <v>0</v>
      </c>
      <c r="AH198" s="26">
        <v>0</v>
      </c>
      <c r="AI198" s="26">
        <v>0</v>
      </c>
      <c r="AJ198" s="26">
        <v>0</v>
      </c>
      <c r="AK198" s="26">
        <v>0</v>
      </c>
      <c r="AL198" s="26">
        <v>0</v>
      </c>
      <c r="AM198" s="26">
        <v>0</v>
      </c>
      <c r="AN198" s="26">
        <v>0</v>
      </c>
      <c r="AO198" s="26">
        <v>0</v>
      </c>
      <c r="AP198" s="26">
        <v>0</v>
      </c>
      <c r="AQ198" s="26">
        <v>0</v>
      </c>
      <c r="AR198" s="26">
        <v>0</v>
      </c>
      <c r="AS198" s="26">
        <v>0</v>
      </c>
      <c r="AT198" s="26">
        <v>0</v>
      </c>
      <c r="AU198" s="26">
        <v>0</v>
      </c>
      <c r="AV198" s="26">
        <v>0</v>
      </c>
      <c r="AW198" s="26">
        <v>0</v>
      </c>
      <c r="AX198" s="26">
        <v>0</v>
      </c>
      <c r="AY198" s="26">
        <v>0</v>
      </c>
      <c r="AZ198" s="26">
        <v>0</v>
      </c>
      <c r="BA198" s="26">
        <v>0</v>
      </c>
      <c r="BB198" s="26">
        <v>2</v>
      </c>
      <c r="BC198" s="26">
        <v>2</v>
      </c>
      <c r="BD198" s="26">
        <v>3</v>
      </c>
      <c r="BE198" s="26">
        <v>10</v>
      </c>
      <c r="BF198">
        <v>10</v>
      </c>
      <c r="BG198">
        <v>11</v>
      </c>
      <c r="BH198">
        <v>11</v>
      </c>
      <c r="BI198">
        <v>12</v>
      </c>
      <c r="BJ198">
        <v>12</v>
      </c>
      <c r="BK198" t="s">
        <v>1270</v>
      </c>
    </row>
    <row r="199" spans="1:63" x14ac:dyDescent="0.25">
      <c r="A199" s="26" t="s">
        <v>118</v>
      </c>
      <c r="B199" s="26" t="s">
        <v>85</v>
      </c>
      <c r="C199" s="26">
        <v>61.892600000000002</v>
      </c>
      <c r="D199" s="26">
        <v>-6.9118000000000004</v>
      </c>
      <c r="E199" s="26">
        <v>0</v>
      </c>
      <c r="F199" s="26">
        <v>0</v>
      </c>
      <c r="G199" s="26">
        <v>0</v>
      </c>
      <c r="H199" s="26">
        <v>0</v>
      </c>
      <c r="I199" s="26">
        <v>0</v>
      </c>
      <c r="J199" s="26">
        <v>0</v>
      </c>
      <c r="K199" s="26">
        <v>0</v>
      </c>
      <c r="L199" s="26">
        <v>0</v>
      </c>
      <c r="M199" s="26">
        <v>0</v>
      </c>
      <c r="N199" s="26">
        <v>0</v>
      </c>
      <c r="O199" s="26">
        <v>0</v>
      </c>
      <c r="P199" s="26">
        <v>0</v>
      </c>
      <c r="Q199" s="26">
        <v>0</v>
      </c>
      <c r="R199" s="26">
        <v>0</v>
      </c>
      <c r="S199" s="26">
        <v>0</v>
      </c>
      <c r="T199" s="26">
        <v>0</v>
      </c>
      <c r="U199" s="26">
        <v>0</v>
      </c>
      <c r="V199" s="26">
        <v>0</v>
      </c>
      <c r="W199" s="26">
        <v>0</v>
      </c>
      <c r="X199" s="26">
        <v>0</v>
      </c>
      <c r="Y199" s="26">
        <v>0</v>
      </c>
      <c r="Z199" s="26">
        <v>0</v>
      </c>
      <c r="AA199" s="26">
        <v>0</v>
      </c>
      <c r="AB199" s="26">
        <v>0</v>
      </c>
      <c r="AC199" s="26">
        <v>0</v>
      </c>
      <c r="AD199" s="26">
        <v>0</v>
      </c>
      <c r="AE199" s="26">
        <v>0</v>
      </c>
      <c r="AF199" s="26">
        <v>0</v>
      </c>
      <c r="AG199" s="26">
        <v>0</v>
      </c>
      <c r="AH199" s="26">
        <v>0</v>
      </c>
      <c r="AI199" s="26">
        <v>0</v>
      </c>
      <c r="AJ199" s="26">
        <v>0</v>
      </c>
      <c r="AK199" s="26">
        <v>0</v>
      </c>
      <c r="AL199" s="26">
        <v>0</v>
      </c>
      <c r="AM199" s="26">
        <v>0</v>
      </c>
      <c r="AN199" s="26">
        <v>0</v>
      </c>
      <c r="AO199" s="26">
        <v>0</v>
      </c>
      <c r="AP199" s="26">
        <v>0</v>
      </c>
      <c r="AQ199" s="26">
        <v>0</v>
      </c>
      <c r="AR199" s="26">
        <v>0</v>
      </c>
      <c r="AS199" s="26">
        <v>0</v>
      </c>
      <c r="AT199" s="26">
        <v>0</v>
      </c>
      <c r="AU199" s="26">
        <v>1</v>
      </c>
      <c r="AV199" s="26">
        <v>1</v>
      </c>
      <c r="AW199" s="26">
        <v>1</v>
      </c>
      <c r="AX199" s="26">
        <v>1</v>
      </c>
      <c r="AY199" s="26">
        <v>2</v>
      </c>
      <c r="AZ199" s="26">
        <v>2</v>
      </c>
      <c r="BA199" s="26">
        <v>2</v>
      </c>
      <c r="BB199" s="26">
        <v>2</v>
      </c>
      <c r="BC199" s="26">
        <v>2</v>
      </c>
      <c r="BD199" s="26">
        <v>3</v>
      </c>
      <c r="BE199" s="26">
        <v>9</v>
      </c>
      <c r="BF199">
        <v>11</v>
      </c>
      <c r="BG199">
        <v>18</v>
      </c>
      <c r="BH199">
        <v>47</v>
      </c>
      <c r="BI199">
        <v>58</v>
      </c>
      <c r="BJ199">
        <v>72</v>
      </c>
      <c r="BK199" t="s">
        <v>1433</v>
      </c>
    </row>
    <row r="200" spans="1:63" x14ac:dyDescent="0.25">
      <c r="A200" s="26" t="s">
        <v>230</v>
      </c>
      <c r="B200" s="26" t="s">
        <v>42</v>
      </c>
      <c r="C200" s="26">
        <v>18.070799999999998</v>
      </c>
      <c r="D200" s="26">
        <v>-63.0501</v>
      </c>
      <c r="E200" s="26">
        <v>0</v>
      </c>
      <c r="F200" s="26">
        <v>0</v>
      </c>
      <c r="G200" s="26">
        <v>0</v>
      </c>
      <c r="H200" s="26">
        <v>0</v>
      </c>
      <c r="I200" s="26">
        <v>0</v>
      </c>
      <c r="J200" s="26">
        <v>0</v>
      </c>
      <c r="K200" s="26">
        <v>0</v>
      </c>
      <c r="L200" s="26">
        <v>0</v>
      </c>
      <c r="M200" s="26">
        <v>0</v>
      </c>
      <c r="N200" s="26">
        <v>0</v>
      </c>
      <c r="O200" s="26">
        <v>0</v>
      </c>
      <c r="P200" s="26">
        <v>0</v>
      </c>
      <c r="Q200" s="26">
        <v>0</v>
      </c>
      <c r="R200" s="26">
        <v>0</v>
      </c>
      <c r="S200" s="26">
        <v>0</v>
      </c>
      <c r="T200" s="26">
        <v>0</v>
      </c>
      <c r="U200" s="26">
        <v>0</v>
      </c>
      <c r="V200" s="26">
        <v>0</v>
      </c>
      <c r="W200" s="26">
        <v>0</v>
      </c>
      <c r="X200" s="26">
        <v>0</v>
      </c>
      <c r="Y200" s="26">
        <v>0</v>
      </c>
      <c r="Z200" s="26">
        <v>0</v>
      </c>
      <c r="AA200" s="26">
        <v>0</v>
      </c>
      <c r="AB200" s="26">
        <v>0</v>
      </c>
      <c r="AC200" s="26">
        <v>0</v>
      </c>
      <c r="AD200" s="26">
        <v>0</v>
      </c>
      <c r="AE200" s="26">
        <v>0</v>
      </c>
      <c r="AF200" s="26">
        <v>0</v>
      </c>
      <c r="AG200" s="26">
        <v>0</v>
      </c>
      <c r="AH200" s="26">
        <v>0</v>
      </c>
      <c r="AI200" s="26">
        <v>0</v>
      </c>
      <c r="AJ200" s="26">
        <v>0</v>
      </c>
      <c r="AK200" s="26">
        <v>0</v>
      </c>
      <c r="AL200" s="26">
        <v>0</v>
      </c>
      <c r="AM200" s="26">
        <v>0</v>
      </c>
      <c r="AN200" s="26">
        <v>0</v>
      </c>
      <c r="AO200" s="26">
        <v>0</v>
      </c>
      <c r="AP200" s="26">
        <v>0</v>
      </c>
      <c r="AQ200" s="26">
        <v>0</v>
      </c>
      <c r="AR200" s="26">
        <v>0</v>
      </c>
      <c r="AS200" s="26">
        <v>0</v>
      </c>
      <c r="AT200" s="26">
        <v>0</v>
      </c>
      <c r="AU200" s="26">
        <v>0</v>
      </c>
      <c r="AV200" s="26">
        <v>0</v>
      </c>
      <c r="AW200" s="26">
        <v>0</v>
      </c>
      <c r="AX200" s="26">
        <v>0</v>
      </c>
      <c r="AY200" s="26">
        <v>0</v>
      </c>
      <c r="AZ200" s="26">
        <v>2</v>
      </c>
      <c r="BA200" s="26">
        <v>2</v>
      </c>
      <c r="BB200" s="26">
        <v>2</v>
      </c>
      <c r="BC200" s="26">
        <v>2</v>
      </c>
      <c r="BD200" s="26">
        <v>2</v>
      </c>
      <c r="BE200" s="26">
        <v>2</v>
      </c>
      <c r="BF200">
        <v>2</v>
      </c>
      <c r="BG200">
        <v>2</v>
      </c>
      <c r="BH200">
        <v>2</v>
      </c>
      <c r="BI200">
        <v>3</v>
      </c>
      <c r="BJ200">
        <v>4</v>
      </c>
      <c r="BK200" t="s">
        <v>453</v>
      </c>
    </row>
    <row r="201" spans="1:63" x14ac:dyDescent="0.25">
      <c r="A201" s="26"/>
      <c r="B201" s="26" t="s">
        <v>231</v>
      </c>
      <c r="C201" s="26">
        <v>15.2</v>
      </c>
      <c r="D201" s="26">
        <v>-86.241900000000001</v>
      </c>
      <c r="E201" s="26">
        <v>0</v>
      </c>
      <c r="F201" s="26">
        <v>0</v>
      </c>
      <c r="G201" s="26">
        <v>0</v>
      </c>
      <c r="H201" s="26">
        <v>0</v>
      </c>
      <c r="I201" s="26">
        <v>0</v>
      </c>
      <c r="J201" s="26">
        <v>0</v>
      </c>
      <c r="K201" s="26">
        <v>0</v>
      </c>
      <c r="L201" s="26">
        <v>0</v>
      </c>
      <c r="M201" s="26">
        <v>0</v>
      </c>
      <c r="N201" s="26">
        <v>0</v>
      </c>
      <c r="O201" s="26">
        <v>0</v>
      </c>
      <c r="P201" s="26">
        <v>0</v>
      </c>
      <c r="Q201" s="26">
        <v>0</v>
      </c>
      <c r="R201" s="26">
        <v>0</v>
      </c>
      <c r="S201" s="26">
        <v>0</v>
      </c>
      <c r="T201" s="26">
        <v>0</v>
      </c>
      <c r="U201" s="26">
        <v>0</v>
      </c>
      <c r="V201" s="26">
        <v>0</v>
      </c>
      <c r="W201" s="26">
        <v>0</v>
      </c>
      <c r="X201" s="26">
        <v>0</v>
      </c>
      <c r="Y201" s="26">
        <v>0</v>
      </c>
      <c r="Z201" s="26">
        <v>0</v>
      </c>
      <c r="AA201" s="26">
        <v>0</v>
      </c>
      <c r="AB201" s="26">
        <v>0</v>
      </c>
      <c r="AC201" s="26">
        <v>0</v>
      </c>
      <c r="AD201" s="26">
        <v>0</v>
      </c>
      <c r="AE201" s="26">
        <v>0</v>
      </c>
      <c r="AF201" s="26">
        <v>0</v>
      </c>
      <c r="AG201" s="26">
        <v>0</v>
      </c>
      <c r="AH201" s="26">
        <v>0</v>
      </c>
      <c r="AI201" s="26">
        <v>0</v>
      </c>
      <c r="AJ201" s="26">
        <v>0</v>
      </c>
      <c r="AK201" s="26">
        <v>0</v>
      </c>
      <c r="AL201" s="26">
        <v>0</v>
      </c>
      <c r="AM201" s="26">
        <v>0</v>
      </c>
      <c r="AN201" s="26">
        <v>0</v>
      </c>
      <c r="AO201" s="26">
        <v>0</v>
      </c>
      <c r="AP201" s="26">
        <v>0</v>
      </c>
      <c r="AQ201" s="26">
        <v>0</v>
      </c>
      <c r="AR201" s="26">
        <v>0</v>
      </c>
      <c r="AS201" s="26">
        <v>0</v>
      </c>
      <c r="AT201" s="26">
        <v>0</v>
      </c>
      <c r="AU201" s="26">
        <v>0</v>
      </c>
      <c r="AV201" s="26">
        <v>0</v>
      </c>
      <c r="AW201" s="26">
        <v>0</v>
      </c>
      <c r="AX201" s="26">
        <v>0</v>
      </c>
      <c r="AY201" s="26">
        <v>0</v>
      </c>
      <c r="AZ201" s="26">
        <v>0</v>
      </c>
      <c r="BA201" s="26">
        <v>0</v>
      </c>
      <c r="BB201" s="26">
        <v>2</v>
      </c>
      <c r="BC201" s="26">
        <v>2</v>
      </c>
      <c r="BD201" s="26">
        <v>2</v>
      </c>
      <c r="BE201" s="26">
        <v>2</v>
      </c>
      <c r="BF201">
        <v>3</v>
      </c>
      <c r="BG201">
        <v>6</v>
      </c>
      <c r="BH201">
        <v>8</v>
      </c>
      <c r="BI201">
        <v>9</v>
      </c>
      <c r="BJ201">
        <v>12</v>
      </c>
      <c r="BK201" t="s">
        <v>448</v>
      </c>
    </row>
    <row r="202" spans="1:63" x14ac:dyDescent="0.25">
      <c r="A202" s="26" t="s">
        <v>1451</v>
      </c>
      <c r="B202" s="26" t="s">
        <v>1038</v>
      </c>
      <c r="C202" s="26">
        <v>49.372300000000003</v>
      </c>
      <c r="D202" s="26">
        <v>-2.3643999999999998</v>
      </c>
      <c r="E202" s="27">
        <v>0</v>
      </c>
      <c r="F202" s="27">
        <v>0</v>
      </c>
      <c r="G202" s="27">
        <v>0</v>
      </c>
      <c r="H202" s="27">
        <v>0</v>
      </c>
      <c r="I202" s="27">
        <v>0</v>
      </c>
      <c r="J202" s="27">
        <v>0</v>
      </c>
      <c r="K202" s="27">
        <v>0</v>
      </c>
      <c r="L202" s="27">
        <v>0</v>
      </c>
      <c r="M202" s="27">
        <v>0</v>
      </c>
      <c r="N202" s="27">
        <v>0</v>
      </c>
      <c r="O202" s="27">
        <v>0</v>
      </c>
      <c r="P202" s="27">
        <v>0</v>
      </c>
      <c r="Q202" s="27">
        <v>0</v>
      </c>
      <c r="R202" s="27">
        <v>0</v>
      </c>
      <c r="S202" s="27">
        <v>0</v>
      </c>
      <c r="T202" s="27">
        <v>0</v>
      </c>
      <c r="U202" s="27">
        <v>0</v>
      </c>
      <c r="V202" s="27">
        <v>0</v>
      </c>
      <c r="W202" s="27">
        <v>0</v>
      </c>
      <c r="X202" s="27">
        <v>0</v>
      </c>
      <c r="Y202" s="27">
        <v>0</v>
      </c>
      <c r="Z202" s="27">
        <v>0</v>
      </c>
      <c r="AA202" s="27">
        <v>0</v>
      </c>
      <c r="AB202" s="27">
        <v>0</v>
      </c>
      <c r="AC202" s="27">
        <v>0</v>
      </c>
      <c r="AD202" s="27">
        <v>0</v>
      </c>
      <c r="AE202" s="27">
        <v>0</v>
      </c>
      <c r="AF202" s="27">
        <v>0</v>
      </c>
      <c r="AG202" s="27">
        <v>0</v>
      </c>
      <c r="AH202" s="27">
        <v>0</v>
      </c>
      <c r="AI202" s="27">
        <v>0</v>
      </c>
      <c r="AJ202" s="27">
        <v>0</v>
      </c>
      <c r="AK202" s="27">
        <v>0</v>
      </c>
      <c r="AL202" s="27">
        <v>0</v>
      </c>
      <c r="AM202" s="27">
        <v>0</v>
      </c>
      <c r="AN202" s="27">
        <v>0</v>
      </c>
      <c r="AO202" s="27">
        <v>0</v>
      </c>
      <c r="AP202" s="27">
        <v>0</v>
      </c>
      <c r="AQ202" s="27">
        <v>0</v>
      </c>
      <c r="AR202" s="27">
        <v>0</v>
      </c>
      <c r="AS202" s="27">
        <v>0</v>
      </c>
      <c r="AT202" s="27">
        <v>0</v>
      </c>
      <c r="AU202" s="27">
        <v>0</v>
      </c>
      <c r="AV202" s="27">
        <v>0</v>
      </c>
      <c r="AW202" s="27">
        <v>0</v>
      </c>
      <c r="AX202" s="27">
        <v>0</v>
      </c>
      <c r="AY202" s="27">
        <v>0</v>
      </c>
      <c r="AZ202" s="27">
        <v>0</v>
      </c>
      <c r="BA202" s="27">
        <v>1</v>
      </c>
      <c r="BB202" s="27">
        <v>2</v>
      </c>
      <c r="BC202" s="27">
        <v>2</v>
      </c>
      <c r="BD202" s="27">
        <v>2</v>
      </c>
      <c r="BE202" s="27">
        <v>2</v>
      </c>
      <c r="BF202" s="27">
        <v>3</v>
      </c>
      <c r="BG202" s="27">
        <v>6</v>
      </c>
      <c r="BH202" s="27">
        <v>6</v>
      </c>
      <c r="BI202" s="27">
        <v>6</v>
      </c>
      <c r="BJ202" s="27">
        <v>11</v>
      </c>
      <c r="BK202" t="s">
        <v>456</v>
      </c>
    </row>
    <row r="203" spans="1:63" x14ac:dyDescent="0.25">
      <c r="A203" s="26" t="s">
        <v>232</v>
      </c>
      <c r="B203" s="26" t="s">
        <v>46</v>
      </c>
      <c r="C203" s="26">
        <v>46.565300000000001</v>
      </c>
      <c r="D203" s="26">
        <v>-66.4619</v>
      </c>
      <c r="E203" s="26">
        <v>0</v>
      </c>
      <c r="F203" s="26">
        <v>0</v>
      </c>
      <c r="G203" s="26">
        <v>0</v>
      </c>
      <c r="H203" s="26">
        <v>0</v>
      </c>
      <c r="I203" s="26">
        <v>0</v>
      </c>
      <c r="J203" s="26">
        <v>0</v>
      </c>
      <c r="K203" s="26">
        <v>0</v>
      </c>
      <c r="L203" s="26">
        <v>0</v>
      </c>
      <c r="M203" s="26">
        <v>0</v>
      </c>
      <c r="N203" s="26">
        <v>0</v>
      </c>
      <c r="O203" s="26">
        <v>0</v>
      </c>
      <c r="P203" s="26">
        <v>0</v>
      </c>
      <c r="Q203" s="26">
        <v>0</v>
      </c>
      <c r="R203" s="26">
        <v>0</v>
      </c>
      <c r="S203" s="26">
        <v>0</v>
      </c>
      <c r="T203" s="26">
        <v>0</v>
      </c>
      <c r="U203" s="26">
        <v>0</v>
      </c>
      <c r="V203" s="26">
        <v>0</v>
      </c>
      <c r="W203" s="26">
        <v>0</v>
      </c>
      <c r="X203" s="26">
        <v>0</v>
      </c>
      <c r="Y203" s="26">
        <v>0</v>
      </c>
      <c r="Z203" s="26">
        <v>0</v>
      </c>
      <c r="AA203" s="26">
        <v>0</v>
      </c>
      <c r="AB203" s="26">
        <v>0</v>
      </c>
      <c r="AC203" s="26">
        <v>0</v>
      </c>
      <c r="AD203" s="26">
        <v>0</v>
      </c>
      <c r="AE203" s="26">
        <v>0</v>
      </c>
      <c r="AF203" s="26">
        <v>0</v>
      </c>
      <c r="AG203" s="26">
        <v>0</v>
      </c>
      <c r="AH203" s="26">
        <v>0</v>
      </c>
      <c r="AI203" s="26">
        <v>0</v>
      </c>
      <c r="AJ203" s="26">
        <v>0</v>
      </c>
      <c r="AK203" s="26">
        <v>0</v>
      </c>
      <c r="AL203" s="26">
        <v>0</v>
      </c>
      <c r="AM203" s="26">
        <v>0</v>
      </c>
      <c r="AN203" s="26">
        <v>0</v>
      </c>
      <c r="AO203" s="26">
        <v>0</v>
      </c>
      <c r="AP203" s="26">
        <v>0</v>
      </c>
      <c r="AQ203" s="26">
        <v>0</v>
      </c>
      <c r="AR203" s="26">
        <v>0</v>
      </c>
      <c r="AS203" s="26">
        <v>0</v>
      </c>
      <c r="AT203" s="26">
        <v>0</v>
      </c>
      <c r="AU203" s="26">
        <v>0</v>
      </c>
      <c r="AV203" s="26">
        <v>0</v>
      </c>
      <c r="AW203" s="26">
        <v>0</v>
      </c>
      <c r="AX203" s="26">
        <v>0</v>
      </c>
      <c r="AY203" s="26">
        <v>0</v>
      </c>
      <c r="AZ203" s="26">
        <v>0</v>
      </c>
      <c r="BA203" s="26">
        <v>0</v>
      </c>
      <c r="BB203" s="26">
        <v>1</v>
      </c>
      <c r="BC203" s="26">
        <v>1</v>
      </c>
      <c r="BD203" s="26">
        <v>1</v>
      </c>
      <c r="BE203" s="26">
        <v>1</v>
      </c>
      <c r="BF203">
        <v>2</v>
      </c>
      <c r="BG203">
        <v>6</v>
      </c>
      <c r="BH203">
        <v>8</v>
      </c>
      <c r="BI203">
        <v>11</v>
      </c>
      <c r="BJ203">
        <v>11</v>
      </c>
      <c r="BK203" t="s">
        <v>452</v>
      </c>
    </row>
    <row r="204" spans="1:63" x14ac:dyDescent="0.25">
      <c r="A204" s="26" t="s">
        <v>31</v>
      </c>
      <c r="B204" s="26" t="s">
        <v>225</v>
      </c>
      <c r="C204" s="26">
        <v>31.692699999999999</v>
      </c>
      <c r="D204" s="26">
        <v>88.092399999999998</v>
      </c>
      <c r="E204" s="26">
        <v>0</v>
      </c>
      <c r="F204" s="26">
        <v>0</v>
      </c>
      <c r="G204" s="26">
        <v>0</v>
      </c>
      <c r="H204" s="26">
        <v>0</v>
      </c>
      <c r="I204" s="26">
        <v>0</v>
      </c>
      <c r="J204" s="26">
        <v>0</v>
      </c>
      <c r="K204" s="26">
        <v>0</v>
      </c>
      <c r="L204" s="26">
        <v>0</v>
      </c>
      <c r="M204" s="26">
        <v>1</v>
      </c>
      <c r="N204" s="26">
        <v>1</v>
      </c>
      <c r="O204" s="26">
        <v>1</v>
      </c>
      <c r="P204" s="26">
        <v>1</v>
      </c>
      <c r="Q204" s="26">
        <v>1</v>
      </c>
      <c r="R204" s="26">
        <v>1</v>
      </c>
      <c r="S204" s="26">
        <v>1</v>
      </c>
      <c r="T204" s="26">
        <v>1</v>
      </c>
      <c r="U204" s="26">
        <v>1</v>
      </c>
      <c r="V204" s="26">
        <v>1</v>
      </c>
      <c r="W204" s="26">
        <v>1</v>
      </c>
      <c r="X204" s="26">
        <v>1</v>
      </c>
      <c r="Y204" s="26">
        <v>1</v>
      </c>
      <c r="Z204" s="26">
        <v>1</v>
      </c>
      <c r="AA204" s="26">
        <v>1</v>
      </c>
      <c r="AB204" s="26">
        <v>1</v>
      </c>
      <c r="AC204" s="26">
        <v>1</v>
      </c>
      <c r="AD204" s="26">
        <v>1</v>
      </c>
      <c r="AE204" s="26">
        <v>1</v>
      </c>
      <c r="AF204" s="26">
        <v>1</v>
      </c>
      <c r="AG204" s="26">
        <v>1</v>
      </c>
      <c r="AH204" s="26">
        <v>1</v>
      </c>
      <c r="AI204" s="26">
        <v>1</v>
      </c>
      <c r="AJ204" s="26">
        <v>1</v>
      </c>
      <c r="AK204" s="26">
        <v>1</v>
      </c>
      <c r="AL204" s="26">
        <v>1</v>
      </c>
      <c r="AM204" s="26">
        <v>1</v>
      </c>
      <c r="AN204" s="26">
        <v>1</v>
      </c>
      <c r="AO204" s="26">
        <v>1</v>
      </c>
      <c r="AP204" s="26">
        <v>1</v>
      </c>
      <c r="AQ204" s="26">
        <v>1</v>
      </c>
      <c r="AR204" s="26">
        <v>1</v>
      </c>
      <c r="AS204" s="26">
        <v>1</v>
      </c>
      <c r="AT204" s="26">
        <v>1</v>
      </c>
      <c r="AU204" s="26">
        <v>1</v>
      </c>
      <c r="AV204" s="26">
        <v>1</v>
      </c>
      <c r="AW204" s="26">
        <v>1</v>
      </c>
      <c r="AX204" s="26">
        <v>1</v>
      </c>
      <c r="AY204" s="26">
        <v>1</v>
      </c>
      <c r="AZ204" s="26">
        <v>1</v>
      </c>
      <c r="BA204" s="26">
        <v>1</v>
      </c>
      <c r="BB204" s="26">
        <v>1</v>
      </c>
      <c r="BC204" s="26">
        <v>1</v>
      </c>
      <c r="BD204" s="26">
        <v>1</v>
      </c>
      <c r="BE204" s="26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 t="s">
        <v>441</v>
      </c>
    </row>
    <row r="205" spans="1:63" x14ac:dyDescent="0.25">
      <c r="A205" s="26"/>
      <c r="B205" s="26" t="s">
        <v>233</v>
      </c>
      <c r="C205" s="26">
        <v>-4.0382999999999996</v>
      </c>
      <c r="D205" s="26">
        <v>21.758700000000001</v>
      </c>
      <c r="E205" s="26">
        <v>0</v>
      </c>
      <c r="F205" s="26">
        <v>0</v>
      </c>
      <c r="G205" s="26">
        <v>0</v>
      </c>
      <c r="H205" s="26">
        <v>0</v>
      </c>
      <c r="I205" s="26">
        <v>0</v>
      </c>
      <c r="J205" s="26">
        <v>0</v>
      </c>
      <c r="K205" s="26">
        <v>0</v>
      </c>
      <c r="L205" s="26">
        <v>0</v>
      </c>
      <c r="M205" s="26">
        <v>0</v>
      </c>
      <c r="N205" s="26">
        <v>0</v>
      </c>
      <c r="O205" s="26">
        <v>0</v>
      </c>
      <c r="P205" s="26">
        <v>0</v>
      </c>
      <c r="Q205" s="26">
        <v>0</v>
      </c>
      <c r="R205" s="26">
        <v>0</v>
      </c>
      <c r="S205" s="26">
        <v>0</v>
      </c>
      <c r="T205" s="26">
        <v>0</v>
      </c>
      <c r="U205" s="26">
        <v>0</v>
      </c>
      <c r="V205" s="26">
        <v>0</v>
      </c>
      <c r="W205" s="26">
        <v>0</v>
      </c>
      <c r="X205" s="26">
        <v>0</v>
      </c>
      <c r="Y205" s="26">
        <v>0</v>
      </c>
      <c r="Z205" s="26">
        <v>0</v>
      </c>
      <c r="AA205" s="26">
        <v>0</v>
      </c>
      <c r="AB205" s="26">
        <v>0</v>
      </c>
      <c r="AC205" s="26">
        <v>0</v>
      </c>
      <c r="AD205" s="26">
        <v>0</v>
      </c>
      <c r="AE205" s="26">
        <v>0</v>
      </c>
      <c r="AF205" s="26">
        <v>0</v>
      </c>
      <c r="AG205" s="26">
        <v>0</v>
      </c>
      <c r="AH205" s="26">
        <v>0</v>
      </c>
      <c r="AI205" s="26">
        <v>0</v>
      </c>
      <c r="AJ205" s="26">
        <v>0</v>
      </c>
      <c r="AK205" s="26">
        <v>0</v>
      </c>
      <c r="AL205" s="26">
        <v>0</v>
      </c>
      <c r="AM205" s="26">
        <v>0</v>
      </c>
      <c r="AN205" s="26">
        <v>0</v>
      </c>
      <c r="AO205" s="26">
        <v>0</v>
      </c>
      <c r="AP205" s="26">
        <v>0</v>
      </c>
      <c r="AQ205" s="26">
        <v>0</v>
      </c>
      <c r="AR205" s="26">
        <v>0</v>
      </c>
      <c r="AS205" s="26">
        <v>0</v>
      </c>
      <c r="AT205" s="26">
        <v>0</v>
      </c>
      <c r="AU205" s="26">
        <v>0</v>
      </c>
      <c r="AV205" s="26">
        <v>0</v>
      </c>
      <c r="AW205" s="26">
        <v>0</v>
      </c>
      <c r="AX205" s="26">
        <v>0</v>
      </c>
      <c r="AY205" s="26">
        <v>0</v>
      </c>
      <c r="AZ205" s="26">
        <v>0</v>
      </c>
      <c r="BA205" s="26">
        <v>0</v>
      </c>
      <c r="BB205" s="26">
        <v>1</v>
      </c>
      <c r="BC205" s="26">
        <v>1</v>
      </c>
      <c r="BD205" s="26">
        <v>2</v>
      </c>
      <c r="BE205" s="26">
        <v>2</v>
      </c>
      <c r="BF205">
        <v>2</v>
      </c>
      <c r="BG205">
        <v>2</v>
      </c>
      <c r="BH205">
        <v>3</v>
      </c>
      <c r="BI205">
        <v>4</v>
      </c>
      <c r="BJ205">
        <v>14</v>
      </c>
      <c r="BK205" t="s">
        <v>446</v>
      </c>
    </row>
    <row r="206" spans="1:63" x14ac:dyDescent="0.25">
      <c r="A206" s="26"/>
      <c r="B206" s="26" t="s">
        <v>234</v>
      </c>
      <c r="C206" s="26">
        <v>7.54</v>
      </c>
      <c r="D206" s="26">
        <v>-5.5471000000000004</v>
      </c>
      <c r="E206" s="26">
        <v>0</v>
      </c>
      <c r="F206" s="26">
        <v>0</v>
      </c>
      <c r="G206" s="26">
        <v>0</v>
      </c>
      <c r="H206" s="26">
        <v>0</v>
      </c>
      <c r="I206" s="26">
        <v>0</v>
      </c>
      <c r="J206" s="26">
        <v>0</v>
      </c>
      <c r="K206" s="26">
        <v>0</v>
      </c>
      <c r="L206" s="26">
        <v>0</v>
      </c>
      <c r="M206" s="26">
        <v>0</v>
      </c>
      <c r="N206" s="26">
        <v>0</v>
      </c>
      <c r="O206" s="26">
        <v>0</v>
      </c>
      <c r="P206" s="26">
        <v>0</v>
      </c>
      <c r="Q206" s="26">
        <v>0</v>
      </c>
      <c r="R206" s="26">
        <v>0</v>
      </c>
      <c r="S206" s="26">
        <v>0</v>
      </c>
      <c r="T206" s="26">
        <v>0</v>
      </c>
      <c r="U206" s="26">
        <v>0</v>
      </c>
      <c r="V206" s="26">
        <v>0</v>
      </c>
      <c r="W206" s="26">
        <v>0</v>
      </c>
      <c r="X206" s="26">
        <v>0</v>
      </c>
      <c r="Y206" s="26">
        <v>0</v>
      </c>
      <c r="Z206" s="26">
        <v>0</v>
      </c>
      <c r="AA206" s="26">
        <v>0</v>
      </c>
      <c r="AB206" s="26">
        <v>0</v>
      </c>
      <c r="AC206" s="26">
        <v>0</v>
      </c>
      <c r="AD206" s="26">
        <v>0</v>
      </c>
      <c r="AE206" s="26">
        <v>0</v>
      </c>
      <c r="AF206" s="26">
        <v>0</v>
      </c>
      <c r="AG206" s="26">
        <v>0</v>
      </c>
      <c r="AH206" s="26">
        <v>0</v>
      </c>
      <c r="AI206" s="26">
        <v>0</v>
      </c>
      <c r="AJ206" s="26">
        <v>0</v>
      </c>
      <c r="AK206" s="26">
        <v>0</v>
      </c>
      <c r="AL206" s="26">
        <v>0</v>
      </c>
      <c r="AM206" s="26">
        <v>0</v>
      </c>
      <c r="AN206" s="26">
        <v>0</v>
      </c>
      <c r="AO206" s="26">
        <v>0</v>
      </c>
      <c r="AP206" s="26">
        <v>0</v>
      </c>
      <c r="AQ206" s="26">
        <v>0</v>
      </c>
      <c r="AR206" s="26">
        <v>0</v>
      </c>
      <c r="AS206" s="26">
        <v>0</v>
      </c>
      <c r="AT206" s="26">
        <v>0</v>
      </c>
      <c r="AU206" s="26">
        <v>0</v>
      </c>
      <c r="AV206" s="26">
        <v>0</v>
      </c>
      <c r="AW206" s="26">
        <v>0</v>
      </c>
      <c r="AX206" s="26">
        <v>0</v>
      </c>
      <c r="AY206" s="26">
        <v>0</v>
      </c>
      <c r="AZ206" s="26">
        <v>0</v>
      </c>
      <c r="BA206" s="26">
        <v>0</v>
      </c>
      <c r="BB206" s="26">
        <v>1</v>
      </c>
      <c r="BC206" s="26">
        <v>1</v>
      </c>
      <c r="BD206" s="26">
        <v>1</v>
      </c>
      <c r="BE206" s="26">
        <v>1</v>
      </c>
      <c r="BF206">
        <v>1</v>
      </c>
      <c r="BG206">
        <v>1</v>
      </c>
      <c r="BH206">
        <v>5</v>
      </c>
      <c r="BI206">
        <v>6</v>
      </c>
      <c r="BJ206">
        <v>9</v>
      </c>
      <c r="BK206" t="s">
        <v>444</v>
      </c>
    </row>
    <row r="207" spans="1:63" x14ac:dyDescent="0.25">
      <c r="A207" s="26" t="s">
        <v>115</v>
      </c>
      <c r="B207" s="26" t="s">
        <v>42</v>
      </c>
      <c r="C207" s="26">
        <v>17.899999999999999</v>
      </c>
      <c r="D207" s="26">
        <v>-62.833300000000001</v>
      </c>
      <c r="E207" s="26">
        <v>0</v>
      </c>
      <c r="F207" s="26">
        <v>0</v>
      </c>
      <c r="G207" s="26">
        <v>0</v>
      </c>
      <c r="H207" s="26">
        <v>0</v>
      </c>
      <c r="I207" s="26">
        <v>0</v>
      </c>
      <c r="J207" s="26">
        <v>0</v>
      </c>
      <c r="K207" s="26">
        <v>0</v>
      </c>
      <c r="L207" s="26">
        <v>0</v>
      </c>
      <c r="M207" s="26">
        <v>0</v>
      </c>
      <c r="N207" s="26">
        <v>0</v>
      </c>
      <c r="O207" s="26">
        <v>0</v>
      </c>
      <c r="P207" s="26">
        <v>0</v>
      </c>
      <c r="Q207" s="26">
        <v>0</v>
      </c>
      <c r="R207" s="26">
        <v>0</v>
      </c>
      <c r="S207" s="26">
        <v>0</v>
      </c>
      <c r="T207" s="26">
        <v>0</v>
      </c>
      <c r="U207" s="26">
        <v>0</v>
      </c>
      <c r="V207" s="26">
        <v>0</v>
      </c>
      <c r="W207" s="26">
        <v>0</v>
      </c>
      <c r="X207" s="26">
        <v>0</v>
      </c>
      <c r="Y207" s="26">
        <v>0</v>
      </c>
      <c r="Z207" s="26">
        <v>0</v>
      </c>
      <c r="AA207" s="26">
        <v>0</v>
      </c>
      <c r="AB207" s="26">
        <v>0</v>
      </c>
      <c r="AC207" s="26">
        <v>0</v>
      </c>
      <c r="AD207" s="26">
        <v>0</v>
      </c>
      <c r="AE207" s="26">
        <v>0</v>
      </c>
      <c r="AF207" s="26">
        <v>0</v>
      </c>
      <c r="AG207" s="26">
        <v>0</v>
      </c>
      <c r="AH207" s="26">
        <v>0</v>
      </c>
      <c r="AI207" s="26">
        <v>0</v>
      </c>
      <c r="AJ207" s="26">
        <v>0</v>
      </c>
      <c r="AK207" s="26">
        <v>0</v>
      </c>
      <c r="AL207" s="26">
        <v>0</v>
      </c>
      <c r="AM207" s="26">
        <v>0</v>
      </c>
      <c r="AN207" s="26">
        <v>0</v>
      </c>
      <c r="AO207" s="26">
        <v>0</v>
      </c>
      <c r="AP207" s="26">
        <v>0</v>
      </c>
      <c r="AQ207" s="26">
        <v>0</v>
      </c>
      <c r="AR207" s="26">
        <v>0</v>
      </c>
      <c r="AS207" s="26">
        <v>0</v>
      </c>
      <c r="AT207" s="26">
        <v>0</v>
      </c>
      <c r="AU207" s="26">
        <v>3</v>
      </c>
      <c r="AV207" s="26">
        <v>3</v>
      </c>
      <c r="AW207" s="26">
        <v>3</v>
      </c>
      <c r="AX207" s="26">
        <v>3</v>
      </c>
      <c r="AY207" s="26">
        <v>3</v>
      </c>
      <c r="AZ207" s="26">
        <v>1</v>
      </c>
      <c r="BA207" s="26">
        <v>1</v>
      </c>
      <c r="BB207" s="26">
        <v>1</v>
      </c>
      <c r="BC207" s="26">
        <v>1</v>
      </c>
      <c r="BD207" s="26">
        <v>1</v>
      </c>
      <c r="BE207" s="26">
        <v>1</v>
      </c>
      <c r="BF207">
        <v>1</v>
      </c>
      <c r="BG207">
        <v>3</v>
      </c>
      <c r="BH207">
        <v>3</v>
      </c>
      <c r="BI207">
        <v>3</v>
      </c>
      <c r="BJ207">
        <v>3</v>
      </c>
      <c r="BK207" t="s">
        <v>442</v>
      </c>
    </row>
    <row r="208" spans="1:63" x14ac:dyDescent="0.25">
      <c r="A208" s="26"/>
      <c r="B208" s="26" t="s">
        <v>235</v>
      </c>
      <c r="C208" s="26">
        <v>18.1096</v>
      </c>
      <c r="D208" s="26">
        <v>-77.297499999999999</v>
      </c>
      <c r="E208" s="26">
        <v>0</v>
      </c>
      <c r="F208" s="26">
        <v>0</v>
      </c>
      <c r="G208" s="26">
        <v>0</v>
      </c>
      <c r="H208" s="26">
        <v>0</v>
      </c>
      <c r="I208" s="26">
        <v>0</v>
      </c>
      <c r="J208" s="26">
        <v>0</v>
      </c>
      <c r="K208" s="26">
        <v>0</v>
      </c>
      <c r="L208" s="26">
        <v>0</v>
      </c>
      <c r="M208" s="26">
        <v>0</v>
      </c>
      <c r="N208" s="26">
        <v>0</v>
      </c>
      <c r="O208" s="26">
        <v>0</v>
      </c>
      <c r="P208" s="26">
        <v>0</v>
      </c>
      <c r="Q208" s="26">
        <v>0</v>
      </c>
      <c r="R208" s="26">
        <v>0</v>
      </c>
      <c r="S208" s="26">
        <v>0</v>
      </c>
      <c r="T208" s="26">
        <v>0</v>
      </c>
      <c r="U208" s="26">
        <v>0</v>
      </c>
      <c r="V208" s="26">
        <v>0</v>
      </c>
      <c r="W208" s="26">
        <v>0</v>
      </c>
      <c r="X208" s="26">
        <v>0</v>
      </c>
      <c r="Y208" s="26">
        <v>0</v>
      </c>
      <c r="Z208" s="26">
        <v>0</v>
      </c>
      <c r="AA208" s="26">
        <v>0</v>
      </c>
      <c r="AB208" s="26">
        <v>0</v>
      </c>
      <c r="AC208" s="26">
        <v>0</v>
      </c>
      <c r="AD208" s="26">
        <v>0</v>
      </c>
      <c r="AE208" s="26">
        <v>0</v>
      </c>
      <c r="AF208" s="26">
        <v>0</v>
      </c>
      <c r="AG208" s="26">
        <v>0</v>
      </c>
      <c r="AH208" s="26">
        <v>0</v>
      </c>
      <c r="AI208" s="26">
        <v>0</v>
      </c>
      <c r="AJ208" s="26">
        <v>0</v>
      </c>
      <c r="AK208" s="26">
        <v>0</v>
      </c>
      <c r="AL208" s="26">
        <v>0</v>
      </c>
      <c r="AM208" s="26">
        <v>0</v>
      </c>
      <c r="AN208" s="26">
        <v>0</v>
      </c>
      <c r="AO208" s="26">
        <v>0</v>
      </c>
      <c r="AP208" s="26">
        <v>0</v>
      </c>
      <c r="AQ208" s="26">
        <v>0</v>
      </c>
      <c r="AR208" s="26">
        <v>0</v>
      </c>
      <c r="AS208" s="26">
        <v>0</v>
      </c>
      <c r="AT208" s="26">
        <v>0</v>
      </c>
      <c r="AU208" s="26">
        <v>0</v>
      </c>
      <c r="AV208" s="26">
        <v>0</v>
      </c>
      <c r="AW208" s="26">
        <v>0</v>
      </c>
      <c r="AX208" s="26">
        <v>0</v>
      </c>
      <c r="AY208" s="26">
        <v>0</v>
      </c>
      <c r="AZ208" s="26">
        <v>0</v>
      </c>
      <c r="BA208" s="26">
        <v>0</v>
      </c>
      <c r="BB208" s="26">
        <v>1</v>
      </c>
      <c r="BC208" s="26">
        <v>2</v>
      </c>
      <c r="BD208" s="26">
        <v>8</v>
      </c>
      <c r="BE208" s="26">
        <v>8</v>
      </c>
      <c r="BF208">
        <v>10</v>
      </c>
      <c r="BG208">
        <v>10</v>
      </c>
      <c r="BH208">
        <v>12</v>
      </c>
      <c r="BI208">
        <v>13</v>
      </c>
      <c r="BJ208">
        <v>15</v>
      </c>
      <c r="BK208" t="s">
        <v>1452</v>
      </c>
    </row>
    <row r="209" spans="1:63" x14ac:dyDescent="0.25">
      <c r="A209" s="26"/>
      <c r="B209" s="26" t="s">
        <v>237</v>
      </c>
      <c r="C209" s="26">
        <v>38.963700000000003</v>
      </c>
      <c r="D209" s="26">
        <v>35.243299999999998</v>
      </c>
      <c r="E209" s="26">
        <v>0</v>
      </c>
      <c r="F209" s="26">
        <v>0</v>
      </c>
      <c r="G209" s="26">
        <v>0</v>
      </c>
      <c r="H209" s="26">
        <v>0</v>
      </c>
      <c r="I209" s="26">
        <v>0</v>
      </c>
      <c r="J209" s="26">
        <v>0</v>
      </c>
      <c r="K209" s="26">
        <v>0</v>
      </c>
      <c r="L209" s="26">
        <v>0</v>
      </c>
      <c r="M209" s="26">
        <v>0</v>
      </c>
      <c r="N209" s="26">
        <v>0</v>
      </c>
      <c r="O209" s="26">
        <v>0</v>
      </c>
      <c r="P209" s="26">
        <v>0</v>
      </c>
      <c r="Q209" s="26">
        <v>0</v>
      </c>
      <c r="R209" s="26">
        <v>0</v>
      </c>
      <c r="S209" s="26">
        <v>0</v>
      </c>
      <c r="T209" s="26">
        <v>0</v>
      </c>
      <c r="U209" s="26">
        <v>0</v>
      </c>
      <c r="V209" s="26">
        <v>0</v>
      </c>
      <c r="W209" s="26">
        <v>0</v>
      </c>
      <c r="X209" s="26">
        <v>0</v>
      </c>
      <c r="Y209" s="26">
        <v>0</v>
      </c>
      <c r="Z209" s="26">
        <v>0</v>
      </c>
      <c r="AA209" s="26">
        <v>0</v>
      </c>
      <c r="AB209" s="26">
        <v>0</v>
      </c>
      <c r="AC209" s="26">
        <v>0</v>
      </c>
      <c r="AD209" s="26">
        <v>0</v>
      </c>
      <c r="AE209" s="26">
        <v>0</v>
      </c>
      <c r="AF209" s="26">
        <v>0</v>
      </c>
      <c r="AG209" s="26">
        <v>0</v>
      </c>
      <c r="AH209" s="26">
        <v>0</v>
      </c>
      <c r="AI209" s="26">
        <v>0</v>
      </c>
      <c r="AJ209" s="26">
        <v>0</v>
      </c>
      <c r="AK209" s="26">
        <v>0</v>
      </c>
      <c r="AL209" s="26">
        <v>0</v>
      </c>
      <c r="AM209" s="26">
        <v>0</v>
      </c>
      <c r="AN209" s="26">
        <v>0</v>
      </c>
      <c r="AO209" s="26">
        <v>0</v>
      </c>
      <c r="AP209" s="26">
        <v>0</v>
      </c>
      <c r="AQ209" s="26">
        <v>0</v>
      </c>
      <c r="AR209" s="26">
        <v>0</v>
      </c>
      <c r="AS209" s="26">
        <v>0</v>
      </c>
      <c r="AT209" s="26">
        <v>0</v>
      </c>
      <c r="AU209" s="26">
        <v>0</v>
      </c>
      <c r="AV209" s="26">
        <v>0</v>
      </c>
      <c r="AW209" s="26">
        <v>0</v>
      </c>
      <c r="AX209" s="26">
        <v>0</v>
      </c>
      <c r="AY209" s="26">
        <v>0</v>
      </c>
      <c r="AZ209" s="26">
        <v>0</v>
      </c>
      <c r="BA209" s="26">
        <v>0</v>
      </c>
      <c r="BB209" s="26">
        <v>1</v>
      </c>
      <c r="BC209" s="26">
        <v>1</v>
      </c>
      <c r="BD209" s="26">
        <v>5</v>
      </c>
      <c r="BE209" s="26">
        <v>5</v>
      </c>
      <c r="BF209">
        <v>6</v>
      </c>
      <c r="BG209">
        <v>18</v>
      </c>
      <c r="BH209">
        <v>47</v>
      </c>
      <c r="BI209">
        <v>98</v>
      </c>
      <c r="BJ209">
        <v>192</v>
      </c>
      <c r="BK209" t="s">
        <v>1453</v>
      </c>
    </row>
    <row r="210" spans="1:63" x14ac:dyDescent="0.25">
      <c r="A210" s="26" t="s">
        <v>1454</v>
      </c>
      <c r="B210" s="26" t="s">
        <v>1038</v>
      </c>
      <c r="C210" s="26">
        <v>36.140799999999999</v>
      </c>
      <c r="D210" s="26">
        <v>-5.3536000000000001</v>
      </c>
      <c r="E210" s="26">
        <v>0</v>
      </c>
      <c r="F210" s="26">
        <v>0</v>
      </c>
      <c r="G210" s="26">
        <v>0</v>
      </c>
      <c r="H210" s="26">
        <v>0</v>
      </c>
      <c r="I210" s="26">
        <v>0</v>
      </c>
      <c r="J210" s="26">
        <v>0</v>
      </c>
      <c r="K210" s="26">
        <v>0</v>
      </c>
      <c r="L210" s="26">
        <v>0</v>
      </c>
      <c r="M210" s="26">
        <v>0</v>
      </c>
      <c r="N210" s="26">
        <v>0</v>
      </c>
      <c r="O210" s="26">
        <v>0</v>
      </c>
      <c r="P210" s="26">
        <v>0</v>
      </c>
      <c r="Q210" s="26">
        <v>0</v>
      </c>
      <c r="R210" s="26">
        <v>0</v>
      </c>
      <c r="S210" s="26">
        <v>0</v>
      </c>
      <c r="T210" s="26">
        <v>0</v>
      </c>
      <c r="U210" s="26">
        <v>0</v>
      </c>
      <c r="V210" s="26">
        <v>0</v>
      </c>
      <c r="W210" s="26">
        <v>0</v>
      </c>
      <c r="X210" s="26">
        <v>0</v>
      </c>
      <c r="Y210" s="26">
        <v>0</v>
      </c>
      <c r="Z210" s="26">
        <v>0</v>
      </c>
      <c r="AA210" s="26">
        <v>0</v>
      </c>
      <c r="AB210" s="26">
        <v>0</v>
      </c>
      <c r="AC210" s="26">
        <v>0</v>
      </c>
      <c r="AD210" s="26">
        <v>0</v>
      </c>
      <c r="AE210" s="26">
        <v>0</v>
      </c>
      <c r="AF210" s="26">
        <v>0</v>
      </c>
      <c r="AG210" s="26">
        <v>0</v>
      </c>
      <c r="AH210" s="26">
        <v>0</v>
      </c>
      <c r="AI210" s="26">
        <v>0</v>
      </c>
      <c r="AJ210" s="26">
        <v>0</v>
      </c>
      <c r="AK210" s="26">
        <v>0</v>
      </c>
      <c r="AL210" s="26">
        <v>0</v>
      </c>
      <c r="AM210" s="26">
        <v>0</v>
      </c>
      <c r="AN210" s="26">
        <v>0</v>
      </c>
      <c r="AO210" s="26">
        <v>0</v>
      </c>
      <c r="AP210" s="26">
        <v>0</v>
      </c>
      <c r="AQ210" s="26">
        <v>0</v>
      </c>
      <c r="AR210" s="26">
        <v>0</v>
      </c>
      <c r="AS210" s="26">
        <v>0</v>
      </c>
      <c r="AT210" s="26">
        <v>0</v>
      </c>
      <c r="AU210" s="26">
        <v>1</v>
      </c>
      <c r="AV210" s="26">
        <v>1</v>
      </c>
      <c r="AW210" s="26">
        <v>1</v>
      </c>
      <c r="AX210" s="26">
        <v>1</v>
      </c>
      <c r="AY210" s="26">
        <v>1</v>
      </c>
      <c r="AZ210" s="26">
        <v>1</v>
      </c>
      <c r="BA210" s="26">
        <v>1</v>
      </c>
      <c r="BB210" s="26">
        <v>1</v>
      </c>
      <c r="BC210" s="26">
        <v>1</v>
      </c>
      <c r="BD210" s="26">
        <v>1</v>
      </c>
      <c r="BE210" s="26">
        <v>1</v>
      </c>
      <c r="BF210">
        <v>1</v>
      </c>
      <c r="BG210">
        <v>1</v>
      </c>
      <c r="BH210">
        <v>3</v>
      </c>
      <c r="BI210">
        <v>8</v>
      </c>
      <c r="BJ210">
        <v>10</v>
      </c>
      <c r="BK210" t="s">
        <v>454</v>
      </c>
    </row>
    <row r="211" spans="1:63" x14ac:dyDescent="0.25">
      <c r="A211" s="26" t="s">
        <v>247</v>
      </c>
      <c r="B211" s="26" t="s">
        <v>37</v>
      </c>
      <c r="C211" s="26">
        <v>47.6477</v>
      </c>
      <c r="D211" s="26">
        <v>-122.6413</v>
      </c>
      <c r="E211" s="26">
        <v>0</v>
      </c>
      <c r="F211" s="26">
        <v>0</v>
      </c>
      <c r="G211" s="26">
        <v>0</v>
      </c>
      <c r="H211" s="26">
        <v>0</v>
      </c>
      <c r="I211" s="26">
        <v>0</v>
      </c>
      <c r="J211" s="26">
        <v>0</v>
      </c>
      <c r="K211" s="26">
        <v>0</v>
      </c>
      <c r="L211" s="26">
        <v>0</v>
      </c>
      <c r="M211" s="26">
        <v>0</v>
      </c>
      <c r="N211" s="26">
        <v>0</v>
      </c>
      <c r="O211" s="26">
        <v>0</v>
      </c>
      <c r="P211" s="26">
        <v>0</v>
      </c>
      <c r="Q211" s="26">
        <v>0</v>
      </c>
      <c r="R211" s="26">
        <v>0</v>
      </c>
      <c r="S211" s="26">
        <v>0</v>
      </c>
      <c r="T211" s="26">
        <v>0</v>
      </c>
      <c r="U211" s="26">
        <v>0</v>
      </c>
      <c r="V211" s="26">
        <v>0</v>
      </c>
      <c r="W211" s="26">
        <v>0</v>
      </c>
      <c r="X211" s="26">
        <v>0</v>
      </c>
      <c r="Y211" s="26">
        <v>0</v>
      </c>
      <c r="Z211" s="26">
        <v>0</v>
      </c>
      <c r="AA211" s="26">
        <v>0</v>
      </c>
      <c r="AB211" s="26">
        <v>0</v>
      </c>
      <c r="AC211" s="26">
        <v>0</v>
      </c>
      <c r="AD211" s="26">
        <v>0</v>
      </c>
      <c r="AE211" s="26">
        <v>0</v>
      </c>
      <c r="AF211" s="26">
        <v>0</v>
      </c>
      <c r="AG211" s="26">
        <v>0</v>
      </c>
      <c r="AH211" s="26">
        <v>0</v>
      </c>
      <c r="AI211" s="26">
        <v>0</v>
      </c>
      <c r="AJ211" s="26">
        <v>0</v>
      </c>
      <c r="AK211" s="26">
        <v>0</v>
      </c>
      <c r="AL211" s="26">
        <v>0</v>
      </c>
      <c r="AM211" s="26">
        <v>0</v>
      </c>
      <c r="AN211" s="26">
        <v>0</v>
      </c>
      <c r="AO211" s="26">
        <v>0</v>
      </c>
      <c r="AP211" s="26">
        <v>0</v>
      </c>
      <c r="AQ211" s="26">
        <v>0</v>
      </c>
      <c r="AR211" s="26">
        <v>0</v>
      </c>
      <c r="AS211" s="26">
        <v>0</v>
      </c>
      <c r="AT211" s="26">
        <v>0</v>
      </c>
      <c r="AU211" s="26">
        <v>0</v>
      </c>
      <c r="AV211" s="26">
        <v>0</v>
      </c>
      <c r="AW211" s="26">
        <v>0</v>
      </c>
      <c r="AX211" s="26">
        <v>0</v>
      </c>
      <c r="AY211" s="26">
        <v>0</v>
      </c>
      <c r="AZ211" s="26">
        <v>0</v>
      </c>
      <c r="BA211" s="26">
        <v>0</v>
      </c>
      <c r="BB211" s="26">
        <v>0</v>
      </c>
      <c r="BC211" s="26">
        <v>0</v>
      </c>
      <c r="BD211" s="26">
        <v>0</v>
      </c>
      <c r="BE211" s="26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 t="s">
        <v>445</v>
      </c>
    </row>
    <row r="212" spans="1:63" x14ac:dyDescent="0.25">
      <c r="A212" s="26" t="s">
        <v>248</v>
      </c>
      <c r="B212" s="26" t="s">
        <v>37</v>
      </c>
      <c r="C212" s="26">
        <v>38.310499999999998</v>
      </c>
      <c r="D212" s="26">
        <v>-121.90179999999999</v>
      </c>
      <c r="E212" s="27">
        <v>0</v>
      </c>
      <c r="F212" s="27">
        <v>0</v>
      </c>
      <c r="G212" s="27">
        <v>0</v>
      </c>
      <c r="H212" s="27">
        <v>0</v>
      </c>
      <c r="I212" s="27">
        <v>0</v>
      </c>
      <c r="J212" s="27">
        <v>0</v>
      </c>
      <c r="K212" s="27">
        <v>0</v>
      </c>
      <c r="L212" s="27">
        <v>0</v>
      </c>
      <c r="M212" s="27">
        <v>0</v>
      </c>
      <c r="N212" s="27">
        <v>0</v>
      </c>
      <c r="O212" s="27">
        <v>0</v>
      </c>
      <c r="P212" s="27">
        <v>0</v>
      </c>
      <c r="Q212" s="27">
        <v>0</v>
      </c>
      <c r="R212" s="27">
        <v>0</v>
      </c>
      <c r="S212" s="27">
        <v>0</v>
      </c>
      <c r="T212" s="27">
        <v>0</v>
      </c>
      <c r="U212" s="27">
        <v>0</v>
      </c>
      <c r="V212" s="27">
        <v>0</v>
      </c>
      <c r="W212" s="27">
        <v>0</v>
      </c>
      <c r="X212" s="27">
        <v>0</v>
      </c>
      <c r="Y212" s="27">
        <v>0</v>
      </c>
      <c r="Z212" s="27">
        <v>0</v>
      </c>
      <c r="AA212" s="27">
        <v>0</v>
      </c>
      <c r="AB212" s="27">
        <v>0</v>
      </c>
      <c r="AC212" s="27">
        <v>0</v>
      </c>
      <c r="AD212" s="27">
        <v>0</v>
      </c>
      <c r="AE212" s="27">
        <v>0</v>
      </c>
      <c r="AF212" s="27">
        <v>0</v>
      </c>
      <c r="AG212" s="27">
        <v>0</v>
      </c>
      <c r="AH212" s="27">
        <v>0</v>
      </c>
      <c r="AI212" s="27">
        <v>0</v>
      </c>
      <c r="AJ212" s="27">
        <v>0</v>
      </c>
      <c r="AK212" s="27">
        <v>0</v>
      </c>
      <c r="AL212" s="27">
        <v>0</v>
      </c>
      <c r="AM212" s="27">
        <v>0</v>
      </c>
      <c r="AN212" s="27">
        <v>0</v>
      </c>
      <c r="AO212" s="27">
        <v>0</v>
      </c>
      <c r="AP212" s="27">
        <v>0</v>
      </c>
      <c r="AQ212" s="27">
        <v>0</v>
      </c>
      <c r="AR212" s="27">
        <v>0</v>
      </c>
      <c r="AS212" s="27">
        <v>0</v>
      </c>
      <c r="AT212" s="27">
        <v>0</v>
      </c>
      <c r="AU212" s="27">
        <v>0</v>
      </c>
      <c r="AV212" s="27">
        <v>0</v>
      </c>
      <c r="AW212" s="27">
        <v>0</v>
      </c>
      <c r="AX212" s="27">
        <v>0</v>
      </c>
      <c r="AY212" s="27">
        <v>0</v>
      </c>
      <c r="AZ212" s="27">
        <v>0</v>
      </c>
      <c r="BA212" s="27">
        <v>0</v>
      </c>
      <c r="BB212" s="27">
        <v>0</v>
      </c>
      <c r="BC212" s="27">
        <v>0</v>
      </c>
      <c r="BD212" s="27">
        <v>0</v>
      </c>
      <c r="BE212" s="27">
        <v>0</v>
      </c>
      <c r="BF212" s="27">
        <v>0</v>
      </c>
      <c r="BG212">
        <v>0</v>
      </c>
      <c r="BH212">
        <v>0</v>
      </c>
      <c r="BI212">
        <v>0</v>
      </c>
      <c r="BJ212">
        <v>0</v>
      </c>
      <c r="BK212" t="s">
        <v>445</v>
      </c>
    </row>
    <row r="213" spans="1:63" x14ac:dyDescent="0.25">
      <c r="A213" s="26" t="s">
        <v>249</v>
      </c>
      <c r="B213" s="26" t="s">
        <v>37</v>
      </c>
      <c r="C213" s="26">
        <v>37.045400000000001</v>
      </c>
      <c r="D213" s="26">
        <v>-121.958</v>
      </c>
      <c r="E213" s="26">
        <v>0</v>
      </c>
      <c r="F213" s="26">
        <v>0</v>
      </c>
      <c r="G213" s="26">
        <v>0</v>
      </c>
      <c r="H213" s="26">
        <v>0</v>
      </c>
      <c r="I213" s="26">
        <v>0</v>
      </c>
      <c r="J213" s="26">
        <v>0</v>
      </c>
      <c r="K213" s="26">
        <v>0</v>
      </c>
      <c r="L213" s="26">
        <v>0</v>
      </c>
      <c r="M213" s="26">
        <v>0</v>
      </c>
      <c r="N213" s="26">
        <v>0</v>
      </c>
      <c r="O213" s="26">
        <v>0</v>
      </c>
      <c r="P213" s="26">
        <v>0</v>
      </c>
      <c r="Q213" s="26">
        <v>0</v>
      </c>
      <c r="R213" s="26">
        <v>0</v>
      </c>
      <c r="S213" s="26">
        <v>0</v>
      </c>
      <c r="T213" s="26">
        <v>0</v>
      </c>
      <c r="U213" s="26">
        <v>0</v>
      </c>
      <c r="V213" s="26">
        <v>0</v>
      </c>
      <c r="W213" s="26">
        <v>0</v>
      </c>
      <c r="X213" s="26">
        <v>0</v>
      </c>
      <c r="Y213" s="26">
        <v>0</v>
      </c>
      <c r="Z213" s="26">
        <v>0</v>
      </c>
      <c r="AA213" s="26">
        <v>0</v>
      </c>
      <c r="AB213" s="26">
        <v>0</v>
      </c>
      <c r="AC213" s="26">
        <v>0</v>
      </c>
      <c r="AD213" s="26">
        <v>0</v>
      </c>
      <c r="AE213" s="26">
        <v>0</v>
      </c>
      <c r="AF213" s="26">
        <v>0</v>
      </c>
      <c r="AG213" s="26">
        <v>0</v>
      </c>
      <c r="AH213" s="26">
        <v>0</v>
      </c>
      <c r="AI213" s="26">
        <v>0</v>
      </c>
      <c r="AJ213" s="26">
        <v>0</v>
      </c>
      <c r="AK213" s="26">
        <v>0</v>
      </c>
      <c r="AL213" s="26">
        <v>0</v>
      </c>
      <c r="AM213" s="26">
        <v>0</v>
      </c>
      <c r="AN213" s="26">
        <v>0</v>
      </c>
      <c r="AO213" s="26">
        <v>0</v>
      </c>
      <c r="AP213" s="26">
        <v>0</v>
      </c>
      <c r="AQ213" s="26">
        <v>0</v>
      </c>
      <c r="AR213" s="26">
        <v>0</v>
      </c>
      <c r="AS213" s="26">
        <v>0</v>
      </c>
      <c r="AT213" s="26">
        <v>0</v>
      </c>
      <c r="AU213" s="26">
        <v>0</v>
      </c>
      <c r="AV213" s="26">
        <v>0</v>
      </c>
      <c r="AW213" s="26">
        <v>0</v>
      </c>
      <c r="AX213" s="26">
        <v>0</v>
      </c>
      <c r="AY213" s="26">
        <v>0</v>
      </c>
      <c r="AZ213" s="26">
        <v>0</v>
      </c>
      <c r="BA213" s="26">
        <v>0</v>
      </c>
      <c r="BB213" s="26">
        <v>0</v>
      </c>
      <c r="BC213" s="26">
        <v>0</v>
      </c>
      <c r="BD213" s="26">
        <v>0</v>
      </c>
      <c r="BE213" s="26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 t="s">
        <v>445</v>
      </c>
    </row>
    <row r="214" spans="1:63" x14ac:dyDescent="0.25">
      <c r="A214" s="26" t="s">
        <v>250</v>
      </c>
      <c r="B214" s="26" t="s">
        <v>37</v>
      </c>
      <c r="C214" s="26">
        <v>38.502499999999998</v>
      </c>
      <c r="D214" s="26">
        <v>-122.2654</v>
      </c>
      <c r="E214" s="26">
        <v>0</v>
      </c>
      <c r="F214" s="26">
        <v>0</v>
      </c>
      <c r="G214" s="26">
        <v>0</v>
      </c>
      <c r="H214" s="26">
        <v>0</v>
      </c>
      <c r="I214" s="26">
        <v>0</v>
      </c>
      <c r="J214" s="26">
        <v>0</v>
      </c>
      <c r="K214" s="26">
        <v>0</v>
      </c>
      <c r="L214" s="26">
        <v>0</v>
      </c>
      <c r="M214" s="26">
        <v>0</v>
      </c>
      <c r="N214" s="26">
        <v>0</v>
      </c>
      <c r="O214" s="26">
        <v>0</v>
      </c>
      <c r="P214" s="26">
        <v>0</v>
      </c>
      <c r="Q214" s="26">
        <v>0</v>
      </c>
      <c r="R214" s="26">
        <v>0</v>
      </c>
      <c r="S214" s="26">
        <v>0</v>
      </c>
      <c r="T214" s="26">
        <v>0</v>
      </c>
      <c r="U214" s="26">
        <v>0</v>
      </c>
      <c r="V214" s="26">
        <v>0</v>
      </c>
      <c r="W214" s="26">
        <v>0</v>
      </c>
      <c r="X214" s="26">
        <v>0</v>
      </c>
      <c r="Y214" s="26">
        <v>0</v>
      </c>
      <c r="Z214" s="26">
        <v>0</v>
      </c>
      <c r="AA214" s="26">
        <v>0</v>
      </c>
      <c r="AB214" s="26">
        <v>0</v>
      </c>
      <c r="AC214" s="26">
        <v>0</v>
      </c>
      <c r="AD214" s="26">
        <v>0</v>
      </c>
      <c r="AE214" s="26">
        <v>0</v>
      </c>
      <c r="AF214" s="26">
        <v>0</v>
      </c>
      <c r="AG214" s="26">
        <v>0</v>
      </c>
      <c r="AH214" s="26">
        <v>0</v>
      </c>
      <c r="AI214" s="26">
        <v>0</v>
      </c>
      <c r="AJ214" s="26">
        <v>0</v>
      </c>
      <c r="AK214" s="26">
        <v>0</v>
      </c>
      <c r="AL214" s="26">
        <v>0</v>
      </c>
      <c r="AM214" s="26">
        <v>0</v>
      </c>
      <c r="AN214" s="26">
        <v>0</v>
      </c>
      <c r="AO214" s="26">
        <v>0</v>
      </c>
      <c r="AP214" s="26">
        <v>0</v>
      </c>
      <c r="AQ214" s="26">
        <v>0</v>
      </c>
      <c r="AR214" s="26">
        <v>0</v>
      </c>
      <c r="AS214" s="26">
        <v>0</v>
      </c>
      <c r="AT214" s="26">
        <v>0</v>
      </c>
      <c r="AU214" s="26">
        <v>0</v>
      </c>
      <c r="AV214" s="26">
        <v>0</v>
      </c>
      <c r="AW214" s="26">
        <v>0</v>
      </c>
      <c r="AX214" s="26">
        <v>0</v>
      </c>
      <c r="AY214" s="26">
        <v>0</v>
      </c>
      <c r="AZ214" s="26">
        <v>0</v>
      </c>
      <c r="BA214" s="26">
        <v>0</v>
      </c>
      <c r="BB214" s="26">
        <v>0</v>
      </c>
      <c r="BC214" s="26">
        <v>0</v>
      </c>
      <c r="BD214" s="26">
        <v>0</v>
      </c>
      <c r="BE214" s="26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 t="s">
        <v>445</v>
      </c>
    </row>
    <row r="215" spans="1:63" x14ac:dyDescent="0.25">
      <c r="A215" s="26" t="s">
        <v>251</v>
      </c>
      <c r="B215" s="26" t="s">
        <v>37</v>
      </c>
      <c r="C215" s="26">
        <v>34.3705</v>
      </c>
      <c r="D215" s="26">
        <v>-119.1391</v>
      </c>
      <c r="E215" s="26">
        <v>0</v>
      </c>
      <c r="F215" s="26">
        <v>0</v>
      </c>
      <c r="G215" s="26">
        <v>0</v>
      </c>
      <c r="H215" s="26">
        <v>0</v>
      </c>
      <c r="I215" s="26">
        <v>0</v>
      </c>
      <c r="J215" s="26">
        <v>0</v>
      </c>
      <c r="K215" s="26">
        <v>0</v>
      </c>
      <c r="L215" s="26">
        <v>0</v>
      </c>
      <c r="M215" s="26">
        <v>0</v>
      </c>
      <c r="N215" s="26">
        <v>0</v>
      </c>
      <c r="O215" s="26">
        <v>0</v>
      </c>
      <c r="P215" s="26">
        <v>0</v>
      </c>
      <c r="Q215" s="26">
        <v>0</v>
      </c>
      <c r="R215" s="26">
        <v>0</v>
      </c>
      <c r="S215" s="26">
        <v>0</v>
      </c>
      <c r="T215" s="26">
        <v>0</v>
      </c>
      <c r="U215" s="26">
        <v>0</v>
      </c>
      <c r="V215" s="26">
        <v>0</v>
      </c>
      <c r="W215" s="26">
        <v>0</v>
      </c>
      <c r="X215" s="26">
        <v>0</v>
      </c>
      <c r="Y215" s="26">
        <v>0</v>
      </c>
      <c r="Z215" s="26">
        <v>0</v>
      </c>
      <c r="AA215" s="26">
        <v>0</v>
      </c>
      <c r="AB215" s="26">
        <v>0</v>
      </c>
      <c r="AC215" s="26">
        <v>0</v>
      </c>
      <c r="AD215" s="26">
        <v>0</v>
      </c>
      <c r="AE215" s="26">
        <v>0</v>
      </c>
      <c r="AF215" s="26">
        <v>0</v>
      </c>
      <c r="AG215" s="26">
        <v>0</v>
      </c>
      <c r="AH215" s="26">
        <v>0</v>
      </c>
      <c r="AI215" s="26">
        <v>0</v>
      </c>
      <c r="AJ215" s="26">
        <v>0</v>
      </c>
      <c r="AK215" s="26">
        <v>0</v>
      </c>
      <c r="AL215" s="26">
        <v>0</v>
      </c>
      <c r="AM215" s="26">
        <v>0</v>
      </c>
      <c r="AN215" s="26">
        <v>0</v>
      </c>
      <c r="AO215" s="26">
        <v>0</v>
      </c>
      <c r="AP215" s="26">
        <v>0</v>
      </c>
      <c r="AQ215" s="26">
        <v>0</v>
      </c>
      <c r="AR215" s="26">
        <v>0</v>
      </c>
      <c r="AS215" s="26">
        <v>0</v>
      </c>
      <c r="AT215" s="26">
        <v>0</v>
      </c>
      <c r="AU215" s="26">
        <v>0</v>
      </c>
      <c r="AV215" s="26">
        <v>0</v>
      </c>
      <c r="AW215" s="26">
        <v>0</v>
      </c>
      <c r="AX215" s="26">
        <v>0</v>
      </c>
      <c r="AY215" s="26">
        <v>0</v>
      </c>
      <c r="AZ215" s="26">
        <v>0</v>
      </c>
      <c r="BA215" s="26">
        <v>0</v>
      </c>
      <c r="BB215" s="26">
        <v>0</v>
      </c>
      <c r="BC215" s="26">
        <v>0</v>
      </c>
      <c r="BD215" s="26">
        <v>0</v>
      </c>
      <c r="BE215" s="26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 t="s">
        <v>445</v>
      </c>
    </row>
    <row r="216" spans="1:63" x14ac:dyDescent="0.25">
      <c r="A216" s="26" t="s">
        <v>252</v>
      </c>
      <c r="B216" s="26" t="s">
        <v>37</v>
      </c>
      <c r="C216" s="26">
        <v>42.409700000000001</v>
      </c>
      <c r="D216" s="26">
        <v>-71.857100000000003</v>
      </c>
      <c r="E216" s="26">
        <v>0</v>
      </c>
      <c r="F216" s="26">
        <v>0</v>
      </c>
      <c r="G216" s="26">
        <v>0</v>
      </c>
      <c r="H216" s="26">
        <v>0</v>
      </c>
      <c r="I216" s="26">
        <v>0</v>
      </c>
      <c r="J216" s="26">
        <v>0</v>
      </c>
      <c r="K216" s="26">
        <v>0</v>
      </c>
      <c r="L216" s="26">
        <v>0</v>
      </c>
      <c r="M216" s="26">
        <v>0</v>
      </c>
      <c r="N216" s="26">
        <v>0</v>
      </c>
      <c r="O216" s="26">
        <v>0</v>
      </c>
      <c r="P216" s="26">
        <v>0</v>
      </c>
      <c r="Q216" s="26">
        <v>0</v>
      </c>
      <c r="R216" s="26">
        <v>0</v>
      </c>
      <c r="S216" s="26">
        <v>0</v>
      </c>
      <c r="T216" s="26">
        <v>0</v>
      </c>
      <c r="U216" s="26">
        <v>0</v>
      </c>
      <c r="V216" s="26">
        <v>0</v>
      </c>
      <c r="W216" s="26">
        <v>0</v>
      </c>
      <c r="X216" s="26">
        <v>0</v>
      </c>
      <c r="Y216" s="26">
        <v>0</v>
      </c>
      <c r="Z216" s="26">
        <v>0</v>
      </c>
      <c r="AA216" s="26">
        <v>0</v>
      </c>
      <c r="AB216" s="26">
        <v>0</v>
      </c>
      <c r="AC216" s="26">
        <v>0</v>
      </c>
      <c r="AD216" s="26">
        <v>0</v>
      </c>
      <c r="AE216" s="26">
        <v>0</v>
      </c>
      <c r="AF216" s="26">
        <v>0</v>
      </c>
      <c r="AG216" s="26">
        <v>0</v>
      </c>
      <c r="AH216" s="26">
        <v>0</v>
      </c>
      <c r="AI216" s="26">
        <v>0</v>
      </c>
      <c r="AJ216" s="26">
        <v>0</v>
      </c>
      <c r="AK216" s="26">
        <v>0</v>
      </c>
      <c r="AL216" s="26">
        <v>0</v>
      </c>
      <c r="AM216" s="26">
        <v>0</v>
      </c>
      <c r="AN216" s="26">
        <v>0</v>
      </c>
      <c r="AO216" s="26">
        <v>0</v>
      </c>
      <c r="AP216" s="26">
        <v>0</v>
      </c>
      <c r="AQ216" s="26">
        <v>0</v>
      </c>
      <c r="AR216" s="26">
        <v>0</v>
      </c>
      <c r="AS216" s="26">
        <v>0</v>
      </c>
      <c r="AT216" s="26">
        <v>0</v>
      </c>
      <c r="AU216" s="26">
        <v>0</v>
      </c>
      <c r="AV216" s="26">
        <v>0</v>
      </c>
      <c r="AW216" s="26">
        <v>0</v>
      </c>
      <c r="AX216" s="26">
        <v>0</v>
      </c>
      <c r="AY216" s="26">
        <v>0</v>
      </c>
      <c r="AZ216" s="26">
        <v>0</v>
      </c>
      <c r="BA216" s="26">
        <v>0</v>
      </c>
      <c r="BB216" s="26">
        <v>0</v>
      </c>
      <c r="BC216" s="26">
        <v>0</v>
      </c>
      <c r="BD216" s="26">
        <v>0</v>
      </c>
      <c r="BE216" s="2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 t="s">
        <v>445</v>
      </c>
    </row>
    <row r="217" spans="1:63" x14ac:dyDescent="0.25">
      <c r="A217" s="26" t="s">
        <v>253</v>
      </c>
      <c r="B217" s="26" t="s">
        <v>37</v>
      </c>
      <c r="C217" s="26">
        <v>33.9191</v>
      </c>
      <c r="D217" s="26">
        <v>-84.0167</v>
      </c>
      <c r="E217" s="26">
        <v>0</v>
      </c>
      <c r="F217" s="26">
        <v>0</v>
      </c>
      <c r="G217" s="26">
        <v>0</v>
      </c>
      <c r="H217" s="26">
        <v>0</v>
      </c>
      <c r="I217" s="26">
        <v>0</v>
      </c>
      <c r="J217" s="26">
        <v>0</v>
      </c>
      <c r="K217" s="26">
        <v>0</v>
      </c>
      <c r="L217" s="26">
        <v>0</v>
      </c>
      <c r="M217" s="26">
        <v>0</v>
      </c>
      <c r="N217" s="26">
        <v>0</v>
      </c>
      <c r="O217" s="26">
        <v>0</v>
      </c>
      <c r="P217" s="26">
        <v>0</v>
      </c>
      <c r="Q217" s="26">
        <v>0</v>
      </c>
      <c r="R217" s="26">
        <v>0</v>
      </c>
      <c r="S217" s="26">
        <v>0</v>
      </c>
      <c r="T217" s="26">
        <v>0</v>
      </c>
      <c r="U217" s="26">
        <v>0</v>
      </c>
      <c r="V217" s="26">
        <v>0</v>
      </c>
      <c r="W217" s="26">
        <v>0</v>
      </c>
      <c r="X217" s="26">
        <v>0</v>
      </c>
      <c r="Y217" s="26">
        <v>0</v>
      </c>
      <c r="Z217" s="26">
        <v>0</v>
      </c>
      <c r="AA217" s="26">
        <v>0</v>
      </c>
      <c r="AB217" s="26">
        <v>0</v>
      </c>
      <c r="AC217" s="26">
        <v>0</v>
      </c>
      <c r="AD217" s="26">
        <v>0</v>
      </c>
      <c r="AE217" s="26">
        <v>0</v>
      </c>
      <c r="AF217" s="26">
        <v>0</v>
      </c>
      <c r="AG217" s="26">
        <v>0</v>
      </c>
      <c r="AH217" s="26">
        <v>0</v>
      </c>
      <c r="AI217" s="26">
        <v>0</v>
      </c>
      <c r="AJ217" s="26">
        <v>0</v>
      </c>
      <c r="AK217" s="26">
        <v>0</v>
      </c>
      <c r="AL217" s="26">
        <v>0</v>
      </c>
      <c r="AM217" s="26">
        <v>0</v>
      </c>
      <c r="AN217" s="26">
        <v>0</v>
      </c>
      <c r="AO217" s="26">
        <v>0</v>
      </c>
      <c r="AP217" s="26">
        <v>0</v>
      </c>
      <c r="AQ217" s="26">
        <v>0</v>
      </c>
      <c r="AR217" s="26">
        <v>0</v>
      </c>
      <c r="AS217" s="26">
        <v>0</v>
      </c>
      <c r="AT217" s="26">
        <v>0</v>
      </c>
      <c r="AU217" s="26">
        <v>0</v>
      </c>
      <c r="AV217" s="26">
        <v>0</v>
      </c>
      <c r="AW217" s="26">
        <v>0</v>
      </c>
      <c r="AX217" s="26">
        <v>0</v>
      </c>
      <c r="AY217" s="26">
        <v>0</v>
      </c>
      <c r="AZ217" s="26">
        <v>0</v>
      </c>
      <c r="BA217" s="26">
        <v>0</v>
      </c>
      <c r="BB217" s="26">
        <v>0</v>
      </c>
      <c r="BC217" s="26">
        <v>0</v>
      </c>
      <c r="BD217" s="26">
        <v>0</v>
      </c>
      <c r="BE217" s="26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 t="s">
        <v>445</v>
      </c>
    </row>
    <row r="218" spans="1:63" x14ac:dyDescent="0.25">
      <c r="A218" s="26" t="s">
        <v>254</v>
      </c>
      <c r="B218" s="26" t="s">
        <v>37</v>
      </c>
      <c r="C218" s="26">
        <v>33.7956</v>
      </c>
      <c r="D218" s="26">
        <v>-84.227900000000005</v>
      </c>
      <c r="E218" s="26">
        <v>0</v>
      </c>
      <c r="F218" s="26">
        <v>0</v>
      </c>
      <c r="G218" s="26">
        <v>0</v>
      </c>
      <c r="H218" s="26">
        <v>0</v>
      </c>
      <c r="I218" s="26">
        <v>0</v>
      </c>
      <c r="J218" s="26">
        <v>0</v>
      </c>
      <c r="K218" s="26">
        <v>0</v>
      </c>
      <c r="L218" s="26">
        <v>0</v>
      </c>
      <c r="M218" s="26">
        <v>0</v>
      </c>
      <c r="N218" s="26">
        <v>0</v>
      </c>
      <c r="O218" s="26">
        <v>0</v>
      </c>
      <c r="P218" s="26">
        <v>0</v>
      </c>
      <c r="Q218" s="26">
        <v>0</v>
      </c>
      <c r="R218" s="26">
        <v>0</v>
      </c>
      <c r="S218" s="26">
        <v>0</v>
      </c>
      <c r="T218" s="26">
        <v>0</v>
      </c>
      <c r="U218" s="26">
        <v>0</v>
      </c>
      <c r="V218" s="26">
        <v>0</v>
      </c>
      <c r="W218" s="26">
        <v>0</v>
      </c>
      <c r="X218" s="26">
        <v>0</v>
      </c>
      <c r="Y218" s="26">
        <v>0</v>
      </c>
      <c r="Z218" s="26">
        <v>0</v>
      </c>
      <c r="AA218" s="26">
        <v>0</v>
      </c>
      <c r="AB218" s="26">
        <v>0</v>
      </c>
      <c r="AC218" s="26">
        <v>0</v>
      </c>
      <c r="AD218" s="26">
        <v>0</v>
      </c>
      <c r="AE218" s="26">
        <v>0</v>
      </c>
      <c r="AF218" s="26">
        <v>0</v>
      </c>
      <c r="AG218" s="26">
        <v>0</v>
      </c>
      <c r="AH218" s="26">
        <v>0</v>
      </c>
      <c r="AI218" s="26">
        <v>0</v>
      </c>
      <c r="AJ218" s="26">
        <v>0</v>
      </c>
      <c r="AK218" s="26">
        <v>0</v>
      </c>
      <c r="AL218" s="26">
        <v>0</v>
      </c>
      <c r="AM218" s="26">
        <v>0</v>
      </c>
      <c r="AN218" s="26">
        <v>0</v>
      </c>
      <c r="AO218" s="26">
        <v>0</v>
      </c>
      <c r="AP218" s="26">
        <v>0</v>
      </c>
      <c r="AQ218" s="26">
        <v>0</v>
      </c>
      <c r="AR218" s="26">
        <v>0</v>
      </c>
      <c r="AS218" s="26">
        <v>0</v>
      </c>
      <c r="AT218" s="26">
        <v>0</v>
      </c>
      <c r="AU218" s="26">
        <v>0</v>
      </c>
      <c r="AV218" s="26">
        <v>0</v>
      </c>
      <c r="AW218" s="26">
        <v>0</v>
      </c>
      <c r="AX218" s="26">
        <v>0</v>
      </c>
      <c r="AY218" s="26">
        <v>0</v>
      </c>
      <c r="AZ218" s="26">
        <v>0</v>
      </c>
      <c r="BA218" s="26">
        <v>0</v>
      </c>
      <c r="BB218" s="26">
        <v>0</v>
      </c>
      <c r="BC218" s="26">
        <v>0</v>
      </c>
      <c r="BD218" s="26">
        <v>0</v>
      </c>
      <c r="BE218" s="26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 t="s">
        <v>445</v>
      </c>
    </row>
    <row r="219" spans="1:63" x14ac:dyDescent="0.25">
      <c r="A219" s="26" t="s">
        <v>255</v>
      </c>
      <c r="B219" s="26" t="s">
        <v>37</v>
      </c>
      <c r="C219" s="26">
        <v>37.545499999999997</v>
      </c>
      <c r="D219" s="26">
        <v>-82.777900000000002</v>
      </c>
      <c r="E219" s="26">
        <v>0</v>
      </c>
      <c r="F219" s="26">
        <v>0</v>
      </c>
      <c r="G219" s="26">
        <v>0</v>
      </c>
      <c r="H219" s="26">
        <v>0</v>
      </c>
      <c r="I219" s="26">
        <v>0</v>
      </c>
      <c r="J219" s="26">
        <v>0</v>
      </c>
      <c r="K219" s="26">
        <v>0</v>
      </c>
      <c r="L219" s="26">
        <v>0</v>
      </c>
      <c r="M219" s="26">
        <v>0</v>
      </c>
      <c r="N219" s="26">
        <v>0</v>
      </c>
      <c r="O219" s="26">
        <v>0</v>
      </c>
      <c r="P219" s="26">
        <v>0</v>
      </c>
      <c r="Q219" s="26">
        <v>0</v>
      </c>
      <c r="R219" s="26">
        <v>0</v>
      </c>
      <c r="S219" s="26">
        <v>0</v>
      </c>
      <c r="T219" s="26">
        <v>0</v>
      </c>
      <c r="U219" s="26">
        <v>0</v>
      </c>
      <c r="V219" s="26">
        <v>0</v>
      </c>
      <c r="W219" s="26">
        <v>0</v>
      </c>
      <c r="X219" s="26">
        <v>0</v>
      </c>
      <c r="Y219" s="26">
        <v>0</v>
      </c>
      <c r="Z219" s="26">
        <v>0</v>
      </c>
      <c r="AA219" s="26">
        <v>0</v>
      </c>
      <c r="AB219" s="26">
        <v>0</v>
      </c>
      <c r="AC219" s="26">
        <v>0</v>
      </c>
      <c r="AD219" s="26">
        <v>0</v>
      </c>
      <c r="AE219" s="26">
        <v>0</v>
      </c>
      <c r="AF219" s="26">
        <v>0</v>
      </c>
      <c r="AG219" s="26">
        <v>0</v>
      </c>
      <c r="AH219" s="26">
        <v>0</v>
      </c>
      <c r="AI219" s="26">
        <v>0</v>
      </c>
      <c r="AJ219" s="26">
        <v>0</v>
      </c>
      <c r="AK219" s="26">
        <v>0</v>
      </c>
      <c r="AL219" s="26">
        <v>0</v>
      </c>
      <c r="AM219" s="26">
        <v>0</v>
      </c>
      <c r="AN219" s="26">
        <v>0</v>
      </c>
      <c r="AO219" s="26">
        <v>0</v>
      </c>
      <c r="AP219" s="26">
        <v>0</v>
      </c>
      <c r="AQ219" s="26">
        <v>0</v>
      </c>
      <c r="AR219" s="26">
        <v>0</v>
      </c>
      <c r="AS219" s="26">
        <v>0</v>
      </c>
      <c r="AT219" s="26">
        <v>0</v>
      </c>
      <c r="AU219" s="26">
        <v>0</v>
      </c>
      <c r="AV219" s="26">
        <v>0</v>
      </c>
      <c r="AW219" s="26">
        <v>0</v>
      </c>
      <c r="AX219" s="26">
        <v>0</v>
      </c>
      <c r="AY219" s="26">
        <v>0</v>
      </c>
      <c r="AZ219" s="26">
        <v>0</v>
      </c>
      <c r="BA219" s="26">
        <v>0</v>
      </c>
      <c r="BB219" s="26">
        <v>0</v>
      </c>
      <c r="BC219" s="26">
        <v>0</v>
      </c>
      <c r="BD219" s="26">
        <v>0</v>
      </c>
      <c r="BE219" s="26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 t="s">
        <v>445</v>
      </c>
    </row>
    <row r="220" spans="1:63" x14ac:dyDescent="0.25">
      <c r="A220" s="26" t="s">
        <v>256</v>
      </c>
      <c r="B220" s="26" t="s">
        <v>37</v>
      </c>
      <c r="C220" s="26">
        <v>33.450200000000002</v>
      </c>
      <c r="D220" s="26">
        <v>-84.4803</v>
      </c>
      <c r="E220" s="26">
        <v>0</v>
      </c>
      <c r="F220" s="26">
        <v>0</v>
      </c>
      <c r="G220" s="26">
        <v>0</v>
      </c>
      <c r="H220" s="26">
        <v>0</v>
      </c>
      <c r="I220" s="26">
        <v>0</v>
      </c>
      <c r="J220" s="26">
        <v>0</v>
      </c>
      <c r="K220" s="26">
        <v>0</v>
      </c>
      <c r="L220" s="26">
        <v>0</v>
      </c>
      <c r="M220" s="26">
        <v>0</v>
      </c>
      <c r="N220" s="26">
        <v>0</v>
      </c>
      <c r="O220" s="26">
        <v>0</v>
      </c>
      <c r="P220" s="26">
        <v>0</v>
      </c>
      <c r="Q220" s="26">
        <v>0</v>
      </c>
      <c r="R220" s="26">
        <v>0</v>
      </c>
      <c r="S220" s="26">
        <v>0</v>
      </c>
      <c r="T220" s="26">
        <v>0</v>
      </c>
      <c r="U220" s="26">
        <v>0</v>
      </c>
      <c r="V220" s="26">
        <v>0</v>
      </c>
      <c r="W220" s="26">
        <v>0</v>
      </c>
      <c r="X220" s="26">
        <v>0</v>
      </c>
      <c r="Y220" s="26">
        <v>0</v>
      </c>
      <c r="Z220" s="26">
        <v>0</v>
      </c>
      <c r="AA220" s="26">
        <v>0</v>
      </c>
      <c r="AB220" s="26">
        <v>0</v>
      </c>
      <c r="AC220" s="26">
        <v>0</v>
      </c>
      <c r="AD220" s="26">
        <v>0</v>
      </c>
      <c r="AE220" s="26">
        <v>0</v>
      </c>
      <c r="AF220" s="26">
        <v>0</v>
      </c>
      <c r="AG220" s="26">
        <v>0</v>
      </c>
      <c r="AH220" s="26">
        <v>0</v>
      </c>
      <c r="AI220" s="26">
        <v>0</v>
      </c>
      <c r="AJ220" s="26">
        <v>0</v>
      </c>
      <c r="AK220" s="26">
        <v>0</v>
      </c>
      <c r="AL220" s="26">
        <v>0</v>
      </c>
      <c r="AM220" s="26">
        <v>0</v>
      </c>
      <c r="AN220" s="26">
        <v>0</v>
      </c>
      <c r="AO220" s="26">
        <v>0</v>
      </c>
      <c r="AP220" s="26">
        <v>0</v>
      </c>
      <c r="AQ220" s="26">
        <v>0</v>
      </c>
      <c r="AR220" s="26">
        <v>0</v>
      </c>
      <c r="AS220" s="26">
        <v>0</v>
      </c>
      <c r="AT220" s="26">
        <v>0</v>
      </c>
      <c r="AU220" s="26">
        <v>0</v>
      </c>
      <c r="AV220" s="26">
        <v>0</v>
      </c>
      <c r="AW220" s="26">
        <v>0</v>
      </c>
      <c r="AX220" s="26">
        <v>0</v>
      </c>
      <c r="AY220" s="26">
        <v>0</v>
      </c>
      <c r="AZ220" s="26">
        <v>0</v>
      </c>
      <c r="BA220" s="26">
        <v>0</v>
      </c>
      <c r="BB220" s="26">
        <v>0</v>
      </c>
      <c r="BC220" s="26">
        <v>0</v>
      </c>
      <c r="BD220" s="26">
        <v>0</v>
      </c>
      <c r="BE220" s="26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 t="s">
        <v>445</v>
      </c>
    </row>
    <row r="221" spans="1:63" x14ac:dyDescent="0.25">
      <c r="A221" s="26" t="s">
        <v>257</v>
      </c>
      <c r="B221" s="26" t="s">
        <v>37</v>
      </c>
      <c r="C221" s="26">
        <v>32.4893</v>
      </c>
      <c r="D221" s="26">
        <v>-94.852099999999993</v>
      </c>
      <c r="E221" s="26">
        <v>0</v>
      </c>
      <c r="F221" s="26">
        <v>0</v>
      </c>
      <c r="G221" s="26">
        <v>0</v>
      </c>
      <c r="H221" s="26">
        <v>0</v>
      </c>
      <c r="I221" s="26">
        <v>0</v>
      </c>
      <c r="J221" s="26">
        <v>0</v>
      </c>
      <c r="K221" s="26">
        <v>0</v>
      </c>
      <c r="L221" s="26">
        <v>0</v>
      </c>
      <c r="M221" s="26">
        <v>0</v>
      </c>
      <c r="N221" s="26">
        <v>0</v>
      </c>
      <c r="O221" s="26">
        <v>0</v>
      </c>
      <c r="P221" s="26">
        <v>0</v>
      </c>
      <c r="Q221" s="26">
        <v>0</v>
      </c>
      <c r="R221" s="26">
        <v>0</v>
      </c>
      <c r="S221" s="26">
        <v>0</v>
      </c>
      <c r="T221" s="26">
        <v>0</v>
      </c>
      <c r="U221" s="26">
        <v>0</v>
      </c>
      <c r="V221" s="26">
        <v>0</v>
      </c>
      <c r="W221" s="26">
        <v>0</v>
      </c>
      <c r="X221" s="26">
        <v>0</v>
      </c>
      <c r="Y221" s="26">
        <v>0</v>
      </c>
      <c r="Z221" s="26">
        <v>0</v>
      </c>
      <c r="AA221" s="26">
        <v>0</v>
      </c>
      <c r="AB221" s="26">
        <v>0</v>
      </c>
      <c r="AC221" s="26">
        <v>0</v>
      </c>
      <c r="AD221" s="26">
        <v>0</v>
      </c>
      <c r="AE221" s="26">
        <v>0</v>
      </c>
      <c r="AF221" s="26">
        <v>0</v>
      </c>
      <c r="AG221" s="26">
        <v>0</v>
      </c>
      <c r="AH221" s="26">
        <v>0</v>
      </c>
      <c r="AI221" s="26">
        <v>0</v>
      </c>
      <c r="AJ221" s="26">
        <v>0</v>
      </c>
      <c r="AK221" s="26">
        <v>0</v>
      </c>
      <c r="AL221" s="26">
        <v>0</v>
      </c>
      <c r="AM221" s="26">
        <v>0</v>
      </c>
      <c r="AN221" s="26">
        <v>0</v>
      </c>
      <c r="AO221" s="26">
        <v>0</v>
      </c>
      <c r="AP221" s="26">
        <v>0</v>
      </c>
      <c r="AQ221" s="26">
        <v>0</v>
      </c>
      <c r="AR221" s="26">
        <v>0</v>
      </c>
      <c r="AS221" s="26">
        <v>0</v>
      </c>
      <c r="AT221" s="26">
        <v>0</v>
      </c>
      <c r="AU221" s="26">
        <v>0</v>
      </c>
      <c r="AV221" s="26">
        <v>0</v>
      </c>
      <c r="AW221" s="26">
        <v>0</v>
      </c>
      <c r="AX221" s="26">
        <v>0</v>
      </c>
      <c r="AY221" s="26">
        <v>0</v>
      </c>
      <c r="AZ221" s="26">
        <v>0</v>
      </c>
      <c r="BA221" s="26">
        <v>0</v>
      </c>
      <c r="BB221" s="26">
        <v>0</v>
      </c>
      <c r="BC221" s="26">
        <v>0</v>
      </c>
      <c r="BD221" s="26">
        <v>0</v>
      </c>
      <c r="BE221" s="26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 t="s">
        <v>445</v>
      </c>
    </row>
    <row r="222" spans="1:63" x14ac:dyDescent="0.25">
      <c r="A222" s="26" t="s">
        <v>258</v>
      </c>
      <c r="B222" s="26" t="s">
        <v>37</v>
      </c>
      <c r="C222" s="26">
        <v>40.258899999999997</v>
      </c>
      <c r="D222" s="26">
        <v>-74.123999999999995</v>
      </c>
      <c r="E222" s="26">
        <v>0</v>
      </c>
      <c r="F222" s="26">
        <v>0</v>
      </c>
      <c r="G222" s="26">
        <v>0</v>
      </c>
      <c r="H222" s="26">
        <v>0</v>
      </c>
      <c r="I222" s="26">
        <v>0</v>
      </c>
      <c r="J222" s="26">
        <v>0</v>
      </c>
      <c r="K222" s="26">
        <v>0</v>
      </c>
      <c r="L222" s="26">
        <v>0</v>
      </c>
      <c r="M222" s="26">
        <v>0</v>
      </c>
      <c r="N222" s="26">
        <v>0</v>
      </c>
      <c r="O222" s="26">
        <v>0</v>
      </c>
      <c r="P222" s="26">
        <v>0</v>
      </c>
      <c r="Q222" s="26">
        <v>0</v>
      </c>
      <c r="R222" s="26">
        <v>0</v>
      </c>
      <c r="S222" s="26">
        <v>0</v>
      </c>
      <c r="T222" s="26">
        <v>0</v>
      </c>
      <c r="U222" s="26">
        <v>0</v>
      </c>
      <c r="V222" s="26">
        <v>0</v>
      </c>
      <c r="W222" s="26">
        <v>0</v>
      </c>
      <c r="X222" s="26">
        <v>0</v>
      </c>
      <c r="Y222" s="26">
        <v>0</v>
      </c>
      <c r="Z222" s="26">
        <v>0</v>
      </c>
      <c r="AA222" s="26">
        <v>0</v>
      </c>
      <c r="AB222" s="26">
        <v>0</v>
      </c>
      <c r="AC222" s="26">
        <v>0</v>
      </c>
      <c r="AD222" s="26">
        <v>0</v>
      </c>
      <c r="AE222" s="26">
        <v>0</v>
      </c>
      <c r="AF222" s="26">
        <v>0</v>
      </c>
      <c r="AG222" s="26">
        <v>0</v>
      </c>
      <c r="AH222" s="26">
        <v>0</v>
      </c>
      <c r="AI222" s="26">
        <v>0</v>
      </c>
      <c r="AJ222" s="26">
        <v>0</v>
      </c>
      <c r="AK222" s="26">
        <v>0</v>
      </c>
      <c r="AL222" s="26">
        <v>0</v>
      </c>
      <c r="AM222" s="26">
        <v>0</v>
      </c>
      <c r="AN222" s="26">
        <v>0</v>
      </c>
      <c r="AO222" s="26">
        <v>0</v>
      </c>
      <c r="AP222" s="26">
        <v>0</v>
      </c>
      <c r="AQ222" s="26">
        <v>0</v>
      </c>
      <c r="AR222" s="26">
        <v>0</v>
      </c>
      <c r="AS222" s="26">
        <v>0</v>
      </c>
      <c r="AT222" s="26">
        <v>0</v>
      </c>
      <c r="AU222" s="26">
        <v>0</v>
      </c>
      <c r="AV222" s="26">
        <v>0</v>
      </c>
      <c r="AW222" s="26">
        <v>0</v>
      </c>
      <c r="AX222" s="26">
        <v>0</v>
      </c>
      <c r="AY222" s="26">
        <v>0</v>
      </c>
      <c r="AZ222" s="26">
        <v>0</v>
      </c>
      <c r="BA222" s="26">
        <v>0</v>
      </c>
      <c r="BB222" s="26">
        <v>0</v>
      </c>
      <c r="BC222" s="26">
        <v>0</v>
      </c>
      <c r="BD222" s="26">
        <v>0</v>
      </c>
      <c r="BE222" s="26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 t="s">
        <v>445</v>
      </c>
    </row>
    <row r="223" spans="1:63" x14ac:dyDescent="0.25">
      <c r="A223" s="26" t="s">
        <v>259</v>
      </c>
      <c r="B223" s="26" t="s">
        <v>37</v>
      </c>
      <c r="C223" s="26">
        <v>40.071199999999997</v>
      </c>
      <c r="D223" s="26">
        <v>-74.864900000000006</v>
      </c>
      <c r="E223" s="26">
        <v>0</v>
      </c>
      <c r="F223" s="26">
        <v>0</v>
      </c>
      <c r="G223" s="26">
        <v>0</v>
      </c>
      <c r="H223" s="26">
        <v>0</v>
      </c>
      <c r="I223" s="26">
        <v>0</v>
      </c>
      <c r="J223" s="26">
        <v>0</v>
      </c>
      <c r="K223" s="26">
        <v>0</v>
      </c>
      <c r="L223" s="26">
        <v>0</v>
      </c>
      <c r="M223" s="26">
        <v>0</v>
      </c>
      <c r="N223" s="26">
        <v>0</v>
      </c>
      <c r="O223" s="26">
        <v>0</v>
      </c>
      <c r="P223" s="26">
        <v>0</v>
      </c>
      <c r="Q223" s="26">
        <v>0</v>
      </c>
      <c r="R223" s="26">
        <v>0</v>
      </c>
      <c r="S223" s="26">
        <v>0</v>
      </c>
      <c r="T223" s="26">
        <v>0</v>
      </c>
      <c r="U223" s="26">
        <v>0</v>
      </c>
      <c r="V223" s="26">
        <v>0</v>
      </c>
      <c r="W223" s="26">
        <v>0</v>
      </c>
      <c r="X223" s="26">
        <v>0</v>
      </c>
      <c r="Y223" s="26">
        <v>0</v>
      </c>
      <c r="Z223" s="26">
        <v>0</v>
      </c>
      <c r="AA223" s="26">
        <v>0</v>
      </c>
      <c r="AB223" s="26">
        <v>0</v>
      </c>
      <c r="AC223" s="26">
        <v>0</v>
      </c>
      <c r="AD223" s="26">
        <v>0</v>
      </c>
      <c r="AE223" s="26">
        <v>0</v>
      </c>
      <c r="AF223" s="26">
        <v>0</v>
      </c>
      <c r="AG223" s="26">
        <v>0</v>
      </c>
      <c r="AH223" s="26">
        <v>0</v>
      </c>
      <c r="AI223" s="26">
        <v>0</v>
      </c>
      <c r="AJ223" s="26">
        <v>0</v>
      </c>
      <c r="AK223" s="26">
        <v>0</v>
      </c>
      <c r="AL223" s="26">
        <v>0</v>
      </c>
      <c r="AM223" s="26">
        <v>0</v>
      </c>
      <c r="AN223" s="26">
        <v>0</v>
      </c>
      <c r="AO223" s="26">
        <v>0</v>
      </c>
      <c r="AP223" s="26">
        <v>0</v>
      </c>
      <c r="AQ223" s="26">
        <v>0</v>
      </c>
      <c r="AR223" s="26">
        <v>0</v>
      </c>
      <c r="AS223" s="26">
        <v>0</v>
      </c>
      <c r="AT223" s="26">
        <v>0</v>
      </c>
      <c r="AU223" s="26">
        <v>0</v>
      </c>
      <c r="AV223" s="26">
        <v>0</v>
      </c>
      <c r="AW223" s="26">
        <v>0</v>
      </c>
      <c r="AX223" s="26">
        <v>0</v>
      </c>
      <c r="AY223" s="26">
        <v>0</v>
      </c>
      <c r="AZ223" s="26">
        <v>0</v>
      </c>
      <c r="BA223" s="26">
        <v>0</v>
      </c>
      <c r="BB223" s="26">
        <v>0</v>
      </c>
      <c r="BC223" s="26">
        <v>0</v>
      </c>
      <c r="BD223" s="26">
        <v>0</v>
      </c>
      <c r="BE223" s="26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 t="s">
        <v>445</v>
      </c>
    </row>
    <row r="224" spans="1:63" x14ac:dyDescent="0.25">
      <c r="A224" s="26" t="s">
        <v>260</v>
      </c>
      <c r="B224" s="26" t="s">
        <v>37</v>
      </c>
      <c r="C224" s="26">
        <v>39.925899999999999</v>
      </c>
      <c r="D224" s="26">
        <v>-75.119600000000005</v>
      </c>
      <c r="E224" s="26">
        <v>0</v>
      </c>
      <c r="F224" s="26">
        <v>0</v>
      </c>
      <c r="G224" s="26">
        <v>0</v>
      </c>
      <c r="H224" s="26">
        <v>0</v>
      </c>
      <c r="I224" s="26">
        <v>0</v>
      </c>
      <c r="J224" s="26">
        <v>0</v>
      </c>
      <c r="K224" s="26">
        <v>0</v>
      </c>
      <c r="L224" s="26">
        <v>0</v>
      </c>
      <c r="M224" s="26">
        <v>0</v>
      </c>
      <c r="N224" s="26">
        <v>0</v>
      </c>
      <c r="O224" s="26">
        <v>0</v>
      </c>
      <c r="P224" s="26">
        <v>0</v>
      </c>
      <c r="Q224" s="26">
        <v>0</v>
      </c>
      <c r="R224" s="26">
        <v>0</v>
      </c>
      <c r="S224" s="26">
        <v>0</v>
      </c>
      <c r="T224" s="26">
        <v>0</v>
      </c>
      <c r="U224" s="26">
        <v>0</v>
      </c>
      <c r="V224" s="26">
        <v>0</v>
      </c>
      <c r="W224" s="26">
        <v>0</v>
      </c>
      <c r="X224" s="26">
        <v>0</v>
      </c>
      <c r="Y224" s="26">
        <v>0</v>
      </c>
      <c r="Z224" s="26">
        <v>0</v>
      </c>
      <c r="AA224" s="26">
        <v>0</v>
      </c>
      <c r="AB224" s="26">
        <v>0</v>
      </c>
      <c r="AC224" s="26">
        <v>0</v>
      </c>
      <c r="AD224" s="26">
        <v>0</v>
      </c>
      <c r="AE224" s="26">
        <v>0</v>
      </c>
      <c r="AF224" s="26">
        <v>0</v>
      </c>
      <c r="AG224" s="26">
        <v>0</v>
      </c>
      <c r="AH224" s="26">
        <v>0</v>
      </c>
      <c r="AI224" s="26">
        <v>0</v>
      </c>
      <c r="AJ224" s="26">
        <v>0</v>
      </c>
      <c r="AK224" s="26">
        <v>0</v>
      </c>
      <c r="AL224" s="26">
        <v>0</v>
      </c>
      <c r="AM224" s="26">
        <v>0</v>
      </c>
      <c r="AN224" s="26">
        <v>0</v>
      </c>
      <c r="AO224" s="26">
        <v>0</v>
      </c>
      <c r="AP224" s="26">
        <v>0</v>
      </c>
      <c r="AQ224" s="26">
        <v>0</v>
      </c>
      <c r="AR224" s="26">
        <v>0</v>
      </c>
      <c r="AS224" s="26">
        <v>0</v>
      </c>
      <c r="AT224" s="26">
        <v>0</v>
      </c>
      <c r="AU224" s="26">
        <v>0</v>
      </c>
      <c r="AV224" s="26">
        <v>0</v>
      </c>
      <c r="AW224" s="26">
        <v>0</v>
      </c>
      <c r="AX224" s="26">
        <v>0</v>
      </c>
      <c r="AY224" s="26">
        <v>0</v>
      </c>
      <c r="AZ224" s="26">
        <v>0</v>
      </c>
      <c r="BA224" s="26">
        <v>0</v>
      </c>
      <c r="BB224" s="26">
        <v>0</v>
      </c>
      <c r="BC224" s="26">
        <v>0</v>
      </c>
      <c r="BD224" s="26">
        <v>0</v>
      </c>
      <c r="BE224" s="26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 t="s">
        <v>445</v>
      </c>
    </row>
    <row r="225" spans="1:63" x14ac:dyDescent="0.25">
      <c r="A225" s="26" t="s">
        <v>261</v>
      </c>
      <c r="B225" s="26" t="s">
        <v>37</v>
      </c>
      <c r="C225" s="26">
        <v>40.8568</v>
      </c>
      <c r="D225" s="26">
        <v>-74.128500000000003</v>
      </c>
      <c r="E225" s="26">
        <v>0</v>
      </c>
      <c r="F225" s="26">
        <v>0</v>
      </c>
      <c r="G225" s="26">
        <v>0</v>
      </c>
      <c r="H225" s="26">
        <v>0</v>
      </c>
      <c r="I225" s="26">
        <v>0</v>
      </c>
      <c r="J225" s="26">
        <v>0</v>
      </c>
      <c r="K225" s="26">
        <v>0</v>
      </c>
      <c r="L225" s="26">
        <v>0</v>
      </c>
      <c r="M225" s="26">
        <v>0</v>
      </c>
      <c r="N225" s="26">
        <v>0</v>
      </c>
      <c r="O225" s="26">
        <v>0</v>
      </c>
      <c r="P225" s="26">
        <v>0</v>
      </c>
      <c r="Q225" s="26">
        <v>0</v>
      </c>
      <c r="R225" s="26">
        <v>0</v>
      </c>
      <c r="S225" s="26">
        <v>0</v>
      </c>
      <c r="T225" s="26">
        <v>0</v>
      </c>
      <c r="U225" s="26">
        <v>0</v>
      </c>
      <c r="V225" s="26">
        <v>0</v>
      </c>
      <c r="W225" s="26">
        <v>0</v>
      </c>
      <c r="X225" s="26">
        <v>0</v>
      </c>
      <c r="Y225" s="26">
        <v>0</v>
      </c>
      <c r="Z225" s="26">
        <v>0</v>
      </c>
      <c r="AA225" s="26">
        <v>0</v>
      </c>
      <c r="AB225" s="26">
        <v>0</v>
      </c>
      <c r="AC225" s="26">
        <v>0</v>
      </c>
      <c r="AD225" s="26">
        <v>0</v>
      </c>
      <c r="AE225" s="26">
        <v>0</v>
      </c>
      <c r="AF225" s="26">
        <v>0</v>
      </c>
      <c r="AG225" s="26">
        <v>0</v>
      </c>
      <c r="AH225" s="26">
        <v>0</v>
      </c>
      <c r="AI225" s="26">
        <v>0</v>
      </c>
      <c r="AJ225" s="26">
        <v>0</v>
      </c>
      <c r="AK225" s="26">
        <v>0</v>
      </c>
      <c r="AL225" s="26">
        <v>0</v>
      </c>
      <c r="AM225" s="26">
        <v>0</v>
      </c>
      <c r="AN225" s="26">
        <v>0</v>
      </c>
      <c r="AO225" s="26">
        <v>0</v>
      </c>
      <c r="AP225" s="26">
        <v>0</v>
      </c>
      <c r="AQ225" s="26">
        <v>0</v>
      </c>
      <c r="AR225" s="26">
        <v>0</v>
      </c>
      <c r="AS225" s="26">
        <v>0</v>
      </c>
      <c r="AT225" s="26">
        <v>0</v>
      </c>
      <c r="AU225" s="26">
        <v>0</v>
      </c>
      <c r="AV225" s="26">
        <v>0</v>
      </c>
      <c r="AW225" s="26">
        <v>0</v>
      </c>
      <c r="AX225" s="26">
        <v>0</v>
      </c>
      <c r="AY225" s="26">
        <v>0</v>
      </c>
      <c r="AZ225" s="26">
        <v>0</v>
      </c>
      <c r="BA225" s="26">
        <v>0</v>
      </c>
      <c r="BB225" s="26">
        <v>0</v>
      </c>
      <c r="BC225" s="26">
        <v>0</v>
      </c>
      <c r="BD225" s="26">
        <v>0</v>
      </c>
      <c r="BE225" s="26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 t="s">
        <v>445</v>
      </c>
    </row>
    <row r="226" spans="1:63" x14ac:dyDescent="0.25">
      <c r="A226" s="26" t="s">
        <v>262</v>
      </c>
      <c r="B226" s="26" t="s">
        <v>37</v>
      </c>
      <c r="C226" s="26">
        <v>40.697600000000001</v>
      </c>
      <c r="D226" s="26">
        <v>-74.263199999999998</v>
      </c>
      <c r="E226" s="26">
        <v>0</v>
      </c>
      <c r="F226" s="26">
        <v>0</v>
      </c>
      <c r="G226" s="26">
        <v>0</v>
      </c>
      <c r="H226" s="26">
        <v>0</v>
      </c>
      <c r="I226" s="26">
        <v>0</v>
      </c>
      <c r="J226" s="26">
        <v>0</v>
      </c>
      <c r="K226" s="26">
        <v>0</v>
      </c>
      <c r="L226" s="26">
        <v>0</v>
      </c>
      <c r="M226" s="26">
        <v>0</v>
      </c>
      <c r="N226" s="26">
        <v>0</v>
      </c>
      <c r="O226" s="26">
        <v>0</v>
      </c>
      <c r="P226" s="26">
        <v>0</v>
      </c>
      <c r="Q226" s="26">
        <v>0</v>
      </c>
      <c r="R226" s="26">
        <v>0</v>
      </c>
      <c r="S226" s="26">
        <v>0</v>
      </c>
      <c r="T226" s="26">
        <v>0</v>
      </c>
      <c r="U226" s="26">
        <v>0</v>
      </c>
      <c r="V226" s="26">
        <v>0</v>
      </c>
      <c r="W226" s="26">
        <v>0</v>
      </c>
      <c r="X226" s="26">
        <v>0</v>
      </c>
      <c r="Y226" s="26">
        <v>0</v>
      </c>
      <c r="Z226" s="26">
        <v>0</v>
      </c>
      <c r="AA226" s="26">
        <v>0</v>
      </c>
      <c r="AB226" s="26">
        <v>0</v>
      </c>
      <c r="AC226" s="26">
        <v>0</v>
      </c>
      <c r="AD226" s="26">
        <v>0</v>
      </c>
      <c r="AE226" s="26">
        <v>0</v>
      </c>
      <c r="AF226" s="26">
        <v>0</v>
      </c>
      <c r="AG226" s="26">
        <v>0</v>
      </c>
      <c r="AH226" s="26">
        <v>0</v>
      </c>
      <c r="AI226" s="26">
        <v>0</v>
      </c>
      <c r="AJ226" s="26">
        <v>0</v>
      </c>
      <c r="AK226" s="26">
        <v>0</v>
      </c>
      <c r="AL226" s="26">
        <v>0</v>
      </c>
      <c r="AM226" s="26">
        <v>0</v>
      </c>
      <c r="AN226" s="26">
        <v>0</v>
      </c>
      <c r="AO226" s="26">
        <v>0</v>
      </c>
      <c r="AP226" s="26">
        <v>0</v>
      </c>
      <c r="AQ226" s="26">
        <v>0</v>
      </c>
      <c r="AR226" s="26">
        <v>0</v>
      </c>
      <c r="AS226" s="26">
        <v>0</v>
      </c>
      <c r="AT226" s="26">
        <v>0</v>
      </c>
      <c r="AU226" s="26">
        <v>0</v>
      </c>
      <c r="AV226" s="26">
        <v>0</v>
      </c>
      <c r="AW226" s="26">
        <v>0</v>
      </c>
      <c r="AX226" s="26">
        <v>0</v>
      </c>
      <c r="AY226" s="26">
        <v>0</v>
      </c>
      <c r="AZ226" s="26">
        <v>0</v>
      </c>
      <c r="BA226" s="26">
        <v>0</v>
      </c>
      <c r="BB226" s="26">
        <v>0</v>
      </c>
      <c r="BC226" s="26">
        <v>0</v>
      </c>
      <c r="BD226" s="26">
        <v>0</v>
      </c>
      <c r="BE226" s="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 t="s">
        <v>445</v>
      </c>
    </row>
    <row r="227" spans="1:63" x14ac:dyDescent="0.25">
      <c r="A227" s="26" t="s">
        <v>263</v>
      </c>
      <c r="B227" s="26" t="s">
        <v>37</v>
      </c>
      <c r="C227" s="26">
        <v>39.655299999999997</v>
      </c>
      <c r="D227" s="26">
        <v>-106.8287</v>
      </c>
      <c r="E227" s="26">
        <v>0</v>
      </c>
      <c r="F227" s="26">
        <v>0</v>
      </c>
      <c r="G227" s="26">
        <v>0</v>
      </c>
      <c r="H227" s="26">
        <v>0</v>
      </c>
      <c r="I227" s="26">
        <v>0</v>
      </c>
      <c r="J227" s="26">
        <v>0</v>
      </c>
      <c r="K227" s="26">
        <v>0</v>
      </c>
      <c r="L227" s="26">
        <v>0</v>
      </c>
      <c r="M227" s="26">
        <v>0</v>
      </c>
      <c r="N227" s="26">
        <v>0</v>
      </c>
      <c r="O227" s="26">
        <v>0</v>
      </c>
      <c r="P227" s="26">
        <v>0</v>
      </c>
      <c r="Q227" s="26">
        <v>0</v>
      </c>
      <c r="R227" s="26">
        <v>0</v>
      </c>
      <c r="S227" s="26">
        <v>0</v>
      </c>
      <c r="T227" s="26">
        <v>0</v>
      </c>
      <c r="U227" s="26">
        <v>0</v>
      </c>
      <c r="V227" s="26">
        <v>0</v>
      </c>
      <c r="W227" s="26">
        <v>0</v>
      </c>
      <c r="X227" s="26">
        <v>0</v>
      </c>
      <c r="Y227" s="26">
        <v>0</v>
      </c>
      <c r="Z227" s="26">
        <v>0</v>
      </c>
      <c r="AA227" s="26">
        <v>0</v>
      </c>
      <c r="AB227" s="26">
        <v>0</v>
      </c>
      <c r="AC227" s="26">
        <v>0</v>
      </c>
      <c r="AD227" s="26">
        <v>0</v>
      </c>
      <c r="AE227" s="26">
        <v>0</v>
      </c>
      <c r="AF227" s="26">
        <v>0</v>
      </c>
      <c r="AG227" s="26">
        <v>0</v>
      </c>
      <c r="AH227" s="26">
        <v>0</v>
      </c>
      <c r="AI227" s="26">
        <v>0</v>
      </c>
      <c r="AJ227" s="26">
        <v>0</v>
      </c>
      <c r="AK227" s="26">
        <v>0</v>
      </c>
      <c r="AL227" s="26">
        <v>0</v>
      </c>
      <c r="AM227" s="26">
        <v>0</v>
      </c>
      <c r="AN227" s="26">
        <v>0</v>
      </c>
      <c r="AO227" s="26">
        <v>0</v>
      </c>
      <c r="AP227" s="26">
        <v>0</v>
      </c>
      <c r="AQ227" s="26">
        <v>0</v>
      </c>
      <c r="AR227" s="26">
        <v>0</v>
      </c>
      <c r="AS227" s="26">
        <v>0</v>
      </c>
      <c r="AT227" s="26">
        <v>0</v>
      </c>
      <c r="AU227" s="26">
        <v>0</v>
      </c>
      <c r="AV227" s="26">
        <v>0</v>
      </c>
      <c r="AW227" s="26">
        <v>0</v>
      </c>
      <c r="AX227" s="26">
        <v>0</v>
      </c>
      <c r="AY227" s="26">
        <v>0</v>
      </c>
      <c r="AZ227" s="26">
        <v>0</v>
      </c>
      <c r="BA227" s="26">
        <v>0</v>
      </c>
      <c r="BB227" s="26">
        <v>0</v>
      </c>
      <c r="BC227" s="26">
        <v>0</v>
      </c>
      <c r="BD227" s="26">
        <v>0</v>
      </c>
      <c r="BE227" s="26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 t="s">
        <v>445</v>
      </c>
    </row>
    <row r="228" spans="1:63" x14ac:dyDescent="0.25">
      <c r="A228" s="26" t="s">
        <v>264</v>
      </c>
      <c r="B228" s="26" t="s">
        <v>37</v>
      </c>
      <c r="C228" s="26">
        <v>40.695599999999999</v>
      </c>
      <c r="D228" s="26">
        <v>-105.5943</v>
      </c>
      <c r="E228" s="26">
        <v>0</v>
      </c>
      <c r="F228" s="26">
        <v>0</v>
      </c>
      <c r="G228" s="26">
        <v>0</v>
      </c>
      <c r="H228" s="26">
        <v>0</v>
      </c>
      <c r="I228" s="26">
        <v>0</v>
      </c>
      <c r="J228" s="26">
        <v>0</v>
      </c>
      <c r="K228" s="26">
        <v>0</v>
      </c>
      <c r="L228" s="26">
        <v>0</v>
      </c>
      <c r="M228" s="26">
        <v>0</v>
      </c>
      <c r="N228" s="26">
        <v>0</v>
      </c>
      <c r="O228" s="26">
        <v>0</v>
      </c>
      <c r="P228" s="26">
        <v>0</v>
      </c>
      <c r="Q228" s="26">
        <v>0</v>
      </c>
      <c r="R228" s="26">
        <v>0</v>
      </c>
      <c r="S228" s="26">
        <v>0</v>
      </c>
      <c r="T228" s="26">
        <v>0</v>
      </c>
      <c r="U228" s="26">
        <v>0</v>
      </c>
      <c r="V228" s="26">
        <v>0</v>
      </c>
      <c r="W228" s="26">
        <v>0</v>
      </c>
      <c r="X228" s="26">
        <v>0</v>
      </c>
      <c r="Y228" s="26">
        <v>0</v>
      </c>
      <c r="Z228" s="26">
        <v>0</v>
      </c>
      <c r="AA228" s="26">
        <v>0</v>
      </c>
      <c r="AB228" s="26">
        <v>0</v>
      </c>
      <c r="AC228" s="26">
        <v>0</v>
      </c>
      <c r="AD228" s="26">
        <v>0</v>
      </c>
      <c r="AE228" s="26">
        <v>0</v>
      </c>
      <c r="AF228" s="26">
        <v>0</v>
      </c>
      <c r="AG228" s="26">
        <v>0</v>
      </c>
      <c r="AH228" s="26">
        <v>0</v>
      </c>
      <c r="AI228" s="26">
        <v>0</v>
      </c>
      <c r="AJ228" s="26">
        <v>0</v>
      </c>
      <c r="AK228" s="26">
        <v>0</v>
      </c>
      <c r="AL228" s="26">
        <v>0</v>
      </c>
      <c r="AM228" s="26">
        <v>0</v>
      </c>
      <c r="AN228" s="26">
        <v>0</v>
      </c>
      <c r="AO228" s="26">
        <v>0</v>
      </c>
      <c r="AP228" s="26">
        <v>0</v>
      </c>
      <c r="AQ228" s="26">
        <v>0</v>
      </c>
      <c r="AR228" s="26">
        <v>0</v>
      </c>
      <c r="AS228" s="26">
        <v>0</v>
      </c>
      <c r="AT228" s="26">
        <v>0</v>
      </c>
      <c r="AU228" s="26">
        <v>0</v>
      </c>
      <c r="AV228" s="26">
        <v>0</v>
      </c>
      <c r="AW228" s="26">
        <v>0</v>
      </c>
      <c r="AX228" s="26">
        <v>0</v>
      </c>
      <c r="AY228" s="26">
        <v>0</v>
      </c>
      <c r="AZ228" s="26">
        <v>0</v>
      </c>
      <c r="BA228" s="26">
        <v>0</v>
      </c>
      <c r="BB228" s="26">
        <v>0</v>
      </c>
      <c r="BC228" s="26">
        <v>0</v>
      </c>
      <c r="BD228" s="26">
        <v>0</v>
      </c>
      <c r="BE228" s="26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 t="s">
        <v>445</v>
      </c>
    </row>
    <row r="229" spans="1:63" x14ac:dyDescent="0.25">
      <c r="A229" s="26" t="s">
        <v>265</v>
      </c>
      <c r="B229" s="26" t="s">
        <v>37</v>
      </c>
      <c r="C229" s="26">
        <v>39.6203</v>
      </c>
      <c r="D229" s="26">
        <v>-104.3326</v>
      </c>
      <c r="E229" s="26">
        <v>0</v>
      </c>
      <c r="F229" s="26">
        <v>0</v>
      </c>
      <c r="G229" s="26">
        <v>0</v>
      </c>
      <c r="H229" s="26">
        <v>0</v>
      </c>
      <c r="I229" s="26">
        <v>0</v>
      </c>
      <c r="J229" s="26">
        <v>0</v>
      </c>
      <c r="K229" s="26">
        <v>0</v>
      </c>
      <c r="L229" s="26">
        <v>0</v>
      </c>
      <c r="M229" s="26">
        <v>0</v>
      </c>
      <c r="N229" s="26">
        <v>0</v>
      </c>
      <c r="O229" s="26">
        <v>0</v>
      </c>
      <c r="P229" s="26">
        <v>0</v>
      </c>
      <c r="Q229" s="26">
        <v>0</v>
      </c>
      <c r="R229" s="26">
        <v>0</v>
      </c>
      <c r="S229" s="26">
        <v>0</v>
      </c>
      <c r="T229" s="26">
        <v>0</v>
      </c>
      <c r="U229" s="26">
        <v>0</v>
      </c>
      <c r="V229" s="26">
        <v>0</v>
      </c>
      <c r="W229" s="26">
        <v>0</v>
      </c>
      <c r="X229" s="26">
        <v>0</v>
      </c>
      <c r="Y229" s="26">
        <v>0</v>
      </c>
      <c r="Z229" s="26">
        <v>0</v>
      </c>
      <c r="AA229" s="26">
        <v>0</v>
      </c>
      <c r="AB229" s="26">
        <v>0</v>
      </c>
      <c r="AC229" s="26">
        <v>0</v>
      </c>
      <c r="AD229" s="26">
        <v>0</v>
      </c>
      <c r="AE229" s="26">
        <v>0</v>
      </c>
      <c r="AF229" s="26">
        <v>0</v>
      </c>
      <c r="AG229" s="26">
        <v>0</v>
      </c>
      <c r="AH229" s="26">
        <v>0</v>
      </c>
      <c r="AI229" s="26">
        <v>0</v>
      </c>
      <c r="AJ229" s="26">
        <v>0</v>
      </c>
      <c r="AK229" s="26">
        <v>0</v>
      </c>
      <c r="AL229" s="26">
        <v>0</v>
      </c>
      <c r="AM229" s="26">
        <v>0</v>
      </c>
      <c r="AN229" s="26">
        <v>0</v>
      </c>
      <c r="AO229" s="26">
        <v>0</v>
      </c>
      <c r="AP229" s="26">
        <v>0</v>
      </c>
      <c r="AQ229" s="26">
        <v>0</v>
      </c>
      <c r="AR229" s="26">
        <v>0</v>
      </c>
      <c r="AS229" s="26">
        <v>0</v>
      </c>
      <c r="AT229" s="26">
        <v>0</v>
      </c>
      <c r="AU229" s="26">
        <v>0</v>
      </c>
      <c r="AV229" s="26">
        <v>0</v>
      </c>
      <c r="AW229" s="26">
        <v>0</v>
      </c>
      <c r="AX229" s="26">
        <v>0</v>
      </c>
      <c r="AY229" s="26">
        <v>0</v>
      </c>
      <c r="AZ229" s="26">
        <v>0</v>
      </c>
      <c r="BA229" s="26">
        <v>0</v>
      </c>
      <c r="BB229" s="26">
        <v>0</v>
      </c>
      <c r="BC229" s="26">
        <v>0</v>
      </c>
      <c r="BD229" s="26">
        <v>0</v>
      </c>
      <c r="BE229" s="26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 t="s">
        <v>445</v>
      </c>
    </row>
    <row r="230" spans="1:63" x14ac:dyDescent="0.25">
      <c r="A230" s="26" t="s">
        <v>266</v>
      </c>
      <c r="B230" s="26" t="s">
        <v>37</v>
      </c>
      <c r="C230" s="26">
        <v>38.5458</v>
      </c>
      <c r="D230" s="26">
        <v>-106.92529999999999</v>
      </c>
      <c r="E230" s="26">
        <v>0</v>
      </c>
      <c r="F230" s="26">
        <v>0</v>
      </c>
      <c r="G230" s="26">
        <v>0</v>
      </c>
      <c r="H230" s="26">
        <v>0</v>
      </c>
      <c r="I230" s="26">
        <v>0</v>
      </c>
      <c r="J230" s="26">
        <v>0</v>
      </c>
      <c r="K230" s="26">
        <v>0</v>
      </c>
      <c r="L230" s="26">
        <v>0</v>
      </c>
      <c r="M230" s="26">
        <v>0</v>
      </c>
      <c r="N230" s="26">
        <v>0</v>
      </c>
      <c r="O230" s="26">
        <v>0</v>
      </c>
      <c r="P230" s="26">
        <v>0</v>
      </c>
      <c r="Q230" s="26">
        <v>0</v>
      </c>
      <c r="R230" s="26">
        <v>0</v>
      </c>
      <c r="S230" s="26">
        <v>0</v>
      </c>
      <c r="T230" s="26">
        <v>0</v>
      </c>
      <c r="U230" s="26">
        <v>0</v>
      </c>
      <c r="V230" s="26">
        <v>0</v>
      </c>
      <c r="W230" s="26">
        <v>0</v>
      </c>
      <c r="X230" s="26">
        <v>0</v>
      </c>
      <c r="Y230" s="26">
        <v>0</v>
      </c>
      <c r="Z230" s="26">
        <v>0</v>
      </c>
      <c r="AA230" s="26">
        <v>0</v>
      </c>
      <c r="AB230" s="26">
        <v>0</v>
      </c>
      <c r="AC230" s="26">
        <v>0</v>
      </c>
      <c r="AD230" s="26">
        <v>0</v>
      </c>
      <c r="AE230" s="26">
        <v>0</v>
      </c>
      <c r="AF230" s="26">
        <v>0</v>
      </c>
      <c r="AG230" s="26">
        <v>0</v>
      </c>
      <c r="AH230" s="26">
        <v>0</v>
      </c>
      <c r="AI230" s="26">
        <v>0</v>
      </c>
      <c r="AJ230" s="26">
        <v>0</v>
      </c>
      <c r="AK230" s="26">
        <v>0</v>
      </c>
      <c r="AL230" s="26">
        <v>0</v>
      </c>
      <c r="AM230" s="26">
        <v>0</v>
      </c>
      <c r="AN230" s="26">
        <v>0</v>
      </c>
      <c r="AO230" s="26">
        <v>0</v>
      </c>
      <c r="AP230" s="26">
        <v>0</v>
      </c>
      <c r="AQ230" s="26">
        <v>0</v>
      </c>
      <c r="AR230" s="26">
        <v>0</v>
      </c>
      <c r="AS230" s="26">
        <v>0</v>
      </c>
      <c r="AT230" s="26">
        <v>0</v>
      </c>
      <c r="AU230" s="26">
        <v>0</v>
      </c>
      <c r="AV230" s="26">
        <v>0</v>
      </c>
      <c r="AW230" s="26">
        <v>0</v>
      </c>
      <c r="AX230" s="26">
        <v>0</v>
      </c>
      <c r="AY230" s="26">
        <v>0</v>
      </c>
      <c r="AZ230" s="26">
        <v>0</v>
      </c>
      <c r="BA230" s="26">
        <v>0</v>
      </c>
      <c r="BB230" s="26">
        <v>0</v>
      </c>
      <c r="BC230" s="26">
        <v>0</v>
      </c>
      <c r="BD230" s="26">
        <v>0</v>
      </c>
      <c r="BE230" s="26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 t="s">
        <v>445</v>
      </c>
    </row>
    <row r="231" spans="1:63" x14ac:dyDescent="0.25">
      <c r="A231" s="26" t="s">
        <v>267</v>
      </c>
      <c r="B231" s="26" t="s">
        <v>37</v>
      </c>
      <c r="C231" s="26">
        <v>41.987900000000003</v>
      </c>
      <c r="D231" s="26">
        <v>-88.401600000000002</v>
      </c>
      <c r="E231" s="26">
        <v>0</v>
      </c>
      <c r="F231" s="26">
        <v>0</v>
      </c>
      <c r="G231" s="26">
        <v>0</v>
      </c>
      <c r="H231" s="26">
        <v>0</v>
      </c>
      <c r="I231" s="26">
        <v>0</v>
      </c>
      <c r="J231" s="26">
        <v>0</v>
      </c>
      <c r="K231" s="26">
        <v>0</v>
      </c>
      <c r="L231" s="26">
        <v>0</v>
      </c>
      <c r="M231" s="26">
        <v>0</v>
      </c>
      <c r="N231" s="26">
        <v>0</v>
      </c>
      <c r="O231" s="26">
        <v>0</v>
      </c>
      <c r="P231" s="26">
        <v>0</v>
      </c>
      <c r="Q231" s="26">
        <v>0</v>
      </c>
      <c r="R231" s="26">
        <v>0</v>
      </c>
      <c r="S231" s="26">
        <v>0</v>
      </c>
      <c r="T231" s="26">
        <v>0</v>
      </c>
      <c r="U231" s="26">
        <v>0</v>
      </c>
      <c r="V231" s="26">
        <v>0</v>
      </c>
      <c r="W231" s="26">
        <v>0</v>
      </c>
      <c r="X231" s="26">
        <v>0</v>
      </c>
      <c r="Y231" s="26">
        <v>0</v>
      </c>
      <c r="Z231" s="26">
        <v>0</v>
      </c>
      <c r="AA231" s="26">
        <v>0</v>
      </c>
      <c r="AB231" s="26">
        <v>0</v>
      </c>
      <c r="AC231" s="26">
        <v>0</v>
      </c>
      <c r="AD231" s="26">
        <v>0</v>
      </c>
      <c r="AE231" s="26">
        <v>0</v>
      </c>
      <c r="AF231" s="26">
        <v>0</v>
      </c>
      <c r="AG231" s="26">
        <v>0</v>
      </c>
      <c r="AH231" s="26">
        <v>0</v>
      </c>
      <c r="AI231" s="26">
        <v>0</v>
      </c>
      <c r="AJ231" s="26">
        <v>0</v>
      </c>
      <c r="AK231" s="26">
        <v>0</v>
      </c>
      <c r="AL231" s="26">
        <v>0</v>
      </c>
      <c r="AM231" s="26">
        <v>0</v>
      </c>
      <c r="AN231" s="26">
        <v>0</v>
      </c>
      <c r="AO231" s="26">
        <v>0</v>
      </c>
      <c r="AP231" s="26">
        <v>0</v>
      </c>
      <c r="AQ231" s="26">
        <v>0</v>
      </c>
      <c r="AR231" s="26">
        <v>0</v>
      </c>
      <c r="AS231" s="26">
        <v>0</v>
      </c>
      <c r="AT231" s="26">
        <v>0</v>
      </c>
      <c r="AU231" s="26">
        <v>0</v>
      </c>
      <c r="AV231" s="26">
        <v>0</v>
      </c>
      <c r="AW231" s="26">
        <v>0</v>
      </c>
      <c r="AX231" s="26">
        <v>0</v>
      </c>
      <c r="AY231" s="26">
        <v>0</v>
      </c>
      <c r="AZ231" s="26">
        <v>0</v>
      </c>
      <c r="BA231" s="26">
        <v>0</v>
      </c>
      <c r="BB231" s="26">
        <v>0</v>
      </c>
      <c r="BC231" s="26">
        <v>0</v>
      </c>
      <c r="BD231" s="26">
        <v>0</v>
      </c>
      <c r="BE231" s="26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 t="s">
        <v>445</v>
      </c>
    </row>
    <row r="232" spans="1:63" x14ac:dyDescent="0.25">
      <c r="A232" s="26" t="s">
        <v>268</v>
      </c>
      <c r="B232" s="26" t="s">
        <v>37</v>
      </c>
      <c r="C232" s="26">
        <v>41.0458</v>
      </c>
      <c r="D232" s="26">
        <v>-75.247900000000001</v>
      </c>
      <c r="E232" s="26">
        <v>0</v>
      </c>
      <c r="F232" s="26">
        <v>0</v>
      </c>
      <c r="G232" s="26">
        <v>0</v>
      </c>
      <c r="H232" s="26">
        <v>0</v>
      </c>
      <c r="I232" s="26">
        <v>0</v>
      </c>
      <c r="J232" s="26">
        <v>0</v>
      </c>
      <c r="K232" s="26">
        <v>0</v>
      </c>
      <c r="L232" s="26">
        <v>0</v>
      </c>
      <c r="M232" s="26">
        <v>0</v>
      </c>
      <c r="N232" s="26">
        <v>0</v>
      </c>
      <c r="O232" s="26">
        <v>0</v>
      </c>
      <c r="P232" s="26">
        <v>0</v>
      </c>
      <c r="Q232" s="26">
        <v>0</v>
      </c>
      <c r="R232" s="26">
        <v>0</v>
      </c>
      <c r="S232" s="26">
        <v>0</v>
      </c>
      <c r="T232" s="26">
        <v>0</v>
      </c>
      <c r="U232" s="26">
        <v>0</v>
      </c>
      <c r="V232" s="26">
        <v>0</v>
      </c>
      <c r="W232" s="26">
        <v>0</v>
      </c>
      <c r="X232" s="26">
        <v>0</v>
      </c>
      <c r="Y232" s="26">
        <v>0</v>
      </c>
      <c r="Z232" s="26">
        <v>0</v>
      </c>
      <c r="AA232" s="26">
        <v>0</v>
      </c>
      <c r="AB232" s="26">
        <v>0</v>
      </c>
      <c r="AC232" s="26">
        <v>0</v>
      </c>
      <c r="AD232" s="26">
        <v>0</v>
      </c>
      <c r="AE232" s="26">
        <v>0</v>
      </c>
      <c r="AF232" s="26">
        <v>0</v>
      </c>
      <c r="AG232" s="26">
        <v>0</v>
      </c>
      <c r="AH232" s="26">
        <v>0</v>
      </c>
      <c r="AI232" s="26">
        <v>0</v>
      </c>
      <c r="AJ232" s="26">
        <v>0</v>
      </c>
      <c r="AK232" s="26">
        <v>0</v>
      </c>
      <c r="AL232" s="26">
        <v>0</v>
      </c>
      <c r="AM232" s="26">
        <v>0</v>
      </c>
      <c r="AN232" s="26">
        <v>0</v>
      </c>
      <c r="AO232" s="26">
        <v>0</v>
      </c>
      <c r="AP232" s="26">
        <v>0</v>
      </c>
      <c r="AQ232" s="26">
        <v>0</v>
      </c>
      <c r="AR232" s="26">
        <v>0</v>
      </c>
      <c r="AS232" s="26">
        <v>0</v>
      </c>
      <c r="AT232" s="26">
        <v>0</v>
      </c>
      <c r="AU232" s="26">
        <v>0</v>
      </c>
      <c r="AV232" s="26">
        <v>0</v>
      </c>
      <c r="AW232" s="26">
        <v>0</v>
      </c>
      <c r="AX232" s="26">
        <v>0</v>
      </c>
      <c r="AY232" s="26">
        <v>0</v>
      </c>
      <c r="AZ232" s="26">
        <v>0</v>
      </c>
      <c r="BA232" s="26">
        <v>0</v>
      </c>
      <c r="BB232" s="26">
        <v>0</v>
      </c>
      <c r="BC232" s="26">
        <v>0</v>
      </c>
      <c r="BD232" s="26">
        <v>0</v>
      </c>
      <c r="BE232" s="26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 t="s">
        <v>445</v>
      </c>
    </row>
    <row r="233" spans="1:63" x14ac:dyDescent="0.25">
      <c r="A233" s="26" t="s">
        <v>269</v>
      </c>
      <c r="B233" s="26" t="s">
        <v>37</v>
      </c>
      <c r="C233" s="26">
        <v>39.952599999999997</v>
      </c>
      <c r="D233" s="26">
        <v>-75.165199999999999</v>
      </c>
      <c r="E233" s="26">
        <v>0</v>
      </c>
      <c r="F233" s="26">
        <v>0</v>
      </c>
      <c r="G233" s="26">
        <v>0</v>
      </c>
      <c r="H233" s="26">
        <v>0</v>
      </c>
      <c r="I233" s="26">
        <v>0</v>
      </c>
      <c r="J233" s="26">
        <v>0</v>
      </c>
      <c r="K233" s="26">
        <v>0</v>
      </c>
      <c r="L233" s="26">
        <v>0</v>
      </c>
      <c r="M233" s="26">
        <v>0</v>
      </c>
      <c r="N233" s="26">
        <v>0</v>
      </c>
      <c r="O233" s="26">
        <v>0</v>
      </c>
      <c r="P233" s="26">
        <v>0</v>
      </c>
      <c r="Q233" s="26">
        <v>0</v>
      </c>
      <c r="R233" s="26">
        <v>0</v>
      </c>
      <c r="S233" s="26">
        <v>0</v>
      </c>
      <c r="T233" s="26">
        <v>0</v>
      </c>
      <c r="U233" s="26">
        <v>0</v>
      </c>
      <c r="V233" s="26">
        <v>0</v>
      </c>
      <c r="W233" s="26">
        <v>0</v>
      </c>
      <c r="X233" s="26">
        <v>0</v>
      </c>
      <c r="Y233" s="26">
        <v>0</v>
      </c>
      <c r="Z233" s="26">
        <v>0</v>
      </c>
      <c r="AA233" s="26">
        <v>0</v>
      </c>
      <c r="AB233" s="26">
        <v>0</v>
      </c>
      <c r="AC233" s="26">
        <v>0</v>
      </c>
      <c r="AD233" s="26">
        <v>0</v>
      </c>
      <c r="AE233" s="26">
        <v>0</v>
      </c>
      <c r="AF233" s="26">
        <v>0</v>
      </c>
      <c r="AG233" s="26">
        <v>0</v>
      </c>
      <c r="AH233" s="26">
        <v>0</v>
      </c>
      <c r="AI233" s="26">
        <v>0</v>
      </c>
      <c r="AJ233" s="26">
        <v>0</v>
      </c>
      <c r="AK233" s="26">
        <v>0</v>
      </c>
      <c r="AL233" s="26">
        <v>0</v>
      </c>
      <c r="AM233" s="26">
        <v>0</v>
      </c>
      <c r="AN233" s="26">
        <v>0</v>
      </c>
      <c r="AO233" s="26">
        <v>0</v>
      </c>
      <c r="AP233" s="26">
        <v>0</v>
      </c>
      <c r="AQ233" s="26">
        <v>0</v>
      </c>
      <c r="AR233" s="26">
        <v>0</v>
      </c>
      <c r="AS233" s="26">
        <v>0</v>
      </c>
      <c r="AT233" s="26">
        <v>0</v>
      </c>
      <c r="AU233" s="26">
        <v>0</v>
      </c>
      <c r="AV233" s="26">
        <v>0</v>
      </c>
      <c r="AW233" s="26">
        <v>0</v>
      </c>
      <c r="AX233" s="26">
        <v>0</v>
      </c>
      <c r="AY233" s="26">
        <v>0</v>
      </c>
      <c r="AZ233" s="26">
        <v>0</v>
      </c>
      <c r="BA233" s="26">
        <v>0</v>
      </c>
      <c r="BB233" s="26">
        <v>0</v>
      </c>
      <c r="BC233" s="26">
        <v>0</v>
      </c>
      <c r="BD233" s="26">
        <v>0</v>
      </c>
      <c r="BE233" s="26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 t="s">
        <v>445</v>
      </c>
    </row>
    <row r="234" spans="1:63" x14ac:dyDescent="0.25">
      <c r="A234" s="26" t="s">
        <v>270</v>
      </c>
      <c r="B234" s="26" t="s">
        <v>37</v>
      </c>
      <c r="C234" s="26">
        <v>36.8508</v>
      </c>
      <c r="D234" s="26">
        <v>-76.285899999999998</v>
      </c>
      <c r="E234" s="26">
        <v>0</v>
      </c>
      <c r="F234" s="26">
        <v>0</v>
      </c>
      <c r="G234" s="26">
        <v>0</v>
      </c>
      <c r="H234" s="26">
        <v>0</v>
      </c>
      <c r="I234" s="26">
        <v>0</v>
      </c>
      <c r="J234" s="26">
        <v>0</v>
      </c>
      <c r="K234" s="26">
        <v>0</v>
      </c>
      <c r="L234" s="26">
        <v>0</v>
      </c>
      <c r="M234" s="26">
        <v>0</v>
      </c>
      <c r="N234" s="26">
        <v>0</v>
      </c>
      <c r="O234" s="26">
        <v>0</v>
      </c>
      <c r="P234" s="26">
        <v>0</v>
      </c>
      <c r="Q234" s="26">
        <v>0</v>
      </c>
      <c r="R234" s="26">
        <v>0</v>
      </c>
      <c r="S234" s="26">
        <v>0</v>
      </c>
      <c r="T234" s="26">
        <v>0</v>
      </c>
      <c r="U234" s="26">
        <v>0</v>
      </c>
      <c r="V234" s="26">
        <v>0</v>
      </c>
      <c r="W234" s="26">
        <v>0</v>
      </c>
      <c r="X234" s="26">
        <v>0</v>
      </c>
      <c r="Y234" s="26">
        <v>0</v>
      </c>
      <c r="Z234" s="26">
        <v>0</v>
      </c>
      <c r="AA234" s="26">
        <v>0</v>
      </c>
      <c r="AB234" s="26">
        <v>0</v>
      </c>
      <c r="AC234" s="26">
        <v>0</v>
      </c>
      <c r="AD234" s="26">
        <v>0</v>
      </c>
      <c r="AE234" s="26">
        <v>0</v>
      </c>
      <c r="AF234" s="26">
        <v>0</v>
      </c>
      <c r="AG234" s="26">
        <v>0</v>
      </c>
      <c r="AH234" s="26">
        <v>0</v>
      </c>
      <c r="AI234" s="26">
        <v>0</v>
      </c>
      <c r="AJ234" s="26">
        <v>0</v>
      </c>
      <c r="AK234" s="26">
        <v>0</v>
      </c>
      <c r="AL234" s="26">
        <v>0</v>
      </c>
      <c r="AM234" s="26">
        <v>0</v>
      </c>
      <c r="AN234" s="26">
        <v>0</v>
      </c>
      <c r="AO234" s="26">
        <v>0</v>
      </c>
      <c r="AP234" s="26">
        <v>0</v>
      </c>
      <c r="AQ234" s="26">
        <v>0</v>
      </c>
      <c r="AR234" s="26">
        <v>0</v>
      </c>
      <c r="AS234" s="26">
        <v>0</v>
      </c>
      <c r="AT234" s="26">
        <v>0</v>
      </c>
      <c r="AU234" s="26">
        <v>0</v>
      </c>
      <c r="AV234" s="26">
        <v>0</v>
      </c>
      <c r="AW234" s="26">
        <v>0</v>
      </c>
      <c r="AX234" s="26">
        <v>0</v>
      </c>
      <c r="AY234" s="26">
        <v>0</v>
      </c>
      <c r="AZ234" s="26">
        <v>0</v>
      </c>
      <c r="BA234" s="26">
        <v>0</v>
      </c>
      <c r="BB234" s="26">
        <v>0</v>
      </c>
      <c r="BC234" s="26">
        <v>0</v>
      </c>
      <c r="BD234" s="26">
        <v>0</v>
      </c>
      <c r="BE234" s="26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 t="s">
        <v>445</v>
      </c>
    </row>
    <row r="235" spans="1:63" x14ac:dyDescent="0.25">
      <c r="A235" s="26" t="s">
        <v>271</v>
      </c>
      <c r="B235" s="26" t="s">
        <v>37</v>
      </c>
      <c r="C235" s="26">
        <v>38.881599999999999</v>
      </c>
      <c r="D235" s="26">
        <v>-77.090999999999994</v>
      </c>
      <c r="E235" s="26">
        <v>0</v>
      </c>
      <c r="F235" s="26">
        <v>0</v>
      </c>
      <c r="G235" s="26">
        <v>0</v>
      </c>
      <c r="H235" s="26">
        <v>0</v>
      </c>
      <c r="I235" s="26">
        <v>0</v>
      </c>
      <c r="J235" s="26">
        <v>0</v>
      </c>
      <c r="K235" s="26">
        <v>0</v>
      </c>
      <c r="L235" s="26">
        <v>0</v>
      </c>
      <c r="M235" s="26">
        <v>0</v>
      </c>
      <c r="N235" s="26">
        <v>0</v>
      </c>
      <c r="O235" s="26">
        <v>0</v>
      </c>
      <c r="P235" s="26">
        <v>0</v>
      </c>
      <c r="Q235" s="26">
        <v>0</v>
      </c>
      <c r="R235" s="26">
        <v>0</v>
      </c>
      <c r="S235" s="26">
        <v>0</v>
      </c>
      <c r="T235" s="26">
        <v>0</v>
      </c>
      <c r="U235" s="26">
        <v>0</v>
      </c>
      <c r="V235" s="26">
        <v>0</v>
      </c>
      <c r="W235" s="26">
        <v>0</v>
      </c>
      <c r="X235" s="26">
        <v>0</v>
      </c>
      <c r="Y235" s="26">
        <v>0</v>
      </c>
      <c r="Z235" s="26">
        <v>0</v>
      </c>
      <c r="AA235" s="26">
        <v>0</v>
      </c>
      <c r="AB235" s="26">
        <v>0</v>
      </c>
      <c r="AC235" s="26">
        <v>0</v>
      </c>
      <c r="AD235" s="26">
        <v>0</v>
      </c>
      <c r="AE235" s="26">
        <v>0</v>
      </c>
      <c r="AF235" s="26">
        <v>0</v>
      </c>
      <c r="AG235" s="26">
        <v>0</v>
      </c>
      <c r="AH235" s="26">
        <v>0</v>
      </c>
      <c r="AI235" s="26">
        <v>0</v>
      </c>
      <c r="AJ235" s="26">
        <v>0</v>
      </c>
      <c r="AK235" s="26">
        <v>0</v>
      </c>
      <c r="AL235" s="26">
        <v>0</v>
      </c>
      <c r="AM235" s="26">
        <v>0</v>
      </c>
      <c r="AN235" s="26">
        <v>0</v>
      </c>
      <c r="AO235" s="26">
        <v>0</v>
      </c>
      <c r="AP235" s="26">
        <v>0</v>
      </c>
      <c r="AQ235" s="26">
        <v>0</v>
      </c>
      <c r="AR235" s="26">
        <v>0</v>
      </c>
      <c r="AS235" s="26">
        <v>0</v>
      </c>
      <c r="AT235" s="26">
        <v>0</v>
      </c>
      <c r="AU235" s="26">
        <v>0</v>
      </c>
      <c r="AV235" s="26">
        <v>0</v>
      </c>
      <c r="AW235" s="26">
        <v>0</v>
      </c>
      <c r="AX235" s="26">
        <v>0</v>
      </c>
      <c r="AY235" s="26">
        <v>0</v>
      </c>
      <c r="AZ235" s="26">
        <v>0</v>
      </c>
      <c r="BA235" s="26">
        <v>0</v>
      </c>
      <c r="BB235" s="26">
        <v>0</v>
      </c>
      <c r="BC235" s="26">
        <v>0</v>
      </c>
      <c r="BD235" s="26">
        <v>0</v>
      </c>
      <c r="BE235" s="26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 t="s">
        <v>445</v>
      </c>
    </row>
    <row r="236" spans="1:63" x14ac:dyDescent="0.25">
      <c r="A236" s="26" t="s">
        <v>272</v>
      </c>
      <c r="B236" s="26" t="s">
        <v>37</v>
      </c>
      <c r="C236" s="26">
        <v>38.2042</v>
      </c>
      <c r="D236" s="26">
        <v>-77.607799999999997</v>
      </c>
      <c r="E236" s="26">
        <v>0</v>
      </c>
      <c r="F236" s="26">
        <v>0</v>
      </c>
      <c r="G236" s="26">
        <v>0</v>
      </c>
      <c r="H236" s="26">
        <v>0</v>
      </c>
      <c r="I236" s="26">
        <v>0</v>
      </c>
      <c r="J236" s="26">
        <v>0</v>
      </c>
      <c r="K236" s="26">
        <v>0</v>
      </c>
      <c r="L236" s="26">
        <v>0</v>
      </c>
      <c r="M236" s="26">
        <v>0</v>
      </c>
      <c r="N236" s="26">
        <v>0</v>
      </c>
      <c r="O236" s="26">
        <v>0</v>
      </c>
      <c r="P236" s="26">
        <v>0</v>
      </c>
      <c r="Q236" s="26">
        <v>0</v>
      </c>
      <c r="R236" s="26">
        <v>0</v>
      </c>
      <c r="S236" s="26">
        <v>0</v>
      </c>
      <c r="T236" s="26">
        <v>0</v>
      </c>
      <c r="U236" s="26">
        <v>0</v>
      </c>
      <c r="V236" s="26">
        <v>0</v>
      </c>
      <c r="W236" s="26">
        <v>0</v>
      </c>
      <c r="X236" s="26">
        <v>0</v>
      </c>
      <c r="Y236" s="26">
        <v>0</v>
      </c>
      <c r="Z236" s="26">
        <v>0</v>
      </c>
      <c r="AA236" s="26">
        <v>0</v>
      </c>
      <c r="AB236" s="26">
        <v>0</v>
      </c>
      <c r="AC236" s="26">
        <v>0</v>
      </c>
      <c r="AD236" s="26">
        <v>0</v>
      </c>
      <c r="AE236" s="26">
        <v>0</v>
      </c>
      <c r="AF236" s="26">
        <v>0</v>
      </c>
      <c r="AG236" s="26">
        <v>0</v>
      </c>
      <c r="AH236" s="26">
        <v>0</v>
      </c>
      <c r="AI236" s="26">
        <v>0</v>
      </c>
      <c r="AJ236" s="26">
        <v>0</v>
      </c>
      <c r="AK236" s="26">
        <v>0</v>
      </c>
      <c r="AL236" s="26">
        <v>0</v>
      </c>
      <c r="AM236" s="26">
        <v>0</v>
      </c>
      <c r="AN236" s="26">
        <v>0</v>
      </c>
      <c r="AO236" s="26">
        <v>0</v>
      </c>
      <c r="AP236" s="26">
        <v>0</v>
      </c>
      <c r="AQ236" s="26">
        <v>0</v>
      </c>
      <c r="AR236" s="26">
        <v>0</v>
      </c>
      <c r="AS236" s="26">
        <v>0</v>
      </c>
      <c r="AT236" s="26">
        <v>0</v>
      </c>
      <c r="AU236" s="26">
        <v>0</v>
      </c>
      <c r="AV236" s="26">
        <v>0</v>
      </c>
      <c r="AW236" s="26">
        <v>0</v>
      </c>
      <c r="AX236" s="26">
        <v>0</v>
      </c>
      <c r="AY236" s="26">
        <v>0</v>
      </c>
      <c r="AZ236" s="26">
        <v>0</v>
      </c>
      <c r="BA236" s="26">
        <v>0</v>
      </c>
      <c r="BB236" s="26">
        <v>0</v>
      </c>
      <c r="BC236" s="26">
        <v>0</v>
      </c>
      <c r="BD236" s="26">
        <v>0</v>
      </c>
      <c r="BE236" s="2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 t="s">
        <v>445</v>
      </c>
    </row>
    <row r="237" spans="1:63" x14ac:dyDescent="0.25">
      <c r="A237" s="26" t="s">
        <v>273</v>
      </c>
      <c r="B237" s="26" t="s">
        <v>37</v>
      </c>
      <c r="C237" s="26">
        <v>39.076799999999999</v>
      </c>
      <c r="D237" s="26">
        <v>-77.653599999999997</v>
      </c>
      <c r="E237" s="26">
        <v>0</v>
      </c>
      <c r="F237" s="26">
        <v>0</v>
      </c>
      <c r="G237" s="26">
        <v>0</v>
      </c>
      <c r="H237" s="26">
        <v>0</v>
      </c>
      <c r="I237" s="26">
        <v>0</v>
      </c>
      <c r="J237" s="26">
        <v>0</v>
      </c>
      <c r="K237" s="26">
        <v>0</v>
      </c>
      <c r="L237" s="26">
        <v>0</v>
      </c>
      <c r="M237" s="26">
        <v>0</v>
      </c>
      <c r="N237" s="26">
        <v>0</v>
      </c>
      <c r="O237" s="26">
        <v>0</v>
      </c>
      <c r="P237" s="26">
        <v>0</v>
      </c>
      <c r="Q237" s="26">
        <v>0</v>
      </c>
      <c r="R237" s="26">
        <v>0</v>
      </c>
      <c r="S237" s="26">
        <v>0</v>
      </c>
      <c r="T237" s="26">
        <v>0</v>
      </c>
      <c r="U237" s="26">
        <v>0</v>
      </c>
      <c r="V237" s="26">
        <v>0</v>
      </c>
      <c r="W237" s="26">
        <v>0</v>
      </c>
      <c r="X237" s="26">
        <v>0</v>
      </c>
      <c r="Y237" s="26">
        <v>0</v>
      </c>
      <c r="Z237" s="26">
        <v>0</v>
      </c>
      <c r="AA237" s="26">
        <v>0</v>
      </c>
      <c r="AB237" s="26">
        <v>0</v>
      </c>
      <c r="AC237" s="26">
        <v>0</v>
      </c>
      <c r="AD237" s="26">
        <v>0</v>
      </c>
      <c r="AE237" s="26">
        <v>0</v>
      </c>
      <c r="AF237" s="26">
        <v>0</v>
      </c>
      <c r="AG237" s="26">
        <v>0</v>
      </c>
      <c r="AH237" s="26">
        <v>0</v>
      </c>
      <c r="AI237" s="26">
        <v>0</v>
      </c>
      <c r="AJ237" s="26">
        <v>0</v>
      </c>
      <c r="AK237" s="26">
        <v>0</v>
      </c>
      <c r="AL237" s="26">
        <v>0</v>
      </c>
      <c r="AM237" s="26">
        <v>0</v>
      </c>
      <c r="AN237" s="26">
        <v>0</v>
      </c>
      <c r="AO237" s="26">
        <v>0</v>
      </c>
      <c r="AP237" s="26">
        <v>0</v>
      </c>
      <c r="AQ237" s="26">
        <v>0</v>
      </c>
      <c r="AR237" s="26">
        <v>0</v>
      </c>
      <c r="AS237" s="26">
        <v>0</v>
      </c>
      <c r="AT237" s="26">
        <v>0</v>
      </c>
      <c r="AU237" s="26">
        <v>0</v>
      </c>
      <c r="AV237" s="26">
        <v>0</v>
      </c>
      <c r="AW237" s="26">
        <v>0</v>
      </c>
      <c r="AX237" s="26">
        <v>0</v>
      </c>
      <c r="AY237" s="26">
        <v>0</v>
      </c>
      <c r="AZ237" s="26">
        <v>0</v>
      </c>
      <c r="BA237" s="26">
        <v>0</v>
      </c>
      <c r="BB237" s="26">
        <v>0</v>
      </c>
      <c r="BC237" s="26">
        <v>0</v>
      </c>
      <c r="BD237" s="26">
        <v>0</v>
      </c>
      <c r="BE237" s="26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 t="s">
        <v>445</v>
      </c>
    </row>
    <row r="238" spans="1:63" x14ac:dyDescent="0.25">
      <c r="A238" s="26" t="s">
        <v>274</v>
      </c>
      <c r="B238" s="26" t="s">
        <v>37</v>
      </c>
      <c r="C238" s="26">
        <v>38.7849</v>
      </c>
      <c r="D238" s="26">
        <v>-76.872100000000003</v>
      </c>
      <c r="E238" s="26">
        <v>0</v>
      </c>
      <c r="F238" s="26">
        <v>0</v>
      </c>
      <c r="G238" s="26">
        <v>0</v>
      </c>
      <c r="H238" s="26">
        <v>0</v>
      </c>
      <c r="I238" s="26">
        <v>0</v>
      </c>
      <c r="J238" s="26">
        <v>0</v>
      </c>
      <c r="K238" s="26">
        <v>0</v>
      </c>
      <c r="L238" s="26">
        <v>0</v>
      </c>
      <c r="M238" s="26">
        <v>0</v>
      </c>
      <c r="N238" s="26">
        <v>0</v>
      </c>
      <c r="O238" s="26">
        <v>0</v>
      </c>
      <c r="P238" s="26">
        <v>0</v>
      </c>
      <c r="Q238" s="26">
        <v>0</v>
      </c>
      <c r="R238" s="26">
        <v>0</v>
      </c>
      <c r="S238" s="26">
        <v>0</v>
      </c>
      <c r="T238" s="26">
        <v>0</v>
      </c>
      <c r="U238" s="26">
        <v>0</v>
      </c>
      <c r="V238" s="26">
        <v>0</v>
      </c>
      <c r="W238" s="26">
        <v>0</v>
      </c>
      <c r="X238" s="26">
        <v>0</v>
      </c>
      <c r="Y238" s="26">
        <v>0</v>
      </c>
      <c r="Z238" s="26">
        <v>0</v>
      </c>
      <c r="AA238" s="26">
        <v>0</v>
      </c>
      <c r="AB238" s="26">
        <v>0</v>
      </c>
      <c r="AC238" s="26">
        <v>0</v>
      </c>
      <c r="AD238" s="26">
        <v>0</v>
      </c>
      <c r="AE238" s="26">
        <v>0</v>
      </c>
      <c r="AF238" s="26">
        <v>0</v>
      </c>
      <c r="AG238" s="26">
        <v>0</v>
      </c>
      <c r="AH238" s="26">
        <v>0</v>
      </c>
      <c r="AI238" s="26">
        <v>0</v>
      </c>
      <c r="AJ238" s="26">
        <v>0</v>
      </c>
      <c r="AK238" s="26">
        <v>0</v>
      </c>
      <c r="AL238" s="26">
        <v>0</v>
      </c>
      <c r="AM238" s="26">
        <v>0</v>
      </c>
      <c r="AN238" s="26">
        <v>0</v>
      </c>
      <c r="AO238" s="26">
        <v>0</v>
      </c>
      <c r="AP238" s="26">
        <v>0</v>
      </c>
      <c r="AQ238" s="26">
        <v>0</v>
      </c>
      <c r="AR238" s="26">
        <v>0</v>
      </c>
      <c r="AS238" s="26">
        <v>0</v>
      </c>
      <c r="AT238" s="26">
        <v>0</v>
      </c>
      <c r="AU238" s="26">
        <v>0</v>
      </c>
      <c r="AV238" s="26">
        <v>0</v>
      </c>
      <c r="AW238" s="26">
        <v>0</v>
      </c>
      <c r="AX238" s="26">
        <v>0</v>
      </c>
      <c r="AY238" s="26">
        <v>0</v>
      </c>
      <c r="AZ238" s="26">
        <v>0</v>
      </c>
      <c r="BA238" s="26">
        <v>0</v>
      </c>
      <c r="BB238" s="26">
        <v>0</v>
      </c>
      <c r="BC238" s="26">
        <v>0</v>
      </c>
      <c r="BD238" s="26">
        <v>0</v>
      </c>
      <c r="BE238" s="26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 t="s">
        <v>445</v>
      </c>
    </row>
    <row r="239" spans="1:63" x14ac:dyDescent="0.25">
      <c r="A239" s="26" t="s">
        <v>275</v>
      </c>
      <c r="B239" s="26" t="s">
        <v>37</v>
      </c>
      <c r="C239" s="26">
        <v>41.391199999999998</v>
      </c>
      <c r="D239" s="26">
        <v>-95.477800000000002</v>
      </c>
      <c r="E239" s="26">
        <v>0</v>
      </c>
      <c r="F239" s="26">
        <v>0</v>
      </c>
      <c r="G239" s="26">
        <v>0</v>
      </c>
      <c r="H239" s="26">
        <v>0</v>
      </c>
      <c r="I239" s="26">
        <v>0</v>
      </c>
      <c r="J239" s="26">
        <v>0</v>
      </c>
      <c r="K239" s="26">
        <v>0</v>
      </c>
      <c r="L239" s="26">
        <v>0</v>
      </c>
      <c r="M239" s="26">
        <v>0</v>
      </c>
      <c r="N239" s="26">
        <v>0</v>
      </c>
      <c r="O239" s="26">
        <v>0</v>
      </c>
      <c r="P239" s="26">
        <v>0</v>
      </c>
      <c r="Q239" s="26">
        <v>0</v>
      </c>
      <c r="R239" s="26">
        <v>0</v>
      </c>
      <c r="S239" s="26">
        <v>0</v>
      </c>
      <c r="T239" s="26">
        <v>0</v>
      </c>
      <c r="U239" s="26">
        <v>0</v>
      </c>
      <c r="V239" s="26">
        <v>0</v>
      </c>
      <c r="W239" s="26">
        <v>0</v>
      </c>
      <c r="X239" s="26">
        <v>0</v>
      </c>
      <c r="Y239" s="26">
        <v>0</v>
      </c>
      <c r="Z239" s="26">
        <v>0</v>
      </c>
      <c r="AA239" s="26">
        <v>0</v>
      </c>
      <c r="AB239" s="26">
        <v>0</v>
      </c>
      <c r="AC239" s="26">
        <v>0</v>
      </c>
      <c r="AD239" s="26">
        <v>0</v>
      </c>
      <c r="AE239" s="26">
        <v>0</v>
      </c>
      <c r="AF239" s="26">
        <v>0</v>
      </c>
      <c r="AG239" s="26">
        <v>0</v>
      </c>
      <c r="AH239" s="26">
        <v>0</v>
      </c>
      <c r="AI239" s="26">
        <v>0</v>
      </c>
      <c r="AJ239" s="26">
        <v>0</v>
      </c>
      <c r="AK239" s="26">
        <v>0</v>
      </c>
      <c r="AL239" s="26">
        <v>0</v>
      </c>
      <c r="AM239" s="26">
        <v>0</v>
      </c>
      <c r="AN239" s="26">
        <v>0</v>
      </c>
      <c r="AO239" s="26">
        <v>0</v>
      </c>
      <c r="AP239" s="26">
        <v>0</v>
      </c>
      <c r="AQ239" s="26">
        <v>0</v>
      </c>
      <c r="AR239" s="26">
        <v>0</v>
      </c>
      <c r="AS239" s="26">
        <v>0</v>
      </c>
      <c r="AT239" s="26">
        <v>0</v>
      </c>
      <c r="AU239" s="26">
        <v>0</v>
      </c>
      <c r="AV239" s="26">
        <v>0</v>
      </c>
      <c r="AW239" s="26">
        <v>0</v>
      </c>
      <c r="AX239" s="26">
        <v>0</v>
      </c>
      <c r="AY239" s="26">
        <v>0</v>
      </c>
      <c r="AZ239" s="26">
        <v>0</v>
      </c>
      <c r="BA239" s="26">
        <v>0</v>
      </c>
      <c r="BB239" s="26">
        <v>0</v>
      </c>
      <c r="BC239" s="26">
        <v>0</v>
      </c>
      <c r="BD239" s="26">
        <v>0</v>
      </c>
      <c r="BE239" s="26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 t="s">
        <v>445</v>
      </c>
    </row>
    <row r="240" spans="1:63" x14ac:dyDescent="0.25">
      <c r="A240" s="26" t="s">
        <v>276</v>
      </c>
      <c r="B240" s="26" t="s">
        <v>37</v>
      </c>
      <c r="C240" s="26">
        <v>34.246499999999997</v>
      </c>
      <c r="D240" s="26">
        <v>-80.606999999999999</v>
      </c>
      <c r="E240" s="26">
        <v>0</v>
      </c>
      <c r="F240" s="26">
        <v>0</v>
      </c>
      <c r="G240" s="26">
        <v>0</v>
      </c>
      <c r="H240" s="26">
        <v>0</v>
      </c>
      <c r="I240" s="26">
        <v>0</v>
      </c>
      <c r="J240" s="26">
        <v>0</v>
      </c>
      <c r="K240" s="26">
        <v>0</v>
      </c>
      <c r="L240" s="26">
        <v>0</v>
      </c>
      <c r="M240" s="26">
        <v>0</v>
      </c>
      <c r="N240" s="26">
        <v>0</v>
      </c>
      <c r="O240" s="26">
        <v>0</v>
      </c>
      <c r="P240" s="26">
        <v>0</v>
      </c>
      <c r="Q240" s="26">
        <v>0</v>
      </c>
      <c r="R240" s="26">
        <v>0</v>
      </c>
      <c r="S240" s="26">
        <v>0</v>
      </c>
      <c r="T240" s="26">
        <v>0</v>
      </c>
      <c r="U240" s="26">
        <v>0</v>
      </c>
      <c r="V240" s="26">
        <v>0</v>
      </c>
      <c r="W240" s="26">
        <v>0</v>
      </c>
      <c r="X240" s="26">
        <v>0</v>
      </c>
      <c r="Y240" s="26">
        <v>0</v>
      </c>
      <c r="Z240" s="26">
        <v>0</v>
      </c>
      <c r="AA240" s="26">
        <v>0</v>
      </c>
      <c r="AB240" s="26">
        <v>0</v>
      </c>
      <c r="AC240" s="26">
        <v>0</v>
      </c>
      <c r="AD240" s="26">
        <v>0</v>
      </c>
      <c r="AE240" s="26">
        <v>0</v>
      </c>
      <c r="AF240" s="26">
        <v>0</v>
      </c>
      <c r="AG240" s="26">
        <v>0</v>
      </c>
      <c r="AH240" s="26">
        <v>0</v>
      </c>
      <c r="AI240" s="26">
        <v>0</v>
      </c>
      <c r="AJ240" s="26">
        <v>0</v>
      </c>
      <c r="AK240" s="26">
        <v>0</v>
      </c>
      <c r="AL240" s="26">
        <v>0</v>
      </c>
      <c r="AM240" s="26">
        <v>0</v>
      </c>
      <c r="AN240" s="26">
        <v>0</v>
      </c>
      <c r="AO240" s="26">
        <v>0</v>
      </c>
      <c r="AP240" s="26">
        <v>0</v>
      </c>
      <c r="AQ240" s="26">
        <v>0</v>
      </c>
      <c r="AR240" s="26">
        <v>0</v>
      </c>
      <c r="AS240" s="26">
        <v>0</v>
      </c>
      <c r="AT240" s="26">
        <v>0</v>
      </c>
      <c r="AU240" s="26">
        <v>0</v>
      </c>
      <c r="AV240" s="26">
        <v>0</v>
      </c>
      <c r="AW240" s="26">
        <v>0</v>
      </c>
      <c r="AX240" s="26">
        <v>0</v>
      </c>
      <c r="AY240" s="26">
        <v>0</v>
      </c>
      <c r="AZ240" s="26">
        <v>0</v>
      </c>
      <c r="BA240" s="26">
        <v>0</v>
      </c>
      <c r="BB240" s="26">
        <v>0</v>
      </c>
      <c r="BC240" s="26">
        <v>0</v>
      </c>
      <c r="BD240" s="26">
        <v>0</v>
      </c>
      <c r="BE240" s="26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 t="s">
        <v>445</v>
      </c>
    </row>
    <row r="241" spans="1:63" x14ac:dyDescent="0.25">
      <c r="A241" s="26" t="s">
        <v>277</v>
      </c>
      <c r="B241" s="26" t="s">
        <v>37</v>
      </c>
      <c r="C241" s="26">
        <v>32.057499999999997</v>
      </c>
      <c r="D241" s="26">
        <v>-111.6661</v>
      </c>
      <c r="E241" s="26">
        <v>0</v>
      </c>
      <c r="F241" s="26">
        <v>0</v>
      </c>
      <c r="G241" s="26">
        <v>0</v>
      </c>
      <c r="H241" s="26">
        <v>0</v>
      </c>
      <c r="I241" s="26">
        <v>0</v>
      </c>
      <c r="J241" s="26">
        <v>0</v>
      </c>
      <c r="K241" s="26">
        <v>0</v>
      </c>
      <c r="L241" s="26">
        <v>0</v>
      </c>
      <c r="M241" s="26">
        <v>0</v>
      </c>
      <c r="N241" s="26">
        <v>0</v>
      </c>
      <c r="O241" s="26">
        <v>0</v>
      </c>
      <c r="P241" s="26">
        <v>0</v>
      </c>
      <c r="Q241" s="26">
        <v>0</v>
      </c>
      <c r="R241" s="26">
        <v>0</v>
      </c>
      <c r="S241" s="26">
        <v>0</v>
      </c>
      <c r="T241" s="26">
        <v>0</v>
      </c>
      <c r="U241" s="26">
        <v>0</v>
      </c>
      <c r="V241" s="26">
        <v>0</v>
      </c>
      <c r="W241" s="26">
        <v>0</v>
      </c>
      <c r="X241" s="26">
        <v>0</v>
      </c>
      <c r="Y241" s="26">
        <v>0</v>
      </c>
      <c r="Z241" s="26">
        <v>0</v>
      </c>
      <c r="AA241" s="26">
        <v>0</v>
      </c>
      <c r="AB241" s="26">
        <v>0</v>
      </c>
      <c r="AC241" s="26">
        <v>0</v>
      </c>
      <c r="AD241" s="26">
        <v>0</v>
      </c>
      <c r="AE241" s="26">
        <v>0</v>
      </c>
      <c r="AF241" s="26">
        <v>0</v>
      </c>
      <c r="AG241" s="26">
        <v>0</v>
      </c>
      <c r="AH241" s="26">
        <v>0</v>
      </c>
      <c r="AI241" s="26">
        <v>0</v>
      </c>
      <c r="AJ241" s="26">
        <v>0</v>
      </c>
      <c r="AK241" s="26">
        <v>0</v>
      </c>
      <c r="AL241" s="26">
        <v>0</v>
      </c>
      <c r="AM241" s="26">
        <v>0</v>
      </c>
      <c r="AN241" s="26">
        <v>0</v>
      </c>
      <c r="AO241" s="26">
        <v>0</v>
      </c>
      <c r="AP241" s="26">
        <v>0</v>
      </c>
      <c r="AQ241" s="26">
        <v>0</v>
      </c>
      <c r="AR241" s="26">
        <v>0</v>
      </c>
      <c r="AS241" s="26">
        <v>0</v>
      </c>
      <c r="AT241" s="26">
        <v>0</v>
      </c>
      <c r="AU241" s="26">
        <v>0</v>
      </c>
      <c r="AV241" s="26">
        <v>0</v>
      </c>
      <c r="AW241" s="26">
        <v>0</v>
      </c>
      <c r="AX241" s="26">
        <v>0</v>
      </c>
      <c r="AY241" s="26">
        <v>0</v>
      </c>
      <c r="AZ241" s="26">
        <v>0</v>
      </c>
      <c r="BA241" s="26">
        <v>0</v>
      </c>
      <c r="BB241" s="26">
        <v>0</v>
      </c>
      <c r="BC241" s="26">
        <v>0</v>
      </c>
      <c r="BD241" s="26">
        <v>0</v>
      </c>
      <c r="BE241" s="26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 t="s">
        <v>445</v>
      </c>
    </row>
    <row r="242" spans="1:63" x14ac:dyDescent="0.25">
      <c r="A242" s="26" t="s">
        <v>278</v>
      </c>
      <c r="B242" s="26" t="s">
        <v>37</v>
      </c>
      <c r="C242" s="26">
        <v>41.427700000000002</v>
      </c>
      <c r="D242" s="26">
        <v>-85.355000000000004</v>
      </c>
      <c r="E242" s="26">
        <v>0</v>
      </c>
      <c r="F242" s="26">
        <v>0</v>
      </c>
      <c r="G242" s="26">
        <v>0</v>
      </c>
      <c r="H242" s="26">
        <v>0</v>
      </c>
      <c r="I242" s="26">
        <v>0</v>
      </c>
      <c r="J242" s="26">
        <v>0</v>
      </c>
      <c r="K242" s="26">
        <v>0</v>
      </c>
      <c r="L242" s="26">
        <v>0</v>
      </c>
      <c r="M242" s="26">
        <v>0</v>
      </c>
      <c r="N242" s="26">
        <v>0</v>
      </c>
      <c r="O242" s="26">
        <v>0</v>
      </c>
      <c r="P242" s="26">
        <v>0</v>
      </c>
      <c r="Q242" s="26">
        <v>0</v>
      </c>
      <c r="R242" s="26">
        <v>0</v>
      </c>
      <c r="S242" s="26">
        <v>0</v>
      </c>
      <c r="T242" s="26">
        <v>0</v>
      </c>
      <c r="U242" s="26">
        <v>0</v>
      </c>
      <c r="V242" s="26">
        <v>0</v>
      </c>
      <c r="W242" s="26">
        <v>0</v>
      </c>
      <c r="X242" s="26">
        <v>0</v>
      </c>
      <c r="Y242" s="26">
        <v>0</v>
      </c>
      <c r="Z242" s="26">
        <v>0</v>
      </c>
      <c r="AA242" s="26">
        <v>0</v>
      </c>
      <c r="AB242" s="26">
        <v>0</v>
      </c>
      <c r="AC242" s="26">
        <v>0</v>
      </c>
      <c r="AD242" s="26">
        <v>0</v>
      </c>
      <c r="AE242" s="26">
        <v>0</v>
      </c>
      <c r="AF242" s="26">
        <v>0</v>
      </c>
      <c r="AG242" s="26">
        <v>0</v>
      </c>
      <c r="AH242" s="26">
        <v>0</v>
      </c>
      <c r="AI242" s="26">
        <v>0</v>
      </c>
      <c r="AJ242" s="26">
        <v>0</v>
      </c>
      <c r="AK242" s="26">
        <v>0</v>
      </c>
      <c r="AL242" s="26">
        <v>0</v>
      </c>
      <c r="AM242" s="26">
        <v>0</v>
      </c>
      <c r="AN242" s="26">
        <v>0</v>
      </c>
      <c r="AO242" s="26">
        <v>0</v>
      </c>
      <c r="AP242" s="26">
        <v>0</v>
      </c>
      <c r="AQ242" s="26">
        <v>0</v>
      </c>
      <c r="AR242" s="26">
        <v>0</v>
      </c>
      <c r="AS242" s="26">
        <v>0</v>
      </c>
      <c r="AT242" s="26">
        <v>0</v>
      </c>
      <c r="AU242" s="26">
        <v>0</v>
      </c>
      <c r="AV242" s="26">
        <v>0</v>
      </c>
      <c r="AW242" s="26">
        <v>0</v>
      </c>
      <c r="AX242" s="26">
        <v>0</v>
      </c>
      <c r="AY242" s="26">
        <v>0</v>
      </c>
      <c r="AZ242" s="26">
        <v>0</v>
      </c>
      <c r="BA242" s="26">
        <v>0</v>
      </c>
      <c r="BB242" s="26">
        <v>0</v>
      </c>
      <c r="BC242" s="26">
        <v>0</v>
      </c>
      <c r="BD242" s="26">
        <v>0</v>
      </c>
      <c r="BE242" s="26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 t="s">
        <v>445</v>
      </c>
    </row>
    <row r="243" spans="1:63" x14ac:dyDescent="0.25">
      <c r="A243" s="26" t="s">
        <v>279</v>
      </c>
      <c r="B243" s="26" t="s">
        <v>37</v>
      </c>
      <c r="C243" s="26">
        <v>39.852200000000003</v>
      </c>
      <c r="D243" s="26">
        <v>-77.286500000000004</v>
      </c>
      <c r="E243" s="26">
        <v>0</v>
      </c>
      <c r="F243" s="26">
        <v>0</v>
      </c>
      <c r="G243" s="26">
        <v>0</v>
      </c>
      <c r="H243" s="26">
        <v>0</v>
      </c>
      <c r="I243" s="26">
        <v>0</v>
      </c>
      <c r="J243" s="26">
        <v>0</v>
      </c>
      <c r="K243" s="26">
        <v>0</v>
      </c>
      <c r="L243" s="26">
        <v>0</v>
      </c>
      <c r="M243" s="26">
        <v>0</v>
      </c>
      <c r="N243" s="26">
        <v>0</v>
      </c>
      <c r="O243" s="26">
        <v>0</v>
      </c>
      <c r="P243" s="26">
        <v>0</v>
      </c>
      <c r="Q243" s="26">
        <v>0</v>
      </c>
      <c r="R243" s="26">
        <v>0</v>
      </c>
      <c r="S243" s="26">
        <v>0</v>
      </c>
      <c r="T243" s="26">
        <v>0</v>
      </c>
      <c r="U243" s="26">
        <v>0</v>
      </c>
      <c r="V243" s="26">
        <v>0</v>
      </c>
      <c r="W243" s="26">
        <v>0</v>
      </c>
      <c r="X243" s="26">
        <v>0</v>
      </c>
      <c r="Y243" s="26">
        <v>0</v>
      </c>
      <c r="Z243" s="26">
        <v>0</v>
      </c>
      <c r="AA243" s="26">
        <v>0</v>
      </c>
      <c r="AB243" s="26">
        <v>0</v>
      </c>
      <c r="AC243" s="26">
        <v>0</v>
      </c>
      <c r="AD243" s="26">
        <v>0</v>
      </c>
      <c r="AE243" s="26">
        <v>0</v>
      </c>
      <c r="AF243" s="26">
        <v>0</v>
      </c>
      <c r="AG243" s="26">
        <v>0</v>
      </c>
      <c r="AH243" s="26">
        <v>0</v>
      </c>
      <c r="AI243" s="26">
        <v>0</v>
      </c>
      <c r="AJ243" s="26">
        <v>0</v>
      </c>
      <c r="AK243" s="26">
        <v>0</v>
      </c>
      <c r="AL243" s="26">
        <v>0</v>
      </c>
      <c r="AM243" s="26">
        <v>0</v>
      </c>
      <c r="AN243" s="26">
        <v>0</v>
      </c>
      <c r="AO243" s="26">
        <v>0</v>
      </c>
      <c r="AP243" s="26">
        <v>0</v>
      </c>
      <c r="AQ243" s="26">
        <v>0</v>
      </c>
      <c r="AR243" s="26">
        <v>0</v>
      </c>
      <c r="AS243" s="26">
        <v>0</v>
      </c>
      <c r="AT243" s="26">
        <v>0</v>
      </c>
      <c r="AU243" s="26">
        <v>0</v>
      </c>
      <c r="AV243" s="26">
        <v>0</v>
      </c>
      <c r="AW243" s="26">
        <v>0</v>
      </c>
      <c r="AX243" s="26">
        <v>0</v>
      </c>
      <c r="AY243" s="26">
        <v>0</v>
      </c>
      <c r="AZ243" s="26">
        <v>0</v>
      </c>
      <c r="BA243" s="26">
        <v>0</v>
      </c>
      <c r="BB243" s="26">
        <v>0</v>
      </c>
      <c r="BC243" s="26">
        <v>0</v>
      </c>
      <c r="BD243" s="26">
        <v>0</v>
      </c>
      <c r="BE243" s="26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 t="s">
        <v>445</v>
      </c>
    </row>
    <row r="244" spans="1:63" x14ac:dyDescent="0.25">
      <c r="A244" s="26" t="s">
        <v>280</v>
      </c>
      <c r="B244" s="26" t="s">
        <v>37</v>
      </c>
      <c r="C244" s="26">
        <v>40.010599999999997</v>
      </c>
      <c r="D244" s="26">
        <v>-86.499700000000004</v>
      </c>
      <c r="E244" s="26">
        <v>0</v>
      </c>
      <c r="F244" s="26">
        <v>0</v>
      </c>
      <c r="G244" s="26">
        <v>0</v>
      </c>
      <c r="H244" s="26">
        <v>0</v>
      </c>
      <c r="I244" s="26">
        <v>0</v>
      </c>
      <c r="J244" s="26">
        <v>0</v>
      </c>
      <c r="K244" s="26">
        <v>0</v>
      </c>
      <c r="L244" s="26">
        <v>0</v>
      </c>
      <c r="M244" s="26">
        <v>0</v>
      </c>
      <c r="N244" s="26">
        <v>0</v>
      </c>
      <c r="O244" s="26">
        <v>0</v>
      </c>
      <c r="P244" s="26">
        <v>0</v>
      </c>
      <c r="Q244" s="26">
        <v>0</v>
      </c>
      <c r="R244" s="26">
        <v>0</v>
      </c>
      <c r="S244" s="26">
        <v>0</v>
      </c>
      <c r="T244" s="26">
        <v>0</v>
      </c>
      <c r="U244" s="26">
        <v>0</v>
      </c>
      <c r="V244" s="26">
        <v>0</v>
      </c>
      <c r="W244" s="26">
        <v>0</v>
      </c>
      <c r="X244" s="26">
        <v>0</v>
      </c>
      <c r="Y244" s="26">
        <v>0</v>
      </c>
      <c r="Z244" s="26">
        <v>0</v>
      </c>
      <c r="AA244" s="26">
        <v>0</v>
      </c>
      <c r="AB244" s="26">
        <v>0</v>
      </c>
      <c r="AC244" s="26">
        <v>0</v>
      </c>
      <c r="AD244" s="26">
        <v>0</v>
      </c>
      <c r="AE244" s="26">
        <v>0</v>
      </c>
      <c r="AF244" s="26">
        <v>0</v>
      </c>
      <c r="AG244" s="26">
        <v>0</v>
      </c>
      <c r="AH244" s="26">
        <v>0</v>
      </c>
      <c r="AI244" s="26">
        <v>0</v>
      </c>
      <c r="AJ244" s="26">
        <v>0</v>
      </c>
      <c r="AK244" s="26">
        <v>0</v>
      </c>
      <c r="AL244" s="26">
        <v>0</v>
      </c>
      <c r="AM244" s="26">
        <v>0</v>
      </c>
      <c r="AN244" s="26">
        <v>0</v>
      </c>
      <c r="AO244" s="26">
        <v>0</v>
      </c>
      <c r="AP244" s="26">
        <v>0</v>
      </c>
      <c r="AQ244" s="26">
        <v>0</v>
      </c>
      <c r="AR244" s="26">
        <v>0</v>
      </c>
      <c r="AS244" s="26">
        <v>0</v>
      </c>
      <c r="AT244" s="26">
        <v>0</v>
      </c>
      <c r="AU244" s="26">
        <v>0</v>
      </c>
      <c r="AV244" s="26">
        <v>0</v>
      </c>
      <c r="AW244" s="26">
        <v>0</v>
      </c>
      <c r="AX244" s="26">
        <v>0</v>
      </c>
      <c r="AY244" s="26">
        <v>0</v>
      </c>
      <c r="AZ244" s="26">
        <v>0</v>
      </c>
      <c r="BA244" s="26">
        <v>0</v>
      </c>
      <c r="BB244" s="26">
        <v>0</v>
      </c>
      <c r="BC244" s="26">
        <v>0</v>
      </c>
      <c r="BD244" s="26">
        <v>0</v>
      </c>
      <c r="BE244" s="26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 t="s">
        <v>445</v>
      </c>
    </row>
    <row r="245" spans="1:63" x14ac:dyDescent="0.25">
      <c r="A245" s="26" t="s">
        <v>281</v>
      </c>
      <c r="B245" s="26" t="s">
        <v>37</v>
      </c>
      <c r="C245" s="26">
        <v>43.018599999999999</v>
      </c>
      <c r="D245" s="26">
        <v>-89.549800000000005</v>
      </c>
      <c r="E245" s="26">
        <v>0</v>
      </c>
      <c r="F245" s="26">
        <v>0</v>
      </c>
      <c r="G245" s="26">
        <v>0</v>
      </c>
      <c r="H245" s="26">
        <v>0</v>
      </c>
      <c r="I245" s="26">
        <v>0</v>
      </c>
      <c r="J245" s="26">
        <v>0</v>
      </c>
      <c r="K245" s="26">
        <v>0</v>
      </c>
      <c r="L245" s="26">
        <v>0</v>
      </c>
      <c r="M245" s="26">
        <v>0</v>
      </c>
      <c r="N245" s="26">
        <v>0</v>
      </c>
      <c r="O245" s="26">
        <v>0</v>
      </c>
      <c r="P245" s="26">
        <v>0</v>
      </c>
      <c r="Q245" s="26">
        <v>0</v>
      </c>
      <c r="R245" s="26">
        <v>0</v>
      </c>
      <c r="S245" s="26">
        <v>0</v>
      </c>
      <c r="T245" s="26">
        <v>0</v>
      </c>
      <c r="U245" s="26">
        <v>0</v>
      </c>
      <c r="V245" s="26">
        <v>0</v>
      </c>
      <c r="W245" s="26">
        <v>0</v>
      </c>
      <c r="X245" s="26">
        <v>0</v>
      </c>
      <c r="Y245" s="26">
        <v>0</v>
      </c>
      <c r="Z245" s="26">
        <v>0</v>
      </c>
      <c r="AA245" s="26">
        <v>0</v>
      </c>
      <c r="AB245" s="26">
        <v>0</v>
      </c>
      <c r="AC245" s="26">
        <v>0</v>
      </c>
      <c r="AD245" s="26">
        <v>0</v>
      </c>
      <c r="AE245" s="26">
        <v>0</v>
      </c>
      <c r="AF245" s="26">
        <v>0</v>
      </c>
      <c r="AG245" s="26">
        <v>0</v>
      </c>
      <c r="AH245" s="26">
        <v>0</v>
      </c>
      <c r="AI245" s="26">
        <v>0</v>
      </c>
      <c r="AJ245" s="26">
        <v>0</v>
      </c>
      <c r="AK245" s="26">
        <v>0</v>
      </c>
      <c r="AL245" s="26">
        <v>0</v>
      </c>
      <c r="AM245" s="26">
        <v>0</v>
      </c>
      <c r="AN245" s="26">
        <v>0</v>
      </c>
      <c r="AO245" s="26">
        <v>0</v>
      </c>
      <c r="AP245" s="26">
        <v>0</v>
      </c>
      <c r="AQ245" s="26">
        <v>0</v>
      </c>
      <c r="AR245" s="26">
        <v>0</v>
      </c>
      <c r="AS245" s="26">
        <v>0</v>
      </c>
      <c r="AT245" s="26">
        <v>0</v>
      </c>
      <c r="AU245" s="26">
        <v>0</v>
      </c>
      <c r="AV245" s="26">
        <v>0</v>
      </c>
      <c r="AW245" s="26">
        <v>0</v>
      </c>
      <c r="AX245" s="26">
        <v>0</v>
      </c>
      <c r="AY245" s="26">
        <v>0</v>
      </c>
      <c r="AZ245" s="26">
        <v>0</v>
      </c>
      <c r="BA245" s="26">
        <v>0</v>
      </c>
      <c r="BB245" s="26">
        <v>0</v>
      </c>
      <c r="BC245" s="26">
        <v>0</v>
      </c>
      <c r="BD245" s="26">
        <v>0</v>
      </c>
      <c r="BE245" s="26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 t="s">
        <v>445</v>
      </c>
    </row>
    <row r="246" spans="1:63" x14ac:dyDescent="0.25">
      <c r="A246" s="26" t="s">
        <v>282</v>
      </c>
      <c r="B246" s="26" t="s">
        <v>37</v>
      </c>
      <c r="C246" s="26">
        <v>44.750900000000001</v>
      </c>
      <c r="D246" s="26">
        <v>-92.381399999999999</v>
      </c>
      <c r="E246" s="26">
        <v>0</v>
      </c>
      <c r="F246" s="26">
        <v>0</v>
      </c>
      <c r="G246" s="26">
        <v>0</v>
      </c>
      <c r="H246" s="26">
        <v>0</v>
      </c>
      <c r="I246" s="26">
        <v>0</v>
      </c>
      <c r="J246" s="26">
        <v>0</v>
      </c>
      <c r="K246" s="26">
        <v>0</v>
      </c>
      <c r="L246" s="26">
        <v>0</v>
      </c>
      <c r="M246" s="26">
        <v>0</v>
      </c>
      <c r="N246" s="26">
        <v>0</v>
      </c>
      <c r="O246" s="26">
        <v>0</v>
      </c>
      <c r="P246" s="26">
        <v>0</v>
      </c>
      <c r="Q246" s="26">
        <v>0</v>
      </c>
      <c r="R246" s="26">
        <v>0</v>
      </c>
      <c r="S246" s="26">
        <v>0</v>
      </c>
      <c r="T246" s="26">
        <v>0</v>
      </c>
      <c r="U246" s="26">
        <v>0</v>
      </c>
      <c r="V246" s="26">
        <v>0</v>
      </c>
      <c r="W246" s="26">
        <v>0</v>
      </c>
      <c r="X246" s="26">
        <v>0</v>
      </c>
      <c r="Y246" s="26">
        <v>0</v>
      </c>
      <c r="Z246" s="26">
        <v>0</v>
      </c>
      <c r="AA246" s="26">
        <v>0</v>
      </c>
      <c r="AB246" s="26">
        <v>0</v>
      </c>
      <c r="AC246" s="26">
        <v>0</v>
      </c>
      <c r="AD246" s="26">
        <v>0</v>
      </c>
      <c r="AE246" s="26">
        <v>0</v>
      </c>
      <c r="AF246" s="26">
        <v>0</v>
      </c>
      <c r="AG246" s="26">
        <v>0</v>
      </c>
      <c r="AH246" s="26">
        <v>0</v>
      </c>
      <c r="AI246" s="26">
        <v>0</v>
      </c>
      <c r="AJ246" s="26">
        <v>0</v>
      </c>
      <c r="AK246" s="26">
        <v>0</v>
      </c>
      <c r="AL246" s="26">
        <v>0</v>
      </c>
      <c r="AM246" s="26">
        <v>0</v>
      </c>
      <c r="AN246" s="26">
        <v>0</v>
      </c>
      <c r="AO246" s="26">
        <v>0</v>
      </c>
      <c r="AP246" s="26">
        <v>0</v>
      </c>
      <c r="AQ246" s="26">
        <v>0</v>
      </c>
      <c r="AR246" s="26">
        <v>0</v>
      </c>
      <c r="AS246" s="26">
        <v>0</v>
      </c>
      <c r="AT246" s="26">
        <v>0</v>
      </c>
      <c r="AU246" s="26">
        <v>0</v>
      </c>
      <c r="AV246" s="26">
        <v>0</v>
      </c>
      <c r="AW246" s="26">
        <v>0</v>
      </c>
      <c r="AX246" s="26">
        <v>0</v>
      </c>
      <c r="AY246" s="26">
        <v>0</v>
      </c>
      <c r="AZ246" s="26">
        <v>0</v>
      </c>
      <c r="BA246" s="26">
        <v>0</v>
      </c>
      <c r="BB246" s="26">
        <v>0</v>
      </c>
      <c r="BC246" s="26">
        <v>0</v>
      </c>
      <c r="BD246" s="26">
        <v>0</v>
      </c>
      <c r="BE246" s="2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 t="s">
        <v>445</v>
      </c>
    </row>
    <row r="247" spans="1:63" x14ac:dyDescent="0.25">
      <c r="A247" s="26" t="s">
        <v>283</v>
      </c>
      <c r="B247" s="26" t="s">
        <v>37</v>
      </c>
      <c r="C247" s="26">
        <v>41.433900000000001</v>
      </c>
      <c r="D247" s="26">
        <v>-81.675799999999995</v>
      </c>
      <c r="E247" s="26">
        <v>0</v>
      </c>
      <c r="F247" s="26">
        <v>0</v>
      </c>
      <c r="G247" s="26">
        <v>0</v>
      </c>
      <c r="H247" s="26">
        <v>0</v>
      </c>
      <c r="I247" s="26">
        <v>0</v>
      </c>
      <c r="J247" s="26">
        <v>0</v>
      </c>
      <c r="K247" s="26">
        <v>0</v>
      </c>
      <c r="L247" s="26">
        <v>0</v>
      </c>
      <c r="M247" s="26">
        <v>0</v>
      </c>
      <c r="N247" s="26">
        <v>0</v>
      </c>
      <c r="O247" s="26">
        <v>0</v>
      </c>
      <c r="P247" s="26">
        <v>0</v>
      </c>
      <c r="Q247" s="26">
        <v>0</v>
      </c>
      <c r="R247" s="26">
        <v>0</v>
      </c>
      <c r="S247" s="26">
        <v>0</v>
      </c>
      <c r="T247" s="26">
        <v>0</v>
      </c>
      <c r="U247" s="26">
        <v>0</v>
      </c>
      <c r="V247" s="26">
        <v>0</v>
      </c>
      <c r="W247" s="26">
        <v>0</v>
      </c>
      <c r="X247" s="26">
        <v>0</v>
      </c>
      <c r="Y247" s="26">
        <v>0</v>
      </c>
      <c r="Z247" s="26">
        <v>0</v>
      </c>
      <c r="AA247" s="26">
        <v>0</v>
      </c>
      <c r="AB247" s="26">
        <v>0</v>
      </c>
      <c r="AC247" s="26">
        <v>0</v>
      </c>
      <c r="AD247" s="26">
        <v>0</v>
      </c>
      <c r="AE247" s="26">
        <v>0</v>
      </c>
      <c r="AF247" s="26">
        <v>0</v>
      </c>
      <c r="AG247" s="26">
        <v>0</v>
      </c>
      <c r="AH247" s="26">
        <v>0</v>
      </c>
      <c r="AI247" s="26">
        <v>0</v>
      </c>
      <c r="AJ247" s="26">
        <v>0</v>
      </c>
      <c r="AK247" s="26">
        <v>0</v>
      </c>
      <c r="AL247" s="26">
        <v>0</v>
      </c>
      <c r="AM247" s="26">
        <v>0</v>
      </c>
      <c r="AN247" s="26">
        <v>0</v>
      </c>
      <c r="AO247" s="26">
        <v>0</v>
      </c>
      <c r="AP247" s="26">
        <v>0</v>
      </c>
      <c r="AQ247" s="26">
        <v>0</v>
      </c>
      <c r="AR247" s="26">
        <v>0</v>
      </c>
      <c r="AS247" s="26">
        <v>0</v>
      </c>
      <c r="AT247" s="26">
        <v>0</v>
      </c>
      <c r="AU247" s="26">
        <v>0</v>
      </c>
      <c r="AV247" s="26">
        <v>0</v>
      </c>
      <c r="AW247" s="26">
        <v>0</v>
      </c>
      <c r="AX247" s="26">
        <v>0</v>
      </c>
      <c r="AY247" s="26">
        <v>0</v>
      </c>
      <c r="AZ247" s="26">
        <v>0</v>
      </c>
      <c r="BA247" s="26">
        <v>0</v>
      </c>
      <c r="BB247" s="26">
        <v>0</v>
      </c>
      <c r="BC247" s="26">
        <v>0</v>
      </c>
      <c r="BD247" s="26">
        <v>0</v>
      </c>
      <c r="BE247" s="26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 t="s">
        <v>445</v>
      </c>
    </row>
    <row r="248" spans="1:63" x14ac:dyDescent="0.25">
      <c r="A248" s="26" t="s">
        <v>284</v>
      </c>
      <c r="B248" s="26" t="s">
        <v>37</v>
      </c>
      <c r="C248" s="26">
        <v>41.260300000000001</v>
      </c>
      <c r="D248" s="26">
        <v>-111.9522</v>
      </c>
      <c r="E248" s="26">
        <v>0</v>
      </c>
      <c r="F248" s="26">
        <v>0</v>
      </c>
      <c r="G248" s="26">
        <v>0</v>
      </c>
      <c r="H248" s="26">
        <v>0</v>
      </c>
      <c r="I248" s="26">
        <v>0</v>
      </c>
      <c r="J248" s="26">
        <v>0</v>
      </c>
      <c r="K248" s="26">
        <v>0</v>
      </c>
      <c r="L248" s="26">
        <v>0</v>
      </c>
      <c r="M248" s="26">
        <v>0</v>
      </c>
      <c r="N248" s="26">
        <v>0</v>
      </c>
      <c r="O248" s="26">
        <v>0</v>
      </c>
      <c r="P248" s="26">
        <v>0</v>
      </c>
      <c r="Q248" s="26">
        <v>0</v>
      </c>
      <c r="R248" s="26">
        <v>0</v>
      </c>
      <c r="S248" s="26">
        <v>0</v>
      </c>
      <c r="T248" s="26">
        <v>0</v>
      </c>
      <c r="U248" s="26">
        <v>0</v>
      </c>
      <c r="V248" s="26">
        <v>0</v>
      </c>
      <c r="W248" s="26">
        <v>0</v>
      </c>
      <c r="X248" s="26">
        <v>0</v>
      </c>
      <c r="Y248" s="26">
        <v>0</v>
      </c>
      <c r="Z248" s="26">
        <v>0</v>
      </c>
      <c r="AA248" s="26">
        <v>0</v>
      </c>
      <c r="AB248" s="26">
        <v>0</v>
      </c>
      <c r="AC248" s="26">
        <v>0</v>
      </c>
      <c r="AD248" s="26">
        <v>0</v>
      </c>
      <c r="AE248" s="26">
        <v>0</v>
      </c>
      <c r="AF248" s="26">
        <v>0</v>
      </c>
      <c r="AG248" s="26">
        <v>0</v>
      </c>
      <c r="AH248" s="26">
        <v>0</v>
      </c>
      <c r="AI248" s="26">
        <v>0</v>
      </c>
      <c r="AJ248" s="26">
        <v>0</v>
      </c>
      <c r="AK248" s="26">
        <v>0</v>
      </c>
      <c r="AL248" s="26">
        <v>0</v>
      </c>
      <c r="AM248" s="26">
        <v>0</v>
      </c>
      <c r="AN248" s="26">
        <v>0</v>
      </c>
      <c r="AO248" s="26">
        <v>0</v>
      </c>
      <c r="AP248" s="26">
        <v>0</v>
      </c>
      <c r="AQ248" s="26">
        <v>0</v>
      </c>
      <c r="AR248" s="26">
        <v>0</v>
      </c>
      <c r="AS248" s="26">
        <v>0</v>
      </c>
      <c r="AT248" s="26">
        <v>0</v>
      </c>
      <c r="AU248" s="26">
        <v>0</v>
      </c>
      <c r="AV248" s="26">
        <v>0</v>
      </c>
      <c r="AW248" s="26">
        <v>0</v>
      </c>
      <c r="AX248" s="26">
        <v>0</v>
      </c>
      <c r="AY248" s="26">
        <v>0</v>
      </c>
      <c r="AZ248" s="26">
        <v>0</v>
      </c>
      <c r="BA248" s="26">
        <v>0</v>
      </c>
      <c r="BB248" s="26">
        <v>0</v>
      </c>
      <c r="BC248" s="26">
        <v>0</v>
      </c>
      <c r="BD248" s="26">
        <v>0</v>
      </c>
      <c r="BE248" s="26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 t="s">
        <v>445</v>
      </c>
    </row>
    <row r="249" spans="1:63" x14ac:dyDescent="0.25">
      <c r="A249" s="26" t="s">
        <v>285</v>
      </c>
      <c r="B249" s="26" t="s">
        <v>37</v>
      </c>
      <c r="C249" s="26">
        <v>43.027900000000002</v>
      </c>
      <c r="D249" s="26">
        <v>-73.135000000000005</v>
      </c>
      <c r="E249" s="26">
        <v>0</v>
      </c>
      <c r="F249" s="26">
        <v>0</v>
      </c>
      <c r="G249" s="26">
        <v>0</v>
      </c>
      <c r="H249" s="26">
        <v>0</v>
      </c>
      <c r="I249" s="26">
        <v>0</v>
      </c>
      <c r="J249" s="26">
        <v>0</v>
      </c>
      <c r="K249" s="26">
        <v>0</v>
      </c>
      <c r="L249" s="26">
        <v>0</v>
      </c>
      <c r="M249" s="26">
        <v>0</v>
      </c>
      <c r="N249" s="26">
        <v>0</v>
      </c>
      <c r="O249" s="26">
        <v>0</v>
      </c>
      <c r="P249" s="26">
        <v>0</v>
      </c>
      <c r="Q249" s="26">
        <v>0</v>
      </c>
      <c r="R249" s="26">
        <v>0</v>
      </c>
      <c r="S249" s="26">
        <v>0</v>
      </c>
      <c r="T249" s="26">
        <v>0</v>
      </c>
      <c r="U249" s="26">
        <v>0</v>
      </c>
      <c r="V249" s="26">
        <v>0</v>
      </c>
      <c r="W249" s="26">
        <v>0</v>
      </c>
      <c r="X249" s="26">
        <v>0</v>
      </c>
      <c r="Y249" s="26">
        <v>0</v>
      </c>
      <c r="Z249" s="26">
        <v>0</v>
      </c>
      <c r="AA249" s="26">
        <v>0</v>
      </c>
      <c r="AB249" s="26">
        <v>0</v>
      </c>
      <c r="AC249" s="26">
        <v>0</v>
      </c>
      <c r="AD249" s="26">
        <v>0</v>
      </c>
      <c r="AE249" s="26">
        <v>0</v>
      </c>
      <c r="AF249" s="26">
        <v>0</v>
      </c>
      <c r="AG249" s="26">
        <v>0</v>
      </c>
      <c r="AH249" s="26">
        <v>0</v>
      </c>
      <c r="AI249" s="26">
        <v>0</v>
      </c>
      <c r="AJ249" s="26">
        <v>0</v>
      </c>
      <c r="AK249" s="26">
        <v>0</v>
      </c>
      <c r="AL249" s="26">
        <v>0</v>
      </c>
      <c r="AM249" s="26">
        <v>0</v>
      </c>
      <c r="AN249" s="26">
        <v>0</v>
      </c>
      <c r="AO249" s="26">
        <v>0</v>
      </c>
      <c r="AP249" s="26">
        <v>0</v>
      </c>
      <c r="AQ249" s="26">
        <v>0</v>
      </c>
      <c r="AR249" s="26">
        <v>0</v>
      </c>
      <c r="AS249" s="26">
        <v>0</v>
      </c>
      <c r="AT249" s="26">
        <v>0</v>
      </c>
      <c r="AU249" s="26">
        <v>0</v>
      </c>
      <c r="AV249" s="26">
        <v>0</v>
      </c>
      <c r="AW249" s="26">
        <v>0</v>
      </c>
      <c r="AX249" s="26">
        <v>0</v>
      </c>
      <c r="AY249" s="26">
        <v>1</v>
      </c>
      <c r="AZ249" s="26">
        <v>1</v>
      </c>
      <c r="BA249" s="26">
        <v>0</v>
      </c>
      <c r="BB249" s="26">
        <v>0</v>
      </c>
      <c r="BC249" s="26">
        <v>0</v>
      </c>
      <c r="BD249" s="26">
        <v>0</v>
      </c>
      <c r="BE249" s="26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 t="s">
        <v>445</v>
      </c>
    </row>
    <row r="250" spans="1:63" x14ac:dyDescent="0.25">
      <c r="A250" s="26" t="s">
        <v>286</v>
      </c>
      <c r="B250" s="26" t="s">
        <v>37</v>
      </c>
      <c r="C250" s="26">
        <v>44.825400000000002</v>
      </c>
      <c r="D250" s="26">
        <v>-93.784199999999998</v>
      </c>
      <c r="E250" s="26">
        <v>0</v>
      </c>
      <c r="F250" s="26">
        <v>0</v>
      </c>
      <c r="G250" s="26">
        <v>0</v>
      </c>
      <c r="H250" s="26">
        <v>0</v>
      </c>
      <c r="I250" s="26">
        <v>0</v>
      </c>
      <c r="J250" s="26">
        <v>0</v>
      </c>
      <c r="K250" s="26">
        <v>0</v>
      </c>
      <c r="L250" s="26">
        <v>0</v>
      </c>
      <c r="M250" s="26">
        <v>0</v>
      </c>
      <c r="N250" s="26">
        <v>0</v>
      </c>
      <c r="O250" s="26">
        <v>0</v>
      </c>
      <c r="P250" s="26">
        <v>0</v>
      </c>
      <c r="Q250" s="26">
        <v>0</v>
      </c>
      <c r="R250" s="26">
        <v>0</v>
      </c>
      <c r="S250" s="26">
        <v>0</v>
      </c>
      <c r="T250" s="26">
        <v>0</v>
      </c>
      <c r="U250" s="26">
        <v>0</v>
      </c>
      <c r="V250" s="26">
        <v>0</v>
      </c>
      <c r="W250" s="26">
        <v>0</v>
      </c>
      <c r="X250" s="26">
        <v>0</v>
      </c>
      <c r="Y250" s="26">
        <v>0</v>
      </c>
      <c r="Z250" s="26">
        <v>0</v>
      </c>
      <c r="AA250" s="26">
        <v>0</v>
      </c>
      <c r="AB250" s="26">
        <v>0</v>
      </c>
      <c r="AC250" s="26">
        <v>0</v>
      </c>
      <c r="AD250" s="26">
        <v>0</v>
      </c>
      <c r="AE250" s="26">
        <v>0</v>
      </c>
      <c r="AF250" s="26">
        <v>0</v>
      </c>
      <c r="AG250" s="26">
        <v>0</v>
      </c>
      <c r="AH250" s="26">
        <v>0</v>
      </c>
      <c r="AI250" s="26">
        <v>0</v>
      </c>
      <c r="AJ250" s="26">
        <v>0</v>
      </c>
      <c r="AK250" s="26">
        <v>0</v>
      </c>
      <c r="AL250" s="26">
        <v>0</v>
      </c>
      <c r="AM250" s="26">
        <v>0</v>
      </c>
      <c r="AN250" s="26">
        <v>0</v>
      </c>
      <c r="AO250" s="26">
        <v>0</v>
      </c>
      <c r="AP250" s="26">
        <v>0</v>
      </c>
      <c r="AQ250" s="26">
        <v>0</v>
      </c>
      <c r="AR250" s="26">
        <v>0</v>
      </c>
      <c r="AS250" s="26">
        <v>0</v>
      </c>
      <c r="AT250" s="26">
        <v>0</v>
      </c>
      <c r="AU250" s="26">
        <v>0</v>
      </c>
      <c r="AV250" s="26">
        <v>0</v>
      </c>
      <c r="AW250" s="26">
        <v>0</v>
      </c>
      <c r="AX250" s="26">
        <v>0</v>
      </c>
      <c r="AY250" s="26">
        <v>0</v>
      </c>
      <c r="AZ250" s="26">
        <v>1</v>
      </c>
      <c r="BA250" s="26">
        <v>0</v>
      </c>
      <c r="BB250" s="26">
        <v>0</v>
      </c>
      <c r="BC250" s="26">
        <v>0</v>
      </c>
      <c r="BD250" s="26">
        <v>0</v>
      </c>
      <c r="BE250" s="26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 t="s">
        <v>445</v>
      </c>
    </row>
    <row r="251" spans="1:63" x14ac:dyDescent="0.25">
      <c r="A251" s="26" t="s">
        <v>287</v>
      </c>
      <c r="B251" s="26" t="s">
        <v>37</v>
      </c>
      <c r="C251" s="26">
        <v>26.894600000000001</v>
      </c>
      <c r="D251" s="26">
        <v>-81.909800000000004</v>
      </c>
      <c r="E251" s="26">
        <v>0</v>
      </c>
      <c r="F251" s="26">
        <v>0</v>
      </c>
      <c r="G251" s="26">
        <v>0</v>
      </c>
      <c r="H251" s="26">
        <v>0</v>
      </c>
      <c r="I251" s="26">
        <v>0</v>
      </c>
      <c r="J251" s="26">
        <v>0</v>
      </c>
      <c r="K251" s="26">
        <v>0</v>
      </c>
      <c r="L251" s="26">
        <v>0</v>
      </c>
      <c r="M251" s="26">
        <v>0</v>
      </c>
      <c r="N251" s="26">
        <v>0</v>
      </c>
      <c r="O251" s="26">
        <v>0</v>
      </c>
      <c r="P251" s="26">
        <v>0</v>
      </c>
      <c r="Q251" s="26">
        <v>0</v>
      </c>
      <c r="R251" s="26">
        <v>0</v>
      </c>
      <c r="S251" s="26">
        <v>0</v>
      </c>
      <c r="T251" s="26">
        <v>0</v>
      </c>
      <c r="U251" s="26">
        <v>0</v>
      </c>
      <c r="V251" s="26">
        <v>0</v>
      </c>
      <c r="W251" s="26">
        <v>0</v>
      </c>
      <c r="X251" s="26">
        <v>0</v>
      </c>
      <c r="Y251" s="26">
        <v>0</v>
      </c>
      <c r="Z251" s="26">
        <v>0</v>
      </c>
      <c r="AA251" s="26">
        <v>0</v>
      </c>
      <c r="AB251" s="26">
        <v>0</v>
      </c>
      <c r="AC251" s="26">
        <v>0</v>
      </c>
      <c r="AD251" s="26">
        <v>0</v>
      </c>
      <c r="AE251" s="26">
        <v>0</v>
      </c>
      <c r="AF251" s="26">
        <v>0</v>
      </c>
      <c r="AG251" s="26">
        <v>0</v>
      </c>
      <c r="AH251" s="26">
        <v>0</v>
      </c>
      <c r="AI251" s="26">
        <v>0</v>
      </c>
      <c r="AJ251" s="26">
        <v>0</v>
      </c>
      <c r="AK251" s="26">
        <v>0</v>
      </c>
      <c r="AL251" s="26">
        <v>0</v>
      </c>
      <c r="AM251" s="26">
        <v>0</v>
      </c>
      <c r="AN251" s="26">
        <v>0</v>
      </c>
      <c r="AO251" s="26">
        <v>0</v>
      </c>
      <c r="AP251" s="26">
        <v>0</v>
      </c>
      <c r="AQ251" s="26">
        <v>0</v>
      </c>
      <c r="AR251" s="26">
        <v>0</v>
      </c>
      <c r="AS251" s="26">
        <v>0</v>
      </c>
      <c r="AT251" s="26">
        <v>0</v>
      </c>
      <c r="AU251" s="26">
        <v>0</v>
      </c>
      <c r="AV251" s="26">
        <v>0</v>
      </c>
      <c r="AW251" s="26">
        <v>0</v>
      </c>
      <c r="AX251" s="26">
        <v>0</v>
      </c>
      <c r="AY251" s="26">
        <v>0</v>
      </c>
      <c r="AZ251" s="26">
        <v>1</v>
      </c>
      <c r="BA251" s="26">
        <v>0</v>
      </c>
      <c r="BB251" s="26">
        <v>0</v>
      </c>
      <c r="BC251" s="26">
        <v>0</v>
      </c>
      <c r="BD251" s="26">
        <v>0</v>
      </c>
      <c r="BE251" s="26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 t="s">
        <v>445</v>
      </c>
    </row>
    <row r="252" spans="1:63" x14ac:dyDescent="0.25">
      <c r="A252" s="26" t="s">
        <v>288</v>
      </c>
      <c r="B252" s="26" t="s">
        <v>37</v>
      </c>
      <c r="C252" s="26">
        <v>34.2515</v>
      </c>
      <c r="D252" s="26">
        <v>-84.4803</v>
      </c>
      <c r="E252" s="26">
        <v>0</v>
      </c>
      <c r="F252" s="26">
        <v>0</v>
      </c>
      <c r="G252" s="26">
        <v>0</v>
      </c>
      <c r="H252" s="26">
        <v>0</v>
      </c>
      <c r="I252" s="26">
        <v>0</v>
      </c>
      <c r="J252" s="26">
        <v>0</v>
      </c>
      <c r="K252" s="26">
        <v>0</v>
      </c>
      <c r="L252" s="26">
        <v>0</v>
      </c>
      <c r="M252" s="26">
        <v>0</v>
      </c>
      <c r="N252" s="26">
        <v>0</v>
      </c>
      <c r="O252" s="26">
        <v>0</v>
      </c>
      <c r="P252" s="26">
        <v>0</v>
      </c>
      <c r="Q252" s="26">
        <v>0</v>
      </c>
      <c r="R252" s="26">
        <v>0</v>
      </c>
      <c r="S252" s="26">
        <v>0</v>
      </c>
      <c r="T252" s="26">
        <v>0</v>
      </c>
      <c r="U252" s="26">
        <v>0</v>
      </c>
      <c r="V252" s="26">
        <v>0</v>
      </c>
      <c r="W252" s="26">
        <v>0</v>
      </c>
      <c r="X252" s="26">
        <v>0</v>
      </c>
      <c r="Y252" s="26">
        <v>0</v>
      </c>
      <c r="Z252" s="26">
        <v>0</v>
      </c>
      <c r="AA252" s="26">
        <v>0</v>
      </c>
      <c r="AB252" s="26">
        <v>0</v>
      </c>
      <c r="AC252" s="26">
        <v>0</v>
      </c>
      <c r="AD252" s="26">
        <v>0</v>
      </c>
      <c r="AE252" s="26">
        <v>0</v>
      </c>
      <c r="AF252" s="26">
        <v>0</v>
      </c>
      <c r="AG252" s="26">
        <v>0</v>
      </c>
      <c r="AH252" s="26">
        <v>0</v>
      </c>
      <c r="AI252" s="26">
        <v>0</v>
      </c>
      <c r="AJ252" s="26">
        <v>0</v>
      </c>
      <c r="AK252" s="26">
        <v>0</v>
      </c>
      <c r="AL252" s="26">
        <v>0</v>
      </c>
      <c r="AM252" s="26">
        <v>0</v>
      </c>
      <c r="AN252" s="26">
        <v>0</v>
      </c>
      <c r="AO252" s="26">
        <v>0</v>
      </c>
      <c r="AP252" s="26">
        <v>0</v>
      </c>
      <c r="AQ252" s="26">
        <v>0</v>
      </c>
      <c r="AR252" s="26">
        <v>0</v>
      </c>
      <c r="AS252" s="26">
        <v>0</v>
      </c>
      <c r="AT252" s="26">
        <v>0</v>
      </c>
      <c r="AU252" s="26">
        <v>0</v>
      </c>
      <c r="AV252" s="26">
        <v>0</v>
      </c>
      <c r="AW252" s="26">
        <v>0</v>
      </c>
      <c r="AX252" s="26">
        <v>0</v>
      </c>
      <c r="AY252" s="26">
        <v>0</v>
      </c>
      <c r="AZ252" s="26">
        <v>1</v>
      </c>
      <c r="BA252" s="26">
        <v>0</v>
      </c>
      <c r="BB252" s="26">
        <v>0</v>
      </c>
      <c r="BC252" s="26">
        <v>0</v>
      </c>
      <c r="BD252" s="26">
        <v>0</v>
      </c>
      <c r="BE252" s="26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 t="s">
        <v>445</v>
      </c>
    </row>
    <row r="253" spans="1:63" x14ac:dyDescent="0.25">
      <c r="A253" s="26" t="s">
        <v>289</v>
      </c>
      <c r="B253" s="26" t="s">
        <v>37</v>
      </c>
      <c r="C253" s="26">
        <v>33.179499999999997</v>
      </c>
      <c r="D253" s="26">
        <v>-96.492999999999995</v>
      </c>
      <c r="E253" s="26">
        <v>0</v>
      </c>
      <c r="F253" s="26">
        <v>0</v>
      </c>
      <c r="G253" s="26">
        <v>0</v>
      </c>
      <c r="H253" s="26">
        <v>0</v>
      </c>
      <c r="I253" s="26">
        <v>0</v>
      </c>
      <c r="J253" s="26">
        <v>0</v>
      </c>
      <c r="K253" s="26">
        <v>0</v>
      </c>
      <c r="L253" s="26">
        <v>0</v>
      </c>
      <c r="M253" s="26">
        <v>0</v>
      </c>
      <c r="N253" s="26">
        <v>0</v>
      </c>
      <c r="O253" s="26">
        <v>0</v>
      </c>
      <c r="P253" s="26">
        <v>0</v>
      </c>
      <c r="Q253" s="26">
        <v>0</v>
      </c>
      <c r="R253" s="26">
        <v>0</v>
      </c>
      <c r="S253" s="26">
        <v>0</v>
      </c>
      <c r="T253" s="26">
        <v>0</v>
      </c>
      <c r="U253" s="26">
        <v>0</v>
      </c>
      <c r="V253" s="26">
        <v>0</v>
      </c>
      <c r="W253" s="26">
        <v>0</v>
      </c>
      <c r="X253" s="26">
        <v>0</v>
      </c>
      <c r="Y253" s="26">
        <v>0</v>
      </c>
      <c r="Z253" s="26">
        <v>0</v>
      </c>
      <c r="AA253" s="26">
        <v>0</v>
      </c>
      <c r="AB253" s="26">
        <v>0</v>
      </c>
      <c r="AC253" s="26">
        <v>0</v>
      </c>
      <c r="AD253" s="26">
        <v>0</v>
      </c>
      <c r="AE253" s="26">
        <v>0</v>
      </c>
      <c r="AF253" s="26">
        <v>0</v>
      </c>
      <c r="AG253" s="26">
        <v>0</v>
      </c>
      <c r="AH253" s="26">
        <v>0</v>
      </c>
      <c r="AI253" s="26">
        <v>0</v>
      </c>
      <c r="AJ253" s="26">
        <v>0</v>
      </c>
      <c r="AK253" s="26">
        <v>0</v>
      </c>
      <c r="AL253" s="26">
        <v>0</v>
      </c>
      <c r="AM253" s="26">
        <v>0</v>
      </c>
      <c r="AN253" s="26">
        <v>0</v>
      </c>
      <c r="AO253" s="26">
        <v>0</v>
      </c>
      <c r="AP253" s="26">
        <v>0</v>
      </c>
      <c r="AQ253" s="26">
        <v>0</v>
      </c>
      <c r="AR253" s="26">
        <v>0</v>
      </c>
      <c r="AS253" s="26">
        <v>0</v>
      </c>
      <c r="AT253" s="26">
        <v>0</v>
      </c>
      <c r="AU253" s="26">
        <v>0</v>
      </c>
      <c r="AV253" s="26">
        <v>0</v>
      </c>
      <c r="AW253" s="26">
        <v>0</v>
      </c>
      <c r="AX253" s="26">
        <v>0</v>
      </c>
      <c r="AY253" s="26">
        <v>0</v>
      </c>
      <c r="AZ253" s="26">
        <v>1</v>
      </c>
      <c r="BA253" s="26">
        <v>0</v>
      </c>
      <c r="BB253" s="26">
        <v>0</v>
      </c>
      <c r="BC253" s="26">
        <v>0</v>
      </c>
      <c r="BD253" s="26">
        <v>0</v>
      </c>
      <c r="BE253" s="26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 t="s">
        <v>445</v>
      </c>
    </row>
    <row r="254" spans="1:63" x14ac:dyDescent="0.25">
      <c r="A254" s="26" t="s">
        <v>290</v>
      </c>
      <c r="B254" s="26" t="s">
        <v>37</v>
      </c>
      <c r="C254" s="26">
        <v>38.193800000000003</v>
      </c>
      <c r="D254" s="26">
        <v>-85.643500000000003</v>
      </c>
      <c r="E254" s="26">
        <v>0</v>
      </c>
      <c r="F254" s="26">
        <v>0</v>
      </c>
      <c r="G254" s="26">
        <v>0</v>
      </c>
      <c r="H254" s="26">
        <v>0</v>
      </c>
      <c r="I254" s="26">
        <v>0</v>
      </c>
      <c r="J254" s="26">
        <v>0</v>
      </c>
      <c r="K254" s="26">
        <v>0</v>
      </c>
      <c r="L254" s="26">
        <v>0</v>
      </c>
      <c r="M254" s="26">
        <v>0</v>
      </c>
      <c r="N254" s="26">
        <v>0</v>
      </c>
      <c r="O254" s="26">
        <v>0</v>
      </c>
      <c r="P254" s="26">
        <v>0</v>
      </c>
      <c r="Q254" s="26">
        <v>0</v>
      </c>
      <c r="R254" s="26">
        <v>0</v>
      </c>
      <c r="S254" s="26">
        <v>0</v>
      </c>
      <c r="T254" s="26">
        <v>0</v>
      </c>
      <c r="U254" s="26">
        <v>0</v>
      </c>
      <c r="V254" s="26">
        <v>0</v>
      </c>
      <c r="W254" s="26">
        <v>0</v>
      </c>
      <c r="X254" s="26">
        <v>0</v>
      </c>
      <c r="Y254" s="26">
        <v>0</v>
      </c>
      <c r="Z254" s="26">
        <v>0</v>
      </c>
      <c r="AA254" s="26">
        <v>0</v>
      </c>
      <c r="AB254" s="26">
        <v>0</v>
      </c>
      <c r="AC254" s="26">
        <v>0</v>
      </c>
      <c r="AD254" s="26">
        <v>0</v>
      </c>
      <c r="AE254" s="26">
        <v>0</v>
      </c>
      <c r="AF254" s="26">
        <v>0</v>
      </c>
      <c r="AG254" s="26">
        <v>0</v>
      </c>
      <c r="AH254" s="26">
        <v>0</v>
      </c>
      <c r="AI254" s="26">
        <v>0</v>
      </c>
      <c r="AJ254" s="26">
        <v>0</v>
      </c>
      <c r="AK254" s="26">
        <v>0</v>
      </c>
      <c r="AL254" s="26">
        <v>0</v>
      </c>
      <c r="AM254" s="26">
        <v>0</v>
      </c>
      <c r="AN254" s="26">
        <v>0</v>
      </c>
      <c r="AO254" s="26">
        <v>0</v>
      </c>
      <c r="AP254" s="26">
        <v>0</v>
      </c>
      <c r="AQ254" s="26">
        <v>0</v>
      </c>
      <c r="AR254" s="26">
        <v>0</v>
      </c>
      <c r="AS254" s="26">
        <v>0</v>
      </c>
      <c r="AT254" s="26">
        <v>0</v>
      </c>
      <c r="AU254" s="26">
        <v>0</v>
      </c>
      <c r="AV254" s="26">
        <v>0</v>
      </c>
      <c r="AW254" s="26">
        <v>0</v>
      </c>
      <c r="AX254" s="26">
        <v>0</v>
      </c>
      <c r="AY254" s="26">
        <v>0</v>
      </c>
      <c r="AZ254" s="26">
        <v>1</v>
      </c>
      <c r="BA254" s="26">
        <v>0</v>
      </c>
      <c r="BB254" s="26">
        <v>0</v>
      </c>
      <c r="BC254" s="26">
        <v>0</v>
      </c>
      <c r="BD254" s="26">
        <v>0</v>
      </c>
      <c r="BE254" s="26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 t="s">
        <v>445</v>
      </c>
    </row>
    <row r="255" spans="1:63" x14ac:dyDescent="0.25">
      <c r="A255" s="26" t="s">
        <v>291</v>
      </c>
      <c r="B255" s="26" t="s">
        <v>37</v>
      </c>
      <c r="C255" s="26">
        <v>29.649899999999999</v>
      </c>
      <c r="D255" s="26">
        <v>-90.112099999999998</v>
      </c>
      <c r="E255" s="26">
        <v>0</v>
      </c>
      <c r="F255" s="26">
        <v>0</v>
      </c>
      <c r="G255" s="26">
        <v>0</v>
      </c>
      <c r="H255" s="26">
        <v>0</v>
      </c>
      <c r="I255" s="26">
        <v>0</v>
      </c>
      <c r="J255" s="26">
        <v>0</v>
      </c>
      <c r="K255" s="26">
        <v>0</v>
      </c>
      <c r="L255" s="26">
        <v>0</v>
      </c>
      <c r="M255" s="26">
        <v>0</v>
      </c>
      <c r="N255" s="26">
        <v>0</v>
      </c>
      <c r="O255" s="26">
        <v>0</v>
      </c>
      <c r="P255" s="26">
        <v>0</v>
      </c>
      <c r="Q255" s="26">
        <v>0</v>
      </c>
      <c r="R255" s="26">
        <v>0</v>
      </c>
      <c r="S255" s="26">
        <v>0</v>
      </c>
      <c r="T255" s="26">
        <v>0</v>
      </c>
      <c r="U255" s="26">
        <v>0</v>
      </c>
      <c r="V255" s="26">
        <v>0</v>
      </c>
      <c r="W255" s="26">
        <v>0</v>
      </c>
      <c r="X255" s="26">
        <v>0</v>
      </c>
      <c r="Y255" s="26">
        <v>0</v>
      </c>
      <c r="Z255" s="26">
        <v>0</v>
      </c>
      <c r="AA255" s="26">
        <v>0</v>
      </c>
      <c r="AB255" s="26">
        <v>0</v>
      </c>
      <c r="AC255" s="26">
        <v>0</v>
      </c>
      <c r="AD255" s="26">
        <v>0</v>
      </c>
      <c r="AE255" s="26">
        <v>0</v>
      </c>
      <c r="AF255" s="26">
        <v>0</v>
      </c>
      <c r="AG255" s="26">
        <v>0</v>
      </c>
      <c r="AH255" s="26">
        <v>0</v>
      </c>
      <c r="AI255" s="26">
        <v>0</v>
      </c>
      <c r="AJ255" s="26">
        <v>0</v>
      </c>
      <c r="AK255" s="26">
        <v>0</v>
      </c>
      <c r="AL255" s="26">
        <v>0</v>
      </c>
      <c r="AM255" s="26">
        <v>0</v>
      </c>
      <c r="AN255" s="26">
        <v>0</v>
      </c>
      <c r="AO255" s="26">
        <v>0</v>
      </c>
      <c r="AP255" s="26">
        <v>0</v>
      </c>
      <c r="AQ255" s="26">
        <v>0</v>
      </c>
      <c r="AR255" s="26">
        <v>0</v>
      </c>
      <c r="AS255" s="26">
        <v>0</v>
      </c>
      <c r="AT255" s="26">
        <v>0</v>
      </c>
      <c r="AU255" s="26">
        <v>0</v>
      </c>
      <c r="AV255" s="26">
        <v>0</v>
      </c>
      <c r="AW255" s="26">
        <v>0</v>
      </c>
      <c r="AX255" s="26">
        <v>0</v>
      </c>
      <c r="AY255" s="26">
        <v>0</v>
      </c>
      <c r="AZ255" s="26">
        <v>1</v>
      </c>
      <c r="BA255" s="26">
        <v>0</v>
      </c>
      <c r="BB255" s="26">
        <v>0</v>
      </c>
      <c r="BC255" s="26">
        <v>0</v>
      </c>
      <c r="BD255" s="26">
        <v>0</v>
      </c>
      <c r="BE255" s="26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 t="s">
        <v>445</v>
      </c>
    </row>
    <row r="256" spans="1:63" x14ac:dyDescent="0.25">
      <c r="A256" s="26" t="s">
        <v>292</v>
      </c>
      <c r="B256" s="26" t="s">
        <v>37</v>
      </c>
      <c r="C256" s="26">
        <v>40.790900000000001</v>
      </c>
      <c r="D256" s="26">
        <v>-121.84739999999999</v>
      </c>
      <c r="E256" s="26">
        <v>0</v>
      </c>
      <c r="F256" s="26">
        <v>0</v>
      </c>
      <c r="G256" s="26">
        <v>0</v>
      </c>
      <c r="H256" s="26">
        <v>0</v>
      </c>
      <c r="I256" s="26">
        <v>0</v>
      </c>
      <c r="J256" s="26">
        <v>0</v>
      </c>
      <c r="K256" s="26">
        <v>0</v>
      </c>
      <c r="L256" s="26">
        <v>0</v>
      </c>
      <c r="M256" s="26">
        <v>0</v>
      </c>
      <c r="N256" s="26">
        <v>0</v>
      </c>
      <c r="O256" s="26">
        <v>0</v>
      </c>
      <c r="P256" s="26">
        <v>0</v>
      </c>
      <c r="Q256" s="26">
        <v>0</v>
      </c>
      <c r="R256" s="26">
        <v>0</v>
      </c>
      <c r="S256" s="26">
        <v>0</v>
      </c>
      <c r="T256" s="26">
        <v>0</v>
      </c>
      <c r="U256" s="26">
        <v>0</v>
      </c>
      <c r="V256" s="26">
        <v>0</v>
      </c>
      <c r="W256" s="26">
        <v>0</v>
      </c>
      <c r="X256" s="26">
        <v>0</v>
      </c>
      <c r="Y256" s="26">
        <v>0</v>
      </c>
      <c r="Z256" s="26">
        <v>0</v>
      </c>
      <c r="AA256" s="26">
        <v>0</v>
      </c>
      <c r="AB256" s="26">
        <v>0</v>
      </c>
      <c r="AC256" s="26">
        <v>0</v>
      </c>
      <c r="AD256" s="26">
        <v>0</v>
      </c>
      <c r="AE256" s="26">
        <v>0</v>
      </c>
      <c r="AF256" s="26">
        <v>0</v>
      </c>
      <c r="AG256" s="26">
        <v>0</v>
      </c>
      <c r="AH256" s="26">
        <v>0</v>
      </c>
      <c r="AI256" s="26">
        <v>0</v>
      </c>
      <c r="AJ256" s="26">
        <v>0</v>
      </c>
      <c r="AK256" s="26">
        <v>0</v>
      </c>
      <c r="AL256" s="26">
        <v>0</v>
      </c>
      <c r="AM256" s="26">
        <v>0</v>
      </c>
      <c r="AN256" s="26">
        <v>0</v>
      </c>
      <c r="AO256" s="26">
        <v>0</v>
      </c>
      <c r="AP256" s="26">
        <v>0</v>
      </c>
      <c r="AQ256" s="26">
        <v>0</v>
      </c>
      <c r="AR256" s="26">
        <v>0</v>
      </c>
      <c r="AS256" s="26">
        <v>0</v>
      </c>
      <c r="AT256" s="26">
        <v>0</v>
      </c>
      <c r="AU256" s="26">
        <v>0</v>
      </c>
      <c r="AV256" s="26">
        <v>0</v>
      </c>
      <c r="AW256" s="26">
        <v>0</v>
      </c>
      <c r="AX256" s="26">
        <v>0</v>
      </c>
      <c r="AY256" s="26">
        <v>0</v>
      </c>
      <c r="AZ256" s="26">
        <v>1</v>
      </c>
      <c r="BA256" s="26">
        <v>0</v>
      </c>
      <c r="BB256" s="26">
        <v>0</v>
      </c>
      <c r="BC256" s="26">
        <v>0</v>
      </c>
      <c r="BD256" s="26">
        <v>0</v>
      </c>
      <c r="BE256" s="2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 t="s">
        <v>445</v>
      </c>
    </row>
    <row r="257" spans="1:63" x14ac:dyDescent="0.25">
      <c r="A257" s="26" t="s">
        <v>293</v>
      </c>
      <c r="B257" s="26" t="s">
        <v>37</v>
      </c>
      <c r="C257" s="26">
        <v>34.860599999999998</v>
      </c>
      <c r="D257" s="26">
        <v>-81.953500000000005</v>
      </c>
      <c r="E257" s="26">
        <v>0</v>
      </c>
      <c r="F257" s="26">
        <v>0</v>
      </c>
      <c r="G257" s="26">
        <v>0</v>
      </c>
      <c r="H257" s="26">
        <v>0</v>
      </c>
      <c r="I257" s="26">
        <v>0</v>
      </c>
      <c r="J257" s="26">
        <v>0</v>
      </c>
      <c r="K257" s="26">
        <v>0</v>
      </c>
      <c r="L257" s="26">
        <v>0</v>
      </c>
      <c r="M257" s="26">
        <v>0</v>
      </c>
      <c r="N257" s="26">
        <v>0</v>
      </c>
      <c r="O257" s="26">
        <v>0</v>
      </c>
      <c r="P257" s="26">
        <v>0</v>
      </c>
      <c r="Q257" s="26">
        <v>0</v>
      </c>
      <c r="R257" s="26">
        <v>0</v>
      </c>
      <c r="S257" s="26">
        <v>0</v>
      </c>
      <c r="T257" s="26">
        <v>0</v>
      </c>
      <c r="U257" s="26">
        <v>0</v>
      </c>
      <c r="V257" s="26">
        <v>0</v>
      </c>
      <c r="W257" s="26">
        <v>0</v>
      </c>
      <c r="X257" s="26">
        <v>0</v>
      </c>
      <c r="Y257" s="26">
        <v>0</v>
      </c>
      <c r="Z257" s="26">
        <v>0</v>
      </c>
      <c r="AA257" s="26">
        <v>0</v>
      </c>
      <c r="AB257" s="26">
        <v>0</v>
      </c>
      <c r="AC257" s="26">
        <v>0</v>
      </c>
      <c r="AD257" s="26">
        <v>0</v>
      </c>
      <c r="AE257" s="26">
        <v>0</v>
      </c>
      <c r="AF257" s="26">
        <v>0</v>
      </c>
      <c r="AG257" s="26">
        <v>0</v>
      </c>
      <c r="AH257" s="26">
        <v>0</v>
      </c>
      <c r="AI257" s="26">
        <v>0</v>
      </c>
      <c r="AJ257" s="26">
        <v>0</v>
      </c>
      <c r="AK257" s="26">
        <v>0</v>
      </c>
      <c r="AL257" s="26">
        <v>0</v>
      </c>
      <c r="AM257" s="26">
        <v>0</v>
      </c>
      <c r="AN257" s="26">
        <v>0</v>
      </c>
      <c r="AO257" s="26">
        <v>0</v>
      </c>
      <c r="AP257" s="26">
        <v>0</v>
      </c>
      <c r="AQ257" s="26">
        <v>0</v>
      </c>
      <c r="AR257" s="26">
        <v>0</v>
      </c>
      <c r="AS257" s="26">
        <v>0</v>
      </c>
      <c r="AT257" s="26">
        <v>0</v>
      </c>
      <c r="AU257" s="26">
        <v>0</v>
      </c>
      <c r="AV257" s="26">
        <v>0</v>
      </c>
      <c r="AW257" s="26">
        <v>0</v>
      </c>
      <c r="AX257" s="26">
        <v>0</v>
      </c>
      <c r="AY257" s="26">
        <v>0</v>
      </c>
      <c r="AZ257" s="26">
        <v>1</v>
      </c>
      <c r="BA257" s="26">
        <v>0</v>
      </c>
      <c r="BB257" s="26">
        <v>0</v>
      </c>
      <c r="BC257" s="26">
        <v>0</v>
      </c>
      <c r="BD257" s="26">
        <v>0</v>
      </c>
      <c r="BE257" s="26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 t="s">
        <v>445</v>
      </c>
    </row>
    <row r="258" spans="1:63" x14ac:dyDescent="0.25">
      <c r="A258" s="26" t="s">
        <v>294</v>
      </c>
      <c r="B258" s="26" t="s">
        <v>37</v>
      </c>
      <c r="C258" s="26">
        <v>38.433300000000003</v>
      </c>
      <c r="D258" s="26">
        <v>-84.354200000000006</v>
      </c>
      <c r="E258" s="26">
        <v>0</v>
      </c>
      <c r="F258" s="26">
        <v>0</v>
      </c>
      <c r="G258" s="26">
        <v>0</v>
      </c>
      <c r="H258" s="26">
        <v>0</v>
      </c>
      <c r="I258" s="26">
        <v>0</v>
      </c>
      <c r="J258" s="26">
        <v>0</v>
      </c>
      <c r="K258" s="26">
        <v>0</v>
      </c>
      <c r="L258" s="26">
        <v>0</v>
      </c>
      <c r="M258" s="26">
        <v>0</v>
      </c>
      <c r="N258" s="26">
        <v>0</v>
      </c>
      <c r="O258" s="26">
        <v>0</v>
      </c>
      <c r="P258" s="26">
        <v>0</v>
      </c>
      <c r="Q258" s="26">
        <v>0</v>
      </c>
      <c r="R258" s="26">
        <v>0</v>
      </c>
      <c r="S258" s="26">
        <v>0</v>
      </c>
      <c r="T258" s="26">
        <v>0</v>
      </c>
      <c r="U258" s="26">
        <v>0</v>
      </c>
      <c r="V258" s="26">
        <v>0</v>
      </c>
      <c r="W258" s="26">
        <v>0</v>
      </c>
      <c r="X258" s="26">
        <v>0</v>
      </c>
      <c r="Y258" s="26">
        <v>0</v>
      </c>
      <c r="Z258" s="26">
        <v>0</v>
      </c>
      <c r="AA258" s="26">
        <v>0</v>
      </c>
      <c r="AB258" s="26">
        <v>0</v>
      </c>
      <c r="AC258" s="26">
        <v>0</v>
      </c>
      <c r="AD258" s="26">
        <v>0</v>
      </c>
      <c r="AE258" s="26">
        <v>0</v>
      </c>
      <c r="AF258" s="26">
        <v>0</v>
      </c>
      <c r="AG258" s="26">
        <v>0</v>
      </c>
      <c r="AH258" s="26">
        <v>0</v>
      </c>
      <c r="AI258" s="26">
        <v>0</v>
      </c>
      <c r="AJ258" s="26">
        <v>0</v>
      </c>
      <c r="AK258" s="26">
        <v>0</v>
      </c>
      <c r="AL258" s="26">
        <v>0</v>
      </c>
      <c r="AM258" s="26">
        <v>0</v>
      </c>
      <c r="AN258" s="26">
        <v>0</v>
      </c>
      <c r="AO258" s="26">
        <v>0</v>
      </c>
      <c r="AP258" s="26">
        <v>0</v>
      </c>
      <c r="AQ258" s="26">
        <v>0</v>
      </c>
      <c r="AR258" s="26">
        <v>0</v>
      </c>
      <c r="AS258" s="26">
        <v>0</v>
      </c>
      <c r="AT258" s="26">
        <v>0</v>
      </c>
      <c r="AU258" s="26">
        <v>0</v>
      </c>
      <c r="AV258" s="26">
        <v>0</v>
      </c>
      <c r="AW258" s="26">
        <v>0</v>
      </c>
      <c r="AX258" s="26">
        <v>0</v>
      </c>
      <c r="AY258" s="26">
        <v>0</v>
      </c>
      <c r="AZ258" s="26">
        <v>2</v>
      </c>
      <c r="BA258" s="26">
        <v>0</v>
      </c>
      <c r="BB258" s="26">
        <v>0</v>
      </c>
      <c r="BC258" s="26">
        <v>0</v>
      </c>
      <c r="BD258" s="26">
        <v>0</v>
      </c>
      <c r="BE258" s="26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 t="s">
        <v>445</v>
      </c>
    </row>
    <row r="259" spans="1:63" x14ac:dyDescent="0.25">
      <c r="A259" s="26" t="s">
        <v>295</v>
      </c>
      <c r="B259" s="26" t="s">
        <v>37</v>
      </c>
      <c r="C259" s="26">
        <v>41.669899999999998</v>
      </c>
      <c r="D259" s="26">
        <v>-91.598399999999998</v>
      </c>
      <c r="E259" s="26">
        <v>0</v>
      </c>
      <c r="F259" s="26">
        <v>0</v>
      </c>
      <c r="G259" s="26">
        <v>0</v>
      </c>
      <c r="H259" s="26">
        <v>0</v>
      </c>
      <c r="I259" s="26">
        <v>0</v>
      </c>
      <c r="J259" s="26">
        <v>0</v>
      </c>
      <c r="K259" s="26">
        <v>0</v>
      </c>
      <c r="L259" s="26">
        <v>0</v>
      </c>
      <c r="M259" s="26">
        <v>0</v>
      </c>
      <c r="N259" s="26">
        <v>0</v>
      </c>
      <c r="O259" s="26">
        <v>0</v>
      </c>
      <c r="P259" s="26">
        <v>0</v>
      </c>
      <c r="Q259" s="26">
        <v>0</v>
      </c>
      <c r="R259" s="26">
        <v>0</v>
      </c>
      <c r="S259" s="26">
        <v>0</v>
      </c>
      <c r="T259" s="26">
        <v>0</v>
      </c>
      <c r="U259" s="26">
        <v>0</v>
      </c>
      <c r="V259" s="26">
        <v>0</v>
      </c>
      <c r="W259" s="26">
        <v>0</v>
      </c>
      <c r="X259" s="26">
        <v>0</v>
      </c>
      <c r="Y259" s="26">
        <v>0</v>
      </c>
      <c r="Z259" s="26">
        <v>0</v>
      </c>
      <c r="AA259" s="26">
        <v>0</v>
      </c>
      <c r="AB259" s="26">
        <v>0</v>
      </c>
      <c r="AC259" s="26">
        <v>0</v>
      </c>
      <c r="AD259" s="26">
        <v>0</v>
      </c>
      <c r="AE259" s="26">
        <v>0</v>
      </c>
      <c r="AF259" s="26">
        <v>0</v>
      </c>
      <c r="AG259" s="26">
        <v>0</v>
      </c>
      <c r="AH259" s="26">
        <v>0</v>
      </c>
      <c r="AI259" s="26">
        <v>0</v>
      </c>
      <c r="AJ259" s="26">
        <v>0</v>
      </c>
      <c r="AK259" s="26">
        <v>0</v>
      </c>
      <c r="AL259" s="26">
        <v>0</v>
      </c>
      <c r="AM259" s="26">
        <v>0</v>
      </c>
      <c r="AN259" s="26">
        <v>0</v>
      </c>
      <c r="AO259" s="26">
        <v>0</v>
      </c>
      <c r="AP259" s="26">
        <v>0</v>
      </c>
      <c r="AQ259" s="26">
        <v>0</v>
      </c>
      <c r="AR259" s="26">
        <v>0</v>
      </c>
      <c r="AS259" s="26">
        <v>0</v>
      </c>
      <c r="AT259" s="26">
        <v>0</v>
      </c>
      <c r="AU259" s="26">
        <v>0</v>
      </c>
      <c r="AV259" s="26">
        <v>0</v>
      </c>
      <c r="AW259" s="26">
        <v>0</v>
      </c>
      <c r="AX259" s="26">
        <v>0</v>
      </c>
      <c r="AY259" s="26">
        <v>0</v>
      </c>
      <c r="AZ259" s="26">
        <v>3</v>
      </c>
      <c r="BA259" s="26">
        <v>0</v>
      </c>
      <c r="BB259" s="26">
        <v>0</v>
      </c>
      <c r="BC259" s="26">
        <v>0</v>
      </c>
      <c r="BD259" s="26">
        <v>0</v>
      </c>
      <c r="BE259" s="26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 t="s">
        <v>445</v>
      </c>
    </row>
    <row r="260" spans="1:63" x14ac:dyDescent="0.25">
      <c r="A260" s="26" t="s">
        <v>296</v>
      </c>
      <c r="B260" s="26" t="s">
        <v>37</v>
      </c>
      <c r="C260" s="26">
        <v>42.311799999999998</v>
      </c>
      <c r="D260" s="26">
        <v>-73.182199999999995</v>
      </c>
      <c r="E260" s="26">
        <v>0</v>
      </c>
      <c r="F260" s="26">
        <v>0</v>
      </c>
      <c r="G260" s="26">
        <v>0</v>
      </c>
      <c r="H260" s="26">
        <v>0</v>
      </c>
      <c r="I260" s="26">
        <v>0</v>
      </c>
      <c r="J260" s="26">
        <v>0</v>
      </c>
      <c r="K260" s="26">
        <v>0</v>
      </c>
      <c r="L260" s="26">
        <v>0</v>
      </c>
      <c r="M260" s="26">
        <v>0</v>
      </c>
      <c r="N260" s="26">
        <v>0</v>
      </c>
      <c r="O260" s="26">
        <v>0</v>
      </c>
      <c r="P260" s="26">
        <v>0</v>
      </c>
      <c r="Q260" s="26">
        <v>0</v>
      </c>
      <c r="R260" s="26">
        <v>0</v>
      </c>
      <c r="S260" s="26">
        <v>0</v>
      </c>
      <c r="T260" s="26">
        <v>0</v>
      </c>
      <c r="U260" s="26">
        <v>0</v>
      </c>
      <c r="V260" s="26">
        <v>0</v>
      </c>
      <c r="W260" s="26">
        <v>0</v>
      </c>
      <c r="X260" s="26">
        <v>0</v>
      </c>
      <c r="Y260" s="26">
        <v>0</v>
      </c>
      <c r="Z260" s="26">
        <v>0</v>
      </c>
      <c r="AA260" s="26">
        <v>0</v>
      </c>
      <c r="AB260" s="26">
        <v>0</v>
      </c>
      <c r="AC260" s="26">
        <v>0</v>
      </c>
      <c r="AD260" s="26">
        <v>0</v>
      </c>
      <c r="AE260" s="26">
        <v>0</v>
      </c>
      <c r="AF260" s="26">
        <v>0</v>
      </c>
      <c r="AG260" s="26">
        <v>0</v>
      </c>
      <c r="AH260" s="26">
        <v>0</v>
      </c>
      <c r="AI260" s="26">
        <v>0</v>
      </c>
      <c r="AJ260" s="26">
        <v>0</v>
      </c>
      <c r="AK260" s="26">
        <v>0</v>
      </c>
      <c r="AL260" s="26">
        <v>0</v>
      </c>
      <c r="AM260" s="26">
        <v>0</v>
      </c>
      <c r="AN260" s="26">
        <v>0</v>
      </c>
      <c r="AO260" s="26">
        <v>0</v>
      </c>
      <c r="AP260" s="26">
        <v>0</v>
      </c>
      <c r="AQ260" s="26">
        <v>0</v>
      </c>
      <c r="AR260" s="26">
        <v>0</v>
      </c>
      <c r="AS260" s="26">
        <v>0</v>
      </c>
      <c r="AT260" s="26">
        <v>0</v>
      </c>
      <c r="AU260" s="26">
        <v>0</v>
      </c>
      <c r="AV260" s="26">
        <v>0</v>
      </c>
      <c r="AW260" s="26">
        <v>0</v>
      </c>
      <c r="AX260" s="26">
        <v>0</v>
      </c>
      <c r="AY260" s="26">
        <v>1</v>
      </c>
      <c r="AZ260" s="26">
        <v>1</v>
      </c>
      <c r="BA260" s="26">
        <v>0</v>
      </c>
      <c r="BB260" s="26">
        <v>0</v>
      </c>
      <c r="BC260" s="26">
        <v>0</v>
      </c>
      <c r="BD260" s="26">
        <v>0</v>
      </c>
      <c r="BE260" s="26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 t="s">
        <v>445</v>
      </c>
    </row>
    <row r="261" spans="1:63" x14ac:dyDescent="0.25">
      <c r="A261" s="26" t="s">
        <v>297</v>
      </c>
      <c r="B261" s="26" t="s">
        <v>37</v>
      </c>
      <c r="C261" s="26">
        <v>36.134300000000003</v>
      </c>
      <c r="D261" s="26">
        <v>-86.822000000000003</v>
      </c>
      <c r="E261" s="26">
        <v>0</v>
      </c>
      <c r="F261" s="26">
        <v>0</v>
      </c>
      <c r="G261" s="26">
        <v>0</v>
      </c>
      <c r="H261" s="26">
        <v>0</v>
      </c>
      <c r="I261" s="26">
        <v>0</v>
      </c>
      <c r="J261" s="26">
        <v>0</v>
      </c>
      <c r="K261" s="26">
        <v>0</v>
      </c>
      <c r="L261" s="26">
        <v>0</v>
      </c>
      <c r="M261" s="26">
        <v>0</v>
      </c>
      <c r="N261" s="26">
        <v>0</v>
      </c>
      <c r="O261" s="26">
        <v>0</v>
      </c>
      <c r="P261" s="26">
        <v>0</v>
      </c>
      <c r="Q261" s="26">
        <v>0</v>
      </c>
      <c r="R261" s="26">
        <v>0</v>
      </c>
      <c r="S261" s="26">
        <v>0</v>
      </c>
      <c r="T261" s="26">
        <v>0</v>
      </c>
      <c r="U261" s="26">
        <v>0</v>
      </c>
      <c r="V261" s="26">
        <v>0</v>
      </c>
      <c r="W261" s="26">
        <v>0</v>
      </c>
      <c r="X261" s="26">
        <v>0</v>
      </c>
      <c r="Y261" s="26">
        <v>0</v>
      </c>
      <c r="Z261" s="26">
        <v>0</v>
      </c>
      <c r="AA261" s="26">
        <v>0</v>
      </c>
      <c r="AB261" s="26">
        <v>0</v>
      </c>
      <c r="AC261" s="26">
        <v>0</v>
      </c>
      <c r="AD261" s="26">
        <v>0</v>
      </c>
      <c r="AE261" s="26">
        <v>0</v>
      </c>
      <c r="AF261" s="26">
        <v>0</v>
      </c>
      <c r="AG261" s="26">
        <v>0</v>
      </c>
      <c r="AH261" s="26">
        <v>0</v>
      </c>
      <c r="AI261" s="26">
        <v>0</v>
      </c>
      <c r="AJ261" s="26">
        <v>0</v>
      </c>
      <c r="AK261" s="26">
        <v>0</v>
      </c>
      <c r="AL261" s="26">
        <v>0</v>
      </c>
      <c r="AM261" s="26">
        <v>0</v>
      </c>
      <c r="AN261" s="26">
        <v>0</v>
      </c>
      <c r="AO261" s="26">
        <v>0</v>
      </c>
      <c r="AP261" s="26">
        <v>0</v>
      </c>
      <c r="AQ261" s="26">
        <v>0</v>
      </c>
      <c r="AR261" s="26">
        <v>0</v>
      </c>
      <c r="AS261" s="26">
        <v>0</v>
      </c>
      <c r="AT261" s="26">
        <v>0</v>
      </c>
      <c r="AU261" s="26">
        <v>0</v>
      </c>
      <c r="AV261" s="26">
        <v>0</v>
      </c>
      <c r="AW261" s="26">
        <v>0</v>
      </c>
      <c r="AX261" s="26">
        <v>0</v>
      </c>
      <c r="AY261" s="26">
        <v>1</v>
      </c>
      <c r="AZ261" s="26">
        <v>1</v>
      </c>
      <c r="BA261" s="26">
        <v>0</v>
      </c>
      <c r="BB261" s="26">
        <v>0</v>
      </c>
      <c r="BC261" s="26">
        <v>0</v>
      </c>
      <c r="BD261" s="26">
        <v>0</v>
      </c>
      <c r="BE261" s="26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 t="s">
        <v>445</v>
      </c>
    </row>
    <row r="262" spans="1:63" x14ac:dyDescent="0.25">
      <c r="A262" s="26" t="s">
        <v>298</v>
      </c>
      <c r="B262" s="26" t="s">
        <v>37</v>
      </c>
      <c r="C262" s="26">
        <v>43.126100000000001</v>
      </c>
      <c r="D262" s="26">
        <v>-123.2492</v>
      </c>
      <c r="E262" s="26">
        <v>0</v>
      </c>
      <c r="F262" s="26">
        <v>0</v>
      </c>
      <c r="G262" s="26">
        <v>0</v>
      </c>
      <c r="H262" s="26">
        <v>0</v>
      </c>
      <c r="I262" s="26">
        <v>0</v>
      </c>
      <c r="J262" s="26">
        <v>0</v>
      </c>
      <c r="K262" s="26">
        <v>0</v>
      </c>
      <c r="L262" s="26">
        <v>0</v>
      </c>
      <c r="M262" s="26">
        <v>0</v>
      </c>
      <c r="N262" s="26">
        <v>0</v>
      </c>
      <c r="O262" s="26">
        <v>0</v>
      </c>
      <c r="P262" s="26">
        <v>0</v>
      </c>
      <c r="Q262" s="26">
        <v>0</v>
      </c>
      <c r="R262" s="26">
        <v>0</v>
      </c>
      <c r="S262" s="26">
        <v>0</v>
      </c>
      <c r="T262" s="26">
        <v>0</v>
      </c>
      <c r="U262" s="26">
        <v>0</v>
      </c>
      <c r="V262" s="26">
        <v>0</v>
      </c>
      <c r="W262" s="26">
        <v>0</v>
      </c>
      <c r="X262" s="26">
        <v>0</v>
      </c>
      <c r="Y262" s="26">
        <v>0</v>
      </c>
      <c r="Z262" s="26">
        <v>0</v>
      </c>
      <c r="AA262" s="26">
        <v>0</v>
      </c>
      <c r="AB262" s="26">
        <v>0</v>
      </c>
      <c r="AC262" s="26">
        <v>0</v>
      </c>
      <c r="AD262" s="26">
        <v>0</v>
      </c>
      <c r="AE262" s="26">
        <v>0</v>
      </c>
      <c r="AF262" s="26">
        <v>0</v>
      </c>
      <c r="AG262" s="26">
        <v>0</v>
      </c>
      <c r="AH262" s="26">
        <v>0</v>
      </c>
      <c r="AI262" s="26">
        <v>0</v>
      </c>
      <c r="AJ262" s="26">
        <v>0</v>
      </c>
      <c r="AK262" s="26">
        <v>0</v>
      </c>
      <c r="AL262" s="26">
        <v>0</v>
      </c>
      <c r="AM262" s="26">
        <v>0</v>
      </c>
      <c r="AN262" s="26">
        <v>0</v>
      </c>
      <c r="AO262" s="26">
        <v>0</v>
      </c>
      <c r="AP262" s="26">
        <v>0</v>
      </c>
      <c r="AQ262" s="26">
        <v>0</v>
      </c>
      <c r="AR262" s="26">
        <v>0</v>
      </c>
      <c r="AS262" s="26">
        <v>0</v>
      </c>
      <c r="AT262" s="26">
        <v>0</v>
      </c>
      <c r="AU262" s="26">
        <v>0</v>
      </c>
      <c r="AV262" s="26">
        <v>0</v>
      </c>
      <c r="AW262" s="26">
        <v>0</v>
      </c>
      <c r="AX262" s="26">
        <v>0</v>
      </c>
      <c r="AY262" s="26">
        <v>1</v>
      </c>
      <c r="AZ262" s="26">
        <v>1</v>
      </c>
      <c r="BA262" s="26">
        <v>0</v>
      </c>
      <c r="BB262" s="26">
        <v>0</v>
      </c>
      <c r="BC262" s="26">
        <v>0</v>
      </c>
      <c r="BD262" s="26">
        <v>0</v>
      </c>
      <c r="BE262" s="26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 t="s">
        <v>445</v>
      </c>
    </row>
    <row r="263" spans="1:63" x14ac:dyDescent="0.25">
      <c r="A263" s="26" t="s">
        <v>299</v>
      </c>
      <c r="B263" s="26" t="s">
        <v>37</v>
      </c>
      <c r="C263" s="26">
        <v>36.985900000000001</v>
      </c>
      <c r="D263" s="26">
        <v>-119.2321</v>
      </c>
      <c r="E263" s="26">
        <v>0</v>
      </c>
      <c r="F263" s="26">
        <v>0</v>
      </c>
      <c r="G263" s="26">
        <v>0</v>
      </c>
      <c r="H263" s="26">
        <v>0</v>
      </c>
      <c r="I263" s="26">
        <v>0</v>
      </c>
      <c r="J263" s="26">
        <v>0</v>
      </c>
      <c r="K263" s="26">
        <v>0</v>
      </c>
      <c r="L263" s="26">
        <v>0</v>
      </c>
      <c r="M263" s="26">
        <v>0</v>
      </c>
      <c r="N263" s="26">
        <v>0</v>
      </c>
      <c r="O263" s="26">
        <v>0</v>
      </c>
      <c r="P263" s="26">
        <v>0</v>
      </c>
      <c r="Q263" s="26">
        <v>0</v>
      </c>
      <c r="R263" s="26">
        <v>0</v>
      </c>
      <c r="S263" s="26">
        <v>0</v>
      </c>
      <c r="T263" s="26">
        <v>0</v>
      </c>
      <c r="U263" s="26">
        <v>0</v>
      </c>
      <c r="V263" s="26">
        <v>0</v>
      </c>
      <c r="W263" s="26">
        <v>0</v>
      </c>
      <c r="X263" s="26">
        <v>0</v>
      </c>
      <c r="Y263" s="26">
        <v>0</v>
      </c>
      <c r="Z263" s="26">
        <v>0</v>
      </c>
      <c r="AA263" s="26">
        <v>0</v>
      </c>
      <c r="AB263" s="26">
        <v>0</v>
      </c>
      <c r="AC263" s="26">
        <v>0</v>
      </c>
      <c r="AD263" s="26">
        <v>0</v>
      </c>
      <c r="AE263" s="26">
        <v>0</v>
      </c>
      <c r="AF263" s="26">
        <v>0</v>
      </c>
      <c r="AG263" s="26">
        <v>0</v>
      </c>
      <c r="AH263" s="26">
        <v>0</v>
      </c>
      <c r="AI263" s="26">
        <v>0</v>
      </c>
      <c r="AJ263" s="26">
        <v>0</v>
      </c>
      <c r="AK263" s="26">
        <v>0</v>
      </c>
      <c r="AL263" s="26">
        <v>0</v>
      </c>
      <c r="AM263" s="26">
        <v>0</v>
      </c>
      <c r="AN263" s="26">
        <v>0</v>
      </c>
      <c r="AO263" s="26">
        <v>0</v>
      </c>
      <c r="AP263" s="26">
        <v>0</v>
      </c>
      <c r="AQ263" s="26">
        <v>0</v>
      </c>
      <c r="AR263" s="26">
        <v>0</v>
      </c>
      <c r="AS263" s="26">
        <v>0</v>
      </c>
      <c r="AT263" s="26">
        <v>0</v>
      </c>
      <c r="AU263" s="26">
        <v>0</v>
      </c>
      <c r="AV263" s="26">
        <v>0</v>
      </c>
      <c r="AW263" s="26">
        <v>0</v>
      </c>
      <c r="AX263" s="26">
        <v>0</v>
      </c>
      <c r="AY263" s="26">
        <v>1</v>
      </c>
      <c r="AZ263" s="26">
        <v>1</v>
      </c>
      <c r="BA263" s="26">
        <v>0</v>
      </c>
      <c r="BB263" s="26">
        <v>0</v>
      </c>
      <c r="BC263" s="26">
        <v>0</v>
      </c>
      <c r="BD263" s="26">
        <v>0</v>
      </c>
      <c r="BE263" s="26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 t="s">
        <v>445</v>
      </c>
    </row>
    <row r="264" spans="1:63" x14ac:dyDescent="0.25">
      <c r="A264" s="26" t="s">
        <v>300</v>
      </c>
      <c r="B264" s="26" t="s">
        <v>37</v>
      </c>
      <c r="C264" s="26">
        <v>39.5839</v>
      </c>
      <c r="D264" s="26">
        <v>-76.363699999999994</v>
      </c>
      <c r="E264" s="26">
        <v>0</v>
      </c>
      <c r="F264" s="26">
        <v>0</v>
      </c>
      <c r="G264" s="26">
        <v>0</v>
      </c>
      <c r="H264" s="26">
        <v>0</v>
      </c>
      <c r="I264" s="26">
        <v>0</v>
      </c>
      <c r="J264" s="26">
        <v>0</v>
      </c>
      <c r="K264" s="26">
        <v>0</v>
      </c>
      <c r="L264" s="26">
        <v>0</v>
      </c>
      <c r="M264" s="26">
        <v>0</v>
      </c>
      <c r="N264" s="26">
        <v>0</v>
      </c>
      <c r="O264" s="26">
        <v>0</v>
      </c>
      <c r="P264" s="26">
        <v>0</v>
      </c>
      <c r="Q264" s="26">
        <v>0</v>
      </c>
      <c r="R264" s="26">
        <v>0</v>
      </c>
      <c r="S264" s="26">
        <v>0</v>
      </c>
      <c r="T264" s="26">
        <v>0</v>
      </c>
      <c r="U264" s="26">
        <v>0</v>
      </c>
      <c r="V264" s="26">
        <v>0</v>
      </c>
      <c r="W264" s="26">
        <v>0</v>
      </c>
      <c r="X264" s="26">
        <v>0</v>
      </c>
      <c r="Y264" s="26">
        <v>0</v>
      </c>
      <c r="Z264" s="26">
        <v>0</v>
      </c>
      <c r="AA264" s="26">
        <v>0</v>
      </c>
      <c r="AB264" s="26">
        <v>0</v>
      </c>
      <c r="AC264" s="26">
        <v>0</v>
      </c>
      <c r="AD264" s="26">
        <v>0</v>
      </c>
      <c r="AE264" s="26">
        <v>0</v>
      </c>
      <c r="AF264" s="26">
        <v>0</v>
      </c>
      <c r="AG264" s="26">
        <v>0</v>
      </c>
      <c r="AH264" s="26">
        <v>0</v>
      </c>
      <c r="AI264" s="26">
        <v>0</v>
      </c>
      <c r="AJ264" s="26">
        <v>0</v>
      </c>
      <c r="AK264" s="26">
        <v>0</v>
      </c>
      <c r="AL264" s="26">
        <v>0</v>
      </c>
      <c r="AM264" s="26">
        <v>0</v>
      </c>
      <c r="AN264" s="26">
        <v>0</v>
      </c>
      <c r="AO264" s="26">
        <v>0</v>
      </c>
      <c r="AP264" s="26">
        <v>0</v>
      </c>
      <c r="AQ264" s="26">
        <v>0</v>
      </c>
      <c r="AR264" s="26">
        <v>0</v>
      </c>
      <c r="AS264" s="26">
        <v>0</v>
      </c>
      <c r="AT264" s="26">
        <v>0</v>
      </c>
      <c r="AU264" s="26">
        <v>0</v>
      </c>
      <c r="AV264" s="26">
        <v>0</v>
      </c>
      <c r="AW264" s="26">
        <v>0</v>
      </c>
      <c r="AX264" s="26">
        <v>0</v>
      </c>
      <c r="AY264" s="26">
        <v>1</v>
      </c>
      <c r="AZ264" s="26">
        <v>1</v>
      </c>
      <c r="BA264" s="26">
        <v>0</v>
      </c>
      <c r="BB264" s="26">
        <v>0</v>
      </c>
      <c r="BC264" s="26">
        <v>0</v>
      </c>
      <c r="BD264" s="26">
        <v>0</v>
      </c>
      <c r="BE264" s="26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 t="s">
        <v>445</v>
      </c>
    </row>
    <row r="265" spans="1:63" x14ac:dyDescent="0.25">
      <c r="A265" s="26" t="s">
        <v>301</v>
      </c>
      <c r="B265" s="26" t="s">
        <v>37</v>
      </c>
      <c r="C265" s="26">
        <v>39.8065</v>
      </c>
      <c r="D265" s="26">
        <v>-86.540099999999995</v>
      </c>
      <c r="E265" s="26">
        <v>0</v>
      </c>
      <c r="F265" s="26">
        <v>0</v>
      </c>
      <c r="G265" s="26">
        <v>0</v>
      </c>
      <c r="H265" s="26">
        <v>0</v>
      </c>
      <c r="I265" s="26">
        <v>0</v>
      </c>
      <c r="J265" s="26">
        <v>0</v>
      </c>
      <c r="K265" s="26">
        <v>0</v>
      </c>
      <c r="L265" s="26">
        <v>0</v>
      </c>
      <c r="M265" s="26">
        <v>0</v>
      </c>
      <c r="N265" s="26">
        <v>0</v>
      </c>
      <c r="O265" s="26">
        <v>0</v>
      </c>
      <c r="P265" s="26">
        <v>0</v>
      </c>
      <c r="Q265" s="26">
        <v>0</v>
      </c>
      <c r="R265" s="26">
        <v>0</v>
      </c>
      <c r="S265" s="26">
        <v>0</v>
      </c>
      <c r="T265" s="26">
        <v>0</v>
      </c>
      <c r="U265" s="26">
        <v>0</v>
      </c>
      <c r="V265" s="26">
        <v>0</v>
      </c>
      <c r="W265" s="26">
        <v>0</v>
      </c>
      <c r="X265" s="26">
        <v>0</v>
      </c>
      <c r="Y265" s="26">
        <v>0</v>
      </c>
      <c r="Z265" s="26">
        <v>0</v>
      </c>
      <c r="AA265" s="26">
        <v>0</v>
      </c>
      <c r="AB265" s="26">
        <v>0</v>
      </c>
      <c r="AC265" s="26">
        <v>0</v>
      </c>
      <c r="AD265" s="26">
        <v>0</v>
      </c>
      <c r="AE265" s="26">
        <v>0</v>
      </c>
      <c r="AF265" s="26">
        <v>0</v>
      </c>
      <c r="AG265" s="26">
        <v>0</v>
      </c>
      <c r="AH265" s="26">
        <v>0</v>
      </c>
      <c r="AI265" s="26">
        <v>0</v>
      </c>
      <c r="AJ265" s="26">
        <v>0</v>
      </c>
      <c r="AK265" s="26">
        <v>0</v>
      </c>
      <c r="AL265" s="26">
        <v>0</v>
      </c>
      <c r="AM265" s="26">
        <v>0</v>
      </c>
      <c r="AN265" s="26">
        <v>0</v>
      </c>
      <c r="AO265" s="26">
        <v>0</v>
      </c>
      <c r="AP265" s="26">
        <v>0</v>
      </c>
      <c r="AQ265" s="26">
        <v>0</v>
      </c>
      <c r="AR265" s="26">
        <v>0</v>
      </c>
      <c r="AS265" s="26">
        <v>0</v>
      </c>
      <c r="AT265" s="26">
        <v>0</v>
      </c>
      <c r="AU265" s="26">
        <v>0</v>
      </c>
      <c r="AV265" s="26">
        <v>0</v>
      </c>
      <c r="AW265" s="26">
        <v>0</v>
      </c>
      <c r="AX265" s="26">
        <v>0</v>
      </c>
      <c r="AY265" s="26">
        <v>1</v>
      </c>
      <c r="AZ265" s="26">
        <v>2</v>
      </c>
      <c r="BA265" s="26">
        <v>0</v>
      </c>
      <c r="BB265" s="26">
        <v>0</v>
      </c>
      <c r="BC265" s="26">
        <v>0</v>
      </c>
      <c r="BD265" s="26">
        <v>0</v>
      </c>
      <c r="BE265" s="26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 t="s">
        <v>445</v>
      </c>
    </row>
    <row r="266" spans="1:63" x14ac:dyDescent="0.25">
      <c r="A266" s="26" t="s">
        <v>302</v>
      </c>
      <c r="B266" s="26" t="s">
        <v>37</v>
      </c>
      <c r="C266" s="26">
        <v>40.7453</v>
      </c>
      <c r="D266" s="26">
        <v>-74.0535</v>
      </c>
      <c r="E266" s="26">
        <v>0</v>
      </c>
      <c r="F266" s="26">
        <v>0</v>
      </c>
      <c r="G266" s="26">
        <v>0</v>
      </c>
      <c r="H266" s="26">
        <v>0</v>
      </c>
      <c r="I266" s="26">
        <v>0</v>
      </c>
      <c r="J266" s="26">
        <v>0</v>
      </c>
      <c r="K266" s="26">
        <v>0</v>
      </c>
      <c r="L266" s="26">
        <v>0</v>
      </c>
      <c r="M266" s="26">
        <v>0</v>
      </c>
      <c r="N266" s="26">
        <v>0</v>
      </c>
      <c r="O266" s="26">
        <v>0</v>
      </c>
      <c r="P266" s="26">
        <v>0</v>
      </c>
      <c r="Q266" s="26">
        <v>0</v>
      </c>
      <c r="R266" s="26">
        <v>0</v>
      </c>
      <c r="S266" s="26">
        <v>0</v>
      </c>
      <c r="T266" s="26">
        <v>0</v>
      </c>
      <c r="U266" s="26">
        <v>0</v>
      </c>
      <c r="V266" s="26">
        <v>0</v>
      </c>
      <c r="W266" s="26">
        <v>0</v>
      </c>
      <c r="X266" s="26">
        <v>0</v>
      </c>
      <c r="Y266" s="26">
        <v>0</v>
      </c>
      <c r="Z266" s="26">
        <v>0</v>
      </c>
      <c r="AA266" s="26">
        <v>0</v>
      </c>
      <c r="AB266" s="26">
        <v>0</v>
      </c>
      <c r="AC266" s="26">
        <v>0</v>
      </c>
      <c r="AD266" s="26">
        <v>0</v>
      </c>
      <c r="AE266" s="26">
        <v>0</v>
      </c>
      <c r="AF266" s="26">
        <v>0</v>
      </c>
      <c r="AG266" s="26">
        <v>0</v>
      </c>
      <c r="AH266" s="26">
        <v>0</v>
      </c>
      <c r="AI266" s="26">
        <v>0</v>
      </c>
      <c r="AJ266" s="26">
        <v>0</v>
      </c>
      <c r="AK266" s="26">
        <v>0</v>
      </c>
      <c r="AL266" s="26">
        <v>0</v>
      </c>
      <c r="AM266" s="26">
        <v>0</v>
      </c>
      <c r="AN266" s="26">
        <v>0</v>
      </c>
      <c r="AO266" s="26">
        <v>0</v>
      </c>
      <c r="AP266" s="26">
        <v>0</v>
      </c>
      <c r="AQ266" s="26">
        <v>0</v>
      </c>
      <c r="AR266" s="26">
        <v>0</v>
      </c>
      <c r="AS266" s="26">
        <v>0</v>
      </c>
      <c r="AT266" s="26">
        <v>0</v>
      </c>
      <c r="AU266" s="26">
        <v>0</v>
      </c>
      <c r="AV266" s="26">
        <v>0</v>
      </c>
      <c r="AW266" s="26">
        <v>0</v>
      </c>
      <c r="AX266" s="26">
        <v>0</v>
      </c>
      <c r="AY266" s="26">
        <v>1</v>
      </c>
      <c r="AZ266" s="26">
        <v>1</v>
      </c>
      <c r="BA266" s="26">
        <v>0</v>
      </c>
      <c r="BB266" s="26">
        <v>0</v>
      </c>
      <c r="BC266" s="26">
        <v>0</v>
      </c>
      <c r="BD266" s="26">
        <v>0</v>
      </c>
      <c r="BE266" s="2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 t="s">
        <v>445</v>
      </c>
    </row>
    <row r="267" spans="1:63" x14ac:dyDescent="0.25">
      <c r="A267" s="26" t="s">
        <v>303</v>
      </c>
      <c r="B267" s="26" t="s">
        <v>37</v>
      </c>
      <c r="C267" s="26">
        <v>38.845399999999998</v>
      </c>
      <c r="D267" s="26">
        <v>-94.852099999999993</v>
      </c>
      <c r="E267" s="26">
        <v>0</v>
      </c>
      <c r="F267" s="26">
        <v>0</v>
      </c>
      <c r="G267" s="26">
        <v>0</v>
      </c>
      <c r="H267" s="26">
        <v>0</v>
      </c>
      <c r="I267" s="26">
        <v>0</v>
      </c>
      <c r="J267" s="26">
        <v>0</v>
      </c>
      <c r="K267" s="26">
        <v>0</v>
      </c>
      <c r="L267" s="26">
        <v>0</v>
      </c>
      <c r="M267" s="26">
        <v>0</v>
      </c>
      <c r="N267" s="26">
        <v>0</v>
      </c>
      <c r="O267" s="26">
        <v>0</v>
      </c>
      <c r="P267" s="26">
        <v>0</v>
      </c>
      <c r="Q267" s="26">
        <v>0</v>
      </c>
      <c r="R267" s="26">
        <v>0</v>
      </c>
      <c r="S267" s="26">
        <v>0</v>
      </c>
      <c r="T267" s="26">
        <v>0</v>
      </c>
      <c r="U267" s="26">
        <v>0</v>
      </c>
      <c r="V267" s="26">
        <v>0</v>
      </c>
      <c r="W267" s="26">
        <v>0</v>
      </c>
      <c r="X267" s="26">
        <v>0</v>
      </c>
      <c r="Y267" s="26">
        <v>0</v>
      </c>
      <c r="Z267" s="26">
        <v>0</v>
      </c>
      <c r="AA267" s="26">
        <v>0</v>
      </c>
      <c r="AB267" s="26">
        <v>0</v>
      </c>
      <c r="AC267" s="26">
        <v>0</v>
      </c>
      <c r="AD267" s="26">
        <v>0</v>
      </c>
      <c r="AE267" s="26">
        <v>0</v>
      </c>
      <c r="AF267" s="26">
        <v>0</v>
      </c>
      <c r="AG267" s="26">
        <v>0</v>
      </c>
      <c r="AH267" s="26">
        <v>0</v>
      </c>
      <c r="AI267" s="26">
        <v>0</v>
      </c>
      <c r="AJ267" s="26">
        <v>0</v>
      </c>
      <c r="AK267" s="26">
        <v>0</v>
      </c>
      <c r="AL267" s="26">
        <v>0</v>
      </c>
      <c r="AM267" s="26">
        <v>0</v>
      </c>
      <c r="AN267" s="26">
        <v>0</v>
      </c>
      <c r="AO267" s="26">
        <v>0</v>
      </c>
      <c r="AP267" s="26">
        <v>0</v>
      </c>
      <c r="AQ267" s="26">
        <v>0</v>
      </c>
      <c r="AR267" s="26">
        <v>0</v>
      </c>
      <c r="AS267" s="26">
        <v>0</v>
      </c>
      <c r="AT267" s="26">
        <v>0</v>
      </c>
      <c r="AU267" s="26">
        <v>0</v>
      </c>
      <c r="AV267" s="26">
        <v>0</v>
      </c>
      <c r="AW267" s="26">
        <v>0</v>
      </c>
      <c r="AX267" s="26">
        <v>0</v>
      </c>
      <c r="AY267" s="26">
        <v>1</v>
      </c>
      <c r="AZ267" s="26">
        <v>1</v>
      </c>
      <c r="BA267" s="26">
        <v>0</v>
      </c>
      <c r="BB267" s="26">
        <v>0</v>
      </c>
      <c r="BC267" s="26">
        <v>0</v>
      </c>
      <c r="BD267" s="26">
        <v>0</v>
      </c>
      <c r="BE267" s="26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 t="s">
        <v>445</v>
      </c>
    </row>
    <row r="268" spans="1:63" x14ac:dyDescent="0.25">
      <c r="A268" s="26" t="s">
        <v>304</v>
      </c>
      <c r="B268" s="26" t="s">
        <v>37</v>
      </c>
      <c r="C268" s="26">
        <v>47.174999999999997</v>
      </c>
      <c r="D268" s="26">
        <v>-120.9319</v>
      </c>
      <c r="E268" s="26">
        <v>0</v>
      </c>
      <c r="F268" s="26">
        <v>0</v>
      </c>
      <c r="G268" s="26">
        <v>0</v>
      </c>
      <c r="H268" s="26">
        <v>0</v>
      </c>
      <c r="I268" s="26">
        <v>0</v>
      </c>
      <c r="J268" s="26">
        <v>0</v>
      </c>
      <c r="K268" s="26">
        <v>0</v>
      </c>
      <c r="L268" s="26">
        <v>0</v>
      </c>
      <c r="M268" s="26">
        <v>0</v>
      </c>
      <c r="N268" s="26">
        <v>0</v>
      </c>
      <c r="O268" s="26">
        <v>0</v>
      </c>
      <c r="P268" s="26">
        <v>0</v>
      </c>
      <c r="Q268" s="26">
        <v>0</v>
      </c>
      <c r="R268" s="26">
        <v>0</v>
      </c>
      <c r="S268" s="26">
        <v>0</v>
      </c>
      <c r="T268" s="26">
        <v>0</v>
      </c>
      <c r="U268" s="26">
        <v>0</v>
      </c>
      <c r="V268" s="26">
        <v>0</v>
      </c>
      <c r="W268" s="26">
        <v>0</v>
      </c>
      <c r="X268" s="26">
        <v>0</v>
      </c>
      <c r="Y268" s="26">
        <v>0</v>
      </c>
      <c r="Z268" s="26">
        <v>0</v>
      </c>
      <c r="AA268" s="26">
        <v>0</v>
      </c>
      <c r="AB268" s="26">
        <v>0</v>
      </c>
      <c r="AC268" s="26">
        <v>0</v>
      </c>
      <c r="AD268" s="26">
        <v>0</v>
      </c>
      <c r="AE268" s="26">
        <v>0</v>
      </c>
      <c r="AF268" s="26">
        <v>0</v>
      </c>
      <c r="AG268" s="26">
        <v>0</v>
      </c>
      <c r="AH268" s="26">
        <v>0</v>
      </c>
      <c r="AI268" s="26">
        <v>0</v>
      </c>
      <c r="AJ268" s="26">
        <v>0</v>
      </c>
      <c r="AK268" s="26">
        <v>0</v>
      </c>
      <c r="AL268" s="26">
        <v>0</v>
      </c>
      <c r="AM268" s="26">
        <v>0</v>
      </c>
      <c r="AN268" s="26">
        <v>0</v>
      </c>
      <c r="AO268" s="26">
        <v>0</v>
      </c>
      <c r="AP268" s="26">
        <v>0</v>
      </c>
      <c r="AQ268" s="26">
        <v>0</v>
      </c>
      <c r="AR268" s="26">
        <v>0</v>
      </c>
      <c r="AS268" s="26">
        <v>0</v>
      </c>
      <c r="AT268" s="26">
        <v>0</v>
      </c>
      <c r="AU268" s="26">
        <v>0</v>
      </c>
      <c r="AV268" s="26">
        <v>0</v>
      </c>
      <c r="AW268" s="26">
        <v>0</v>
      </c>
      <c r="AX268" s="26">
        <v>0</v>
      </c>
      <c r="AY268" s="26">
        <v>1</v>
      </c>
      <c r="AZ268" s="26">
        <v>1</v>
      </c>
      <c r="BA268" s="26">
        <v>0</v>
      </c>
      <c r="BB268" s="26">
        <v>0</v>
      </c>
      <c r="BC268" s="26">
        <v>0</v>
      </c>
      <c r="BD268" s="26">
        <v>0</v>
      </c>
      <c r="BE268" s="26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 t="s">
        <v>445</v>
      </c>
    </row>
    <row r="269" spans="1:63" x14ac:dyDescent="0.25">
      <c r="A269" s="26" t="s">
        <v>305</v>
      </c>
      <c r="B269" s="26" t="s">
        <v>37</v>
      </c>
      <c r="C269" s="26">
        <v>27.479900000000001</v>
      </c>
      <c r="D269" s="26">
        <v>-82.345200000000006</v>
      </c>
      <c r="E269" s="26">
        <v>0</v>
      </c>
      <c r="F269" s="26">
        <v>0</v>
      </c>
      <c r="G269" s="26">
        <v>0</v>
      </c>
      <c r="H269" s="26">
        <v>0</v>
      </c>
      <c r="I269" s="26">
        <v>0</v>
      </c>
      <c r="J269" s="26">
        <v>0</v>
      </c>
      <c r="K269" s="26">
        <v>0</v>
      </c>
      <c r="L269" s="26">
        <v>0</v>
      </c>
      <c r="M269" s="26">
        <v>0</v>
      </c>
      <c r="N269" s="26">
        <v>0</v>
      </c>
      <c r="O269" s="26">
        <v>0</v>
      </c>
      <c r="P269" s="26">
        <v>0</v>
      </c>
      <c r="Q269" s="26">
        <v>0</v>
      </c>
      <c r="R269" s="26">
        <v>0</v>
      </c>
      <c r="S269" s="26">
        <v>0</v>
      </c>
      <c r="T269" s="26">
        <v>0</v>
      </c>
      <c r="U269" s="26">
        <v>0</v>
      </c>
      <c r="V269" s="26">
        <v>0</v>
      </c>
      <c r="W269" s="26">
        <v>0</v>
      </c>
      <c r="X269" s="26">
        <v>0</v>
      </c>
      <c r="Y269" s="26">
        <v>0</v>
      </c>
      <c r="Z269" s="26">
        <v>0</v>
      </c>
      <c r="AA269" s="26">
        <v>0</v>
      </c>
      <c r="AB269" s="26">
        <v>0</v>
      </c>
      <c r="AC269" s="26">
        <v>0</v>
      </c>
      <c r="AD269" s="26">
        <v>0</v>
      </c>
      <c r="AE269" s="26">
        <v>0</v>
      </c>
      <c r="AF269" s="26">
        <v>0</v>
      </c>
      <c r="AG269" s="26">
        <v>0</v>
      </c>
      <c r="AH269" s="26">
        <v>0</v>
      </c>
      <c r="AI269" s="26">
        <v>0</v>
      </c>
      <c r="AJ269" s="26">
        <v>0</v>
      </c>
      <c r="AK269" s="26">
        <v>0</v>
      </c>
      <c r="AL269" s="26">
        <v>0</v>
      </c>
      <c r="AM269" s="26">
        <v>0</v>
      </c>
      <c r="AN269" s="26">
        <v>0</v>
      </c>
      <c r="AO269" s="26">
        <v>0</v>
      </c>
      <c r="AP269" s="26">
        <v>0</v>
      </c>
      <c r="AQ269" s="26">
        <v>0</v>
      </c>
      <c r="AR269" s="26">
        <v>0</v>
      </c>
      <c r="AS269" s="26">
        <v>0</v>
      </c>
      <c r="AT269" s="26">
        <v>0</v>
      </c>
      <c r="AU269" s="26">
        <v>0</v>
      </c>
      <c r="AV269" s="26">
        <v>0</v>
      </c>
      <c r="AW269" s="26">
        <v>0</v>
      </c>
      <c r="AX269" s="26">
        <v>0</v>
      </c>
      <c r="AY269" s="26">
        <v>1</v>
      </c>
      <c r="AZ269" s="26">
        <v>2</v>
      </c>
      <c r="BA269" s="26">
        <v>0</v>
      </c>
      <c r="BB269" s="26">
        <v>0</v>
      </c>
      <c r="BC269" s="26">
        <v>0</v>
      </c>
      <c r="BD269" s="26">
        <v>0</v>
      </c>
      <c r="BE269" s="26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 t="s">
        <v>445</v>
      </c>
    </row>
    <row r="270" spans="1:63" x14ac:dyDescent="0.25">
      <c r="A270" s="26" t="s">
        <v>306</v>
      </c>
      <c r="B270" s="26" t="s">
        <v>37</v>
      </c>
      <c r="C270" s="26">
        <v>44.8446</v>
      </c>
      <c r="D270" s="26">
        <v>-122.59269999999999</v>
      </c>
      <c r="E270" s="26">
        <v>0</v>
      </c>
      <c r="F270" s="26">
        <v>0</v>
      </c>
      <c r="G270" s="26">
        <v>0</v>
      </c>
      <c r="H270" s="26">
        <v>0</v>
      </c>
      <c r="I270" s="26">
        <v>0</v>
      </c>
      <c r="J270" s="26">
        <v>0</v>
      </c>
      <c r="K270" s="26">
        <v>0</v>
      </c>
      <c r="L270" s="26">
        <v>0</v>
      </c>
      <c r="M270" s="26">
        <v>0</v>
      </c>
      <c r="N270" s="26">
        <v>0</v>
      </c>
      <c r="O270" s="26">
        <v>0</v>
      </c>
      <c r="P270" s="26">
        <v>0</v>
      </c>
      <c r="Q270" s="26">
        <v>0</v>
      </c>
      <c r="R270" s="26">
        <v>0</v>
      </c>
      <c r="S270" s="26">
        <v>0</v>
      </c>
      <c r="T270" s="26">
        <v>0</v>
      </c>
      <c r="U270" s="26">
        <v>0</v>
      </c>
      <c r="V270" s="26">
        <v>0</v>
      </c>
      <c r="W270" s="26">
        <v>0</v>
      </c>
      <c r="X270" s="26">
        <v>0</v>
      </c>
      <c r="Y270" s="26">
        <v>0</v>
      </c>
      <c r="Z270" s="26">
        <v>0</v>
      </c>
      <c r="AA270" s="26">
        <v>0</v>
      </c>
      <c r="AB270" s="26">
        <v>0</v>
      </c>
      <c r="AC270" s="26">
        <v>0</v>
      </c>
      <c r="AD270" s="26">
        <v>0</v>
      </c>
      <c r="AE270" s="26">
        <v>0</v>
      </c>
      <c r="AF270" s="26">
        <v>0</v>
      </c>
      <c r="AG270" s="26">
        <v>0</v>
      </c>
      <c r="AH270" s="26">
        <v>0</v>
      </c>
      <c r="AI270" s="26">
        <v>0</v>
      </c>
      <c r="AJ270" s="26">
        <v>0</v>
      </c>
      <c r="AK270" s="26">
        <v>0</v>
      </c>
      <c r="AL270" s="26">
        <v>0</v>
      </c>
      <c r="AM270" s="26">
        <v>0</v>
      </c>
      <c r="AN270" s="26">
        <v>0</v>
      </c>
      <c r="AO270" s="26">
        <v>0</v>
      </c>
      <c r="AP270" s="26">
        <v>0</v>
      </c>
      <c r="AQ270" s="26">
        <v>0</v>
      </c>
      <c r="AR270" s="26">
        <v>0</v>
      </c>
      <c r="AS270" s="26">
        <v>0</v>
      </c>
      <c r="AT270" s="26">
        <v>0</v>
      </c>
      <c r="AU270" s="26">
        <v>0</v>
      </c>
      <c r="AV270" s="26">
        <v>0</v>
      </c>
      <c r="AW270" s="26">
        <v>0</v>
      </c>
      <c r="AX270" s="26">
        <v>0</v>
      </c>
      <c r="AY270" s="26">
        <v>1</v>
      </c>
      <c r="AZ270" s="26">
        <v>1</v>
      </c>
      <c r="BA270" s="26">
        <v>0</v>
      </c>
      <c r="BB270" s="26">
        <v>0</v>
      </c>
      <c r="BC270" s="26">
        <v>0</v>
      </c>
      <c r="BD270" s="26">
        <v>0</v>
      </c>
      <c r="BE270" s="26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 t="s">
        <v>445</v>
      </c>
    </row>
    <row r="271" spans="1:63" x14ac:dyDescent="0.25">
      <c r="A271" s="26" t="s">
        <v>307</v>
      </c>
      <c r="B271" s="26" t="s">
        <v>37</v>
      </c>
      <c r="C271" s="26">
        <v>30.577300000000001</v>
      </c>
      <c r="D271" s="26">
        <v>-86.661100000000005</v>
      </c>
      <c r="E271" s="26">
        <v>0</v>
      </c>
      <c r="F271" s="26">
        <v>0</v>
      </c>
      <c r="G271" s="26">
        <v>0</v>
      </c>
      <c r="H271" s="26">
        <v>0</v>
      </c>
      <c r="I271" s="26">
        <v>0</v>
      </c>
      <c r="J271" s="26">
        <v>0</v>
      </c>
      <c r="K271" s="26">
        <v>0</v>
      </c>
      <c r="L271" s="26">
        <v>0</v>
      </c>
      <c r="M271" s="26">
        <v>0</v>
      </c>
      <c r="N271" s="26">
        <v>0</v>
      </c>
      <c r="O271" s="26">
        <v>0</v>
      </c>
      <c r="P271" s="26">
        <v>0</v>
      </c>
      <c r="Q271" s="26">
        <v>0</v>
      </c>
      <c r="R271" s="26">
        <v>0</v>
      </c>
      <c r="S271" s="26">
        <v>0</v>
      </c>
      <c r="T271" s="26">
        <v>0</v>
      </c>
      <c r="U271" s="26">
        <v>0</v>
      </c>
      <c r="V271" s="26">
        <v>0</v>
      </c>
      <c r="W271" s="26">
        <v>0</v>
      </c>
      <c r="X271" s="26">
        <v>0</v>
      </c>
      <c r="Y271" s="26">
        <v>0</v>
      </c>
      <c r="Z271" s="26">
        <v>0</v>
      </c>
      <c r="AA271" s="26">
        <v>0</v>
      </c>
      <c r="AB271" s="26">
        <v>0</v>
      </c>
      <c r="AC271" s="26">
        <v>0</v>
      </c>
      <c r="AD271" s="26">
        <v>0</v>
      </c>
      <c r="AE271" s="26">
        <v>0</v>
      </c>
      <c r="AF271" s="26">
        <v>0</v>
      </c>
      <c r="AG271" s="26">
        <v>0</v>
      </c>
      <c r="AH271" s="26">
        <v>0</v>
      </c>
      <c r="AI271" s="26">
        <v>0</v>
      </c>
      <c r="AJ271" s="26">
        <v>0</v>
      </c>
      <c r="AK271" s="26">
        <v>0</v>
      </c>
      <c r="AL271" s="26">
        <v>0</v>
      </c>
      <c r="AM271" s="26">
        <v>0</v>
      </c>
      <c r="AN271" s="26">
        <v>0</v>
      </c>
      <c r="AO271" s="26">
        <v>0</v>
      </c>
      <c r="AP271" s="26">
        <v>0</v>
      </c>
      <c r="AQ271" s="26">
        <v>0</v>
      </c>
      <c r="AR271" s="26">
        <v>0</v>
      </c>
      <c r="AS271" s="26">
        <v>0</v>
      </c>
      <c r="AT271" s="26">
        <v>0</v>
      </c>
      <c r="AU271" s="26">
        <v>0</v>
      </c>
      <c r="AV271" s="26">
        <v>0</v>
      </c>
      <c r="AW271" s="26">
        <v>0</v>
      </c>
      <c r="AX271" s="26">
        <v>0</v>
      </c>
      <c r="AY271" s="26">
        <v>1</v>
      </c>
      <c r="AZ271" s="26">
        <v>1</v>
      </c>
      <c r="BA271" s="26">
        <v>0</v>
      </c>
      <c r="BB271" s="26">
        <v>0</v>
      </c>
      <c r="BC271" s="26">
        <v>0</v>
      </c>
      <c r="BD271" s="26">
        <v>0</v>
      </c>
      <c r="BE271" s="26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 t="s">
        <v>445</v>
      </c>
    </row>
    <row r="272" spans="1:63" x14ac:dyDescent="0.25">
      <c r="A272" s="26" t="s">
        <v>308</v>
      </c>
      <c r="B272" s="26" t="s">
        <v>37</v>
      </c>
      <c r="C272" s="26">
        <v>34.013199999999998</v>
      </c>
      <c r="D272" s="26">
        <v>-85.147900000000007</v>
      </c>
      <c r="E272" s="26">
        <v>0</v>
      </c>
      <c r="F272" s="26">
        <v>0</v>
      </c>
      <c r="G272" s="26">
        <v>0</v>
      </c>
      <c r="H272" s="26">
        <v>0</v>
      </c>
      <c r="I272" s="26">
        <v>0</v>
      </c>
      <c r="J272" s="26">
        <v>0</v>
      </c>
      <c r="K272" s="26">
        <v>0</v>
      </c>
      <c r="L272" s="26">
        <v>0</v>
      </c>
      <c r="M272" s="26">
        <v>0</v>
      </c>
      <c r="N272" s="26">
        <v>0</v>
      </c>
      <c r="O272" s="26">
        <v>0</v>
      </c>
      <c r="P272" s="26">
        <v>0</v>
      </c>
      <c r="Q272" s="26">
        <v>0</v>
      </c>
      <c r="R272" s="26">
        <v>0</v>
      </c>
      <c r="S272" s="26">
        <v>0</v>
      </c>
      <c r="T272" s="26">
        <v>0</v>
      </c>
      <c r="U272" s="26">
        <v>0</v>
      </c>
      <c r="V272" s="26">
        <v>0</v>
      </c>
      <c r="W272" s="26">
        <v>0</v>
      </c>
      <c r="X272" s="26">
        <v>0</v>
      </c>
      <c r="Y272" s="26">
        <v>0</v>
      </c>
      <c r="Z272" s="26">
        <v>0</v>
      </c>
      <c r="AA272" s="26">
        <v>0</v>
      </c>
      <c r="AB272" s="26">
        <v>0</v>
      </c>
      <c r="AC272" s="26">
        <v>0</v>
      </c>
      <c r="AD272" s="26">
        <v>0</v>
      </c>
      <c r="AE272" s="26">
        <v>0</v>
      </c>
      <c r="AF272" s="26">
        <v>0</v>
      </c>
      <c r="AG272" s="26">
        <v>0</v>
      </c>
      <c r="AH272" s="26">
        <v>0</v>
      </c>
      <c r="AI272" s="26">
        <v>0</v>
      </c>
      <c r="AJ272" s="26">
        <v>0</v>
      </c>
      <c r="AK272" s="26">
        <v>0</v>
      </c>
      <c r="AL272" s="26">
        <v>0</v>
      </c>
      <c r="AM272" s="26">
        <v>0</v>
      </c>
      <c r="AN272" s="26">
        <v>0</v>
      </c>
      <c r="AO272" s="26">
        <v>0</v>
      </c>
      <c r="AP272" s="26">
        <v>0</v>
      </c>
      <c r="AQ272" s="26">
        <v>0</v>
      </c>
      <c r="AR272" s="26">
        <v>0</v>
      </c>
      <c r="AS272" s="26">
        <v>0</v>
      </c>
      <c r="AT272" s="26">
        <v>0</v>
      </c>
      <c r="AU272" s="26">
        <v>0</v>
      </c>
      <c r="AV272" s="26">
        <v>0</v>
      </c>
      <c r="AW272" s="26">
        <v>1</v>
      </c>
      <c r="AX272" s="26">
        <v>1</v>
      </c>
      <c r="AY272" s="26">
        <v>1</v>
      </c>
      <c r="AZ272" s="26">
        <v>1</v>
      </c>
      <c r="BA272" s="26">
        <v>0</v>
      </c>
      <c r="BB272" s="26">
        <v>0</v>
      </c>
      <c r="BC272" s="26">
        <v>0</v>
      </c>
      <c r="BD272" s="26">
        <v>0</v>
      </c>
      <c r="BE272" s="26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 t="s">
        <v>445</v>
      </c>
    </row>
    <row r="273" spans="1:63" x14ac:dyDescent="0.25">
      <c r="A273" s="26" t="s">
        <v>309</v>
      </c>
      <c r="B273" s="26" t="s">
        <v>37</v>
      </c>
      <c r="C273" s="26">
        <v>33.953299999999999</v>
      </c>
      <c r="D273" s="26">
        <v>-117.3961</v>
      </c>
      <c r="E273" s="26">
        <v>0</v>
      </c>
      <c r="F273" s="26">
        <v>0</v>
      </c>
      <c r="G273" s="26">
        <v>0</v>
      </c>
      <c r="H273" s="26">
        <v>0</v>
      </c>
      <c r="I273" s="26">
        <v>0</v>
      </c>
      <c r="J273" s="26">
        <v>0</v>
      </c>
      <c r="K273" s="26">
        <v>0</v>
      </c>
      <c r="L273" s="26">
        <v>0</v>
      </c>
      <c r="M273" s="26">
        <v>0</v>
      </c>
      <c r="N273" s="26">
        <v>0</v>
      </c>
      <c r="O273" s="26">
        <v>0</v>
      </c>
      <c r="P273" s="26">
        <v>0</v>
      </c>
      <c r="Q273" s="26">
        <v>0</v>
      </c>
      <c r="R273" s="26">
        <v>0</v>
      </c>
      <c r="S273" s="26">
        <v>0</v>
      </c>
      <c r="T273" s="26">
        <v>0</v>
      </c>
      <c r="U273" s="26">
        <v>0</v>
      </c>
      <c r="V273" s="26">
        <v>0</v>
      </c>
      <c r="W273" s="26">
        <v>0</v>
      </c>
      <c r="X273" s="26">
        <v>0</v>
      </c>
      <c r="Y273" s="26">
        <v>0</v>
      </c>
      <c r="Z273" s="26">
        <v>0</v>
      </c>
      <c r="AA273" s="26">
        <v>0</v>
      </c>
      <c r="AB273" s="26">
        <v>0</v>
      </c>
      <c r="AC273" s="26">
        <v>0</v>
      </c>
      <c r="AD273" s="26">
        <v>0</v>
      </c>
      <c r="AE273" s="26">
        <v>0</v>
      </c>
      <c r="AF273" s="26">
        <v>0</v>
      </c>
      <c r="AG273" s="26">
        <v>0</v>
      </c>
      <c r="AH273" s="26">
        <v>0</v>
      </c>
      <c r="AI273" s="26">
        <v>0</v>
      </c>
      <c r="AJ273" s="26">
        <v>0</v>
      </c>
      <c r="AK273" s="26">
        <v>0</v>
      </c>
      <c r="AL273" s="26">
        <v>0</v>
      </c>
      <c r="AM273" s="26">
        <v>0</v>
      </c>
      <c r="AN273" s="26">
        <v>0</v>
      </c>
      <c r="AO273" s="26">
        <v>0</v>
      </c>
      <c r="AP273" s="26">
        <v>0</v>
      </c>
      <c r="AQ273" s="26">
        <v>0</v>
      </c>
      <c r="AR273" s="26">
        <v>0</v>
      </c>
      <c r="AS273" s="26">
        <v>0</v>
      </c>
      <c r="AT273" s="26">
        <v>0</v>
      </c>
      <c r="AU273" s="26">
        <v>0</v>
      </c>
      <c r="AV273" s="26">
        <v>0</v>
      </c>
      <c r="AW273" s="26">
        <v>0</v>
      </c>
      <c r="AX273" s="26">
        <v>0</v>
      </c>
      <c r="AY273" s="26">
        <v>1</v>
      </c>
      <c r="AZ273" s="26">
        <v>1</v>
      </c>
      <c r="BA273" s="26">
        <v>0</v>
      </c>
      <c r="BB273" s="26">
        <v>0</v>
      </c>
      <c r="BC273" s="26">
        <v>0</v>
      </c>
      <c r="BD273" s="26">
        <v>0</v>
      </c>
      <c r="BE273" s="26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 t="s">
        <v>445</v>
      </c>
    </row>
    <row r="274" spans="1:63" x14ac:dyDescent="0.25">
      <c r="A274" s="26" t="s">
        <v>310</v>
      </c>
      <c r="B274" s="26" t="s">
        <v>37</v>
      </c>
      <c r="C274" s="26">
        <v>35.126899999999999</v>
      </c>
      <c r="D274" s="26">
        <v>-89.925299999999993</v>
      </c>
      <c r="E274" s="26">
        <v>0</v>
      </c>
      <c r="F274" s="26">
        <v>0</v>
      </c>
      <c r="G274" s="26">
        <v>0</v>
      </c>
      <c r="H274" s="26">
        <v>0</v>
      </c>
      <c r="I274" s="26">
        <v>0</v>
      </c>
      <c r="J274" s="26">
        <v>0</v>
      </c>
      <c r="K274" s="26">
        <v>0</v>
      </c>
      <c r="L274" s="26">
        <v>0</v>
      </c>
      <c r="M274" s="26">
        <v>0</v>
      </c>
      <c r="N274" s="26">
        <v>0</v>
      </c>
      <c r="O274" s="26">
        <v>0</v>
      </c>
      <c r="P274" s="26">
        <v>0</v>
      </c>
      <c r="Q274" s="26">
        <v>0</v>
      </c>
      <c r="R274" s="26">
        <v>0</v>
      </c>
      <c r="S274" s="26">
        <v>0</v>
      </c>
      <c r="T274" s="26">
        <v>0</v>
      </c>
      <c r="U274" s="26">
        <v>0</v>
      </c>
      <c r="V274" s="26">
        <v>0</v>
      </c>
      <c r="W274" s="26">
        <v>0</v>
      </c>
      <c r="X274" s="26">
        <v>0</v>
      </c>
      <c r="Y274" s="26">
        <v>0</v>
      </c>
      <c r="Z274" s="26">
        <v>0</v>
      </c>
      <c r="AA274" s="26">
        <v>0</v>
      </c>
      <c r="AB274" s="26">
        <v>0</v>
      </c>
      <c r="AC274" s="26">
        <v>0</v>
      </c>
      <c r="AD274" s="26">
        <v>0</v>
      </c>
      <c r="AE274" s="26">
        <v>0</v>
      </c>
      <c r="AF274" s="26">
        <v>0</v>
      </c>
      <c r="AG274" s="26">
        <v>0</v>
      </c>
      <c r="AH274" s="26">
        <v>0</v>
      </c>
      <c r="AI274" s="26">
        <v>0</v>
      </c>
      <c r="AJ274" s="26">
        <v>0</v>
      </c>
      <c r="AK274" s="26">
        <v>0</v>
      </c>
      <c r="AL274" s="26">
        <v>0</v>
      </c>
      <c r="AM274" s="26">
        <v>0</v>
      </c>
      <c r="AN274" s="26">
        <v>0</v>
      </c>
      <c r="AO274" s="26">
        <v>0</v>
      </c>
      <c r="AP274" s="26">
        <v>0</v>
      </c>
      <c r="AQ274" s="26">
        <v>0</v>
      </c>
      <c r="AR274" s="26">
        <v>0</v>
      </c>
      <c r="AS274" s="26">
        <v>0</v>
      </c>
      <c r="AT274" s="26">
        <v>0</v>
      </c>
      <c r="AU274" s="26">
        <v>0</v>
      </c>
      <c r="AV274" s="26">
        <v>0</v>
      </c>
      <c r="AW274" s="26">
        <v>0</v>
      </c>
      <c r="AX274" s="26">
        <v>0</v>
      </c>
      <c r="AY274" s="26">
        <v>1</v>
      </c>
      <c r="AZ274" s="26">
        <v>1</v>
      </c>
      <c r="BA274" s="26">
        <v>0</v>
      </c>
      <c r="BB274" s="26">
        <v>0</v>
      </c>
      <c r="BC274" s="26">
        <v>0</v>
      </c>
      <c r="BD274" s="26">
        <v>0</v>
      </c>
      <c r="BE274" s="26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 t="s">
        <v>445</v>
      </c>
    </row>
    <row r="275" spans="1:63" x14ac:dyDescent="0.25">
      <c r="A275" s="26" t="s">
        <v>311</v>
      </c>
      <c r="B275" s="26" t="s">
        <v>37</v>
      </c>
      <c r="C275" s="26">
        <v>38.610300000000002</v>
      </c>
      <c r="D275" s="26">
        <v>-90.412499999999994</v>
      </c>
      <c r="E275" s="26">
        <v>0</v>
      </c>
      <c r="F275" s="26">
        <v>0</v>
      </c>
      <c r="G275" s="26">
        <v>0</v>
      </c>
      <c r="H275" s="26">
        <v>0</v>
      </c>
      <c r="I275" s="26">
        <v>0</v>
      </c>
      <c r="J275" s="26">
        <v>0</v>
      </c>
      <c r="K275" s="26">
        <v>0</v>
      </c>
      <c r="L275" s="26">
        <v>0</v>
      </c>
      <c r="M275" s="26">
        <v>0</v>
      </c>
      <c r="N275" s="26">
        <v>0</v>
      </c>
      <c r="O275" s="26">
        <v>0</v>
      </c>
      <c r="P275" s="26">
        <v>0</v>
      </c>
      <c r="Q275" s="26">
        <v>0</v>
      </c>
      <c r="R275" s="26">
        <v>0</v>
      </c>
      <c r="S275" s="26">
        <v>0</v>
      </c>
      <c r="T275" s="26">
        <v>0</v>
      </c>
      <c r="U275" s="26">
        <v>0</v>
      </c>
      <c r="V275" s="26">
        <v>0</v>
      </c>
      <c r="W275" s="26">
        <v>0</v>
      </c>
      <c r="X275" s="26">
        <v>0</v>
      </c>
      <c r="Y275" s="26">
        <v>0</v>
      </c>
      <c r="Z275" s="26">
        <v>0</v>
      </c>
      <c r="AA275" s="26">
        <v>0</v>
      </c>
      <c r="AB275" s="26">
        <v>0</v>
      </c>
      <c r="AC275" s="26">
        <v>0</v>
      </c>
      <c r="AD275" s="26">
        <v>0</v>
      </c>
      <c r="AE275" s="26">
        <v>0</v>
      </c>
      <c r="AF275" s="26">
        <v>0</v>
      </c>
      <c r="AG275" s="26">
        <v>0</v>
      </c>
      <c r="AH275" s="26">
        <v>0</v>
      </c>
      <c r="AI275" s="26">
        <v>0</v>
      </c>
      <c r="AJ275" s="26">
        <v>0</v>
      </c>
      <c r="AK275" s="26">
        <v>0</v>
      </c>
      <c r="AL275" s="26">
        <v>0</v>
      </c>
      <c r="AM275" s="26">
        <v>0</v>
      </c>
      <c r="AN275" s="26">
        <v>0</v>
      </c>
      <c r="AO275" s="26">
        <v>0</v>
      </c>
      <c r="AP275" s="26">
        <v>0</v>
      </c>
      <c r="AQ275" s="26">
        <v>0</v>
      </c>
      <c r="AR275" s="26">
        <v>0</v>
      </c>
      <c r="AS275" s="26">
        <v>0</v>
      </c>
      <c r="AT275" s="26">
        <v>0</v>
      </c>
      <c r="AU275" s="26">
        <v>0</v>
      </c>
      <c r="AV275" s="26">
        <v>0</v>
      </c>
      <c r="AW275" s="26">
        <v>0</v>
      </c>
      <c r="AX275" s="26">
        <v>0</v>
      </c>
      <c r="AY275" s="26">
        <v>1</v>
      </c>
      <c r="AZ275" s="26">
        <v>1</v>
      </c>
      <c r="BA275" s="26">
        <v>0</v>
      </c>
      <c r="BB275" s="26">
        <v>0</v>
      </c>
      <c r="BC275" s="26">
        <v>0</v>
      </c>
      <c r="BD275" s="26">
        <v>0</v>
      </c>
      <c r="BE275" s="26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 t="s">
        <v>445</v>
      </c>
    </row>
    <row r="276" spans="1:63" x14ac:dyDescent="0.25">
      <c r="A276" s="26" t="s">
        <v>312</v>
      </c>
      <c r="B276" s="26" t="s">
        <v>37</v>
      </c>
      <c r="C276" s="26">
        <v>40.984900000000003</v>
      </c>
      <c r="D276" s="26">
        <v>-72.615099999999998</v>
      </c>
      <c r="E276" s="26">
        <v>0</v>
      </c>
      <c r="F276" s="26">
        <v>0</v>
      </c>
      <c r="G276" s="26">
        <v>0</v>
      </c>
      <c r="H276" s="26">
        <v>0</v>
      </c>
      <c r="I276" s="26">
        <v>0</v>
      </c>
      <c r="J276" s="26">
        <v>0</v>
      </c>
      <c r="K276" s="26">
        <v>0</v>
      </c>
      <c r="L276" s="26">
        <v>0</v>
      </c>
      <c r="M276" s="26">
        <v>0</v>
      </c>
      <c r="N276" s="26">
        <v>0</v>
      </c>
      <c r="O276" s="26">
        <v>0</v>
      </c>
      <c r="P276" s="26">
        <v>0</v>
      </c>
      <c r="Q276" s="26">
        <v>0</v>
      </c>
      <c r="R276" s="26">
        <v>0</v>
      </c>
      <c r="S276" s="26">
        <v>0</v>
      </c>
      <c r="T276" s="26">
        <v>0</v>
      </c>
      <c r="U276" s="26">
        <v>0</v>
      </c>
      <c r="V276" s="26">
        <v>0</v>
      </c>
      <c r="W276" s="26">
        <v>0</v>
      </c>
      <c r="X276" s="26">
        <v>0</v>
      </c>
      <c r="Y276" s="26">
        <v>0</v>
      </c>
      <c r="Z276" s="26">
        <v>0</v>
      </c>
      <c r="AA276" s="26">
        <v>0</v>
      </c>
      <c r="AB276" s="26">
        <v>0</v>
      </c>
      <c r="AC276" s="26">
        <v>0</v>
      </c>
      <c r="AD276" s="26">
        <v>0</v>
      </c>
      <c r="AE276" s="26">
        <v>0</v>
      </c>
      <c r="AF276" s="26">
        <v>0</v>
      </c>
      <c r="AG276" s="26">
        <v>0</v>
      </c>
      <c r="AH276" s="26">
        <v>0</v>
      </c>
      <c r="AI276" s="26">
        <v>0</v>
      </c>
      <c r="AJ276" s="26">
        <v>0</v>
      </c>
      <c r="AK276" s="26">
        <v>0</v>
      </c>
      <c r="AL276" s="26">
        <v>0</v>
      </c>
      <c r="AM276" s="26">
        <v>0</v>
      </c>
      <c r="AN276" s="26">
        <v>0</v>
      </c>
      <c r="AO276" s="26">
        <v>0</v>
      </c>
      <c r="AP276" s="26">
        <v>0</v>
      </c>
      <c r="AQ276" s="26">
        <v>0</v>
      </c>
      <c r="AR276" s="26">
        <v>0</v>
      </c>
      <c r="AS276" s="26">
        <v>0</v>
      </c>
      <c r="AT276" s="26">
        <v>0</v>
      </c>
      <c r="AU276" s="26">
        <v>0</v>
      </c>
      <c r="AV276" s="26">
        <v>0</v>
      </c>
      <c r="AW276" s="26">
        <v>0</v>
      </c>
      <c r="AX276" s="26">
        <v>0</v>
      </c>
      <c r="AY276" s="26">
        <v>1</v>
      </c>
      <c r="AZ276" s="26">
        <v>1</v>
      </c>
      <c r="BA276" s="26">
        <v>0</v>
      </c>
      <c r="BB276" s="26">
        <v>0</v>
      </c>
      <c r="BC276" s="26">
        <v>0</v>
      </c>
      <c r="BD276" s="26">
        <v>0</v>
      </c>
      <c r="BE276" s="2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 t="s">
        <v>445</v>
      </c>
    </row>
    <row r="277" spans="1:63" x14ac:dyDescent="0.25">
      <c r="A277" s="26" t="s">
        <v>313</v>
      </c>
      <c r="B277" s="26" t="s">
        <v>37</v>
      </c>
      <c r="C277" s="26">
        <v>41.858600000000003</v>
      </c>
      <c r="D277" s="26">
        <v>-74.311800000000005</v>
      </c>
      <c r="E277" s="26">
        <v>0</v>
      </c>
      <c r="F277" s="26">
        <v>0</v>
      </c>
      <c r="G277" s="26">
        <v>0</v>
      </c>
      <c r="H277" s="26">
        <v>0</v>
      </c>
      <c r="I277" s="26">
        <v>0</v>
      </c>
      <c r="J277" s="26">
        <v>0</v>
      </c>
      <c r="K277" s="26">
        <v>0</v>
      </c>
      <c r="L277" s="26">
        <v>0</v>
      </c>
      <c r="M277" s="26">
        <v>0</v>
      </c>
      <c r="N277" s="26">
        <v>0</v>
      </c>
      <c r="O277" s="26">
        <v>0</v>
      </c>
      <c r="P277" s="26">
        <v>0</v>
      </c>
      <c r="Q277" s="26">
        <v>0</v>
      </c>
      <c r="R277" s="26">
        <v>0</v>
      </c>
      <c r="S277" s="26">
        <v>0</v>
      </c>
      <c r="T277" s="26">
        <v>0</v>
      </c>
      <c r="U277" s="26">
        <v>0</v>
      </c>
      <c r="V277" s="26">
        <v>0</v>
      </c>
      <c r="W277" s="26">
        <v>0</v>
      </c>
      <c r="X277" s="26">
        <v>0</v>
      </c>
      <c r="Y277" s="26">
        <v>0</v>
      </c>
      <c r="Z277" s="26">
        <v>0</v>
      </c>
      <c r="AA277" s="26">
        <v>0</v>
      </c>
      <c r="AB277" s="26">
        <v>0</v>
      </c>
      <c r="AC277" s="26">
        <v>0</v>
      </c>
      <c r="AD277" s="26">
        <v>0</v>
      </c>
      <c r="AE277" s="26">
        <v>0</v>
      </c>
      <c r="AF277" s="26">
        <v>0</v>
      </c>
      <c r="AG277" s="26">
        <v>0</v>
      </c>
      <c r="AH277" s="26">
        <v>0</v>
      </c>
      <c r="AI277" s="26">
        <v>0</v>
      </c>
      <c r="AJ277" s="26">
        <v>0</v>
      </c>
      <c r="AK277" s="26">
        <v>0</v>
      </c>
      <c r="AL277" s="26">
        <v>0</v>
      </c>
      <c r="AM277" s="26">
        <v>0</v>
      </c>
      <c r="AN277" s="26">
        <v>0</v>
      </c>
      <c r="AO277" s="26">
        <v>0</v>
      </c>
      <c r="AP277" s="26">
        <v>0</v>
      </c>
      <c r="AQ277" s="26">
        <v>0</v>
      </c>
      <c r="AR277" s="26">
        <v>0</v>
      </c>
      <c r="AS277" s="26">
        <v>0</v>
      </c>
      <c r="AT277" s="26">
        <v>0</v>
      </c>
      <c r="AU277" s="26">
        <v>0</v>
      </c>
      <c r="AV277" s="26">
        <v>0</v>
      </c>
      <c r="AW277" s="26">
        <v>0</v>
      </c>
      <c r="AX277" s="26">
        <v>0</v>
      </c>
      <c r="AY277" s="26">
        <v>1</v>
      </c>
      <c r="AZ277" s="26">
        <v>1</v>
      </c>
      <c r="BA277" s="26">
        <v>0</v>
      </c>
      <c r="BB277" s="26">
        <v>0</v>
      </c>
      <c r="BC277" s="26">
        <v>0</v>
      </c>
      <c r="BD277" s="26">
        <v>0</v>
      </c>
      <c r="BE277" s="26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 t="s">
        <v>445</v>
      </c>
    </row>
    <row r="278" spans="1:63" x14ac:dyDescent="0.25">
      <c r="A278" s="26" t="s">
        <v>314</v>
      </c>
      <c r="B278" s="26" t="s">
        <v>37</v>
      </c>
      <c r="C278" s="26">
        <v>29.027999999999999</v>
      </c>
      <c r="D278" s="26">
        <v>-81.075500000000005</v>
      </c>
      <c r="E278" s="26">
        <v>0</v>
      </c>
      <c r="F278" s="26">
        <v>0</v>
      </c>
      <c r="G278" s="26">
        <v>0</v>
      </c>
      <c r="H278" s="26">
        <v>0</v>
      </c>
      <c r="I278" s="26">
        <v>0</v>
      </c>
      <c r="J278" s="26">
        <v>0</v>
      </c>
      <c r="K278" s="26">
        <v>0</v>
      </c>
      <c r="L278" s="26">
        <v>0</v>
      </c>
      <c r="M278" s="26">
        <v>0</v>
      </c>
      <c r="N278" s="26">
        <v>0</v>
      </c>
      <c r="O278" s="26">
        <v>0</v>
      </c>
      <c r="P278" s="26">
        <v>0</v>
      </c>
      <c r="Q278" s="26">
        <v>0</v>
      </c>
      <c r="R278" s="26">
        <v>0</v>
      </c>
      <c r="S278" s="26">
        <v>0</v>
      </c>
      <c r="T278" s="26">
        <v>0</v>
      </c>
      <c r="U278" s="26">
        <v>0</v>
      </c>
      <c r="V278" s="26">
        <v>0</v>
      </c>
      <c r="W278" s="26">
        <v>0</v>
      </c>
      <c r="X278" s="26">
        <v>0</v>
      </c>
      <c r="Y278" s="26">
        <v>0</v>
      </c>
      <c r="Z278" s="26">
        <v>0</v>
      </c>
      <c r="AA278" s="26">
        <v>0</v>
      </c>
      <c r="AB278" s="26">
        <v>0</v>
      </c>
      <c r="AC278" s="26">
        <v>0</v>
      </c>
      <c r="AD278" s="26">
        <v>0</v>
      </c>
      <c r="AE278" s="26">
        <v>0</v>
      </c>
      <c r="AF278" s="26">
        <v>0</v>
      </c>
      <c r="AG278" s="26">
        <v>0</v>
      </c>
      <c r="AH278" s="26">
        <v>0</v>
      </c>
      <c r="AI278" s="26">
        <v>0</v>
      </c>
      <c r="AJ278" s="26">
        <v>0</v>
      </c>
      <c r="AK278" s="26">
        <v>0</v>
      </c>
      <c r="AL278" s="26">
        <v>0</v>
      </c>
      <c r="AM278" s="26">
        <v>0</v>
      </c>
      <c r="AN278" s="26">
        <v>0</v>
      </c>
      <c r="AO278" s="26">
        <v>0</v>
      </c>
      <c r="AP278" s="26">
        <v>0</v>
      </c>
      <c r="AQ278" s="26">
        <v>0</v>
      </c>
      <c r="AR278" s="26">
        <v>0</v>
      </c>
      <c r="AS278" s="26">
        <v>0</v>
      </c>
      <c r="AT278" s="26">
        <v>0</v>
      </c>
      <c r="AU278" s="26">
        <v>0</v>
      </c>
      <c r="AV278" s="26">
        <v>0</v>
      </c>
      <c r="AW278" s="26">
        <v>0</v>
      </c>
      <c r="AX278" s="26">
        <v>0</v>
      </c>
      <c r="AY278" s="26">
        <v>1</v>
      </c>
      <c r="AZ278" s="26">
        <v>1</v>
      </c>
      <c r="BA278" s="26">
        <v>0</v>
      </c>
      <c r="BB278" s="26">
        <v>0</v>
      </c>
      <c r="BC278" s="26">
        <v>0</v>
      </c>
      <c r="BD278" s="26">
        <v>0</v>
      </c>
      <c r="BE278" s="26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 t="s">
        <v>445</v>
      </c>
    </row>
    <row r="279" spans="1:63" x14ac:dyDescent="0.25">
      <c r="A279" s="26" t="s">
        <v>315</v>
      </c>
      <c r="B279" s="26" t="s">
        <v>37</v>
      </c>
      <c r="C279" s="26">
        <v>38.908499999999997</v>
      </c>
      <c r="D279" s="26">
        <v>-77.240499999999997</v>
      </c>
      <c r="E279" s="26">
        <v>0</v>
      </c>
      <c r="F279" s="26">
        <v>0</v>
      </c>
      <c r="G279" s="26">
        <v>0</v>
      </c>
      <c r="H279" s="26">
        <v>0</v>
      </c>
      <c r="I279" s="26">
        <v>0</v>
      </c>
      <c r="J279" s="26">
        <v>0</v>
      </c>
      <c r="K279" s="26">
        <v>0</v>
      </c>
      <c r="L279" s="26">
        <v>0</v>
      </c>
      <c r="M279" s="26">
        <v>0</v>
      </c>
      <c r="N279" s="26">
        <v>0</v>
      </c>
      <c r="O279" s="26">
        <v>0</v>
      </c>
      <c r="P279" s="26">
        <v>0</v>
      </c>
      <c r="Q279" s="26">
        <v>0</v>
      </c>
      <c r="R279" s="26">
        <v>0</v>
      </c>
      <c r="S279" s="26">
        <v>0</v>
      </c>
      <c r="T279" s="26">
        <v>0</v>
      </c>
      <c r="U279" s="26">
        <v>0</v>
      </c>
      <c r="V279" s="26">
        <v>0</v>
      </c>
      <c r="W279" s="26">
        <v>0</v>
      </c>
      <c r="X279" s="26">
        <v>0</v>
      </c>
      <c r="Y279" s="26">
        <v>0</v>
      </c>
      <c r="Z279" s="26">
        <v>0</v>
      </c>
      <c r="AA279" s="26">
        <v>0</v>
      </c>
      <c r="AB279" s="26">
        <v>0</v>
      </c>
      <c r="AC279" s="26">
        <v>0</v>
      </c>
      <c r="AD279" s="26">
        <v>0</v>
      </c>
      <c r="AE279" s="26">
        <v>0</v>
      </c>
      <c r="AF279" s="26">
        <v>0</v>
      </c>
      <c r="AG279" s="26">
        <v>0</v>
      </c>
      <c r="AH279" s="26">
        <v>0</v>
      </c>
      <c r="AI279" s="26">
        <v>0</v>
      </c>
      <c r="AJ279" s="26">
        <v>0</v>
      </c>
      <c r="AK279" s="26">
        <v>0</v>
      </c>
      <c r="AL279" s="26">
        <v>0</v>
      </c>
      <c r="AM279" s="26">
        <v>0</v>
      </c>
      <c r="AN279" s="26">
        <v>0</v>
      </c>
      <c r="AO279" s="26">
        <v>0</v>
      </c>
      <c r="AP279" s="26">
        <v>0</v>
      </c>
      <c r="AQ279" s="26">
        <v>0</v>
      </c>
      <c r="AR279" s="26">
        <v>0</v>
      </c>
      <c r="AS279" s="26">
        <v>0</v>
      </c>
      <c r="AT279" s="26">
        <v>0</v>
      </c>
      <c r="AU279" s="26">
        <v>0</v>
      </c>
      <c r="AV279" s="26">
        <v>0</v>
      </c>
      <c r="AW279" s="26">
        <v>0</v>
      </c>
      <c r="AX279" s="26">
        <v>0</v>
      </c>
      <c r="AY279" s="26">
        <v>2</v>
      </c>
      <c r="AZ279" s="26">
        <v>2</v>
      </c>
      <c r="BA279" s="26">
        <v>0</v>
      </c>
      <c r="BB279" s="26">
        <v>0</v>
      </c>
      <c r="BC279" s="26">
        <v>0</v>
      </c>
      <c r="BD279" s="26">
        <v>0</v>
      </c>
      <c r="BE279" s="26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 t="s">
        <v>445</v>
      </c>
    </row>
    <row r="280" spans="1:63" x14ac:dyDescent="0.25">
      <c r="A280" s="26" t="s">
        <v>316</v>
      </c>
      <c r="B280" s="26" t="s">
        <v>37</v>
      </c>
      <c r="C280" s="26">
        <v>42.993099999999998</v>
      </c>
      <c r="D280" s="26">
        <v>-71.049800000000005</v>
      </c>
      <c r="E280" s="26">
        <v>0</v>
      </c>
      <c r="F280" s="26">
        <v>0</v>
      </c>
      <c r="G280" s="26">
        <v>0</v>
      </c>
      <c r="H280" s="26">
        <v>0</v>
      </c>
      <c r="I280" s="26">
        <v>0</v>
      </c>
      <c r="J280" s="26">
        <v>0</v>
      </c>
      <c r="K280" s="26">
        <v>0</v>
      </c>
      <c r="L280" s="26">
        <v>0</v>
      </c>
      <c r="M280" s="26">
        <v>0</v>
      </c>
      <c r="N280" s="26">
        <v>0</v>
      </c>
      <c r="O280" s="26">
        <v>0</v>
      </c>
      <c r="P280" s="26">
        <v>0</v>
      </c>
      <c r="Q280" s="26">
        <v>0</v>
      </c>
      <c r="R280" s="26">
        <v>0</v>
      </c>
      <c r="S280" s="26">
        <v>0</v>
      </c>
      <c r="T280" s="26">
        <v>0</v>
      </c>
      <c r="U280" s="26">
        <v>0</v>
      </c>
      <c r="V280" s="26">
        <v>0</v>
      </c>
      <c r="W280" s="26">
        <v>0</v>
      </c>
      <c r="X280" s="26">
        <v>0</v>
      </c>
      <c r="Y280" s="26">
        <v>0</v>
      </c>
      <c r="Z280" s="26">
        <v>0</v>
      </c>
      <c r="AA280" s="26">
        <v>0</v>
      </c>
      <c r="AB280" s="26">
        <v>0</v>
      </c>
      <c r="AC280" s="26">
        <v>0</v>
      </c>
      <c r="AD280" s="26">
        <v>0</v>
      </c>
      <c r="AE280" s="26">
        <v>0</v>
      </c>
      <c r="AF280" s="26">
        <v>0</v>
      </c>
      <c r="AG280" s="26">
        <v>0</v>
      </c>
      <c r="AH280" s="26">
        <v>0</v>
      </c>
      <c r="AI280" s="26">
        <v>0</v>
      </c>
      <c r="AJ280" s="26">
        <v>0</v>
      </c>
      <c r="AK280" s="26">
        <v>0</v>
      </c>
      <c r="AL280" s="26">
        <v>0</v>
      </c>
      <c r="AM280" s="26">
        <v>0</v>
      </c>
      <c r="AN280" s="26">
        <v>0</v>
      </c>
      <c r="AO280" s="26">
        <v>0</v>
      </c>
      <c r="AP280" s="26">
        <v>0</v>
      </c>
      <c r="AQ280" s="26">
        <v>0</v>
      </c>
      <c r="AR280" s="26">
        <v>0</v>
      </c>
      <c r="AS280" s="26">
        <v>0</v>
      </c>
      <c r="AT280" s="26">
        <v>0</v>
      </c>
      <c r="AU280" s="26">
        <v>0</v>
      </c>
      <c r="AV280" s="26">
        <v>0</v>
      </c>
      <c r="AW280" s="26">
        <v>0</v>
      </c>
      <c r="AX280" s="26">
        <v>0</v>
      </c>
      <c r="AY280" s="26">
        <v>1</v>
      </c>
      <c r="AZ280" s="26">
        <v>1</v>
      </c>
      <c r="BA280" s="26">
        <v>0</v>
      </c>
      <c r="BB280" s="26">
        <v>0</v>
      </c>
      <c r="BC280" s="26">
        <v>0</v>
      </c>
      <c r="BD280" s="26">
        <v>0</v>
      </c>
      <c r="BE280" s="26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 t="s">
        <v>445</v>
      </c>
    </row>
    <row r="281" spans="1:63" x14ac:dyDescent="0.25">
      <c r="A281" s="26" t="s">
        <v>147</v>
      </c>
      <c r="B281" s="26" t="s">
        <v>317</v>
      </c>
      <c r="C281" s="26" t="s">
        <v>37</v>
      </c>
      <c r="D281" s="26">
        <v>38.907200000000003</v>
      </c>
      <c r="E281" s="26">
        <v>-77.036900000000003</v>
      </c>
      <c r="F281" s="26">
        <v>0</v>
      </c>
      <c r="G281" s="26">
        <v>0</v>
      </c>
      <c r="H281" s="26">
        <v>0</v>
      </c>
      <c r="I281" s="26">
        <v>0</v>
      </c>
      <c r="J281" s="26">
        <v>0</v>
      </c>
      <c r="K281" s="26">
        <v>0</v>
      </c>
      <c r="L281" s="26">
        <v>0</v>
      </c>
      <c r="M281" s="26">
        <v>0</v>
      </c>
      <c r="N281" s="26">
        <v>0</v>
      </c>
      <c r="O281" s="26">
        <v>0</v>
      </c>
      <c r="P281" s="26">
        <v>0</v>
      </c>
      <c r="Q281" s="26">
        <v>0</v>
      </c>
      <c r="R281" s="26">
        <v>0</v>
      </c>
      <c r="S281" s="26">
        <v>0</v>
      </c>
      <c r="T281" s="26">
        <v>0</v>
      </c>
      <c r="U281" s="26">
        <v>0</v>
      </c>
      <c r="V281" s="26">
        <v>0</v>
      </c>
      <c r="W281" s="26">
        <v>0</v>
      </c>
      <c r="X281" s="26">
        <v>0</v>
      </c>
      <c r="Y281" s="26">
        <v>0</v>
      </c>
      <c r="Z281" s="26">
        <v>0</v>
      </c>
      <c r="AA281" s="26">
        <v>0</v>
      </c>
      <c r="AB281" s="26">
        <v>0</v>
      </c>
      <c r="AC281" s="26">
        <v>0</v>
      </c>
      <c r="AD281" s="26">
        <v>0</v>
      </c>
      <c r="AE281" s="26">
        <v>0</v>
      </c>
      <c r="AF281" s="26">
        <v>0</v>
      </c>
      <c r="AG281" s="26">
        <v>0</v>
      </c>
      <c r="AH281" s="26">
        <v>0</v>
      </c>
      <c r="AI281" s="26">
        <v>0</v>
      </c>
      <c r="AJ281" s="26">
        <v>0</v>
      </c>
      <c r="AK281" s="26">
        <v>0</v>
      </c>
      <c r="AL281" s="26">
        <v>0</v>
      </c>
      <c r="AM281" s="26">
        <v>0</v>
      </c>
      <c r="AN281" s="26">
        <v>0</v>
      </c>
      <c r="AO281" s="26">
        <v>0</v>
      </c>
      <c r="AP281" s="26">
        <v>0</v>
      </c>
      <c r="AQ281" s="26">
        <v>0</v>
      </c>
      <c r="AR281" s="26">
        <v>0</v>
      </c>
      <c r="AS281" s="26">
        <v>0</v>
      </c>
      <c r="AT281" s="26">
        <v>0</v>
      </c>
      <c r="AU281" s="26">
        <v>0</v>
      </c>
      <c r="AV281" s="26">
        <v>0</v>
      </c>
      <c r="AW281" s="26">
        <v>0</v>
      </c>
      <c r="AX281" s="26">
        <v>0</v>
      </c>
      <c r="AY281" s="26">
        <v>0</v>
      </c>
      <c r="AZ281" s="26">
        <v>2</v>
      </c>
      <c r="BA281" s="26">
        <v>2</v>
      </c>
      <c r="BB281" s="26">
        <v>0</v>
      </c>
      <c r="BC281" s="26">
        <v>0</v>
      </c>
      <c r="BD281" s="26">
        <v>0</v>
      </c>
      <c r="BE281" s="26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</row>
    <row r="282" spans="1:63" x14ac:dyDescent="0.25">
      <c r="A282" s="26" t="s">
        <v>318</v>
      </c>
      <c r="B282" s="26" t="s">
        <v>37</v>
      </c>
      <c r="C282" s="26">
        <v>40.228999999999999</v>
      </c>
      <c r="D282" s="26">
        <v>-75.387900000000002</v>
      </c>
      <c r="E282" s="26">
        <v>0</v>
      </c>
      <c r="F282" s="26">
        <v>0</v>
      </c>
      <c r="G282" s="26">
        <v>0</v>
      </c>
      <c r="H282" s="26">
        <v>0</v>
      </c>
      <c r="I282" s="26">
        <v>0</v>
      </c>
      <c r="J282" s="26">
        <v>0</v>
      </c>
      <c r="K282" s="26">
        <v>0</v>
      </c>
      <c r="L282" s="26">
        <v>0</v>
      </c>
      <c r="M282" s="26">
        <v>0</v>
      </c>
      <c r="N282" s="26">
        <v>0</v>
      </c>
      <c r="O282" s="26">
        <v>0</v>
      </c>
      <c r="P282" s="26">
        <v>0</v>
      </c>
      <c r="Q282" s="26">
        <v>0</v>
      </c>
      <c r="R282" s="26">
        <v>0</v>
      </c>
      <c r="S282" s="26">
        <v>0</v>
      </c>
      <c r="T282" s="26">
        <v>0</v>
      </c>
      <c r="U282" s="26">
        <v>0</v>
      </c>
      <c r="V282" s="26">
        <v>0</v>
      </c>
      <c r="W282" s="26">
        <v>0</v>
      </c>
      <c r="X282" s="26">
        <v>0</v>
      </c>
      <c r="Y282" s="26">
        <v>0</v>
      </c>
      <c r="Z282" s="26">
        <v>0</v>
      </c>
      <c r="AA282" s="26">
        <v>0</v>
      </c>
      <c r="AB282" s="26">
        <v>0</v>
      </c>
      <c r="AC282" s="26">
        <v>0</v>
      </c>
      <c r="AD282" s="26">
        <v>0</v>
      </c>
      <c r="AE282" s="26">
        <v>0</v>
      </c>
      <c r="AF282" s="26">
        <v>0</v>
      </c>
      <c r="AG282" s="26">
        <v>0</v>
      </c>
      <c r="AH282" s="26">
        <v>0</v>
      </c>
      <c r="AI282" s="26">
        <v>0</v>
      </c>
      <c r="AJ282" s="26">
        <v>0</v>
      </c>
      <c r="AK282" s="26">
        <v>0</v>
      </c>
      <c r="AL282" s="26">
        <v>0</v>
      </c>
      <c r="AM282" s="26">
        <v>0</v>
      </c>
      <c r="AN282" s="26">
        <v>0</v>
      </c>
      <c r="AO282" s="26">
        <v>0</v>
      </c>
      <c r="AP282" s="26">
        <v>0</v>
      </c>
      <c r="AQ282" s="26">
        <v>0</v>
      </c>
      <c r="AR282" s="26">
        <v>0</v>
      </c>
      <c r="AS282" s="26">
        <v>0</v>
      </c>
      <c r="AT282" s="26">
        <v>0</v>
      </c>
      <c r="AU282" s="26">
        <v>0</v>
      </c>
      <c r="AV282" s="26">
        <v>0</v>
      </c>
      <c r="AW282" s="26">
        <v>0</v>
      </c>
      <c r="AX282" s="26">
        <v>0</v>
      </c>
      <c r="AY282" s="26">
        <v>4</v>
      </c>
      <c r="AZ282" s="26">
        <v>5</v>
      </c>
      <c r="BA282" s="26">
        <v>0</v>
      </c>
      <c r="BB282" s="26">
        <v>0</v>
      </c>
      <c r="BC282" s="26">
        <v>0</v>
      </c>
      <c r="BD282" s="26">
        <v>0</v>
      </c>
      <c r="BE282" s="26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 t="s">
        <v>445</v>
      </c>
    </row>
    <row r="283" spans="1:63" x14ac:dyDescent="0.25">
      <c r="A283" s="26" t="s">
        <v>319</v>
      </c>
      <c r="B283" s="26" t="s">
        <v>37</v>
      </c>
      <c r="C283" s="26">
        <v>37.601700000000001</v>
      </c>
      <c r="D283" s="26">
        <v>-121.7195</v>
      </c>
      <c r="E283" s="26">
        <v>0</v>
      </c>
      <c r="F283" s="26">
        <v>0</v>
      </c>
      <c r="G283" s="26">
        <v>0</v>
      </c>
      <c r="H283" s="26">
        <v>0</v>
      </c>
      <c r="I283" s="26">
        <v>0</v>
      </c>
      <c r="J283" s="26">
        <v>0</v>
      </c>
      <c r="K283" s="26">
        <v>0</v>
      </c>
      <c r="L283" s="26">
        <v>0</v>
      </c>
      <c r="M283" s="26">
        <v>0</v>
      </c>
      <c r="N283" s="26">
        <v>0</v>
      </c>
      <c r="O283" s="26">
        <v>0</v>
      </c>
      <c r="P283" s="26">
        <v>0</v>
      </c>
      <c r="Q283" s="26">
        <v>0</v>
      </c>
      <c r="R283" s="26">
        <v>0</v>
      </c>
      <c r="S283" s="26">
        <v>0</v>
      </c>
      <c r="T283" s="26">
        <v>0</v>
      </c>
      <c r="U283" s="26">
        <v>0</v>
      </c>
      <c r="V283" s="26">
        <v>0</v>
      </c>
      <c r="W283" s="26">
        <v>0</v>
      </c>
      <c r="X283" s="26">
        <v>0</v>
      </c>
      <c r="Y283" s="26">
        <v>0</v>
      </c>
      <c r="Z283" s="26">
        <v>0</v>
      </c>
      <c r="AA283" s="26">
        <v>0</v>
      </c>
      <c r="AB283" s="26">
        <v>0</v>
      </c>
      <c r="AC283" s="26">
        <v>0</v>
      </c>
      <c r="AD283" s="26">
        <v>0</v>
      </c>
      <c r="AE283" s="26">
        <v>0</v>
      </c>
      <c r="AF283" s="26">
        <v>0</v>
      </c>
      <c r="AG283" s="26">
        <v>0</v>
      </c>
      <c r="AH283" s="26">
        <v>0</v>
      </c>
      <c r="AI283" s="26">
        <v>0</v>
      </c>
      <c r="AJ283" s="26">
        <v>0</v>
      </c>
      <c r="AK283" s="26">
        <v>0</v>
      </c>
      <c r="AL283" s="26">
        <v>0</v>
      </c>
      <c r="AM283" s="26">
        <v>0</v>
      </c>
      <c r="AN283" s="26">
        <v>0</v>
      </c>
      <c r="AO283" s="26">
        <v>0</v>
      </c>
      <c r="AP283" s="26">
        <v>0</v>
      </c>
      <c r="AQ283" s="26">
        <v>0</v>
      </c>
      <c r="AR283" s="26">
        <v>0</v>
      </c>
      <c r="AS283" s="26">
        <v>0</v>
      </c>
      <c r="AT283" s="26">
        <v>1</v>
      </c>
      <c r="AU283" s="26">
        <v>1</v>
      </c>
      <c r="AV283" s="26">
        <v>1</v>
      </c>
      <c r="AW283" s="26">
        <v>1</v>
      </c>
      <c r="AX283" s="26">
        <v>2</v>
      </c>
      <c r="AY283" s="26">
        <v>2</v>
      </c>
      <c r="AZ283" s="26">
        <v>2</v>
      </c>
      <c r="BA283" s="26">
        <v>0</v>
      </c>
      <c r="BB283" s="26">
        <v>0</v>
      </c>
      <c r="BC283" s="26">
        <v>0</v>
      </c>
      <c r="BD283" s="26">
        <v>0</v>
      </c>
      <c r="BE283" s="26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 t="s">
        <v>445</v>
      </c>
    </row>
    <row r="284" spans="1:63" x14ac:dyDescent="0.25">
      <c r="A284" s="26" t="s">
        <v>320</v>
      </c>
      <c r="B284" s="26" t="s">
        <v>37</v>
      </c>
      <c r="C284" s="26">
        <v>26.190100000000001</v>
      </c>
      <c r="D284" s="26">
        <v>-80.365899999999996</v>
      </c>
      <c r="E284" s="26">
        <v>0</v>
      </c>
      <c r="F284" s="26">
        <v>0</v>
      </c>
      <c r="G284" s="26">
        <v>0</v>
      </c>
      <c r="H284" s="26">
        <v>0</v>
      </c>
      <c r="I284" s="26">
        <v>0</v>
      </c>
      <c r="J284" s="26">
        <v>0</v>
      </c>
      <c r="K284" s="26">
        <v>0</v>
      </c>
      <c r="L284" s="26">
        <v>0</v>
      </c>
      <c r="M284" s="26">
        <v>0</v>
      </c>
      <c r="N284" s="26">
        <v>0</v>
      </c>
      <c r="O284" s="26">
        <v>0</v>
      </c>
      <c r="P284" s="26">
        <v>0</v>
      </c>
      <c r="Q284" s="26">
        <v>0</v>
      </c>
      <c r="R284" s="26">
        <v>0</v>
      </c>
      <c r="S284" s="26">
        <v>0</v>
      </c>
      <c r="T284" s="26">
        <v>0</v>
      </c>
      <c r="U284" s="26">
        <v>0</v>
      </c>
      <c r="V284" s="26">
        <v>0</v>
      </c>
      <c r="W284" s="26">
        <v>0</v>
      </c>
      <c r="X284" s="26">
        <v>0</v>
      </c>
      <c r="Y284" s="26">
        <v>0</v>
      </c>
      <c r="Z284" s="26">
        <v>0</v>
      </c>
      <c r="AA284" s="26">
        <v>0</v>
      </c>
      <c r="AB284" s="26">
        <v>0</v>
      </c>
      <c r="AC284" s="26">
        <v>0</v>
      </c>
      <c r="AD284" s="26">
        <v>0</v>
      </c>
      <c r="AE284" s="26">
        <v>0</v>
      </c>
      <c r="AF284" s="26">
        <v>0</v>
      </c>
      <c r="AG284" s="26">
        <v>0</v>
      </c>
      <c r="AH284" s="26">
        <v>0</v>
      </c>
      <c r="AI284" s="26">
        <v>0</v>
      </c>
      <c r="AJ284" s="26">
        <v>0</v>
      </c>
      <c r="AK284" s="26">
        <v>0</v>
      </c>
      <c r="AL284" s="26">
        <v>0</v>
      </c>
      <c r="AM284" s="26">
        <v>0</v>
      </c>
      <c r="AN284" s="26">
        <v>0</v>
      </c>
      <c r="AO284" s="26">
        <v>0</v>
      </c>
      <c r="AP284" s="26">
        <v>0</v>
      </c>
      <c r="AQ284" s="26">
        <v>0</v>
      </c>
      <c r="AR284" s="26">
        <v>0</v>
      </c>
      <c r="AS284" s="26">
        <v>0</v>
      </c>
      <c r="AT284" s="26">
        <v>0</v>
      </c>
      <c r="AU284" s="26">
        <v>0</v>
      </c>
      <c r="AV284" s="26">
        <v>0</v>
      </c>
      <c r="AW284" s="26">
        <v>0</v>
      </c>
      <c r="AX284" s="26">
        <v>2</v>
      </c>
      <c r="AY284" s="26">
        <v>2</v>
      </c>
      <c r="AZ284" s="26">
        <v>3</v>
      </c>
      <c r="BA284" s="26">
        <v>0</v>
      </c>
      <c r="BB284" s="26">
        <v>0</v>
      </c>
      <c r="BC284" s="26">
        <v>0</v>
      </c>
      <c r="BD284" s="26">
        <v>0</v>
      </c>
      <c r="BE284" s="26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 t="s">
        <v>445</v>
      </c>
    </row>
    <row r="285" spans="1:63" x14ac:dyDescent="0.25">
      <c r="A285" s="26" t="s">
        <v>321</v>
      </c>
      <c r="B285" s="26" t="s">
        <v>37</v>
      </c>
      <c r="C285" s="26">
        <v>26.663</v>
      </c>
      <c r="D285" s="26">
        <v>-81.953500000000005</v>
      </c>
      <c r="E285" s="26">
        <v>0</v>
      </c>
      <c r="F285" s="26">
        <v>0</v>
      </c>
      <c r="G285" s="26">
        <v>0</v>
      </c>
      <c r="H285" s="26">
        <v>0</v>
      </c>
      <c r="I285" s="26">
        <v>0</v>
      </c>
      <c r="J285" s="26">
        <v>0</v>
      </c>
      <c r="K285" s="26">
        <v>0</v>
      </c>
      <c r="L285" s="26">
        <v>0</v>
      </c>
      <c r="M285" s="26">
        <v>0</v>
      </c>
      <c r="N285" s="26">
        <v>0</v>
      </c>
      <c r="O285" s="26">
        <v>0</v>
      </c>
      <c r="P285" s="26">
        <v>0</v>
      </c>
      <c r="Q285" s="26">
        <v>0</v>
      </c>
      <c r="R285" s="26">
        <v>0</v>
      </c>
      <c r="S285" s="26">
        <v>0</v>
      </c>
      <c r="T285" s="26">
        <v>0</v>
      </c>
      <c r="U285" s="26">
        <v>0</v>
      </c>
      <c r="V285" s="26">
        <v>0</v>
      </c>
      <c r="W285" s="26">
        <v>0</v>
      </c>
      <c r="X285" s="26">
        <v>0</v>
      </c>
      <c r="Y285" s="26">
        <v>0</v>
      </c>
      <c r="Z285" s="26">
        <v>0</v>
      </c>
      <c r="AA285" s="26">
        <v>0</v>
      </c>
      <c r="AB285" s="26">
        <v>0</v>
      </c>
      <c r="AC285" s="26">
        <v>0</v>
      </c>
      <c r="AD285" s="26">
        <v>0</v>
      </c>
      <c r="AE285" s="26">
        <v>0</v>
      </c>
      <c r="AF285" s="26">
        <v>0</v>
      </c>
      <c r="AG285" s="26">
        <v>0</v>
      </c>
      <c r="AH285" s="26">
        <v>0</v>
      </c>
      <c r="AI285" s="26">
        <v>0</v>
      </c>
      <c r="AJ285" s="26">
        <v>0</v>
      </c>
      <c r="AK285" s="26">
        <v>0</v>
      </c>
      <c r="AL285" s="26">
        <v>0</v>
      </c>
      <c r="AM285" s="26">
        <v>0</v>
      </c>
      <c r="AN285" s="26">
        <v>0</v>
      </c>
      <c r="AO285" s="26">
        <v>0</v>
      </c>
      <c r="AP285" s="26">
        <v>0</v>
      </c>
      <c r="AQ285" s="26">
        <v>0</v>
      </c>
      <c r="AR285" s="26">
        <v>0</v>
      </c>
      <c r="AS285" s="26">
        <v>0</v>
      </c>
      <c r="AT285" s="26">
        <v>0</v>
      </c>
      <c r="AU285" s="26">
        <v>0</v>
      </c>
      <c r="AV285" s="26">
        <v>0</v>
      </c>
      <c r="AW285" s="26">
        <v>0</v>
      </c>
      <c r="AX285" s="26">
        <v>2</v>
      </c>
      <c r="AY285" s="26">
        <v>2</v>
      </c>
      <c r="AZ285" s="26">
        <v>2</v>
      </c>
      <c r="BA285" s="26">
        <v>0</v>
      </c>
      <c r="BB285" s="26">
        <v>0</v>
      </c>
      <c r="BC285" s="26">
        <v>0</v>
      </c>
      <c r="BD285" s="26">
        <v>0</v>
      </c>
      <c r="BE285" s="26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 t="s">
        <v>445</v>
      </c>
    </row>
    <row r="286" spans="1:63" x14ac:dyDescent="0.25">
      <c r="A286" s="26" t="s">
        <v>322</v>
      </c>
      <c r="B286" s="26" t="s">
        <v>37</v>
      </c>
      <c r="C286" s="26">
        <v>32.816200000000002</v>
      </c>
      <c r="D286" s="26">
        <v>-111.28449999999999</v>
      </c>
      <c r="E286" s="26">
        <v>0</v>
      </c>
      <c r="F286" s="26">
        <v>0</v>
      </c>
      <c r="G286" s="26">
        <v>0</v>
      </c>
      <c r="H286" s="26">
        <v>0</v>
      </c>
      <c r="I286" s="26">
        <v>0</v>
      </c>
      <c r="J286" s="26">
        <v>0</v>
      </c>
      <c r="K286" s="26">
        <v>0</v>
      </c>
      <c r="L286" s="26">
        <v>0</v>
      </c>
      <c r="M286" s="26">
        <v>0</v>
      </c>
      <c r="N286" s="26">
        <v>0</v>
      </c>
      <c r="O286" s="26">
        <v>0</v>
      </c>
      <c r="P286" s="26">
        <v>0</v>
      </c>
      <c r="Q286" s="26">
        <v>0</v>
      </c>
      <c r="R286" s="26">
        <v>0</v>
      </c>
      <c r="S286" s="26">
        <v>0</v>
      </c>
      <c r="T286" s="26">
        <v>0</v>
      </c>
      <c r="U286" s="26">
        <v>0</v>
      </c>
      <c r="V286" s="26">
        <v>0</v>
      </c>
      <c r="W286" s="26">
        <v>0</v>
      </c>
      <c r="X286" s="26">
        <v>0</v>
      </c>
      <c r="Y286" s="26">
        <v>0</v>
      </c>
      <c r="Z286" s="26">
        <v>0</v>
      </c>
      <c r="AA286" s="26">
        <v>0</v>
      </c>
      <c r="AB286" s="26">
        <v>0</v>
      </c>
      <c r="AC286" s="26">
        <v>0</v>
      </c>
      <c r="AD286" s="26">
        <v>0</v>
      </c>
      <c r="AE286" s="26">
        <v>0</v>
      </c>
      <c r="AF286" s="26">
        <v>0</v>
      </c>
      <c r="AG286" s="26">
        <v>0</v>
      </c>
      <c r="AH286" s="26">
        <v>0</v>
      </c>
      <c r="AI286" s="26">
        <v>0</v>
      </c>
      <c r="AJ286" s="26">
        <v>0</v>
      </c>
      <c r="AK286" s="26">
        <v>0</v>
      </c>
      <c r="AL286" s="26">
        <v>0</v>
      </c>
      <c r="AM286" s="26">
        <v>0</v>
      </c>
      <c r="AN286" s="26">
        <v>0</v>
      </c>
      <c r="AO286" s="26">
        <v>0</v>
      </c>
      <c r="AP286" s="26">
        <v>0</v>
      </c>
      <c r="AQ286" s="26">
        <v>0</v>
      </c>
      <c r="AR286" s="26">
        <v>0</v>
      </c>
      <c r="AS286" s="26">
        <v>0</v>
      </c>
      <c r="AT286" s="26">
        <v>0</v>
      </c>
      <c r="AU286" s="26">
        <v>0</v>
      </c>
      <c r="AV286" s="26">
        <v>0</v>
      </c>
      <c r="AW286" s="26">
        <v>0</v>
      </c>
      <c r="AX286" s="26">
        <v>2</v>
      </c>
      <c r="AY286" s="26">
        <v>2</v>
      </c>
      <c r="AZ286" s="26">
        <v>2</v>
      </c>
      <c r="BA286" s="26">
        <v>0</v>
      </c>
      <c r="BB286" s="26">
        <v>0</v>
      </c>
      <c r="BC286" s="26">
        <v>0</v>
      </c>
      <c r="BD286" s="26">
        <v>0</v>
      </c>
      <c r="BE286" s="2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 t="s">
        <v>445</v>
      </c>
    </row>
    <row r="287" spans="1:63" x14ac:dyDescent="0.25">
      <c r="A287" s="26" t="s">
        <v>323</v>
      </c>
      <c r="B287" s="26" t="s">
        <v>37</v>
      </c>
      <c r="C287" s="26">
        <v>41.148899999999998</v>
      </c>
      <c r="D287" s="26">
        <v>-73.983000000000004</v>
      </c>
      <c r="E287" s="26">
        <v>0</v>
      </c>
      <c r="F287" s="26">
        <v>0</v>
      </c>
      <c r="G287" s="26">
        <v>0</v>
      </c>
      <c r="H287" s="26">
        <v>0</v>
      </c>
      <c r="I287" s="26">
        <v>0</v>
      </c>
      <c r="J287" s="26">
        <v>0</v>
      </c>
      <c r="K287" s="26">
        <v>0</v>
      </c>
      <c r="L287" s="26">
        <v>0</v>
      </c>
      <c r="M287" s="26">
        <v>0</v>
      </c>
      <c r="N287" s="26">
        <v>0</v>
      </c>
      <c r="O287" s="26">
        <v>0</v>
      </c>
      <c r="P287" s="26">
        <v>0</v>
      </c>
      <c r="Q287" s="26">
        <v>0</v>
      </c>
      <c r="R287" s="26">
        <v>0</v>
      </c>
      <c r="S287" s="26">
        <v>0</v>
      </c>
      <c r="T287" s="26">
        <v>0</v>
      </c>
      <c r="U287" s="26">
        <v>0</v>
      </c>
      <c r="V287" s="26">
        <v>0</v>
      </c>
      <c r="W287" s="26">
        <v>0</v>
      </c>
      <c r="X287" s="26">
        <v>0</v>
      </c>
      <c r="Y287" s="26">
        <v>0</v>
      </c>
      <c r="Z287" s="26">
        <v>0</v>
      </c>
      <c r="AA287" s="26">
        <v>0</v>
      </c>
      <c r="AB287" s="26">
        <v>0</v>
      </c>
      <c r="AC287" s="26">
        <v>0</v>
      </c>
      <c r="AD287" s="26">
        <v>0</v>
      </c>
      <c r="AE287" s="26">
        <v>0</v>
      </c>
      <c r="AF287" s="26">
        <v>0</v>
      </c>
      <c r="AG287" s="26">
        <v>0</v>
      </c>
      <c r="AH287" s="26">
        <v>0</v>
      </c>
      <c r="AI287" s="26">
        <v>0</v>
      </c>
      <c r="AJ287" s="26">
        <v>0</v>
      </c>
      <c r="AK287" s="26">
        <v>0</v>
      </c>
      <c r="AL287" s="26">
        <v>0</v>
      </c>
      <c r="AM287" s="26">
        <v>0</v>
      </c>
      <c r="AN287" s="26">
        <v>0</v>
      </c>
      <c r="AO287" s="26">
        <v>0</v>
      </c>
      <c r="AP287" s="26">
        <v>0</v>
      </c>
      <c r="AQ287" s="26">
        <v>0</v>
      </c>
      <c r="AR287" s="26">
        <v>0</v>
      </c>
      <c r="AS287" s="26">
        <v>0</v>
      </c>
      <c r="AT287" s="26">
        <v>0</v>
      </c>
      <c r="AU287" s="26">
        <v>0</v>
      </c>
      <c r="AV287" s="26">
        <v>0</v>
      </c>
      <c r="AW287" s="26">
        <v>0</v>
      </c>
      <c r="AX287" s="26">
        <v>2</v>
      </c>
      <c r="AY287" s="26">
        <v>2</v>
      </c>
      <c r="AZ287" s="26">
        <v>4</v>
      </c>
      <c r="BA287" s="26">
        <v>0</v>
      </c>
      <c r="BB287" s="26">
        <v>0</v>
      </c>
      <c r="BC287" s="26">
        <v>0</v>
      </c>
      <c r="BD287" s="26">
        <v>0</v>
      </c>
      <c r="BE287" s="26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 t="s">
        <v>445</v>
      </c>
    </row>
    <row r="288" spans="1:63" x14ac:dyDescent="0.25">
      <c r="A288" s="26" t="s">
        <v>324</v>
      </c>
      <c r="B288" s="26" t="s">
        <v>37</v>
      </c>
      <c r="C288" s="26">
        <v>43.032400000000003</v>
      </c>
      <c r="D288" s="26">
        <v>-73.936000000000007</v>
      </c>
      <c r="E288" s="26">
        <v>0</v>
      </c>
      <c r="F288" s="26">
        <v>0</v>
      </c>
      <c r="G288" s="26">
        <v>0</v>
      </c>
      <c r="H288" s="26">
        <v>0</v>
      </c>
      <c r="I288" s="26">
        <v>0</v>
      </c>
      <c r="J288" s="26">
        <v>0</v>
      </c>
      <c r="K288" s="26">
        <v>0</v>
      </c>
      <c r="L288" s="26">
        <v>0</v>
      </c>
      <c r="M288" s="26">
        <v>0</v>
      </c>
      <c r="N288" s="26">
        <v>0</v>
      </c>
      <c r="O288" s="26">
        <v>0</v>
      </c>
      <c r="P288" s="26">
        <v>0</v>
      </c>
      <c r="Q288" s="26">
        <v>0</v>
      </c>
      <c r="R288" s="26">
        <v>0</v>
      </c>
      <c r="S288" s="26">
        <v>0</v>
      </c>
      <c r="T288" s="26">
        <v>0</v>
      </c>
      <c r="U288" s="26">
        <v>0</v>
      </c>
      <c r="V288" s="26">
        <v>0</v>
      </c>
      <c r="W288" s="26">
        <v>0</v>
      </c>
      <c r="X288" s="26">
        <v>0</v>
      </c>
      <c r="Y288" s="26">
        <v>0</v>
      </c>
      <c r="Z288" s="26">
        <v>0</v>
      </c>
      <c r="AA288" s="26">
        <v>0</v>
      </c>
      <c r="AB288" s="26">
        <v>0</v>
      </c>
      <c r="AC288" s="26">
        <v>0</v>
      </c>
      <c r="AD288" s="26">
        <v>0</v>
      </c>
      <c r="AE288" s="26">
        <v>0</v>
      </c>
      <c r="AF288" s="26">
        <v>0</v>
      </c>
      <c r="AG288" s="26">
        <v>0</v>
      </c>
      <c r="AH288" s="26">
        <v>0</v>
      </c>
      <c r="AI288" s="26">
        <v>0</v>
      </c>
      <c r="AJ288" s="26">
        <v>0</v>
      </c>
      <c r="AK288" s="26">
        <v>0</v>
      </c>
      <c r="AL288" s="26">
        <v>0</v>
      </c>
      <c r="AM288" s="26">
        <v>0</v>
      </c>
      <c r="AN288" s="26">
        <v>0</v>
      </c>
      <c r="AO288" s="26">
        <v>0</v>
      </c>
      <c r="AP288" s="26">
        <v>0</v>
      </c>
      <c r="AQ288" s="26">
        <v>0</v>
      </c>
      <c r="AR288" s="26">
        <v>0</v>
      </c>
      <c r="AS288" s="26">
        <v>0</v>
      </c>
      <c r="AT288" s="26">
        <v>0</v>
      </c>
      <c r="AU288" s="26">
        <v>0</v>
      </c>
      <c r="AV288" s="26">
        <v>0</v>
      </c>
      <c r="AW288" s="26">
        <v>0</v>
      </c>
      <c r="AX288" s="26">
        <v>2</v>
      </c>
      <c r="AY288" s="26">
        <v>2</v>
      </c>
      <c r="AZ288" s="26">
        <v>2</v>
      </c>
      <c r="BA288" s="26">
        <v>0</v>
      </c>
      <c r="BB288" s="26">
        <v>0</v>
      </c>
      <c r="BC288" s="26">
        <v>0</v>
      </c>
      <c r="BD288" s="26">
        <v>0</v>
      </c>
      <c r="BE288" s="26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 t="s">
        <v>445</v>
      </c>
    </row>
    <row r="289" spans="1:63" x14ac:dyDescent="0.25">
      <c r="A289" s="26" t="s">
        <v>325</v>
      </c>
      <c r="B289" s="26" t="s">
        <v>37</v>
      </c>
      <c r="C289" s="26">
        <v>32.795699999999997</v>
      </c>
      <c r="D289" s="26">
        <v>-79.784800000000004</v>
      </c>
      <c r="E289" s="26">
        <v>0</v>
      </c>
      <c r="F289" s="26">
        <v>0</v>
      </c>
      <c r="G289" s="26">
        <v>0</v>
      </c>
      <c r="H289" s="26">
        <v>0</v>
      </c>
      <c r="I289" s="26">
        <v>0</v>
      </c>
      <c r="J289" s="26">
        <v>0</v>
      </c>
      <c r="K289" s="26">
        <v>0</v>
      </c>
      <c r="L289" s="26">
        <v>0</v>
      </c>
      <c r="M289" s="26">
        <v>0</v>
      </c>
      <c r="N289" s="26">
        <v>0</v>
      </c>
      <c r="O289" s="26">
        <v>0</v>
      </c>
      <c r="P289" s="26">
        <v>0</v>
      </c>
      <c r="Q289" s="26">
        <v>0</v>
      </c>
      <c r="R289" s="26">
        <v>0</v>
      </c>
      <c r="S289" s="26">
        <v>0</v>
      </c>
      <c r="T289" s="26">
        <v>0</v>
      </c>
      <c r="U289" s="26">
        <v>0</v>
      </c>
      <c r="V289" s="26">
        <v>0</v>
      </c>
      <c r="W289" s="26">
        <v>0</v>
      </c>
      <c r="X289" s="26">
        <v>0</v>
      </c>
      <c r="Y289" s="26">
        <v>0</v>
      </c>
      <c r="Z289" s="26">
        <v>0</v>
      </c>
      <c r="AA289" s="26">
        <v>0</v>
      </c>
      <c r="AB289" s="26">
        <v>0</v>
      </c>
      <c r="AC289" s="26">
        <v>0</v>
      </c>
      <c r="AD289" s="26">
        <v>0</v>
      </c>
      <c r="AE289" s="26">
        <v>0</v>
      </c>
      <c r="AF289" s="26">
        <v>0</v>
      </c>
      <c r="AG289" s="26">
        <v>0</v>
      </c>
      <c r="AH289" s="26">
        <v>0</v>
      </c>
      <c r="AI289" s="26">
        <v>0</v>
      </c>
      <c r="AJ289" s="26">
        <v>0</v>
      </c>
      <c r="AK289" s="26">
        <v>0</v>
      </c>
      <c r="AL289" s="26">
        <v>0</v>
      </c>
      <c r="AM289" s="26">
        <v>0</v>
      </c>
      <c r="AN289" s="26">
        <v>0</v>
      </c>
      <c r="AO289" s="26">
        <v>0</v>
      </c>
      <c r="AP289" s="26">
        <v>0</v>
      </c>
      <c r="AQ289" s="26">
        <v>0</v>
      </c>
      <c r="AR289" s="26">
        <v>0</v>
      </c>
      <c r="AS289" s="26">
        <v>0</v>
      </c>
      <c r="AT289" s="26">
        <v>0</v>
      </c>
      <c r="AU289" s="26">
        <v>0</v>
      </c>
      <c r="AV289" s="26">
        <v>0</v>
      </c>
      <c r="AW289" s="26">
        <v>0</v>
      </c>
      <c r="AX289" s="26">
        <v>1</v>
      </c>
      <c r="AY289" s="26">
        <v>1</v>
      </c>
      <c r="AZ289" s="26">
        <v>1</v>
      </c>
      <c r="BA289" s="26">
        <v>0</v>
      </c>
      <c r="BB289" s="26">
        <v>0</v>
      </c>
      <c r="BC289" s="26">
        <v>0</v>
      </c>
      <c r="BD289" s="26">
        <v>0</v>
      </c>
      <c r="BE289" s="26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 t="s">
        <v>445</v>
      </c>
    </row>
    <row r="290" spans="1:63" x14ac:dyDescent="0.25">
      <c r="A290" s="26" t="s">
        <v>326</v>
      </c>
      <c r="B290" s="26" t="s">
        <v>37</v>
      </c>
      <c r="C290" s="26">
        <v>45.746600000000001</v>
      </c>
      <c r="D290" s="26">
        <v>-122.5194</v>
      </c>
      <c r="E290" s="26">
        <v>0</v>
      </c>
      <c r="F290" s="26">
        <v>0</v>
      </c>
      <c r="G290" s="26">
        <v>0</v>
      </c>
      <c r="H290" s="26">
        <v>0</v>
      </c>
      <c r="I290" s="26">
        <v>0</v>
      </c>
      <c r="J290" s="26">
        <v>0</v>
      </c>
      <c r="K290" s="26">
        <v>0</v>
      </c>
      <c r="L290" s="26">
        <v>0</v>
      </c>
      <c r="M290" s="26">
        <v>0</v>
      </c>
      <c r="N290" s="26">
        <v>0</v>
      </c>
      <c r="O290" s="26">
        <v>0</v>
      </c>
      <c r="P290" s="26">
        <v>0</v>
      </c>
      <c r="Q290" s="26">
        <v>0</v>
      </c>
      <c r="R290" s="26">
        <v>0</v>
      </c>
      <c r="S290" s="26">
        <v>0</v>
      </c>
      <c r="T290" s="26">
        <v>0</v>
      </c>
      <c r="U290" s="26">
        <v>0</v>
      </c>
      <c r="V290" s="26">
        <v>0</v>
      </c>
      <c r="W290" s="26">
        <v>0</v>
      </c>
      <c r="X290" s="26">
        <v>0</v>
      </c>
      <c r="Y290" s="26">
        <v>0</v>
      </c>
      <c r="Z290" s="26">
        <v>0</v>
      </c>
      <c r="AA290" s="26">
        <v>0</v>
      </c>
      <c r="AB290" s="26">
        <v>0</v>
      </c>
      <c r="AC290" s="26">
        <v>0</v>
      </c>
      <c r="AD290" s="26">
        <v>0</v>
      </c>
      <c r="AE290" s="26">
        <v>0</v>
      </c>
      <c r="AF290" s="26">
        <v>0</v>
      </c>
      <c r="AG290" s="26">
        <v>0</v>
      </c>
      <c r="AH290" s="26">
        <v>0</v>
      </c>
      <c r="AI290" s="26">
        <v>0</v>
      </c>
      <c r="AJ290" s="26">
        <v>0</v>
      </c>
      <c r="AK290" s="26">
        <v>0</v>
      </c>
      <c r="AL290" s="26">
        <v>0</v>
      </c>
      <c r="AM290" s="26">
        <v>0</v>
      </c>
      <c r="AN290" s="26">
        <v>0</v>
      </c>
      <c r="AO290" s="26">
        <v>0</v>
      </c>
      <c r="AP290" s="26">
        <v>0</v>
      </c>
      <c r="AQ290" s="26">
        <v>0</v>
      </c>
      <c r="AR290" s="26">
        <v>0</v>
      </c>
      <c r="AS290" s="26">
        <v>0</v>
      </c>
      <c r="AT290" s="26">
        <v>0</v>
      </c>
      <c r="AU290" s="26">
        <v>0</v>
      </c>
      <c r="AV290" s="26">
        <v>0</v>
      </c>
      <c r="AW290" s="26">
        <v>0</v>
      </c>
      <c r="AX290" s="26">
        <v>1</v>
      </c>
      <c r="AY290" s="26">
        <v>1</v>
      </c>
      <c r="AZ290" s="26">
        <v>1</v>
      </c>
      <c r="BA290" s="26">
        <v>0</v>
      </c>
      <c r="BB290" s="26">
        <v>0</v>
      </c>
      <c r="BC290" s="26">
        <v>0</v>
      </c>
      <c r="BD290" s="26">
        <v>0</v>
      </c>
      <c r="BE290" s="26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 t="s">
        <v>445</v>
      </c>
    </row>
    <row r="291" spans="1:63" x14ac:dyDescent="0.25">
      <c r="A291" s="26" t="s">
        <v>327</v>
      </c>
      <c r="B291" s="26" t="s">
        <v>37</v>
      </c>
      <c r="C291" s="26">
        <v>33.899900000000002</v>
      </c>
      <c r="D291" s="26">
        <v>-84.564099999999996</v>
      </c>
      <c r="E291" s="26">
        <v>0</v>
      </c>
      <c r="F291" s="26">
        <v>0</v>
      </c>
      <c r="G291" s="26">
        <v>0</v>
      </c>
      <c r="H291" s="26">
        <v>0</v>
      </c>
      <c r="I291" s="26">
        <v>0</v>
      </c>
      <c r="J291" s="26">
        <v>0</v>
      </c>
      <c r="K291" s="26">
        <v>0</v>
      </c>
      <c r="L291" s="26">
        <v>0</v>
      </c>
      <c r="M291" s="26">
        <v>0</v>
      </c>
      <c r="N291" s="26">
        <v>0</v>
      </c>
      <c r="O291" s="26">
        <v>0</v>
      </c>
      <c r="P291" s="26">
        <v>0</v>
      </c>
      <c r="Q291" s="26">
        <v>0</v>
      </c>
      <c r="R291" s="26">
        <v>0</v>
      </c>
      <c r="S291" s="26">
        <v>0</v>
      </c>
      <c r="T291" s="26">
        <v>0</v>
      </c>
      <c r="U291" s="26">
        <v>0</v>
      </c>
      <c r="V291" s="26">
        <v>0</v>
      </c>
      <c r="W291" s="26">
        <v>0</v>
      </c>
      <c r="X291" s="26">
        <v>0</v>
      </c>
      <c r="Y291" s="26">
        <v>0</v>
      </c>
      <c r="Z291" s="26">
        <v>0</v>
      </c>
      <c r="AA291" s="26">
        <v>0</v>
      </c>
      <c r="AB291" s="26">
        <v>0</v>
      </c>
      <c r="AC291" s="26">
        <v>0</v>
      </c>
      <c r="AD291" s="26">
        <v>0</v>
      </c>
      <c r="AE291" s="26">
        <v>0</v>
      </c>
      <c r="AF291" s="26">
        <v>0</v>
      </c>
      <c r="AG291" s="26">
        <v>0</v>
      </c>
      <c r="AH291" s="26">
        <v>0</v>
      </c>
      <c r="AI291" s="26">
        <v>0</v>
      </c>
      <c r="AJ291" s="26">
        <v>0</v>
      </c>
      <c r="AK291" s="26">
        <v>0</v>
      </c>
      <c r="AL291" s="26">
        <v>0</v>
      </c>
      <c r="AM291" s="26">
        <v>0</v>
      </c>
      <c r="AN291" s="26">
        <v>0</v>
      </c>
      <c r="AO291" s="26">
        <v>0</v>
      </c>
      <c r="AP291" s="26">
        <v>0</v>
      </c>
      <c r="AQ291" s="26">
        <v>0</v>
      </c>
      <c r="AR291" s="26">
        <v>0</v>
      </c>
      <c r="AS291" s="26">
        <v>0</v>
      </c>
      <c r="AT291" s="26">
        <v>0</v>
      </c>
      <c r="AU291" s="26">
        <v>0</v>
      </c>
      <c r="AV291" s="26">
        <v>0</v>
      </c>
      <c r="AW291" s="26">
        <v>0</v>
      </c>
      <c r="AX291" s="26">
        <v>1</v>
      </c>
      <c r="AY291" s="26">
        <v>1</v>
      </c>
      <c r="AZ291" s="26">
        <v>3</v>
      </c>
      <c r="BA291" s="26">
        <v>0</v>
      </c>
      <c r="BB291" s="26">
        <v>0</v>
      </c>
      <c r="BC291" s="26">
        <v>0</v>
      </c>
      <c r="BD291" s="26">
        <v>0</v>
      </c>
      <c r="BE291" s="26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 t="s">
        <v>445</v>
      </c>
    </row>
    <row r="292" spans="1:63" x14ac:dyDescent="0.25">
      <c r="A292" s="26" t="s">
        <v>328</v>
      </c>
      <c r="B292" s="26" t="s">
        <v>37</v>
      </c>
      <c r="C292" s="26">
        <v>40.962899999999998</v>
      </c>
      <c r="D292" s="26">
        <v>-112.09529999999999</v>
      </c>
      <c r="E292" s="26">
        <v>0</v>
      </c>
      <c r="F292" s="26">
        <v>0</v>
      </c>
      <c r="G292" s="26">
        <v>0</v>
      </c>
      <c r="H292" s="26">
        <v>0</v>
      </c>
      <c r="I292" s="26">
        <v>0</v>
      </c>
      <c r="J292" s="26">
        <v>0</v>
      </c>
      <c r="K292" s="26">
        <v>0</v>
      </c>
      <c r="L292" s="26">
        <v>0</v>
      </c>
      <c r="M292" s="26">
        <v>0</v>
      </c>
      <c r="N292" s="26">
        <v>0</v>
      </c>
      <c r="O292" s="26">
        <v>0</v>
      </c>
      <c r="P292" s="26">
        <v>0</v>
      </c>
      <c r="Q292" s="26">
        <v>0</v>
      </c>
      <c r="R292" s="26">
        <v>0</v>
      </c>
      <c r="S292" s="26">
        <v>0</v>
      </c>
      <c r="T292" s="26">
        <v>0</v>
      </c>
      <c r="U292" s="26">
        <v>0</v>
      </c>
      <c r="V292" s="26">
        <v>0</v>
      </c>
      <c r="W292" s="26">
        <v>0</v>
      </c>
      <c r="X292" s="26">
        <v>0</v>
      </c>
      <c r="Y292" s="26">
        <v>0</v>
      </c>
      <c r="Z292" s="26">
        <v>0</v>
      </c>
      <c r="AA292" s="26">
        <v>0</v>
      </c>
      <c r="AB292" s="26">
        <v>0</v>
      </c>
      <c r="AC292" s="26">
        <v>0</v>
      </c>
      <c r="AD292" s="26">
        <v>0</v>
      </c>
      <c r="AE292" s="26">
        <v>0</v>
      </c>
      <c r="AF292" s="26">
        <v>0</v>
      </c>
      <c r="AG292" s="26">
        <v>0</v>
      </c>
      <c r="AH292" s="26">
        <v>0</v>
      </c>
      <c r="AI292" s="26">
        <v>0</v>
      </c>
      <c r="AJ292" s="26">
        <v>0</v>
      </c>
      <c r="AK292" s="26">
        <v>0</v>
      </c>
      <c r="AL292" s="26">
        <v>0</v>
      </c>
      <c r="AM292" s="26">
        <v>0</v>
      </c>
      <c r="AN292" s="26">
        <v>0</v>
      </c>
      <c r="AO292" s="26">
        <v>0</v>
      </c>
      <c r="AP292" s="26">
        <v>0</v>
      </c>
      <c r="AQ292" s="26">
        <v>0</v>
      </c>
      <c r="AR292" s="26">
        <v>0</v>
      </c>
      <c r="AS292" s="26">
        <v>0</v>
      </c>
      <c r="AT292" s="26">
        <v>0</v>
      </c>
      <c r="AU292" s="26">
        <v>0</v>
      </c>
      <c r="AV292" s="26">
        <v>0</v>
      </c>
      <c r="AW292" s="26">
        <v>0</v>
      </c>
      <c r="AX292" s="26">
        <v>1</v>
      </c>
      <c r="AY292" s="26">
        <v>1</v>
      </c>
      <c r="AZ292" s="26">
        <v>1</v>
      </c>
      <c r="BA292" s="26">
        <v>0</v>
      </c>
      <c r="BB292" s="26">
        <v>0</v>
      </c>
      <c r="BC292" s="26">
        <v>0</v>
      </c>
      <c r="BD292" s="26">
        <v>0</v>
      </c>
      <c r="BE292" s="26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 t="s">
        <v>445</v>
      </c>
    </row>
    <row r="293" spans="1:63" x14ac:dyDescent="0.25">
      <c r="A293" s="26" t="s">
        <v>329</v>
      </c>
      <c r="B293" s="26" t="s">
        <v>37</v>
      </c>
      <c r="C293" s="26">
        <v>38.910800000000002</v>
      </c>
      <c r="D293" s="26">
        <v>-104.4723</v>
      </c>
      <c r="E293" s="26">
        <v>0</v>
      </c>
      <c r="F293" s="26">
        <v>0</v>
      </c>
      <c r="G293" s="26">
        <v>0</v>
      </c>
      <c r="H293" s="26">
        <v>0</v>
      </c>
      <c r="I293" s="26">
        <v>0</v>
      </c>
      <c r="J293" s="26">
        <v>0</v>
      </c>
      <c r="K293" s="26">
        <v>0</v>
      </c>
      <c r="L293" s="26">
        <v>0</v>
      </c>
      <c r="M293" s="26">
        <v>0</v>
      </c>
      <c r="N293" s="26">
        <v>0</v>
      </c>
      <c r="O293" s="26">
        <v>0</v>
      </c>
      <c r="P293" s="26">
        <v>0</v>
      </c>
      <c r="Q293" s="26">
        <v>0</v>
      </c>
      <c r="R293" s="26">
        <v>0</v>
      </c>
      <c r="S293" s="26">
        <v>0</v>
      </c>
      <c r="T293" s="26">
        <v>0</v>
      </c>
      <c r="U293" s="26">
        <v>0</v>
      </c>
      <c r="V293" s="26">
        <v>0</v>
      </c>
      <c r="W293" s="26">
        <v>0</v>
      </c>
      <c r="X293" s="26">
        <v>0</v>
      </c>
      <c r="Y293" s="26">
        <v>0</v>
      </c>
      <c r="Z293" s="26">
        <v>0</v>
      </c>
      <c r="AA293" s="26">
        <v>0</v>
      </c>
      <c r="AB293" s="26">
        <v>0</v>
      </c>
      <c r="AC293" s="26">
        <v>0</v>
      </c>
      <c r="AD293" s="26">
        <v>0</v>
      </c>
      <c r="AE293" s="26">
        <v>0</v>
      </c>
      <c r="AF293" s="26">
        <v>0</v>
      </c>
      <c r="AG293" s="26">
        <v>0</v>
      </c>
      <c r="AH293" s="26">
        <v>0</v>
      </c>
      <c r="AI293" s="26">
        <v>0</v>
      </c>
      <c r="AJ293" s="26">
        <v>0</v>
      </c>
      <c r="AK293" s="26">
        <v>0</v>
      </c>
      <c r="AL293" s="26">
        <v>0</v>
      </c>
      <c r="AM293" s="26">
        <v>0</v>
      </c>
      <c r="AN293" s="26">
        <v>0</v>
      </c>
      <c r="AO293" s="26">
        <v>0</v>
      </c>
      <c r="AP293" s="26">
        <v>0</v>
      </c>
      <c r="AQ293" s="26">
        <v>0</v>
      </c>
      <c r="AR293" s="26">
        <v>0</v>
      </c>
      <c r="AS293" s="26">
        <v>0</v>
      </c>
      <c r="AT293" s="26">
        <v>0</v>
      </c>
      <c r="AU293" s="26">
        <v>0</v>
      </c>
      <c r="AV293" s="26">
        <v>0</v>
      </c>
      <c r="AW293" s="26">
        <v>0</v>
      </c>
      <c r="AX293" s="26">
        <v>1</v>
      </c>
      <c r="AY293" s="26">
        <v>1</v>
      </c>
      <c r="AZ293" s="26">
        <v>1</v>
      </c>
      <c r="BA293" s="26">
        <v>0</v>
      </c>
      <c r="BB293" s="26">
        <v>0</v>
      </c>
      <c r="BC293" s="26">
        <v>0</v>
      </c>
      <c r="BD293" s="26">
        <v>0</v>
      </c>
      <c r="BE293" s="26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 t="s">
        <v>445</v>
      </c>
    </row>
    <row r="294" spans="1:63" x14ac:dyDescent="0.25">
      <c r="A294" s="26" t="s">
        <v>330</v>
      </c>
      <c r="B294" s="26" t="s">
        <v>37</v>
      </c>
      <c r="C294" s="26">
        <v>21.306999999999999</v>
      </c>
      <c r="D294" s="26">
        <v>-157.85839999999999</v>
      </c>
      <c r="E294" s="26">
        <v>0</v>
      </c>
      <c r="F294" s="26">
        <v>0</v>
      </c>
      <c r="G294" s="26">
        <v>0</v>
      </c>
      <c r="H294" s="26">
        <v>0</v>
      </c>
      <c r="I294" s="26">
        <v>0</v>
      </c>
      <c r="J294" s="26">
        <v>0</v>
      </c>
      <c r="K294" s="26">
        <v>0</v>
      </c>
      <c r="L294" s="26">
        <v>0</v>
      </c>
      <c r="M294" s="26">
        <v>0</v>
      </c>
      <c r="N294" s="26">
        <v>0</v>
      </c>
      <c r="O294" s="26">
        <v>0</v>
      </c>
      <c r="P294" s="26">
        <v>0</v>
      </c>
      <c r="Q294" s="26">
        <v>0</v>
      </c>
      <c r="R294" s="26">
        <v>0</v>
      </c>
      <c r="S294" s="26">
        <v>0</v>
      </c>
      <c r="T294" s="26">
        <v>0</v>
      </c>
      <c r="U294" s="26">
        <v>0</v>
      </c>
      <c r="V294" s="26">
        <v>0</v>
      </c>
      <c r="W294" s="26">
        <v>0</v>
      </c>
      <c r="X294" s="26">
        <v>0</v>
      </c>
      <c r="Y294" s="26">
        <v>0</v>
      </c>
      <c r="Z294" s="26">
        <v>0</v>
      </c>
      <c r="AA294" s="26">
        <v>0</v>
      </c>
      <c r="AB294" s="26">
        <v>0</v>
      </c>
      <c r="AC294" s="26">
        <v>0</v>
      </c>
      <c r="AD294" s="26">
        <v>0</v>
      </c>
      <c r="AE294" s="26">
        <v>0</v>
      </c>
      <c r="AF294" s="26">
        <v>0</v>
      </c>
      <c r="AG294" s="26">
        <v>0</v>
      </c>
      <c r="AH294" s="26">
        <v>0</v>
      </c>
      <c r="AI294" s="26">
        <v>0</v>
      </c>
      <c r="AJ294" s="26">
        <v>0</v>
      </c>
      <c r="AK294" s="26">
        <v>0</v>
      </c>
      <c r="AL294" s="26">
        <v>0</v>
      </c>
      <c r="AM294" s="26">
        <v>0</v>
      </c>
      <c r="AN294" s="26">
        <v>0</v>
      </c>
      <c r="AO294" s="26">
        <v>0</v>
      </c>
      <c r="AP294" s="26">
        <v>0</v>
      </c>
      <c r="AQ294" s="26">
        <v>0</v>
      </c>
      <c r="AR294" s="26">
        <v>0</v>
      </c>
      <c r="AS294" s="26">
        <v>0</v>
      </c>
      <c r="AT294" s="26">
        <v>0</v>
      </c>
      <c r="AU294" s="26">
        <v>0</v>
      </c>
      <c r="AV294" s="26">
        <v>0</v>
      </c>
      <c r="AW294" s="26">
        <v>0</v>
      </c>
      <c r="AX294" s="26">
        <v>1</v>
      </c>
      <c r="AY294" s="26">
        <v>1</v>
      </c>
      <c r="AZ294" s="26">
        <v>1</v>
      </c>
      <c r="BA294" s="26">
        <v>0</v>
      </c>
      <c r="BB294" s="26">
        <v>0</v>
      </c>
      <c r="BC294" s="26">
        <v>0</v>
      </c>
      <c r="BD294" s="26">
        <v>0</v>
      </c>
      <c r="BE294" s="26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 t="s">
        <v>445</v>
      </c>
    </row>
    <row r="295" spans="1:63" x14ac:dyDescent="0.25">
      <c r="A295" s="26" t="s">
        <v>331</v>
      </c>
      <c r="B295" s="26" t="s">
        <v>332</v>
      </c>
      <c r="C295" s="26" t="s">
        <v>37</v>
      </c>
      <c r="D295" s="26">
        <v>42.334499999999998</v>
      </c>
      <c r="E295" s="26">
        <v>-122.7647</v>
      </c>
      <c r="F295" s="26">
        <v>0</v>
      </c>
      <c r="G295" s="26">
        <v>0</v>
      </c>
      <c r="H295" s="26">
        <v>0</v>
      </c>
      <c r="I295" s="26">
        <v>0</v>
      </c>
      <c r="J295" s="26">
        <v>0</v>
      </c>
      <c r="K295" s="26">
        <v>0</v>
      </c>
      <c r="L295" s="26">
        <v>0</v>
      </c>
      <c r="M295" s="26">
        <v>0</v>
      </c>
      <c r="N295" s="26">
        <v>0</v>
      </c>
      <c r="O295" s="26">
        <v>0</v>
      </c>
      <c r="P295" s="26">
        <v>0</v>
      </c>
      <c r="Q295" s="26">
        <v>0</v>
      </c>
      <c r="R295" s="26">
        <v>0</v>
      </c>
      <c r="S295" s="26">
        <v>0</v>
      </c>
      <c r="T295" s="26">
        <v>0</v>
      </c>
      <c r="U295" s="26">
        <v>0</v>
      </c>
      <c r="V295" s="26">
        <v>0</v>
      </c>
      <c r="W295" s="26">
        <v>0</v>
      </c>
      <c r="X295" s="26">
        <v>0</v>
      </c>
      <c r="Y295" s="26">
        <v>0</v>
      </c>
      <c r="Z295" s="26">
        <v>0</v>
      </c>
      <c r="AA295" s="26">
        <v>0</v>
      </c>
      <c r="AB295" s="26">
        <v>0</v>
      </c>
      <c r="AC295" s="26">
        <v>0</v>
      </c>
      <c r="AD295" s="26">
        <v>0</v>
      </c>
      <c r="AE295" s="26">
        <v>0</v>
      </c>
      <c r="AF295" s="26">
        <v>0</v>
      </c>
      <c r="AG295" s="26">
        <v>0</v>
      </c>
      <c r="AH295" s="26">
        <v>0</v>
      </c>
      <c r="AI295" s="26">
        <v>0</v>
      </c>
      <c r="AJ295" s="26">
        <v>0</v>
      </c>
      <c r="AK295" s="26">
        <v>0</v>
      </c>
      <c r="AL295" s="26">
        <v>0</v>
      </c>
      <c r="AM295" s="26">
        <v>0</v>
      </c>
      <c r="AN295" s="26">
        <v>0</v>
      </c>
      <c r="AO295" s="26">
        <v>0</v>
      </c>
      <c r="AP295" s="26">
        <v>0</v>
      </c>
      <c r="AQ295" s="26">
        <v>0</v>
      </c>
      <c r="AR295" s="26">
        <v>0</v>
      </c>
      <c r="AS295" s="26">
        <v>0</v>
      </c>
      <c r="AT295" s="26">
        <v>0</v>
      </c>
      <c r="AU295" s="26">
        <v>0</v>
      </c>
      <c r="AV295" s="26">
        <v>0</v>
      </c>
      <c r="AW295" s="26">
        <v>0</v>
      </c>
      <c r="AX295" s="26">
        <v>0</v>
      </c>
      <c r="AY295" s="26">
        <v>1</v>
      </c>
      <c r="AZ295" s="26">
        <v>2</v>
      </c>
      <c r="BA295" s="26">
        <v>2</v>
      </c>
      <c r="BB295" s="26">
        <v>0</v>
      </c>
      <c r="BC295" s="26">
        <v>0</v>
      </c>
      <c r="BD295" s="26">
        <v>0</v>
      </c>
      <c r="BE295" s="26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</row>
    <row r="296" spans="1:63" x14ac:dyDescent="0.25">
      <c r="A296" s="26" t="s">
        <v>333</v>
      </c>
      <c r="B296" s="26" t="s">
        <v>37</v>
      </c>
      <c r="C296" s="26">
        <v>47.7425</v>
      </c>
      <c r="D296" s="26">
        <v>-123.304</v>
      </c>
      <c r="E296" s="26">
        <v>0</v>
      </c>
      <c r="F296" s="26">
        <v>0</v>
      </c>
      <c r="G296" s="26">
        <v>0</v>
      </c>
      <c r="H296" s="26">
        <v>0</v>
      </c>
      <c r="I296" s="26">
        <v>0</v>
      </c>
      <c r="J296" s="26">
        <v>0</v>
      </c>
      <c r="K296" s="26">
        <v>0</v>
      </c>
      <c r="L296" s="26">
        <v>0</v>
      </c>
      <c r="M296" s="26">
        <v>0</v>
      </c>
      <c r="N296" s="26">
        <v>0</v>
      </c>
      <c r="O296" s="26">
        <v>0</v>
      </c>
      <c r="P296" s="26">
        <v>0</v>
      </c>
      <c r="Q296" s="26">
        <v>0</v>
      </c>
      <c r="R296" s="26">
        <v>0</v>
      </c>
      <c r="S296" s="26">
        <v>0</v>
      </c>
      <c r="T296" s="26">
        <v>0</v>
      </c>
      <c r="U296" s="26">
        <v>0</v>
      </c>
      <c r="V296" s="26">
        <v>0</v>
      </c>
      <c r="W296" s="26">
        <v>0</v>
      </c>
      <c r="X296" s="26">
        <v>0</v>
      </c>
      <c r="Y296" s="26">
        <v>0</v>
      </c>
      <c r="Z296" s="26">
        <v>0</v>
      </c>
      <c r="AA296" s="26">
        <v>0</v>
      </c>
      <c r="AB296" s="26">
        <v>0</v>
      </c>
      <c r="AC296" s="26">
        <v>0</v>
      </c>
      <c r="AD296" s="26">
        <v>0</v>
      </c>
      <c r="AE296" s="26">
        <v>0</v>
      </c>
      <c r="AF296" s="26">
        <v>0</v>
      </c>
      <c r="AG296" s="26">
        <v>0</v>
      </c>
      <c r="AH296" s="26">
        <v>0</v>
      </c>
      <c r="AI296" s="26">
        <v>0</v>
      </c>
      <c r="AJ296" s="26">
        <v>0</v>
      </c>
      <c r="AK296" s="26">
        <v>0</v>
      </c>
      <c r="AL296" s="26">
        <v>0</v>
      </c>
      <c r="AM296" s="26">
        <v>0</v>
      </c>
      <c r="AN296" s="26">
        <v>0</v>
      </c>
      <c r="AO296" s="26">
        <v>0</v>
      </c>
      <c r="AP296" s="26">
        <v>0</v>
      </c>
      <c r="AQ296" s="26">
        <v>0</v>
      </c>
      <c r="AR296" s="26">
        <v>0</v>
      </c>
      <c r="AS296" s="26">
        <v>0</v>
      </c>
      <c r="AT296" s="26">
        <v>0</v>
      </c>
      <c r="AU296" s="26">
        <v>0</v>
      </c>
      <c r="AV296" s="26">
        <v>0</v>
      </c>
      <c r="AW296" s="26">
        <v>0</v>
      </c>
      <c r="AX296" s="26">
        <v>1</v>
      </c>
      <c r="AY296" s="26">
        <v>1</v>
      </c>
      <c r="AZ296" s="26">
        <v>1</v>
      </c>
      <c r="BA296" s="26">
        <v>0</v>
      </c>
      <c r="BB296" s="26">
        <v>0</v>
      </c>
      <c r="BC296" s="26">
        <v>0</v>
      </c>
      <c r="BD296" s="26">
        <v>0</v>
      </c>
      <c r="BE296" s="2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 t="s">
        <v>445</v>
      </c>
    </row>
    <row r="297" spans="1:63" x14ac:dyDescent="0.25">
      <c r="A297" s="26" t="s">
        <v>334</v>
      </c>
      <c r="B297" s="26" t="s">
        <v>37</v>
      </c>
      <c r="C297" s="26">
        <v>34.367199999999997</v>
      </c>
      <c r="D297" s="26">
        <v>-80.588300000000004</v>
      </c>
      <c r="E297" s="26">
        <v>0</v>
      </c>
      <c r="F297" s="26">
        <v>0</v>
      </c>
      <c r="G297" s="26">
        <v>0</v>
      </c>
      <c r="H297" s="26">
        <v>0</v>
      </c>
      <c r="I297" s="26">
        <v>0</v>
      </c>
      <c r="J297" s="26">
        <v>0</v>
      </c>
      <c r="K297" s="26">
        <v>0</v>
      </c>
      <c r="L297" s="26">
        <v>0</v>
      </c>
      <c r="M297" s="26">
        <v>0</v>
      </c>
      <c r="N297" s="26">
        <v>0</v>
      </c>
      <c r="O297" s="26">
        <v>0</v>
      </c>
      <c r="P297" s="26">
        <v>0</v>
      </c>
      <c r="Q297" s="26">
        <v>0</v>
      </c>
      <c r="R297" s="26">
        <v>0</v>
      </c>
      <c r="S297" s="26">
        <v>0</v>
      </c>
      <c r="T297" s="26">
        <v>0</v>
      </c>
      <c r="U297" s="26">
        <v>0</v>
      </c>
      <c r="V297" s="26">
        <v>0</v>
      </c>
      <c r="W297" s="26">
        <v>0</v>
      </c>
      <c r="X297" s="26">
        <v>0</v>
      </c>
      <c r="Y297" s="26">
        <v>0</v>
      </c>
      <c r="Z297" s="26">
        <v>0</v>
      </c>
      <c r="AA297" s="26">
        <v>0</v>
      </c>
      <c r="AB297" s="26">
        <v>0</v>
      </c>
      <c r="AC297" s="26">
        <v>0</v>
      </c>
      <c r="AD297" s="26">
        <v>0</v>
      </c>
      <c r="AE297" s="26">
        <v>0</v>
      </c>
      <c r="AF297" s="26">
        <v>0</v>
      </c>
      <c r="AG297" s="26">
        <v>0</v>
      </c>
      <c r="AH297" s="26">
        <v>0</v>
      </c>
      <c r="AI297" s="26">
        <v>0</v>
      </c>
      <c r="AJ297" s="26">
        <v>0</v>
      </c>
      <c r="AK297" s="26">
        <v>0</v>
      </c>
      <c r="AL297" s="26">
        <v>0</v>
      </c>
      <c r="AM297" s="26">
        <v>0</v>
      </c>
      <c r="AN297" s="26">
        <v>0</v>
      </c>
      <c r="AO297" s="26">
        <v>0</v>
      </c>
      <c r="AP297" s="26">
        <v>0</v>
      </c>
      <c r="AQ297" s="26">
        <v>0</v>
      </c>
      <c r="AR297" s="26">
        <v>0</v>
      </c>
      <c r="AS297" s="26">
        <v>0</v>
      </c>
      <c r="AT297" s="26">
        <v>0</v>
      </c>
      <c r="AU297" s="26">
        <v>0</v>
      </c>
      <c r="AV297" s="26">
        <v>0</v>
      </c>
      <c r="AW297" s="26">
        <v>0</v>
      </c>
      <c r="AX297" s="26">
        <v>1</v>
      </c>
      <c r="AY297" s="26">
        <v>1</v>
      </c>
      <c r="AZ297" s="26">
        <v>1</v>
      </c>
      <c r="BA297" s="26">
        <v>0</v>
      </c>
      <c r="BB297" s="26">
        <v>0</v>
      </c>
      <c r="BC297" s="26">
        <v>0</v>
      </c>
      <c r="BD297" s="26">
        <v>0</v>
      </c>
      <c r="BE297" s="26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 t="s">
        <v>445</v>
      </c>
    </row>
    <row r="298" spans="1:63" x14ac:dyDescent="0.25">
      <c r="A298" s="26" t="s">
        <v>335</v>
      </c>
      <c r="B298" s="26" t="s">
        <v>37</v>
      </c>
      <c r="C298" s="26">
        <v>42.695300000000003</v>
      </c>
      <c r="D298" s="26">
        <v>-121.6142</v>
      </c>
      <c r="E298" s="26">
        <v>0</v>
      </c>
      <c r="F298" s="26">
        <v>0</v>
      </c>
      <c r="G298" s="26">
        <v>0</v>
      </c>
      <c r="H298" s="26">
        <v>0</v>
      </c>
      <c r="I298" s="26">
        <v>0</v>
      </c>
      <c r="J298" s="26">
        <v>0</v>
      </c>
      <c r="K298" s="26">
        <v>0</v>
      </c>
      <c r="L298" s="26">
        <v>0</v>
      </c>
      <c r="M298" s="26">
        <v>0</v>
      </c>
      <c r="N298" s="26">
        <v>0</v>
      </c>
      <c r="O298" s="26">
        <v>0</v>
      </c>
      <c r="P298" s="26">
        <v>0</v>
      </c>
      <c r="Q298" s="26">
        <v>0</v>
      </c>
      <c r="R298" s="26">
        <v>0</v>
      </c>
      <c r="S298" s="26">
        <v>0</v>
      </c>
      <c r="T298" s="26">
        <v>0</v>
      </c>
      <c r="U298" s="26">
        <v>0</v>
      </c>
      <c r="V298" s="26">
        <v>0</v>
      </c>
      <c r="W298" s="26">
        <v>0</v>
      </c>
      <c r="X298" s="26">
        <v>0</v>
      </c>
      <c r="Y298" s="26">
        <v>0</v>
      </c>
      <c r="Z298" s="26">
        <v>0</v>
      </c>
      <c r="AA298" s="26">
        <v>0</v>
      </c>
      <c r="AB298" s="26">
        <v>0</v>
      </c>
      <c r="AC298" s="26">
        <v>0</v>
      </c>
      <c r="AD298" s="26">
        <v>0</v>
      </c>
      <c r="AE298" s="26">
        <v>0</v>
      </c>
      <c r="AF298" s="26">
        <v>0</v>
      </c>
      <c r="AG298" s="26">
        <v>0</v>
      </c>
      <c r="AH298" s="26">
        <v>0</v>
      </c>
      <c r="AI298" s="26">
        <v>0</v>
      </c>
      <c r="AJ298" s="26">
        <v>0</v>
      </c>
      <c r="AK298" s="26">
        <v>0</v>
      </c>
      <c r="AL298" s="26">
        <v>0</v>
      </c>
      <c r="AM298" s="26">
        <v>0</v>
      </c>
      <c r="AN298" s="26">
        <v>0</v>
      </c>
      <c r="AO298" s="26">
        <v>0</v>
      </c>
      <c r="AP298" s="26">
        <v>0</v>
      </c>
      <c r="AQ298" s="26">
        <v>0</v>
      </c>
      <c r="AR298" s="26">
        <v>0</v>
      </c>
      <c r="AS298" s="26">
        <v>0</v>
      </c>
      <c r="AT298" s="26">
        <v>0</v>
      </c>
      <c r="AU298" s="26">
        <v>0</v>
      </c>
      <c r="AV298" s="26">
        <v>0</v>
      </c>
      <c r="AW298" s="26">
        <v>0</v>
      </c>
      <c r="AX298" s="26">
        <v>1</v>
      </c>
      <c r="AY298" s="26">
        <v>1</v>
      </c>
      <c r="AZ298" s="26">
        <v>1</v>
      </c>
      <c r="BA298" s="26">
        <v>0</v>
      </c>
      <c r="BB298" s="26">
        <v>0</v>
      </c>
      <c r="BC298" s="26">
        <v>0</v>
      </c>
      <c r="BD298" s="26">
        <v>0</v>
      </c>
      <c r="BE298" s="26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 t="s">
        <v>445</v>
      </c>
    </row>
    <row r="299" spans="1:63" x14ac:dyDescent="0.25">
      <c r="A299" s="26" t="s">
        <v>336</v>
      </c>
      <c r="B299" s="26" t="s">
        <v>37</v>
      </c>
      <c r="C299" s="26">
        <v>37.251899999999999</v>
      </c>
      <c r="D299" s="26">
        <v>-119.69629999999999</v>
      </c>
      <c r="E299" s="26">
        <v>0</v>
      </c>
      <c r="F299" s="26">
        <v>0</v>
      </c>
      <c r="G299" s="26">
        <v>0</v>
      </c>
      <c r="H299" s="26">
        <v>0</v>
      </c>
      <c r="I299" s="26">
        <v>0</v>
      </c>
      <c r="J299" s="26">
        <v>0</v>
      </c>
      <c r="K299" s="26">
        <v>0</v>
      </c>
      <c r="L299" s="26">
        <v>0</v>
      </c>
      <c r="M299" s="26">
        <v>0</v>
      </c>
      <c r="N299" s="26">
        <v>0</v>
      </c>
      <c r="O299" s="26">
        <v>0</v>
      </c>
      <c r="P299" s="26">
        <v>0</v>
      </c>
      <c r="Q299" s="26">
        <v>0</v>
      </c>
      <c r="R299" s="26">
        <v>0</v>
      </c>
      <c r="S299" s="26">
        <v>0</v>
      </c>
      <c r="T299" s="26">
        <v>0</v>
      </c>
      <c r="U299" s="26">
        <v>0</v>
      </c>
      <c r="V299" s="26">
        <v>0</v>
      </c>
      <c r="W299" s="26">
        <v>0</v>
      </c>
      <c r="X299" s="26">
        <v>0</v>
      </c>
      <c r="Y299" s="26">
        <v>0</v>
      </c>
      <c r="Z299" s="26">
        <v>0</v>
      </c>
      <c r="AA299" s="26">
        <v>0</v>
      </c>
      <c r="AB299" s="26">
        <v>0</v>
      </c>
      <c r="AC299" s="26">
        <v>0</v>
      </c>
      <c r="AD299" s="26">
        <v>0</v>
      </c>
      <c r="AE299" s="26">
        <v>0</v>
      </c>
      <c r="AF299" s="26">
        <v>0</v>
      </c>
      <c r="AG299" s="26">
        <v>0</v>
      </c>
      <c r="AH299" s="26">
        <v>0</v>
      </c>
      <c r="AI299" s="26">
        <v>0</v>
      </c>
      <c r="AJ299" s="26">
        <v>0</v>
      </c>
      <c r="AK299" s="26">
        <v>0</v>
      </c>
      <c r="AL299" s="26">
        <v>0</v>
      </c>
      <c r="AM299" s="26">
        <v>0</v>
      </c>
      <c r="AN299" s="26">
        <v>0</v>
      </c>
      <c r="AO299" s="26">
        <v>0</v>
      </c>
      <c r="AP299" s="26">
        <v>0</v>
      </c>
      <c r="AQ299" s="26">
        <v>0</v>
      </c>
      <c r="AR299" s="26">
        <v>0</v>
      </c>
      <c r="AS299" s="26">
        <v>0</v>
      </c>
      <c r="AT299" s="26">
        <v>0</v>
      </c>
      <c r="AU299" s="26">
        <v>0</v>
      </c>
      <c r="AV299" s="26">
        <v>0</v>
      </c>
      <c r="AW299" s="26">
        <v>0</v>
      </c>
      <c r="AX299" s="26">
        <v>1</v>
      </c>
      <c r="AY299" s="26">
        <v>1</v>
      </c>
      <c r="AZ299" s="26">
        <v>1</v>
      </c>
      <c r="BA299" s="26">
        <v>0</v>
      </c>
      <c r="BB299" s="26">
        <v>0</v>
      </c>
      <c r="BC299" s="26">
        <v>0</v>
      </c>
      <c r="BD299" s="26">
        <v>0</v>
      </c>
      <c r="BE299" s="26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 t="s">
        <v>445</v>
      </c>
    </row>
    <row r="300" spans="1:63" x14ac:dyDescent="0.25">
      <c r="A300" s="26" t="s">
        <v>337</v>
      </c>
      <c r="B300" s="26" t="s">
        <v>37</v>
      </c>
      <c r="C300" s="26">
        <v>47.067599999999999</v>
      </c>
      <c r="D300" s="26">
        <v>-122.12949999999999</v>
      </c>
      <c r="E300" s="26">
        <v>0</v>
      </c>
      <c r="F300" s="26">
        <v>0</v>
      </c>
      <c r="G300" s="26">
        <v>0</v>
      </c>
      <c r="H300" s="26">
        <v>0</v>
      </c>
      <c r="I300" s="26">
        <v>0</v>
      </c>
      <c r="J300" s="26">
        <v>0</v>
      </c>
      <c r="K300" s="26">
        <v>0</v>
      </c>
      <c r="L300" s="26">
        <v>0</v>
      </c>
      <c r="M300" s="26">
        <v>0</v>
      </c>
      <c r="N300" s="26">
        <v>0</v>
      </c>
      <c r="O300" s="26">
        <v>0</v>
      </c>
      <c r="P300" s="26">
        <v>0</v>
      </c>
      <c r="Q300" s="26">
        <v>0</v>
      </c>
      <c r="R300" s="26">
        <v>0</v>
      </c>
      <c r="S300" s="26">
        <v>0</v>
      </c>
      <c r="T300" s="26">
        <v>0</v>
      </c>
      <c r="U300" s="26">
        <v>0</v>
      </c>
      <c r="V300" s="26">
        <v>0</v>
      </c>
      <c r="W300" s="26">
        <v>0</v>
      </c>
      <c r="X300" s="26">
        <v>0</v>
      </c>
      <c r="Y300" s="26">
        <v>0</v>
      </c>
      <c r="Z300" s="26">
        <v>0</v>
      </c>
      <c r="AA300" s="26">
        <v>0</v>
      </c>
      <c r="AB300" s="26">
        <v>0</v>
      </c>
      <c r="AC300" s="26">
        <v>0</v>
      </c>
      <c r="AD300" s="26">
        <v>0</v>
      </c>
      <c r="AE300" s="26">
        <v>0</v>
      </c>
      <c r="AF300" s="26">
        <v>0</v>
      </c>
      <c r="AG300" s="26">
        <v>0</v>
      </c>
      <c r="AH300" s="26">
        <v>0</v>
      </c>
      <c r="AI300" s="26">
        <v>0</v>
      </c>
      <c r="AJ300" s="26">
        <v>0</v>
      </c>
      <c r="AK300" s="26">
        <v>0</v>
      </c>
      <c r="AL300" s="26">
        <v>0</v>
      </c>
      <c r="AM300" s="26">
        <v>0</v>
      </c>
      <c r="AN300" s="26">
        <v>0</v>
      </c>
      <c r="AO300" s="26">
        <v>0</v>
      </c>
      <c r="AP300" s="26">
        <v>0</v>
      </c>
      <c r="AQ300" s="26">
        <v>0</v>
      </c>
      <c r="AR300" s="26">
        <v>0</v>
      </c>
      <c r="AS300" s="26">
        <v>0</v>
      </c>
      <c r="AT300" s="26">
        <v>0</v>
      </c>
      <c r="AU300" s="26">
        <v>0</v>
      </c>
      <c r="AV300" s="26">
        <v>0</v>
      </c>
      <c r="AW300" s="26">
        <v>0</v>
      </c>
      <c r="AX300" s="26">
        <v>1</v>
      </c>
      <c r="AY300" s="26">
        <v>4</v>
      </c>
      <c r="AZ300" s="26">
        <v>4</v>
      </c>
      <c r="BA300" s="26">
        <v>0</v>
      </c>
      <c r="BB300" s="26">
        <v>0</v>
      </c>
      <c r="BC300" s="26">
        <v>0</v>
      </c>
      <c r="BD300" s="26">
        <v>0</v>
      </c>
      <c r="BE300" s="26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 t="s">
        <v>445</v>
      </c>
    </row>
    <row r="301" spans="1:63" x14ac:dyDescent="0.25">
      <c r="A301" s="26" t="s">
        <v>338</v>
      </c>
      <c r="B301" s="26" t="s">
        <v>37</v>
      </c>
      <c r="C301" s="26">
        <v>36.159300000000002</v>
      </c>
      <c r="D301" s="26">
        <v>-95.941000000000003</v>
      </c>
      <c r="E301" s="26">
        <v>0</v>
      </c>
      <c r="F301" s="26">
        <v>0</v>
      </c>
      <c r="G301" s="26">
        <v>0</v>
      </c>
      <c r="H301" s="26">
        <v>0</v>
      </c>
      <c r="I301" s="26">
        <v>0</v>
      </c>
      <c r="J301" s="26">
        <v>0</v>
      </c>
      <c r="K301" s="26">
        <v>0</v>
      </c>
      <c r="L301" s="26">
        <v>0</v>
      </c>
      <c r="M301" s="26">
        <v>0</v>
      </c>
      <c r="N301" s="26">
        <v>0</v>
      </c>
      <c r="O301" s="26">
        <v>0</v>
      </c>
      <c r="P301" s="26">
        <v>0</v>
      </c>
      <c r="Q301" s="26">
        <v>0</v>
      </c>
      <c r="R301" s="26">
        <v>0</v>
      </c>
      <c r="S301" s="26">
        <v>0</v>
      </c>
      <c r="T301" s="26">
        <v>0</v>
      </c>
      <c r="U301" s="26">
        <v>0</v>
      </c>
      <c r="V301" s="26">
        <v>0</v>
      </c>
      <c r="W301" s="26">
        <v>0</v>
      </c>
      <c r="X301" s="26">
        <v>0</v>
      </c>
      <c r="Y301" s="26">
        <v>0</v>
      </c>
      <c r="Z301" s="26">
        <v>0</v>
      </c>
      <c r="AA301" s="26">
        <v>0</v>
      </c>
      <c r="AB301" s="26">
        <v>0</v>
      </c>
      <c r="AC301" s="26">
        <v>0</v>
      </c>
      <c r="AD301" s="26">
        <v>0</v>
      </c>
      <c r="AE301" s="26">
        <v>0</v>
      </c>
      <c r="AF301" s="26">
        <v>0</v>
      </c>
      <c r="AG301" s="26">
        <v>0</v>
      </c>
      <c r="AH301" s="26">
        <v>0</v>
      </c>
      <c r="AI301" s="26">
        <v>0</v>
      </c>
      <c r="AJ301" s="26">
        <v>0</v>
      </c>
      <c r="AK301" s="26">
        <v>0</v>
      </c>
      <c r="AL301" s="26">
        <v>0</v>
      </c>
      <c r="AM301" s="26">
        <v>0</v>
      </c>
      <c r="AN301" s="26">
        <v>0</v>
      </c>
      <c r="AO301" s="26">
        <v>0</v>
      </c>
      <c r="AP301" s="26">
        <v>0</v>
      </c>
      <c r="AQ301" s="26">
        <v>0</v>
      </c>
      <c r="AR301" s="26">
        <v>0</v>
      </c>
      <c r="AS301" s="26">
        <v>0</v>
      </c>
      <c r="AT301" s="26">
        <v>0</v>
      </c>
      <c r="AU301" s="26">
        <v>0</v>
      </c>
      <c r="AV301" s="26">
        <v>0</v>
      </c>
      <c r="AW301" s="26">
        <v>0</v>
      </c>
      <c r="AX301" s="26">
        <v>1</v>
      </c>
      <c r="AY301" s="26">
        <v>1</v>
      </c>
      <c r="AZ301" s="26">
        <v>1</v>
      </c>
      <c r="BA301" s="26">
        <v>0</v>
      </c>
      <c r="BB301" s="26">
        <v>0</v>
      </c>
      <c r="BC301" s="26">
        <v>0</v>
      </c>
      <c r="BD301" s="26">
        <v>0</v>
      </c>
      <c r="BE301" s="26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 t="s">
        <v>445</v>
      </c>
    </row>
    <row r="302" spans="1:63" x14ac:dyDescent="0.25">
      <c r="A302" s="26" t="s">
        <v>339</v>
      </c>
      <c r="B302" s="26" t="s">
        <v>37</v>
      </c>
      <c r="C302" s="26">
        <v>39.258699999999997</v>
      </c>
      <c r="D302" s="26">
        <v>-104.9389</v>
      </c>
      <c r="E302" s="26">
        <v>0</v>
      </c>
      <c r="F302" s="26">
        <v>0</v>
      </c>
      <c r="G302" s="26">
        <v>0</v>
      </c>
      <c r="H302" s="26">
        <v>0</v>
      </c>
      <c r="I302" s="26">
        <v>0</v>
      </c>
      <c r="J302" s="26">
        <v>0</v>
      </c>
      <c r="K302" s="26">
        <v>0</v>
      </c>
      <c r="L302" s="26">
        <v>0</v>
      </c>
      <c r="M302" s="26">
        <v>0</v>
      </c>
      <c r="N302" s="26">
        <v>0</v>
      </c>
      <c r="O302" s="26">
        <v>0</v>
      </c>
      <c r="P302" s="26">
        <v>0</v>
      </c>
      <c r="Q302" s="26">
        <v>0</v>
      </c>
      <c r="R302" s="26">
        <v>0</v>
      </c>
      <c r="S302" s="26">
        <v>0</v>
      </c>
      <c r="T302" s="26">
        <v>0</v>
      </c>
      <c r="U302" s="26">
        <v>0</v>
      </c>
      <c r="V302" s="26">
        <v>0</v>
      </c>
      <c r="W302" s="26">
        <v>0</v>
      </c>
      <c r="X302" s="26">
        <v>0</v>
      </c>
      <c r="Y302" s="26">
        <v>0</v>
      </c>
      <c r="Z302" s="26">
        <v>0</v>
      </c>
      <c r="AA302" s="26">
        <v>0</v>
      </c>
      <c r="AB302" s="26">
        <v>0</v>
      </c>
      <c r="AC302" s="26">
        <v>0</v>
      </c>
      <c r="AD302" s="26">
        <v>0</v>
      </c>
      <c r="AE302" s="26">
        <v>0</v>
      </c>
      <c r="AF302" s="26">
        <v>0</v>
      </c>
      <c r="AG302" s="26">
        <v>0</v>
      </c>
      <c r="AH302" s="26">
        <v>0</v>
      </c>
      <c r="AI302" s="26">
        <v>0</v>
      </c>
      <c r="AJ302" s="26">
        <v>0</v>
      </c>
      <c r="AK302" s="26">
        <v>0</v>
      </c>
      <c r="AL302" s="26">
        <v>0</v>
      </c>
      <c r="AM302" s="26">
        <v>0</v>
      </c>
      <c r="AN302" s="26">
        <v>0</v>
      </c>
      <c r="AO302" s="26">
        <v>0</v>
      </c>
      <c r="AP302" s="26">
        <v>0</v>
      </c>
      <c r="AQ302" s="26">
        <v>0</v>
      </c>
      <c r="AR302" s="26">
        <v>0</v>
      </c>
      <c r="AS302" s="26">
        <v>0</v>
      </c>
      <c r="AT302" s="26">
        <v>0</v>
      </c>
      <c r="AU302" s="26">
        <v>0</v>
      </c>
      <c r="AV302" s="26">
        <v>0</v>
      </c>
      <c r="AW302" s="26">
        <v>0</v>
      </c>
      <c r="AX302" s="26">
        <v>3</v>
      </c>
      <c r="AY302" s="26">
        <v>3</v>
      </c>
      <c r="AZ302" s="26">
        <v>3</v>
      </c>
      <c r="BA302" s="26">
        <v>0</v>
      </c>
      <c r="BB302" s="26">
        <v>0</v>
      </c>
      <c r="BC302" s="26">
        <v>0</v>
      </c>
      <c r="BD302" s="26">
        <v>0</v>
      </c>
      <c r="BE302" s="26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 t="s">
        <v>445</v>
      </c>
    </row>
    <row r="303" spans="1:63" x14ac:dyDescent="0.25">
      <c r="A303" s="26" t="s">
        <v>340</v>
      </c>
      <c r="B303" s="26" t="s">
        <v>37</v>
      </c>
      <c r="C303" s="26">
        <v>41.888199999999998</v>
      </c>
      <c r="D303" s="26">
        <v>-71.477400000000003</v>
      </c>
      <c r="E303" s="26">
        <v>0</v>
      </c>
      <c r="F303" s="26">
        <v>0</v>
      </c>
      <c r="G303" s="26">
        <v>0</v>
      </c>
      <c r="H303" s="26">
        <v>0</v>
      </c>
      <c r="I303" s="26">
        <v>0</v>
      </c>
      <c r="J303" s="26">
        <v>0</v>
      </c>
      <c r="K303" s="26">
        <v>0</v>
      </c>
      <c r="L303" s="26">
        <v>0</v>
      </c>
      <c r="M303" s="26">
        <v>0</v>
      </c>
      <c r="N303" s="26">
        <v>0</v>
      </c>
      <c r="O303" s="26">
        <v>0</v>
      </c>
      <c r="P303" s="26">
        <v>0</v>
      </c>
      <c r="Q303" s="26">
        <v>0</v>
      </c>
      <c r="R303" s="26">
        <v>0</v>
      </c>
      <c r="S303" s="26">
        <v>0</v>
      </c>
      <c r="T303" s="26">
        <v>0</v>
      </c>
      <c r="U303" s="26">
        <v>0</v>
      </c>
      <c r="V303" s="26">
        <v>0</v>
      </c>
      <c r="W303" s="26">
        <v>0</v>
      </c>
      <c r="X303" s="26">
        <v>0</v>
      </c>
      <c r="Y303" s="26">
        <v>0</v>
      </c>
      <c r="Z303" s="26">
        <v>0</v>
      </c>
      <c r="AA303" s="26">
        <v>0</v>
      </c>
      <c r="AB303" s="26">
        <v>0</v>
      </c>
      <c r="AC303" s="26">
        <v>0</v>
      </c>
      <c r="AD303" s="26">
        <v>0</v>
      </c>
      <c r="AE303" s="26">
        <v>0</v>
      </c>
      <c r="AF303" s="26">
        <v>0</v>
      </c>
      <c r="AG303" s="26">
        <v>0</v>
      </c>
      <c r="AH303" s="26">
        <v>0</v>
      </c>
      <c r="AI303" s="26">
        <v>0</v>
      </c>
      <c r="AJ303" s="26">
        <v>0</v>
      </c>
      <c r="AK303" s="26">
        <v>0</v>
      </c>
      <c r="AL303" s="26">
        <v>0</v>
      </c>
      <c r="AM303" s="26">
        <v>0</v>
      </c>
      <c r="AN303" s="26">
        <v>0</v>
      </c>
      <c r="AO303" s="26">
        <v>0</v>
      </c>
      <c r="AP303" s="26">
        <v>0</v>
      </c>
      <c r="AQ303" s="26">
        <v>0</v>
      </c>
      <c r="AR303" s="26">
        <v>1</v>
      </c>
      <c r="AS303" s="26">
        <v>2</v>
      </c>
      <c r="AT303" s="26">
        <v>2</v>
      </c>
      <c r="AU303" s="26">
        <v>2</v>
      </c>
      <c r="AV303" s="26">
        <v>2</v>
      </c>
      <c r="AW303" s="26">
        <v>2</v>
      </c>
      <c r="AX303" s="26">
        <v>3</v>
      </c>
      <c r="AY303" s="26">
        <v>3</v>
      </c>
      <c r="AZ303" s="26">
        <v>3</v>
      </c>
      <c r="BA303" s="26">
        <v>0</v>
      </c>
      <c r="BB303" s="26">
        <v>0</v>
      </c>
      <c r="BC303" s="26">
        <v>0</v>
      </c>
      <c r="BD303" s="26">
        <v>0</v>
      </c>
      <c r="BE303" s="26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 t="s">
        <v>445</v>
      </c>
    </row>
    <row r="304" spans="1:63" x14ac:dyDescent="0.25">
      <c r="A304" s="26" t="s">
        <v>341</v>
      </c>
      <c r="B304" s="26" t="s">
        <v>37</v>
      </c>
      <c r="C304" s="26">
        <v>35.7211</v>
      </c>
      <c r="D304" s="26">
        <v>-79.178100000000001</v>
      </c>
      <c r="E304" s="26">
        <v>0</v>
      </c>
      <c r="F304" s="26">
        <v>0</v>
      </c>
      <c r="G304" s="26">
        <v>0</v>
      </c>
      <c r="H304" s="26">
        <v>0</v>
      </c>
      <c r="I304" s="26">
        <v>0</v>
      </c>
      <c r="J304" s="26">
        <v>0</v>
      </c>
      <c r="K304" s="26">
        <v>0</v>
      </c>
      <c r="L304" s="26">
        <v>0</v>
      </c>
      <c r="M304" s="26">
        <v>0</v>
      </c>
      <c r="N304" s="26">
        <v>0</v>
      </c>
      <c r="O304" s="26">
        <v>0</v>
      </c>
      <c r="P304" s="26">
        <v>0</v>
      </c>
      <c r="Q304" s="26">
        <v>0</v>
      </c>
      <c r="R304" s="26">
        <v>0</v>
      </c>
      <c r="S304" s="26">
        <v>0</v>
      </c>
      <c r="T304" s="26">
        <v>0</v>
      </c>
      <c r="U304" s="26">
        <v>0</v>
      </c>
      <c r="V304" s="26">
        <v>0</v>
      </c>
      <c r="W304" s="26">
        <v>0</v>
      </c>
      <c r="X304" s="26">
        <v>0</v>
      </c>
      <c r="Y304" s="26">
        <v>0</v>
      </c>
      <c r="Z304" s="26">
        <v>0</v>
      </c>
      <c r="AA304" s="26">
        <v>0</v>
      </c>
      <c r="AB304" s="26">
        <v>0</v>
      </c>
      <c r="AC304" s="26">
        <v>0</v>
      </c>
      <c r="AD304" s="26">
        <v>0</v>
      </c>
      <c r="AE304" s="26">
        <v>0</v>
      </c>
      <c r="AF304" s="26">
        <v>0</v>
      </c>
      <c r="AG304" s="26">
        <v>0</v>
      </c>
      <c r="AH304" s="26">
        <v>0</v>
      </c>
      <c r="AI304" s="26">
        <v>0</v>
      </c>
      <c r="AJ304" s="26">
        <v>0</v>
      </c>
      <c r="AK304" s="26">
        <v>0</v>
      </c>
      <c r="AL304" s="26">
        <v>0</v>
      </c>
      <c r="AM304" s="26">
        <v>0</v>
      </c>
      <c r="AN304" s="26">
        <v>0</v>
      </c>
      <c r="AO304" s="26">
        <v>0</v>
      </c>
      <c r="AP304" s="26">
        <v>0</v>
      </c>
      <c r="AQ304" s="26">
        <v>0</v>
      </c>
      <c r="AR304" s="26">
        <v>0</v>
      </c>
      <c r="AS304" s="26">
        <v>0</v>
      </c>
      <c r="AT304" s="26">
        <v>0</v>
      </c>
      <c r="AU304" s="26">
        <v>0</v>
      </c>
      <c r="AV304" s="26">
        <v>0</v>
      </c>
      <c r="AW304" s="26">
        <v>1</v>
      </c>
      <c r="AX304" s="26">
        <v>1</v>
      </c>
      <c r="AY304" s="26">
        <v>1</v>
      </c>
      <c r="AZ304" s="26">
        <v>1</v>
      </c>
      <c r="BA304" s="26">
        <v>0</v>
      </c>
      <c r="BB304" s="26">
        <v>0</v>
      </c>
      <c r="BC304" s="26">
        <v>0</v>
      </c>
      <c r="BD304" s="26">
        <v>0</v>
      </c>
      <c r="BE304" s="26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 t="s">
        <v>445</v>
      </c>
    </row>
    <row r="305" spans="1:63" x14ac:dyDescent="0.25">
      <c r="A305" s="26" t="s">
        <v>342</v>
      </c>
      <c r="B305" s="26" t="s">
        <v>37</v>
      </c>
      <c r="C305" s="26">
        <v>39.907800000000002</v>
      </c>
      <c r="D305" s="26">
        <v>-75.387900000000002</v>
      </c>
      <c r="E305" s="26">
        <v>0</v>
      </c>
      <c r="F305" s="26">
        <v>0</v>
      </c>
      <c r="G305" s="26">
        <v>0</v>
      </c>
      <c r="H305" s="26">
        <v>0</v>
      </c>
      <c r="I305" s="26">
        <v>0</v>
      </c>
      <c r="J305" s="26">
        <v>0</v>
      </c>
      <c r="K305" s="26">
        <v>0</v>
      </c>
      <c r="L305" s="26">
        <v>0</v>
      </c>
      <c r="M305" s="26">
        <v>0</v>
      </c>
      <c r="N305" s="26">
        <v>0</v>
      </c>
      <c r="O305" s="26">
        <v>0</v>
      </c>
      <c r="P305" s="26">
        <v>0</v>
      </c>
      <c r="Q305" s="26">
        <v>0</v>
      </c>
      <c r="R305" s="26">
        <v>0</v>
      </c>
      <c r="S305" s="26">
        <v>0</v>
      </c>
      <c r="T305" s="26">
        <v>0</v>
      </c>
      <c r="U305" s="26">
        <v>0</v>
      </c>
      <c r="V305" s="26">
        <v>0</v>
      </c>
      <c r="W305" s="26">
        <v>0</v>
      </c>
      <c r="X305" s="26">
        <v>0</v>
      </c>
      <c r="Y305" s="26">
        <v>0</v>
      </c>
      <c r="Z305" s="26">
        <v>0</v>
      </c>
      <c r="AA305" s="26">
        <v>0</v>
      </c>
      <c r="AB305" s="26">
        <v>0</v>
      </c>
      <c r="AC305" s="26">
        <v>0</v>
      </c>
      <c r="AD305" s="26">
        <v>0</v>
      </c>
      <c r="AE305" s="26">
        <v>0</v>
      </c>
      <c r="AF305" s="26">
        <v>0</v>
      </c>
      <c r="AG305" s="26">
        <v>0</v>
      </c>
      <c r="AH305" s="26">
        <v>0</v>
      </c>
      <c r="AI305" s="26">
        <v>0</v>
      </c>
      <c r="AJ305" s="26">
        <v>0</v>
      </c>
      <c r="AK305" s="26">
        <v>0</v>
      </c>
      <c r="AL305" s="26">
        <v>0</v>
      </c>
      <c r="AM305" s="26">
        <v>0</v>
      </c>
      <c r="AN305" s="26">
        <v>0</v>
      </c>
      <c r="AO305" s="26">
        <v>0</v>
      </c>
      <c r="AP305" s="26">
        <v>0</v>
      </c>
      <c r="AQ305" s="26">
        <v>0</v>
      </c>
      <c r="AR305" s="26">
        <v>0</v>
      </c>
      <c r="AS305" s="26">
        <v>0</v>
      </c>
      <c r="AT305" s="26">
        <v>0</v>
      </c>
      <c r="AU305" s="26">
        <v>0</v>
      </c>
      <c r="AV305" s="26">
        <v>0</v>
      </c>
      <c r="AW305" s="26">
        <v>1</v>
      </c>
      <c r="AX305" s="26">
        <v>1</v>
      </c>
      <c r="AY305" s="26">
        <v>1</v>
      </c>
      <c r="AZ305" s="26">
        <v>1</v>
      </c>
      <c r="BA305" s="26">
        <v>0</v>
      </c>
      <c r="BB305" s="26">
        <v>0</v>
      </c>
      <c r="BC305" s="26">
        <v>0</v>
      </c>
      <c r="BD305" s="26">
        <v>0</v>
      </c>
      <c r="BE305" s="26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 t="s">
        <v>445</v>
      </c>
    </row>
    <row r="306" spans="1:63" x14ac:dyDescent="0.25">
      <c r="A306" s="26" t="s">
        <v>343</v>
      </c>
      <c r="B306" s="26" t="s">
        <v>37</v>
      </c>
      <c r="C306" s="26">
        <v>41.314799999999998</v>
      </c>
      <c r="D306" s="26">
        <v>-96.195099999999996</v>
      </c>
      <c r="E306" s="26">
        <v>0</v>
      </c>
      <c r="F306" s="26">
        <v>0</v>
      </c>
      <c r="G306" s="26">
        <v>0</v>
      </c>
      <c r="H306" s="26">
        <v>0</v>
      </c>
      <c r="I306" s="26">
        <v>0</v>
      </c>
      <c r="J306" s="26">
        <v>0</v>
      </c>
      <c r="K306" s="26">
        <v>0</v>
      </c>
      <c r="L306" s="26">
        <v>0</v>
      </c>
      <c r="M306" s="26">
        <v>0</v>
      </c>
      <c r="N306" s="26">
        <v>0</v>
      </c>
      <c r="O306" s="26">
        <v>0</v>
      </c>
      <c r="P306" s="26">
        <v>0</v>
      </c>
      <c r="Q306" s="26">
        <v>0</v>
      </c>
      <c r="R306" s="26">
        <v>0</v>
      </c>
      <c r="S306" s="26">
        <v>0</v>
      </c>
      <c r="T306" s="26">
        <v>0</v>
      </c>
      <c r="U306" s="26">
        <v>0</v>
      </c>
      <c r="V306" s="26">
        <v>0</v>
      </c>
      <c r="W306" s="26">
        <v>0</v>
      </c>
      <c r="X306" s="26">
        <v>0</v>
      </c>
      <c r="Y306" s="26">
        <v>0</v>
      </c>
      <c r="Z306" s="26">
        <v>0</v>
      </c>
      <c r="AA306" s="26">
        <v>0</v>
      </c>
      <c r="AB306" s="26">
        <v>0</v>
      </c>
      <c r="AC306" s="26">
        <v>0</v>
      </c>
      <c r="AD306" s="26">
        <v>0</v>
      </c>
      <c r="AE306" s="26">
        <v>0</v>
      </c>
      <c r="AF306" s="26">
        <v>0</v>
      </c>
      <c r="AG306" s="26">
        <v>0</v>
      </c>
      <c r="AH306" s="26">
        <v>0</v>
      </c>
      <c r="AI306" s="26">
        <v>0</v>
      </c>
      <c r="AJ306" s="26">
        <v>0</v>
      </c>
      <c r="AK306" s="26">
        <v>0</v>
      </c>
      <c r="AL306" s="26">
        <v>0</v>
      </c>
      <c r="AM306" s="26">
        <v>0</v>
      </c>
      <c r="AN306" s="26">
        <v>0</v>
      </c>
      <c r="AO306" s="26">
        <v>0</v>
      </c>
      <c r="AP306" s="26">
        <v>0</v>
      </c>
      <c r="AQ306" s="26">
        <v>0</v>
      </c>
      <c r="AR306" s="26">
        <v>0</v>
      </c>
      <c r="AS306" s="26">
        <v>0</v>
      </c>
      <c r="AT306" s="26">
        <v>0</v>
      </c>
      <c r="AU306" s="26">
        <v>0</v>
      </c>
      <c r="AV306" s="26">
        <v>0</v>
      </c>
      <c r="AW306" s="26">
        <v>1</v>
      </c>
      <c r="AX306" s="26">
        <v>1</v>
      </c>
      <c r="AY306" s="26">
        <v>1</v>
      </c>
      <c r="AZ306" s="26">
        <v>3</v>
      </c>
      <c r="BA306" s="26">
        <v>0</v>
      </c>
      <c r="BB306" s="26">
        <v>0</v>
      </c>
      <c r="BC306" s="26">
        <v>0</v>
      </c>
      <c r="BD306" s="26">
        <v>0</v>
      </c>
      <c r="BE306" s="2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 t="s">
        <v>445</v>
      </c>
    </row>
    <row r="307" spans="1:63" x14ac:dyDescent="0.25">
      <c r="A307" s="26" t="s">
        <v>344</v>
      </c>
      <c r="B307" s="26" t="s">
        <v>37</v>
      </c>
      <c r="C307" s="26">
        <v>38.060600000000001</v>
      </c>
      <c r="D307" s="26">
        <v>-84.4803</v>
      </c>
      <c r="E307" s="26">
        <v>0</v>
      </c>
      <c r="F307" s="26">
        <v>0</v>
      </c>
      <c r="G307" s="26">
        <v>0</v>
      </c>
      <c r="H307" s="26">
        <v>0</v>
      </c>
      <c r="I307" s="26">
        <v>0</v>
      </c>
      <c r="J307" s="26">
        <v>0</v>
      </c>
      <c r="K307" s="26">
        <v>0</v>
      </c>
      <c r="L307" s="26">
        <v>0</v>
      </c>
      <c r="M307" s="26">
        <v>0</v>
      </c>
      <c r="N307" s="26">
        <v>0</v>
      </c>
      <c r="O307" s="26">
        <v>0</v>
      </c>
      <c r="P307" s="26">
        <v>0</v>
      </c>
      <c r="Q307" s="26">
        <v>0</v>
      </c>
      <c r="R307" s="26">
        <v>0</v>
      </c>
      <c r="S307" s="26">
        <v>0</v>
      </c>
      <c r="T307" s="26">
        <v>0</v>
      </c>
      <c r="U307" s="26">
        <v>0</v>
      </c>
      <c r="V307" s="26">
        <v>0</v>
      </c>
      <c r="W307" s="26">
        <v>0</v>
      </c>
      <c r="X307" s="26">
        <v>0</v>
      </c>
      <c r="Y307" s="26">
        <v>0</v>
      </c>
      <c r="Z307" s="26">
        <v>0</v>
      </c>
      <c r="AA307" s="26">
        <v>0</v>
      </c>
      <c r="AB307" s="26">
        <v>0</v>
      </c>
      <c r="AC307" s="26">
        <v>0</v>
      </c>
      <c r="AD307" s="26">
        <v>0</v>
      </c>
      <c r="AE307" s="26">
        <v>0</v>
      </c>
      <c r="AF307" s="26">
        <v>0</v>
      </c>
      <c r="AG307" s="26">
        <v>0</v>
      </c>
      <c r="AH307" s="26">
        <v>0</v>
      </c>
      <c r="AI307" s="26">
        <v>0</v>
      </c>
      <c r="AJ307" s="26">
        <v>0</v>
      </c>
      <c r="AK307" s="26">
        <v>0</v>
      </c>
      <c r="AL307" s="26">
        <v>0</v>
      </c>
      <c r="AM307" s="26">
        <v>0</v>
      </c>
      <c r="AN307" s="26">
        <v>0</v>
      </c>
      <c r="AO307" s="26">
        <v>0</v>
      </c>
      <c r="AP307" s="26">
        <v>0</v>
      </c>
      <c r="AQ307" s="26">
        <v>0</v>
      </c>
      <c r="AR307" s="26">
        <v>0</v>
      </c>
      <c r="AS307" s="26">
        <v>0</v>
      </c>
      <c r="AT307" s="26">
        <v>0</v>
      </c>
      <c r="AU307" s="26">
        <v>0</v>
      </c>
      <c r="AV307" s="26">
        <v>0</v>
      </c>
      <c r="AW307" s="26">
        <v>1</v>
      </c>
      <c r="AX307" s="26">
        <v>1</v>
      </c>
      <c r="AY307" s="26">
        <v>1</v>
      </c>
      <c r="AZ307" s="26">
        <v>1</v>
      </c>
      <c r="BA307" s="26">
        <v>0</v>
      </c>
      <c r="BB307" s="26">
        <v>0</v>
      </c>
      <c r="BC307" s="26">
        <v>0</v>
      </c>
      <c r="BD307" s="26">
        <v>0</v>
      </c>
      <c r="BE307" s="26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 t="s">
        <v>445</v>
      </c>
    </row>
    <row r="308" spans="1:63" x14ac:dyDescent="0.25">
      <c r="A308" s="26" t="s">
        <v>345</v>
      </c>
      <c r="B308" s="26" t="s">
        <v>37</v>
      </c>
      <c r="C308" s="26">
        <v>39.836199999999998</v>
      </c>
      <c r="D308" s="26">
        <v>-86.175200000000004</v>
      </c>
      <c r="E308" s="26">
        <v>0</v>
      </c>
      <c r="F308" s="26">
        <v>0</v>
      </c>
      <c r="G308" s="26">
        <v>0</v>
      </c>
      <c r="H308" s="26">
        <v>0</v>
      </c>
      <c r="I308" s="26">
        <v>0</v>
      </c>
      <c r="J308" s="26">
        <v>0</v>
      </c>
      <c r="K308" s="26">
        <v>0</v>
      </c>
      <c r="L308" s="26">
        <v>0</v>
      </c>
      <c r="M308" s="26">
        <v>0</v>
      </c>
      <c r="N308" s="26">
        <v>0</v>
      </c>
      <c r="O308" s="26">
        <v>0</v>
      </c>
      <c r="P308" s="26">
        <v>0</v>
      </c>
      <c r="Q308" s="26">
        <v>0</v>
      </c>
      <c r="R308" s="26">
        <v>0</v>
      </c>
      <c r="S308" s="26">
        <v>0</v>
      </c>
      <c r="T308" s="26">
        <v>0</v>
      </c>
      <c r="U308" s="26">
        <v>0</v>
      </c>
      <c r="V308" s="26">
        <v>0</v>
      </c>
      <c r="W308" s="26">
        <v>0</v>
      </c>
      <c r="X308" s="26">
        <v>0</v>
      </c>
      <c r="Y308" s="26">
        <v>0</v>
      </c>
      <c r="Z308" s="26">
        <v>0</v>
      </c>
      <c r="AA308" s="26">
        <v>0</v>
      </c>
      <c r="AB308" s="26">
        <v>0</v>
      </c>
      <c r="AC308" s="26">
        <v>0</v>
      </c>
      <c r="AD308" s="26">
        <v>0</v>
      </c>
      <c r="AE308" s="26">
        <v>0</v>
      </c>
      <c r="AF308" s="26">
        <v>0</v>
      </c>
      <c r="AG308" s="26">
        <v>0</v>
      </c>
      <c r="AH308" s="26">
        <v>0</v>
      </c>
      <c r="AI308" s="26">
        <v>0</v>
      </c>
      <c r="AJ308" s="26">
        <v>0</v>
      </c>
      <c r="AK308" s="26">
        <v>0</v>
      </c>
      <c r="AL308" s="26">
        <v>0</v>
      </c>
      <c r="AM308" s="26">
        <v>0</v>
      </c>
      <c r="AN308" s="26">
        <v>0</v>
      </c>
      <c r="AO308" s="26">
        <v>0</v>
      </c>
      <c r="AP308" s="26">
        <v>0</v>
      </c>
      <c r="AQ308" s="26">
        <v>0</v>
      </c>
      <c r="AR308" s="26">
        <v>0</v>
      </c>
      <c r="AS308" s="26">
        <v>0</v>
      </c>
      <c r="AT308" s="26">
        <v>0</v>
      </c>
      <c r="AU308" s="26">
        <v>0</v>
      </c>
      <c r="AV308" s="26">
        <v>0</v>
      </c>
      <c r="AW308" s="26">
        <v>1</v>
      </c>
      <c r="AX308" s="26">
        <v>1</v>
      </c>
      <c r="AY308" s="26">
        <v>1</v>
      </c>
      <c r="AZ308" s="26">
        <v>1</v>
      </c>
      <c r="BA308" s="26">
        <v>0</v>
      </c>
      <c r="BB308" s="26">
        <v>0</v>
      </c>
      <c r="BC308" s="26">
        <v>0</v>
      </c>
      <c r="BD308" s="26">
        <v>0</v>
      </c>
      <c r="BE308" s="26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 t="s">
        <v>445</v>
      </c>
    </row>
    <row r="309" spans="1:63" x14ac:dyDescent="0.25">
      <c r="A309" s="26" t="s">
        <v>346</v>
      </c>
      <c r="B309" s="26" t="s">
        <v>37</v>
      </c>
      <c r="C309" s="26">
        <v>42.467199999999998</v>
      </c>
      <c r="D309" s="26">
        <v>-71.287400000000005</v>
      </c>
      <c r="E309" s="26">
        <v>0</v>
      </c>
      <c r="F309" s="26">
        <v>0</v>
      </c>
      <c r="G309" s="26">
        <v>0</v>
      </c>
      <c r="H309" s="26">
        <v>0</v>
      </c>
      <c r="I309" s="26">
        <v>0</v>
      </c>
      <c r="J309" s="26">
        <v>0</v>
      </c>
      <c r="K309" s="26">
        <v>0</v>
      </c>
      <c r="L309" s="26">
        <v>0</v>
      </c>
      <c r="M309" s="26">
        <v>0</v>
      </c>
      <c r="N309" s="26">
        <v>0</v>
      </c>
      <c r="O309" s="26">
        <v>0</v>
      </c>
      <c r="P309" s="26">
        <v>0</v>
      </c>
      <c r="Q309" s="26">
        <v>0</v>
      </c>
      <c r="R309" s="26">
        <v>0</v>
      </c>
      <c r="S309" s="26">
        <v>0</v>
      </c>
      <c r="T309" s="26">
        <v>0</v>
      </c>
      <c r="U309" s="26">
        <v>0</v>
      </c>
      <c r="V309" s="26">
        <v>0</v>
      </c>
      <c r="W309" s="26">
        <v>0</v>
      </c>
      <c r="X309" s="26">
        <v>0</v>
      </c>
      <c r="Y309" s="26">
        <v>0</v>
      </c>
      <c r="Z309" s="26">
        <v>0</v>
      </c>
      <c r="AA309" s="26">
        <v>0</v>
      </c>
      <c r="AB309" s="26">
        <v>0</v>
      </c>
      <c r="AC309" s="26">
        <v>0</v>
      </c>
      <c r="AD309" s="26">
        <v>0</v>
      </c>
      <c r="AE309" s="26">
        <v>0</v>
      </c>
      <c r="AF309" s="26">
        <v>0</v>
      </c>
      <c r="AG309" s="26">
        <v>0</v>
      </c>
      <c r="AH309" s="26">
        <v>0</v>
      </c>
      <c r="AI309" s="26">
        <v>0</v>
      </c>
      <c r="AJ309" s="26">
        <v>0</v>
      </c>
      <c r="AK309" s="26">
        <v>0</v>
      </c>
      <c r="AL309" s="26">
        <v>0</v>
      </c>
      <c r="AM309" s="26">
        <v>0</v>
      </c>
      <c r="AN309" s="26">
        <v>0</v>
      </c>
      <c r="AO309" s="26">
        <v>0</v>
      </c>
      <c r="AP309" s="26">
        <v>0</v>
      </c>
      <c r="AQ309" s="26">
        <v>0</v>
      </c>
      <c r="AR309" s="26">
        <v>0</v>
      </c>
      <c r="AS309" s="26">
        <v>0</v>
      </c>
      <c r="AT309" s="26">
        <v>0</v>
      </c>
      <c r="AU309" s="26">
        <v>0</v>
      </c>
      <c r="AV309" s="26">
        <v>0</v>
      </c>
      <c r="AW309" s="26">
        <v>1</v>
      </c>
      <c r="AX309" s="26">
        <v>1</v>
      </c>
      <c r="AY309" s="26">
        <v>7</v>
      </c>
      <c r="AZ309" s="26">
        <v>7</v>
      </c>
      <c r="BA309" s="26">
        <v>0</v>
      </c>
      <c r="BB309" s="26">
        <v>0</v>
      </c>
      <c r="BC309" s="26">
        <v>0</v>
      </c>
      <c r="BD309" s="26">
        <v>0</v>
      </c>
      <c r="BE309" s="26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 t="s">
        <v>445</v>
      </c>
    </row>
    <row r="310" spans="1:63" x14ac:dyDescent="0.25">
      <c r="A310" s="26" t="s">
        <v>347</v>
      </c>
      <c r="B310" s="26" t="s">
        <v>37</v>
      </c>
      <c r="C310" s="26">
        <v>40.654600000000002</v>
      </c>
      <c r="D310" s="26">
        <v>-73.559399999999997</v>
      </c>
      <c r="E310" s="26">
        <v>0</v>
      </c>
      <c r="F310" s="26">
        <v>0</v>
      </c>
      <c r="G310" s="26">
        <v>0</v>
      </c>
      <c r="H310" s="26">
        <v>0</v>
      </c>
      <c r="I310" s="26">
        <v>0</v>
      </c>
      <c r="J310" s="26">
        <v>0</v>
      </c>
      <c r="K310" s="26">
        <v>0</v>
      </c>
      <c r="L310" s="26">
        <v>0</v>
      </c>
      <c r="M310" s="26">
        <v>0</v>
      </c>
      <c r="N310" s="26">
        <v>0</v>
      </c>
      <c r="O310" s="26">
        <v>0</v>
      </c>
      <c r="P310" s="26">
        <v>0</v>
      </c>
      <c r="Q310" s="26">
        <v>0</v>
      </c>
      <c r="R310" s="26">
        <v>0</v>
      </c>
      <c r="S310" s="26">
        <v>0</v>
      </c>
      <c r="T310" s="26">
        <v>0</v>
      </c>
      <c r="U310" s="26">
        <v>0</v>
      </c>
      <c r="V310" s="26">
        <v>0</v>
      </c>
      <c r="W310" s="26">
        <v>0</v>
      </c>
      <c r="X310" s="26">
        <v>0</v>
      </c>
      <c r="Y310" s="26">
        <v>0</v>
      </c>
      <c r="Z310" s="26">
        <v>0</v>
      </c>
      <c r="AA310" s="26">
        <v>0</v>
      </c>
      <c r="AB310" s="26">
        <v>0</v>
      </c>
      <c r="AC310" s="26">
        <v>0</v>
      </c>
      <c r="AD310" s="26">
        <v>0</v>
      </c>
      <c r="AE310" s="26">
        <v>0</v>
      </c>
      <c r="AF310" s="26">
        <v>0</v>
      </c>
      <c r="AG310" s="26">
        <v>0</v>
      </c>
      <c r="AH310" s="26">
        <v>0</v>
      </c>
      <c r="AI310" s="26">
        <v>0</v>
      </c>
      <c r="AJ310" s="26">
        <v>0</v>
      </c>
      <c r="AK310" s="26">
        <v>0</v>
      </c>
      <c r="AL310" s="26">
        <v>0</v>
      </c>
      <c r="AM310" s="26">
        <v>0</v>
      </c>
      <c r="AN310" s="26">
        <v>0</v>
      </c>
      <c r="AO310" s="26">
        <v>0</v>
      </c>
      <c r="AP310" s="26">
        <v>0</v>
      </c>
      <c r="AQ310" s="26">
        <v>0</v>
      </c>
      <c r="AR310" s="26">
        <v>0</v>
      </c>
      <c r="AS310" s="26">
        <v>0</v>
      </c>
      <c r="AT310" s="26">
        <v>0</v>
      </c>
      <c r="AU310" s="26">
        <v>0</v>
      </c>
      <c r="AV310" s="26">
        <v>1</v>
      </c>
      <c r="AW310" s="26">
        <v>1</v>
      </c>
      <c r="AX310" s="26">
        <v>4</v>
      </c>
      <c r="AY310" s="26">
        <v>5</v>
      </c>
      <c r="AZ310" s="26">
        <v>17</v>
      </c>
      <c r="BA310" s="26">
        <v>0</v>
      </c>
      <c r="BB310" s="26">
        <v>0</v>
      </c>
      <c r="BC310" s="26">
        <v>0</v>
      </c>
      <c r="BD310" s="26">
        <v>0</v>
      </c>
      <c r="BE310" s="26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 t="s">
        <v>445</v>
      </c>
    </row>
    <row r="311" spans="1:63" x14ac:dyDescent="0.25">
      <c r="A311" s="26" t="s">
        <v>348</v>
      </c>
      <c r="B311" s="26" t="s">
        <v>37</v>
      </c>
      <c r="C311" s="26">
        <v>44.996400000000001</v>
      </c>
      <c r="D311" s="26">
        <v>-93.061599999999999</v>
      </c>
      <c r="E311" s="26">
        <v>0</v>
      </c>
      <c r="F311" s="26">
        <v>0</v>
      </c>
      <c r="G311" s="26">
        <v>0</v>
      </c>
      <c r="H311" s="26">
        <v>0</v>
      </c>
      <c r="I311" s="26">
        <v>0</v>
      </c>
      <c r="J311" s="26">
        <v>0</v>
      </c>
      <c r="K311" s="26">
        <v>0</v>
      </c>
      <c r="L311" s="26">
        <v>0</v>
      </c>
      <c r="M311" s="26">
        <v>0</v>
      </c>
      <c r="N311" s="26">
        <v>0</v>
      </c>
      <c r="O311" s="26">
        <v>0</v>
      </c>
      <c r="P311" s="26">
        <v>0</v>
      </c>
      <c r="Q311" s="26">
        <v>0</v>
      </c>
      <c r="R311" s="26">
        <v>0</v>
      </c>
      <c r="S311" s="26">
        <v>0</v>
      </c>
      <c r="T311" s="26">
        <v>0</v>
      </c>
      <c r="U311" s="26">
        <v>0</v>
      </c>
      <c r="V311" s="26">
        <v>0</v>
      </c>
      <c r="W311" s="26">
        <v>0</v>
      </c>
      <c r="X311" s="26">
        <v>0</v>
      </c>
      <c r="Y311" s="26">
        <v>0</v>
      </c>
      <c r="Z311" s="26">
        <v>0</v>
      </c>
      <c r="AA311" s="26">
        <v>0</v>
      </c>
      <c r="AB311" s="26">
        <v>0</v>
      </c>
      <c r="AC311" s="26">
        <v>0</v>
      </c>
      <c r="AD311" s="26">
        <v>0</v>
      </c>
      <c r="AE311" s="26">
        <v>0</v>
      </c>
      <c r="AF311" s="26">
        <v>0</v>
      </c>
      <c r="AG311" s="26">
        <v>0</v>
      </c>
      <c r="AH311" s="26">
        <v>0</v>
      </c>
      <c r="AI311" s="26">
        <v>0</v>
      </c>
      <c r="AJ311" s="26">
        <v>0</v>
      </c>
      <c r="AK311" s="26">
        <v>0</v>
      </c>
      <c r="AL311" s="26">
        <v>0</v>
      </c>
      <c r="AM311" s="26">
        <v>0</v>
      </c>
      <c r="AN311" s="26">
        <v>0</v>
      </c>
      <c r="AO311" s="26">
        <v>0</v>
      </c>
      <c r="AP311" s="26">
        <v>0</v>
      </c>
      <c r="AQ311" s="26">
        <v>0</v>
      </c>
      <c r="AR311" s="26">
        <v>0</v>
      </c>
      <c r="AS311" s="26">
        <v>0</v>
      </c>
      <c r="AT311" s="26">
        <v>0</v>
      </c>
      <c r="AU311" s="26">
        <v>0</v>
      </c>
      <c r="AV311" s="26">
        <v>0</v>
      </c>
      <c r="AW311" s="26">
        <v>1</v>
      </c>
      <c r="AX311" s="26">
        <v>1</v>
      </c>
      <c r="AY311" s="26">
        <v>1</v>
      </c>
      <c r="AZ311" s="26">
        <v>1</v>
      </c>
      <c r="BA311" s="26">
        <v>0</v>
      </c>
      <c r="BB311" s="26">
        <v>0</v>
      </c>
      <c r="BC311" s="26">
        <v>0</v>
      </c>
      <c r="BD311" s="26">
        <v>0</v>
      </c>
      <c r="BE311" s="26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 t="s">
        <v>445</v>
      </c>
    </row>
    <row r="312" spans="1:63" x14ac:dyDescent="0.25">
      <c r="A312" s="26" t="s">
        <v>349</v>
      </c>
      <c r="B312" s="26" t="s">
        <v>37</v>
      </c>
      <c r="C312" s="26">
        <v>40.5608</v>
      </c>
      <c r="D312" s="26">
        <v>-119.6035</v>
      </c>
      <c r="E312" s="26">
        <v>0</v>
      </c>
      <c r="F312" s="26">
        <v>0</v>
      </c>
      <c r="G312" s="26">
        <v>0</v>
      </c>
      <c r="H312" s="26">
        <v>0</v>
      </c>
      <c r="I312" s="26">
        <v>0</v>
      </c>
      <c r="J312" s="26">
        <v>0</v>
      </c>
      <c r="K312" s="26">
        <v>0</v>
      </c>
      <c r="L312" s="26">
        <v>0</v>
      </c>
      <c r="M312" s="26">
        <v>0</v>
      </c>
      <c r="N312" s="26">
        <v>0</v>
      </c>
      <c r="O312" s="26">
        <v>0</v>
      </c>
      <c r="P312" s="26">
        <v>0</v>
      </c>
      <c r="Q312" s="26">
        <v>0</v>
      </c>
      <c r="R312" s="26">
        <v>0</v>
      </c>
      <c r="S312" s="26">
        <v>0</v>
      </c>
      <c r="T312" s="26">
        <v>0</v>
      </c>
      <c r="U312" s="26">
        <v>0</v>
      </c>
      <c r="V312" s="26">
        <v>0</v>
      </c>
      <c r="W312" s="26">
        <v>0</v>
      </c>
      <c r="X312" s="26">
        <v>0</v>
      </c>
      <c r="Y312" s="26">
        <v>0</v>
      </c>
      <c r="Z312" s="26">
        <v>0</v>
      </c>
      <c r="AA312" s="26">
        <v>0</v>
      </c>
      <c r="AB312" s="26">
        <v>0</v>
      </c>
      <c r="AC312" s="26">
        <v>0</v>
      </c>
      <c r="AD312" s="26">
        <v>0</v>
      </c>
      <c r="AE312" s="26">
        <v>0</v>
      </c>
      <c r="AF312" s="26">
        <v>0</v>
      </c>
      <c r="AG312" s="26">
        <v>0</v>
      </c>
      <c r="AH312" s="26">
        <v>0</v>
      </c>
      <c r="AI312" s="26">
        <v>0</v>
      </c>
      <c r="AJ312" s="26">
        <v>0</v>
      </c>
      <c r="AK312" s="26">
        <v>0</v>
      </c>
      <c r="AL312" s="26">
        <v>0</v>
      </c>
      <c r="AM312" s="26">
        <v>0</v>
      </c>
      <c r="AN312" s="26">
        <v>0</v>
      </c>
      <c r="AO312" s="26">
        <v>0</v>
      </c>
      <c r="AP312" s="26">
        <v>0</v>
      </c>
      <c r="AQ312" s="26">
        <v>0</v>
      </c>
      <c r="AR312" s="26">
        <v>0</v>
      </c>
      <c r="AS312" s="26">
        <v>0</v>
      </c>
      <c r="AT312" s="26">
        <v>0</v>
      </c>
      <c r="AU312" s="26">
        <v>0</v>
      </c>
      <c r="AV312" s="26">
        <v>0</v>
      </c>
      <c r="AW312" s="26">
        <v>1</v>
      </c>
      <c r="AX312" s="26">
        <v>1</v>
      </c>
      <c r="AY312" s="26">
        <v>2</v>
      </c>
      <c r="AZ312" s="26">
        <v>2</v>
      </c>
      <c r="BA312" s="26">
        <v>0</v>
      </c>
      <c r="BB312" s="26">
        <v>0</v>
      </c>
      <c r="BC312" s="26">
        <v>0</v>
      </c>
      <c r="BD312" s="26">
        <v>0</v>
      </c>
      <c r="BE312" s="26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 t="s">
        <v>445</v>
      </c>
    </row>
    <row r="313" spans="1:63" x14ac:dyDescent="0.25">
      <c r="A313" s="26" t="s">
        <v>350</v>
      </c>
      <c r="B313" s="26" t="s">
        <v>37</v>
      </c>
      <c r="C313" s="26">
        <v>41.673900000000003</v>
      </c>
      <c r="D313" s="26">
        <v>-75.247900000000001</v>
      </c>
      <c r="E313" s="26">
        <v>0</v>
      </c>
      <c r="F313" s="26">
        <v>0</v>
      </c>
      <c r="G313" s="26">
        <v>0</v>
      </c>
      <c r="H313" s="26">
        <v>0</v>
      </c>
      <c r="I313" s="26">
        <v>0</v>
      </c>
      <c r="J313" s="26">
        <v>0</v>
      </c>
      <c r="K313" s="26">
        <v>0</v>
      </c>
      <c r="L313" s="26">
        <v>0</v>
      </c>
      <c r="M313" s="26">
        <v>0</v>
      </c>
      <c r="N313" s="26">
        <v>0</v>
      </c>
      <c r="O313" s="26">
        <v>0</v>
      </c>
      <c r="P313" s="26">
        <v>0</v>
      </c>
      <c r="Q313" s="26">
        <v>0</v>
      </c>
      <c r="R313" s="26">
        <v>0</v>
      </c>
      <c r="S313" s="26">
        <v>0</v>
      </c>
      <c r="T313" s="26">
        <v>0</v>
      </c>
      <c r="U313" s="26">
        <v>0</v>
      </c>
      <c r="V313" s="26">
        <v>0</v>
      </c>
      <c r="W313" s="26">
        <v>0</v>
      </c>
      <c r="X313" s="26">
        <v>0</v>
      </c>
      <c r="Y313" s="26">
        <v>0</v>
      </c>
      <c r="Z313" s="26">
        <v>0</v>
      </c>
      <c r="AA313" s="26">
        <v>0</v>
      </c>
      <c r="AB313" s="26">
        <v>0</v>
      </c>
      <c r="AC313" s="26">
        <v>0</v>
      </c>
      <c r="AD313" s="26">
        <v>0</v>
      </c>
      <c r="AE313" s="26">
        <v>0</v>
      </c>
      <c r="AF313" s="26">
        <v>0</v>
      </c>
      <c r="AG313" s="26">
        <v>0</v>
      </c>
      <c r="AH313" s="26">
        <v>0</v>
      </c>
      <c r="AI313" s="26">
        <v>0</v>
      </c>
      <c r="AJ313" s="26">
        <v>0</v>
      </c>
      <c r="AK313" s="26">
        <v>0</v>
      </c>
      <c r="AL313" s="26">
        <v>0</v>
      </c>
      <c r="AM313" s="26">
        <v>0</v>
      </c>
      <c r="AN313" s="26">
        <v>0</v>
      </c>
      <c r="AO313" s="26">
        <v>0</v>
      </c>
      <c r="AP313" s="26">
        <v>0</v>
      </c>
      <c r="AQ313" s="26">
        <v>0</v>
      </c>
      <c r="AR313" s="26">
        <v>0</v>
      </c>
      <c r="AS313" s="26">
        <v>0</v>
      </c>
      <c r="AT313" s="26">
        <v>0</v>
      </c>
      <c r="AU313" s="26">
        <v>0</v>
      </c>
      <c r="AV313" s="26">
        <v>0</v>
      </c>
      <c r="AW313" s="26">
        <v>1</v>
      </c>
      <c r="AX313" s="26">
        <v>1</v>
      </c>
      <c r="AY313" s="26">
        <v>1</v>
      </c>
      <c r="AZ313" s="26">
        <v>1</v>
      </c>
      <c r="BA313" s="26">
        <v>0</v>
      </c>
      <c r="BB313" s="26">
        <v>0</v>
      </c>
      <c r="BC313" s="26">
        <v>0</v>
      </c>
      <c r="BD313" s="26">
        <v>0</v>
      </c>
      <c r="BE313" s="26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 t="s">
        <v>445</v>
      </c>
    </row>
    <row r="314" spans="1:63" x14ac:dyDescent="0.25">
      <c r="A314" s="26" t="s">
        <v>351</v>
      </c>
      <c r="B314" s="26" t="s">
        <v>37</v>
      </c>
      <c r="C314" s="26">
        <v>38.764600000000002</v>
      </c>
      <c r="D314" s="26">
        <v>-121.90179999999999</v>
      </c>
      <c r="E314" s="26">
        <v>0</v>
      </c>
      <c r="F314" s="26">
        <v>0</v>
      </c>
      <c r="G314" s="26">
        <v>0</v>
      </c>
      <c r="H314" s="26">
        <v>0</v>
      </c>
      <c r="I314" s="26">
        <v>0</v>
      </c>
      <c r="J314" s="26">
        <v>0</v>
      </c>
      <c r="K314" s="26">
        <v>0</v>
      </c>
      <c r="L314" s="26">
        <v>0</v>
      </c>
      <c r="M314" s="26">
        <v>0</v>
      </c>
      <c r="N314" s="26">
        <v>0</v>
      </c>
      <c r="O314" s="26">
        <v>0</v>
      </c>
      <c r="P314" s="26">
        <v>0</v>
      </c>
      <c r="Q314" s="26">
        <v>0</v>
      </c>
      <c r="R314" s="26">
        <v>0</v>
      </c>
      <c r="S314" s="26">
        <v>0</v>
      </c>
      <c r="T314" s="26">
        <v>0</v>
      </c>
      <c r="U314" s="26">
        <v>0</v>
      </c>
      <c r="V314" s="26">
        <v>0</v>
      </c>
      <c r="W314" s="26">
        <v>0</v>
      </c>
      <c r="X314" s="26">
        <v>0</v>
      </c>
      <c r="Y314" s="26">
        <v>0</v>
      </c>
      <c r="Z314" s="26">
        <v>0</v>
      </c>
      <c r="AA314" s="26">
        <v>0</v>
      </c>
      <c r="AB314" s="26">
        <v>0</v>
      </c>
      <c r="AC314" s="26">
        <v>0</v>
      </c>
      <c r="AD314" s="26">
        <v>0</v>
      </c>
      <c r="AE314" s="26">
        <v>0</v>
      </c>
      <c r="AF314" s="26">
        <v>0</v>
      </c>
      <c r="AG314" s="26">
        <v>0</v>
      </c>
      <c r="AH314" s="26">
        <v>0</v>
      </c>
      <c r="AI314" s="26">
        <v>0</v>
      </c>
      <c r="AJ314" s="26">
        <v>0</v>
      </c>
      <c r="AK314" s="26">
        <v>0</v>
      </c>
      <c r="AL314" s="26">
        <v>0</v>
      </c>
      <c r="AM314" s="26">
        <v>0</v>
      </c>
      <c r="AN314" s="26">
        <v>0</v>
      </c>
      <c r="AO314" s="26">
        <v>0</v>
      </c>
      <c r="AP314" s="26">
        <v>0</v>
      </c>
      <c r="AQ314" s="26">
        <v>0</v>
      </c>
      <c r="AR314" s="26">
        <v>0</v>
      </c>
      <c r="AS314" s="26">
        <v>0</v>
      </c>
      <c r="AT314" s="26">
        <v>0</v>
      </c>
      <c r="AU314" s="26">
        <v>0</v>
      </c>
      <c r="AV314" s="26">
        <v>0</v>
      </c>
      <c r="AW314" s="26">
        <v>1</v>
      </c>
      <c r="AX314" s="26">
        <v>1</v>
      </c>
      <c r="AY314" s="26">
        <v>1</v>
      </c>
      <c r="AZ314" s="26">
        <v>1</v>
      </c>
      <c r="BA314" s="26">
        <v>0</v>
      </c>
      <c r="BB314" s="26">
        <v>0</v>
      </c>
      <c r="BC314" s="26">
        <v>0</v>
      </c>
      <c r="BD314" s="26">
        <v>0</v>
      </c>
      <c r="BE314" s="26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 t="s">
        <v>445</v>
      </c>
    </row>
    <row r="315" spans="1:63" x14ac:dyDescent="0.25">
      <c r="A315" s="26" t="s">
        <v>352</v>
      </c>
      <c r="B315" s="26" t="s">
        <v>37</v>
      </c>
      <c r="C315" s="26">
        <v>37.354100000000003</v>
      </c>
      <c r="D315" s="26">
        <v>-121.9552</v>
      </c>
      <c r="E315" s="26">
        <v>0</v>
      </c>
      <c r="F315" s="26">
        <v>0</v>
      </c>
      <c r="G315" s="26">
        <v>0</v>
      </c>
      <c r="H315" s="26">
        <v>0</v>
      </c>
      <c r="I315" s="26">
        <v>0</v>
      </c>
      <c r="J315" s="26">
        <v>0</v>
      </c>
      <c r="K315" s="26">
        <v>0</v>
      </c>
      <c r="L315" s="26">
        <v>0</v>
      </c>
      <c r="M315" s="26">
        <v>0</v>
      </c>
      <c r="N315" s="26">
        <v>1</v>
      </c>
      <c r="O315" s="26">
        <v>1</v>
      </c>
      <c r="P315" s="26">
        <v>1</v>
      </c>
      <c r="Q315" s="26">
        <v>2</v>
      </c>
      <c r="R315" s="26">
        <v>2</v>
      </c>
      <c r="S315" s="26">
        <v>2</v>
      </c>
      <c r="T315" s="26">
        <v>2</v>
      </c>
      <c r="U315" s="26">
        <v>2</v>
      </c>
      <c r="V315" s="26">
        <v>2</v>
      </c>
      <c r="W315" s="26">
        <v>2</v>
      </c>
      <c r="X315" s="26">
        <v>2</v>
      </c>
      <c r="Y315" s="26">
        <v>2</v>
      </c>
      <c r="Z315" s="26">
        <v>2</v>
      </c>
      <c r="AA315" s="26">
        <v>2</v>
      </c>
      <c r="AB315" s="26">
        <v>2</v>
      </c>
      <c r="AC315" s="26">
        <v>2</v>
      </c>
      <c r="AD315" s="26">
        <v>2</v>
      </c>
      <c r="AE315" s="26">
        <v>2</v>
      </c>
      <c r="AF315" s="26">
        <v>2</v>
      </c>
      <c r="AG315" s="26">
        <v>2</v>
      </c>
      <c r="AH315" s="26">
        <v>2</v>
      </c>
      <c r="AI315" s="26">
        <v>2</v>
      </c>
      <c r="AJ315" s="26">
        <v>2</v>
      </c>
      <c r="AK315" s="26">
        <v>2</v>
      </c>
      <c r="AL315" s="26">
        <v>2</v>
      </c>
      <c r="AM315" s="26">
        <v>2</v>
      </c>
      <c r="AN315" s="26">
        <v>2</v>
      </c>
      <c r="AO315" s="26">
        <v>2</v>
      </c>
      <c r="AP315" s="26">
        <v>2</v>
      </c>
      <c r="AQ315" s="26">
        <v>3</v>
      </c>
      <c r="AR315" s="26">
        <v>3</v>
      </c>
      <c r="AS315" s="26">
        <v>9</v>
      </c>
      <c r="AT315" s="26">
        <v>11</v>
      </c>
      <c r="AU315" s="26">
        <v>11</v>
      </c>
      <c r="AV315" s="26">
        <v>20</v>
      </c>
      <c r="AW315" s="26">
        <v>20</v>
      </c>
      <c r="AX315" s="26">
        <v>32</v>
      </c>
      <c r="AY315" s="26">
        <v>38</v>
      </c>
      <c r="AZ315" s="26">
        <v>38</v>
      </c>
      <c r="BA315" s="26">
        <v>0</v>
      </c>
      <c r="BB315" s="26">
        <v>0</v>
      </c>
      <c r="BC315" s="26">
        <v>0</v>
      </c>
      <c r="BD315" s="26">
        <v>0</v>
      </c>
      <c r="BE315" s="26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 t="s">
        <v>445</v>
      </c>
    </row>
    <row r="316" spans="1:63" x14ac:dyDescent="0.25">
      <c r="A316" s="26" t="s">
        <v>353</v>
      </c>
      <c r="B316" s="26" t="s">
        <v>37</v>
      </c>
      <c r="C316" s="26">
        <v>36.079599999999999</v>
      </c>
      <c r="D316" s="26">
        <v>-115.09399999999999</v>
      </c>
      <c r="E316" s="26">
        <v>0</v>
      </c>
      <c r="F316" s="26">
        <v>0</v>
      </c>
      <c r="G316" s="26">
        <v>0</v>
      </c>
      <c r="H316" s="26">
        <v>0</v>
      </c>
      <c r="I316" s="26">
        <v>0</v>
      </c>
      <c r="J316" s="26">
        <v>0</v>
      </c>
      <c r="K316" s="26">
        <v>0</v>
      </c>
      <c r="L316" s="26">
        <v>0</v>
      </c>
      <c r="M316" s="26">
        <v>0</v>
      </c>
      <c r="N316" s="26">
        <v>0</v>
      </c>
      <c r="O316" s="26">
        <v>0</v>
      </c>
      <c r="P316" s="26">
        <v>0</v>
      </c>
      <c r="Q316" s="26">
        <v>0</v>
      </c>
      <c r="R316" s="26">
        <v>0</v>
      </c>
      <c r="S316" s="26">
        <v>0</v>
      </c>
      <c r="T316" s="26">
        <v>0</v>
      </c>
      <c r="U316" s="26">
        <v>0</v>
      </c>
      <c r="V316" s="26">
        <v>0</v>
      </c>
      <c r="W316" s="26">
        <v>0</v>
      </c>
      <c r="X316" s="26">
        <v>0</v>
      </c>
      <c r="Y316" s="26">
        <v>0</v>
      </c>
      <c r="Z316" s="26">
        <v>0</v>
      </c>
      <c r="AA316" s="26">
        <v>0</v>
      </c>
      <c r="AB316" s="26">
        <v>0</v>
      </c>
      <c r="AC316" s="26">
        <v>0</v>
      </c>
      <c r="AD316" s="26">
        <v>0</v>
      </c>
      <c r="AE316" s="26">
        <v>0</v>
      </c>
      <c r="AF316" s="26">
        <v>0</v>
      </c>
      <c r="AG316" s="26">
        <v>0</v>
      </c>
      <c r="AH316" s="26">
        <v>0</v>
      </c>
      <c r="AI316" s="26">
        <v>0</v>
      </c>
      <c r="AJ316" s="26">
        <v>0</v>
      </c>
      <c r="AK316" s="26">
        <v>0</v>
      </c>
      <c r="AL316" s="26">
        <v>0</v>
      </c>
      <c r="AM316" s="26">
        <v>0</v>
      </c>
      <c r="AN316" s="26">
        <v>0</v>
      </c>
      <c r="AO316" s="26">
        <v>0</v>
      </c>
      <c r="AP316" s="26">
        <v>0</v>
      </c>
      <c r="AQ316" s="26">
        <v>0</v>
      </c>
      <c r="AR316" s="26">
        <v>0</v>
      </c>
      <c r="AS316" s="26">
        <v>0</v>
      </c>
      <c r="AT316" s="26">
        <v>0</v>
      </c>
      <c r="AU316" s="26">
        <v>0</v>
      </c>
      <c r="AV316" s="26">
        <v>1</v>
      </c>
      <c r="AW316" s="26">
        <v>1</v>
      </c>
      <c r="AX316" s="26">
        <v>1</v>
      </c>
      <c r="AY316" s="26">
        <v>2</v>
      </c>
      <c r="AZ316" s="26">
        <v>2</v>
      </c>
      <c r="BA316" s="26">
        <v>0</v>
      </c>
      <c r="BB316" s="26">
        <v>0</v>
      </c>
      <c r="BC316" s="26">
        <v>0</v>
      </c>
      <c r="BD316" s="26">
        <v>0</v>
      </c>
      <c r="BE316" s="2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 t="s">
        <v>445</v>
      </c>
    </row>
    <row r="317" spans="1:63" x14ac:dyDescent="0.25">
      <c r="A317" s="26" t="s">
        <v>354</v>
      </c>
      <c r="B317" s="26" t="s">
        <v>37</v>
      </c>
      <c r="C317" s="26">
        <v>29.569299999999998</v>
      </c>
      <c r="D317" s="26">
        <v>-95.814300000000003</v>
      </c>
      <c r="E317" s="26">
        <v>0</v>
      </c>
      <c r="F317" s="26">
        <v>0</v>
      </c>
      <c r="G317" s="26">
        <v>0</v>
      </c>
      <c r="H317" s="26">
        <v>0</v>
      </c>
      <c r="I317" s="26">
        <v>0</v>
      </c>
      <c r="J317" s="26">
        <v>0</v>
      </c>
      <c r="K317" s="26">
        <v>0</v>
      </c>
      <c r="L317" s="26">
        <v>0</v>
      </c>
      <c r="M317" s="26">
        <v>0</v>
      </c>
      <c r="N317" s="26">
        <v>0</v>
      </c>
      <c r="O317" s="26">
        <v>0</v>
      </c>
      <c r="P317" s="26">
        <v>0</v>
      </c>
      <c r="Q317" s="26">
        <v>0</v>
      </c>
      <c r="R317" s="26">
        <v>0</v>
      </c>
      <c r="S317" s="26">
        <v>0</v>
      </c>
      <c r="T317" s="26">
        <v>0</v>
      </c>
      <c r="U317" s="26">
        <v>0</v>
      </c>
      <c r="V317" s="26">
        <v>0</v>
      </c>
      <c r="W317" s="26">
        <v>0</v>
      </c>
      <c r="X317" s="26">
        <v>0</v>
      </c>
      <c r="Y317" s="26">
        <v>0</v>
      </c>
      <c r="Z317" s="26">
        <v>0</v>
      </c>
      <c r="AA317" s="26">
        <v>0</v>
      </c>
      <c r="AB317" s="26">
        <v>0</v>
      </c>
      <c r="AC317" s="26">
        <v>0</v>
      </c>
      <c r="AD317" s="26">
        <v>0</v>
      </c>
      <c r="AE317" s="26">
        <v>0</v>
      </c>
      <c r="AF317" s="26">
        <v>0</v>
      </c>
      <c r="AG317" s="26">
        <v>0</v>
      </c>
      <c r="AH317" s="26">
        <v>0</v>
      </c>
      <c r="AI317" s="26">
        <v>0</v>
      </c>
      <c r="AJ317" s="26">
        <v>0</v>
      </c>
      <c r="AK317" s="26">
        <v>0</v>
      </c>
      <c r="AL317" s="26">
        <v>0</v>
      </c>
      <c r="AM317" s="26">
        <v>0</v>
      </c>
      <c r="AN317" s="26">
        <v>0</v>
      </c>
      <c r="AO317" s="26">
        <v>0</v>
      </c>
      <c r="AP317" s="26">
        <v>0</v>
      </c>
      <c r="AQ317" s="26">
        <v>0</v>
      </c>
      <c r="AR317" s="26">
        <v>0</v>
      </c>
      <c r="AS317" s="26">
        <v>0</v>
      </c>
      <c r="AT317" s="26">
        <v>0</v>
      </c>
      <c r="AU317" s="26">
        <v>0</v>
      </c>
      <c r="AV317" s="26">
        <v>1</v>
      </c>
      <c r="AW317" s="26">
        <v>1</v>
      </c>
      <c r="AX317" s="26">
        <v>3</v>
      </c>
      <c r="AY317" s="26">
        <v>6</v>
      </c>
      <c r="AZ317" s="26">
        <v>6</v>
      </c>
      <c r="BA317" s="26">
        <v>0</v>
      </c>
      <c r="BB317" s="26">
        <v>0</v>
      </c>
      <c r="BC317" s="26">
        <v>0</v>
      </c>
      <c r="BD317" s="26">
        <v>0</v>
      </c>
      <c r="BE317" s="26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 t="s">
        <v>445</v>
      </c>
    </row>
    <row r="318" spans="1:63" x14ac:dyDescent="0.25">
      <c r="A318" s="26" t="s">
        <v>355</v>
      </c>
      <c r="B318" s="26" t="s">
        <v>37</v>
      </c>
      <c r="C318" s="26">
        <v>47.198099999999997</v>
      </c>
      <c r="D318" s="26">
        <v>-119.3732</v>
      </c>
      <c r="E318" s="26">
        <v>0</v>
      </c>
      <c r="F318" s="26">
        <v>0</v>
      </c>
      <c r="G318" s="26">
        <v>0</v>
      </c>
      <c r="H318" s="26">
        <v>0</v>
      </c>
      <c r="I318" s="26">
        <v>0</v>
      </c>
      <c r="J318" s="26">
        <v>0</v>
      </c>
      <c r="K318" s="26">
        <v>0</v>
      </c>
      <c r="L318" s="26">
        <v>0</v>
      </c>
      <c r="M318" s="26">
        <v>0</v>
      </c>
      <c r="N318" s="26">
        <v>0</v>
      </c>
      <c r="O318" s="26">
        <v>0</v>
      </c>
      <c r="P318" s="26">
        <v>0</v>
      </c>
      <c r="Q318" s="26">
        <v>0</v>
      </c>
      <c r="R318" s="26">
        <v>0</v>
      </c>
      <c r="S318" s="26">
        <v>0</v>
      </c>
      <c r="T318" s="26">
        <v>0</v>
      </c>
      <c r="U318" s="26">
        <v>0</v>
      </c>
      <c r="V318" s="26">
        <v>0</v>
      </c>
      <c r="W318" s="26">
        <v>0</v>
      </c>
      <c r="X318" s="26">
        <v>0</v>
      </c>
      <c r="Y318" s="26">
        <v>0</v>
      </c>
      <c r="Z318" s="26">
        <v>0</v>
      </c>
      <c r="AA318" s="26">
        <v>0</v>
      </c>
      <c r="AB318" s="26">
        <v>0</v>
      </c>
      <c r="AC318" s="26">
        <v>0</v>
      </c>
      <c r="AD318" s="26">
        <v>0</v>
      </c>
      <c r="AE318" s="26">
        <v>0</v>
      </c>
      <c r="AF318" s="26">
        <v>0</v>
      </c>
      <c r="AG318" s="26">
        <v>0</v>
      </c>
      <c r="AH318" s="26">
        <v>0</v>
      </c>
      <c r="AI318" s="26">
        <v>0</v>
      </c>
      <c r="AJ318" s="26">
        <v>0</v>
      </c>
      <c r="AK318" s="26">
        <v>0</v>
      </c>
      <c r="AL318" s="26">
        <v>0</v>
      </c>
      <c r="AM318" s="26">
        <v>0</v>
      </c>
      <c r="AN318" s="26">
        <v>0</v>
      </c>
      <c r="AO318" s="26">
        <v>0</v>
      </c>
      <c r="AP318" s="26">
        <v>0</v>
      </c>
      <c r="AQ318" s="26">
        <v>0</v>
      </c>
      <c r="AR318" s="26">
        <v>0</v>
      </c>
      <c r="AS318" s="26">
        <v>0</v>
      </c>
      <c r="AT318" s="26">
        <v>0</v>
      </c>
      <c r="AU318" s="26">
        <v>0</v>
      </c>
      <c r="AV318" s="26">
        <v>1</v>
      </c>
      <c r="AW318" s="26">
        <v>1</v>
      </c>
      <c r="AX318" s="26">
        <v>1</v>
      </c>
      <c r="AY318" s="26">
        <v>1</v>
      </c>
      <c r="AZ318" s="26">
        <v>1</v>
      </c>
      <c r="BA318" s="26">
        <v>0</v>
      </c>
      <c r="BB318" s="26">
        <v>0</v>
      </c>
      <c r="BC318" s="26">
        <v>0</v>
      </c>
      <c r="BD318" s="26">
        <v>0</v>
      </c>
      <c r="BE318" s="26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 t="s">
        <v>445</v>
      </c>
    </row>
    <row r="319" spans="1:63" x14ac:dyDescent="0.25">
      <c r="A319" s="26" t="s">
        <v>356</v>
      </c>
      <c r="B319" s="26" t="s">
        <v>37</v>
      </c>
      <c r="C319" s="26">
        <v>30.768999999999998</v>
      </c>
      <c r="D319" s="26">
        <v>-86.982399999999998</v>
      </c>
      <c r="E319" s="26">
        <v>0</v>
      </c>
      <c r="F319" s="26">
        <v>0</v>
      </c>
      <c r="G319" s="26">
        <v>0</v>
      </c>
      <c r="H319" s="26">
        <v>0</v>
      </c>
      <c r="I319" s="26">
        <v>0</v>
      </c>
      <c r="J319" s="26">
        <v>0</v>
      </c>
      <c r="K319" s="26">
        <v>0</v>
      </c>
      <c r="L319" s="26">
        <v>0</v>
      </c>
      <c r="M319" s="26">
        <v>0</v>
      </c>
      <c r="N319" s="26">
        <v>0</v>
      </c>
      <c r="O319" s="26">
        <v>0</v>
      </c>
      <c r="P319" s="26">
        <v>0</v>
      </c>
      <c r="Q319" s="26">
        <v>0</v>
      </c>
      <c r="R319" s="26">
        <v>0</v>
      </c>
      <c r="S319" s="26">
        <v>0</v>
      </c>
      <c r="T319" s="26">
        <v>0</v>
      </c>
      <c r="U319" s="26">
        <v>0</v>
      </c>
      <c r="V319" s="26">
        <v>0</v>
      </c>
      <c r="W319" s="26">
        <v>0</v>
      </c>
      <c r="X319" s="26">
        <v>0</v>
      </c>
      <c r="Y319" s="26">
        <v>0</v>
      </c>
      <c r="Z319" s="26">
        <v>0</v>
      </c>
      <c r="AA319" s="26">
        <v>0</v>
      </c>
      <c r="AB319" s="26">
        <v>0</v>
      </c>
      <c r="AC319" s="26">
        <v>0</v>
      </c>
      <c r="AD319" s="26">
        <v>0</v>
      </c>
      <c r="AE319" s="26">
        <v>0</v>
      </c>
      <c r="AF319" s="26">
        <v>0</v>
      </c>
      <c r="AG319" s="26">
        <v>0</v>
      </c>
      <c r="AH319" s="26">
        <v>0</v>
      </c>
      <c r="AI319" s="26">
        <v>0</v>
      </c>
      <c r="AJ319" s="26">
        <v>0</v>
      </c>
      <c r="AK319" s="26">
        <v>0</v>
      </c>
      <c r="AL319" s="26">
        <v>0</v>
      </c>
      <c r="AM319" s="26">
        <v>0</v>
      </c>
      <c r="AN319" s="26">
        <v>0</v>
      </c>
      <c r="AO319" s="26">
        <v>0</v>
      </c>
      <c r="AP319" s="26">
        <v>0</v>
      </c>
      <c r="AQ319" s="26">
        <v>0</v>
      </c>
      <c r="AR319" s="26">
        <v>0</v>
      </c>
      <c r="AS319" s="26">
        <v>0</v>
      </c>
      <c r="AT319" s="26">
        <v>0</v>
      </c>
      <c r="AU319" s="26">
        <v>0</v>
      </c>
      <c r="AV319" s="26">
        <v>1</v>
      </c>
      <c r="AW319" s="26">
        <v>1</v>
      </c>
      <c r="AX319" s="26">
        <v>1</v>
      </c>
      <c r="AY319" s="26">
        <v>1</v>
      </c>
      <c r="AZ319" s="26">
        <v>1</v>
      </c>
      <c r="BA319" s="26">
        <v>0</v>
      </c>
      <c r="BB319" s="26">
        <v>0</v>
      </c>
      <c r="BC319" s="26">
        <v>0</v>
      </c>
      <c r="BD319" s="26">
        <v>0</v>
      </c>
      <c r="BE319" s="26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 t="s">
        <v>445</v>
      </c>
    </row>
    <row r="320" spans="1:63" x14ac:dyDescent="0.25">
      <c r="A320" s="26" t="s">
        <v>357</v>
      </c>
      <c r="B320" s="26" t="s">
        <v>37</v>
      </c>
      <c r="C320" s="26">
        <v>35.917900000000003</v>
      </c>
      <c r="D320" s="26">
        <v>-86.862200000000001</v>
      </c>
      <c r="E320" s="26">
        <v>0</v>
      </c>
      <c r="F320" s="26">
        <v>0</v>
      </c>
      <c r="G320" s="26">
        <v>0</v>
      </c>
      <c r="H320" s="26">
        <v>0</v>
      </c>
      <c r="I320" s="26">
        <v>0</v>
      </c>
      <c r="J320" s="26">
        <v>0</v>
      </c>
      <c r="K320" s="26">
        <v>0</v>
      </c>
      <c r="L320" s="26">
        <v>0</v>
      </c>
      <c r="M320" s="26">
        <v>0</v>
      </c>
      <c r="N320" s="26">
        <v>0</v>
      </c>
      <c r="O320" s="26">
        <v>0</v>
      </c>
      <c r="P320" s="26">
        <v>0</v>
      </c>
      <c r="Q320" s="26">
        <v>0</v>
      </c>
      <c r="R320" s="26">
        <v>0</v>
      </c>
      <c r="S320" s="26">
        <v>0</v>
      </c>
      <c r="T320" s="26">
        <v>0</v>
      </c>
      <c r="U320" s="26">
        <v>0</v>
      </c>
      <c r="V320" s="26">
        <v>0</v>
      </c>
      <c r="W320" s="26">
        <v>0</v>
      </c>
      <c r="X320" s="26">
        <v>0</v>
      </c>
      <c r="Y320" s="26">
        <v>0</v>
      </c>
      <c r="Z320" s="26">
        <v>0</v>
      </c>
      <c r="AA320" s="26">
        <v>0</v>
      </c>
      <c r="AB320" s="26">
        <v>0</v>
      </c>
      <c r="AC320" s="26">
        <v>0</v>
      </c>
      <c r="AD320" s="26">
        <v>0</v>
      </c>
      <c r="AE320" s="26">
        <v>0</v>
      </c>
      <c r="AF320" s="26">
        <v>0</v>
      </c>
      <c r="AG320" s="26">
        <v>0</v>
      </c>
      <c r="AH320" s="26">
        <v>0</v>
      </c>
      <c r="AI320" s="26">
        <v>0</v>
      </c>
      <c r="AJ320" s="26">
        <v>0</v>
      </c>
      <c r="AK320" s="26">
        <v>0</v>
      </c>
      <c r="AL320" s="26">
        <v>0</v>
      </c>
      <c r="AM320" s="26">
        <v>0</v>
      </c>
      <c r="AN320" s="26">
        <v>0</v>
      </c>
      <c r="AO320" s="26">
        <v>0</v>
      </c>
      <c r="AP320" s="26">
        <v>0</v>
      </c>
      <c r="AQ320" s="26">
        <v>0</v>
      </c>
      <c r="AR320" s="26">
        <v>0</v>
      </c>
      <c r="AS320" s="26">
        <v>0</v>
      </c>
      <c r="AT320" s="26">
        <v>0</v>
      </c>
      <c r="AU320" s="26">
        <v>0</v>
      </c>
      <c r="AV320" s="26">
        <v>1</v>
      </c>
      <c r="AW320" s="26">
        <v>1</v>
      </c>
      <c r="AX320" s="26">
        <v>1</v>
      </c>
      <c r="AY320" s="26">
        <v>1</v>
      </c>
      <c r="AZ320" s="26">
        <v>1</v>
      </c>
      <c r="BA320" s="26">
        <v>0</v>
      </c>
      <c r="BB320" s="26">
        <v>0</v>
      </c>
      <c r="BC320" s="26">
        <v>0</v>
      </c>
      <c r="BD320" s="26">
        <v>0</v>
      </c>
      <c r="BE320" s="26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 t="s">
        <v>445</v>
      </c>
    </row>
    <row r="321" spans="1:63" x14ac:dyDescent="0.25">
      <c r="A321" s="26" t="s">
        <v>358</v>
      </c>
      <c r="B321" s="26" t="s">
        <v>37</v>
      </c>
      <c r="C321" s="26">
        <v>40.712800000000001</v>
      </c>
      <c r="D321" s="26">
        <v>-74.006</v>
      </c>
      <c r="E321" s="26">
        <v>0</v>
      </c>
      <c r="F321" s="26">
        <v>0</v>
      </c>
      <c r="G321" s="26">
        <v>0</v>
      </c>
      <c r="H321" s="26">
        <v>0</v>
      </c>
      <c r="I321" s="26">
        <v>0</v>
      </c>
      <c r="J321" s="26">
        <v>0</v>
      </c>
      <c r="K321" s="26">
        <v>0</v>
      </c>
      <c r="L321" s="26">
        <v>0</v>
      </c>
      <c r="M321" s="26">
        <v>0</v>
      </c>
      <c r="N321" s="26">
        <v>0</v>
      </c>
      <c r="O321" s="26">
        <v>0</v>
      </c>
      <c r="P321" s="26">
        <v>0</v>
      </c>
      <c r="Q321" s="26">
        <v>0</v>
      </c>
      <c r="R321" s="26">
        <v>0</v>
      </c>
      <c r="S321" s="26">
        <v>0</v>
      </c>
      <c r="T321" s="26">
        <v>0</v>
      </c>
      <c r="U321" s="26">
        <v>0</v>
      </c>
      <c r="V321" s="26">
        <v>0</v>
      </c>
      <c r="W321" s="26">
        <v>0</v>
      </c>
      <c r="X321" s="26">
        <v>0</v>
      </c>
      <c r="Y321" s="26">
        <v>0</v>
      </c>
      <c r="Z321" s="26">
        <v>0</v>
      </c>
      <c r="AA321" s="26">
        <v>0</v>
      </c>
      <c r="AB321" s="26">
        <v>0</v>
      </c>
      <c r="AC321" s="26">
        <v>0</v>
      </c>
      <c r="AD321" s="26">
        <v>0</v>
      </c>
      <c r="AE321" s="26">
        <v>0</v>
      </c>
      <c r="AF321" s="26">
        <v>0</v>
      </c>
      <c r="AG321" s="26">
        <v>0</v>
      </c>
      <c r="AH321" s="26">
        <v>0</v>
      </c>
      <c r="AI321" s="26">
        <v>0</v>
      </c>
      <c r="AJ321" s="26">
        <v>0</v>
      </c>
      <c r="AK321" s="26">
        <v>0</v>
      </c>
      <c r="AL321" s="26">
        <v>0</v>
      </c>
      <c r="AM321" s="26">
        <v>0</v>
      </c>
      <c r="AN321" s="26">
        <v>0</v>
      </c>
      <c r="AO321" s="26">
        <v>0</v>
      </c>
      <c r="AP321" s="26">
        <v>0</v>
      </c>
      <c r="AQ321" s="26">
        <v>0</v>
      </c>
      <c r="AR321" s="26">
        <v>0</v>
      </c>
      <c r="AS321" s="26">
        <v>1</v>
      </c>
      <c r="AT321" s="26">
        <v>1</v>
      </c>
      <c r="AU321" s="26">
        <v>1</v>
      </c>
      <c r="AV321" s="26">
        <v>4</v>
      </c>
      <c r="AW321" s="26">
        <v>11</v>
      </c>
      <c r="AX321" s="26">
        <v>11</v>
      </c>
      <c r="AY321" s="26">
        <v>12</v>
      </c>
      <c r="AZ321" s="26">
        <v>19</v>
      </c>
      <c r="BA321" s="26">
        <v>0</v>
      </c>
      <c r="BB321" s="26">
        <v>0</v>
      </c>
      <c r="BC321" s="26">
        <v>0</v>
      </c>
      <c r="BD321" s="26">
        <v>0</v>
      </c>
      <c r="BE321" s="26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 t="s">
        <v>445</v>
      </c>
    </row>
    <row r="322" spans="1:63" x14ac:dyDescent="0.25">
      <c r="A322" s="26" t="s">
        <v>359</v>
      </c>
      <c r="B322" s="26" t="s">
        <v>37</v>
      </c>
      <c r="C322" s="26">
        <v>39.154699999999998</v>
      </c>
      <c r="D322" s="26">
        <v>-77.240499999999997</v>
      </c>
      <c r="E322" s="26">
        <v>0</v>
      </c>
      <c r="F322" s="26">
        <v>0</v>
      </c>
      <c r="G322" s="26">
        <v>0</v>
      </c>
      <c r="H322" s="26">
        <v>0</v>
      </c>
      <c r="I322" s="26">
        <v>0</v>
      </c>
      <c r="J322" s="26">
        <v>0</v>
      </c>
      <c r="K322" s="26">
        <v>0</v>
      </c>
      <c r="L322" s="26">
        <v>0</v>
      </c>
      <c r="M322" s="26">
        <v>0</v>
      </c>
      <c r="N322" s="26">
        <v>0</v>
      </c>
      <c r="O322" s="26">
        <v>0</v>
      </c>
      <c r="P322" s="26">
        <v>0</v>
      </c>
      <c r="Q322" s="26">
        <v>0</v>
      </c>
      <c r="R322" s="26">
        <v>0</v>
      </c>
      <c r="S322" s="26">
        <v>0</v>
      </c>
      <c r="T322" s="26">
        <v>0</v>
      </c>
      <c r="U322" s="26">
        <v>0</v>
      </c>
      <c r="V322" s="26">
        <v>0</v>
      </c>
      <c r="W322" s="26">
        <v>0</v>
      </c>
      <c r="X322" s="26">
        <v>0</v>
      </c>
      <c r="Y322" s="26">
        <v>0</v>
      </c>
      <c r="Z322" s="26">
        <v>0</v>
      </c>
      <c r="AA322" s="26">
        <v>0</v>
      </c>
      <c r="AB322" s="26">
        <v>0</v>
      </c>
      <c r="AC322" s="26">
        <v>0</v>
      </c>
      <c r="AD322" s="26">
        <v>0</v>
      </c>
      <c r="AE322" s="26">
        <v>0</v>
      </c>
      <c r="AF322" s="26">
        <v>0</v>
      </c>
      <c r="AG322" s="26">
        <v>0</v>
      </c>
      <c r="AH322" s="26">
        <v>0</v>
      </c>
      <c r="AI322" s="26">
        <v>0</v>
      </c>
      <c r="AJ322" s="26">
        <v>0</v>
      </c>
      <c r="AK322" s="26">
        <v>0</v>
      </c>
      <c r="AL322" s="26">
        <v>0</v>
      </c>
      <c r="AM322" s="26">
        <v>0</v>
      </c>
      <c r="AN322" s="26">
        <v>0</v>
      </c>
      <c r="AO322" s="26">
        <v>0</v>
      </c>
      <c r="AP322" s="26">
        <v>0</v>
      </c>
      <c r="AQ322" s="26">
        <v>0</v>
      </c>
      <c r="AR322" s="26">
        <v>0</v>
      </c>
      <c r="AS322" s="26">
        <v>0</v>
      </c>
      <c r="AT322" s="26">
        <v>0</v>
      </c>
      <c r="AU322" s="26">
        <v>0</v>
      </c>
      <c r="AV322" s="26">
        <v>0</v>
      </c>
      <c r="AW322" s="26">
        <v>3</v>
      </c>
      <c r="AX322" s="26">
        <v>3</v>
      </c>
      <c r="AY322" s="26">
        <v>4</v>
      </c>
      <c r="AZ322" s="26">
        <v>4</v>
      </c>
      <c r="BA322" s="26">
        <v>0</v>
      </c>
      <c r="BB322" s="26">
        <v>0</v>
      </c>
      <c r="BC322" s="26">
        <v>0</v>
      </c>
      <c r="BD322" s="26">
        <v>0</v>
      </c>
      <c r="BE322" s="26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 t="s">
        <v>445</v>
      </c>
    </row>
    <row r="323" spans="1:63" x14ac:dyDescent="0.25">
      <c r="A323" s="26" t="s">
        <v>360</v>
      </c>
      <c r="B323" s="26" t="s">
        <v>37</v>
      </c>
      <c r="C323" s="26">
        <v>42.360100000000003</v>
      </c>
      <c r="D323" s="26">
        <v>-71.058899999999994</v>
      </c>
      <c r="E323" s="26">
        <v>0</v>
      </c>
      <c r="F323" s="26">
        <v>0</v>
      </c>
      <c r="G323" s="26">
        <v>0</v>
      </c>
      <c r="H323" s="26">
        <v>0</v>
      </c>
      <c r="I323" s="26">
        <v>0</v>
      </c>
      <c r="J323" s="26">
        <v>0</v>
      </c>
      <c r="K323" s="26">
        <v>0</v>
      </c>
      <c r="L323" s="26">
        <v>0</v>
      </c>
      <c r="M323" s="26">
        <v>0</v>
      </c>
      <c r="N323" s="26">
        <v>0</v>
      </c>
      <c r="O323" s="26">
        <v>1</v>
      </c>
      <c r="P323" s="26">
        <v>1</v>
      </c>
      <c r="Q323" s="26">
        <v>1</v>
      </c>
      <c r="R323" s="26">
        <v>1</v>
      </c>
      <c r="S323" s="26">
        <v>1</v>
      </c>
      <c r="T323" s="26">
        <v>1</v>
      </c>
      <c r="U323" s="26">
        <v>1</v>
      </c>
      <c r="V323" s="26">
        <v>1</v>
      </c>
      <c r="W323" s="26">
        <v>1</v>
      </c>
      <c r="X323" s="26">
        <v>1</v>
      </c>
      <c r="Y323" s="26">
        <v>1</v>
      </c>
      <c r="Z323" s="26">
        <v>1</v>
      </c>
      <c r="AA323" s="26">
        <v>1</v>
      </c>
      <c r="AB323" s="26">
        <v>1</v>
      </c>
      <c r="AC323" s="26">
        <v>1</v>
      </c>
      <c r="AD323" s="26">
        <v>1</v>
      </c>
      <c r="AE323" s="26">
        <v>1</v>
      </c>
      <c r="AF323" s="26">
        <v>1</v>
      </c>
      <c r="AG323" s="26">
        <v>1</v>
      </c>
      <c r="AH323" s="26">
        <v>1</v>
      </c>
      <c r="AI323" s="26">
        <v>1</v>
      </c>
      <c r="AJ323" s="26">
        <v>1</v>
      </c>
      <c r="AK323" s="26">
        <v>1</v>
      </c>
      <c r="AL323" s="26">
        <v>1</v>
      </c>
      <c r="AM323" s="26">
        <v>1</v>
      </c>
      <c r="AN323" s="26">
        <v>1</v>
      </c>
      <c r="AO323" s="26">
        <v>1</v>
      </c>
      <c r="AP323" s="26">
        <v>1</v>
      </c>
      <c r="AQ323" s="26">
        <v>1</v>
      </c>
      <c r="AR323" s="26">
        <v>1</v>
      </c>
      <c r="AS323" s="26">
        <v>1</v>
      </c>
      <c r="AT323" s="26">
        <v>1</v>
      </c>
      <c r="AU323" s="26">
        <v>1</v>
      </c>
      <c r="AV323" s="26">
        <v>1</v>
      </c>
      <c r="AW323" s="26">
        <v>3</v>
      </c>
      <c r="AX323" s="26">
        <v>3</v>
      </c>
      <c r="AY323" s="26">
        <v>8</v>
      </c>
      <c r="AZ323" s="26">
        <v>8</v>
      </c>
      <c r="BA323" s="26">
        <v>0</v>
      </c>
      <c r="BB323" s="26">
        <v>0</v>
      </c>
      <c r="BC323" s="26">
        <v>0</v>
      </c>
      <c r="BD323" s="26">
        <v>0</v>
      </c>
      <c r="BE323" s="26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 t="s">
        <v>445</v>
      </c>
    </row>
    <row r="324" spans="1:63" x14ac:dyDescent="0.25">
      <c r="A324" s="26" t="s">
        <v>361</v>
      </c>
      <c r="B324" s="26" t="s">
        <v>37</v>
      </c>
      <c r="C324" s="26">
        <v>39.739199999999997</v>
      </c>
      <c r="D324" s="26">
        <v>-104.9903</v>
      </c>
      <c r="E324" s="26">
        <v>0</v>
      </c>
      <c r="F324" s="26">
        <v>0</v>
      </c>
      <c r="G324" s="26">
        <v>0</v>
      </c>
      <c r="H324" s="26">
        <v>0</v>
      </c>
      <c r="I324" s="26">
        <v>0</v>
      </c>
      <c r="J324" s="26">
        <v>0</v>
      </c>
      <c r="K324" s="26">
        <v>0</v>
      </c>
      <c r="L324" s="26">
        <v>0</v>
      </c>
      <c r="M324" s="26">
        <v>0</v>
      </c>
      <c r="N324" s="26">
        <v>0</v>
      </c>
      <c r="O324" s="26">
        <v>0</v>
      </c>
      <c r="P324" s="26">
        <v>0</v>
      </c>
      <c r="Q324" s="26">
        <v>0</v>
      </c>
      <c r="R324" s="26">
        <v>0</v>
      </c>
      <c r="S324" s="26">
        <v>0</v>
      </c>
      <c r="T324" s="26">
        <v>0</v>
      </c>
      <c r="U324" s="26">
        <v>0</v>
      </c>
      <c r="V324" s="26">
        <v>0</v>
      </c>
      <c r="W324" s="26">
        <v>0</v>
      </c>
      <c r="X324" s="26">
        <v>0</v>
      </c>
      <c r="Y324" s="26">
        <v>0</v>
      </c>
      <c r="Z324" s="26">
        <v>0</v>
      </c>
      <c r="AA324" s="26">
        <v>0</v>
      </c>
      <c r="AB324" s="26">
        <v>0</v>
      </c>
      <c r="AC324" s="26">
        <v>0</v>
      </c>
      <c r="AD324" s="26">
        <v>0</v>
      </c>
      <c r="AE324" s="26">
        <v>0</v>
      </c>
      <c r="AF324" s="26">
        <v>0</v>
      </c>
      <c r="AG324" s="26">
        <v>0</v>
      </c>
      <c r="AH324" s="26">
        <v>0</v>
      </c>
      <c r="AI324" s="26">
        <v>0</v>
      </c>
      <c r="AJ324" s="26">
        <v>0</v>
      </c>
      <c r="AK324" s="26">
        <v>0</v>
      </c>
      <c r="AL324" s="26">
        <v>0</v>
      </c>
      <c r="AM324" s="26">
        <v>0</v>
      </c>
      <c r="AN324" s="26">
        <v>0</v>
      </c>
      <c r="AO324" s="26">
        <v>0</v>
      </c>
      <c r="AP324" s="26">
        <v>0</v>
      </c>
      <c r="AQ324" s="26">
        <v>0</v>
      </c>
      <c r="AR324" s="26">
        <v>0</v>
      </c>
      <c r="AS324" s="26">
        <v>0</v>
      </c>
      <c r="AT324" s="26">
        <v>0</v>
      </c>
      <c r="AU324" s="26">
        <v>0</v>
      </c>
      <c r="AV324" s="26">
        <v>0</v>
      </c>
      <c r="AW324" s="26">
        <v>2</v>
      </c>
      <c r="AX324" s="26">
        <v>2</v>
      </c>
      <c r="AY324" s="26">
        <v>2</v>
      </c>
      <c r="AZ324" s="26">
        <v>2</v>
      </c>
      <c r="BA324" s="26">
        <v>0</v>
      </c>
      <c r="BB324" s="26">
        <v>0</v>
      </c>
      <c r="BC324" s="26">
        <v>0</v>
      </c>
      <c r="BD324" s="26">
        <v>0</v>
      </c>
      <c r="BE324" s="26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 t="s">
        <v>445</v>
      </c>
    </row>
    <row r="325" spans="1:63" x14ac:dyDescent="0.25">
      <c r="A325" s="26" t="s">
        <v>362</v>
      </c>
      <c r="B325" s="26" t="s">
        <v>37</v>
      </c>
      <c r="C325" s="26">
        <v>39.591200000000001</v>
      </c>
      <c r="D325" s="26">
        <v>-106.06399999999999</v>
      </c>
      <c r="E325" s="26">
        <v>0</v>
      </c>
      <c r="F325" s="26">
        <v>0</v>
      </c>
      <c r="G325" s="26">
        <v>0</v>
      </c>
      <c r="H325" s="26">
        <v>0</v>
      </c>
      <c r="I325" s="26">
        <v>0</v>
      </c>
      <c r="J325" s="26">
        <v>0</v>
      </c>
      <c r="K325" s="26">
        <v>0</v>
      </c>
      <c r="L325" s="26">
        <v>0</v>
      </c>
      <c r="M325" s="26">
        <v>0</v>
      </c>
      <c r="N325" s="26">
        <v>0</v>
      </c>
      <c r="O325" s="26">
        <v>0</v>
      </c>
      <c r="P325" s="26">
        <v>0</v>
      </c>
      <c r="Q325" s="26">
        <v>0</v>
      </c>
      <c r="R325" s="26">
        <v>0</v>
      </c>
      <c r="S325" s="26">
        <v>0</v>
      </c>
      <c r="T325" s="26">
        <v>0</v>
      </c>
      <c r="U325" s="26">
        <v>0</v>
      </c>
      <c r="V325" s="26">
        <v>0</v>
      </c>
      <c r="W325" s="26">
        <v>0</v>
      </c>
      <c r="X325" s="26">
        <v>0</v>
      </c>
      <c r="Y325" s="26">
        <v>0</v>
      </c>
      <c r="Z325" s="26">
        <v>0</v>
      </c>
      <c r="AA325" s="26">
        <v>0</v>
      </c>
      <c r="AB325" s="26">
        <v>0</v>
      </c>
      <c r="AC325" s="26">
        <v>0</v>
      </c>
      <c r="AD325" s="26">
        <v>0</v>
      </c>
      <c r="AE325" s="26">
        <v>0</v>
      </c>
      <c r="AF325" s="26">
        <v>0</v>
      </c>
      <c r="AG325" s="26">
        <v>0</v>
      </c>
      <c r="AH325" s="26">
        <v>0</v>
      </c>
      <c r="AI325" s="26">
        <v>0</v>
      </c>
      <c r="AJ325" s="26">
        <v>0</v>
      </c>
      <c r="AK325" s="26">
        <v>0</v>
      </c>
      <c r="AL325" s="26">
        <v>0</v>
      </c>
      <c r="AM325" s="26">
        <v>0</v>
      </c>
      <c r="AN325" s="26">
        <v>0</v>
      </c>
      <c r="AO325" s="26">
        <v>0</v>
      </c>
      <c r="AP325" s="26">
        <v>0</v>
      </c>
      <c r="AQ325" s="26">
        <v>0</v>
      </c>
      <c r="AR325" s="26">
        <v>0</v>
      </c>
      <c r="AS325" s="26">
        <v>0</v>
      </c>
      <c r="AT325" s="26">
        <v>0</v>
      </c>
      <c r="AU325" s="26">
        <v>0</v>
      </c>
      <c r="AV325" s="26">
        <v>0</v>
      </c>
      <c r="AW325" s="26">
        <v>1</v>
      </c>
      <c r="AX325" s="26">
        <v>1</v>
      </c>
      <c r="AY325" s="26">
        <v>1</v>
      </c>
      <c r="AZ325" s="26">
        <v>1</v>
      </c>
      <c r="BA325" s="26">
        <v>0</v>
      </c>
      <c r="BB325" s="26">
        <v>0</v>
      </c>
      <c r="BC325" s="26">
        <v>0</v>
      </c>
      <c r="BD325" s="26">
        <v>0</v>
      </c>
      <c r="BE325" s="26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 t="s">
        <v>445</v>
      </c>
    </row>
    <row r="326" spans="1:63" x14ac:dyDescent="0.25">
      <c r="A326" s="26" t="s">
        <v>363</v>
      </c>
      <c r="B326" s="26" t="s">
        <v>37</v>
      </c>
      <c r="C326" s="26">
        <v>40.926299999999998</v>
      </c>
      <c r="D326" s="26">
        <v>-74.076999999999998</v>
      </c>
      <c r="E326" s="26">
        <v>0</v>
      </c>
      <c r="F326" s="26">
        <v>0</v>
      </c>
      <c r="G326" s="26">
        <v>0</v>
      </c>
      <c r="H326" s="26">
        <v>0</v>
      </c>
      <c r="I326" s="26">
        <v>0</v>
      </c>
      <c r="J326" s="26">
        <v>0</v>
      </c>
      <c r="K326" s="26">
        <v>0</v>
      </c>
      <c r="L326" s="26">
        <v>0</v>
      </c>
      <c r="M326" s="26">
        <v>0</v>
      </c>
      <c r="N326" s="26">
        <v>0</v>
      </c>
      <c r="O326" s="26">
        <v>0</v>
      </c>
      <c r="P326" s="26">
        <v>0</v>
      </c>
      <c r="Q326" s="26">
        <v>0</v>
      </c>
      <c r="R326" s="26">
        <v>0</v>
      </c>
      <c r="S326" s="26">
        <v>0</v>
      </c>
      <c r="T326" s="26">
        <v>0</v>
      </c>
      <c r="U326" s="26">
        <v>0</v>
      </c>
      <c r="V326" s="26">
        <v>0</v>
      </c>
      <c r="W326" s="26">
        <v>0</v>
      </c>
      <c r="X326" s="26">
        <v>0</v>
      </c>
      <c r="Y326" s="26">
        <v>0</v>
      </c>
      <c r="Z326" s="26">
        <v>0</v>
      </c>
      <c r="AA326" s="26">
        <v>0</v>
      </c>
      <c r="AB326" s="26">
        <v>0</v>
      </c>
      <c r="AC326" s="26">
        <v>0</v>
      </c>
      <c r="AD326" s="26">
        <v>0</v>
      </c>
      <c r="AE326" s="26">
        <v>0</v>
      </c>
      <c r="AF326" s="26">
        <v>0</v>
      </c>
      <c r="AG326" s="26">
        <v>0</v>
      </c>
      <c r="AH326" s="26">
        <v>0</v>
      </c>
      <c r="AI326" s="26">
        <v>0</v>
      </c>
      <c r="AJ326" s="26">
        <v>0</v>
      </c>
      <c r="AK326" s="26">
        <v>0</v>
      </c>
      <c r="AL326" s="26">
        <v>0</v>
      </c>
      <c r="AM326" s="26">
        <v>0</v>
      </c>
      <c r="AN326" s="26">
        <v>0</v>
      </c>
      <c r="AO326" s="26">
        <v>0</v>
      </c>
      <c r="AP326" s="26">
        <v>0</v>
      </c>
      <c r="AQ326" s="26">
        <v>0</v>
      </c>
      <c r="AR326" s="26">
        <v>0</v>
      </c>
      <c r="AS326" s="26">
        <v>0</v>
      </c>
      <c r="AT326" s="26">
        <v>0</v>
      </c>
      <c r="AU326" s="26">
        <v>0</v>
      </c>
      <c r="AV326" s="26">
        <v>2</v>
      </c>
      <c r="AW326" s="26">
        <v>2</v>
      </c>
      <c r="AX326" s="26">
        <v>4</v>
      </c>
      <c r="AY326" s="26">
        <v>4</v>
      </c>
      <c r="AZ326" s="26">
        <v>4</v>
      </c>
      <c r="BA326" s="26">
        <v>0</v>
      </c>
      <c r="BB326" s="26">
        <v>0</v>
      </c>
      <c r="BC326" s="26">
        <v>0</v>
      </c>
      <c r="BD326" s="26">
        <v>0</v>
      </c>
      <c r="BE326" s="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 t="s">
        <v>445</v>
      </c>
    </row>
    <row r="327" spans="1:63" x14ac:dyDescent="0.25">
      <c r="A327" s="26" t="s">
        <v>364</v>
      </c>
      <c r="B327" s="26" t="s">
        <v>37</v>
      </c>
      <c r="C327" s="26">
        <v>29.775200000000002</v>
      </c>
      <c r="D327" s="26">
        <v>-95.310299999999998</v>
      </c>
      <c r="E327" s="26">
        <v>0</v>
      </c>
      <c r="F327" s="26">
        <v>0</v>
      </c>
      <c r="G327" s="26">
        <v>0</v>
      </c>
      <c r="H327" s="26">
        <v>0</v>
      </c>
      <c r="I327" s="26">
        <v>0</v>
      </c>
      <c r="J327" s="26">
        <v>0</v>
      </c>
      <c r="K327" s="26">
        <v>0</v>
      </c>
      <c r="L327" s="26">
        <v>0</v>
      </c>
      <c r="M327" s="26">
        <v>0</v>
      </c>
      <c r="N327" s="26">
        <v>0</v>
      </c>
      <c r="O327" s="26">
        <v>0</v>
      </c>
      <c r="P327" s="26">
        <v>0</v>
      </c>
      <c r="Q327" s="26">
        <v>0</v>
      </c>
      <c r="R327" s="26">
        <v>0</v>
      </c>
      <c r="S327" s="26">
        <v>0</v>
      </c>
      <c r="T327" s="26">
        <v>0</v>
      </c>
      <c r="U327" s="26">
        <v>0</v>
      </c>
      <c r="V327" s="26">
        <v>0</v>
      </c>
      <c r="W327" s="26">
        <v>0</v>
      </c>
      <c r="X327" s="26">
        <v>0</v>
      </c>
      <c r="Y327" s="26">
        <v>0</v>
      </c>
      <c r="Z327" s="26">
        <v>0</v>
      </c>
      <c r="AA327" s="26">
        <v>0</v>
      </c>
      <c r="AB327" s="26">
        <v>0</v>
      </c>
      <c r="AC327" s="26">
        <v>0</v>
      </c>
      <c r="AD327" s="26">
        <v>0</v>
      </c>
      <c r="AE327" s="26">
        <v>0</v>
      </c>
      <c r="AF327" s="26">
        <v>0</v>
      </c>
      <c r="AG327" s="26">
        <v>0</v>
      </c>
      <c r="AH327" s="26">
        <v>0</v>
      </c>
      <c r="AI327" s="26">
        <v>0</v>
      </c>
      <c r="AJ327" s="26">
        <v>0</v>
      </c>
      <c r="AK327" s="26">
        <v>0</v>
      </c>
      <c r="AL327" s="26">
        <v>0</v>
      </c>
      <c r="AM327" s="26">
        <v>0</v>
      </c>
      <c r="AN327" s="26">
        <v>0</v>
      </c>
      <c r="AO327" s="26">
        <v>0</v>
      </c>
      <c r="AP327" s="26">
        <v>0</v>
      </c>
      <c r="AQ327" s="26">
        <v>0</v>
      </c>
      <c r="AR327" s="26">
        <v>0</v>
      </c>
      <c r="AS327" s="26">
        <v>0</v>
      </c>
      <c r="AT327" s="26">
        <v>0</v>
      </c>
      <c r="AU327" s="26">
        <v>0</v>
      </c>
      <c r="AV327" s="26">
        <v>2</v>
      </c>
      <c r="AW327" s="26">
        <v>3</v>
      </c>
      <c r="AX327" s="26">
        <v>5</v>
      </c>
      <c r="AY327" s="26">
        <v>5</v>
      </c>
      <c r="AZ327" s="26">
        <v>6</v>
      </c>
      <c r="BA327" s="26">
        <v>0</v>
      </c>
      <c r="BB327" s="26">
        <v>0</v>
      </c>
      <c r="BC327" s="26">
        <v>0</v>
      </c>
      <c r="BD327" s="26">
        <v>0</v>
      </c>
      <c r="BE327" s="26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 t="s">
        <v>445</v>
      </c>
    </row>
    <row r="328" spans="1:63" x14ac:dyDescent="0.25">
      <c r="A328" s="26" t="s">
        <v>365</v>
      </c>
      <c r="B328" s="26" t="s">
        <v>37</v>
      </c>
      <c r="C328" s="26">
        <v>37.774900000000002</v>
      </c>
      <c r="D328" s="26">
        <v>-122.4194</v>
      </c>
      <c r="E328" s="26">
        <v>0</v>
      </c>
      <c r="F328" s="26">
        <v>0</v>
      </c>
      <c r="G328" s="26">
        <v>0</v>
      </c>
      <c r="H328" s="26">
        <v>0</v>
      </c>
      <c r="I328" s="26">
        <v>0</v>
      </c>
      <c r="J328" s="26">
        <v>0</v>
      </c>
      <c r="K328" s="26">
        <v>0</v>
      </c>
      <c r="L328" s="26">
        <v>0</v>
      </c>
      <c r="M328" s="26">
        <v>0</v>
      </c>
      <c r="N328" s="26">
        <v>0</v>
      </c>
      <c r="O328" s="26">
        <v>0</v>
      </c>
      <c r="P328" s="26">
        <v>0</v>
      </c>
      <c r="Q328" s="26">
        <v>0</v>
      </c>
      <c r="R328" s="26">
        <v>0</v>
      </c>
      <c r="S328" s="26">
        <v>0</v>
      </c>
      <c r="T328" s="26">
        <v>0</v>
      </c>
      <c r="U328" s="26">
        <v>0</v>
      </c>
      <c r="V328" s="26">
        <v>0</v>
      </c>
      <c r="W328" s="26">
        <v>0</v>
      </c>
      <c r="X328" s="26">
        <v>0</v>
      </c>
      <c r="Y328" s="26">
        <v>0</v>
      </c>
      <c r="Z328" s="26">
        <v>0</v>
      </c>
      <c r="AA328" s="26">
        <v>0</v>
      </c>
      <c r="AB328" s="26">
        <v>0</v>
      </c>
      <c r="AC328" s="26">
        <v>0</v>
      </c>
      <c r="AD328" s="26">
        <v>0</v>
      </c>
      <c r="AE328" s="26">
        <v>0</v>
      </c>
      <c r="AF328" s="26">
        <v>0</v>
      </c>
      <c r="AG328" s="26">
        <v>0</v>
      </c>
      <c r="AH328" s="26">
        <v>0</v>
      </c>
      <c r="AI328" s="26">
        <v>0</v>
      </c>
      <c r="AJ328" s="26">
        <v>0</v>
      </c>
      <c r="AK328" s="26">
        <v>0</v>
      </c>
      <c r="AL328" s="26">
        <v>0</v>
      </c>
      <c r="AM328" s="26">
        <v>0</v>
      </c>
      <c r="AN328" s="26">
        <v>0</v>
      </c>
      <c r="AO328" s="26">
        <v>0</v>
      </c>
      <c r="AP328" s="26">
        <v>0</v>
      </c>
      <c r="AQ328" s="26">
        <v>0</v>
      </c>
      <c r="AR328" s="26">
        <v>0</v>
      </c>
      <c r="AS328" s="26">
        <v>0</v>
      </c>
      <c r="AT328" s="26">
        <v>0</v>
      </c>
      <c r="AU328" s="26">
        <v>0</v>
      </c>
      <c r="AV328" s="26">
        <v>2</v>
      </c>
      <c r="AW328" s="26">
        <v>2</v>
      </c>
      <c r="AX328" s="26">
        <v>9</v>
      </c>
      <c r="AY328" s="26">
        <v>9</v>
      </c>
      <c r="AZ328" s="26">
        <v>9</v>
      </c>
      <c r="BA328" s="26">
        <v>0</v>
      </c>
      <c r="BB328" s="26">
        <v>0</v>
      </c>
      <c r="BC328" s="26">
        <v>0</v>
      </c>
      <c r="BD328" s="26">
        <v>0</v>
      </c>
      <c r="BE328" s="26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 t="s">
        <v>445</v>
      </c>
    </row>
    <row r="329" spans="1:63" x14ac:dyDescent="0.25">
      <c r="A329" s="26" t="s">
        <v>366</v>
      </c>
      <c r="B329" s="26" t="s">
        <v>37</v>
      </c>
      <c r="C329" s="26">
        <v>37.853400000000001</v>
      </c>
      <c r="D329" s="26">
        <v>-121.90179999999999</v>
      </c>
      <c r="E329" s="26">
        <v>0</v>
      </c>
      <c r="F329" s="26">
        <v>0</v>
      </c>
      <c r="G329" s="26">
        <v>0</v>
      </c>
      <c r="H329" s="26">
        <v>0</v>
      </c>
      <c r="I329" s="26">
        <v>0</v>
      </c>
      <c r="J329" s="26">
        <v>0</v>
      </c>
      <c r="K329" s="26">
        <v>0</v>
      </c>
      <c r="L329" s="26">
        <v>0</v>
      </c>
      <c r="M329" s="26">
        <v>0</v>
      </c>
      <c r="N329" s="26">
        <v>0</v>
      </c>
      <c r="O329" s="26">
        <v>0</v>
      </c>
      <c r="P329" s="26">
        <v>0</v>
      </c>
      <c r="Q329" s="26">
        <v>0</v>
      </c>
      <c r="R329" s="26">
        <v>0</v>
      </c>
      <c r="S329" s="26">
        <v>0</v>
      </c>
      <c r="T329" s="26">
        <v>0</v>
      </c>
      <c r="U329" s="26">
        <v>0</v>
      </c>
      <c r="V329" s="26">
        <v>0</v>
      </c>
      <c r="W329" s="26">
        <v>0</v>
      </c>
      <c r="X329" s="26">
        <v>0</v>
      </c>
      <c r="Y329" s="26">
        <v>0</v>
      </c>
      <c r="Z329" s="26">
        <v>0</v>
      </c>
      <c r="AA329" s="26">
        <v>0</v>
      </c>
      <c r="AB329" s="26">
        <v>0</v>
      </c>
      <c r="AC329" s="26">
        <v>0</v>
      </c>
      <c r="AD329" s="26">
        <v>0</v>
      </c>
      <c r="AE329" s="26">
        <v>0</v>
      </c>
      <c r="AF329" s="26">
        <v>0</v>
      </c>
      <c r="AG329" s="26">
        <v>0</v>
      </c>
      <c r="AH329" s="26">
        <v>0</v>
      </c>
      <c r="AI329" s="26">
        <v>0</v>
      </c>
      <c r="AJ329" s="26">
        <v>0</v>
      </c>
      <c r="AK329" s="26">
        <v>0</v>
      </c>
      <c r="AL329" s="26">
        <v>0</v>
      </c>
      <c r="AM329" s="26">
        <v>0</v>
      </c>
      <c r="AN329" s="26">
        <v>0</v>
      </c>
      <c r="AO329" s="26">
        <v>0</v>
      </c>
      <c r="AP329" s="26">
        <v>0</v>
      </c>
      <c r="AQ329" s="26">
        <v>0</v>
      </c>
      <c r="AR329" s="26">
        <v>0</v>
      </c>
      <c r="AS329" s="26">
        <v>0</v>
      </c>
      <c r="AT329" s="26">
        <v>0</v>
      </c>
      <c r="AU329" s="26">
        <v>1</v>
      </c>
      <c r="AV329" s="26">
        <v>1</v>
      </c>
      <c r="AW329" s="26">
        <v>3</v>
      </c>
      <c r="AX329" s="26">
        <v>3</v>
      </c>
      <c r="AY329" s="26">
        <v>9</v>
      </c>
      <c r="AZ329" s="26">
        <v>9</v>
      </c>
      <c r="BA329" s="26">
        <v>0</v>
      </c>
      <c r="BB329" s="26">
        <v>0</v>
      </c>
      <c r="BC329" s="26">
        <v>0</v>
      </c>
      <c r="BD329" s="26">
        <v>0</v>
      </c>
      <c r="BE329" s="26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 t="s">
        <v>445</v>
      </c>
    </row>
    <row r="330" spans="1:63" x14ac:dyDescent="0.25">
      <c r="A330" s="26" t="s">
        <v>367</v>
      </c>
      <c r="B330" s="26" t="s">
        <v>37</v>
      </c>
      <c r="C330" s="26">
        <v>33.7879</v>
      </c>
      <c r="D330" s="26">
        <v>-117.8531</v>
      </c>
      <c r="E330" s="26">
        <v>0</v>
      </c>
      <c r="F330" s="26">
        <v>0</v>
      </c>
      <c r="G330" s="26">
        <v>0</v>
      </c>
      <c r="H330" s="26">
        <v>0</v>
      </c>
      <c r="I330" s="26">
        <v>1</v>
      </c>
      <c r="J330" s="26">
        <v>1</v>
      </c>
      <c r="K330" s="26">
        <v>1</v>
      </c>
      <c r="L330" s="26">
        <v>1</v>
      </c>
      <c r="M330" s="26">
        <v>1</v>
      </c>
      <c r="N330" s="26">
        <v>1</v>
      </c>
      <c r="O330" s="26">
        <v>1</v>
      </c>
      <c r="P330" s="26">
        <v>1</v>
      </c>
      <c r="Q330" s="26">
        <v>1</v>
      </c>
      <c r="R330" s="26">
        <v>1</v>
      </c>
      <c r="S330" s="26">
        <v>1</v>
      </c>
      <c r="T330" s="26">
        <v>1</v>
      </c>
      <c r="U330" s="26">
        <v>1</v>
      </c>
      <c r="V330" s="26">
        <v>1</v>
      </c>
      <c r="W330" s="26">
        <v>1</v>
      </c>
      <c r="X330" s="26">
        <v>1</v>
      </c>
      <c r="Y330" s="26">
        <v>1</v>
      </c>
      <c r="Z330" s="26">
        <v>1</v>
      </c>
      <c r="AA330" s="26">
        <v>1</v>
      </c>
      <c r="AB330" s="26">
        <v>1</v>
      </c>
      <c r="AC330" s="26">
        <v>1</v>
      </c>
      <c r="AD330" s="26">
        <v>1</v>
      </c>
      <c r="AE330" s="26">
        <v>1</v>
      </c>
      <c r="AF330" s="26">
        <v>1</v>
      </c>
      <c r="AG330" s="26">
        <v>1</v>
      </c>
      <c r="AH330" s="26">
        <v>1</v>
      </c>
      <c r="AI330" s="26">
        <v>1</v>
      </c>
      <c r="AJ330" s="26">
        <v>1</v>
      </c>
      <c r="AK330" s="26">
        <v>1</v>
      </c>
      <c r="AL330" s="26">
        <v>1</v>
      </c>
      <c r="AM330" s="26">
        <v>1</v>
      </c>
      <c r="AN330" s="26">
        <v>1</v>
      </c>
      <c r="AO330" s="26">
        <v>1</v>
      </c>
      <c r="AP330" s="26">
        <v>1</v>
      </c>
      <c r="AQ330" s="26">
        <v>1</v>
      </c>
      <c r="AR330" s="26">
        <v>1</v>
      </c>
      <c r="AS330" s="26">
        <v>1</v>
      </c>
      <c r="AT330" s="26">
        <v>1</v>
      </c>
      <c r="AU330" s="26">
        <v>3</v>
      </c>
      <c r="AV330" s="26">
        <v>3</v>
      </c>
      <c r="AW330" s="26">
        <v>3</v>
      </c>
      <c r="AX330" s="26">
        <v>3</v>
      </c>
      <c r="AY330" s="26">
        <v>3</v>
      </c>
      <c r="AZ330" s="26">
        <v>4</v>
      </c>
      <c r="BA330" s="26">
        <v>0</v>
      </c>
      <c r="BB330" s="26">
        <v>0</v>
      </c>
      <c r="BC330" s="26">
        <v>0</v>
      </c>
      <c r="BD330" s="26">
        <v>0</v>
      </c>
      <c r="BE330" s="26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 t="s">
        <v>445</v>
      </c>
    </row>
    <row r="331" spans="1:63" x14ac:dyDescent="0.25">
      <c r="A331" s="26" t="s">
        <v>368</v>
      </c>
      <c r="B331" s="26" t="s">
        <v>37</v>
      </c>
      <c r="C331" s="26">
        <v>42.176699999999997</v>
      </c>
      <c r="D331" s="26">
        <v>-71.144900000000007</v>
      </c>
      <c r="E331" s="26">
        <v>0</v>
      </c>
      <c r="F331" s="26">
        <v>0</v>
      </c>
      <c r="G331" s="26">
        <v>0</v>
      </c>
      <c r="H331" s="26">
        <v>0</v>
      </c>
      <c r="I331" s="26">
        <v>0</v>
      </c>
      <c r="J331" s="26">
        <v>0</v>
      </c>
      <c r="K331" s="26">
        <v>0</v>
      </c>
      <c r="L331" s="26">
        <v>0</v>
      </c>
      <c r="M331" s="26">
        <v>0</v>
      </c>
      <c r="N331" s="26">
        <v>0</v>
      </c>
      <c r="O331" s="26">
        <v>0</v>
      </c>
      <c r="P331" s="26">
        <v>0</v>
      </c>
      <c r="Q331" s="26">
        <v>0</v>
      </c>
      <c r="R331" s="26">
        <v>0</v>
      </c>
      <c r="S331" s="26">
        <v>0</v>
      </c>
      <c r="T331" s="26">
        <v>0</v>
      </c>
      <c r="U331" s="26">
        <v>0</v>
      </c>
      <c r="V331" s="26">
        <v>0</v>
      </c>
      <c r="W331" s="26">
        <v>0</v>
      </c>
      <c r="X331" s="26">
        <v>0</v>
      </c>
      <c r="Y331" s="26">
        <v>0</v>
      </c>
      <c r="Z331" s="26">
        <v>0</v>
      </c>
      <c r="AA331" s="26">
        <v>0</v>
      </c>
      <c r="AB331" s="26">
        <v>0</v>
      </c>
      <c r="AC331" s="26">
        <v>0</v>
      </c>
      <c r="AD331" s="26">
        <v>0</v>
      </c>
      <c r="AE331" s="26">
        <v>0</v>
      </c>
      <c r="AF331" s="26">
        <v>0</v>
      </c>
      <c r="AG331" s="26">
        <v>0</v>
      </c>
      <c r="AH331" s="26">
        <v>0</v>
      </c>
      <c r="AI331" s="26">
        <v>0</v>
      </c>
      <c r="AJ331" s="26">
        <v>0</v>
      </c>
      <c r="AK331" s="26">
        <v>0</v>
      </c>
      <c r="AL331" s="26">
        <v>0</v>
      </c>
      <c r="AM331" s="26">
        <v>0</v>
      </c>
      <c r="AN331" s="26">
        <v>0</v>
      </c>
      <c r="AO331" s="26">
        <v>0</v>
      </c>
      <c r="AP331" s="26">
        <v>0</v>
      </c>
      <c r="AQ331" s="26">
        <v>0</v>
      </c>
      <c r="AR331" s="26">
        <v>0</v>
      </c>
      <c r="AS331" s="26">
        <v>0</v>
      </c>
      <c r="AT331" s="26">
        <v>1</v>
      </c>
      <c r="AU331" s="26">
        <v>1</v>
      </c>
      <c r="AV331" s="26">
        <v>1</v>
      </c>
      <c r="AW331" s="26">
        <v>2</v>
      </c>
      <c r="AX331" s="26">
        <v>2</v>
      </c>
      <c r="AY331" s="26">
        <v>6</v>
      </c>
      <c r="AZ331" s="26">
        <v>6</v>
      </c>
      <c r="BA331" s="26">
        <v>0</v>
      </c>
      <c r="BB331" s="26">
        <v>0</v>
      </c>
      <c r="BC331" s="26">
        <v>0</v>
      </c>
      <c r="BD331" s="26">
        <v>0</v>
      </c>
      <c r="BE331" s="26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 t="s">
        <v>445</v>
      </c>
    </row>
    <row r="332" spans="1:63" x14ac:dyDescent="0.25">
      <c r="A332" s="26" t="s">
        <v>369</v>
      </c>
      <c r="B332" s="26" t="s">
        <v>37</v>
      </c>
      <c r="C332" s="26">
        <v>33.291800000000002</v>
      </c>
      <c r="D332" s="26">
        <v>-112.42910000000001</v>
      </c>
      <c r="E332" s="26">
        <v>0</v>
      </c>
      <c r="F332" s="26">
        <v>0</v>
      </c>
      <c r="G332" s="26">
        <v>0</v>
      </c>
      <c r="H332" s="26">
        <v>0</v>
      </c>
      <c r="I332" s="26">
        <v>1</v>
      </c>
      <c r="J332" s="26">
        <v>1</v>
      </c>
      <c r="K332" s="26">
        <v>1</v>
      </c>
      <c r="L332" s="26">
        <v>1</v>
      </c>
      <c r="M332" s="26">
        <v>1</v>
      </c>
      <c r="N332" s="26">
        <v>1</v>
      </c>
      <c r="O332" s="26">
        <v>1</v>
      </c>
      <c r="P332" s="26">
        <v>1</v>
      </c>
      <c r="Q332" s="26">
        <v>1</v>
      </c>
      <c r="R332" s="26">
        <v>1</v>
      </c>
      <c r="S332" s="26">
        <v>1</v>
      </c>
      <c r="T332" s="26">
        <v>1</v>
      </c>
      <c r="U332" s="26">
        <v>1</v>
      </c>
      <c r="V332" s="26">
        <v>1</v>
      </c>
      <c r="W332" s="26">
        <v>1</v>
      </c>
      <c r="X332" s="26">
        <v>1</v>
      </c>
      <c r="Y332" s="26">
        <v>1</v>
      </c>
      <c r="Z332" s="26">
        <v>1</v>
      </c>
      <c r="AA332" s="26">
        <v>1</v>
      </c>
      <c r="AB332" s="26">
        <v>1</v>
      </c>
      <c r="AC332" s="26">
        <v>1</v>
      </c>
      <c r="AD332" s="26">
        <v>1</v>
      </c>
      <c r="AE332" s="26">
        <v>1</v>
      </c>
      <c r="AF332" s="26">
        <v>1</v>
      </c>
      <c r="AG332" s="26">
        <v>1</v>
      </c>
      <c r="AH332" s="26">
        <v>1</v>
      </c>
      <c r="AI332" s="26">
        <v>1</v>
      </c>
      <c r="AJ332" s="26">
        <v>1</v>
      </c>
      <c r="AK332" s="26">
        <v>1</v>
      </c>
      <c r="AL332" s="26">
        <v>1</v>
      </c>
      <c r="AM332" s="26">
        <v>1</v>
      </c>
      <c r="AN332" s="26">
        <v>1</v>
      </c>
      <c r="AO332" s="26">
        <v>1</v>
      </c>
      <c r="AP332" s="26">
        <v>1</v>
      </c>
      <c r="AQ332" s="26">
        <v>1</v>
      </c>
      <c r="AR332" s="26">
        <v>1</v>
      </c>
      <c r="AS332" s="26">
        <v>1</v>
      </c>
      <c r="AT332" s="26">
        <v>1</v>
      </c>
      <c r="AU332" s="26">
        <v>1</v>
      </c>
      <c r="AV332" s="26">
        <v>1</v>
      </c>
      <c r="AW332" s="26">
        <v>2</v>
      </c>
      <c r="AX332" s="26">
        <v>2</v>
      </c>
      <c r="AY332" s="26">
        <v>2</v>
      </c>
      <c r="AZ332" s="26">
        <v>2</v>
      </c>
      <c r="BA332" s="26">
        <v>0</v>
      </c>
      <c r="BB332" s="26">
        <v>0</v>
      </c>
      <c r="BC332" s="26">
        <v>0</v>
      </c>
      <c r="BD332" s="26">
        <v>0</v>
      </c>
      <c r="BE332" s="26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 t="s">
        <v>445</v>
      </c>
    </row>
    <row r="333" spans="1:63" x14ac:dyDescent="0.25">
      <c r="A333" s="26" t="s">
        <v>370</v>
      </c>
      <c r="B333" s="26" t="s">
        <v>37</v>
      </c>
      <c r="C333" s="26">
        <v>35.803199999999997</v>
      </c>
      <c r="D333" s="26">
        <v>-78.566100000000006</v>
      </c>
      <c r="E333" s="26">
        <v>0</v>
      </c>
      <c r="F333" s="26">
        <v>0</v>
      </c>
      <c r="G333" s="26">
        <v>0</v>
      </c>
      <c r="H333" s="26">
        <v>0</v>
      </c>
      <c r="I333" s="26">
        <v>0</v>
      </c>
      <c r="J333" s="26">
        <v>0</v>
      </c>
      <c r="K333" s="26">
        <v>0</v>
      </c>
      <c r="L333" s="26">
        <v>0</v>
      </c>
      <c r="M333" s="26">
        <v>0</v>
      </c>
      <c r="N333" s="26">
        <v>0</v>
      </c>
      <c r="O333" s="26">
        <v>0</v>
      </c>
      <c r="P333" s="26">
        <v>0</v>
      </c>
      <c r="Q333" s="26">
        <v>0</v>
      </c>
      <c r="R333" s="26">
        <v>0</v>
      </c>
      <c r="S333" s="26">
        <v>0</v>
      </c>
      <c r="T333" s="26">
        <v>0</v>
      </c>
      <c r="U333" s="26">
        <v>0</v>
      </c>
      <c r="V333" s="26">
        <v>0</v>
      </c>
      <c r="W333" s="26">
        <v>0</v>
      </c>
      <c r="X333" s="26">
        <v>0</v>
      </c>
      <c r="Y333" s="26">
        <v>0</v>
      </c>
      <c r="Z333" s="26">
        <v>0</v>
      </c>
      <c r="AA333" s="26">
        <v>0</v>
      </c>
      <c r="AB333" s="26">
        <v>0</v>
      </c>
      <c r="AC333" s="26">
        <v>0</v>
      </c>
      <c r="AD333" s="26">
        <v>0</v>
      </c>
      <c r="AE333" s="26">
        <v>0</v>
      </c>
      <c r="AF333" s="26">
        <v>0</v>
      </c>
      <c r="AG333" s="26">
        <v>0</v>
      </c>
      <c r="AH333" s="26">
        <v>0</v>
      </c>
      <c r="AI333" s="26">
        <v>0</v>
      </c>
      <c r="AJ333" s="26">
        <v>0</v>
      </c>
      <c r="AK333" s="26">
        <v>0</v>
      </c>
      <c r="AL333" s="26">
        <v>0</v>
      </c>
      <c r="AM333" s="26">
        <v>0</v>
      </c>
      <c r="AN333" s="26">
        <v>0</v>
      </c>
      <c r="AO333" s="26">
        <v>0</v>
      </c>
      <c r="AP333" s="26">
        <v>0</v>
      </c>
      <c r="AQ333" s="26">
        <v>0</v>
      </c>
      <c r="AR333" s="26">
        <v>0</v>
      </c>
      <c r="AS333" s="26">
        <v>0</v>
      </c>
      <c r="AT333" s="26">
        <v>1</v>
      </c>
      <c r="AU333" s="26">
        <v>1</v>
      </c>
      <c r="AV333" s="26">
        <v>1</v>
      </c>
      <c r="AW333" s="26">
        <v>1</v>
      </c>
      <c r="AX333" s="26">
        <v>1</v>
      </c>
      <c r="AY333" s="26">
        <v>1</v>
      </c>
      <c r="AZ333" s="26">
        <v>1</v>
      </c>
      <c r="BA333" s="26">
        <v>0</v>
      </c>
      <c r="BB333" s="26">
        <v>0</v>
      </c>
      <c r="BC333" s="26">
        <v>0</v>
      </c>
      <c r="BD333" s="26">
        <v>0</v>
      </c>
      <c r="BE333" s="26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 t="s">
        <v>445</v>
      </c>
    </row>
    <row r="334" spans="1:63" x14ac:dyDescent="0.25">
      <c r="A334" s="26" t="s">
        <v>371</v>
      </c>
      <c r="B334" s="26" t="s">
        <v>37</v>
      </c>
      <c r="C334" s="26">
        <v>41.122</v>
      </c>
      <c r="D334" s="26">
        <v>-73.794899999999998</v>
      </c>
      <c r="E334" s="26">
        <v>0</v>
      </c>
      <c r="F334" s="26">
        <v>0</v>
      </c>
      <c r="G334" s="26">
        <v>0</v>
      </c>
      <c r="H334" s="26">
        <v>0</v>
      </c>
      <c r="I334" s="26">
        <v>0</v>
      </c>
      <c r="J334" s="26">
        <v>0</v>
      </c>
      <c r="K334" s="26">
        <v>0</v>
      </c>
      <c r="L334" s="26">
        <v>0</v>
      </c>
      <c r="M334" s="26">
        <v>0</v>
      </c>
      <c r="N334" s="26">
        <v>0</v>
      </c>
      <c r="O334" s="26">
        <v>0</v>
      </c>
      <c r="P334" s="26">
        <v>0</v>
      </c>
      <c r="Q334" s="26">
        <v>0</v>
      </c>
      <c r="R334" s="26">
        <v>0</v>
      </c>
      <c r="S334" s="26">
        <v>0</v>
      </c>
      <c r="T334" s="26">
        <v>0</v>
      </c>
      <c r="U334" s="26">
        <v>0</v>
      </c>
      <c r="V334" s="26">
        <v>0</v>
      </c>
      <c r="W334" s="26">
        <v>0</v>
      </c>
      <c r="X334" s="26">
        <v>0</v>
      </c>
      <c r="Y334" s="26">
        <v>0</v>
      </c>
      <c r="Z334" s="26">
        <v>0</v>
      </c>
      <c r="AA334" s="26">
        <v>0</v>
      </c>
      <c r="AB334" s="26">
        <v>0</v>
      </c>
      <c r="AC334" s="26">
        <v>0</v>
      </c>
      <c r="AD334" s="26">
        <v>0</v>
      </c>
      <c r="AE334" s="26">
        <v>0</v>
      </c>
      <c r="AF334" s="26">
        <v>0</v>
      </c>
      <c r="AG334" s="26">
        <v>0</v>
      </c>
      <c r="AH334" s="26">
        <v>0</v>
      </c>
      <c r="AI334" s="26">
        <v>0</v>
      </c>
      <c r="AJ334" s="26">
        <v>0</v>
      </c>
      <c r="AK334" s="26">
        <v>0</v>
      </c>
      <c r="AL334" s="26">
        <v>0</v>
      </c>
      <c r="AM334" s="26">
        <v>0</v>
      </c>
      <c r="AN334" s="26">
        <v>0</v>
      </c>
      <c r="AO334" s="26">
        <v>0</v>
      </c>
      <c r="AP334" s="26">
        <v>0</v>
      </c>
      <c r="AQ334" s="26">
        <v>0</v>
      </c>
      <c r="AR334" s="26">
        <v>0</v>
      </c>
      <c r="AS334" s="26">
        <v>0</v>
      </c>
      <c r="AT334" s="26">
        <v>1</v>
      </c>
      <c r="AU334" s="26">
        <v>10</v>
      </c>
      <c r="AV334" s="26">
        <v>18</v>
      </c>
      <c r="AW334" s="26">
        <v>19</v>
      </c>
      <c r="AX334" s="26">
        <v>57</v>
      </c>
      <c r="AY334" s="26">
        <v>83</v>
      </c>
      <c r="AZ334" s="26">
        <v>98</v>
      </c>
      <c r="BA334" s="26">
        <v>0</v>
      </c>
      <c r="BB334" s="26">
        <v>0</v>
      </c>
      <c r="BC334" s="26">
        <v>0</v>
      </c>
      <c r="BD334" s="26">
        <v>0</v>
      </c>
      <c r="BE334" s="26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 t="s">
        <v>445</v>
      </c>
    </row>
    <row r="335" spans="1:63" x14ac:dyDescent="0.25">
      <c r="A335" s="26" t="s">
        <v>372</v>
      </c>
      <c r="B335" s="26" t="s">
        <v>37</v>
      </c>
      <c r="C335" s="26">
        <v>43.908799999999999</v>
      </c>
      <c r="D335" s="26">
        <v>-71.825999999999993</v>
      </c>
      <c r="E335" s="26">
        <v>0</v>
      </c>
      <c r="F335" s="26">
        <v>0</v>
      </c>
      <c r="G335" s="26">
        <v>0</v>
      </c>
      <c r="H335" s="26">
        <v>0</v>
      </c>
      <c r="I335" s="26">
        <v>0</v>
      </c>
      <c r="J335" s="26">
        <v>0</v>
      </c>
      <c r="K335" s="26">
        <v>0</v>
      </c>
      <c r="L335" s="26">
        <v>0</v>
      </c>
      <c r="M335" s="26">
        <v>0</v>
      </c>
      <c r="N335" s="26">
        <v>0</v>
      </c>
      <c r="O335" s="26">
        <v>0</v>
      </c>
      <c r="P335" s="26">
        <v>0</v>
      </c>
      <c r="Q335" s="26">
        <v>0</v>
      </c>
      <c r="R335" s="26">
        <v>0</v>
      </c>
      <c r="S335" s="26">
        <v>0</v>
      </c>
      <c r="T335" s="26">
        <v>0</v>
      </c>
      <c r="U335" s="26">
        <v>0</v>
      </c>
      <c r="V335" s="26">
        <v>0</v>
      </c>
      <c r="W335" s="26">
        <v>0</v>
      </c>
      <c r="X335" s="26">
        <v>0</v>
      </c>
      <c r="Y335" s="26">
        <v>0</v>
      </c>
      <c r="Z335" s="26">
        <v>0</v>
      </c>
      <c r="AA335" s="26">
        <v>0</v>
      </c>
      <c r="AB335" s="26">
        <v>0</v>
      </c>
      <c r="AC335" s="26">
        <v>0</v>
      </c>
      <c r="AD335" s="26">
        <v>0</v>
      </c>
      <c r="AE335" s="26">
        <v>0</v>
      </c>
      <c r="AF335" s="26">
        <v>0</v>
      </c>
      <c r="AG335" s="26">
        <v>0</v>
      </c>
      <c r="AH335" s="26">
        <v>0</v>
      </c>
      <c r="AI335" s="26">
        <v>0</v>
      </c>
      <c r="AJ335" s="26">
        <v>0</v>
      </c>
      <c r="AK335" s="26">
        <v>0</v>
      </c>
      <c r="AL335" s="26">
        <v>0</v>
      </c>
      <c r="AM335" s="26">
        <v>0</v>
      </c>
      <c r="AN335" s="26">
        <v>0</v>
      </c>
      <c r="AO335" s="26">
        <v>0</v>
      </c>
      <c r="AP335" s="26">
        <v>0</v>
      </c>
      <c r="AQ335" s="26">
        <v>0</v>
      </c>
      <c r="AR335" s="26">
        <v>0</v>
      </c>
      <c r="AS335" s="26">
        <v>1</v>
      </c>
      <c r="AT335" s="26">
        <v>2</v>
      </c>
      <c r="AU335" s="26">
        <v>2</v>
      </c>
      <c r="AV335" s="26">
        <v>2</v>
      </c>
      <c r="AW335" s="26">
        <v>2</v>
      </c>
      <c r="AX335" s="26">
        <v>2</v>
      </c>
      <c r="AY335" s="26">
        <v>3</v>
      </c>
      <c r="AZ335" s="26">
        <v>3</v>
      </c>
      <c r="BA335" s="26">
        <v>0</v>
      </c>
      <c r="BB335" s="26">
        <v>0</v>
      </c>
      <c r="BC335" s="26">
        <v>0</v>
      </c>
      <c r="BD335" s="26">
        <v>0</v>
      </c>
      <c r="BE335" s="26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 t="s">
        <v>445</v>
      </c>
    </row>
    <row r="336" spans="1:63" x14ac:dyDescent="0.25">
      <c r="A336" s="26" t="s">
        <v>373</v>
      </c>
      <c r="B336" s="26" t="s">
        <v>37</v>
      </c>
      <c r="C336" s="26">
        <v>27.990400000000001</v>
      </c>
      <c r="D336" s="26">
        <v>-82.3018</v>
      </c>
      <c r="E336" s="26">
        <v>0</v>
      </c>
      <c r="F336" s="26">
        <v>0</v>
      </c>
      <c r="G336" s="26">
        <v>0</v>
      </c>
      <c r="H336" s="26">
        <v>0</v>
      </c>
      <c r="I336" s="26">
        <v>0</v>
      </c>
      <c r="J336" s="26">
        <v>0</v>
      </c>
      <c r="K336" s="26">
        <v>0</v>
      </c>
      <c r="L336" s="26">
        <v>0</v>
      </c>
      <c r="M336" s="26">
        <v>0</v>
      </c>
      <c r="N336" s="26">
        <v>0</v>
      </c>
      <c r="O336" s="26">
        <v>0</v>
      </c>
      <c r="P336" s="26">
        <v>0</v>
      </c>
      <c r="Q336" s="26">
        <v>0</v>
      </c>
      <c r="R336" s="26">
        <v>0</v>
      </c>
      <c r="S336" s="26">
        <v>0</v>
      </c>
      <c r="T336" s="26">
        <v>0</v>
      </c>
      <c r="U336" s="26">
        <v>0</v>
      </c>
      <c r="V336" s="26">
        <v>0</v>
      </c>
      <c r="W336" s="26">
        <v>0</v>
      </c>
      <c r="X336" s="26">
        <v>0</v>
      </c>
      <c r="Y336" s="26">
        <v>0</v>
      </c>
      <c r="Z336" s="26">
        <v>0</v>
      </c>
      <c r="AA336" s="26">
        <v>0</v>
      </c>
      <c r="AB336" s="26">
        <v>0</v>
      </c>
      <c r="AC336" s="26">
        <v>0</v>
      </c>
      <c r="AD336" s="26">
        <v>0</v>
      </c>
      <c r="AE336" s="26">
        <v>0</v>
      </c>
      <c r="AF336" s="26">
        <v>0</v>
      </c>
      <c r="AG336" s="26">
        <v>0</v>
      </c>
      <c r="AH336" s="26">
        <v>0</v>
      </c>
      <c r="AI336" s="26">
        <v>0</v>
      </c>
      <c r="AJ336" s="26">
        <v>0</v>
      </c>
      <c r="AK336" s="26">
        <v>0</v>
      </c>
      <c r="AL336" s="26">
        <v>0</v>
      </c>
      <c r="AM336" s="26">
        <v>0</v>
      </c>
      <c r="AN336" s="26">
        <v>0</v>
      </c>
      <c r="AO336" s="26">
        <v>0</v>
      </c>
      <c r="AP336" s="26">
        <v>0</v>
      </c>
      <c r="AQ336" s="26">
        <v>0</v>
      </c>
      <c r="AR336" s="26">
        <v>0</v>
      </c>
      <c r="AS336" s="26">
        <v>1</v>
      </c>
      <c r="AT336" s="26">
        <v>2</v>
      </c>
      <c r="AU336" s="26">
        <v>2</v>
      </c>
      <c r="AV336" s="26">
        <v>2</v>
      </c>
      <c r="AW336" s="26">
        <v>2</v>
      </c>
      <c r="AX336" s="26">
        <v>2</v>
      </c>
      <c r="AY336" s="26">
        <v>2</v>
      </c>
      <c r="AZ336" s="26">
        <v>2</v>
      </c>
      <c r="BA336" s="26">
        <v>0</v>
      </c>
      <c r="BB336" s="26">
        <v>0</v>
      </c>
      <c r="BC336" s="26">
        <v>0</v>
      </c>
      <c r="BD336" s="26">
        <v>0</v>
      </c>
      <c r="BE336" s="2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 t="s">
        <v>445</v>
      </c>
    </row>
    <row r="337" spans="1:63" x14ac:dyDescent="0.25">
      <c r="A337" s="26" t="s">
        <v>374</v>
      </c>
      <c r="B337" s="26" t="s">
        <v>37</v>
      </c>
      <c r="C337" s="26">
        <v>39.0916</v>
      </c>
      <c r="D337" s="26">
        <v>-120.8039</v>
      </c>
      <c r="E337" s="26">
        <v>0</v>
      </c>
      <c r="F337" s="26">
        <v>0</v>
      </c>
      <c r="G337" s="26">
        <v>0</v>
      </c>
      <c r="H337" s="26">
        <v>0</v>
      </c>
      <c r="I337" s="26">
        <v>0</v>
      </c>
      <c r="J337" s="26">
        <v>0</v>
      </c>
      <c r="K337" s="26">
        <v>0</v>
      </c>
      <c r="L337" s="26">
        <v>0</v>
      </c>
      <c r="M337" s="26">
        <v>0</v>
      </c>
      <c r="N337" s="26">
        <v>0</v>
      </c>
      <c r="O337" s="26">
        <v>0</v>
      </c>
      <c r="P337" s="26">
        <v>0</v>
      </c>
      <c r="Q337" s="26">
        <v>0</v>
      </c>
      <c r="R337" s="26">
        <v>0</v>
      </c>
      <c r="S337" s="26">
        <v>0</v>
      </c>
      <c r="T337" s="26">
        <v>0</v>
      </c>
      <c r="U337" s="26">
        <v>0</v>
      </c>
      <c r="V337" s="26">
        <v>0</v>
      </c>
      <c r="W337" s="26">
        <v>0</v>
      </c>
      <c r="X337" s="26">
        <v>0</v>
      </c>
      <c r="Y337" s="26">
        <v>0</v>
      </c>
      <c r="Z337" s="26">
        <v>0</v>
      </c>
      <c r="AA337" s="26">
        <v>0</v>
      </c>
      <c r="AB337" s="26">
        <v>0</v>
      </c>
      <c r="AC337" s="26">
        <v>0</v>
      </c>
      <c r="AD337" s="26">
        <v>0</v>
      </c>
      <c r="AE337" s="26">
        <v>0</v>
      </c>
      <c r="AF337" s="26">
        <v>0</v>
      </c>
      <c r="AG337" s="26">
        <v>0</v>
      </c>
      <c r="AH337" s="26">
        <v>0</v>
      </c>
      <c r="AI337" s="26">
        <v>0</v>
      </c>
      <c r="AJ337" s="26">
        <v>0</v>
      </c>
      <c r="AK337" s="26">
        <v>0</v>
      </c>
      <c r="AL337" s="26">
        <v>0</v>
      </c>
      <c r="AM337" s="26">
        <v>0</v>
      </c>
      <c r="AN337" s="26">
        <v>0</v>
      </c>
      <c r="AO337" s="26">
        <v>0</v>
      </c>
      <c r="AP337" s="26">
        <v>0</v>
      </c>
      <c r="AQ337" s="26">
        <v>0</v>
      </c>
      <c r="AR337" s="26">
        <v>0</v>
      </c>
      <c r="AS337" s="26">
        <v>1</v>
      </c>
      <c r="AT337" s="26">
        <v>1</v>
      </c>
      <c r="AU337" s="26">
        <v>2</v>
      </c>
      <c r="AV337" s="26">
        <v>2</v>
      </c>
      <c r="AW337" s="26">
        <v>5</v>
      </c>
      <c r="AX337" s="26">
        <v>5</v>
      </c>
      <c r="AY337" s="26">
        <v>5</v>
      </c>
      <c r="AZ337" s="26">
        <v>7</v>
      </c>
      <c r="BA337" s="26">
        <v>0</v>
      </c>
      <c r="BB337" s="26">
        <v>0</v>
      </c>
      <c r="BC337" s="26">
        <v>0</v>
      </c>
      <c r="BD337" s="26">
        <v>0</v>
      </c>
      <c r="BE337" s="26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 t="s">
        <v>445</v>
      </c>
    </row>
    <row r="338" spans="1:63" x14ac:dyDescent="0.25">
      <c r="A338" s="26" t="s">
        <v>375</v>
      </c>
      <c r="B338" s="26" t="s">
        <v>37</v>
      </c>
      <c r="C338" s="26">
        <v>37.563000000000002</v>
      </c>
      <c r="D338" s="26">
        <v>-122.32550000000001</v>
      </c>
      <c r="E338" s="26">
        <v>0</v>
      </c>
      <c r="F338" s="26">
        <v>0</v>
      </c>
      <c r="G338" s="26">
        <v>0</v>
      </c>
      <c r="H338" s="26">
        <v>0</v>
      </c>
      <c r="I338" s="26">
        <v>0</v>
      </c>
      <c r="J338" s="26">
        <v>0</v>
      </c>
      <c r="K338" s="26">
        <v>0</v>
      </c>
      <c r="L338" s="26">
        <v>0</v>
      </c>
      <c r="M338" s="26">
        <v>0</v>
      </c>
      <c r="N338" s="26">
        <v>0</v>
      </c>
      <c r="O338" s="26">
        <v>0</v>
      </c>
      <c r="P338" s="26">
        <v>0</v>
      </c>
      <c r="Q338" s="26">
        <v>0</v>
      </c>
      <c r="R338" s="26">
        <v>0</v>
      </c>
      <c r="S338" s="26">
        <v>0</v>
      </c>
      <c r="T338" s="26">
        <v>0</v>
      </c>
      <c r="U338" s="26">
        <v>0</v>
      </c>
      <c r="V338" s="26">
        <v>0</v>
      </c>
      <c r="W338" s="26">
        <v>0</v>
      </c>
      <c r="X338" s="26">
        <v>0</v>
      </c>
      <c r="Y338" s="26">
        <v>0</v>
      </c>
      <c r="Z338" s="26">
        <v>0</v>
      </c>
      <c r="AA338" s="26">
        <v>0</v>
      </c>
      <c r="AB338" s="26">
        <v>0</v>
      </c>
      <c r="AC338" s="26">
        <v>0</v>
      </c>
      <c r="AD338" s="26">
        <v>0</v>
      </c>
      <c r="AE338" s="26">
        <v>0</v>
      </c>
      <c r="AF338" s="26">
        <v>0</v>
      </c>
      <c r="AG338" s="26">
        <v>0</v>
      </c>
      <c r="AH338" s="26">
        <v>0</v>
      </c>
      <c r="AI338" s="26">
        <v>0</v>
      </c>
      <c r="AJ338" s="26">
        <v>0</v>
      </c>
      <c r="AK338" s="26">
        <v>0</v>
      </c>
      <c r="AL338" s="26">
        <v>0</v>
      </c>
      <c r="AM338" s="26">
        <v>0</v>
      </c>
      <c r="AN338" s="26">
        <v>0</v>
      </c>
      <c r="AO338" s="26">
        <v>0</v>
      </c>
      <c r="AP338" s="26">
        <v>0</v>
      </c>
      <c r="AQ338" s="26">
        <v>0</v>
      </c>
      <c r="AR338" s="26">
        <v>0</v>
      </c>
      <c r="AS338" s="26">
        <v>1</v>
      </c>
      <c r="AT338" s="26">
        <v>2</v>
      </c>
      <c r="AU338" s="26">
        <v>2</v>
      </c>
      <c r="AV338" s="26">
        <v>2</v>
      </c>
      <c r="AW338" s="26">
        <v>2</v>
      </c>
      <c r="AX338" s="26">
        <v>2</v>
      </c>
      <c r="AY338" s="26">
        <v>2</v>
      </c>
      <c r="AZ338" s="26">
        <v>2</v>
      </c>
      <c r="BA338" s="26">
        <v>0</v>
      </c>
      <c r="BB338" s="26">
        <v>0</v>
      </c>
      <c r="BC338" s="26">
        <v>0</v>
      </c>
      <c r="BD338" s="26">
        <v>0</v>
      </c>
      <c r="BE338" s="26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 t="s">
        <v>445</v>
      </c>
    </row>
    <row r="339" spans="1:63" x14ac:dyDescent="0.25">
      <c r="A339" s="26" t="s">
        <v>376</v>
      </c>
      <c r="B339" s="26" t="s">
        <v>37</v>
      </c>
      <c r="C339" s="26">
        <v>38.578000000000003</v>
      </c>
      <c r="D339" s="26">
        <v>-122.9888</v>
      </c>
      <c r="E339" s="26">
        <v>0</v>
      </c>
      <c r="F339" s="26">
        <v>0</v>
      </c>
      <c r="G339" s="26">
        <v>0</v>
      </c>
      <c r="H339" s="26">
        <v>0</v>
      </c>
      <c r="I339" s="26">
        <v>0</v>
      </c>
      <c r="J339" s="26">
        <v>0</v>
      </c>
      <c r="K339" s="26">
        <v>0</v>
      </c>
      <c r="L339" s="26">
        <v>0</v>
      </c>
      <c r="M339" s="26">
        <v>0</v>
      </c>
      <c r="N339" s="26">
        <v>0</v>
      </c>
      <c r="O339" s="26">
        <v>0</v>
      </c>
      <c r="P339" s="26">
        <v>0</v>
      </c>
      <c r="Q339" s="26">
        <v>0</v>
      </c>
      <c r="R339" s="26">
        <v>0</v>
      </c>
      <c r="S339" s="26">
        <v>0</v>
      </c>
      <c r="T339" s="26">
        <v>0</v>
      </c>
      <c r="U339" s="26">
        <v>0</v>
      </c>
      <c r="V339" s="26">
        <v>0</v>
      </c>
      <c r="W339" s="26">
        <v>0</v>
      </c>
      <c r="X339" s="26">
        <v>0</v>
      </c>
      <c r="Y339" s="26">
        <v>0</v>
      </c>
      <c r="Z339" s="26">
        <v>0</v>
      </c>
      <c r="AA339" s="26">
        <v>0</v>
      </c>
      <c r="AB339" s="26">
        <v>0</v>
      </c>
      <c r="AC339" s="26">
        <v>0</v>
      </c>
      <c r="AD339" s="26">
        <v>0</v>
      </c>
      <c r="AE339" s="26">
        <v>0</v>
      </c>
      <c r="AF339" s="26">
        <v>0</v>
      </c>
      <c r="AG339" s="26">
        <v>0</v>
      </c>
      <c r="AH339" s="26">
        <v>0</v>
      </c>
      <c r="AI339" s="26">
        <v>0</v>
      </c>
      <c r="AJ339" s="26">
        <v>0</v>
      </c>
      <c r="AK339" s="26">
        <v>0</v>
      </c>
      <c r="AL339" s="26">
        <v>0</v>
      </c>
      <c r="AM339" s="26">
        <v>0</v>
      </c>
      <c r="AN339" s="26">
        <v>0</v>
      </c>
      <c r="AO339" s="26">
        <v>0</v>
      </c>
      <c r="AP339" s="26">
        <v>0</v>
      </c>
      <c r="AQ339" s="26">
        <v>0</v>
      </c>
      <c r="AR339" s="26">
        <v>0</v>
      </c>
      <c r="AS339" s="26">
        <v>1</v>
      </c>
      <c r="AT339" s="26">
        <v>1</v>
      </c>
      <c r="AU339" s="26">
        <v>1</v>
      </c>
      <c r="AV339" s="26">
        <v>1</v>
      </c>
      <c r="AW339" s="26">
        <v>1</v>
      </c>
      <c r="AX339" s="26">
        <v>1</v>
      </c>
      <c r="AY339" s="26">
        <v>1</v>
      </c>
      <c r="AZ339" s="26">
        <v>3</v>
      </c>
      <c r="BA339" s="26">
        <v>0</v>
      </c>
      <c r="BB339" s="26">
        <v>0</v>
      </c>
      <c r="BC339" s="26">
        <v>0</v>
      </c>
      <c r="BD339" s="26">
        <v>0</v>
      </c>
      <c r="BE339" s="26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 t="s">
        <v>445</v>
      </c>
    </row>
    <row r="340" spans="1:63" x14ac:dyDescent="0.25">
      <c r="A340" s="26" t="s">
        <v>377</v>
      </c>
      <c r="B340" s="26" t="s">
        <v>37</v>
      </c>
      <c r="C340" s="26">
        <v>45.774999999999999</v>
      </c>
      <c r="D340" s="26">
        <v>-118.7606</v>
      </c>
      <c r="E340" s="26">
        <v>0</v>
      </c>
      <c r="F340" s="26">
        <v>0</v>
      </c>
      <c r="G340" s="26">
        <v>0</v>
      </c>
      <c r="H340" s="26">
        <v>0</v>
      </c>
      <c r="I340" s="26">
        <v>0</v>
      </c>
      <c r="J340" s="26">
        <v>0</v>
      </c>
      <c r="K340" s="26">
        <v>0</v>
      </c>
      <c r="L340" s="26">
        <v>0</v>
      </c>
      <c r="M340" s="26">
        <v>0</v>
      </c>
      <c r="N340" s="26">
        <v>0</v>
      </c>
      <c r="O340" s="26">
        <v>0</v>
      </c>
      <c r="P340" s="26">
        <v>0</v>
      </c>
      <c r="Q340" s="26">
        <v>0</v>
      </c>
      <c r="R340" s="26">
        <v>0</v>
      </c>
      <c r="S340" s="26">
        <v>0</v>
      </c>
      <c r="T340" s="26">
        <v>0</v>
      </c>
      <c r="U340" s="26">
        <v>0</v>
      </c>
      <c r="V340" s="26">
        <v>0</v>
      </c>
      <c r="W340" s="26">
        <v>0</v>
      </c>
      <c r="X340" s="26">
        <v>0</v>
      </c>
      <c r="Y340" s="26">
        <v>0</v>
      </c>
      <c r="Z340" s="26">
        <v>0</v>
      </c>
      <c r="AA340" s="26">
        <v>0</v>
      </c>
      <c r="AB340" s="26">
        <v>0</v>
      </c>
      <c r="AC340" s="26">
        <v>0</v>
      </c>
      <c r="AD340" s="26">
        <v>0</v>
      </c>
      <c r="AE340" s="26">
        <v>0</v>
      </c>
      <c r="AF340" s="26">
        <v>0</v>
      </c>
      <c r="AG340" s="26">
        <v>0</v>
      </c>
      <c r="AH340" s="26">
        <v>0</v>
      </c>
      <c r="AI340" s="26">
        <v>0</v>
      </c>
      <c r="AJ340" s="26">
        <v>0</v>
      </c>
      <c r="AK340" s="26">
        <v>0</v>
      </c>
      <c r="AL340" s="26">
        <v>0</v>
      </c>
      <c r="AM340" s="26">
        <v>0</v>
      </c>
      <c r="AN340" s="26">
        <v>0</v>
      </c>
      <c r="AO340" s="26">
        <v>0</v>
      </c>
      <c r="AP340" s="26">
        <v>0</v>
      </c>
      <c r="AQ340" s="26">
        <v>0</v>
      </c>
      <c r="AR340" s="26">
        <v>0</v>
      </c>
      <c r="AS340" s="26">
        <v>1</v>
      </c>
      <c r="AT340" s="26">
        <v>1</v>
      </c>
      <c r="AU340" s="26">
        <v>1</v>
      </c>
      <c r="AV340" s="26">
        <v>1</v>
      </c>
      <c r="AW340" s="26">
        <v>1</v>
      </c>
      <c r="AX340" s="26">
        <v>1</v>
      </c>
      <c r="AY340" s="26">
        <v>1</v>
      </c>
      <c r="AZ340" s="26">
        <v>1</v>
      </c>
      <c r="BA340" s="26">
        <v>0</v>
      </c>
      <c r="BB340" s="26">
        <v>0</v>
      </c>
      <c r="BC340" s="26">
        <v>0</v>
      </c>
      <c r="BD340" s="26">
        <v>0</v>
      </c>
      <c r="BE340" s="26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 t="s">
        <v>445</v>
      </c>
    </row>
    <row r="341" spans="1:63" x14ac:dyDescent="0.25">
      <c r="A341" s="26" t="s">
        <v>378</v>
      </c>
      <c r="B341" s="26" t="s">
        <v>37</v>
      </c>
      <c r="C341" s="26">
        <v>33.803400000000003</v>
      </c>
      <c r="D341" s="26">
        <v>-84.396299999999997</v>
      </c>
      <c r="E341" s="26">
        <v>0</v>
      </c>
      <c r="F341" s="26">
        <v>0</v>
      </c>
      <c r="G341" s="26">
        <v>0</v>
      </c>
      <c r="H341" s="26">
        <v>0</v>
      </c>
      <c r="I341" s="26">
        <v>0</v>
      </c>
      <c r="J341" s="26">
        <v>0</v>
      </c>
      <c r="K341" s="26">
        <v>0</v>
      </c>
      <c r="L341" s="26">
        <v>0</v>
      </c>
      <c r="M341" s="26">
        <v>0</v>
      </c>
      <c r="N341" s="26">
        <v>0</v>
      </c>
      <c r="O341" s="26">
        <v>0</v>
      </c>
      <c r="P341" s="26">
        <v>0</v>
      </c>
      <c r="Q341" s="26">
        <v>0</v>
      </c>
      <c r="R341" s="26">
        <v>0</v>
      </c>
      <c r="S341" s="26">
        <v>0</v>
      </c>
      <c r="T341" s="26">
        <v>0</v>
      </c>
      <c r="U341" s="26">
        <v>0</v>
      </c>
      <c r="V341" s="26">
        <v>0</v>
      </c>
      <c r="W341" s="26">
        <v>0</v>
      </c>
      <c r="X341" s="26">
        <v>0</v>
      </c>
      <c r="Y341" s="26">
        <v>0</v>
      </c>
      <c r="Z341" s="26">
        <v>0</v>
      </c>
      <c r="AA341" s="26">
        <v>0</v>
      </c>
      <c r="AB341" s="26">
        <v>0</v>
      </c>
      <c r="AC341" s="26">
        <v>0</v>
      </c>
      <c r="AD341" s="26">
        <v>0</v>
      </c>
      <c r="AE341" s="26">
        <v>0</v>
      </c>
      <c r="AF341" s="26">
        <v>0</v>
      </c>
      <c r="AG341" s="26">
        <v>0</v>
      </c>
      <c r="AH341" s="26">
        <v>0</v>
      </c>
      <c r="AI341" s="26">
        <v>0</v>
      </c>
      <c r="AJ341" s="26">
        <v>0</v>
      </c>
      <c r="AK341" s="26">
        <v>0</v>
      </c>
      <c r="AL341" s="26">
        <v>0</v>
      </c>
      <c r="AM341" s="26">
        <v>0</v>
      </c>
      <c r="AN341" s="26">
        <v>0</v>
      </c>
      <c r="AO341" s="26">
        <v>0</v>
      </c>
      <c r="AP341" s="26">
        <v>0</v>
      </c>
      <c r="AQ341" s="26">
        <v>0</v>
      </c>
      <c r="AR341" s="26">
        <v>0</v>
      </c>
      <c r="AS341" s="26">
        <v>0</v>
      </c>
      <c r="AT341" s="26">
        <v>2</v>
      </c>
      <c r="AU341" s="26">
        <v>2</v>
      </c>
      <c r="AV341" s="26">
        <v>2</v>
      </c>
      <c r="AW341" s="26">
        <v>2</v>
      </c>
      <c r="AX341" s="26">
        <v>3</v>
      </c>
      <c r="AY341" s="26">
        <v>3</v>
      </c>
      <c r="AZ341" s="26">
        <v>5</v>
      </c>
      <c r="BA341" s="26">
        <v>0</v>
      </c>
      <c r="BB341" s="26">
        <v>0</v>
      </c>
      <c r="BC341" s="26">
        <v>0</v>
      </c>
      <c r="BD341" s="26">
        <v>0</v>
      </c>
      <c r="BE341" s="26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 t="s">
        <v>445</v>
      </c>
    </row>
    <row r="342" spans="1:63" x14ac:dyDescent="0.25">
      <c r="A342" s="26" t="s">
        <v>379</v>
      </c>
      <c r="B342" s="26" t="s">
        <v>37</v>
      </c>
      <c r="C342" s="26">
        <v>45.546999999999997</v>
      </c>
      <c r="D342" s="26">
        <v>-123.1386</v>
      </c>
      <c r="E342" s="26">
        <v>0</v>
      </c>
      <c r="F342" s="26">
        <v>0</v>
      </c>
      <c r="G342" s="26">
        <v>0</v>
      </c>
      <c r="H342" s="26">
        <v>0</v>
      </c>
      <c r="I342" s="26">
        <v>0</v>
      </c>
      <c r="J342" s="26">
        <v>0</v>
      </c>
      <c r="K342" s="26">
        <v>0</v>
      </c>
      <c r="L342" s="26">
        <v>0</v>
      </c>
      <c r="M342" s="26">
        <v>0</v>
      </c>
      <c r="N342" s="26">
        <v>0</v>
      </c>
      <c r="O342" s="26">
        <v>0</v>
      </c>
      <c r="P342" s="26">
        <v>0</v>
      </c>
      <c r="Q342" s="26">
        <v>0</v>
      </c>
      <c r="R342" s="26">
        <v>0</v>
      </c>
      <c r="S342" s="26">
        <v>0</v>
      </c>
      <c r="T342" s="26">
        <v>0</v>
      </c>
      <c r="U342" s="26">
        <v>0</v>
      </c>
      <c r="V342" s="26">
        <v>0</v>
      </c>
      <c r="W342" s="26">
        <v>0</v>
      </c>
      <c r="X342" s="26">
        <v>0</v>
      </c>
      <c r="Y342" s="26">
        <v>0</v>
      </c>
      <c r="Z342" s="26">
        <v>0</v>
      </c>
      <c r="AA342" s="26">
        <v>0</v>
      </c>
      <c r="AB342" s="26">
        <v>0</v>
      </c>
      <c r="AC342" s="26">
        <v>0</v>
      </c>
      <c r="AD342" s="26">
        <v>0</v>
      </c>
      <c r="AE342" s="26">
        <v>0</v>
      </c>
      <c r="AF342" s="26">
        <v>0</v>
      </c>
      <c r="AG342" s="26">
        <v>0</v>
      </c>
      <c r="AH342" s="26">
        <v>0</v>
      </c>
      <c r="AI342" s="26">
        <v>0</v>
      </c>
      <c r="AJ342" s="26">
        <v>0</v>
      </c>
      <c r="AK342" s="26">
        <v>0</v>
      </c>
      <c r="AL342" s="26">
        <v>0</v>
      </c>
      <c r="AM342" s="26">
        <v>0</v>
      </c>
      <c r="AN342" s="26">
        <v>0</v>
      </c>
      <c r="AO342" s="26">
        <v>0</v>
      </c>
      <c r="AP342" s="26">
        <v>0</v>
      </c>
      <c r="AQ342" s="26">
        <v>1</v>
      </c>
      <c r="AR342" s="26">
        <v>1</v>
      </c>
      <c r="AS342" s="26">
        <v>2</v>
      </c>
      <c r="AT342" s="26">
        <v>2</v>
      </c>
      <c r="AU342" s="26">
        <v>2</v>
      </c>
      <c r="AV342" s="26">
        <v>2</v>
      </c>
      <c r="AW342" s="26">
        <v>2</v>
      </c>
      <c r="AX342" s="26">
        <v>3</v>
      </c>
      <c r="AY342" s="26">
        <v>8</v>
      </c>
      <c r="AZ342" s="26">
        <v>8</v>
      </c>
      <c r="BA342" s="26">
        <v>0</v>
      </c>
      <c r="BB342" s="26">
        <v>0</v>
      </c>
      <c r="BC342" s="26">
        <v>0</v>
      </c>
      <c r="BD342" s="26">
        <v>0</v>
      </c>
      <c r="BE342" s="26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 t="s">
        <v>445</v>
      </c>
    </row>
    <row r="343" spans="1:63" x14ac:dyDescent="0.25">
      <c r="A343" s="26" t="s">
        <v>380</v>
      </c>
      <c r="B343" s="26" t="s">
        <v>37</v>
      </c>
      <c r="C343" s="26">
        <v>48.033000000000001</v>
      </c>
      <c r="D343" s="26">
        <v>-121.8339</v>
      </c>
      <c r="E343" s="26">
        <v>0</v>
      </c>
      <c r="F343" s="26">
        <v>0</v>
      </c>
      <c r="G343" s="26">
        <v>0</v>
      </c>
      <c r="H343" s="26">
        <v>0</v>
      </c>
      <c r="I343" s="26">
        <v>0</v>
      </c>
      <c r="J343" s="26">
        <v>0</v>
      </c>
      <c r="K343" s="26">
        <v>0</v>
      </c>
      <c r="L343" s="26">
        <v>0</v>
      </c>
      <c r="M343" s="26">
        <v>0</v>
      </c>
      <c r="N343" s="26">
        <v>0</v>
      </c>
      <c r="O343" s="26">
        <v>0</v>
      </c>
      <c r="P343" s="26">
        <v>0</v>
      </c>
      <c r="Q343" s="26">
        <v>0</v>
      </c>
      <c r="R343" s="26">
        <v>0</v>
      </c>
      <c r="S343" s="26">
        <v>0</v>
      </c>
      <c r="T343" s="26">
        <v>0</v>
      </c>
      <c r="U343" s="26">
        <v>0</v>
      </c>
      <c r="V343" s="26">
        <v>0</v>
      </c>
      <c r="W343" s="26">
        <v>0</v>
      </c>
      <c r="X343" s="26">
        <v>0</v>
      </c>
      <c r="Y343" s="26">
        <v>0</v>
      </c>
      <c r="Z343" s="26">
        <v>0</v>
      </c>
      <c r="AA343" s="26">
        <v>0</v>
      </c>
      <c r="AB343" s="26">
        <v>0</v>
      </c>
      <c r="AC343" s="26">
        <v>0</v>
      </c>
      <c r="AD343" s="26">
        <v>0</v>
      </c>
      <c r="AE343" s="26">
        <v>0</v>
      </c>
      <c r="AF343" s="26">
        <v>0</v>
      </c>
      <c r="AG343" s="26">
        <v>0</v>
      </c>
      <c r="AH343" s="26">
        <v>0</v>
      </c>
      <c r="AI343" s="26">
        <v>0</v>
      </c>
      <c r="AJ343" s="26">
        <v>0</v>
      </c>
      <c r="AK343" s="26">
        <v>0</v>
      </c>
      <c r="AL343" s="26">
        <v>0</v>
      </c>
      <c r="AM343" s="26">
        <v>0</v>
      </c>
      <c r="AN343" s="26">
        <v>0</v>
      </c>
      <c r="AO343" s="26">
        <v>0</v>
      </c>
      <c r="AP343" s="26">
        <v>0</v>
      </c>
      <c r="AQ343" s="26">
        <v>1</v>
      </c>
      <c r="AR343" s="26">
        <v>2</v>
      </c>
      <c r="AS343" s="26">
        <v>4</v>
      </c>
      <c r="AT343" s="26">
        <v>6</v>
      </c>
      <c r="AU343" s="26">
        <v>8</v>
      </c>
      <c r="AV343" s="26">
        <v>18</v>
      </c>
      <c r="AW343" s="26">
        <v>19</v>
      </c>
      <c r="AX343" s="26">
        <v>27</v>
      </c>
      <c r="AY343" s="26">
        <v>31</v>
      </c>
      <c r="AZ343" s="26">
        <v>31</v>
      </c>
      <c r="BA343" s="26">
        <v>0</v>
      </c>
      <c r="BB343" s="26">
        <v>0</v>
      </c>
      <c r="BC343" s="26">
        <v>0</v>
      </c>
      <c r="BD343" s="26">
        <v>0</v>
      </c>
      <c r="BE343" s="26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 t="s">
        <v>445</v>
      </c>
    </row>
    <row r="344" spans="1:63" x14ac:dyDescent="0.25">
      <c r="A344" s="26" t="s">
        <v>381</v>
      </c>
      <c r="B344" s="26" t="s">
        <v>37</v>
      </c>
      <c r="C344" s="26">
        <v>40.744999999999997</v>
      </c>
      <c r="D344" s="26">
        <v>-123.8695</v>
      </c>
      <c r="E344" s="26">
        <v>0</v>
      </c>
      <c r="F344" s="26">
        <v>0</v>
      </c>
      <c r="G344" s="26">
        <v>0</v>
      </c>
      <c r="H344" s="26">
        <v>0</v>
      </c>
      <c r="I344" s="26">
        <v>0</v>
      </c>
      <c r="J344" s="26">
        <v>0</v>
      </c>
      <c r="K344" s="26">
        <v>0</v>
      </c>
      <c r="L344" s="26">
        <v>0</v>
      </c>
      <c r="M344" s="26">
        <v>0</v>
      </c>
      <c r="N344" s="26">
        <v>0</v>
      </c>
      <c r="O344" s="26">
        <v>0</v>
      </c>
      <c r="P344" s="26">
        <v>0</v>
      </c>
      <c r="Q344" s="26">
        <v>0</v>
      </c>
      <c r="R344" s="26">
        <v>0</v>
      </c>
      <c r="S344" s="26">
        <v>0</v>
      </c>
      <c r="T344" s="26">
        <v>0</v>
      </c>
      <c r="U344" s="26">
        <v>0</v>
      </c>
      <c r="V344" s="26">
        <v>0</v>
      </c>
      <c r="W344" s="26">
        <v>0</v>
      </c>
      <c r="X344" s="26">
        <v>0</v>
      </c>
      <c r="Y344" s="26">
        <v>0</v>
      </c>
      <c r="Z344" s="26">
        <v>0</v>
      </c>
      <c r="AA344" s="26">
        <v>0</v>
      </c>
      <c r="AB344" s="26">
        <v>0</v>
      </c>
      <c r="AC344" s="26">
        <v>0</v>
      </c>
      <c r="AD344" s="26">
        <v>0</v>
      </c>
      <c r="AE344" s="26">
        <v>0</v>
      </c>
      <c r="AF344" s="26">
        <v>0</v>
      </c>
      <c r="AG344" s="26">
        <v>0</v>
      </c>
      <c r="AH344" s="26">
        <v>0</v>
      </c>
      <c r="AI344" s="26">
        <v>1</v>
      </c>
      <c r="AJ344" s="26">
        <v>1</v>
      </c>
      <c r="AK344" s="26">
        <v>1</v>
      </c>
      <c r="AL344" s="26">
        <v>1</v>
      </c>
      <c r="AM344" s="26">
        <v>1</v>
      </c>
      <c r="AN344" s="26">
        <v>1</v>
      </c>
      <c r="AO344" s="26">
        <v>1</v>
      </c>
      <c r="AP344" s="26">
        <v>1</v>
      </c>
      <c r="AQ344" s="26">
        <v>1</v>
      </c>
      <c r="AR344" s="26">
        <v>1</v>
      </c>
      <c r="AS344" s="26">
        <v>1</v>
      </c>
      <c r="AT344" s="26">
        <v>1</v>
      </c>
      <c r="AU344" s="26">
        <v>1</v>
      </c>
      <c r="AV344" s="26">
        <v>1</v>
      </c>
      <c r="AW344" s="26">
        <v>1</v>
      </c>
      <c r="AX344" s="26">
        <v>1</v>
      </c>
      <c r="AY344" s="26">
        <v>1</v>
      </c>
      <c r="AZ344" s="26">
        <v>1</v>
      </c>
      <c r="BA344" s="26">
        <v>0</v>
      </c>
      <c r="BB344" s="26">
        <v>0</v>
      </c>
      <c r="BC344" s="26">
        <v>0</v>
      </c>
      <c r="BD344" s="26">
        <v>0</v>
      </c>
      <c r="BE344" s="26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 t="s">
        <v>445</v>
      </c>
    </row>
    <row r="345" spans="1:63" x14ac:dyDescent="0.25">
      <c r="A345" s="26" t="s">
        <v>382</v>
      </c>
      <c r="B345" s="26" t="s">
        <v>37</v>
      </c>
      <c r="C345" s="26">
        <v>38.474699999999999</v>
      </c>
      <c r="D345" s="26">
        <v>-121.35420000000001</v>
      </c>
      <c r="E345" s="26">
        <v>0</v>
      </c>
      <c r="F345" s="26">
        <v>0</v>
      </c>
      <c r="G345" s="26">
        <v>0</v>
      </c>
      <c r="H345" s="26">
        <v>0</v>
      </c>
      <c r="I345" s="26">
        <v>0</v>
      </c>
      <c r="J345" s="26">
        <v>0</v>
      </c>
      <c r="K345" s="26">
        <v>0</v>
      </c>
      <c r="L345" s="26">
        <v>0</v>
      </c>
      <c r="M345" s="26">
        <v>0</v>
      </c>
      <c r="N345" s="26">
        <v>0</v>
      </c>
      <c r="O345" s="26">
        <v>0</v>
      </c>
      <c r="P345" s="26">
        <v>0</v>
      </c>
      <c r="Q345" s="26">
        <v>0</v>
      </c>
      <c r="R345" s="26">
        <v>0</v>
      </c>
      <c r="S345" s="26">
        <v>0</v>
      </c>
      <c r="T345" s="26">
        <v>0</v>
      </c>
      <c r="U345" s="26">
        <v>0</v>
      </c>
      <c r="V345" s="26">
        <v>0</v>
      </c>
      <c r="W345" s="26">
        <v>0</v>
      </c>
      <c r="X345" s="26">
        <v>0</v>
      </c>
      <c r="Y345" s="26">
        <v>0</v>
      </c>
      <c r="Z345" s="26">
        <v>0</v>
      </c>
      <c r="AA345" s="26">
        <v>0</v>
      </c>
      <c r="AB345" s="26">
        <v>0</v>
      </c>
      <c r="AC345" s="26">
        <v>0</v>
      </c>
      <c r="AD345" s="26">
        <v>0</v>
      </c>
      <c r="AE345" s="26">
        <v>0</v>
      </c>
      <c r="AF345" s="26">
        <v>0</v>
      </c>
      <c r="AG345" s="26">
        <v>0</v>
      </c>
      <c r="AH345" s="26">
        <v>0</v>
      </c>
      <c r="AI345" s="26">
        <v>1</v>
      </c>
      <c r="AJ345" s="26">
        <v>1</v>
      </c>
      <c r="AK345" s="26">
        <v>1</v>
      </c>
      <c r="AL345" s="26">
        <v>1</v>
      </c>
      <c r="AM345" s="26">
        <v>1</v>
      </c>
      <c r="AN345" s="26">
        <v>1</v>
      </c>
      <c r="AO345" s="26">
        <v>2</v>
      </c>
      <c r="AP345" s="26">
        <v>2</v>
      </c>
      <c r="AQ345" s="26">
        <v>2</v>
      </c>
      <c r="AR345" s="26">
        <v>2</v>
      </c>
      <c r="AS345" s="26">
        <v>2</v>
      </c>
      <c r="AT345" s="26">
        <v>2</v>
      </c>
      <c r="AU345" s="26">
        <v>2</v>
      </c>
      <c r="AV345" s="26">
        <v>2</v>
      </c>
      <c r="AW345" s="26">
        <v>2</v>
      </c>
      <c r="AX345" s="26">
        <v>2</v>
      </c>
      <c r="AY345" s="26">
        <v>2</v>
      </c>
      <c r="AZ345" s="26">
        <v>2</v>
      </c>
      <c r="BA345" s="26">
        <v>0</v>
      </c>
      <c r="BB345" s="26">
        <v>0</v>
      </c>
      <c r="BC345" s="26">
        <v>0</v>
      </c>
      <c r="BD345" s="26">
        <v>0</v>
      </c>
      <c r="BE345" s="26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 t="s">
        <v>445</v>
      </c>
    </row>
    <row r="346" spans="1:63" x14ac:dyDescent="0.25">
      <c r="A346" s="26" t="s">
        <v>383</v>
      </c>
      <c r="B346" s="26" t="s">
        <v>37</v>
      </c>
      <c r="C346" s="26">
        <v>32.715699999999998</v>
      </c>
      <c r="D346" s="26">
        <v>-117.1611</v>
      </c>
      <c r="E346" s="26">
        <v>0</v>
      </c>
      <c r="F346" s="26">
        <v>0</v>
      </c>
      <c r="G346" s="26">
        <v>0</v>
      </c>
      <c r="H346" s="26">
        <v>0</v>
      </c>
      <c r="I346" s="26">
        <v>0</v>
      </c>
      <c r="J346" s="26">
        <v>0</v>
      </c>
      <c r="K346" s="26">
        <v>0</v>
      </c>
      <c r="L346" s="26">
        <v>0</v>
      </c>
      <c r="M346" s="26">
        <v>0</v>
      </c>
      <c r="N346" s="26">
        <v>0</v>
      </c>
      <c r="O346" s="26">
        <v>0</v>
      </c>
      <c r="P346" s="26">
        <v>0</v>
      </c>
      <c r="Q346" s="26">
        <v>0</v>
      </c>
      <c r="R346" s="26">
        <v>0</v>
      </c>
      <c r="S346" s="26">
        <v>0</v>
      </c>
      <c r="T346" s="26">
        <v>0</v>
      </c>
      <c r="U346" s="26">
        <v>0</v>
      </c>
      <c r="V346" s="26">
        <v>0</v>
      </c>
      <c r="W346" s="26">
        <v>0</v>
      </c>
      <c r="X346" s="26">
        <v>0</v>
      </c>
      <c r="Y346" s="26">
        <v>1</v>
      </c>
      <c r="Z346" s="26">
        <v>1</v>
      </c>
      <c r="AA346" s="26">
        <v>2</v>
      </c>
      <c r="AB346" s="26">
        <v>2</v>
      </c>
      <c r="AC346" s="26">
        <v>2</v>
      </c>
      <c r="AD346" s="26">
        <v>2</v>
      </c>
      <c r="AE346" s="26">
        <v>2</v>
      </c>
      <c r="AF346" s="26">
        <v>2</v>
      </c>
      <c r="AG346" s="26">
        <v>2</v>
      </c>
      <c r="AH346" s="26">
        <v>2</v>
      </c>
      <c r="AI346" s="26">
        <v>2</v>
      </c>
      <c r="AJ346" s="26">
        <v>2</v>
      </c>
      <c r="AK346" s="26">
        <v>2</v>
      </c>
      <c r="AL346" s="26">
        <v>2</v>
      </c>
      <c r="AM346" s="26">
        <v>2</v>
      </c>
      <c r="AN346" s="26">
        <v>2</v>
      </c>
      <c r="AO346" s="26">
        <v>2</v>
      </c>
      <c r="AP346" s="26">
        <v>2</v>
      </c>
      <c r="AQ346" s="26">
        <v>2</v>
      </c>
      <c r="AR346" s="26">
        <v>2</v>
      </c>
      <c r="AS346" s="26">
        <v>2</v>
      </c>
      <c r="AT346" s="26">
        <v>2</v>
      </c>
      <c r="AU346" s="26">
        <v>2</v>
      </c>
      <c r="AV346" s="26">
        <v>3</v>
      </c>
      <c r="AW346" s="26">
        <v>3</v>
      </c>
      <c r="AX346" s="26">
        <v>3</v>
      </c>
      <c r="AY346" s="26">
        <v>3</v>
      </c>
      <c r="AZ346" s="26">
        <v>3</v>
      </c>
      <c r="BA346" s="26">
        <v>0</v>
      </c>
      <c r="BB346" s="26">
        <v>0</v>
      </c>
      <c r="BC346" s="26">
        <v>0</v>
      </c>
      <c r="BD346" s="26">
        <v>0</v>
      </c>
      <c r="BE346" s="2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 t="s">
        <v>445</v>
      </c>
    </row>
    <row r="347" spans="1:63" x14ac:dyDescent="0.25">
      <c r="A347" s="26" t="s">
        <v>384</v>
      </c>
      <c r="B347" s="26" t="s">
        <v>37</v>
      </c>
      <c r="C347" s="26">
        <v>36.576099999999997</v>
      </c>
      <c r="D347" s="26">
        <v>-120.9876</v>
      </c>
      <c r="E347" s="26">
        <v>0</v>
      </c>
      <c r="F347" s="26">
        <v>0</v>
      </c>
      <c r="G347" s="26">
        <v>0</v>
      </c>
      <c r="H347" s="26">
        <v>0</v>
      </c>
      <c r="I347" s="26">
        <v>0</v>
      </c>
      <c r="J347" s="26">
        <v>0</v>
      </c>
      <c r="K347" s="26">
        <v>0</v>
      </c>
      <c r="L347" s="26">
        <v>0</v>
      </c>
      <c r="M347" s="26">
        <v>0</v>
      </c>
      <c r="N347" s="26">
        <v>0</v>
      </c>
      <c r="O347" s="26">
        <v>0</v>
      </c>
      <c r="P347" s="26">
        <v>0</v>
      </c>
      <c r="Q347" s="26">
        <v>2</v>
      </c>
      <c r="R347" s="26">
        <v>2</v>
      </c>
      <c r="S347" s="26">
        <v>2</v>
      </c>
      <c r="T347" s="26">
        <v>2</v>
      </c>
      <c r="U347" s="26">
        <v>2</v>
      </c>
      <c r="V347" s="26">
        <v>2</v>
      </c>
      <c r="W347" s="26">
        <v>2</v>
      </c>
      <c r="X347" s="26">
        <v>2</v>
      </c>
      <c r="Y347" s="26">
        <v>2</v>
      </c>
      <c r="Z347" s="26">
        <v>2</v>
      </c>
      <c r="AA347" s="26">
        <v>2</v>
      </c>
      <c r="AB347" s="26">
        <v>2</v>
      </c>
      <c r="AC347" s="26">
        <v>2</v>
      </c>
      <c r="AD347" s="26">
        <v>2</v>
      </c>
      <c r="AE347" s="26">
        <v>2</v>
      </c>
      <c r="AF347" s="26">
        <v>2</v>
      </c>
      <c r="AG347" s="26">
        <v>2</v>
      </c>
      <c r="AH347" s="26">
        <v>2</v>
      </c>
      <c r="AI347" s="26">
        <v>2</v>
      </c>
      <c r="AJ347" s="26">
        <v>2</v>
      </c>
      <c r="AK347" s="26">
        <v>2</v>
      </c>
      <c r="AL347" s="26">
        <v>2</v>
      </c>
      <c r="AM347" s="26">
        <v>2</v>
      </c>
      <c r="AN347" s="26">
        <v>2</v>
      </c>
      <c r="AO347" s="26">
        <v>2</v>
      </c>
      <c r="AP347" s="26">
        <v>2</v>
      </c>
      <c r="AQ347" s="26">
        <v>2</v>
      </c>
      <c r="AR347" s="26">
        <v>2</v>
      </c>
      <c r="AS347" s="26">
        <v>2</v>
      </c>
      <c r="AT347" s="26">
        <v>2</v>
      </c>
      <c r="AU347" s="26">
        <v>2</v>
      </c>
      <c r="AV347" s="26">
        <v>2</v>
      </c>
      <c r="AW347" s="26">
        <v>2</v>
      </c>
      <c r="AX347" s="26">
        <v>2</v>
      </c>
      <c r="AY347" s="26">
        <v>2</v>
      </c>
      <c r="AZ347" s="26">
        <v>2</v>
      </c>
      <c r="BA347" s="26">
        <v>0</v>
      </c>
      <c r="BB347" s="26">
        <v>0</v>
      </c>
      <c r="BC347" s="26">
        <v>0</v>
      </c>
      <c r="BD347" s="26">
        <v>0</v>
      </c>
      <c r="BE347" s="26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 t="s">
        <v>445</v>
      </c>
    </row>
    <row r="348" spans="1:63" x14ac:dyDescent="0.25">
      <c r="A348" s="26" t="s">
        <v>385</v>
      </c>
      <c r="B348" s="26" t="s">
        <v>37</v>
      </c>
      <c r="C348" s="26">
        <v>34.052199999999999</v>
      </c>
      <c r="D348" s="26">
        <v>-118.2437</v>
      </c>
      <c r="E348" s="26">
        <v>0</v>
      </c>
      <c r="F348" s="26">
        <v>0</v>
      </c>
      <c r="G348" s="26">
        <v>0</v>
      </c>
      <c r="H348" s="26">
        <v>0</v>
      </c>
      <c r="I348" s="26">
        <v>1</v>
      </c>
      <c r="J348" s="26">
        <v>1</v>
      </c>
      <c r="K348" s="26">
        <v>1</v>
      </c>
      <c r="L348" s="26">
        <v>1</v>
      </c>
      <c r="M348" s="26">
        <v>1</v>
      </c>
      <c r="N348" s="26">
        <v>1</v>
      </c>
      <c r="O348" s="26">
        <v>1</v>
      </c>
      <c r="P348" s="26">
        <v>1</v>
      </c>
      <c r="Q348" s="26">
        <v>1</v>
      </c>
      <c r="R348" s="26">
        <v>1</v>
      </c>
      <c r="S348" s="26">
        <v>1</v>
      </c>
      <c r="T348" s="26">
        <v>1</v>
      </c>
      <c r="U348" s="26">
        <v>1</v>
      </c>
      <c r="V348" s="26">
        <v>1</v>
      </c>
      <c r="W348" s="26">
        <v>1</v>
      </c>
      <c r="X348" s="26">
        <v>1</v>
      </c>
      <c r="Y348" s="26">
        <v>1</v>
      </c>
      <c r="Z348" s="26">
        <v>1</v>
      </c>
      <c r="AA348" s="26">
        <v>1</v>
      </c>
      <c r="AB348" s="26">
        <v>1</v>
      </c>
      <c r="AC348" s="26">
        <v>1</v>
      </c>
      <c r="AD348" s="26">
        <v>1</v>
      </c>
      <c r="AE348" s="26">
        <v>1</v>
      </c>
      <c r="AF348" s="26">
        <v>1</v>
      </c>
      <c r="AG348" s="26">
        <v>1</v>
      </c>
      <c r="AH348" s="26">
        <v>1</v>
      </c>
      <c r="AI348" s="26">
        <v>1</v>
      </c>
      <c r="AJ348" s="26">
        <v>1</v>
      </c>
      <c r="AK348" s="26">
        <v>1</v>
      </c>
      <c r="AL348" s="26">
        <v>1</v>
      </c>
      <c r="AM348" s="26">
        <v>1</v>
      </c>
      <c r="AN348" s="26">
        <v>1</v>
      </c>
      <c r="AO348" s="26">
        <v>1</v>
      </c>
      <c r="AP348" s="26">
        <v>1</v>
      </c>
      <c r="AQ348" s="26">
        <v>1</v>
      </c>
      <c r="AR348" s="26">
        <v>1</v>
      </c>
      <c r="AS348" s="26">
        <v>1</v>
      </c>
      <c r="AT348" s="26">
        <v>1</v>
      </c>
      <c r="AU348" s="26">
        <v>7</v>
      </c>
      <c r="AV348" s="26">
        <v>11</v>
      </c>
      <c r="AW348" s="26">
        <v>13</v>
      </c>
      <c r="AX348" s="26">
        <v>14</v>
      </c>
      <c r="AY348" s="26">
        <v>14</v>
      </c>
      <c r="AZ348" s="26">
        <v>14</v>
      </c>
      <c r="BA348" s="26">
        <v>0</v>
      </c>
      <c r="BB348" s="26">
        <v>0</v>
      </c>
      <c r="BC348" s="26">
        <v>0</v>
      </c>
      <c r="BD348" s="26">
        <v>0</v>
      </c>
      <c r="BE348" s="26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 t="s">
        <v>445</v>
      </c>
    </row>
    <row r="349" spans="1:63" x14ac:dyDescent="0.25">
      <c r="A349" s="26" t="s">
        <v>386</v>
      </c>
      <c r="B349" s="26" t="s">
        <v>37</v>
      </c>
      <c r="C349" s="26">
        <v>47.606200000000001</v>
      </c>
      <c r="D349" s="26">
        <v>-122.3321</v>
      </c>
      <c r="E349" s="26">
        <v>1</v>
      </c>
      <c r="F349" s="26">
        <v>1</v>
      </c>
      <c r="G349" s="26">
        <v>1</v>
      </c>
      <c r="H349" s="26">
        <v>1</v>
      </c>
      <c r="I349" s="26">
        <v>1</v>
      </c>
      <c r="J349" s="26">
        <v>1</v>
      </c>
      <c r="K349" s="26">
        <v>1</v>
      </c>
      <c r="L349" s="26">
        <v>1</v>
      </c>
      <c r="M349" s="26">
        <v>1</v>
      </c>
      <c r="N349" s="26">
        <v>1</v>
      </c>
      <c r="O349" s="26">
        <v>1</v>
      </c>
      <c r="P349" s="26">
        <v>1</v>
      </c>
      <c r="Q349" s="26">
        <v>1</v>
      </c>
      <c r="R349" s="26">
        <v>1</v>
      </c>
      <c r="S349" s="26">
        <v>1</v>
      </c>
      <c r="T349" s="26">
        <v>1</v>
      </c>
      <c r="U349" s="26">
        <v>1</v>
      </c>
      <c r="V349" s="26">
        <v>1</v>
      </c>
      <c r="W349" s="26">
        <v>1</v>
      </c>
      <c r="X349" s="26">
        <v>1</v>
      </c>
      <c r="Y349" s="26">
        <v>1</v>
      </c>
      <c r="Z349" s="26">
        <v>1</v>
      </c>
      <c r="AA349" s="26">
        <v>1</v>
      </c>
      <c r="AB349" s="26">
        <v>1</v>
      </c>
      <c r="AC349" s="26">
        <v>1</v>
      </c>
      <c r="AD349" s="26">
        <v>1</v>
      </c>
      <c r="AE349" s="26">
        <v>1</v>
      </c>
      <c r="AF349" s="26">
        <v>1</v>
      </c>
      <c r="AG349" s="26">
        <v>1</v>
      </c>
      <c r="AH349" s="26">
        <v>1</v>
      </c>
      <c r="AI349" s="26">
        <v>1</v>
      </c>
      <c r="AJ349" s="26">
        <v>1</v>
      </c>
      <c r="AK349" s="26">
        <v>1</v>
      </c>
      <c r="AL349" s="26">
        <v>1</v>
      </c>
      <c r="AM349" s="26">
        <v>1</v>
      </c>
      <c r="AN349" s="26">
        <v>1</v>
      </c>
      <c r="AO349" s="26">
        <v>1</v>
      </c>
      <c r="AP349" s="26">
        <v>1</v>
      </c>
      <c r="AQ349" s="26">
        <v>6</v>
      </c>
      <c r="AR349" s="26">
        <v>9</v>
      </c>
      <c r="AS349" s="26">
        <v>14</v>
      </c>
      <c r="AT349" s="26">
        <v>21</v>
      </c>
      <c r="AU349" s="26">
        <v>31</v>
      </c>
      <c r="AV349" s="26">
        <v>51</v>
      </c>
      <c r="AW349" s="26">
        <v>58</v>
      </c>
      <c r="AX349" s="26">
        <v>71</v>
      </c>
      <c r="AY349" s="26">
        <v>83</v>
      </c>
      <c r="AZ349" s="26">
        <v>83</v>
      </c>
      <c r="BA349" s="26">
        <v>0</v>
      </c>
      <c r="BB349" s="26">
        <v>0</v>
      </c>
      <c r="BC349" s="26">
        <v>0</v>
      </c>
      <c r="BD349" s="26">
        <v>0</v>
      </c>
      <c r="BE349" s="26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 t="s">
        <v>445</v>
      </c>
    </row>
    <row r="350" spans="1:63" x14ac:dyDescent="0.25">
      <c r="A350" s="26" t="s">
        <v>387</v>
      </c>
      <c r="B350" s="26" t="s">
        <v>37</v>
      </c>
      <c r="C350" s="26">
        <v>41.737699999999997</v>
      </c>
      <c r="D350" s="26">
        <v>-87.697599999999994</v>
      </c>
      <c r="E350" s="26">
        <v>0</v>
      </c>
      <c r="F350" s="26">
        <v>0</v>
      </c>
      <c r="G350" s="26">
        <v>1</v>
      </c>
      <c r="H350" s="26">
        <v>1</v>
      </c>
      <c r="I350" s="26">
        <v>1</v>
      </c>
      <c r="J350" s="26">
        <v>1</v>
      </c>
      <c r="K350" s="26">
        <v>1</v>
      </c>
      <c r="L350" s="26">
        <v>1</v>
      </c>
      <c r="M350" s="26">
        <v>1</v>
      </c>
      <c r="N350" s="26">
        <v>2</v>
      </c>
      <c r="O350" s="26">
        <v>2</v>
      </c>
      <c r="P350" s="26">
        <v>2</v>
      </c>
      <c r="Q350" s="26">
        <v>2</v>
      </c>
      <c r="R350" s="26">
        <v>2</v>
      </c>
      <c r="S350" s="26">
        <v>2</v>
      </c>
      <c r="T350" s="26">
        <v>2</v>
      </c>
      <c r="U350" s="26">
        <v>2</v>
      </c>
      <c r="V350" s="26">
        <v>2</v>
      </c>
      <c r="W350" s="26">
        <v>2</v>
      </c>
      <c r="X350" s="26">
        <v>2</v>
      </c>
      <c r="Y350" s="26">
        <v>2</v>
      </c>
      <c r="Z350" s="26">
        <v>2</v>
      </c>
      <c r="AA350" s="26">
        <v>2</v>
      </c>
      <c r="AB350" s="26">
        <v>2</v>
      </c>
      <c r="AC350" s="26">
        <v>2</v>
      </c>
      <c r="AD350" s="26">
        <v>2</v>
      </c>
      <c r="AE350" s="26">
        <v>2</v>
      </c>
      <c r="AF350" s="26">
        <v>2</v>
      </c>
      <c r="AG350" s="26">
        <v>2</v>
      </c>
      <c r="AH350" s="26">
        <v>2</v>
      </c>
      <c r="AI350" s="26">
        <v>2</v>
      </c>
      <c r="AJ350" s="26">
        <v>2</v>
      </c>
      <c r="AK350" s="26">
        <v>2</v>
      </c>
      <c r="AL350" s="26">
        <v>2</v>
      </c>
      <c r="AM350" s="26">
        <v>2</v>
      </c>
      <c r="AN350" s="26">
        <v>2</v>
      </c>
      <c r="AO350" s="26">
        <v>2</v>
      </c>
      <c r="AP350" s="26">
        <v>2</v>
      </c>
      <c r="AQ350" s="26">
        <v>2</v>
      </c>
      <c r="AR350" s="26">
        <v>3</v>
      </c>
      <c r="AS350" s="26">
        <v>4</v>
      </c>
      <c r="AT350" s="26">
        <v>4</v>
      </c>
      <c r="AU350" s="26">
        <v>4</v>
      </c>
      <c r="AV350" s="26">
        <v>5</v>
      </c>
      <c r="AW350" s="26">
        <v>5</v>
      </c>
      <c r="AX350" s="26">
        <v>6</v>
      </c>
      <c r="AY350" s="26">
        <v>7</v>
      </c>
      <c r="AZ350" s="26">
        <v>7</v>
      </c>
      <c r="BA350" s="26">
        <v>0</v>
      </c>
      <c r="BB350" s="26">
        <v>0</v>
      </c>
      <c r="BC350" s="26">
        <v>0</v>
      </c>
      <c r="BD350" s="26">
        <v>0</v>
      </c>
      <c r="BE350" s="26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 t="s">
        <v>445</v>
      </c>
    </row>
    <row r="351" spans="1:63" x14ac:dyDescent="0.25">
      <c r="A351" s="26" t="s">
        <v>388</v>
      </c>
      <c r="B351" s="26" t="s">
        <v>37</v>
      </c>
      <c r="C351" s="26">
        <v>48.424199999999999</v>
      </c>
      <c r="D351" s="26">
        <v>-121.7114</v>
      </c>
      <c r="E351" s="26">
        <v>0</v>
      </c>
      <c r="F351" s="26">
        <v>0</v>
      </c>
      <c r="G351" s="26">
        <v>0</v>
      </c>
      <c r="H351" s="26">
        <v>0</v>
      </c>
      <c r="I351" s="26">
        <v>0</v>
      </c>
      <c r="J351" s="26">
        <v>0</v>
      </c>
      <c r="K351" s="26">
        <v>0</v>
      </c>
      <c r="L351" s="26">
        <v>0</v>
      </c>
      <c r="M351" s="26">
        <v>0</v>
      </c>
      <c r="N351" s="26">
        <v>0</v>
      </c>
      <c r="O351" s="26">
        <v>0</v>
      </c>
      <c r="P351" s="26">
        <v>0</v>
      </c>
      <c r="Q351" s="26">
        <v>0</v>
      </c>
      <c r="R351" s="26">
        <v>0</v>
      </c>
      <c r="S351" s="26">
        <v>0</v>
      </c>
      <c r="T351" s="26">
        <v>0</v>
      </c>
      <c r="U351" s="26">
        <v>0</v>
      </c>
      <c r="V351" s="26">
        <v>0</v>
      </c>
      <c r="W351" s="26">
        <v>0</v>
      </c>
      <c r="X351" s="26">
        <v>0</v>
      </c>
      <c r="Y351" s="26">
        <v>0</v>
      </c>
      <c r="Z351" s="26">
        <v>0</v>
      </c>
      <c r="AA351" s="26">
        <v>0</v>
      </c>
      <c r="AB351" s="26">
        <v>0</v>
      </c>
      <c r="AC351" s="26">
        <v>0</v>
      </c>
      <c r="AD351" s="26">
        <v>0</v>
      </c>
      <c r="AE351" s="26">
        <v>0</v>
      </c>
      <c r="AF351" s="26">
        <v>0</v>
      </c>
      <c r="AG351" s="26">
        <v>0</v>
      </c>
      <c r="AH351" s="26">
        <v>0</v>
      </c>
      <c r="AI351" s="26">
        <v>0</v>
      </c>
      <c r="AJ351" s="26">
        <v>0</v>
      </c>
      <c r="AK351" s="26">
        <v>0</v>
      </c>
      <c r="AL351" s="26">
        <v>0</v>
      </c>
      <c r="AM351" s="26">
        <v>0</v>
      </c>
      <c r="AN351" s="26">
        <v>0</v>
      </c>
      <c r="AO351" s="26">
        <v>0</v>
      </c>
      <c r="AP351" s="26">
        <v>0</v>
      </c>
      <c r="AQ351" s="26">
        <v>0</v>
      </c>
      <c r="AR351" s="26">
        <v>0</v>
      </c>
      <c r="AS351" s="26">
        <v>0</v>
      </c>
      <c r="AT351" s="26">
        <v>0</v>
      </c>
      <c r="AU351" s="26">
        <v>0</v>
      </c>
      <c r="AV351" s="26">
        <v>0</v>
      </c>
      <c r="AW351" s="26">
        <v>0</v>
      </c>
      <c r="AX351" s="26">
        <v>0</v>
      </c>
      <c r="AY351" s="26">
        <v>0</v>
      </c>
      <c r="AZ351" s="26">
        <v>0</v>
      </c>
      <c r="BA351" s="26">
        <v>0</v>
      </c>
      <c r="BB351" s="26">
        <v>0</v>
      </c>
      <c r="BC351" s="26">
        <v>0</v>
      </c>
      <c r="BD351" s="26">
        <v>0</v>
      </c>
      <c r="BE351" s="26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 t="s">
        <v>445</v>
      </c>
    </row>
    <row r="352" spans="1:63" x14ac:dyDescent="0.25">
      <c r="A352" s="26" t="s">
        <v>389</v>
      </c>
      <c r="B352" s="26" t="s">
        <v>37</v>
      </c>
      <c r="C352" s="26">
        <v>46.864600000000003</v>
      </c>
      <c r="D352" s="26">
        <v>-122.7696</v>
      </c>
      <c r="E352" s="26">
        <v>0</v>
      </c>
      <c r="F352" s="26">
        <v>0</v>
      </c>
      <c r="G352" s="26">
        <v>0</v>
      </c>
      <c r="H352" s="26">
        <v>0</v>
      </c>
      <c r="I352" s="26">
        <v>0</v>
      </c>
      <c r="J352" s="26">
        <v>0</v>
      </c>
      <c r="K352" s="26">
        <v>0</v>
      </c>
      <c r="L352" s="26">
        <v>0</v>
      </c>
      <c r="M352" s="26">
        <v>0</v>
      </c>
      <c r="N352" s="26">
        <v>0</v>
      </c>
      <c r="O352" s="26">
        <v>0</v>
      </c>
      <c r="P352" s="26">
        <v>0</v>
      </c>
      <c r="Q352" s="26">
        <v>0</v>
      </c>
      <c r="R352" s="26">
        <v>0</v>
      </c>
      <c r="S352" s="26">
        <v>0</v>
      </c>
      <c r="T352" s="26">
        <v>0</v>
      </c>
      <c r="U352" s="26">
        <v>0</v>
      </c>
      <c r="V352" s="26">
        <v>0</v>
      </c>
      <c r="W352" s="26">
        <v>0</v>
      </c>
      <c r="X352" s="26">
        <v>0</v>
      </c>
      <c r="Y352" s="26">
        <v>0</v>
      </c>
      <c r="Z352" s="26">
        <v>0</v>
      </c>
      <c r="AA352" s="26">
        <v>0</v>
      </c>
      <c r="AB352" s="26">
        <v>0</v>
      </c>
      <c r="AC352" s="26">
        <v>0</v>
      </c>
      <c r="AD352" s="26">
        <v>0</v>
      </c>
      <c r="AE352" s="26">
        <v>0</v>
      </c>
      <c r="AF352" s="26">
        <v>0</v>
      </c>
      <c r="AG352" s="26">
        <v>0</v>
      </c>
      <c r="AH352" s="26">
        <v>0</v>
      </c>
      <c r="AI352" s="26">
        <v>0</v>
      </c>
      <c r="AJ352" s="26">
        <v>0</v>
      </c>
      <c r="AK352" s="26">
        <v>0</v>
      </c>
      <c r="AL352" s="26">
        <v>0</v>
      </c>
      <c r="AM352" s="26">
        <v>0</v>
      </c>
      <c r="AN352" s="26">
        <v>0</v>
      </c>
      <c r="AO352" s="26">
        <v>0</v>
      </c>
      <c r="AP352" s="26">
        <v>0</v>
      </c>
      <c r="AQ352" s="26">
        <v>0</v>
      </c>
      <c r="AR352" s="26">
        <v>0</v>
      </c>
      <c r="AS352" s="26">
        <v>0</v>
      </c>
      <c r="AT352" s="26">
        <v>0</v>
      </c>
      <c r="AU352" s="26">
        <v>0</v>
      </c>
      <c r="AV352" s="26">
        <v>0</v>
      </c>
      <c r="AW352" s="26">
        <v>0</v>
      </c>
      <c r="AX352" s="26">
        <v>0</v>
      </c>
      <c r="AY352" s="26">
        <v>0</v>
      </c>
      <c r="AZ352" s="26">
        <v>0</v>
      </c>
      <c r="BA352" s="26">
        <v>0</v>
      </c>
      <c r="BB352" s="26">
        <v>0</v>
      </c>
      <c r="BC352" s="26">
        <v>0</v>
      </c>
      <c r="BD352" s="26">
        <v>0</v>
      </c>
      <c r="BE352" s="26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 t="s">
        <v>445</v>
      </c>
    </row>
    <row r="353" spans="1:63" x14ac:dyDescent="0.25">
      <c r="A353" s="26" t="s">
        <v>390</v>
      </c>
      <c r="B353" s="26" t="s">
        <v>37</v>
      </c>
      <c r="C353" s="26">
        <v>48.197600000000001</v>
      </c>
      <c r="D353" s="26">
        <v>-122.5795</v>
      </c>
      <c r="E353" s="26">
        <v>0</v>
      </c>
      <c r="F353" s="26">
        <v>0</v>
      </c>
      <c r="G353" s="26">
        <v>0</v>
      </c>
      <c r="H353" s="26">
        <v>0</v>
      </c>
      <c r="I353" s="26">
        <v>0</v>
      </c>
      <c r="J353" s="26">
        <v>0</v>
      </c>
      <c r="K353" s="26">
        <v>0</v>
      </c>
      <c r="L353" s="26">
        <v>0</v>
      </c>
      <c r="M353" s="26">
        <v>0</v>
      </c>
      <c r="N353" s="26">
        <v>0</v>
      </c>
      <c r="O353" s="26">
        <v>0</v>
      </c>
      <c r="P353" s="26">
        <v>0</v>
      </c>
      <c r="Q353" s="26">
        <v>0</v>
      </c>
      <c r="R353" s="26">
        <v>0</v>
      </c>
      <c r="S353" s="26">
        <v>0</v>
      </c>
      <c r="T353" s="26">
        <v>0</v>
      </c>
      <c r="U353" s="26">
        <v>0</v>
      </c>
      <c r="V353" s="26">
        <v>0</v>
      </c>
      <c r="W353" s="26">
        <v>0</v>
      </c>
      <c r="X353" s="26">
        <v>0</v>
      </c>
      <c r="Y353" s="26">
        <v>0</v>
      </c>
      <c r="Z353" s="26">
        <v>0</v>
      </c>
      <c r="AA353" s="26">
        <v>0</v>
      </c>
      <c r="AB353" s="26">
        <v>0</v>
      </c>
      <c r="AC353" s="26">
        <v>0</v>
      </c>
      <c r="AD353" s="26">
        <v>0</v>
      </c>
      <c r="AE353" s="26">
        <v>0</v>
      </c>
      <c r="AF353" s="26">
        <v>0</v>
      </c>
      <c r="AG353" s="26">
        <v>0</v>
      </c>
      <c r="AH353" s="26">
        <v>0</v>
      </c>
      <c r="AI353" s="26">
        <v>0</v>
      </c>
      <c r="AJ353" s="26">
        <v>0</v>
      </c>
      <c r="AK353" s="26">
        <v>0</v>
      </c>
      <c r="AL353" s="26">
        <v>0</v>
      </c>
      <c r="AM353" s="26">
        <v>0</v>
      </c>
      <c r="AN353" s="26">
        <v>0</v>
      </c>
      <c r="AO353" s="26">
        <v>0</v>
      </c>
      <c r="AP353" s="26">
        <v>0</v>
      </c>
      <c r="AQ353" s="26">
        <v>0</v>
      </c>
      <c r="AR353" s="26">
        <v>0</v>
      </c>
      <c r="AS353" s="26">
        <v>0</v>
      </c>
      <c r="AT353" s="26">
        <v>0</v>
      </c>
      <c r="AU353" s="26">
        <v>0</v>
      </c>
      <c r="AV353" s="26">
        <v>0</v>
      </c>
      <c r="AW353" s="26">
        <v>0</v>
      </c>
      <c r="AX353" s="26">
        <v>0</v>
      </c>
      <c r="AY353" s="26">
        <v>0</v>
      </c>
      <c r="AZ353" s="26">
        <v>0</v>
      </c>
      <c r="BA353" s="26">
        <v>0</v>
      </c>
      <c r="BB353" s="26">
        <v>0</v>
      </c>
      <c r="BC353" s="26">
        <v>0</v>
      </c>
      <c r="BD353" s="26">
        <v>0</v>
      </c>
      <c r="BE353" s="26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 t="s">
        <v>445</v>
      </c>
    </row>
    <row r="354" spans="1:63" x14ac:dyDescent="0.25">
      <c r="A354" s="26" t="s">
        <v>391</v>
      </c>
      <c r="B354" s="26" t="s">
        <v>37</v>
      </c>
      <c r="C354" s="26">
        <v>48.878700000000002</v>
      </c>
      <c r="D354" s="26">
        <v>-121.97190000000001</v>
      </c>
      <c r="E354" s="26">
        <v>0</v>
      </c>
      <c r="F354" s="26">
        <v>0</v>
      </c>
      <c r="G354" s="26">
        <v>0</v>
      </c>
      <c r="H354" s="26">
        <v>0</v>
      </c>
      <c r="I354" s="26">
        <v>0</v>
      </c>
      <c r="J354" s="26">
        <v>0</v>
      </c>
      <c r="K354" s="26">
        <v>0</v>
      </c>
      <c r="L354" s="26">
        <v>0</v>
      </c>
      <c r="M354" s="26">
        <v>0</v>
      </c>
      <c r="N354" s="26">
        <v>0</v>
      </c>
      <c r="O354" s="26">
        <v>0</v>
      </c>
      <c r="P354" s="26">
        <v>0</v>
      </c>
      <c r="Q354" s="26">
        <v>0</v>
      </c>
      <c r="R354" s="26">
        <v>0</v>
      </c>
      <c r="S354" s="26">
        <v>0</v>
      </c>
      <c r="T354" s="26">
        <v>0</v>
      </c>
      <c r="U354" s="26">
        <v>0</v>
      </c>
      <c r="V354" s="26">
        <v>0</v>
      </c>
      <c r="W354" s="26">
        <v>0</v>
      </c>
      <c r="X354" s="26">
        <v>0</v>
      </c>
      <c r="Y354" s="26">
        <v>0</v>
      </c>
      <c r="Z354" s="26">
        <v>0</v>
      </c>
      <c r="AA354" s="26">
        <v>0</v>
      </c>
      <c r="AB354" s="26">
        <v>0</v>
      </c>
      <c r="AC354" s="26">
        <v>0</v>
      </c>
      <c r="AD354" s="26">
        <v>0</v>
      </c>
      <c r="AE354" s="26">
        <v>0</v>
      </c>
      <c r="AF354" s="26">
        <v>0</v>
      </c>
      <c r="AG354" s="26">
        <v>0</v>
      </c>
      <c r="AH354" s="26">
        <v>0</v>
      </c>
      <c r="AI354" s="26">
        <v>0</v>
      </c>
      <c r="AJ354" s="26">
        <v>0</v>
      </c>
      <c r="AK354" s="26">
        <v>0</v>
      </c>
      <c r="AL354" s="26">
        <v>0</v>
      </c>
      <c r="AM354" s="26">
        <v>0</v>
      </c>
      <c r="AN354" s="26">
        <v>0</v>
      </c>
      <c r="AO354" s="26">
        <v>0</v>
      </c>
      <c r="AP354" s="26">
        <v>0</v>
      </c>
      <c r="AQ354" s="26">
        <v>0</v>
      </c>
      <c r="AR354" s="26">
        <v>0</v>
      </c>
      <c r="AS354" s="26">
        <v>0</v>
      </c>
      <c r="AT354" s="26">
        <v>0</v>
      </c>
      <c r="AU354" s="26">
        <v>0</v>
      </c>
      <c r="AV354" s="26">
        <v>0</v>
      </c>
      <c r="AW354" s="26">
        <v>0</v>
      </c>
      <c r="AX354" s="26">
        <v>0</v>
      </c>
      <c r="AY354" s="26">
        <v>0</v>
      </c>
      <c r="AZ354" s="26">
        <v>0</v>
      </c>
      <c r="BA354" s="26">
        <v>0</v>
      </c>
      <c r="BB354" s="26">
        <v>0</v>
      </c>
      <c r="BC354" s="26">
        <v>0</v>
      </c>
      <c r="BD354" s="26">
        <v>0</v>
      </c>
      <c r="BE354" s="26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 t="s">
        <v>445</v>
      </c>
    </row>
    <row r="355" spans="1:63" x14ac:dyDescent="0.25">
      <c r="A355" s="26" t="s">
        <v>392</v>
      </c>
      <c r="B355" s="26" t="s">
        <v>37</v>
      </c>
      <c r="C355" s="26">
        <v>38.083399999999997</v>
      </c>
      <c r="D355" s="26">
        <v>-122.7633</v>
      </c>
      <c r="E355" s="26">
        <v>0</v>
      </c>
      <c r="F355" s="26">
        <v>0</v>
      </c>
      <c r="G355" s="26">
        <v>0</v>
      </c>
      <c r="H355" s="26">
        <v>0</v>
      </c>
      <c r="I355" s="26">
        <v>0</v>
      </c>
      <c r="J355" s="26">
        <v>0</v>
      </c>
      <c r="K355" s="26">
        <v>0</v>
      </c>
      <c r="L355" s="26">
        <v>0</v>
      </c>
      <c r="M355" s="26">
        <v>0</v>
      </c>
      <c r="N355" s="26">
        <v>0</v>
      </c>
      <c r="O355" s="26">
        <v>0</v>
      </c>
      <c r="P355" s="26">
        <v>0</v>
      </c>
      <c r="Q355" s="26">
        <v>0</v>
      </c>
      <c r="R355" s="26">
        <v>0</v>
      </c>
      <c r="S355" s="26">
        <v>0</v>
      </c>
      <c r="T355" s="26">
        <v>0</v>
      </c>
      <c r="U355" s="26">
        <v>0</v>
      </c>
      <c r="V355" s="26">
        <v>0</v>
      </c>
      <c r="W355" s="26">
        <v>0</v>
      </c>
      <c r="X355" s="26">
        <v>0</v>
      </c>
      <c r="Y355" s="26">
        <v>0</v>
      </c>
      <c r="Z355" s="26">
        <v>0</v>
      </c>
      <c r="AA355" s="26">
        <v>0</v>
      </c>
      <c r="AB355" s="26">
        <v>0</v>
      </c>
      <c r="AC355" s="26">
        <v>0</v>
      </c>
      <c r="AD355" s="26">
        <v>0</v>
      </c>
      <c r="AE355" s="26">
        <v>0</v>
      </c>
      <c r="AF355" s="26">
        <v>0</v>
      </c>
      <c r="AG355" s="26">
        <v>0</v>
      </c>
      <c r="AH355" s="26">
        <v>0</v>
      </c>
      <c r="AI355" s="26">
        <v>0</v>
      </c>
      <c r="AJ355" s="26">
        <v>0</v>
      </c>
      <c r="AK355" s="26">
        <v>0</v>
      </c>
      <c r="AL355" s="26">
        <v>0</v>
      </c>
      <c r="AM355" s="26">
        <v>0</v>
      </c>
      <c r="AN355" s="26">
        <v>0</v>
      </c>
      <c r="AO355" s="26">
        <v>0</v>
      </c>
      <c r="AP355" s="26">
        <v>0</v>
      </c>
      <c r="AQ355" s="26">
        <v>0</v>
      </c>
      <c r="AR355" s="26">
        <v>0</v>
      </c>
      <c r="AS355" s="26">
        <v>0</v>
      </c>
      <c r="AT355" s="26">
        <v>0</v>
      </c>
      <c r="AU355" s="26">
        <v>0</v>
      </c>
      <c r="AV355" s="26">
        <v>0</v>
      </c>
      <c r="AW355" s="26">
        <v>0</v>
      </c>
      <c r="AX355" s="26">
        <v>0</v>
      </c>
      <c r="AY355" s="26">
        <v>0</v>
      </c>
      <c r="AZ355" s="26">
        <v>0</v>
      </c>
      <c r="BA355" s="26">
        <v>0</v>
      </c>
      <c r="BB355" s="26">
        <v>0</v>
      </c>
      <c r="BC355" s="26">
        <v>0</v>
      </c>
      <c r="BD355" s="26">
        <v>0</v>
      </c>
      <c r="BE355" s="26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 t="s">
        <v>445</v>
      </c>
    </row>
    <row r="356" spans="1:63" x14ac:dyDescent="0.25">
      <c r="A356" s="26" t="s">
        <v>393</v>
      </c>
      <c r="B356" s="26" t="s">
        <v>37</v>
      </c>
      <c r="C356" s="26">
        <v>38.195999999999998</v>
      </c>
      <c r="D356" s="26">
        <v>-120.68049999999999</v>
      </c>
      <c r="E356" s="26">
        <v>0</v>
      </c>
      <c r="F356" s="26">
        <v>0</v>
      </c>
      <c r="G356" s="26">
        <v>0</v>
      </c>
      <c r="H356" s="26">
        <v>0</v>
      </c>
      <c r="I356" s="26">
        <v>0</v>
      </c>
      <c r="J356" s="26">
        <v>0</v>
      </c>
      <c r="K356" s="26">
        <v>0</v>
      </c>
      <c r="L356" s="26">
        <v>0</v>
      </c>
      <c r="M356" s="26">
        <v>0</v>
      </c>
      <c r="N356" s="26">
        <v>0</v>
      </c>
      <c r="O356" s="26">
        <v>0</v>
      </c>
      <c r="P356" s="26">
        <v>0</v>
      </c>
      <c r="Q356" s="26">
        <v>0</v>
      </c>
      <c r="R356" s="26">
        <v>0</v>
      </c>
      <c r="S356" s="26">
        <v>0</v>
      </c>
      <c r="T356" s="26">
        <v>0</v>
      </c>
      <c r="U356" s="26">
        <v>0</v>
      </c>
      <c r="V356" s="26">
        <v>0</v>
      </c>
      <c r="W356" s="26">
        <v>0</v>
      </c>
      <c r="X356" s="26">
        <v>0</v>
      </c>
      <c r="Y356" s="26">
        <v>0</v>
      </c>
      <c r="Z356" s="26">
        <v>0</v>
      </c>
      <c r="AA356" s="26">
        <v>0</v>
      </c>
      <c r="AB356" s="26">
        <v>0</v>
      </c>
      <c r="AC356" s="26">
        <v>0</v>
      </c>
      <c r="AD356" s="26">
        <v>0</v>
      </c>
      <c r="AE356" s="26">
        <v>0</v>
      </c>
      <c r="AF356" s="26">
        <v>0</v>
      </c>
      <c r="AG356" s="26">
        <v>0</v>
      </c>
      <c r="AH356" s="26">
        <v>0</v>
      </c>
      <c r="AI356" s="26">
        <v>0</v>
      </c>
      <c r="AJ356" s="26">
        <v>0</v>
      </c>
      <c r="AK356" s="26">
        <v>0</v>
      </c>
      <c r="AL356" s="26">
        <v>0</v>
      </c>
      <c r="AM356" s="26">
        <v>0</v>
      </c>
      <c r="AN356" s="26">
        <v>0</v>
      </c>
      <c r="AO356" s="26">
        <v>0</v>
      </c>
      <c r="AP356" s="26">
        <v>0</v>
      </c>
      <c r="AQ356" s="26">
        <v>0</v>
      </c>
      <c r="AR356" s="26">
        <v>0</v>
      </c>
      <c r="AS356" s="26">
        <v>0</v>
      </c>
      <c r="AT356" s="26">
        <v>0</v>
      </c>
      <c r="AU356" s="26">
        <v>0</v>
      </c>
      <c r="AV356" s="26">
        <v>0</v>
      </c>
      <c r="AW356" s="26">
        <v>0</v>
      </c>
      <c r="AX356" s="26">
        <v>0</v>
      </c>
      <c r="AY356" s="26">
        <v>0</v>
      </c>
      <c r="AZ356" s="26">
        <v>0</v>
      </c>
      <c r="BA356" s="26">
        <v>0</v>
      </c>
      <c r="BB356" s="26">
        <v>0</v>
      </c>
      <c r="BC356" s="26">
        <v>0</v>
      </c>
      <c r="BD356" s="26">
        <v>0</v>
      </c>
      <c r="BE356" s="2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 t="s">
        <v>445</v>
      </c>
    </row>
    <row r="357" spans="1:63" x14ac:dyDescent="0.25">
      <c r="A357" s="26" t="s">
        <v>394</v>
      </c>
      <c r="B357" s="26" t="s">
        <v>37</v>
      </c>
      <c r="C357" s="26">
        <v>37.509099999999997</v>
      </c>
      <c r="D357" s="26">
        <v>-120.9876</v>
      </c>
      <c r="E357" s="26">
        <v>0</v>
      </c>
      <c r="F357" s="26">
        <v>0</v>
      </c>
      <c r="G357" s="26">
        <v>0</v>
      </c>
      <c r="H357" s="26">
        <v>0</v>
      </c>
      <c r="I357" s="26">
        <v>0</v>
      </c>
      <c r="J357" s="26">
        <v>0</v>
      </c>
      <c r="K357" s="26">
        <v>0</v>
      </c>
      <c r="L357" s="26">
        <v>0</v>
      </c>
      <c r="M357" s="26">
        <v>0</v>
      </c>
      <c r="N357" s="26">
        <v>0</v>
      </c>
      <c r="O357" s="26">
        <v>0</v>
      </c>
      <c r="P357" s="26">
        <v>0</v>
      </c>
      <c r="Q357" s="26">
        <v>0</v>
      </c>
      <c r="R357" s="26">
        <v>0</v>
      </c>
      <c r="S357" s="26">
        <v>0</v>
      </c>
      <c r="T357" s="26">
        <v>0</v>
      </c>
      <c r="U357" s="26">
        <v>0</v>
      </c>
      <c r="V357" s="26">
        <v>0</v>
      </c>
      <c r="W357" s="26">
        <v>0</v>
      </c>
      <c r="X357" s="26">
        <v>0</v>
      </c>
      <c r="Y357" s="26">
        <v>0</v>
      </c>
      <c r="Z357" s="26">
        <v>0</v>
      </c>
      <c r="AA357" s="26">
        <v>0</v>
      </c>
      <c r="AB357" s="26">
        <v>0</v>
      </c>
      <c r="AC357" s="26">
        <v>0</v>
      </c>
      <c r="AD357" s="26">
        <v>0</v>
      </c>
      <c r="AE357" s="26">
        <v>0</v>
      </c>
      <c r="AF357" s="26">
        <v>0</v>
      </c>
      <c r="AG357" s="26">
        <v>0</v>
      </c>
      <c r="AH357" s="26">
        <v>0</v>
      </c>
      <c r="AI357" s="26">
        <v>0</v>
      </c>
      <c r="AJ357" s="26">
        <v>0</v>
      </c>
      <c r="AK357" s="26">
        <v>0</v>
      </c>
      <c r="AL357" s="26">
        <v>0</v>
      </c>
      <c r="AM357" s="26">
        <v>0</v>
      </c>
      <c r="AN357" s="26">
        <v>0</v>
      </c>
      <c r="AO357" s="26">
        <v>0</v>
      </c>
      <c r="AP357" s="26">
        <v>0</v>
      </c>
      <c r="AQ357" s="26">
        <v>0</v>
      </c>
      <c r="AR357" s="26">
        <v>0</v>
      </c>
      <c r="AS357" s="26">
        <v>0</v>
      </c>
      <c r="AT357" s="26">
        <v>0</v>
      </c>
      <c r="AU357" s="26">
        <v>0</v>
      </c>
      <c r="AV357" s="26">
        <v>0</v>
      </c>
      <c r="AW357" s="26">
        <v>0</v>
      </c>
      <c r="AX357" s="26">
        <v>0</v>
      </c>
      <c r="AY357" s="26">
        <v>0</v>
      </c>
      <c r="AZ357" s="26">
        <v>0</v>
      </c>
      <c r="BA357" s="26">
        <v>0</v>
      </c>
      <c r="BB357" s="26">
        <v>0</v>
      </c>
      <c r="BC357" s="26">
        <v>0</v>
      </c>
      <c r="BD357" s="26">
        <v>0</v>
      </c>
      <c r="BE357" s="26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 t="s">
        <v>445</v>
      </c>
    </row>
    <row r="358" spans="1:63" x14ac:dyDescent="0.25">
      <c r="A358" s="26" t="s">
        <v>395</v>
      </c>
      <c r="B358" s="26" t="s">
        <v>37</v>
      </c>
      <c r="C358" s="26">
        <v>36.6066</v>
      </c>
      <c r="D358" s="26">
        <v>-120.18899999999999</v>
      </c>
      <c r="E358" s="26">
        <v>0</v>
      </c>
      <c r="F358" s="26">
        <v>0</v>
      </c>
      <c r="G358" s="26">
        <v>0</v>
      </c>
      <c r="H358" s="26">
        <v>0</v>
      </c>
      <c r="I358" s="26">
        <v>0</v>
      </c>
      <c r="J358" s="26">
        <v>0</v>
      </c>
      <c r="K358" s="26">
        <v>0</v>
      </c>
      <c r="L358" s="26">
        <v>0</v>
      </c>
      <c r="M358" s="26">
        <v>0</v>
      </c>
      <c r="N358" s="26">
        <v>0</v>
      </c>
      <c r="O358" s="26">
        <v>0</v>
      </c>
      <c r="P358" s="26">
        <v>0</v>
      </c>
      <c r="Q358" s="26">
        <v>0</v>
      </c>
      <c r="R358" s="26">
        <v>0</v>
      </c>
      <c r="S358" s="26">
        <v>0</v>
      </c>
      <c r="T358" s="26">
        <v>0</v>
      </c>
      <c r="U358" s="26">
        <v>0</v>
      </c>
      <c r="V358" s="26">
        <v>0</v>
      </c>
      <c r="W358" s="26">
        <v>0</v>
      </c>
      <c r="X358" s="26">
        <v>0</v>
      </c>
      <c r="Y358" s="26">
        <v>0</v>
      </c>
      <c r="Z358" s="26">
        <v>0</v>
      </c>
      <c r="AA358" s="26">
        <v>0</v>
      </c>
      <c r="AB358" s="26">
        <v>0</v>
      </c>
      <c r="AC358" s="26">
        <v>0</v>
      </c>
      <c r="AD358" s="26">
        <v>0</v>
      </c>
      <c r="AE358" s="26">
        <v>0</v>
      </c>
      <c r="AF358" s="26">
        <v>0</v>
      </c>
      <c r="AG358" s="26">
        <v>0</v>
      </c>
      <c r="AH358" s="26">
        <v>0</v>
      </c>
      <c r="AI358" s="26">
        <v>0</v>
      </c>
      <c r="AJ358" s="26">
        <v>0</v>
      </c>
      <c r="AK358" s="26">
        <v>0</v>
      </c>
      <c r="AL358" s="26">
        <v>0</v>
      </c>
      <c r="AM358" s="26">
        <v>0</v>
      </c>
      <c r="AN358" s="26">
        <v>0</v>
      </c>
      <c r="AO358" s="26">
        <v>0</v>
      </c>
      <c r="AP358" s="26">
        <v>0</v>
      </c>
      <c r="AQ358" s="26">
        <v>0</v>
      </c>
      <c r="AR358" s="26">
        <v>0</v>
      </c>
      <c r="AS358" s="26">
        <v>0</v>
      </c>
      <c r="AT358" s="26">
        <v>0</v>
      </c>
      <c r="AU358" s="26">
        <v>0</v>
      </c>
      <c r="AV358" s="26">
        <v>0</v>
      </c>
      <c r="AW358" s="26">
        <v>0</v>
      </c>
      <c r="AX358" s="26">
        <v>0</v>
      </c>
      <c r="AY358" s="26">
        <v>0</v>
      </c>
      <c r="AZ358" s="26">
        <v>0</v>
      </c>
      <c r="BA358" s="26">
        <v>0</v>
      </c>
      <c r="BB358" s="26">
        <v>0</v>
      </c>
      <c r="BC358" s="26">
        <v>0</v>
      </c>
      <c r="BD358" s="26">
        <v>0</v>
      </c>
      <c r="BE358" s="26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 t="s">
        <v>445</v>
      </c>
    </row>
    <row r="359" spans="1:63" x14ac:dyDescent="0.25">
      <c r="A359" s="26" t="s">
        <v>396</v>
      </c>
      <c r="B359" s="26" t="s">
        <v>37</v>
      </c>
      <c r="C359" s="26">
        <v>42.631999999999998</v>
      </c>
      <c r="D359" s="26">
        <v>-70.782899999999998</v>
      </c>
      <c r="E359" s="26">
        <v>0</v>
      </c>
      <c r="F359" s="26">
        <v>0</v>
      </c>
      <c r="G359" s="26">
        <v>0</v>
      </c>
      <c r="H359" s="26">
        <v>0</v>
      </c>
      <c r="I359" s="26">
        <v>0</v>
      </c>
      <c r="J359" s="26">
        <v>0</v>
      </c>
      <c r="K359" s="26">
        <v>0</v>
      </c>
      <c r="L359" s="26">
        <v>0</v>
      </c>
      <c r="M359" s="26">
        <v>0</v>
      </c>
      <c r="N359" s="26">
        <v>0</v>
      </c>
      <c r="O359" s="26">
        <v>0</v>
      </c>
      <c r="P359" s="26">
        <v>0</v>
      </c>
      <c r="Q359" s="26">
        <v>0</v>
      </c>
      <c r="R359" s="26">
        <v>0</v>
      </c>
      <c r="S359" s="26">
        <v>0</v>
      </c>
      <c r="T359" s="26">
        <v>0</v>
      </c>
      <c r="U359" s="26">
        <v>0</v>
      </c>
      <c r="V359" s="26">
        <v>0</v>
      </c>
      <c r="W359" s="26">
        <v>0</v>
      </c>
      <c r="X359" s="26">
        <v>0</v>
      </c>
      <c r="Y359" s="26">
        <v>0</v>
      </c>
      <c r="Z359" s="26">
        <v>0</v>
      </c>
      <c r="AA359" s="26">
        <v>0</v>
      </c>
      <c r="AB359" s="26">
        <v>0</v>
      </c>
      <c r="AC359" s="26">
        <v>0</v>
      </c>
      <c r="AD359" s="26">
        <v>0</v>
      </c>
      <c r="AE359" s="26">
        <v>0</v>
      </c>
      <c r="AF359" s="26">
        <v>0</v>
      </c>
      <c r="AG359" s="26">
        <v>0</v>
      </c>
      <c r="AH359" s="26">
        <v>0</v>
      </c>
      <c r="AI359" s="26">
        <v>0</v>
      </c>
      <c r="AJ359" s="26">
        <v>0</v>
      </c>
      <c r="AK359" s="26">
        <v>0</v>
      </c>
      <c r="AL359" s="26">
        <v>0</v>
      </c>
      <c r="AM359" s="26">
        <v>0</v>
      </c>
      <c r="AN359" s="26">
        <v>0</v>
      </c>
      <c r="AO359" s="26">
        <v>0</v>
      </c>
      <c r="AP359" s="26">
        <v>0</v>
      </c>
      <c r="AQ359" s="26">
        <v>0</v>
      </c>
      <c r="AR359" s="26">
        <v>0</v>
      </c>
      <c r="AS359" s="26">
        <v>0</v>
      </c>
      <c r="AT359" s="26">
        <v>0</v>
      </c>
      <c r="AU359" s="26">
        <v>0</v>
      </c>
      <c r="AV359" s="26">
        <v>0</v>
      </c>
      <c r="AW359" s="26">
        <v>0</v>
      </c>
      <c r="AX359" s="26">
        <v>0</v>
      </c>
      <c r="AY359" s="26">
        <v>0</v>
      </c>
      <c r="AZ359" s="26">
        <v>0</v>
      </c>
      <c r="BA359" s="26">
        <v>0</v>
      </c>
      <c r="BB359" s="26">
        <v>0</v>
      </c>
      <c r="BC359" s="26">
        <v>0</v>
      </c>
      <c r="BD359" s="26">
        <v>0</v>
      </c>
      <c r="BE359" s="26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 t="s">
        <v>445</v>
      </c>
    </row>
    <row r="360" spans="1:63" x14ac:dyDescent="0.25">
      <c r="A360" s="26" t="s">
        <v>397</v>
      </c>
      <c r="B360" s="26" t="s">
        <v>37</v>
      </c>
      <c r="C360" s="26">
        <v>30.791699999999999</v>
      </c>
      <c r="D360" s="26">
        <v>-82.084299999999999</v>
      </c>
      <c r="E360" s="26">
        <v>0</v>
      </c>
      <c r="F360" s="26">
        <v>0</v>
      </c>
      <c r="G360" s="26">
        <v>0</v>
      </c>
      <c r="H360" s="26">
        <v>0</v>
      </c>
      <c r="I360" s="26">
        <v>0</v>
      </c>
      <c r="J360" s="26">
        <v>0</v>
      </c>
      <c r="K360" s="26">
        <v>0</v>
      </c>
      <c r="L360" s="26">
        <v>0</v>
      </c>
      <c r="M360" s="26">
        <v>0</v>
      </c>
      <c r="N360" s="26">
        <v>0</v>
      </c>
      <c r="O360" s="26">
        <v>0</v>
      </c>
      <c r="P360" s="26">
        <v>0</v>
      </c>
      <c r="Q360" s="26">
        <v>0</v>
      </c>
      <c r="R360" s="26">
        <v>0</v>
      </c>
      <c r="S360" s="26">
        <v>0</v>
      </c>
      <c r="T360" s="26">
        <v>0</v>
      </c>
      <c r="U360" s="26">
        <v>0</v>
      </c>
      <c r="V360" s="26">
        <v>0</v>
      </c>
      <c r="W360" s="26">
        <v>0</v>
      </c>
      <c r="X360" s="26">
        <v>0</v>
      </c>
      <c r="Y360" s="26">
        <v>0</v>
      </c>
      <c r="Z360" s="26">
        <v>0</v>
      </c>
      <c r="AA360" s="26">
        <v>0</v>
      </c>
      <c r="AB360" s="26">
        <v>0</v>
      </c>
      <c r="AC360" s="26">
        <v>0</v>
      </c>
      <c r="AD360" s="26">
        <v>0</v>
      </c>
      <c r="AE360" s="26">
        <v>0</v>
      </c>
      <c r="AF360" s="26">
        <v>0</v>
      </c>
      <c r="AG360" s="26">
        <v>0</v>
      </c>
      <c r="AH360" s="26">
        <v>0</v>
      </c>
      <c r="AI360" s="26">
        <v>0</v>
      </c>
      <c r="AJ360" s="26">
        <v>0</v>
      </c>
      <c r="AK360" s="26">
        <v>0</v>
      </c>
      <c r="AL360" s="26">
        <v>0</v>
      </c>
      <c r="AM360" s="26">
        <v>0</v>
      </c>
      <c r="AN360" s="26">
        <v>0</v>
      </c>
      <c r="AO360" s="26">
        <v>0</v>
      </c>
      <c r="AP360" s="26">
        <v>0</v>
      </c>
      <c r="AQ360" s="26">
        <v>0</v>
      </c>
      <c r="AR360" s="26">
        <v>0</v>
      </c>
      <c r="AS360" s="26">
        <v>0</v>
      </c>
      <c r="AT360" s="26">
        <v>0</v>
      </c>
      <c r="AU360" s="26">
        <v>0</v>
      </c>
      <c r="AV360" s="26">
        <v>0</v>
      </c>
      <c r="AW360" s="26">
        <v>0</v>
      </c>
      <c r="AX360" s="26">
        <v>0</v>
      </c>
      <c r="AY360" s="26">
        <v>0</v>
      </c>
      <c r="AZ360" s="26">
        <v>0</v>
      </c>
      <c r="BA360" s="26">
        <v>0</v>
      </c>
      <c r="BB360" s="26">
        <v>0</v>
      </c>
      <c r="BC360" s="26">
        <v>0</v>
      </c>
      <c r="BD360" s="26">
        <v>0</v>
      </c>
      <c r="BE360" s="26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 t="s">
        <v>445</v>
      </c>
    </row>
    <row r="361" spans="1:63" x14ac:dyDescent="0.25">
      <c r="A361" s="26" t="s">
        <v>398</v>
      </c>
      <c r="B361" s="26" t="s">
        <v>37</v>
      </c>
      <c r="C361" s="26">
        <v>26.07</v>
      </c>
      <c r="D361" s="26">
        <v>-81.427899999999994</v>
      </c>
      <c r="E361" s="26">
        <v>0</v>
      </c>
      <c r="F361" s="26">
        <v>0</v>
      </c>
      <c r="G361" s="26">
        <v>0</v>
      </c>
      <c r="H361" s="26">
        <v>0</v>
      </c>
      <c r="I361" s="26">
        <v>0</v>
      </c>
      <c r="J361" s="26">
        <v>0</v>
      </c>
      <c r="K361" s="26">
        <v>0</v>
      </c>
      <c r="L361" s="26">
        <v>0</v>
      </c>
      <c r="M361" s="26">
        <v>0</v>
      </c>
      <c r="N361" s="26">
        <v>0</v>
      </c>
      <c r="O361" s="26">
        <v>0</v>
      </c>
      <c r="P361" s="26">
        <v>0</v>
      </c>
      <c r="Q361" s="26">
        <v>0</v>
      </c>
      <c r="R361" s="26">
        <v>0</v>
      </c>
      <c r="S361" s="26">
        <v>0</v>
      </c>
      <c r="T361" s="26">
        <v>0</v>
      </c>
      <c r="U361" s="26">
        <v>0</v>
      </c>
      <c r="V361" s="26">
        <v>0</v>
      </c>
      <c r="W361" s="26">
        <v>0</v>
      </c>
      <c r="X361" s="26">
        <v>0</v>
      </c>
      <c r="Y361" s="26">
        <v>0</v>
      </c>
      <c r="Z361" s="26">
        <v>0</v>
      </c>
      <c r="AA361" s="26">
        <v>0</v>
      </c>
      <c r="AB361" s="26">
        <v>0</v>
      </c>
      <c r="AC361" s="26">
        <v>0</v>
      </c>
      <c r="AD361" s="26">
        <v>0</v>
      </c>
      <c r="AE361" s="26">
        <v>0</v>
      </c>
      <c r="AF361" s="26">
        <v>0</v>
      </c>
      <c r="AG361" s="26">
        <v>0</v>
      </c>
      <c r="AH361" s="26">
        <v>0</v>
      </c>
      <c r="AI361" s="26">
        <v>0</v>
      </c>
      <c r="AJ361" s="26">
        <v>0</v>
      </c>
      <c r="AK361" s="26">
        <v>0</v>
      </c>
      <c r="AL361" s="26">
        <v>0</v>
      </c>
      <c r="AM361" s="26">
        <v>0</v>
      </c>
      <c r="AN361" s="26">
        <v>0</v>
      </c>
      <c r="AO361" s="26">
        <v>0</v>
      </c>
      <c r="AP361" s="26">
        <v>0</v>
      </c>
      <c r="AQ361" s="26">
        <v>0</v>
      </c>
      <c r="AR361" s="26">
        <v>0</v>
      </c>
      <c r="AS361" s="26">
        <v>0</v>
      </c>
      <c r="AT361" s="26">
        <v>0</v>
      </c>
      <c r="AU361" s="26">
        <v>0</v>
      </c>
      <c r="AV361" s="26">
        <v>0</v>
      </c>
      <c r="AW361" s="26">
        <v>0</v>
      </c>
      <c r="AX361" s="26">
        <v>0</v>
      </c>
      <c r="AY361" s="26">
        <v>0</v>
      </c>
      <c r="AZ361" s="26">
        <v>0</v>
      </c>
      <c r="BA361" s="26">
        <v>0</v>
      </c>
      <c r="BB361" s="26">
        <v>0</v>
      </c>
      <c r="BC361" s="26">
        <v>0</v>
      </c>
      <c r="BD361" s="26">
        <v>0</v>
      </c>
      <c r="BE361" s="26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 t="s">
        <v>445</v>
      </c>
    </row>
    <row r="362" spans="1:63" x14ac:dyDescent="0.25">
      <c r="A362" s="26" t="s">
        <v>399</v>
      </c>
      <c r="B362" s="26" t="s">
        <v>37</v>
      </c>
      <c r="C362" s="26">
        <v>27.8764</v>
      </c>
      <c r="D362" s="26">
        <v>-82.777900000000002</v>
      </c>
      <c r="E362" s="26">
        <v>0</v>
      </c>
      <c r="F362" s="26">
        <v>0</v>
      </c>
      <c r="G362" s="26">
        <v>0</v>
      </c>
      <c r="H362" s="26">
        <v>0</v>
      </c>
      <c r="I362" s="26">
        <v>0</v>
      </c>
      <c r="J362" s="26">
        <v>0</v>
      </c>
      <c r="K362" s="26">
        <v>0</v>
      </c>
      <c r="L362" s="26">
        <v>0</v>
      </c>
      <c r="M362" s="26">
        <v>0</v>
      </c>
      <c r="N362" s="26">
        <v>0</v>
      </c>
      <c r="O362" s="26">
        <v>0</v>
      </c>
      <c r="P362" s="26">
        <v>0</v>
      </c>
      <c r="Q362" s="26">
        <v>0</v>
      </c>
      <c r="R362" s="26">
        <v>0</v>
      </c>
      <c r="S362" s="26">
        <v>0</v>
      </c>
      <c r="T362" s="26">
        <v>0</v>
      </c>
      <c r="U362" s="26">
        <v>0</v>
      </c>
      <c r="V362" s="26">
        <v>0</v>
      </c>
      <c r="W362" s="26">
        <v>0</v>
      </c>
      <c r="X362" s="26">
        <v>0</v>
      </c>
      <c r="Y362" s="26">
        <v>0</v>
      </c>
      <c r="Z362" s="26">
        <v>0</v>
      </c>
      <c r="AA362" s="26">
        <v>0</v>
      </c>
      <c r="AB362" s="26">
        <v>0</v>
      </c>
      <c r="AC362" s="26">
        <v>0</v>
      </c>
      <c r="AD362" s="26">
        <v>0</v>
      </c>
      <c r="AE362" s="26">
        <v>0</v>
      </c>
      <c r="AF362" s="26">
        <v>0</v>
      </c>
      <c r="AG362" s="26">
        <v>0</v>
      </c>
      <c r="AH362" s="26">
        <v>0</v>
      </c>
      <c r="AI362" s="26">
        <v>0</v>
      </c>
      <c r="AJ362" s="26">
        <v>0</v>
      </c>
      <c r="AK362" s="26">
        <v>0</v>
      </c>
      <c r="AL362" s="26">
        <v>0</v>
      </c>
      <c r="AM362" s="26">
        <v>0</v>
      </c>
      <c r="AN362" s="26">
        <v>0</v>
      </c>
      <c r="AO362" s="26">
        <v>0</v>
      </c>
      <c r="AP362" s="26">
        <v>0</v>
      </c>
      <c r="AQ362" s="26">
        <v>0</v>
      </c>
      <c r="AR362" s="26">
        <v>0</v>
      </c>
      <c r="AS362" s="26">
        <v>0</v>
      </c>
      <c r="AT362" s="26">
        <v>0</v>
      </c>
      <c r="AU362" s="26">
        <v>0</v>
      </c>
      <c r="AV362" s="26">
        <v>0</v>
      </c>
      <c r="AW362" s="26">
        <v>0</v>
      </c>
      <c r="AX362" s="26">
        <v>0</v>
      </c>
      <c r="AY362" s="26">
        <v>0</v>
      </c>
      <c r="AZ362" s="26">
        <v>0</v>
      </c>
      <c r="BA362" s="26">
        <v>0</v>
      </c>
      <c r="BB362" s="26">
        <v>0</v>
      </c>
      <c r="BC362" s="26">
        <v>0</v>
      </c>
      <c r="BD362" s="26">
        <v>0</v>
      </c>
      <c r="BE362" s="26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 t="s">
        <v>445</v>
      </c>
    </row>
    <row r="363" spans="1:63" x14ac:dyDescent="0.25">
      <c r="A363" s="26" t="s">
        <v>400</v>
      </c>
      <c r="B363" s="26" t="s">
        <v>37</v>
      </c>
      <c r="C363" s="26">
        <v>29.793800000000001</v>
      </c>
      <c r="D363" s="26">
        <v>-82.494399999999999</v>
      </c>
      <c r="E363" s="26">
        <v>0</v>
      </c>
      <c r="F363" s="26">
        <v>0</v>
      </c>
      <c r="G363" s="26">
        <v>0</v>
      </c>
      <c r="H363" s="26">
        <v>0</v>
      </c>
      <c r="I363" s="26">
        <v>0</v>
      </c>
      <c r="J363" s="26">
        <v>0</v>
      </c>
      <c r="K363" s="26">
        <v>0</v>
      </c>
      <c r="L363" s="26">
        <v>0</v>
      </c>
      <c r="M363" s="26">
        <v>0</v>
      </c>
      <c r="N363" s="26">
        <v>0</v>
      </c>
      <c r="O363" s="26">
        <v>0</v>
      </c>
      <c r="P363" s="26">
        <v>0</v>
      </c>
      <c r="Q363" s="26">
        <v>0</v>
      </c>
      <c r="R363" s="26">
        <v>0</v>
      </c>
      <c r="S363" s="26">
        <v>0</v>
      </c>
      <c r="T363" s="26">
        <v>0</v>
      </c>
      <c r="U363" s="26">
        <v>0</v>
      </c>
      <c r="V363" s="26">
        <v>0</v>
      </c>
      <c r="W363" s="26">
        <v>0</v>
      </c>
      <c r="X363" s="26">
        <v>0</v>
      </c>
      <c r="Y363" s="26">
        <v>0</v>
      </c>
      <c r="Z363" s="26">
        <v>0</v>
      </c>
      <c r="AA363" s="26">
        <v>0</v>
      </c>
      <c r="AB363" s="26">
        <v>0</v>
      </c>
      <c r="AC363" s="26">
        <v>0</v>
      </c>
      <c r="AD363" s="26">
        <v>0</v>
      </c>
      <c r="AE363" s="26">
        <v>0</v>
      </c>
      <c r="AF363" s="26">
        <v>0</v>
      </c>
      <c r="AG363" s="26">
        <v>0</v>
      </c>
      <c r="AH363" s="26">
        <v>0</v>
      </c>
      <c r="AI363" s="26">
        <v>0</v>
      </c>
      <c r="AJ363" s="26">
        <v>0</v>
      </c>
      <c r="AK363" s="26">
        <v>0</v>
      </c>
      <c r="AL363" s="26">
        <v>0</v>
      </c>
      <c r="AM363" s="26">
        <v>0</v>
      </c>
      <c r="AN363" s="26">
        <v>0</v>
      </c>
      <c r="AO363" s="26">
        <v>0</v>
      </c>
      <c r="AP363" s="26">
        <v>0</v>
      </c>
      <c r="AQ363" s="26">
        <v>0</v>
      </c>
      <c r="AR363" s="26">
        <v>0</v>
      </c>
      <c r="AS363" s="26">
        <v>0</v>
      </c>
      <c r="AT363" s="26">
        <v>0</v>
      </c>
      <c r="AU363" s="26">
        <v>0</v>
      </c>
      <c r="AV363" s="26">
        <v>0</v>
      </c>
      <c r="AW363" s="26">
        <v>0</v>
      </c>
      <c r="AX363" s="26">
        <v>0</v>
      </c>
      <c r="AY363" s="26">
        <v>0</v>
      </c>
      <c r="AZ363" s="26">
        <v>0</v>
      </c>
      <c r="BA363" s="26">
        <v>0</v>
      </c>
      <c r="BB363" s="26">
        <v>0</v>
      </c>
      <c r="BC363" s="26">
        <v>0</v>
      </c>
      <c r="BD363" s="26">
        <v>0</v>
      </c>
      <c r="BE363" s="26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 t="s">
        <v>445</v>
      </c>
    </row>
    <row r="364" spans="1:63" x14ac:dyDescent="0.25">
      <c r="A364" s="26" t="s">
        <v>401</v>
      </c>
      <c r="B364" s="26" t="s">
        <v>37</v>
      </c>
      <c r="C364" s="26">
        <v>30.592700000000001</v>
      </c>
      <c r="D364" s="26">
        <v>-81.822400000000002</v>
      </c>
      <c r="E364" s="26">
        <v>0</v>
      </c>
      <c r="F364" s="26">
        <v>0</v>
      </c>
      <c r="G364" s="26">
        <v>0</v>
      </c>
      <c r="H364" s="26">
        <v>0</v>
      </c>
      <c r="I364" s="26">
        <v>0</v>
      </c>
      <c r="J364" s="26">
        <v>0</v>
      </c>
      <c r="K364" s="26">
        <v>0</v>
      </c>
      <c r="L364" s="26">
        <v>0</v>
      </c>
      <c r="M364" s="26">
        <v>0</v>
      </c>
      <c r="N364" s="26">
        <v>0</v>
      </c>
      <c r="O364" s="26">
        <v>0</v>
      </c>
      <c r="P364" s="26">
        <v>0</v>
      </c>
      <c r="Q364" s="26">
        <v>0</v>
      </c>
      <c r="R364" s="26">
        <v>0</v>
      </c>
      <c r="S364" s="26">
        <v>0</v>
      </c>
      <c r="T364" s="26">
        <v>0</v>
      </c>
      <c r="U364" s="26">
        <v>0</v>
      </c>
      <c r="V364" s="26">
        <v>0</v>
      </c>
      <c r="W364" s="26">
        <v>0</v>
      </c>
      <c r="X364" s="26">
        <v>0</v>
      </c>
      <c r="Y364" s="26">
        <v>0</v>
      </c>
      <c r="Z364" s="26">
        <v>0</v>
      </c>
      <c r="AA364" s="26">
        <v>0</v>
      </c>
      <c r="AB364" s="26">
        <v>0</v>
      </c>
      <c r="AC364" s="26">
        <v>0</v>
      </c>
      <c r="AD364" s="26">
        <v>0</v>
      </c>
      <c r="AE364" s="26">
        <v>0</v>
      </c>
      <c r="AF364" s="26">
        <v>0</v>
      </c>
      <c r="AG364" s="26">
        <v>0</v>
      </c>
      <c r="AH364" s="26">
        <v>0</v>
      </c>
      <c r="AI364" s="26">
        <v>0</v>
      </c>
      <c r="AJ364" s="26">
        <v>0</v>
      </c>
      <c r="AK364" s="26">
        <v>0</v>
      </c>
      <c r="AL364" s="26">
        <v>0</v>
      </c>
      <c r="AM364" s="26">
        <v>0</v>
      </c>
      <c r="AN364" s="26">
        <v>0</v>
      </c>
      <c r="AO364" s="26">
        <v>0</v>
      </c>
      <c r="AP364" s="26">
        <v>0</v>
      </c>
      <c r="AQ364" s="26">
        <v>0</v>
      </c>
      <c r="AR364" s="26">
        <v>0</v>
      </c>
      <c r="AS364" s="26">
        <v>0</v>
      </c>
      <c r="AT364" s="26">
        <v>0</v>
      </c>
      <c r="AU364" s="26">
        <v>0</v>
      </c>
      <c r="AV364" s="26">
        <v>0</v>
      </c>
      <c r="AW364" s="26">
        <v>0</v>
      </c>
      <c r="AX364" s="26">
        <v>0</v>
      </c>
      <c r="AY364" s="26">
        <v>0</v>
      </c>
      <c r="AZ364" s="26">
        <v>0</v>
      </c>
      <c r="BA364" s="26">
        <v>0</v>
      </c>
      <c r="BB364" s="26">
        <v>0</v>
      </c>
      <c r="BC364" s="26">
        <v>0</v>
      </c>
      <c r="BD364" s="26">
        <v>0</v>
      </c>
      <c r="BE364" s="26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 t="s">
        <v>445</v>
      </c>
    </row>
    <row r="365" spans="1:63" x14ac:dyDescent="0.25">
      <c r="A365" s="26" t="s">
        <v>402</v>
      </c>
      <c r="B365" s="26" t="s">
        <v>37</v>
      </c>
      <c r="C365" s="26">
        <v>28.3232</v>
      </c>
      <c r="D365" s="26">
        <v>-82.431899999999999</v>
      </c>
      <c r="E365" s="26">
        <v>0</v>
      </c>
      <c r="F365" s="26">
        <v>0</v>
      </c>
      <c r="G365" s="26">
        <v>0</v>
      </c>
      <c r="H365" s="26">
        <v>0</v>
      </c>
      <c r="I365" s="26">
        <v>0</v>
      </c>
      <c r="J365" s="26">
        <v>0</v>
      </c>
      <c r="K365" s="26">
        <v>0</v>
      </c>
      <c r="L365" s="26">
        <v>0</v>
      </c>
      <c r="M365" s="26">
        <v>0</v>
      </c>
      <c r="N365" s="26">
        <v>0</v>
      </c>
      <c r="O365" s="26">
        <v>0</v>
      </c>
      <c r="P365" s="26">
        <v>0</v>
      </c>
      <c r="Q365" s="26">
        <v>0</v>
      </c>
      <c r="R365" s="26">
        <v>0</v>
      </c>
      <c r="S365" s="26">
        <v>0</v>
      </c>
      <c r="T365" s="26">
        <v>0</v>
      </c>
      <c r="U365" s="26">
        <v>0</v>
      </c>
      <c r="V365" s="26">
        <v>0</v>
      </c>
      <c r="W365" s="26">
        <v>0</v>
      </c>
      <c r="X365" s="26">
        <v>0</v>
      </c>
      <c r="Y365" s="26">
        <v>0</v>
      </c>
      <c r="Z365" s="26">
        <v>0</v>
      </c>
      <c r="AA365" s="26">
        <v>0</v>
      </c>
      <c r="AB365" s="26">
        <v>0</v>
      </c>
      <c r="AC365" s="26">
        <v>0</v>
      </c>
      <c r="AD365" s="26">
        <v>0</v>
      </c>
      <c r="AE365" s="26">
        <v>0</v>
      </c>
      <c r="AF365" s="26">
        <v>0</v>
      </c>
      <c r="AG365" s="26">
        <v>0</v>
      </c>
      <c r="AH365" s="26">
        <v>0</v>
      </c>
      <c r="AI365" s="26">
        <v>0</v>
      </c>
      <c r="AJ365" s="26">
        <v>0</v>
      </c>
      <c r="AK365" s="26">
        <v>0</v>
      </c>
      <c r="AL365" s="26">
        <v>0</v>
      </c>
      <c r="AM365" s="26">
        <v>0</v>
      </c>
      <c r="AN365" s="26">
        <v>0</v>
      </c>
      <c r="AO365" s="26">
        <v>0</v>
      </c>
      <c r="AP365" s="26">
        <v>0</v>
      </c>
      <c r="AQ365" s="26">
        <v>0</v>
      </c>
      <c r="AR365" s="26">
        <v>0</v>
      </c>
      <c r="AS365" s="26">
        <v>0</v>
      </c>
      <c r="AT365" s="26">
        <v>0</v>
      </c>
      <c r="AU365" s="26">
        <v>0</v>
      </c>
      <c r="AV365" s="26">
        <v>0</v>
      </c>
      <c r="AW365" s="26">
        <v>0</v>
      </c>
      <c r="AX365" s="26">
        <v>0</v>
      </c>
      <c r="AY365" s="26">
        <v>0</v>
      </c>
      <c r="AZ365" s="26">
        <v>0</v>
      </c>
      <c r="BA365" s="26">
        <v>0</v>
      </c>
      <c r="BB365" s="26">
        <v>0</v>
      </c>
      <c r="BC365" s="26">
        <v>0</v>
      </c>
      <c r="BD365" s="26">
        <v>0</v>
      </c>
      <c r="BE365" s="26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 t="s">
        <v>445</v>
      </c>
    </row>
    <row r="366" spans="1:63" x14ac:dyDescent="0.25">
      <c r="A366" s="26" t="s">
        <v>403</v>
      </c>
      <c r="B366" s="26" t="s">
        <v>37</v>
      </c>
      <c r="C366" s="26">
        <v>32.776699999999998</v>
      </c>
      <c r="D366" s="26">
        <v>-96.796999999999997</v>
      </c>
      <c r="E366" s="26">
        <v>0</v>
      </c>
      <c r="F366" s="26">
        <v>0</v>
      </c>
      <c r="G366" s="26">
        <v>0</v>
      </c>
      <c r="H366" s="26">
        <v>0</v>
      </c>
      <c r="I366" s="26">
        <v>0</v>
      </c>
      <c r="J366" s="26">
        <v>0</v>
      </c>
      <c r="K366" s="26">
        <v>0</v>
      </c>
      <c r="L366" s="26">
        <v>0</v>
      </c>
      <c r="M366" s="26">
        <v>0</v>
      </c>
      <c r="N366" s="26">
        <v>0</v>
      </c>
      <c r="O366" s="26">
        <v>0</v>
      </c>
      <c r="P366" s="26">
        <v>0</v>
      </c>
      <c r="Q366" s="26">
        <v>0</v>
      </c>
      <c r="R366" s="26">
        <v>0</v>
      </c>
      <c r="S366" s="26">
        <v>0</v>
      </c>
      <c r="T366" s="26">
        <v>0</v>
      </c>
      <c r="U366" s="26">
        <v>0</v>
      </c>
      <c r="V366" s="26">
        <v>0</v>
      </c>
      <c r="W366" s="26">
        <v>0</v>
      </c>
      <c r="X366" s="26">
        <v>0</v>
      </c>
      <c r="Y366" s="26">
        <v>0</v>
      </c>
      <c r="Z366" s="26">
        <v>0</v>
      </c>
      <c r="AA366" s="26">
        <v>0</v>
      </c>
      <c r="AB366" s="26">
        <v>0</v>
      </c>
      <c r="AC366" s="26">
        <v>0</v>
      </c>
      <c r="AD366" s="26">
        <v>0</v>
      </c>
      <c r="AE366" s="26">
        <v>0</v>
      </c>
      <c r="AF366" s="26">
        <v>0</v>
      </c>
      <c r="AG366" s="26">
        <v>0</v>
      </c>
      <c r="AH366" s="26">
        <v>0</v>
      </c>
      <c r="AI366" s="26">
        <v>0</v>
      </c>
      <c r="AJ366" s="26">
        <v>0</v>
      </c>
      <c r="AK366" s="26">
        <v>0</v>
      </c>
      <c r="AL366" s="26">
        <v>0</v>
      </c>
      <c r="AM366" s="26">
        <v>0</v>
      </c>
      <c r="AN366" s="26">
        <v>0</v>
      </c>
      <c r="AO366" s="26">
        <v>0</v>
      </c>
      <c r="AP366" s="26">
        <v>0</v>
      </c>
      <c r="AQ366" s="26">
        <v>0</v>
      </c>
      <c r="AR366" s="26">
        <v>0</v>
      </c>
      <c r="AS366" s="26">
        <v>0</v>
      </c>
      <c r="AT366" s="26">
        <v>0</v>
      </c>
      <c r="AU366" s="26">
        <v>0</v>
      </c>
      <c r="AV366" s="26">
        <v>0</v>
      </c>
      <c r="AW366" s="26">
        <v>0</v>
      </c>
      <c r="AX366" s="26">
        <v>0</v>
      </c>
      <c r="AY366" s="26">
        <v>0</v>
      </c>
      <c r="AZ366" s="26">
        <v>0</v>
      </c>
      <c r="BA366" s="26">
        <v>0</v>
      </c>
      <c r="BB366" s="26">
        <v>0</v>
      </c>
      <c r="BC366" s="26">
        <v>0</v>
      </c>
      <c r="BD366" s="26">
        <v>0</v>
      </c>
      <c r="BE366" s="2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 t="s">
        <v>445</v>
      </c>
    </row>
    <row r="367" spans="1:63" x14ac:dyDescent="0.25">
      <c r="A367" s="26" t="s">
        <v>404</v>
      </c>
      <c r="B367" s="26" t="s">
        <v>37</v>
      </c>
      <c r="C367" s="26">
        <v>32.773200000000003</v>
      </c>
      <c r="D367" s="26">
        <v>-97.351699999999994</v>
      </c>
      <c r="E367" s="26">
        <v>0</v>
      </c>
      <c r="F367" s="26">
        <v>0</v>
      </c>
      <c r="G367" s="26">
        <v>0</v>
      </c>
      <c r="H367" s="26">
        <v>0</v>
      </c>
      <c r="I367" s="26">
        <v>0</v>
      </c>
      <c r="J367" s="26">
        <v>0</v>
      </c>
      <c r="K367" s="26">
        <v>0</v>
      </c>
      <c r="L367" s="26">
        <v>0</v>
      </c>
      <c r="M367" s="26">
        <v>0</v>
      </c>
      <c r="N367" s="26">
        <v>0</v>
      </c>
      <c r="O367" s="26">
        <v>0</v>
      </c>
      <c r="P367" s="26">
        <v>0</v>
      </c>
      <c r="Q367" s="26">
        <v>0</v>
      </c>
      <c r="R367" s="26">
        <v>0</v>
      </c>
      <c r="S367" s="26">
        <v>0</v>
      </c>
      <c r="T367" s="26">
        <v>0</v>
      </c>
      <c r="U367" s="26">
        <v>0</v>
      </c>
      <c r="V367" s="26">
        <v>0</v>
      </c>
      <c r="W367" s="26">
        <v>0</v>
      </c>
      <c r="X367" s="26">
        <v>0</v>
      </c>
      <c r="Y367" s="26">
        <v>0</v>
      </c>
      <c r="Z367" s="26">
        <v>0</v>
      </c>
      <c r="AA367" s="26">
        <v>0</v>
      </c>
      <c r="AB367" s="26">
        <v>0</v>
      </c>
      <c r="AC367" s="26">
        <v>0</v>
      </c>
      <c r="AD367" s="26">
        <v>0</v>
      </c>
      <c r="AE367" s="26">
        <v>0</v>
      </c>
      <c r="AF367" s="26">
        <v>0</v>
      </c>
      <c r="AG367" s="26">
        <v>0</v>
      </c>
      <c r="AH367" s="26">
        <v>0</v>
      </c>
      <c r="AI367" s="26">
        <v>0</v>
      </c>
      <c r="AJ367" s="26">
        <v>0</v>
      </c>
      <c r="AK367" s="26">
        <v>0</v>
      </c>
      <c r="AL367" s="26">
        <v>0</v>
      </c>
      <c r="AM367" s="26">
        <v>0</v>
      </c>
      <c r="AN367" s="26">
        <v>0</v>
      </c>
      <c r="AO367" s="26">
        <v>0</v>
      </c>
      <c r="AP367" s="26">
        <v>0</v>
      </c>
      <c r="AQ367" s="26">
        <v>0</v>
      </c>
      <c r="AR367" s="26">
        <v>0</v>
      </c>
      <c r="AS367" s="26">
        <v>0</v>
      </c>
      <c r="AT367" s="26">
        <v>0</v>
      </c>
      <c r="AU367" s="26">
        <v>0</v>
      </c>
      <c r="AV367" s="26">
        <v>0</v>
      </c>
      <c r="AW367" s="26">
        <v>0</v>
      </c>
      <c r="AX367" s="26">
        <v>0</v>
      </c>
      <c r="AY367" s="26">
        <v>0</v>
      </c>
      <c r="AZ367" s="26">
        <v>0</v>
      </c>
      <c r="BA367" s="26">
        <v>0</v>
      </c>
      <c r="BB367" s="26">
        <v>0</v>
      </c>
      <c r="BC367" s="26">
        <v>0</v>
      </c>
      <c r="BD367" s="26">
        <v>0</v>
      </c>
      <c r="BE367" s="26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 t="s">
        <v>445</v>
      </c>
    </row>
    <row r="368" spans="1:63" x14ac:dyDescent="0.25">
      <c r="A368" s="26" t="s">
        <v>405</v>
      </c>
      <c r="B368" s="26" t="s">
        <v>37</v>
      </c>
      <c r="C368" s="26">
        <v>30.388300000000001</v>
      </c>
      <c r="D368" s="26">
        <v>-95.696299999999994</v>
      </c>
      <c r="E368" s="26">
        <v>0</v>
      </c>
      <c r="F368" s="26">
        <v>0</v>
      </c>
      <c r="G368" s="26">
        <v>0</v>
      </c>
      <c r="H368" s="26">
        <v>0</v>
      </c>
      <c r="I368" s="26">
        <v>0</v>
      </c>
      <c r="J368" s="26">
        <v>0</v>
      </c>
      <c r="K368" s="26">
        <v>0</v>
      </c>
      <c r="L368" s="26">
        <v>0</v>
      </c>
      <c r="M368" s="26">
        <v>0</v>
      </c>
      <c r="N368" s="26">
        <v>0</v>
      </c>
      <c r="O368" s="26">
        <v>0</v>
      </c>
      <c r="P368" s="26">
        <v>0</v>
      </c>
      <c r="Q368" s="26">
        <v>0</v>
      </c>
      <c r="R368" s="26">
        <v>0</v>
      </c>
      <c r="S368" s="26">
        <v>0</v>
      </c>
      <c r="T368" s="26">
        <v>0</v>
      </c>
      <c r="U368" s="26">
        <v>0</v>
      </c>
      <c r="V368" s="26">
        <v>0</v>
      </c>
      <c r="W368" s="26">
        <v>0</v>
      </c>
      <c r="X368" s="26">
        <v>0</v>
      </c>
      <c r="Y368" s="26">
        <v>0</v>
      </c>
      <c r="Z368" s="26">
        <v>0</v>
      </c>
      <c r="AA368" s="26">
        <v>0</v>
      </c>
      <c r="AB368" s="26">
        <v>0</v>
      </c>
      <c r="AC368" s="26">
        <v>0</v>
      </c>
      <c r="AD368" s="26">
        <v>0</v>
      </c>
      <c r="AE368" s="26">
        <v>0</v>
      </c>
      <c r="AF368" s="26">
        <v>0</v>
      </c>
      <c r="AG368" s="26">
        <v>0</v>
      </c>
      <c r="AH368" s="26">
        <v>0</v>
      </c>
      <c r="AI368" s="26">
        <v>0</v>
      </c>
      <c r="AJ368" s="26">
        <v>0</v>
      </c>
      <c r="AK368" s="26">
        <v>0</v>
      </c>
      <c r="AL368" s="26">
        <v>0</v>
      </c>
      <c r="AM368" s="26">
        <v>0</v>
      </c>
      <c r="AN368" s="26">
        <v>0</v>
      </c>
      <c r="AO368" s="26">
        <v>0</v>
      </c>
      <c r="AP368" s="26">
        <v>0</v>
      </c>
      <c r="AQ368" s="26">
        <v>0</v>
      </c>
      <c r="AR368" s="26">
        <v>0</v>
      </c>
      <c r="AS368" s="26">
        <v>0</v>
      </c>
      <c r="AT368" s="26">
        <v>0</v>
      </c>
      <c r="AU368" s="26">
        <v>0</v>
      </c>
      <c r="AV368" s="26">
        <v>0</v>
      </c>
      <c r="AW368" s="26">
        <v>0</v>
      </c>
      <c r="AX368" s="26">
        <v>0</v>
      </c>
      <c r="AY368" s="26">
        <v>0</v>
      </c>
      <c r="AZ368" s="26">
        <v>0</v>
      </c>
      <c r="BA368" s="26">
        <v>0</v>
      </c>
      <c r="BB368" s="26">
        <v>0</v>
      </c>
      <c r="BC368" s="26">
        <v>0</v>
      </c>
      <c r="BD368" s="26">
        <v>0</v>
      </c>
      <c r="BE368" s="26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 t="s">
        <v>445</v>
      </c>
    </row>
    <row r="369" spans="1:63" x14ac:dyDescent="0.25">
      <c r="A369" s="26" t="s">
        <v>406</v>
      </c>
      <c r="B369" s="26" t="s">
        <v>37</v>
      </c>
      <c r="C369" s="26">
        <v>40.572600000000001</v>
      </c>
      <c r="D369" s="26">
        <v>-74.492699999999999</v>
      </c>
      <c r="E369" s="26">
        <v>0</v>
      </c>
      <c r="F369" s="26">
        <v>0</v>
      </c>
      <c r="G369" s="26">
        <v>0</v>
      </c>
      <c r="H369" s="26">
        <v>0</v>
      </c>
      <c r="I369" s="26">
        <v>0</v>
      </c>
      <c r="J369" s="26">
        <v>0</v>
      </c>
      <c r="K369" s="26">
        <v>0</v>
      </c>
      <c r="L369" s="26">
        <v>0</v>
      </c>
      <c r="M369" s="26">
        <v>0</v>
      </c>
      <c r="N369" s="26">
        <v>0</v>
      </c>
      <c r="O369" s="26">
        <v>0</v>
      </c>
      <c r="P369" s="26">
        <v>0</v>
      </c>
      <c r="Q369" s="26">
        <v>0</v>
      </c>
      <c r="R369" s="26">
        <v>0</v>
      </c>
      <c r="S369" s="26">
        <v>0</v>
      </c>
      <c r="T369" s="26">
        <v>0</v>
      </c>
      <c r="U369" s="26">
        <v>0</v>
      </c>
      <c r="V369" s="26">
        <v>0</v>
      </c>
      <c r="W369" s="26">
        <v>0</v>
      </c>
      <c r="X369" s="26">
        <v>0</v>
      </c>
      <c r="Y369" s="26">
        <v>0</v>
      </c>
      <c r="Z369" s="26">
        <v>0</v>
      </c>
      <c r="AA369" s="26">
        <v>0</v>
      </c>
      <c r="AB369" s="26">
        <v>0</v>
      </c>
      <c r="AC369" s="26">
        <v>0</v>
      </c>
      <c r="AD369" s="26">
        <v>0</v>
      </c>
      <c r="AE369" s="26">
        <v>0</v>
      </c>
      <c r="AF369" s="26">
        <v>0</v>
      </c>
      <c r="AG369" s="26">
        <v>0</v>
      </c>
      <c r="AH369" s="26">
        <v>0</v>
      </c>
      <c r="AI369" s="26">
        <v>0</v>
      </c>
      <c r="AJ369" s="26">
        <v>0</v>
      </c>
      <c r="AK369" s="26">
        <v>0</v>
      </c>
      <c r="AL369" s="26">
        <v>0</v>
      </c>
      <c r="AM369" s="26">
        <v>0</v>
      </c>
      <c r="AN369" s="26">
        <v>0</v>
      </c>
      <c r="AO369" s="26">
        <v>0</v>
      </c>
      <c r="AP369" s="26">
        <v>0</v>
      </c>
      <c r="AQ369" s="26">
        <v>0</v>
      </c>
      <c r="AR369" s="26">
        <v>0</v>
      </c>
      <c r="AS369" s="26">
        <v>0</v>
      </c>
      <c r="AT369" s="26">
        <v>0</v>
      </c>
      <c r="AU369" s="26">
        <v>0</v>
      </c>
      <c r="AV369" s="26">
        <v>0</v>
      </c>
      <c r="AW369" s="26">
        <v>0</v>
      </c>
      <c r="AX369" s="26">
        <v>0</v>
      </c>
      <c r="AY369" s="26">
        <v>0</v>
      </c>
      <c r="AZ369" s="26">
        <v>0</v>
      </c>
      <c r="BA369" s="26">
        <v>0</v>
      </c>
      <c r="BB369" s="26">
        <v>0</v>
      </c>
      <c r="BC369" s="26">
        <v>0</v>
      </c>
      <c r="BD369" s="26">
        <v>0</v>
      </c>
      <c r="BE369" s="26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 t="s">
        <v>445</v>
      </c>
    </row>
    <row r="370" spans="1:63" x14ac:dyDescent="0.25">
      <c r="A370" s="26" t="s">
        <v>407</v>
      </c>
      <c r="B370" s="26" t="s">
        <v>37</v>
      </c>
      <c r="C370" s="26">
        <v>39.58</v>
      </c>
      <c r="D370" s="26">
        <v>-105.2663</v>
      </c>
      <c r="E370" s="26">
        <v>0</v>
      </c>
      <c r="F370" s="26">
        <v>0</v>
      </c>
      <c r="G370" s="26">
        <v>0</v>
      </c>
      <c r="H370" s="26">
        <v>0</v>
      </c>
      <c r="I370" s="26">
        <v>0</v>
      </c>
      <c r="J370" s="26">
        <v>0</v>
      </c>
      <c r="K370" s="26">
        <v>0</v>
      </c>
      <c r="L370" s="26">
        <v>0</v>
      </c>
      <c r="M370" s="26">
        <v>0</v>
      </c>
      <c r="N370" s="26">
        <v>0</v>
      </c>
      <c r="O370" s="26">
        <v>0</v>
      </c>
      <c r="P370" s="26">
        <v>0</v>
      </c>
      <c r="Q370" s="26">
        <v>0</v>
      </c>
      <c r="R370" s="26">
        <v>0</v>
      </c>
      <c r="S370" s="26">
        <v>0</v>
      </c>
      <c r="T370" s="26">
        <v>0</v>
      </c>
      <c r="U370" s="26">
        <v>0</v>
      </c>
      <c r="V370" s="26">
        <v>0</v>
      </c>
      <c r="W370" s="26">
        <v>0</v>
      </c>
      <c r="X370" s="26">
        <v>0</v>
      </c>
      <c r="Y370" s="26">
        <v>0</v>
      </c>
      <c r="Z370" s="26">
        <v>0</v>
      </c>
      <c r="AA370" s="26">
        <v>0</v>
      </c>
      <c r="AB370" s="26">
        <v>0</v>
      </c>
      <c r="AC370" s="26">
        <v>0</v>
      </c>
      <c r="AD370" s="26">
        <v>0</v>
      </c>
      <c r="AE370" s="26">
        <v>0</v>
      </c>
      <c r="AF370" s="26">
        <v>0</v>
      </c>
      <c r="AG370" s="26">
        <v>0</v>
      </c>
      <c r="AH370" s="26">
        <v>0</v>
      </c>
      <c r="AI370" s="26">
        <v>0</v>
      </c>
      <c r="AJ370" s="26">
        <v>0</v>
      </c>
      <c r="AK370" s="26">
        <v>0</v>
      </c>
      <c r="AL370" s="26">
        <v>0</v>
      </c>
      <c r="AM370" s="26">
        <v>0</v>
      </c>
      <c r="AN370" s="26">
        <v>0</v>
      </c>
      <c r="AO370" s="26">
        <v>0</v>
      </c>
      <c r="AP370" s="26">
        <v>0</v>
      </c>
      <c r="AQ370" s="26">
        <v>0</v>
      </c>
      <c r="AR370" s="26">
        <v>0</v>
      </c>
      <c r="AS370" s="26">
        <v>0</v>
      </c>
      <c r="AT370" s="26">
        <v>0</v>
      </c>
      <c r="AU370" s="26">
        <v>0</v>
      </c>
      <c r="AV370" s="26">
        <v>0</v>
      </c>
      <c r="AW370" s="26">
        <v>0</v>
      </c>
      <c r="AX370" s="26">
        <v>0</v>
      </c>
      <c r="AY370" s="26">
        <v>0</v>
      </c>
      <c r="AZ370" s="26">
        <v>0</v>
      </c>
      <c r="BA370" s="26">
        <v>0</v>
      </c>
      <c r="BB370" s="26">
        <v>0</v>
      </c>
      <c r="BC370" s="26">
        <v>0</v>
      </c>
      <c r="BD370" s="26">
        <v>0</v>
      </c>
      <c r="BE370" s="26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 t="s">
        <v>445</v>
      </c>
    </row>
    <row r="371" spans="1:63" x14ac:dyDescent="0.25">
      <c r="A371" s="26" t="s">
        <v>408</v>
      </c>
      <c r="B371" s="26" t="s">
        <v>37</v>
      </c>
      <c r="C371" s="26">
        <v>45.514600000000002</v>
      </c>
      <c r="D371" s="26">
        <v>-122.58629999999999</v>
      </c>
      <c r="E371" s="26">
        <v>0</v>
      </c>
      <c r="F371" s="26">
        <v>0</v>
      </c>
      <c r="G371" s="26">
        <v>0</v>
      </c>
      <c r="H371" s="26">
        <v>0</v>
      </c>
      <c r="I371" s="26">
        <v>0</v>
      </c>
      <c r="J371" s="26">
        <v>0</v>
      </c>
      <c r="K371" s="26">
        <v>0</v>
      </c>
      <c r="L371" s="26">
        <v>0</v>
      </c>
      <c r="M371" s="26">
        <v>0</v>
      </c>
      <c r="N371" s="26">
        <v>0</v>
      </c>
      <c r="O371" s="26">
        <v>0</v>
      </c>
      <c r="P371" s="26">
        <v>0</v>
      </c>
      <c r="Q371" s="26">
        <v>0</v>
      </c>
      <c r="R371" s="26">
        <v>0</v>
      </c>
      <c r="S371" s="26">
        <v>0</v>
      </c>
      <c r="T371" s="26">
        <v>0</v>
      </c>
      <c r="U371" s="26">
        <v>0</v>
      </c>
      <c r="V371" s="26">
        <v>0</v>
      </c>
      <c r="W371" s="26">
        <v>0</v>
      </c>
      <c r="X371" s="26">
        <v>0</v>
      </c>
      <c r="Y371" s="26">
        <v>0</v>
      </c>
      <c r="Z371" s="26">
        <v>0</v>
      </c>
      <c r="AA371" s="26">
        <v>0</v>
      </c>
      <c r="AB371" s="26">
        <v>0</v>
      </c>
      <c r="AC371" s="26">
        <v>0</v>
      </c>
      <c r="AD371" s="26">
        <v>0</v>
      </c>
      <c r="AE371" s="26">
        <v>0</v>
      </c>
      <c r="AF371" s="26">
        <v>0</v>
      </c>
      <c r="AG371" s="26">
        <v>0</v>
      </c>
      <c r="AH371" s="26">
        <v>0</v>
      </c>
      <c r="AI371" s="26">
        <v>0</v>
      </c>
      <c r="AJ371" s="26">
        <v>0</v>
      </c>
      <c r="AK371" s="26">
        <v>0</v>
      </c>
      <c r="AL371" s="26">
        <v>0</v>
      </c>
      <c r="AM371" s="26">
        <v>0</v>
      </c>
      <c r="AN371" s="26">
        <v>0</v>
      </c>
      <c r="AO371" s="26">
        <v>0</v>
      </c>
      <c r="AP371" s="26">
        <v>0</v>
      </c>
      <c r="AQ371" s="26">
        <v>0</v>
      </c>
      <c r="AR371" s="26">
        <v>0</v>
      </c>
      <c r="AS371" s="26">
        <v>0</v>
      </c>
      <c r="AT371" s="26">
        <v>0</v>
      </c>
      <c r="AU371" s="26">
        <v>0</v>
      </c>
      <c r="AV371" s="26">
        <v>0</v>
      </c>
      <c r="AW371" s="26">
        <v>0</v>
      </c>
      <c r="AX371" s="26">
        <v>0</v>
      </c>
      <c r="AY371" s="26">
        <v>0</v>
      </c>
      <c r="AZ371" s="26">
        <v>0</v>
      </c>
      <c r="BA371" s="26">
        <v>0</v>
      </c>
      <c r="BB371" s="26">
        <v>0</v>
      </c>
      <c r="BC371" s="26">
        <v>0</v>
      </c>
      <c r="BD371" s="26">
        <v>0</v>
      </c>
      <c r="BE371" s="26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 t="s">
        <v>445</v>
      </c>
    </row>
    <row r="372" spans="1:63" x14ac:dyDescent="0.25">
      <c r="A372" s="26" t="s">
        <v>409</v>
      </c>
      <c r="B372" s="26" t="s">
        <v>37</v>
      </c>
      <c r="C372" s="26">
        <v>44.926699999999997</v>
      </c>
      <c r="D372" s="26">
        <v>-123.4919</v>
      </c>
      <c r="E372" s="26">
        <v>0</v>
      </c>
      <c r="F372" s="26">
        <v>0</v>
      </c>
      <c r="G372" s="26">
        <v>0</v>
      </c>
      <c r="H372" s="26">
        <v>0</v>
      </c>
      <c r="I372" s="26">
        <v>0</v>
      </c>
      <c r="J372" s="26">
        <v>0</v>
      </c>
      <c r="K372" s="26">
        <v>0</v>
      </c>
      <c r="L372" s="26">
        <v>0</v>
      </c>
      <c r="M372" s="26">
        <v>0</v>
      </c>
      <c r="N372" s="26">
        <v>0</v>
      </c>
      <c r="O372" s="26">
        <v>0</v>
      </c>
      <c r="P372" s="26">
        <v>0</v>
      </c>
      <c r="Q372" s="26">
        <v>0</v>
      </c>
      <c r="R372" s="26">
        <v>0</v>
      </c>
      <c r="S372" s="26">
        <v>0</v>
      </c>
      <c r="T372" s="26">
        <v>0</v>
      </c>
      <c r="U372" s="26">
        <v>0</v>
      </c>
      <c r="V372" s="26">
        <v>0</v>
      </c>
      <c r="W372" s="26">
        <v>0</v>
      </c>
      <c r="X372" s="26">
        <v>0</v>
      </c>
      <c r="Y372" s="26">
        <v>0</v>
      </c>
      <c r="Z372" s="26">
        <v>0</v>
      </c>
      <c r="AA372" s="26">
        <v>0</v>
      </c>
      <c r="AB372" s="26">
        <v>0</v>
      </c>
      <c r="AC372" s="26">
        <v>0</v>
      </c>
      <c r="AD372" s="26">
        <v>0</v>
      </c>
      <c r="AE372" s="26">
        <v>0</v>
      </c>
      <c r="AF372" s="26">
        <v>0</v>
      </c>
      <c r="AG372" s="26">
        <v>0</v>
      </c>
      <c r="AH372" s="26">
        <v>0</v>
      </c>
      <c r="AI372" s="26">
        <v>0</v>
      </c>
      <c r="AJ372" s="26">
        <v>0</v>
      </c>
      <c r="AK372" s="26">
        <v>0</v>
      </c>
      <c r="AL372" s="26">
        <v>0</v>
      </c>
      <c r="AM372" s="26">
        <v>0</v>
      </c>
      <c r="AN372" s="26">
        <v>0</v>
      </c>
      <c r="AO372" s="26">
        <v>0</v>
      </c>
      <c r="AP372" s="26">
        <v>0</v>
      </c>
      <c r="AQ372" s="26">
        <v>0</v>
      </c>
      <c r="AR372" s="26">
        <v>0</v>
      </c>
      <c r="AS372" s="26">
        <v>0</v>
      </c>
      <c r="AT372" s="26">
        <v>0</v>
      </c>
      <c r="AU372" s="26">
        <v>0</v>
      </c>
      <c r="AV372" s="26">
        <v>0</v>
      </c>
      <c r="AW372" s="26">
        <v>0</v>
      </c>
      <c r="AX372" s="26">
        <v>0</v>
      </c>
      <c r="AY372" s="26">
        <v>0</v>
      </c>
      <c r="AZ372" s="26">
        <v>0</v>
      </c>
      <c r="BA372" s="26">
        <v>0</v>
      </c>
      <c r="BB372" s="26">
        <v>0</v>
      </c>
      <c r="BC372" s="26">
        <v>0</v>
      </c>
      <c r="BD372" s="26">
        <v>0</v>
      </c>
      <c r="BE372" s="26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 t="s">
        <v>445</v>
      </c>
    </row>
    <row r="373" spans="1:63" x14ac:dyDescent="0.25">
      <c r="A373" s="26" t="s">
        <v>410</v>
      </c>
      <c r="B373" s="26" t="s">
        <v>37</v>
      </c>
      <c r="C373" s="26">
        <v>43.832500000000003</v>
      </c>
      <c r="D373" s="26">
        <v>-121.2617</v>
      </c>
      <c r="E373" s="26">
        <v>0</v>
      </c>
      <c r="F373" s="26">
        <v>0</v>
      </c>
      <c r="G373" s="26">
        <v>0</v>
      </c>
      <c r="H373" s="26">
        <v>0</v>
      </c>
      <c r="I373" s="26">
        <v>0</v>
      </c>
      <c r="J373" s="26">
        <v>0</v>
      </c>
      <c r="K373" s="26">
        <v>0</v>
      </c>
      <c r="L373" s="26">
        <v>0</v>
      </c>
      <c r="M373" s="26">
        <v>0</v>
      </c>
      <c r="N373" s="26">
        <v>0</v>
      </c>
      <c r="O373" s="26">
        <v>0</v>
      </c>
      <c r="P373" s="26">
        <v>0</v>
      </c>
      <c r="Q373" s="26">
        <v>0</v>
      </c>
      <c r="R373" s="26">
        <v>0</v>
      </c>
      <c r="S373" s="26">
        <v>0</v>
      </c>
      <c r="T373" s="26">
        <v>0</v>
      </c>
      <c r="U373" s="26">
        <v>0</v>
      </c>
      <c r="V373" s="26">
        <v>0</v>
      </c>
      <c r="W373" s="26">
        <v>0</v>
      </c>
      <c r="X373" s="26">
        <v>0</v>
      </c>
      <c r="Y373" s="26">
        <v>0</v>
      </c>
      <c r="Z373" s="26">
        <v>0</v>
      </c>
      <c r="AA373" s="26">
        <v>0</v>
      </c>
      <c r="AB373" s="26">
        <v>0</v>
      </c>
      <c r="AC373" s="26">
        <v>0</v>
      </c>
      <c r="AD373" s="26">
        <v>0</v>
      </c>
      <c r="AE373" s="26">
        <v>0</v>
      </c>
      <c r="AF373" s="26">
        <v>0</v>
      </c>
      <c r="AG373" s="26">
        <v>0</v>
      </c>
      <c r="AH373" s="26">
        <v>0</v>
      </c>
      <c r="AI373" s="26">
        <v>0</v>
      </c>
      <c r="AJ373" s="26">
        <v>0</v>
      </c>
      <c r="AK373" s="26">
        <v>0</v>
      </c>
      <c r="AL373" s="26">
        <v>0</v>
      </c>
      <c r="AM373" s="26">
        <v>0</v>
      </c>
      <c r="AN373" s="26">
        <v>0</v>
      </c>
      <c r="AO373" s="26">
        <v>0</v>
      </c>
      <c r="AP373" s="26">
        <v>0</v>
      </c>
      <c r="AQ373" s="26">
        <v>0</v>
      </c>
      <c r="AR373" s="26">
        <v>0</v>
      </c>
      <c r="AS373" s="26">
        <v>0</v>
      </c>
      <c r="AT373" s="26">
        <v>0</v>
      </c>
      <c r="AU373" s="26">
        <v>0</v>
      </c>
      <c r="AV373" s="26">
        <v>0</v>
      </c>
      <c r="AW373" s="26">
        <v>0</v>
      </c>
      <c r="AX373" s="26">
        <v>0</v>
      </c>
      <c r="AY373" s="26">
        <v>0</v>
      </c>
      <c r="AZ373" s="26">
        <v>0</v>
      </c>
      <c r="BA373" s="26">
        <v>0</v>
      </c>
      <c r="BB373" s="26">
        <v>0</v>
      </c>
      <c r="BC373" s="26">
        <v>0</v>
      </c>
      <c r="BD373" s="26">
        <v>0</v>
      </c>
      <c r="BE373" s="26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 t="s">
        <v>445</v>
      </c>
    </row>
    <row r="374" spans="1:63" x14ac:dyDescent="0.25">
      <c r="A374" s="26" t="s">
        <v>411</v>
      </c>
      <c r="B374" s="26" t="s">
        <v>37</v>
      </c>
      <c r="C374" s="26">
        <v>42.333399999999997</v>
      </c>
      <c r="D374" s="26">
        <v>-88.266800000000003</v>
      </c>
      <c r="E374" s="26">
        <v>0</v>
      </c>
      <c r="F374" s="26">
        <v>0</v>
      </c>
      <c r="G374" s="26">
        <v>0</v>
      </c>
      <c r="H374" s="26">
        <v>0</v>
      </c>
      <c r="I374" s="26">
        <v>0</v>
      </c>
      <c r="J374" s="26">
        <v>0</v>
      </c>
      <c r="K374" s="26">
        <v>0</v>
      </c>
      <c r="L374" s="26">
        <v>0</v>
      </c>
      <c r="M374" s="26">
        <v>0</v>
      </c>
      <c r="N374" s="26">
        <v>0</v>
      </c>
      <c r="O374" s="26">
        <v>0</v>
      </c>
      <c r="P374" s="26">
        <v>0</v>
      </c>
      <c r="Q374" s="26">
        <v>0</v>
      </c>
      <c r="R374" s="26">
        <v>0</v>
      </c>
      <c r="S374" s="26">
        <v>0</v>
      </c>
      <c r="T374" s="26">
        <v>0</v>
      </c>
      <c r="U374" s="26">
        <v>0</v>
      </c>
      <c r="V374" s="26">
        <v>0</v>
      </c>
      <c r="W374" s="26">
        <v>0</v>
      </c>
      <c r="X374" s="26">
        <v>0</v>
      </c>
      <c r="Y374" s="26">
        <v>0</v>
      </c>
      <c r="Z374" s="26">
        <v>0</v>
      </c>
      <c r="AA374" s="26">
        <v>0</v>
      </c>
      <c r="AB374" s="26">
        <v>0</v>
      </c>
      <c r="AC374" s="26">
        <v>0</v>
      </c>
      <c r="AD374" s="26">
        <v>0</v>
      </c>
      <c r="AE374" s="26">
        <v>0</v>
      </c>
      <c r="AF374" s="26">
        <v>0</v>
      </c>
      <c r="AG374" s="26">
        <v>0</v>
      </c>
      <c r="AH374" s="26">
        <v>0</v>
      </c>
      <c r="AI374" s="26">
        <v>0</v>
      </c>
      <c r="AJ374" s="26">
        <v>0</v>
      </c>
      <c r="AK374" s="26">
        <v>0</v>
      </c>
      <c r="AL374" s="26">
        <v>0</v>
      </c>
      <c r="AM374" s="26">
        <v>0</v>
      </c>
      <c r="AN374" s="26">
        <v>0</v>
      </c>
      <c r="AO374" s="26">
        <v>0</v>
      </c>
      <c r="AP374" s="26">
        <v>0</v>
      </c>
      <c r="AQ374" s="26">
        <v>0</v>
      </c>
      <c r="AR374" s="26">
        <v>0</v>
      </c>
      <c r="AS374" s="26">
        <v>0</v>
      </c>
      <c r="AT374" s="26">
        <v>0</v>
      </c>
      <c r="AU374" s="26">
        <v>0</v>
      </c>
      <c r="AV374" s="26">
        <v>0</v>
      </c>
      <c r="AW374" s="26">
        <v>0</v>
      </c>
      <c r="AX374" s="26">
        <v>0</v>
      </c>
      <c r="AY374" s="26">
        <v>0</v>
      </c>
      <c r="AZ374" s="26">
        <v>0</v>
      </c>
      <c r="BA374" s="26">
        <v>0</v>
      </c>
      <c r="BB374" s="26">
        <v>0</v>
      </c>
      <c r="BC374" s="26">
        <v>0</v>
      </c>
      <c r="BD374" s="26">
        <v>0</v>
      </c>
      <c r="BE374" s="26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 t="s">
        <v>445</v>
      </c>
    </row>
    <row r="375" spans="1:63" x14ac:dyDescent="0.25">
      <c r="A375" s="26" t="s">
        <v>412</v>
      </c>
      <c r="B375" s="26" t="s">
        <v>37</v>
      </c>
      <c r="C375" s="26">
        <v>42.368899999999996</v>
      </c>
      <c r="D375" s="26">
        <v>-87.827200000000005</v>
      </c>
      <c r="E375" s="26">
        <v>0</v>
      </c>
      <c r="F375" s="26">
        <v>0</v>
      </c>
      <c r="G375" s="26">
        <v>0</v>
      </c>
      <c r="H375" s="26">
        <v>0</v>
      </c>
      <c r="I375" s="26">
        <v>0</v>
      </c>
      <c r="J375" s="26">
        <v>0</v>
      </c>
      <c r="K375" s="26">
        <v>0</v>
      </c>
      <c r="L375" s="26">
        <v>0</v>
      </c>
      <c r="M375" s="26">
        <v>0</v>
      </c>
      <c r="N375" s="26">
        <v>0</v>
      </c>
      <c r="O375" s="26">
        <v>0</v>
      </c>
      <c r="P375" s="26">
        <v>0</v>
      </c>
      <c r="Q375" s="26">
        <v>0</v>
      </c>
      <c r="R375" s="26">
        <v>0</v>
      </c>
      <c r="S375" s="26">
        <v>0</v>
      </c>
      <c r="T375" s="26">
        <v>0</v>
      </c>
      <c r="U375" s="26">
        <v>0</v>
      </c>
      <c r="V375" s="26">
        <v>0</v>
      </c>
      <c r="W375" s="26">
        <v>0</v>
      </c>
      <c r="X375" s="26">
        <v>0</v>
      </c>
      <c r="Y375" s="26">
        <v>0</v>
      </c>
      <c r="Z375" s="26">
        <v>0</v>
      </c>
      <c r="AA375" s="26">
        <v>0</v>
      </c>
      <c r="AB375" s="26">
        <v>0</v>
      </c>
      <c r="AC375" s="26">
        <v>0</v>
      </c>
      <c r="AD375" s="26">
        <v>0</v>
      </c>
      <c r="AE375" s="26">
        <v>0</v>
      </c>
      <c r="AF375" s="26">
        <v>0</v>
      </c>
      <c r="AG375" s="26">
        <v>0</v>
      </c>
      <c r="AH375" s="26">
        <v>0</v>
      </c>
      <c r="AI375" s="26">
        <v>0</v>
      </c>
      <c r="AJ375" s="26">
        <v>0</v>
      </c>
      <c r="AK375" s="26">
        <v>0</v>
      </c>
      <c r="AL375" s="26">
        <v>0</v>
      </c>
      <c r="AM375" s="26">
        <v>0</v>
      </c>
      <c r="AN375" s="26">
        <v>0</v>
      </c>
      <c r="AO375" s="26">
        <v>0</v>
      </c>
      <c r="AP375" s="26">
        <v>0</v>
      </c>
      <c r="AQ375" s="26">
        <v>0</v>
      </c>
      <c r="AR375" s="26">
        <v>0</v>
      </c>
      <c r="AS375" s="26">
        <v>0</v>
      </c>
      <c r="AT375" s="26">
        <v>0</v>
      </c>
      <c r="AU375" s="26">
        <v>0</v>
      </c>
      <c r="AV375" s="26">
        <v>0</v>
      </c>
      <c r="AW375" s="26">
        <v>0</v>
      </c>
      <c r="AX375" s="26">
        <v>0</v>
      </c>
      <c r="AY375" s="26">
        <v>0</v>
      </c>
      <c r="AZ375" s="26">
        <v>0</v>
      </c>
      <c r="BA375" s="26">
        <v>0</v>
      </c>
      <c r="BB375" s="26">
        <v>0</v>
      </c>
      <c r="BC375" s="26">
        <v>0</v>
      </c>
      <c r="BD375" s="26">
        <v>0</v>
      </c>
      <c r="BE375" s="26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 t="s">
        <v>445</v>
      </c>
    </row>
    <row r="376" spans="1:63" x14ac:dyDescent="0.25">
      <c r="A376" s="26" t="s">
        <v>413</v>
      </c>
      <c r="B376" s="26" t="s">
        <v>37</v>
      </c>
      <c r="C376" s="26">
        <v>40.410800000000002</v>
      </c>
      <c r="D376" s="26">
        <v>-75.247900000000001</v>
      </c>
      <c r="E376" s="26">
        <v>0</v>
      </c>
      <c r="F376" s="26">
        <v>0</v>
      </c>
      <c r="G376" s="26">
        <v>0</v>
      </c>
      <c r="H376" s="26">
        <v>0</v>
      </c>
      <c r="I376" s="26">
        <v>0</v>
      </c>
      <c r="J376" s="26">
        <v>0</v>
      </c>
      <c r="K376" s="26">
        <v>0</v>
      </c>
      <c r="L376" s="26">
        <v>0</v>
      </c>
      <c r="M376" s="26">
        <v>0</v>
      </c>
      <c r="N376" s="26">
        <v>0</v>
      </c>
      <c r="O376" s="26">
        <v>0</v>
      </c>
      <c r="P376" s="26">
        <v>0</v>
      </c>
      <c r="Q376" s="26">
        <v>0</v>
      </c>
      <c r="R376" s="26">
        <v>0</v>
      </c>
      <c r="S376" s="26">
        <v>0</v>
      </c>
      <c r="T376" s="26">
        <v>0</v>
      </c>
      <c r="U376" s="26">
        <v>0</v>
      </c>
      <c r="V376" s="26">
        <v>0</v>
      </c>
      <c r="W376" s="26">
        <v>0</v>
      </c>
      <c r="X376" s="26">
        <v>0</v>
      </c>
      <c r="Y376" s="26">
        <v>0</v>
      </c>
      <c r="Z376" s="26">
        <v>0</v>
      </c>
      <c r="AA376" s="26">
        <v>0</v>
      </c>
      <c r="AB376" s="26">
        <v>0</v>
      </c>
      <c r="AC376" s="26">
        <v>0</v>
      </c>
      <c r="AD376" s="26">
        <v>0</v>
      </c>
      <c r="AE376" s="26">
        <v>0</v>
      </c>
      <c r="AF376" s="26">
        <v>0</v>
      </c>
      <c r="AG376" s="26">
        <v>0</v>
      </c>
      <c r="AH376" s="26">
        <v>0</v>
      </c>
      <c r="AI376" s="26">
        <v>0</v>
      </c>
      <c r="AJ376" s="26">
        <v>0</v>
      </c>
      <c r="AK376" s="26">
        <v>0</v>
      </c>
      <c r="AL376" s="26">
        <v>0</v>
      </c>
      <c r="AM376" s="26">
        <v>0</v>
      </c>
      <c r="AN376" s="26">
        <v>0</v>
      </c>
      <c r="AO376" s="26">
        <v>0</v>
      </c>
      <c r="AP376" s="26">
        <v>0</v>
      </c>
      <c r="AQ376" s="26">
        <v>0</v>
      </c>
      <c r="AR376" s="26">
        <v>0</v>
      </c>
      <c r="AS376" s="26">
        <v>0</v>
      </c>
      <c r="AT376" s="26">
        <v>0</v>
      </c>
      <c r="AU376" s="26">
        <v>0</v>
      </c>
      <c r="AV376" s="26">
        <v>0</v>
      </c>
      <c r="AW376" s="26">
        <v>0</v>
      </c>
      <c r="AX376" s="26">
        <v>0</v>
      </c>
      <c r="AY376" s="26">
        <v>0</v>
      </c>
      <c r="AZ376" s="26">
        <v>0</v>
      </c>
      <c r="BA376" s="26">
        <v>0</v>
      </c>
      <c r="BB376" s="26">
        <v>0</v>
      </c>
      <c r="BC376" s="26">
        <v>0</v>
      </c>
      <c r="BD376" s="26">
        <v>0</v>
      </c>
      <c r="BE376" s="2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 t="s">
        <v>445</v>
      </c>
    </row>
    <row r="377" spans="1:63" x14ac:dyDescent="0.25">
      <c r="A377" s="26" t="s">
        <v>414</v>
      </c>
      <c r="B377" s="26" t="s">
        <v>37</v>
      </c>
      <c r="C377" s="26">
        <v>37.777200000000001</v>
      </c>
      <c r="D377" s="26">
        <v>-77.516099999999994</v>
      </c>
      <c r="E377" s="26">
        <v>0</v>
      </c>
      <c r="F377" s="26">
        <v>0</v>
      </c>
      <c r="G377" s="26">
        <v>0</v>
      </c>
      <c r="H377" s="26">
        <v>0</v>
      </c>
      <c r="I377" s="26">
        <v>0</v>
      </c>
      <c r="J377" s="26">
        <v>0</v>
      </c>
      <c r="K377" s="26">
        <v>0</v>
      </c>
      <c r="L377" s="26">
        <v>0</v>
      </c>
      <c r="M377" s="26">
        <v>0</v>
      </c>
      <c r="N377" s="26">
        <v>0</v>
      </c>
      <c r="O377" s="26">
        <v>0</v>
      </c>
      <c r="P377" s="26">
        <v>0</v>
      </c>
      <c r="Q377" s="26">
        <v>0</v>
      </c>
      <c r="R377" s="26">
        <v>0</v>
      </c>
      <c r="S377" s="26">
        <v>0</v>
      </c>
      <c r="T377" s="26">
        <v>0</v>
      </c>
      <c r="U377" s="26">
        <v>0</v>
      </c>
      <c r="V377" s="26">
        <v>0</v>
      </c>
      <c r="W377" s="26">
        <v>0</v>
      </c>
      <c r="X377" s="26">
        <v>0</v>
      </c>
      <c r="Y377" s="26">
        <v>0</v>
      </c>
      <c r="Z377" s="26">
        <v>0</v>
      </c>
      <c r="AA377" s="26">
        <v>0</v>
      </c>
      <c r="AB377" s="26">
        <v>0</v>
      </c>
      <c r="AC377" s="26">
        <v>0</v>
      </c>
      <c r="AD377" s="26">
        <v>0</v>
      </c>
      <c r="AE377" s="26">
        <v>0</v>
      </c>
      <c r="AF377" s="26">
        <v>0</v>
      </c>
      <c r="AG377" s="26">
        <v>0</v>
      </c>
      <c r="AH377" s="26">
        <v>0</v>
      </c>
      <c r="AI377" s="26">
        <v>0</v>
      </c>
      <c r="AJ377" s="26">
        <v>0</v>
      </c>
      <c r="AK377" s="26">
        <v>0</v>
      </c>
      <c r="AL377" s="26">
        <v>0</v>
      </c>
      <c r="AM377" s="26">
        <v>0</v>
      </c>
      <c r="AN377" s="26">
        <v>0</v>
      </c>
      <c r="AO377" s="26">
        <v>0</v>
      </c>
      <c r="AP377" s="26">
        <v>0</v>
      </c>
      <c r="AQ377" s="26">
        <v>0</v>
      </c>
      <c r="AR377" s="26">
        <v>0</v>
      </c>
      <c r="AS377" s="26">
        <v>0</v>
      </c>
      <c r="AT377" s="26">
        <v>0</v>
      </c>
      <c r="AU377" s="26">
        <v>0</v>
      </c>
      <c r="AV377" s="26">
        <v>0</v>
      </c>
      <c r="AW377" s="26">
        <v>0</v>
      </c>
      <c r="AX377" s="26">
        <v>0</v>
      </c>
      <c r="AY377" s="26">
        <v>0</v>
      </c>
      <c r="AZ377" s="26">
        <v>0</v>
      </c>
      <c r="BA377" s="26">
        <v>0</v>
      </c>
      <c r="BB377" s="26">
        <v>0</v>
      </c>
      <c r="BC377" s="26">
        <v>0</v>
      </c>
      <c r="BD377" s="26">
        <v>0</v>
      </c>
      <c r="BE377" s="26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 t="s">
        <v>445</v>
      </c>
    </row>
    <row r="378" spans="1:63" x14ac:dyDescent="0.25">
      <c r="A378" s="26" t="s">
        <v>415</v>
      </c>
      <c r="B378" s="26" t="s">
        <v>37</v>
      </c>
      <c r="C378" s="26">
        <v>34.725299999999997</v>
      </c>
      <c r="D378" s="26">
        <v>-80.677099999999996</v>
      </c>
      <c r="E378" s="26">
        <v>0</v>
      </c>
      <c r="F378" s="26">
        <v>0</v>
      </c>
      <c r="G378" s="26">
        <v>0</v>
      </c>
      <c r="H378" s="26">
        <v>0</v>
      </c>
      <c r="I378" s="26">
        <v>0</v>
      </c>
      <c r="J378" s="26">
        <v>0</v>
      </c>
      <c r="K378" s="26">
        <v>0</v>
      </c>
      <c r="L378" s="26">
        <v>0</v>
      </c>
      <c r="M378" s="26">
        <v>0</v>
      </c>
      <c r="N378" s="26">
        <v>0</v>
      </c>
      <c r="O378" s="26">
        <v>0</v>
      </c>
      <c r="P378" s="26">
        <v>0</v>
      </c>
      <c r="Q378" s="26">
        <v>0</v>
      </c>
      <c r="R378" s="26">
        <v>0</v>
      </c>
      <c r="S378" s="26">
        <v>0</v>
      </c>
      <c r="T378" s="26">
        <v>0</v>
      </c>
      <c r="U378" s="26">
        <v>0</v>
      </c>
      <c r="V378" s="26">
        <v>0</v>
      </c>
      <c r="W378" s="26">
        <v>0</v>
      </c>
      <c r="X378" s="26">
        <v>0</v>
      </c>
      <c r="Y378" s="26">
        <v>0</v>
      </c>
      <c r="Z378" s="26">
        <v>0</v>
      </c>
      <c r="AA378" s="26">
        <v>0</v>
      </c>
      <c r="AB378" s="26">
        <v>0</v>
      </c>
      <c r="AC378" s="26">
        <v>0</v>
      </c>
      <c r="AD378" s="26">
        <v>0</v>
      </c>
      <c r="AE378" s="26">
        <v>0</v>
      </c>
      <c r="AF378" s="26">
        <v>0</v>
      </c>
      <c r="AG378" s="26">
        <v>0</v>
      </c>
      <c r="AH378" s="26">
        <v>0</v>
      </c>
      <c r="AI378" s="26">
        <v>0</v>
      </c>
      <c r="AJ378" s="26">
        <v>0</v>
      </c>
      <c r="AK378" s="26">
        <v>0</v>
      </c>
      <c r="AL378" s="26">
        <v>0</v>
      </c>
      <c r="AM378" s="26">
        <v>0</v>
      </c>
      <c r="AN378" s="26">
        <v>0</v>
      </c>
      <c r="AO378" s="26">
        <v>0</v>
      </c>
      <c r="AP378" s="26">
        <v>0</v>
      </c>
      <c r="AQ378" s="26">
        <v>0</v>
      </c>
      <c r="AR378" s="26">
        <v>0</v>
      </c>
      <c r="AS378" s="26">
        <v>0</v>
      </c>
      <c r="AT378" s="26">
        <v>0</v>
      </c>
      <c r="AU378" s="26">
        <v>0</v>
      </c>
      <c r="AV378" s="26">
        <v>0</v>
      </c>
      <c r="AW378" s="26">
        <v>0</v>
      </c>
      <c r="AX378" s="26">
        <v>0</v>
      </c>
      <c r="AY378" s="26">
        <v>0</v>
      </c>
      <c r="AZ378" s="26">
        <v>0</v>
      </c>
      <c r="BA378" s="26">
        <v>0</v>
      </c>
      <c r="BB378" s="26">
        <v>0</v>
      </c>
      <c r="BC378" s="26">
        <v>0</v>
      </c>
      <c r="BD378" s="26">
        <v>0</v>
      </c>
      <c r="BE378" s="26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 t="s">
        <v>445</v>
      </c>
    </row>
    <row r="379" spans="1:63" x14ac:dyDescent="0.25">
      <c r="A379" s="26" t="s">
        <v>416</v>
      </c>
      <c r="B379" s="26" t="s">
        <v>37</v>
      </c>
      <c r="C379" s="26">
        <v>36.493299999999998</v>
      </c>
      <c r="D379" s="26">
        <v>-82.345200000000006</v>
      </c>
      <c r="E379" s="26">
        <v>0</v>
      </c>
      <c r="F379" s="26">
        <v>0</v>
      </c>
      <c r="G379" s="26">
        <v>0</v>
      </c>
      <c r="H379" s="26">
        <v>0</v>
      </c>
      <c r="I379" s="26">
        <v>0</v>
      </c>
      <c r="J379" s="26">
        <v>0</v>
      </c>
      <c r="K379" s="26">
        <v>0</v>
      </c>
      <c r="L379" s="26">
        <v>0</v>
      </c>
      <c r="M379" s="26">
        <v>0</v>
      </c>
      <c r="N379" s="26">
        <v>0</v>
      </c>
      <c r="O379" s="26">
        <v>0</v>
      </c>
      <c r="P379" s="26">
        <v>0</v>
      </c>
      <c r="Q379" s="26">
        <v>0</v>
      </c>
      <c r="R379" s="26">
        <v>0</v>
      </c>
      <c r="S379" s="26">
        <v>0</v>
      </c>
      <c r="T379" s="26">
        <v>0</v>
      </c>
      <c r="U379" s="26">
        <v>0</v>
      </c>
      <c r="V379" s="26">
        <v>0</v>
      </c>
      <c r="W379" s="26">
        <v>0</v>
      </c>
      <c r="X379" s="26">
        <v>0</v>
      </c>
      <c r="Y379" s="26">
        <v>0</v>
      </c>
      <c r="Z379" s="26">
        <v>0</v>
      </c>
      <c r="AA379" s="26">
        <v>0</v>
      </c>
      <c r="AB379" s="26">
        <v>0</v>
      </c>
      <c r="AC379" s="26">
        <v>0</v>
      </c>
      <c r="AD379" s="26">
        <v>0</v>
      </c>
      <c r="AE379" s="26">
        <v>0</v>
      </c>
      <c r="AF379" s="26">
        <v>0</v>
      </c>
      <c r="AG379" s="26">
        <v>0</v>
      </c>
      <c r="AH379" s="26">
        <v>0</v>
      </c>
      <c r="AI379" s="26">
        <v>0</v>
      </c>
      <c r="AJ379" s="26">
        <v>0</v>
      </c>
      <c r="AK379" s="26">
        <v>0</v>
      </c>
      <c r="AL379" s="26">
        <v>0</v>
      </c>
      <c r="AM379" s="26">
        <v>0</v>
      </c>
      <c r="AN379" s="26">
        <v>0</v>
      </c>
      <c r="AO379" s="26">
        <v>0</v>
      </c>
      <c r="AP379" s="26">
        <v>0</v>
      </c>
      <c r="AQ379" s="26">
        <v>0</v>
      </c>
      <c r="AR379" s="26">
        <v>0</v>
      </c>
      <c r="AS379" s="26">
        <v>0</v>
      </c>
      <c r="AT379" s="26">
        <v>0</v>
      </c>
      <c r="AU379" s="26">
        <v>0</v>
      </c>
      <c r="AV379" s="26">
        <v>0</v>
      </c>
      <c r="AW379" s="26">
        <v>0</v>
      </c>
      <c r="AX379" s="26">
        <v>0</v>
      </c>
      <c r="AY379" s="26">
        <v>0</v>
      </c>
      <c r="AZ379" s="26">
        <v>0</v>
      </c>
      <c r="BA379" s="26">
        <v>0</v>
      </c>
      <c r="BB379" s="26">
        <v>0</v>
      </c>
      <c r="BC379" s="26">
        <v>0</v>
      </c>
      <c r="BD379" s="26">
        <v>0</v>
      </c>
      <c r="BE379" s="26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 t="s">
        <v>445</v>
      </c>
    </row>
    <row r="380" spans="1:63" x14ac:dyDescent="0.25">
      <c r="A380" s="26" t="s">
        <v>417</v>
      </c>
      <c r="B380" s="26" t="s">
        <v>37</v>
      </c>
      <c r="C380" s="26">
        <v>39.463799999999999</v>
      </c>
      <c r="D380" s="26">
        <v>-86.134500000000003</v>
      </c>
      <c r="E380" s="26">
        <v>0</v>
      </c>
      <c r="F380" s="26">
        <v>0</v>
      </c>
      <c r="G380" s="26">
        <v>0</v>
      </c>
      <c r="H380" s="26">
        <v>0</v>
      </c>
      <c r="I380" s="26">
        <v>0</v>
      </c>
      <c r="J380" s="26">
        <v>0</v>
      </c>
      <c r="K380" s="26">
        <v>0</v>
      </c>
      <c r="L380" s="26">
        <v>0</v>
      </c>
      <c r="M380" s="26">
        <v>0</v>
      </c>
      <c r="N380" s="26">
        <v>0</v>
      </c>
      <c r="O380" s="26">
        <v>0</v>
      </c>
      <c r="P380" s="26">
        <v>0</v>
      </c>
      <c r="Q380" s="26">
        <v>0</v>
      </c>
      <c r="R380" s="26">
        <v>0</v>
      </c>
      <c r="S380" s="26">
        <v>0</v>
      </c>
      <c r="T380" s="26">
        <v>0</v>
      </c>
      <c r="U380" s="26">
        <v>0</v>
      </c>
      <c r="V380" s="26">
        <v>0</v>
      </c>
      <c r="W380" s="26">
        <v>0</v>
      </c>
      <c r="X380" s="26">
        <v>0</v>
      </c>
      <c r="Y380" s="26">
        <v>0</v>
      </c>
      <c r="Z380" s="26">
        <v>0</v>
      </c>
      <c r="AA380" s="26">
        <v>0</v>
      </c>
      <c r="AB380" s="26">
        <v>0</v>
      </c>
      <c r="AC380" s="26">
        <v>0</v>
      </c>
      <c r="AD380" s="26">
        <v>0</v>
      </c>
      <c r="AE380" s="26">
        <v>0</v>
      </c>
      <c r="AF380" s="26">
        <v>0</v>
      </c>
      <c r="AG380" s="26">
        <v>0</v>
      </c>
      <c r="AH380" s="26">
        <v>0</v>
      </c>
      <c r="AI380" s="26">
        <v>0</v>
      </c>
      <c r="AJ380" s="26">
        <v>0</v>
      </c>
      <c r="AK380" s="26">
        <v>0</v>
      </c>
      <c r="AL380" s="26">
        <v>0</v>
      </c>
      <c r="AM380" s="26">
        <v>0</v>
      </c>
      <c r="AN380" s="26">
        <v>0</v>
      </c>
      <c r="AO380" s="26">
        <v>0</v>
      </c>
      <c r="AP380" s="26">
        <v>0</v>
      </c>
      <c r="AQ380" s="26">
        <v>0</v>
      </c>
      <c r="AR380" s="26">
        <v>0</v>
      </c>
      <c r="AS380" s="26">
        <v>0</v>
      </c>
      <c r="AT380" s="26">
        <v>0</v>
      </c>
      <c r="AU380" s="26">
        <v>0</v>
      </c>
      <c r="AV380" s="26">
        <v>0</v>
      </c>
      <c r="AW380" s="26">
        <v>0</v>
      </c>
      <c r="AX380" s="26">
        <v>0</v>
      </c>
      <c r="AY380" s="26">
        <v>0</v>
      </c>
      <c r="AZ380" s="26">
        <v>0</v>
      </c>
      <c r="BA380" s="26">
        <v>0</v>
      </c>
      <c r="BB380" s="26">
        <v>0</v>
      </c>
      <c r="BC380" s="26">
        <v>0</v>
      </c>
      <c r="BD380" s="26">
        <v>0</v>
      </c>
      <c r="BE380" s="26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 t="s">
        <v>445</v>
      </c>
    </row>
    <row r="381" spans="1:63" x14ac:dyDescent="0.25">
      <c r="A381" s="26" t="s">
        <v>418</v>
      </c>
      <c r="B381" s="26" t="s">
        <v>37</v>
      </c>
      <c r="C381" s="26">
        <v>40.448300000000003</v>
      </c>
      <c r="D381" s="26">
        <v>-86.134500000000003</v>
      </c>
      <c r="E381" s="26">
        <v>0</v>
      </c>
      <c r="F381" s="26">
        <v>0</v>
      </c>
      <c r="G381" s="26">
        <v>0</v>
      </c>
      <c r="H381" s="26">
        <v>0</v>
      </c>
      <c r="I381" s="26">
        <v>0</v>
      </c>
      <c r="J381" s="26">
        <v>0</v>
      </c>
      <c r="K381" s="26">
        <v>0</v>
      </c>
      <c r="L381" s="26">
        <v>0</v>
      </c>
      <c r="M381" s="26">
        <v>0</v>
      </c>
      <c r="N381" s="26">
        <v>0</v>
      </c>
      <c r="O381" s="26">
        <v>0</v>
      </c>
      <c r="P381" s="26">
        <v>0</v>
      </c>
      <c r="Q381" s="26">
        <v>0</v>
      </c>
      <c r="R381" s="26">
        <v>0</v>
      </c>
      <c r="S381" s="26">
        <v>0</v>
      </c>
      <c r="T381" s="26">
        <v>0</v>
      </c>
      <c r="U381" s="26">
        <v>0</v>
      </c>
      <c r="V381" s="26">
        <v>0</v>
      </c>
      <c r="W381" s="26">
        <v>0</v>
      </c>
      <c r="X381" s="26">
        <v>0</v>
      </c>
      <c r="Y381" s="26">
        <v>0</v>
      </c>
      <c r="Z381" s="26">
        <v>0</v>
      </c>
      <c r="AA381" s="26">
        <v>0</v>
      </c>
      <c r="AB381" s="26">
        <v>0</v>
      </c>
      <c r="AC381" s="26">
        <v>0</v>
      </c>
      <c r="AD381" s="26">
        <v>0</v>
      </c>
      <c r="AE381" s="26">
        <v>0</v>
      </c>
      <c r="AF381" s="26">
        <v>0</v>
      </c>
      <c r="AG381" s="26">
        <v>0</v>
      </c>
      <c r="AH381" s="26">
        <v>0</v>
      </c>
      <c r="AI381" s="26">
        <v>0</v>
      </c>
      <c r="AJ381" s="26">
        <v>0</v>
      </c>
      <c r="AK381" s="26">
        <v>0</v>
      </c>
      <c r="AL381" s="26">
        <v>0</v>
      </c>
      <c r="AM381" s="26">
        <v>0</v>
      </c>
      <c r="AN381" s="26">
        <v>0</v>
      </c>
      <c r="AO381" s="26">
        <v>0</v>
      </c>
      <c r="AP381" s="26">
        <v>0</v>
      </c>
      <c r="AQ381" s="26">
        <v>0</v>
      </c>
      <c r="AR381" s="26">
        <v>0</v>
      </c>
      <c r="AS381" s="26">
        <v>0</v>
      </c>
      <c r="AT381" s="26">
        <v>0</v>
      </c>
      <c r="AU381" s="26">
        <v>0</v>
      </c>
      <c r="AV381" s="26">
        <v>0</v>
      </c>
      <c r="AW381" s="26">
        <v>0</v>
      </c>
      <c r="AX381" s="26">
        <v>0</v>
      </c>
      <c r="AY381" s="26">
        <v>0</v>
      </c>
      <c r="AZ381" s="26">
        <v>0</v>
      </c>
      <c r="BA381" s="26">
        <v>0</v>
      </c>
      <c r="BB381" s="26">
        <v>0</v>
      </c>
      <c r="BC381" s="26">
        <v>0</v>
      </c>
      <c r="BD381" s="26">
        <v>0</v>
      </c>
      <c r="BE381" s="26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 t="s">
        <v>445</v>
      </c>
    </row>
    <row r="382" spans="1:63" x14ac:dyDescent="0.25">
      <c r="A382" s="26" t="s">
        <v>419</v>
      </c>
      <c r="B382" s="26" t="s">
        <v>37</v>
      </c>
      <c r="C382" s="26">
        <v>41.622799999999998</v>
      </c>
      <c r="D382" s="26">
        <v>-86.337699999999998</v>
      </c>
      <c r="E382" s="26">
        <v>0</v>
      </c>
      <c r="F382" s="26">
        <v>0</v>
      </c>
      <c r="G382" s="26">
        <v>0</v>
      </c>
      <c r="H382" s="26">
        <v>0</v>
      </c>
      <c r="I382" s="26">
        <v>0</v>
      </c>
      <c r="J382" s="26">
        <v>0</v>
      </c>
      <c r="K382" s="26">
        <v>0</v>
      </c>
      <c r="L382" s="26">
        <v>0</v>
      </c>
      <c r="M382" s="26">
        <v>0</v>
      </c>
      <c r="N382" s="26">
        <v>0</v>
      </c>
      <c r="O382" s="26">
        <v>0</v>
      </c>
      <c r="P382" s="26">
        <v>0</v>
      </c>
      <c r="Q382" s="26">
        <v>0</v>
      </c>
      <c r="R382" s="26">
        <v>0</v>
      </c>
      <c r="S382" s="26">
        <v>0</v>
      </c>
      <c r="T382" s="26">
        <v>0</v>
      </c>
      <c r="U382" s="26">
        <v>0</v>
      </c>
      <c r="V382" s="26">
        <v>0</v>
      </c>
      <c r="W382" s="26">
        <v>0</v>
      </c>
      <c r="X382" s="26">
        <v>0</v>
      </c>
      <c r="Y382" s="26">
        <v>0</v>
      </c>
      <c r="Z382" s="26">
        <v>0</v>
      </c>
      <c r="AA382" s="26">
        <v>0</v>
      </c>
      <c r="AB382" s="26">
        <v>0</v>
      </c>
      <c r="AC382" s="26">
        <v>0</v>
      </c>
      <c r="AD382" s="26">
        <v>0</v>
      </c>
      <c r="AE382" s="26">
        <v>0</v>
      </c>
      <c r="AF382" s="26">
        <v>0</v>
      </c>
      <c r="AG382" s="26">
        <v>0</v>
      </c>
      <c r="AH382" s="26">
        <v>0</v>
      </c>
      <c r="AI382" s="26">
        <v>0</v>
      </c>
      <c r="AJ382" s="26">
        <v>0</v>
      </c>
      <c r="AK382" s="26">
        <v>0</v>
      </c>
      <c r="AL382" s="26">
        <v>0</v>
      </c>
      <c r="AM382" s="26">
        <v>0</v>
      </c>
      <c r="AN382" s="26">
        <v>0</v>
      </c>
      <c r="AO382" s="26">
        <v>0</v>
      </c>
      <c r="AP382" s="26">
        <v>0</v>
      </c>
      <c r="AQ382" s="26">
        <v>0</v>
      </c>
      <c r="AR382" s="26">
        <v>0</v>
      </c>
      <c r="AS382" s="26">
        <v>0</v>
      </c>
      <c r="AT382" s="26">
        <v>0</v>
      </c>
      <c r="AU382" s="26">
        <v>0</v>
      </c>
      <c r="AV382" s="26">
        <v>0</v>
      </c>
      <c r="AW382" s="26">
        <v>0</v>
      </c>
      <c r="AX382" s="26">
        <v>0</v>
      </c>
      <c r="AY382" s="26">
        <v>0</v>
      </c>
      <c r="AZ382" s="26">
        <v>0</v>
      </c>
      <c r="BA382" s="26">
        <v>0</v>
      </c>
      <c r="BB382" s="26">
        <v>0</v>
      </c>
      <c r="BC382" s="26">
        <v>0</v>
      </c>
      <c r="BD382" s="26">
        <v>0</v>
      </c>
      <c r="BE382" s="26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 t="s">
        <v>445</v>
      </c>
    </row>
    <row r="383" spans="1:63" x14ac:dyDescent="0.25">
      <c r="A383" s="26" t="s">
        <v>420</v>
      </c>
      <c r="B383" s="26" t="s">
        <v>37</v>
      </c>
      <c r="C383" s="26">
        <v>42.671199999999999</v>
      </c>
      <c r="D383" s="26">
        <v>-97.872200000000007</v>
      </c>
      <c r="E383" s="26">
        <v>0</v>
      </c>
      <c r="F383" s="26">
        <v>0</v>
      </c>
      <c r="G383" s="26">
        <v>0</v>
      </c>
      <c r="H383" s="26">
        <v>0</v>
      </c>
      <c r="I383" s="26">
        <v>0</v>
      </c>
      <c r="J383" s="26">
        <v>0</v>
      </c>
      <c r="K383" s="26">
        <v>0</v>
      </c>
      <c r="L383" s="26">
        <v>0</v>
      </c>
      <c r="M383" s="26">
        <v>0</v>
      </c>
      <c r="N383" s="26">
        <v>0</v>
      </c>
      <c r="O383" s="26">
        <v>0</v>
      </c>
      <c r="P383" s="26">
        <v>0</v>
      </c>
      <c r="Q383" s="26">
        <v>0</v>
      </c>
      <c r="R383" s="26">
        <v>0</v>
      </c>
      <c r="S383" s="26">
        <v>0</v>
      </c>
      <c r="T383" s="26">
        <v>0</v>
      </c>
      <c r="U383" s="26">
        <v>0</v>
      </c>
      <c r="V383" s="26">
        <v>0</v>
      </c>
      <c r="W383" s="26">
        <v>0</v>
      </c>
      <c r="X383" s="26">
        <v>0</v>
      </c>
      <c r="Y383" s="26">
        <v>0</v>
      </c>
      <c r="Z383" s="26">
        <v>0</v>
      </c>
      <c r="AA383" s="26">
        <v>0</v>
      </c>
      <c r="AB383" s="26">
        <v>0</v>
      </c>
      <c r="AC383" s="26">
        <v>0</v>
      </c>
      <c r="AD383" s="26">
        <v>0</v>
      </c>
      <c r="AE383" s="26">
        <v>0</v>
      </c>
      <c r="AF383" s="26">
        <v>0</v>
      </c>
      <c r="AG383" s="26">
        <v>0</v>
      </c>
      <c r="AH383" s="26">
        <v>0</v>
      </c>
      <c r="AI383" s="26">
        <v>0</v>
      </c>
      <c r="AJ383" s="26">
        <v>0</v>
      </c>
      <c r="AK383" s="26">
        <v>0</v>
      </c>
      <c r="AL383" s="26">
        <v>0</v>
      </c>
      <c r="AM383" s="26">
        <v>0</v>
      </c>
      <c r="AN383" s="26">
        <v>0</v>
      </c>
      <c r="AO383" s="26">
        <v>0</v>
      </c>
      <c r="AP383" s="26">
        <v>0</v>
      </c>
      <c r="AQ383" s="26">
        <v>0</v>
      </c>
      <c r="AR383" s="26">
        <v>0</v>
      </c>
      <c r="AS383" s="26">
        <v>0</v>
      </c>
      <c r="AT383" s="26">
        <v>0</v>
      </c>
      <c r="AU383" s="26">
        <v>0</v>
      </c>
      <c r="AV383" s="26">
        <v>0</v>
      </c>
      <c r="AW383" s="26">
        <v>0</v>
      </c>
      <c r="AX383" s="26">
        <v>0</v>
      </c>
      <c r="AY383" s="26">
        <v>0</v>
      </c>
      <c r="AZ383" s="26">
        <v>0</v>
      </c>
      <c r="BA383" s="26">
        <v>0</v>
      </c>
      <c r="BB383" s="26">
        <v>0</v>
      </c>
      <c r="BC383" s="26">
        <v>0</v>
      </c>
      <c r="BD383" s="26">
        <v>0</v>
      </c>
      <c r="BE383" s="26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 t="s">
        <v>445</v>
      </c>
    </row>
    <row r="384" spans="1:63" x14ac:dyDescent="0.25">
      <c r="A384" s="26" t="s">
        <v>421</v>
      </c>
      <c r="B384" s="26" t="s">
        <v>37</v>
      </c>
      <c r="C384" s="26">
        <v>40.868499999999997</v>
      </c>
      <c r="D384" s="26">
        <v>-81.251900000000006</v>
      </c>
      <c r="E384" s="26">
        <v>0</v>
      </c>
      <c r="F384" s="26">
        <v>0</v>
      </c>
      <c r="G384" s="26">
        <v>0</v>
      </c>
      <c r="H384" s="26">
        <v>0</v>
      </c>
      <c r="I384" s="26">
        <v>0</v>
      </c>
      <c r="J384" s="26">
        <v>0</v>
      </c>
      <c r="K384" s="26">
        <v>0</v>
      </c>
      <c r="L384" s="26">
        <v>0</v>
      </c>
      <c r="M384" s="26">
        <v>0</v>
      </c>
      <c r="N384" s="26">
        <v>0</v>
      </c>
      <c r="O384" s="26">
        <v>0</v>
      </c>
      <c r="P384" s="26">
        <v>0</v>
      </c>
      <c r="Q384" s="26">
        <v>0</v>
      </c>
      <c r="R384" s="26">
        <v>0</v>
      </c>
      <c r="S384" s="26">
        <v>0</v>
      </c>
      <c r="T384" s="26">
        <v>0</v>
      </c>
      <c r="U384" s="26">
        <v>0</v>
      </c>
      <c r="V384" s="26">
        <v>0</v>
      </c>
      <c r="W384" s="26">
        <v>0</v>
      </c>
      <c r="X384" s="26">
        <v>0</v>
      </c>
      <c r="Y384" s="26">
        <v>0</v>
      </c>
      <c r="Z384" s="26">
        <v>0</v>
      </c>
      <c r="AA384" s="26">
        <v>0</v>
      </c>
      <c r="AB384" s="26">
        <v>0</v>
      </c>
      <c r="AC384" s="26">
        <v>0</v>
      </c>
      <c r="AD384" s="26">
        <v>0</v>
      </c>
      <c r="AE384" s="26">
        <v>0</v>
      </c>
      <c r="AF384" s="26">
        <v>0</v>
      </c>
      <c r="AG384" s="26">
        <v>0</v>
      </c>
      <c r="AH384" s="26">
        <v>0</v>
      </c>
      <c r="AI384" s="26">
        <v>0</v>
      </c>
      <c r="AJ384" s="26">
        <v>0</v>
      </c>
      <c r="AK384" s="26">
        <v>0</v>
      </c>
      <c r="AL384" s="26">
        <v>0</v>
      </c>
      <c r="AM384" s="26">
        <v>0</v>
      </c>
      <c r="AN384" s="26">
        <v>0</v>
      </c>
      <c r="AO384" s="26">
        <v>0</v>
      </c>
      <c r="AP384" s="26">
        <v>0</v>
      </c>
      <c r="AQ384" s="26">
        <v>0</v>
      </c>
      <c r="AR384" s="26">
        <v>0</v>
      </c>
      <c r="AS384" s="26">
        <v>0</v>
      </c>
      <c r="AT384" s="26">
        <v>0</v>
      </c>
      <c r="AU384" s="26">
        <v>0</v>
      </c>
      <c r="AV384" s="26">
        <v>0</v>
      </c>
      <c r="AW384" s="26">
        <v>0</v>
      </c>
      <c r="AX384" s="26">
        <v>0</v>
      </c>
      <c r="AY384" s="26">
        <v>0</v>
      </c>
      <c r="AZ384" s="26">
        <v>0</v>
      </c>
      <c r="BA384" s="26">
        <v>0</v>
      </c>
      <c r="BB384" s="26">
        <v>0</v>
      </c>
      <c r="BC384" s="26">
        <v>0</v>
      </c>
      <c r="BD384" s="26">
        <v>0</v>
      </c>
      <c r="BE384" s="26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 t="s">
        <v>445</v>
      </c>
    </row>
    <row r="385" spans="1:63" x14ac:dyDescent="0.25">
      <c r="A385" s="26" t="s">
        <v>422</v>
      </c>
      <c r="B385" s="26" t="s">
        <v>37</v>
      </c>
      <c r="C385" s="26">
        <v>45.329300000000003</v>
      </c>
      <c r="D385" s="26">
        <v>-93.219700000000003</v>
      </c>
      <c r="E385" s="26">
        <v>0</v>
      </c>
      <c r="F385" s="26">
        <v>0</v>
      </c>
      <c r="G385" s="26">
        <v>0</v>
      </c>
      <c r="H385" s="26">
        <v>0</v>
      </c>
      <c r="I385" s="26">
        <v>0</v>
      </c>
      <c r="J385" s="26">
        <v>0</v>
      </c>
      <c r="K385" s="26">
        <v>0</v>
      </c>
      <c r="L385" s="26">
        <v>0</v>
      </c>
      <c r="M385" s="26">
        <v>0</v>
      </c>
      <c r="N385" s="26">
        <v>0</v>
      </c>
      <c r="O385" s="26">
        <v>0</v>
      </c>
      <c r="P385" s="26">
        <v>0</v>
      </c>
      <c r="Q385" s="26">
        <v>0</v>
      </c>
      <c r="R385" s="26">
        <v>0</v>
      </c>
      <c r="S385" s="26">
        <v>0</v>
      </c>
      <c r="T385" s="26">
        <v>0</v>
      </c>
      <c r="U385" s="26">
        <v>0</v>
      </c>
      <c r="V385" s="26">
        <v>0</v>
      </c>
      <c r="W385" s="26">
        <v>0</v>
      </c>
      <c r="X385" s="26">
        <v>0</v>
      </c>
      <c r="Y385" s="26">
        <v>0</v>
      </c>
      <c r="Z385" s="26">
        <v>0</v>
      </c>
      <c r="AA385" s="26">
        <v>0</v>
      </c>
      <c r="AB385" s="26">
        <v>0</v>
      </c>
      <c r="AC385" s="26">
        <v>0</v>
      </c>
      <c r="AD385" s="26">
        <v>0</v>
      </c>
      <c r="AE385" s="26">
        <v>0</v>
      </c>
      <c r="AF385" s="26">
        <v>0</v>
      </c>
      <c r="AG385" s="26">
        <v>0</v>
      </c>
      <c r="AH385" s="26">
        <v>0</v>
      </c>
      <c r="AI385" s="26">
        <v>0</v>
      </c>
      <c r="AJ385" s="26">
        <v>0</v>
      </c>
      <c r="AK385" s="26">
        <v>0</v>
      </c>
      <c r="AL385" s="26">
        <v>0</v>
      </c>
      <c r="AM385" s="26">
        <v>0</v>
      </c>
      <c r="AN385" s="26">
        <v>0</v>
      </c>
      <c r="AO385" s="26">
        <v>0</v>
      </c>
      <c r="AP385" s="26">
        <v>0</v>
      </c>
      <c r="AQ385" s="26">
        <v>0</v>
      </c>
      <c r="AR385" s="26">
        <v>0</v>
      </c>
      <c r="AS385" s="26">
        <v>0</v>
      </c>
      <c r="AT385" s="26">
        <v>0</v>
      </c>
      <c r="AU385" s="26">
        <v>0</v>
      </c>
      <c r="AV385" s="26">
        <v>0</v>
      </c>
      <c r="AW385" s="26">
        <v>0</v>
      </c>
      <c r="AX385" s="26">
        <v>0</v>
      </c>
      <c r="AY385" s="26">
        <v>0</v>
      </c>
      <c r="AZ385" s="26">
        <v>0</v>
      </c>
      <c r="BA385" s="26">
        <v>0</v>
      </c>
      <c r="BB385" s="26">
        <v>0</v>
      </c>
      <c r="BC385" s="26">
        <v>0</v>
      </c>
      <c r="BD385" s="26">
        <v>0</v>
      </c>
      <c r="BE385" s="26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 t="s">
        <v>445</v>
      </c>
    </row>
    <row r="386" spans="1:63" x14ac:dyDescent="0.25">
      <c r="A386" s="26" t="s">
        <v>423</v>
      </c>
      <c r="B386" s="26" t="s">
        <v>37</v>
      </c>
      <c r="C386" s="26">
        <v>43.995199999999997</v>
      </c>
      <c r="D386" s="26">
        <v>-92.381399999999999</v>
      </c>
      <c r="E386" s="26">
        <v>0</v>
      </c>
      <c r="F386" s="26">
        <v>0</v>
      </c>
      <c r="G386" s="26">
        <v>0</v>
      </c>
      <c r="H386" s="26">
        <v>0</v>
      </c>
      <c r="I386" s="26">
        <v>0</v>
      </c>
      <c r="J386" s="26">
        <v>0</v>
      </c>
      <c r="K386" s="26">
        <v>0</v>
      </c>
      <c r="L386" s="26">
        <v>0</v>
      </c>
      <c r="M386" s="26">
        <v>0</v>
      </c>
      <c r="N386" s="26">
        <v>0</v>
      </c>
      <c r="O386" s="26">
        <v>0</v>
      </c>
      <c r="P386" s="26">
        <v>0</v>
      </c>
      <c r="Q386" s="26">
        <v>0</v>
      </c>
      <c r="R386" s="26">
        <v>0</v>
      </c>
      <c r="S386" s="26">
        <v>0</v>
      </c>
      <c r="T386" s="26">
        <v>0</v>
      </c>
      <c r="U386" s="26">
        <v>0</v>
      </c>
      <c r="V386" s="26">
        <v>0</v>
      </c>
      <c r="W386" s="26">
        <v>0</v>
      </c>
      <c r="X386" s="26">
        <v>0</v>
      </c>
      <c r="Y386" s="26">
        <v>0</v>
      </c>
      <c r="Z386" s="26">
        <v>0</v>
      </c>
      <c r="AA386" s="26">
        <v>0</v>
      </c>
      <c r="AB386" s="26">
        <v>0</v>
      </c>
      <c r="AC386" s="26">
        <v>0</v>
      </c>
      <c r="AD386" s="26">
        <v>0</v>
      </c>
      <c r="AE386" s="26">
        <v>0</v>
      </c>
      <c r="AF386" s="26">
        <v>0</v>
      </c>
      <c r="AG386" s="26">
        <v>0</v>
      </c>
      <c r="AH386" s="26">
        <v>0</v>
      </c>
      <c r="AI386" s="26">
        <v>0</v>
      </c>
      <c r="AJ386" s="26">
        <v>0</v>
      </c>
      <c r="AK386" s="26">
        <v>0</v>
      </c>
      <c r="AL386" s="26">
        <v>0</v>
      </c>
      <c r="AM386" s="26">
        <v>0</v>
      </c>
      <c r="AN386" s="26">
        <v>0</v>
      </c>
      <c r="AO386" s="26">
        <v>0</v>
      </c>
      <c r="AP386" s="26">
        <v>0</v>
      </c>
      <c r="AQ386" s="26">
        <v>0</v>
      </c>
      <c r="AR386" s="26">
        <v>0</v>
      </c>
      <c r="AS386" s="26">
        <v>0</v>
      </c>
      <c r="AT386" s="26">
        <v>0</v>
      </c>
      <c r="AU386" s="26">
        <v>0</v>
      </c>
      <c r="AV386" s="26">
        <v>0</v>
      </c>
      <c r="AW386" s="26">
        <v>0</v>
      </c>
      <c r="AX386" s="26">
        <v>0</v>
      </c>
      <c r="AY386" s="26">
        <v>0</v>
      </c>
      <c r="AZ386" s="26">
        <v>0</v>
      </c>
      <c r="BA386" s="26">
        <v>0</v>
      </c>
      <c r="BB386" s="26">
        <v>0</v>
      </c>
      <c r="BC386" s="26">
        <v>0</v>
      </c>
      <c r="BD386" s="26">
        <v>0</v>
      </c>
      <c r="BE386" s="2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 t="s">
        <v>445</v>
      </c>
    </row>
    <row r="387" spans="1:63" x14ac:dyDescent="0.25">
      <c r="A387" s="26" t="s">
        <v>424</v>
      </c>
      <c r="B387" s="26" t="s">
        <v>37</v>
      </c>
      <c r="C387" s="26">
        <v>40.829799999999999</v>
      </c>
      <c r="D387" s="26">
        <v>-110.9984</v>
      </c>
      <c r="E387" s="26">
        <v>0</v>
      </c>
      <c r="F387" s="26">
        <v>0</v>
      </c>
      <c r="G387" s="26">
        <v>0</v>
      </c>
      <c r="H387" s="26">
        <v>0</v>
      </c>
      <c r="I387" s="26">
        <v>0</v>
      </c>
      <c r="J387" s="26">
        <v>0</v>
      </c>
      <c r="K387" s="26">
        <v>0</v>
      </c>
      <c r="L387" s="26">
        <v>0</v>
      </c>
      <c r="M387" s="26">
        <v>0</v>
      </c>
      <c r="N387" s="26">
        <v>0</v>
      </c>
      <c r="O387" s="26">
        <v>0</v>
      </c>
      <c r="P387" s="26">
        <v>0</v>
      </c>
      <c r="Q387" s="26">
        <v>0</v>
      </c>
      <c r="R387" s="26">
        <v>0</v>
      </c>
      <c r="S387" s="26">
        <v>0</v>
      </c>
      <c r="T387" s="26">
        <v>0</v>
      </c>
      <c r="U387" s="26">
        <v>0</v>
      </c>
      <c r="V387" s="26">
        <v>0</v>
      </c>
      <c r="W387" s="26">
        <v>0</v>
      </c>
      <c r="X387" s="26">
        <v>0</v>
      </c>
      <c r="Y387" s="26">
        <v>0</v>
      </c>
      <c r="Z387" s="26">
        <v>0</v>
      </c>
      <c r="AA387" s="26">
        <v>0</v>
      </c>
      <c r="AB387" s="26">
        <v>0</v>
      </c>
      <c r="AC387" s="26">
        <v>0</v>
      </c>
      <c r="AD387" s="26">
        <v>0</v>
      </c>
      <c r="AE387" s="26">
        <v>0</v>
      </c>
      <c r="AF387" s="26">
        <v>0</v>
      </c>
      <c r="AG387" s="26">
        <v>0</v>
      </c>
      <c r="AH387" s="26">
        <v>0</v>
      </c>
      <c r="AI387" s="26">
        <v>0</v>
      </c>
      <c r="AJ387" s="26">
        <v>0</v>
      </c>
      <c r="AK387" s="26">
        <v>0</v>
      </c>
      <c r="AL387" s="26">
        <v>0</v>
      </c>
      <c r="AM387" s="26">
        <v>0</v>
      </c>
      <c r="AN387" s="26">
        <v>0</v>
      </c>
      <c r="AO387" s="26">
        <v>0</v>
      </c>
      <c r="AP387" s="26">
        <v>0</v>
      </c>
      <c r="AQ387" s="26">
        <v>0</v>
      </c>
      <c r="AR387" s="26">
        <v>0</v>
      </c>
      <c r="AS387" s="26">
        <v>0</v>
      </c>
      <c r="AT387" s="26">
        <v>0</v>
      </c>
      <c r="AU387" s="26">
        <v>0</v>
      </c>
      <c r="AV387" s="26">
        <v>0</v>
      </c>
      <c r="AW387" s="26">
        <v>0</v>
      </c>
      <c r="AX387" s="26">
        <v>0</v>
      </c>
      <c r="AY387" s="26">
        <v>0</v>
      </c>
      <c r="AZ387" s="26">
        <v>0</v>
      </c>
      <c r="BA387" s="26">
        <v>0</v>
      </c>
      <c r="BB387" s="26">
        <v>0</v>
      </c>
      <c r="BC387" s="26">
        <v>0</v>
      </c>
      <c r="BD387" s="26">
        <v>0</v>
      </c>
      <c r="BE387" s="26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 t="s">
        <v>445</v>
      </c>
    </row>
    <row r="388" spans="1:63" x14ac:dyDescent="0.25">
      <c r="A388" s="26" t="s">
        <v>425</v>
      </c>
      <c r="B388" s="26" t="s">
        <v>37</v>
      </c>
      <c r="C388" s="26">
        <v>41.256</v>
      </c>
      <c r="D388" s="26">
        <v>-73.370900000000006</v>
      </c>
      <c r="E388" s="26">
        <v>0</v>
      </c>
      <c r="F388" s="26">
        <v>0</v>
      </c>
      <c r="G388" s="26">
        <v>0</v>
      </c>
      <c r="H388" s="26">
        <v>0</v>
      </c>
      <c r="I388" s="26">
        <v>0</v>
      </c>
      <c r="J388" s="26">
        <v>0</v>
      </c>
      <c r="K388" s="26">
        <v>0</v>
      </c>
      <c r="L388" s="26">
        <v>0</v>
      </c>
      <c r="M388" s="26">
        <v>0</v>
      </c>
      <c r="N388" s="26">
        <v>0</v>
      </c>
      <c r="O388" s="26">
        <v>0</v>
      </c>
      <c r="P388" s="26">
        <v>0</v>
      </c>
      <c r="Q388" s="26">
        <v>0</v>
      </c>
      <c r="R388" s="26">
        <v>0</v>
      </c>
      <c r="S388" s="26">
        <v>0</v>
      </c>
      <c r="T388" s="26">
        <v>0</v>
      </c>
      <c r="U388" s="26">
        <v>0</v>
      </c>
      <c r="V388" s="26">
        <v>0</v>
      </c>
      <c r="W388" s="26">
        <v>0</v>
      </c>
      <c r="X388" s="26">
        <v>0</v>
      </c>
      <c r="Y388" s="26">
        <v>0</v>
      </c>
      <c r="Z388" s="26">
        <v>0</v>
      </c>
      <c r="AA388" s="26">
        <v>0</v>
      </c>
      <c r="AB388" s="26">
        <v>0</v>
      </c>
      <c r="AC388" s="26">
        <v>0</v>
      </c>
      <c r="AD388" s="26">
        <v>0</v>
      </c>
      <c r="AE388" s="26">
        <v>0</v>
      </c>
      <c r="AF388" s="26">
        <v>0</v>
      </c>
      <c r="AG388" s="26">
        <v>0</v>
      </c>
      <c r="AH388" s="26">
        <v>0</v>
      </c>
      <c r="AI388" s="26">
        <v>0</v>
      </c>
      <c r="AJ388" s="26">
        <v>0</v>
      </c>
      <c r="AK388" s="26">
        <v>0</v>
      </c>
      <c r="AL388" s="26">
        <v>0</v>
      </c>
      <c r="AM388" s="26">
        <v>0</v>
      </c>
      <c r="AN388" s="26">
        <v>0</v>
      </c>
      <c r="AO388" s="26">
        <v>0</v>
      </c>
      <c r="AP388" s="26">
        <v>0</v>
      </c>
      <c r="AQ388" s="26">
        <v>0</v>
      </c>
      <c r="AR388" s="26">
        <v>0</v>
      </c>
      <c r="AS388" s="26">
        <v>0</v>
      </c>
      <c r="AT388" s="26">
        <v>0</v>
      </c>
      <c r="AU388" s="26">
        <v>0</v>
      </c>
      <c r="AV388" s="26">
        <v>0</v>
      </c>
      <c r="AW388" s="26">
        <v>0</v>
      </c>
      <c r="AX388" s="26">
        <v>0</v>
      </c>
      <c r="AY388" s="26">
        <v>0</v>
      </c>
      <c r="AZ388" s="26">
        <v>0</v>
      </c>
      <c r="BA388" s="26">
        <v>0</v>
      </c>
      <c r="BB388" s="26">
        <v>0</v>
      </c>
      <c r="BC388" s="26">
        <v>0</v>
      </c>
      <c r="BD388" s="26">
        <v>0</v>
      </c>
      <c r="BE388" s="26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 t="s">
        <v>445</v>
      </c>
    </row>
    <row r="389" spans="1:63" x14ac:dyDescent="0.25">
      <c r="A389" s="26" t="s">
        <v>426</v>
      </c>
      <c r="B389" s="26" t="s">
        <v>37</v>
      </c>
      <c r="C389" s="26">
        <v>41.7866</v>
      </c>
      <c r="D389" s="26">
        <v>-73.276499999999999</v>
      </c>
      <c r="E389" s="26">
        <v>0</v>
      </c>
      <c r="F389" s="26">
        <v>0</v>
      </c>
      <c r="G389" s="26">
        <v>0</v>
      </c>
      <c r="H389" s="26">
        <v>0</v>
      </c>
      <c r="I389" s="26">
        <v>0</v>
      </c>
      <c r="J389" s="26">
        <v>0</v>
      </c>
      <c r="K389" s="26">
        <v>0</v>
      </c>
      <c r="L389" s="26">
        <v>0</v>
      </c>
      <c r="M389" s="26">
        <v>0</v>
      </c>
      <c r="N389" s="26">
        <v>0</v>
      </c>
      <c r="O389" s="26">
        <v>0</v>
      </c>
      <c r="P389" s="26">
        <v>0</v>
      </c>
      <c r="Q389" s="26">
        <v>0</v>
      </c>
      <c r="R389" s="26">
        <v>0</v>
      </c>
      <c r="S389" s="26">
        <v>0</v>
      </c>
      <c r="T389" s="26">
        <v>0</v>
      </c>
      <c r="U389" s="26">
        <v>0</v>
      </c>
      <c r="V389" s="26">
        <v>0</v>
      </c>
      <c r="W389" s="26">
        <v>0</v>
      </c>
      <c r="X389" s="26">
        <v>0</v>
      </c>
      <c r="Y389" s="26">
        <v>0</v>
      </c>
      <c r="Z389" s="26">
        <v>0</v>
      </c>
      <c r="AA389" s="26">
        <v>0</v>
      </c>
      <c r="AB389" s="26">
        <v>0</v>
      </c>
      <c r="AC389" s="26">
        <v>0</v>
      </c>
      <c r="AD389" s="26">
        <v>0</v>
      </c>
      <c r="AE389" s="26">
        <v>0</v>
      </c>
      <c r="AF389" s="26">
        <v>0</v>
      </c>
      <c r="AG389" s="26">
        <v>0</v>
      </c>
      <c r="AH389" s="26">
        <v>0</v>
      </c>
      <c r="AI389" s="26">
        <v>0</v>
      </c>
      <c r="AJ389" s="26">
        <v>0</v>
      </c>
      <c r="AK389" s="26">
        <v>0</v>
      </c>
      <c r="AL389" s="26">
        <v>0</v>
      </c>
      <c r="AM389" s="26">
        <v>0</v>
      </c>
      <c r="AN389" s="26">
        <v>0</v>
      </c>
      <c r="AO389" s="26">
        <v>0</v>
      </c>
      <c r="AP389" s="26">
        <v>0</v>
      </c>
      <c r="AQ389" s="26">
        <v>0</v>
      </c>
      <c r="AR389" s="26">
        <v>0</v>
      </c>
      <c r="AS389" s="26">
        <v>0</v>
      </c>
      <c r="AT389" s="26">
        <v>0</v>
      </c>
      <c r="AU389" s="26">
        <v>0</v>
      </c>
      <c r="AV389" s="26">
        <v>0</v>
      </c>
      <c r="AW389" s="26">
        <v>0</v>
      </c>
      <c r="AX389" s="26">
        <v>0</v>
      </c>
      <c r="AY389" s="26">
        <v>0</v>
      </c>
      <c r="AZ389" s="26">
        <v>0</v>
      </c>
      <c r="BA389" s="26">
        <v>0</v>
      </c>
      <c r="BB389" s="26">
        <v>0</v>
      </c>
      <c r="BC389" s="26">
        <v>0</v>
      </c>
      <c r="BD389" s="26">
        <v>0</v>
      </c>
      <c r="BE389" s="26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 t="s">
        <v>445</v>
      </c>
    </row>
    <row r="390" spans="1:63" x14ac:dyDescent="0.25">
      <c r="A390" s="26" t="s">
        <v>427</v>
      </c>
      <c r="B390" s="26" t="s">
        <v>37</v>
      </c>
      <c r="C390" s="26">
        <v>29.9511</v>
      </c>
      <c r="D390" s="26">
        <v>-90.0715</v>
      </c>
      <c r="E390" s="26">
        <v>0</v>
      </c>
      <c r="F390" s="26">
        <v>0</v>
      </c>
      <c r="G390" s="26">
        <v>0</v>
      </c>
      <c r="H390" s="26">
        <v>0</v>
      </c>
      <c r="I390" s="26">
        <v>0</v>
      </c>
      <c r="J390" s="26">
        <v>0</v>
      </c>
      <c r="K390" s="26">
        <v>0</v>
      </c>
      <c r="L390" s="26">
        <v>0</v>
      </c>
      <c r="M390" s="26">
        <v>0</v>
      </c>
      <c r="N390" s="26">
        <v>0</v>
      </c>
      <c r="O390" s="26">
        <v>0</v>
      </c>
      <c r="P390" s="26">
        <v>0</v>
      </c>
      <c r="Q390" s="26">
        <v>0</v>
      </c>
      <c r="R390" s="26">
        <v>0</v>
      </c>
      <c r="S390" s="26">
        <v>0</v>
      </c>
      <c r="T390" s="26">
        <v>0</v>
      </c>
      <c r="U390" s="26">
        <v>0</v>
      </c>
      <c r="V390" s="26">
        <v>0</v>
      </c>
      <c r="W390" s="26">
        <v>0</v>
      </c>
      <c r="X390" s="26">
        <v>0</v>
      </c>
      <c r="Y390" s="26">
        <v>0</v>
      </c>
      <c r="Z390" s="26">
        <v>0</v>
      </c>
      <c r="AA390" s="26">
        <v>0</v>
      </c>
      <c r="AB390" s="26">
        <v>0</v>
      </c>
      <c r="AC390" s="26">
        <v>0</v>
      </c>
      <c r="AD390" s="26">
        <v>0</v>
      </c>
      <c r="AE390" s="26">
        <v>0</v>
      </c>
      <c r="AF390" s="26">
        <v>0</v>
      </c>
      <c r="AG390" s="26">
        <v>0</v>
      </c>
      <c r="AH390" s="26">
        <v>0</v>
      </c>
      <c r="AI390" s="26">
        <v>0</v>
      </c>
      <c r="AJ390" s="26">
        <v>0</v>
      </c>
      <c r="AK390" s="26">
        <v>0</v>
      </c>
      <c r="AL390" s="26">
        <v>0</v>
      </c>
      <c r="AM390" s="26">
        <v>0</v>
      </c>
      <c r="AN390" s="26">
        <v>0</v>
      </c>
      <c r="AO390" s="26">
        <v>0</v>
      </c>
      <c r="AP390" s="26">
        <v>0</v>
      </c>
      <c r="AQ390" s="26">
        <v>0</v>
      </c>
      <c r="AR390" s="26">
        <v>0</v>
      </c>
      <c r="AS390" s="26">
        <v>0</v>
      </c>
      <c r="AT390" s="26">
        <v>0</v>
      </c>
      <c r="AU390" s="26">
        <v>0</v>
      </c>
      <c r="AV390" s="26">
        <v>0</v>
      </c>
      <c r="AW390" s="26">
        <v>0</v>
      </c>
      <c r="AX390" s="26">
        <v>0</v>
      </c>
      <c r="AY390" s="26">
        <v>0</v>
      </c>
      <c r="AZ390" s="26">
        <v>0</v>
      </c>
      <c r="BA390" s="26">
        <v>0</v>
      </c>
      <c r="BB390" s="26">
        <v>0</v>
      </c>
      <c r="BC390" s="26">
        <v>0</v>
      </c>
      <c r="BD390" s="26">
        <v>0</v>
      </c>
      <c r="BE390" s="26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 t="s">
        <v>445</v>
      </c>
    </row>
    <row r="391" spans="1:63" x14ac:dyDescent="0.25">
      <c r="A391" s="26" t="s">
        <v>428</v>
      </c>
      <c r="B391" s="26" t="s">
        <v>37</v>
      </c>
      <c r="C391" s="26">
        <v>43.890099999999997</v>
      </c>
      <c r="D391" s="26">
        <v>-102.2548</v>
      </c>
      <c r="E391" s="26">
        <v>0</v>
      </c>
      <c r="F391" s="26">
        <v>0</v>
      </c>
      <c r="G391" s="26">
        <v>0</v>
      </c>
      <c r="H391" s="26">
        <v>0</v>
      </c>
      <c r="I391" s="26">
        <v>0</v>
      </c>
      <c r="J391" s="26">
        <v>0</v>
      </c>
      <c r="K391" s="26">
        <v>0</v>
      </c>
      <c r="L391" s="26">
        <v>0</v>
      </c>
      <c r="M391" s="26">
        <v>0</v>
      </c>
      <c r="N391" s="26">
        <v>0</v>
      </c>
      <c r="O391" s="26">
        <v>0</v>
      </c>
      <c r="P391" s="26">
        <v>0</v>
      </c>
      <c r="Q391" s="26">
        <v>0</v>
      </c>
      <c r="R391" s="26">
        <v>0</v>
      </c>
      <c r="S391" s="26">
        <v>0</v>
      </c>
      <c r="T391" s="26">
        <v>0</v>
      </c>
      <c r="U391" s="26">
        <v>0</v>
      </c>
      <c r="V391" s="26">
        <v>0</v>
      </c>
      <c r="W391" s="26">
        <v>0</v>
      </c>
      <c r="X391" s="26">
        <v>0</v>
      </c>
      <c r="Y391" s="26">
        <v>0</v>
      </c>
      <c r="Z391" s="26">
        <v>0</v>
      </c>
      <c r="AA391" s="26">
        <v>0</v>
      </c>
      <c r="AB391" s="26">
        <v>0</v>
      </c>
      <c r="AC391" s="26">
        <v>0</v>
      </c>
      <c r="AD391" s="26">
        <v>0</v>
      </c>
      <c r="AE391" s="26">
        <v>0</v>
      </c>
      <c r="AF391" s="26">
        <v>0</v>
      </c>
      <c r="AG391" s="26">
        <v>0</v>
      </c>
      <c r="AH391" s="26">
        <v>0</v>
      </c>
      <c r="AI391" s="26">
        <v>0</v>
      </c>
      <c r="AJ391" s="26">
        <v>0</v>
      </c>
      <c r="AK391" s="26">
        <v>0</v>
      </c>
      <c r="AL391" s="26">
        <v>0</v>
      </c>
      <c r="AM391" s="26">
        <v>0</v>
      </c>
      <c r="AN391" s="26">
        <v>0</v>
      </c>
      <c r="AO391" s="26">
        <v>0</v>
      </c>
      <c r="AP391" s="26">
        <v>0</v>
      </c>
      <c r="AQ391" s="26">
        <v>0</v>
      </c>
      <c r="AR391" s="26">
        <v>0</v>
      </c>
      <c r="AS391" s="26">
        <v>0</v>
      </c>
      <c r="AT391" s="26">
        <v>0</v>
      </c>
      <c r="AU391" s="26">
        <v>0</v>
      </c>
      <c r="AV391" s="26">
        <v>0</v>
      </c>
      <c r="AW391" s="26">
        <v>0</v>
      </c>
      <c r="AX391" s="26">
        <v>0</v>
      </c>
      <c r="AY391" s="26">
        <v>0</v>
      </c>
      <c r="AZ391" s="26">
        <v>0</v>
      </c>
      <c r="BA391" s="26">
        <v>0</v>
      </c>
      <c r="BB391" s="26">
        <v>0</v>
      </c>
      <c r="BC391" s="26">
        <v>0</v>
      </c>
      <c r="BD391" s="26">
        <v>0</v>
      </c>
      <c r="BE391" s="26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 t="s">
        <v>445</v>
      </c>
    </row>
    <row r="392" spans="1:63" x14ac:dyDescent="0.25">
      <c r="A392" s="26" t="s">
        <v>429</v>
      </c>
      <c r="B392" s="26" t="s">
        <v>37</v>
      </c>
      <c r="C392" s="26">
        <v>44.479700000000001</v>
      </c>
      <c r="D392" s="26">
        <v>-98.221299999999999</v>
      </c>
      <c r="E392" s="26">
        <v>0</v>
      </c>
      <c r="F392" s="26">
        <v>0</v>
      </c>
      <c r="G392" s="26">
        <v>0</v>
      </c>
      <c r="H392" s="26">
        <v>0</v>
      </c>
      <c r="I392" s="26">
        <v>0</v>
      </c>
      <c r="J392" s="26">
        <v>0</v>
      </c>
      <c r="K392" s="26">
        <v>0</v>
      </c>
      <c r="L392" s="26">
        <v>0</v>
      </c>
      <c r="M392" s="26">
        <v>0</v>
      </c>
      <c r="N392" s="26">
        <v>0</v>
      </c>
      <c r="O392" s="26">
        <v>0</v>
      </c>
      <c r="P392" s="26">
        <v>0</v>
      </c>
      <c r="Q392" s="26">
        <v>0</v>
      </c>
      <c r="R392" s="26">
        <v>0</v>
      </c>
      <c r="S392" s="26">
        <v>0</v>
      </c>
      <c r="T392" s="26">
        <v>0</v>
      </c>
      <c r="U392" s="26">
        <v>0</v>
      </c>
      <c r="V392" s="26">
        <v>0</v>
      </c>
      <c r="W392" s="26">
        <v>0</v>
      </c>
      <c r="X392" s="26">
        <v>0</v>
      </c>
      <c r="Y392" s="26">
        <v>0</v>
      </c>
      <c r="Z392" s="26">
        <v>0</v>
      </c>
      <c r="AA392" s="26">
        <v>0</v>
      </c>
      <c r="AB392" s="26">
        <v>0</v>
      </c>
      <c r="AC392" s="26">
        <v>0</v>
      </c>
      <c r="AD392" s="26">
        <v>0</v>
      </c>
      <c r="AE392" s="26">
        <v>0</v>
      </c>
      <c r="AF392" s="26">
        <v>0</v>
      </c>
      <c r="AG392" s="26">
        <v>0</v>
      </c>
      <c r="AH392" s="26">
        <v>0</v>
      </c>
      <c r="AI392" s="26">
        <v>0</v>
      </c>
      <c r="AJ392" s="26">
        <v>0</v>
      </c>
      <c r="AK392" s="26">
        <v>0</v>
      </c>
      <c r="AL392" s="26">
        <v>0</v>
      </c>
      <c r="AM392" s="26">
        <v>0</v>
      </c>
      <c r="AN392" s="26">
        <v>0</v>
      </c>
      <c r="AO392" s="26">
        <v>0</v>
      </c>
      <c r="AP392" s="26">
        <v>0</v>
      </c>
      <c r="AQ392" s="26">
        <v>0</v>
      </c>
      <c r="AR392" s="26">
        <v>0</v>
      </c>
      <c r="AS392" s="26">
        <v>0</v>
      </c>
      <c r="AT392" s="26">
        <v>0</v>
      </c>
      <c r="AU392" s="26">
        <v>0</v>
      </c>
      <c r="AV392" s="26">
        <v>0</v>
      </c>
      <c r="AW392" s="26">
        <v>0</v>
      </c>
      <c r="AX392" s="26">
        <v>0</v>
      </c>
      <c r="AY392" s="26">
        <v>0</v>
      </c>
      <c r="AZ392" s="26">
        <v>0</v>
      </c>
      <c r="BA392" s="26">
        <v>0</v>
      </c>
      <c r="BB392" s="26">
        <v>0</v>
      </c>
      <c r="BC392" s="26">
        <v>0</v>
      </c>
      <c r="BD392" s="26">
        <v>0</v>
      </c>
      <c r="BE392" s="26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 t="s">
        <v>445</v>
      </c>
    </row>
    <row r="393" spans="1:63" x14ac:dyDescent="0.25">
      <c r="A393" s="26" t="s">
        <v>430</v>
      </c>
      <c r="B393" s="26" t="s">
        <v>37</v>
      </c>
      <c r="C393" s="26">
        <v>43.098500000000001</v>
      </c>
      <c r="D393" s="26">
        <v>-98.396500000000003</v>
      </c>
      <c r="E393" s="26">
        <v>0</v>
      </c>
      <c r="F393" s="26">
        <v>0</v>
      </c>
      <c r="G393" s="26">
        <v>0</v>
      </c>
      <c r="H393" s="26">
        <v>0</v>
      </c>
      <c r="I393" s="26">
        <v>0</v>
      </c>
      <c r="J393" s="26">
        <v>0</v>
      </c>
      <c r="K393" s="26">
        <v>0</v>
      </c>
      <c r="L393" s="26">
        <v>0</v>
      </c>
      <c r="M393" s="26">
        <v>0</v>
      </c>
      <c r="N393" s="26">
        <v>0</v>
      </c>
      <c r="O393" s="26">
        <v>0</v>
      </c>
      <c r="P393" s="26">
        <v>0</v>
      </c>
      <c r="Q393" s="26">
        <v>0</v>
      </c>
      <c r="R393" s="26">
        <v>0</v>
      </c>
      <c r="S393" s="26">
        <v>0</v>
      </c>
      <c r="T393" s="26">
        <v>0</v>
      </c>
      <c r="U393" s="26">
        <v>0</v>
      </c>
      <c r="V393" s="26">
        <v>0</v>
      </c>
      <c r="W393" s="26">
        <v>0</v>
      </c>
      <c r="X393" s="26">
        <v>0</v>
      </c>
      <c r="Y393" s="26">
        <v>0</v>
      </c>
      <c r="Z393" s="26">
        <v>0</v>
      </c>
      <c r="AA393" s="26">
        <v>0</v>
      </c>
      <c r="AB393" s="26">
        <v>0</v>
      </c>
      <c r="AC393" s="26">
        <v>0</v>
      </c>
      <c r="AD393" s="26">
        <v>0</v>
      </c>
      <c r="AE393" s="26">
        <v>0</v>
      </c>
      <c r="AF393" s="26">
        <v>0</v>
      </c>
      <c r="AG393" s="26">
        <v>0</v>
      </c>
      <c r="AH393" s="26">
        <v>0</v>
      </c>
      <c r="AI393" s="26">
        <v>0</v>
      </c>
      <c r="AJ393" s="26">
        <v>0</v>
      </c>
      <c r="AK393" s="26">
        <v>0</v>
      </c>
      <c r="AL393" s="26">
        <v>0</v>
      </c>
      <c r="AM393" s="26">
        <v>0</v>
      </c>
      <c r="AN393" s="26">
        <v>0</v>
      </c>
      <c r="AO393" s="26">
        <v>0</v>
      </c>
      <c r="AP393" s="26">
        <v>0</v>
      </c>
      <c r="AQ393" s="26">
        <v>0</v>
      </c>
      <c r="AR393" s="26">
        <v>0</v>
      </c>
      <c r="AS393" s="26">
        <v>0</v>
      </c>
      <c r="AT393" s="26">
        <v>0</v>
      </c>
      <c r="AU393" s="26">
        <v>0</v>
      </c>
      <c r="AV393" s="26">
        <v>0</v>
      </c>
      <c r="AW393" s="26">
        <v>0</v>
      </c>
      <c r="AX393" s="26">
        <v>0</v>
      </c>
      <c r="AY393" s="26">
        <v>0</v>
      </c>
      <c r="AZ393" s="26">
        <v>0</v>
      </c>
      <c r="BA393" s="26">
        <v>0</v>
      </c>
      <c r="BB393" s="26">
        <v>0</v>
      </c>
      <c r="BC393" s="26">
        <v>0</v>
      </c>
      <c r="BD393" s="26">
        <v>0</v>
      </c>
      <c r="BE393" s="26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 t="s">
        <v>445</v>
      </c>
    </row>
    <row r="394" spans="1:63" x14ac:dyDescent="0.25">
      <c r="A394" s="26" t="s">
        <v>431</v>
      </c>
      <c r="B394" s="26" t="s">
        <v>37</v>
      </c>
      <c r="C394" s="26">
        <v>43.724200000000003</v>
      </c>
      <c r="D394" s="26">
        <v>-98.221299999999999</v>
      </c>
      <c r="E394" s="26">
        <v>0</v>
      </c>
      <c r="F394" s="26">
        <v>0</v>
      </c>
      <c r="G394" s="26">
        <v>0</v>
      </c>
      <c r="H394" s="26">
        <v>0</v>
      </c>
      <c r="I394" s="26">
        <v>0</v>
      </c>
      <c r="J394" s="26">
        <v>0</v>
      </c>
      <c r="K394" s="26">
        <v>0</v>
      </c>
      <c r="L394" s="26">
        <v>0</v>
      </c>
      <c r="M394" s="26">
        <v>0</v>
      </c>
      <c r="N394" s="26">
        <v>0</v>
      </c>
      <c r="O394" s="26">
        <v>0</v>
      </c>
      <c r="P394" s="26">
        <v>0</v>
      </c>
      <c r="Q394" s="26">
        <v>0</v>
      </c>
      <c r="R394" s="26">
        <v>0</v>
      </c>
      <c r="S394" s="26">
        <v>0</v>
      </c>
      <c r="T394" s="26">
        <v>0</v>
      </c>
      <c r="U394" s="26">
        <v>0</v>
      </c>
      <c r="V394" s="26">
        <v>0</v>
      </c>
      <c r="W394" s="26">
        <v>0</v>
      </c>
      <c r="X394" s="26">
        <v>0</v>
      </c>
      <c r="Y394" s="26">
        <v>0</v>
      </c>
      <c r="Z394" s="26">
        <v>0</v>
      </c>
      <c r="AA394" s="26">
        <v>0</v>
      </c>
      <c r="AB394" s="26">
        <v>0</v>
      </c>
      <c r="AC394" s="26">
        <v>0</v>
      </c>
      <c r="AD394" s="26">
        <v>0</v>
      </c>
      <c r="AE394" s="26">
        <v>0</v>
      </c>
      <c r="AF394" s="26">
        <v>0</v>
      </c>
      <c r="AG394" s="26">
        <v>0</v>
      </c>
      <c r="AH394" s="26">
        <v>0</v>
      </c>
      <c r="AI394" s="26">
        <v>0</v>
      </c>
      <c r="AJ394" s="26">
        <v>0</v>
      </c>
      <c r="AK394" s="26">
        <v>0</v>
      </c>
      <c r="AL394" s="26">
        <v>0</v>
      </c>
      <c r="AM394" s="26">
        <v>0</v>
      </c>
      <c r="AN394" s="26">
        <v>0</v>
      </c>
      <c r="AO394" s="26">
        <v>0</v>
      </c>
      <c r="AP394" s="26">
        <v>0</v>
      </c>
      <c r="AQ394" s="26">
        <v>0</v>
      </c>
      <c r="AR394" s="26">
        <v>0</v>
      </c>
      <c r="AS394" s="26">
        <v>0</v>
      </c>
      <c r="AT394" s="26">
        <v>0</v>
      </c>
      <c r="AU394" s="26">
        <v>0</v>
      </c>
      <c r="AV394" s="26">
        <v>0</v>
      </c>
      <c r="AW394" s="26">
        <v>0</v>
      </c>
      <c r="AX394" s="26">
        <v>0</v>
      </c>
      <c r="AY394" s="26">
        <v>0</v>
      </c>
      <c r="AZ394" s="26">
        <v>0</v>
      </c>
      <c r="BA394" s="26">
        <v>0</v>
      </c>
      <c r="BB394" s="26">
        <v>0</v>
      </c>
      <c r="BC394" s="26">
        <v>0</v>
      </c>
      <c r="BD394" s="26">
        <v>0</v>
      </c>
      <c r="BE394" s="26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 t="s">
        <v>445</v>
      </c>
    </row>
    <row r="395" spans="1:63" x14ac:dyDescent="0.25">
      <c r="A395" s="26" t="s">
        <v>432</v>
      </c>
      <c r="B395" s="26" t="s">
        <v>37</v>
      </c>
      <c r="C395" s="26">
        <v>43.663200000000003</v>
      </c>
      <c r="D395" s="26">
        <v>-96.835099999999997</v>
      </c>
      <c r="E395" s="26">
        <v>0</v>
      </c>
      <c r="F395" s="26">
        <v>0</v>
      </c>
      <c r="G395" s="26">
        <v>0</v>
      </c>
      <c r="H395" s="26">
        <v>0</v>
      </c>
      <c r="I395" s="26">
        <v>0</v>
      </c>
      <c r="J395" s="26">
        <v>0</v>
      </c>
      <c r="K395" s="26">
        <v>0</v>
      </c>
      <c r="L395" s="26">
        <v>0</v>
      </c>
      <c r="M395" s="26">
        <v>0</v>
      </c>
      <c r="N395" s="26">
        <v>0</v>
      </c>
      <c r="O395" s="26">
        <v>0</v>
      </c>
      <c r="P395" s="26">
        <v>0</v>
      </c>
      <c r="Q395" s="26">
        <v>0</v>
      </c>
      <c r="R395" s="26">
        <v>0</v>
      </c>
      <c r="S395" s="26">
        <v>0</v>
      </c>
      <c r="T395" s="26">
        <v>0</v>
      </c>
      <c r="U395" s="26">
        <v>0</v>
      </c>
      <c r="V395" s="26">
        <v>0</v>
      </c>
      <c r="W395" s="26">
        <v>0</v>
      </c>
      <c r="X395" s="26">
        <v>0</v>
      </c>
      <c r="Y395" s="26">
        <v>0</v>
      </c>
      <c r="Z395" s="26">
        <v>0</v>
      </c>
      <c r="AA395" s="26">
        <v>0</v>
      </c>
      <c r="AB395" s="26">
        <v>0</v>
      </c>
      <c r="AC395" s="26">
        <v>0</v>
      </c>
      <c r="AD395" s="26">
        <v>0</v>
      </c>
      <c r="AE395" s="26">
        <v>0</v>
      </c>
      <c r="AF395" s="26">
        <v>0</v>
      </c>
      <c r="AG395" s="26">
        <v>0</v>
      </c>
      <c r="AH395" s="26">
        <v>0</v>
      </c>
      <c r="AI395" s="26">
        <v>0</v>
      </c>
      <c r="AJ395" s="26">
        <v>0</v>
      </c>
      <c r="AK395" s="26">
        <v>0</v>
      </c>
      <c r="AL395" s="26">
        <v>0</v>
      </c>
      <c r="AM395" s="26">
        <v>0</v>
      </c>
      <c r="AN395" s="26">
        <v>0</v>
      </c>
      <c r="AO395" s="26">
        <v>0</v>
      </c>
      <c r="AP395" s="26">
        <v>0</v>
      </c>
      <c r="AQ395" s="26">
        <v>0</v>
      </c>
      <c r="AR395" s="26">
        <v>0</v>
      </c>
      <c r="AS395" s="26">
        <v>0</v>
      </c>
      <c r="AT395" s="26">
        <v>0</v>
      </c>
      <c r="AU395" s="26">
        <v>0</v>
      </c>
      <c r="AV395" s="26">
        <v>0</v>
      </c>
      <c r="AW395" s="26">
        <v>0</v>
      </c>
      <c r="AX395" s="26">
        <v>0</v>
      </c>
      <c r="AY395" s="26">
        <v>0</v>
      </c>
      <c r="AZ395" s="26">
        <v>0</v>
      </c>
      <c r="BA395" s="26">
        <v>0</v>
      </c>
      <c r="BB395" s="26">
        <v>0</v>
      </c>
      <c r="BC395" s="26">
        <v>0</v>
      </c>
      <c r="BD395" s="26">
        <v>0</v>
      </c>
      <c r="BE395" s="26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 t="s">
        <v>445</v>
      </c>
    </row>
    <row r="396" spans="1:63" x14ac:dyDescent="0.25">
      <c r="A396" s="26" t="s">
        <v>433</v>
      </c>
      <c r="B396" s="26" t="s">
        <v>37</v>
      </c>
      <c r="C396" s="26">
        <v>42.981499999999997</v>
      </c>
      <c r="D396" s="26">
        <v>-97.872200000000007</v>
      </c>
      <c r="E396" s="26">
        <v>0</v>
      </c>
      <c r="F396" s="26">
        <v>0</v>
      </c>
      <c r="G396" s="26">
        <v>0</v>
      </c>
      <c r="H396" s="26">
        <v>0</v>
      </c>
      <c r="I396" s="26">
        <v>0</v>
      </c>
      <c r="J396" s="26">
        <v>0</v>
      </c>
      <c r="K396" s="26">
        <v>0</v>
      </c>
      <c r="L396" s="26">
        <v>0</v>
      </c>
      <c r="M396" s="26">
        <v>0</v>
      </c>
      <c r="N396" s="26">
        <v>0</v>
      </c>
      <c r="O396" s="26">
        <v>0</v>
      </c>
      <c r="P396" s="26">
        <v>0</v>
      </c>
      <c r="Q396" s="26">
        <v>0</v>
      </c>
      <c r="R396" s="26">
        <v>0</v>
      </c>
      <c r="S396" s="26">
        <v>0</v>
      </c>
      <c r="T396" s="26">
        <v>0</v>
      </c>
      <c r="U396" s="26">
        <v>0</v>
      </c>
      <c r="V396" s="26">
        <v>0</v>
      </c>
      <c r="W396" s="26">
        <v>0</v>
      </c>
      <c r="X396" s="26">
        <v>0</v>
      </c>
      <c r="Y396" s="26">
        <v>0</v>
      </c>
      <c r="Z396" s="26">
        <v>0</v>
      </c>
      <c r="AA396" s="26">
        <v>0</v>
      </c>
      <c r="AB396" s="26">
        <v>0</v>
      </c>
      <c r="AC396" s="26">
        <v>0</v>
      </c>
      <c r="AD396" s="26">
        <v>0</v>
      </c>
      <c r="AE396" s="26">
        <v>0</v>
      </c>
      <c r="AF396" s="26">
        <v>0</v>
      </c>
      <c r="AG396" s="26">
        <v>0</v>
      </c>
      <c r="AH396" s="26">
        <v>0</v>
      </c>
      <c r="AI396" s="26">
        <v>0</v>
      </c>
      <c r="AJ396" s="26">
        <v>0</v>
      </c>
      <c r="AK396" s="26">
        <v>0</v>
      </c>
      <c r="AL396" s="26">
        <v>0</v>
      </c>
      <c r="AM396" s="26">
        <v>0</v>
      </c>
      <c r="AN396" s="26">
        <v>0</v>
      </c>
      <c r="AO396" s="26">
        <v>0</v>
      </c>
      <c r="AP396" s="26">
        <v>0</v>
      </c>
      <c r="AQ396" s="26">
        <v>0</v>
      </c>
      <c r="AR396" s="26">
        <v>0</v>
      </c>
      <c r="AS396" s="26">
        <v>0</v>
      </c>
      <c r="AT396" s="26">
        <v>0</v>
      </c>
      <c r="AU396" s="26">
        <v>0</v>
      </c>
      <c r="AV396" s="26">
        <v>0</v>
      </c>
      <c r="AW396" s="26">
        <v>0</v>
      </c>
      <c r="AX396" s="26">
        <v>0</v>
      </c>
      <c r="AY396" s="26">
        <v>0</v>
      </c>
      <c r="AZ396" s="26">
        <v>0</v>
      </c>
      <c r="BA396" s="26">
        <v>0</v>
      </c>
      <c r="BB396" s="26">
        <v>0</v>
      </c>
      <c r="BC396" s="26">
        <v>0</v>
      </c>
      <c r="BD396" s="26">
        <v>0</v>
      </c>
      <c r="BE396" s="2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 t="s">
        <v>445</v>
      </c>
    </row>
    <row r="397" spans="1:63" x14ac:dyDescent="0.25">
      <c r="A397" s="26" t="s">
        <v>434</v>
      </c>
      <c r="B397" s="26" t="s">
        <v>37</v>
      </c>
      <c r="C397" s="26">
        <v>33.883699999999997</v>
      </c>
      <c r="D397" s="26">
        <v>-106.7235</v>
      </c>
      <c r="E397" s="26">
        <v>0</v>
      </c>
      <c r="F397" s="26">
        <v>0</v>
      </c>
      <c r="G397" s="26">
        <v>0</v>
      </c>
      <c r="H397" s="26">
        <v>0</v>
      </c>
      <c r="I397" s="26">
        <v>0</v>
      </c>
      <c r="J397" s="26">
        <v>0</v>
      </c>
      <c r="K397" s="26">
        <v>0</v>
      </c>
      <c r="L397" s="26">
        <v>0</v>
      </c>
      <c r="M397" s="26">
        <v>0</v>
      </c>
      <c r="N397" s="26">
        <v>0</v>
      </c>
      <c r="O397" s="26">
        <v>0</v>
      </c>
      <c r="P397" s="26">
        <v>0</v>
      </c>
      <c r="Q397" s="26">
        <v>0</v>
      </c>
      <c r="R397" s="26">
        <v>0</v>
      </c>
      <c r="S397" s="26">
        <v>0</v>
      </c>
      <c r="T397" s="26">
        <v>0</v>
      </c>
      <c r="U397" s="26">
        <v>0</v>
      </c>
      <c r="V397" s="26">
        <v>0</v>
      </c>
      <c r="W397" s="26">
        <v>0</v>
      </c>
      <c r="X397" s="26">
        <v>0</v>
      </c>
      <c r="Y397" s="26">
        <v>0</v>
      </c>
      <c r="Z397" s="26">
        <v>0</v>
      </c>
      <c r="AA397" s="26">
        <v>0</v>
      </c>
      <c r="AB397" s="26">
        <v>0</v>
      </c>
      <c r="AC397" s="26">
        <v>0</v>
      </c>
      <c r="AD397" s="26">
        <v>0</v>
      </c>
      <c r="AE397" s="26">
        <v>0</v>
      </c>
      <c r="AF397" s="26">
        <v>0</v>
      </c>
      <c r="AG397" s="26">
        <v>0</v>
      </c>
      <c r="AH397" s="26">
        <v>0</v>
      </c>
      <c r="AI397" s="26">
        <v>0</v>
      </c>
      <c r="AJ397" s="26">
        <v>0</v>
      </c>
      <c r="AK397" s="26">
        <v>0</v>
      </c>
      <c r="AL397" s="26">
        <v>0</v>
      </c>
      <c r="AM397" s="26">
        <v>0</v>
      </c>
      <c r="AN397" s="26">
        <v>0</v>
      </c>
      <c r="AO397" s="26">
        <v>0</v>
      </c>
      <c r="AP397" s="26">
        <v>0</v>
      </c>
      <c r="AQ397" s="26">
        <v>0</v>
      </c>
      <c r="AR397" s="26">
        <v>0</v>
      </c>
      <c r="AS397" s="26">
        <v>0</v>
      </c>
      <c r="AT397" s="26">
        <v>0</v>
      </c>
      <c r="AU397" s="26">
        <v>0</v>
      </c>
      <c r="AV397" s="26">
        <v>0</v>
      </c>
      <c r="AW397" s="26">
        <v>0</v>
      </c>
      <c r="AX397" s="26">
        <v>0</v>
      </c>
      <c r="AY397" s="26">
        <v>0</v>
      </c>
      <c r="AZ397" s="26">
        <v>0</v>
      </c>
      <c r="BA397" s="26">
        <v>0</v>
      </c>
      <c r="BB397" s="26">
        <v>0</v>
      </c>
      <c r="BC397" s="26">
        <v>0</v>
      </c>
      <c r="BD397" s="26">
        <v>0</v>
      </c>
      <c r="BE397" s="26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 t="s">
        <v>445</v>
      </c>
    </row>
    <row r="398" spans="1:63" x14ac:dyDescent="0.25">
      <c r="A398" s="26" t="s">
        <v>435</v>
      </c>
      <c r="B398" s="26" t="s">
        <v>37</v>
      </c>
      <c r="C398" s="26">
        <v>35.017800000000001</v>
      </c>
      <c r="D398" s="26">
        <v>-106.62909999999999</v>
      </c>
      <c r="E398" s="26">
        <v>0</v>
      </c>
      <c r="F398" s="26">
        <v>0</v>
      </c>
      <c r="G398" s="26">
        <v>0</v>
      </c>
      <c r="H398" s="26">
        <v>0</v>
      </c>
      <c r="I398" s="26">
        <v>0</v>
      </c>
      <c r="J398" s="26">
        <v>0</v>
      </c>
      <c r="K398" s="26">
        <v>0</v>
      </c>
      <c r="L398" s="26">
        <v>0</v>
      </c>
      <c r="M398" s="26">
        <v>0</v>
      </c>
      <c r="N398" s="26">
        <v>0</v>
      </c>
      <c r="O398" s="26">
        <v>0</v>
      </c>
      <c r="P398" s="26">
        <v>0</v>
      </c>
      <c r="Q398" s="26">
        <v>0</v>
      </c>
      <c r="R398" s="26">
        <v>0</v>
      </c>
      <c r="S398" s="26">
        <v>0</v>
      </c>
      <c r="T398" s="26">
        <v>0</v>
      </c>
      <c r="U398" s="26">
        <v>0</v>
      </c>
      <c r="V398" s="26">
        <v>0</v>
      </c>
      <c r="W398" s="26">
        <v>0</v>
      </c>
      <c r="X398" s="26">
        <v>0</v>
      </c>
      <c r="Y398" s="26">
        <v>0</v>
      </c>
      <c r="Z398" s="26">
        <v>0</v>
      </c>
      <c r="AA398" s="26">
        <v>0</v>
      </c>
      <c r="AB398" s="26">
        <v>0</v>
      </c>
      <c r="AC398" s="26">
        <v>0</v>
      </c>
      <c r="AD398" s="26">
        <v>0</v>
      </c>
      <c r="AE398" s="26">
        <v>0</v>
      </c>
      <c r="AF398" s="26">
        <v>0</v>
      </c>
      <c r="AG398" s="26">
        <v>0</v>
      </c>
      <c r="AH398" s="26">
        <v>0</v>
      </c>
      <c r="AI398" s="26">
        <v>0</v>
      </c>
      <c r="AJ398" s="26">
        <v>0</v>
      </c>
      <c r="AK398" s="26">
        <v>0</v>
      </c>
      <c r="AL398" s="26">
        <v>0</v>
      </c>
      <c r="AM398" s="26">
        <v>0</v>
      </c>
      <c r="AN398" s="26">
        <v>0</v>
      </c>
      <c r="AO398" s="26">
        <v>0</v>
      </c>
      <c r="AP398" s="26">
        <v>0</v>
      </c>
      <c r="AQ398" s="26">
        <v>0</v>
      </c>
      <c r="AR398" s="26">
        <v>0</v>
      </c>
      <c r="AS398" s="26">
        <v>0</v>
      </c>
      <c r="AT398" s="26">
        <v>0</v>
      </c>
      <c r="AU398" s="26">
        <v>0</v>
      </c>
      <c r="AV398" s="26">
        <v>0</v>
      </c>
      <c r="AW398" s="26">
        <v>0</v>
      </c>
      <c r="AX398" s="26">
        <v>0</v>
      </c>
      <c r="AY398" s="26">
        <v>0</v>
      </c>
      <c r="AZ398" s="26">
        <v>0</v>
      </c>
      <c r="BA398" s="26">
        <v>0</v>
      </c>
      <c r="BB398" s="26">
        <v>0</v>
      </c>
      <c r="BC398" s="26">
        <v>0</v>
      </c>
      <c r="BD398" s="26">
        <v>0</v>
      </c>
      <c r="BE398" s="26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 t="s">
        <v>445</v>
      </c>
    </row>
    <row r="399" spans="1:63" x14ac:dyDescent="0.25">
      <c r="A399" s="26" t="s">
        <v>436</v>
      </c>
      <c r="B399" s="26" t="s">
        <v>37</v>
      </c>
      <c r="C399" s="26">
        <v>42.592199999999998</v>
      </c>
      <c r="D399" s="26">
        <v>-83.336200000000005</v>
      </c>
      <c r="E399" s="26">
        <v>0</v>
      </c>
      <c r="F399" s="26">
        <v>0</v>
      </c>
      <c r="G399" s="26">
        <v>0</v>
      </c>
      <c r="H399" s="26">
        <v>0</v>
      </c>
      <c r="I399" s="26">
        <v>0</v>
      </c>
      <c r="J399" s="26">
        <v>0</v>
      </c>
      <c r="K399" s="26">
        <v>0</v>
      </c>
      <c r="L399" s="26">
        <v>0</v>
      </c>
      <c r="M399" s="26">
        <v>0</v>
      </c>
      <c r="N399" s="26">
        <v>0</v>
      </c>
      <c r="O399" s="26">
        <v>0</v>
      </c>
      <c r="P399" s="26">
        <v>0</v>
      </c>
      <c r="Q399" s="26">
        <v>0</v>
      </c>
      <c r="R399" s="26">
        <v>0</v>
      </c>
      <c r="S399" s="26">
        <v>0</v>
      </c>
      <c r="T399" s="26">
        <v>0</v>
      </c>
      <c r="U399" s="26">
        <v>0</v>
      </c>
      <c r="V399" s="26">
        <v>0</v>
      </c>
      <c r="W399" s="26">
        <v>0</v>
      </c>
      <c r="X399" s="26">
        <v>0</v>
      </c>
      <c r="Y399" s="26">
        <v>0</v>
      </c>
      <c r="Z399" s="26">
        <v>0</v>
      </c>
      <c r="AA399" s="26">
        <v>0</v>
      </c>
      <c r="AB399" s="26">
        <v>0</v>
      </c>
      <c r="AC399" s="26">
        <v>0</v>
      </c>
      <c r="AD399" s="26">
        <v>0</v>
      </c>
      <c r="AE399" s="26">
        <v>0</v>
      </c>
      <c r="AF399" s="26">
        <v>0</v>
      </c>
      <c r="AG399" s="26">
        <v>0</v>
      </c>
      <c r="AH399" s="26">
        <v>0</v>
      </c>
      <c r="AI399" s="26">
        <v>0</v>
      </c>
      <c r="AJ399" s="26">
        <v>0</v>
      </c>
      <c r="AK399" s="26">
        <v>0</v>
      </c>
      <c r="AL399" s="26">
        <v>0</v>
      </c>
      <c r="AM399" s="26">
        <v>0</v>
      </c>
      <c r="AN399" s="26">
        <v>0</v>
      </c>
      <c r="AO399" s="26">
        <v>0</v>
      </c>
      <c r="AP399" s="26">
        <v>0</v>
      </c>
      <c r="AQ399" s="26">
        <v>0</v>
      </c>
      <c r="AR399" s="26">
        <v>0</v>
      </c>
      <c r="AS399" s="26">
        <v>0</v>
      </c>
      <c r="AT399" s="26">
        <v>0</v>
      </c>
      <c r="AU399" s="26">
        <v>0</v>
      </c>
      <c r="AV399" s="26">
        <v>0</v>
      </c>
      <c r="AW399" s="26">
        <v>0</v>
      </c>
      <c r="AX399" s="26">
        <v>0</v>
      </c>
      <c r="AY399" s="26">
        <v>0</v>
      </c>
      <c r="AZ399" s="26">
        <v>0</v>
      </c>
      <c r="BA399" s="26">
        <v>0</v>
      </c>
      <c r="BB399" s="26">
        <v>0</v>
      </c>
      <c r="BC399" s="26">
        <v>0</v>
      </c>
      <c r="BD399" s="26">
        <v>0</v>
      </c>
      <c r="BE399" s="26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 t="s">
        <v>445</v>
      </c>
    </row>
    <row r="400" spans="1:63" x14ac:dyDescent="0.25">
      <c r="A400" s="26" t="s">
        <v>437</v>
      </c>
      <c r="B400" s="26" t="s">
        <v>37</v>
      </c>
      <c r="C400" s="26">
        <v>42.2791</v>
      </c>
      <c r="D400" s="26">
        <v>-83.336200000000005</v>
      </c>
      <c r="E400" s="26">
        <v>0</v>
      </c>
      <c r="F400" s="26">
        <v>0</v>
      </c>
      <c r="G400" s="26">
        <v>0</v>
      </c>
      <c r="H400" s="26">
        <v>0</v>
      </c>
      <c r="I400" s="26">
        <v>0</v>
      </c>
      <c r="J400" s="26">
        <v>0</v>
      </c>
      <c r="K400" s="26">
        <v>0</v>
      </c>
      <c r="L400" s="26">
        <v>0</v>
      </c>
      <c r="M400" s="26">
        <v>0</v>
      </c>
      <c r="N400" s="26">
        <v>0</v>
      </c>
      <c r="O400" s="26">
        <v>0</v>
      </c>
      <c r="P400" s="26">
        <v>0</v>
      </c>
      <c r="Q400" s="26">
        <v>0</v>
      </c>
      <c r="R400" s="26">
        <v>0</v>
      </c>
      <c r="S400" s="26">
        <v>0</v>
      </c>
      <c r="T400" s="26">
        <v>0</v>
      </c>
      <c r="U400" s="26">
        <v>0</v>
      </c>
      <c r="V400" s="26">
        <v>0</v>
      </c>
      <c r="W400" s="26">
        <v>0</v>
      </c>
      <c r="X400" s="26">
        <v>0</v>
      </c>
      <c r="Y400" s="26">
        <v>0</v>
      </c>
      <c r="Z400" s="26">
        <v>0</v>
      </c>
      <c r="AA400" s="26">
        <v>0</v>
      </c>
      <c r="AB400" s="26">
        <v>0</v>
      </c>
      <c r="AC400" s="26">
        <v>0</v>
      </c>
      <c r="AD400" s="26">
        <v>0</v>
      </c>
      <c r="AE400" s="26">
        <v>0</v>
      </c>
      <c r="AF400" s="26">
        <v>0</v>
      </c>
      <c r="AG400" s="26">
        <v>0</v>
      </c>
      <c r="AH400" s="26">
        <v>0</v>
      </c>
      <c r="AI400" s="26">
        <v>0</v>
      </c>
      <c r="AJ400" s="26">
        <v>0</v>
      </c>
      <c r="AK400" s="26">
        <v>0</v>
      </c>
      <c r="AL400" s="26">
        <v>0</v>
      </c>
      <c r="AM400" s="26">
        <v>0</v>
      </c>
      <c r="AN400" s="26">
        <v>0</v>
      </c>
      <c r="AO400" s="26">
        <v>0</v>
      </c>
      <c r="AP400" s="26">
        <v>0</v>
      </c>
      <c r="AQ400" s="26">
        <v>0</v>
      </c>
      <c r="AR400" s="26">
        <v>0</v>
      </c>
      <c r="AS400" s="26">
        <v>0</v>
      </c>
      <c r="AT400" s="26">
        <v>0</v>
      </c>
      <c r="AU400" s="26">
        <v>0</v>
      </c>
      <c r="AV400" s="26">
        <v>0</v>
      </c>
      <c r="AW400" s="26">
        <v>0</v>
      </c>
      <c r="AX400" s="26">
        <v>0</v>
      </c>
      <c r="AY400" s="26">
        <v>0</v>
      </c>
      <c r="AZ400" s="26">
        <v>0</v>
      </c>
      <c r="BA400" s="26">
        <v>0</v>
      </c>
      <c r="BB400" s="26">
        <v>0</v>
      </c>
      <c r="BC400" s="26">
        <v>0</v>
      </c>
      <c r="BD400" s="26">
        <v>0</v>
      </c>
      <c r="BE400" s="26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 t="s">
        <v>445</v>
      </c>
    </row>
    <row r="401" spans="1:63" x14ac:dyDescent="0.25">
      <c r="A401" s="26" t="s">
        <v>438</v>
      </c>
      <c r="B401" s="26" t="s">
        <v>37</v>
      </c>
      <c r="C401" s="26">
        <v>39.539299999999997</v>
      </c>
      <c r="D401" s="26">
        <v>-75.667400000000001</v>
      </c>
      <c r="E401" s="26">
        <v>0</v>
      </c>
      <c r="F401" s="26">
        <v>0</v>
      </c>
      <c r="G401" s="26">
        <v>0</v>
      </c>
      <c r="H401" s="26">
        <v>0</v>
      </c>
      <c r="I401" s="26">
        <v>0</v>
      </c>
      <c r="J401" s="26">
        <v>0</v>
      </c>
      <c r="K401" s="26">
        <v>0</v>
      </c>
      <c r="L401" s="26">
        <v>0</v>
      </c>
      <c r="M401" s="26">
        <v>0</v>
      </c>
      <c r="N401" s="26">
        <v>0</v>
      </c>
      <c r="O401" s="26">
        <v>0</v>
      </c>
      <c r="P401" s="26">
        <v>0</v>
      </c>
      <c r="Q401" s="26">
        <v>0</v>
      </c>
      <c r="R401" s="26">
        <v>0</v>
      </c>
      <c r="S401" s="26">
        <v>0</v>
      </c>
      <c r="T401" s="26">
        <v>0</v>
      </c>
      <c r="U401" s="26">
        <v>0</v>
      </c>
      <c r="V401" s="26">
        <v>0</v>
      </c>
      <c r="W401" s="26">
        <v>0</v>
      </c>
      <c r="X401" s="26">
        <v>0</v>
      </c>
      <c r="Y401" s="26">
        <v>0</v>
      </c>
      <c r="Z401" s="26">
        <v>0</v>
      </c>
      <c r="AA401" s="26">
        <v>0</v>
      </c>
      <c r="AB401" s="26">
        <v>0</v>
      </c>
      <c r="AC401" s="26">
        <v>0</v>
      </c>
      <c r="AD401" s="26">
        <v>0</v>
      </c>
      <c r="AE401" s="26">
        <v>0</v>
      </c>
      <c r="AF401" s="26">
        <v>0</v>
      </c>
      <c r="AG401" s="26">
        <v>0</v>
      </c>
      <c r="AH401" s="26">
        <v>0</v>
      </c>
      <c r="AI401" s="26">
        <v>0</v>
      </c>
      <c r="AJ401" s="26">
        <v>0</v>
      </c>
      <c r="AK401" s="26">
        <v>0</v>
      </c>
      <c r="AL401" s="26">
        <v>0</v>
      </c>
      <c r="AM401" s="26">
        <v>0</v>
      </c>
      <c r="AN401" s="26">
        <v>0</v>
      </c>
      <c r="AO401" s="26">
        <v>0</v>
      </c>
      <c r="AP401" s="26">
        <v>0</v>
      </c>
      <c r="AQ401" s="26">
        <v>0</v>
      </c>
      <c r="AR401" s="26">
        <v>0</v>
      </c>
      <c r="AS401" s="26">
        <v>0</v>
      </c>
      <c r="AT401" s="26">
        <v>0</v>
      </c>
      <c r="AU401" s="26">
        <v>0</v>
      </c>
      <c r="AV401" s="26">
        <v>0</v>
      </c>
      <c r="AW401" s="26">
        <v>0</v>
      </c>
      <c r="AX401" s="26">
        <v>0</v>
      </c>
      <c r="AY401" s="26">
        <v>0</v>
      </c>
      <c r="AZ401" s="26">
        <v>0</v>
      </c>
      <c r="BA401" s="26">
        <v>0</v>
      </c>
      <c r="BB401" s="26">
        <v>0</v>
      </c>
      <c r="BC401" s="26">
        <v>0</v>
      </c>
      <c r="BD401" s="26">
        <v>0</v>
      </c>
      <c r="BE401" s="26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 t="s">
        <v>445</v>
      </c>
    </row>
    <row r="402" spans="1:63" x14ac:dyDescent="0.25">
      <c r="A402" s="26"/>
      <c r="B402" s="26" t="s">
        <v>439</v>
      </c>
      <c r="C402" s="26">
        <v>22</v>
      </c>
      <c r="D402" s="26">
        <v>-80</v>
      </c>
      <c r="E402" s="26">
        <v>0</v>
      </c>
      <c r="F402" s="26">
        <v>0</v>
      </c>
      <c r="G402" s="26">
        <v>0</v>
      </c>
      <c r="H402" s="26">
        <v>0</v>
      </c>
      <c r="I402" s="26">
        <v>0</v>
      </c>
      <c r="J402" s="26">
        <v>0</v>
      </c>
      <c r="K402" s="26">
        <v>0</v>
      </c>
      <c r="L402" s="26">
        <v>0</v>
      </c>
      <c r="M402" s="26">
        <v>0</v>
      </c>
      <c r="N402" s="26">
        <v>0</v>
      </c>
      <c r="O402" s="26">
        <v>0</v>
      </c>
      <c r="P402" s="26">
        <v>0</v>
      </c>
      <c r="Q402" s="26">
        <v>0</v>
      </c>
      <c r="R402" s="26">
        <v>0</v>
      </c>
      <c r="S402" s="26">
        <v>0</v>
      </c>
      <c r="T402" s="26">
        <v>0</v>
      </c>
      <c r="U402" s="26">
        <v>0</v>
      </c>
      <c r="V402" s="26">
        <v>0</v>
      </c>
      <c r="W402" s="26">
        <v>0</v>
      </c>
      <c r="X402" s="26">
        <v>0</v>
      </c>
      <c r="Y402" s="26">
        <v>0</v>
      </c>
      <c r="Z402" s="26">
        <v>0</v>
      </c>
      <c r="AA402" s="26">
        <v>0</v>
      </c>
      <c r="AB402" s="26">
        <v>0</v>
      </c>
      <c r="AC402" s="26">
        <v>0</v>
      </c>
      <c r="AD402" s="26">
        <v>0</v>
      </c>
      <c r="AE402" s="26">
        <v>0</v>
      </c>
      <c r="AF402" s="26">
        <v>0</v>
      </c>
      <c r="AG402" s="26">
        <v>0</v>
      </c>
      <c r="AH402" s="26">
        <v>0</v>
      </c>
      <c r="AI402" s="26">
        <v>0</v>
      </c>
      <c r="AJ402" s="26">
        <v>0</v>
      </c>
      <c r="AK402" s="26">
        <v>0</v>
      </c>
      <c r="AL402" s="26">
        <v>0</v>
      </c>
      <c r="AM402" s="26">
        <v>0</v>
      </c>
      <c r="AN402" s="26">
        <v>0</v>
      </c>
      <c r="AO402" s="26">
        <v>0</v>
      </c>
      <c r="AP402" s="26">
        <v>0</v>
      </c>
      <c r="AQ402" s="26">
        <v>0</v>
      </c>
      <c r="AR402" s="26">
        <v>0</v>
      </c>
      <c r="AS402" s="26">
        <v>0</v>
      </c>
      <c r="AT402" s="26">
        <v>0</v>
      </c>
      <c r="AU402" s="26">
        <v>0</v>
      </c>
      <c r="AV402" s="26">
        <v>0</v>
      </c>
      <c r="AW402" s="26">
        <v>0</v>
      </c>
      <c r="AX402" s="26">
        <v>0</v>
      </c>
      <c r="AY402" s="26">
        <v>0</v>
      </c>
      <c r="AZ402" s="26">
        <v>0</v>
      </c>
      <c r="BA402" s="26">
        <v>0</v>
      </c>
      <c r="BB402" s="26">
        <v>0</v>
      </c>
      <c r="BC402" s="26">
        <v>3</v>
      </c>
      <c r="BD402" s="26">
        <v>4</v>
      </c>
      <c r="BE402" s="26">
        <v>4</v>
      </c>
      <c r="BF402">
        <v>4</v>
      </c>
      <c r="BG402">
        <v>4</v>
      </c>
      <c r="BH402">
        <v>5</v>
      </c>
      <c r="BI402">
        <v>7</v>
      </c>
      <c r="BJ402">
        <v>11</v>
      </c>
      <c r="BK402" t="s">
        <v>1452</v>
      </c>
    </row>
    <row r="403" spans="1:63" x14ac:dyDescent="0.25">
      <c r="A403" s="26"/>
      <c r="B403" s="26" t="s">
        <v>440</v>
      </c>
      <c r="C403" s="26">
        <v>5</v>
      </c>
      <c r="D403" s="26">
        <v>-58.75</v>
      </c>
      <c r="E403" s="26">
        <v>0</v>
      </c>
      <c r="F403" s="26">
        <v>0</v>
      </c>
      <c r="G403" s="26">
        <v>0</v>
      </c>
      <c r="H403" s="26">
        <v>0</v>
      </c>
      <c r="I403" s="26">
        <v>0</v>
      </c>
      <c r="J403" s="26">
        <v>0</v>
      </c>
      <c r="K403" s="26">
        <v>0</v>
      </c>
      <c r="L403" s="26">
        <v>0</v>
      </c>
      <c r="M403" s="26">
        <v>0</v>
      </c>
      <c r="N403" s="26">
        <v>0</v>
      </c>
      <c r="O403" s="26">
        <v>0</v>
      </c>
      <c r="P403" s="26">
        <v>0</v>
      </c>
      <c r="Q403" s="26">
        <v>0</v>
      </c>
      <c r="R403" s="26">
        <v>0</v>
      </c>
      <c r="S403" s="26">
        <v>0</v>
      </c>
      <c r="T403" s="26">
        <v>0</v>
      </c>
      <c r="U403" s="26">
        <v>0</v>
      </c>
      <c r="V403" s="26">
        <v>0</v>
      </c>
      <c r="W403" s="26">
        <v>0</v>
      </c>
      <c r="X403" s="26">
        <v>0</v>
      </c>
      <c r="Y403" s="26">
        <v>0</v>
      </c>
      <c r="Z403" s="26">
        <v>0</v>
      </c>
      <c r="AA403" s="26">
        <v>0</v>
      </c>
      <c r="AB403" s="26">
        <v>0</v>
      </c>
      <c r="AC403" s="26">
        <v>0</v>
      </c>
      <c r="AD403" s="26">
        <v>0</v>
      </c>
      <c r="AE403" s="26">
        <v>0</v>
      </c>
      <c r="AF403" s="26">
        <v>0</v>
      </c>
      <c r="AG403" s="26">
        <v>0</v>
      </c>
      <c r="AH403" s="26">
        <v>0</v>
      </c>
      <c r="AI403" s="26">
        <v>0</v>
      </c>
      <c r="AJ403" s="26">
        <v>0</v>
      </c>
      <c r="AK403" s="26">
        <v>0</v>
      </c>
      <c r="AL403" s="26">
        <v>0</v>
      </c>
      <c r="AM403" s="26">
        <v>0</v>
      </c>
      <c r="AN403" s="26">
        <v>0</v>
      </c>
      <c r="AO403" s="26">
        <v>0</v>
      </c>
      <c r="AP403" s="26">
        <v>0</v>
      </c>
      <c r="AQ403" s="26">
        <v>0</v>
      </c>
      <c r="AR403" s="26">
        <v>0</v>
      </c>
      <c r="AS403" s="26">
        <v>0</v>
      </c>
      <c r="AT403" s="26">
        <v>0</v>
      </c>
      <c r="AU403" s="26">
        <v>0</v>
      </c>
      <c r="AV403" s="26">
        <v>0</v>
      </c>
      <c r="AW403" s="26">
        <v>0</v>
      </c>
      <c r="AX403" s="26">
        <v>0</v>
      </c>
      <c r="AY403" s="26">
        <v>0</v>
      </c>
      <c r="AZ403" s="26">
        <v>0</v>
      </c>
      <c r="BA403" s="26">
        <v>0</v>
      </c>
      <c r="BB403" s="26">
        <v>0</v>
      </c>
      <c r="BC403" s="26">
        <v>1</v>
      </c>
      <c r="BD403" s="26">
        <v>1</v>
      </c>
      <c r="BE403" s="26">
        <v>1</v>
      </c>
      <c r="BF403">
        <v>4</v>
      </c>
      <c r="BG403">
        <v>4</v>
      </c>
      <c r="BH403">
        <v>7</v>
      </c>
      <c r="BI403">
        <v>7</v>
      </c>
      <c r="BJ403">
        <v>7</v>
      </c>
      <c r="BK403" t="s">
        <v>447</v>
      </c>
    </row>
    <row r="404" spans="1:63" x14ac:dyDescent="0.25">
      <c r="A404" s="26" t="s">
        <v>473</v>
      </c>
      <c r="B404" s="26" t="s">
        <v>48</v>
      </c>
      <c r="C404" s="26">
        <v>-35.473500000000001</v>
      </c>
      <c r="D404" s="26">
        <v>149.01240000000001</v>
      </c>
      <c r="E404" s="26">
        <v>0</v>
      </c>
      <c r="F404" s="26">
        <v>0</v>
      </c>
      <c r="G404" s="26">
        <v>0</v>
      </c>
      <c r="H404" s="26">
        <v>0</v>
      </c>
      <c r="I404" s="26">
        <v>0</v>
      </c>
      <c r="J404" s="26">
        <v>0</v>
      </c>
      <c r="K404" s="26">
        <v>0</v>
      </c>
      <c r="L404" s="26">
        <v>0</v>
      </c>
      <c r="M404" s="26">
        <v>0</v>
      </c>
      <c r="N404" s="26">
        <v>0</v>
      </c>
      <c r="O404" s="26">
        <v>0</v>
      </c>
      <c r="P404" s="26">
        <v>0</v>
      </c>
      <c r="Q404" s="26">
        <v>0</v>
      </c>
      <c r="R404" s="26">
        <v>0</v>
      </c>
      <c r="S404" s="26">
        <v>0</v>
      </c>
      <c r="T404" s="26">
        <v>0</v>
      </c>
      <c r="U404" s="26">
        <v>0</v>
      </c>
      <c r="V404" s="26">
        <v>0</v>
      </c>
      <c r="W404" s="26">
        <v>0</v>
      </c>
      <c r="X404" s="26">
        <v>0</v>
      </c>
      <c r="Y404" s="26">
        <v>0</v>
      </c>
      <c r="Z404" s="26">
        <v>0</v>
      </c>
      <c r="AA404" s="26">
        <v>0</v>
      </c>
      <c r="AB404" s="26">
        <v>0</v>
      </c>
      <c r="AC404" s="26">
        <v>0</v>
      </c>
      <c r="AD404" s="26">
        <v>0</v>
      </c>
      <c r="AE404" s="26">
        <v>0</v>
      </c>
      <c r="AF404" s="26">
        <v>0</v>
      </c>
      <c r="AG404" s="26">
        <v>0</v>
      </c>
      <c r="AH404" s="26">
        <v>0</v>
      </c>
      <c r="AI404" s="26">
        <v>0</v>
      </c>
      <c r="AJ404" s="26">
        <v>0</v>
      </c>
      <c r="AK404" s="26">
        <v>0</v>
      </c>
      <c r="AL404" s="26">
        <v>0</v>
      </c>
      <c r="AM404" s="26">
        <v>0</v>
      </c>
      <c r="AN404" s="26">
        <v>0</v>
      </c>
      <c r="AO404" s="26">
        <v>0</v>
      </c>
      <c r="AP404" s="26">
        <v>0</v>
      </c>
      <c r="AQ404" s="26">
        <v>0</v>
      </c>
      <c r="AR404" s="26">
        <v>0</v>
      </c>
      <c r="AS404" s="26">
        <v>0</v>
      </c>
      <c r="AT404" s="26">
        <v>0</v>
      </c>
      <c r="AU404" s="26">
        <v>0</v>
      </c>
      <c r="AV404" s="26">
        <v>0</v>
      </c>
      <c r="AW404" s="26">
        <v>0</v>
      </c>
      <c r="AX404" s="26">
        <v>0</v>
      </c>
      <c r="AY404" s="26">
        <v>0</v>
      </c>
      <c r="AZ404" s="26">
        <v>0</v>
      </c>
      <c r="BA404" s="26">
        <v>0</v>
      </c>
      <c r="BB404" s="26">
        <v>0</v>
      </c>
      <c r="BC404" s="26">
        <v>0</v>
      </c>
      <c r="BD404" s="26">
        <v>1</v>
      </c>
      <c r="BE404" s="26">
        <v>1</v>
      </c>
      <c r="BF404">
        <v>1</v>
      </c>
      <c r="BG404">
        <v>2</v>
      </c>
      <c r="BH404">
        <v>2</v>
      </c>
      <c r="BI404">
        <v>3</v>
      </c>
      <c r="BJ404">
        <v>4</v>
      </c>
      <c r="BK404" t="s">
        <v>455</v>
      </c>
    </row>
    <row r="405" spans="1:63" x14ac:dyDescent="0.25">
      <c r="A405" s="26" t="s">
        <v>1038</v>
      </c>
      <c r="B405" s="26" t="s">
        <v>1038</v>
      </c>
      <c r="C405" s="26">
        <v>55.378100000000003</v>
      </c>
      <c r="D405" s="26">
        <v>-3.4359999999999999</v>
      </c>
      <c r="E405" s="27">
        <v>0</v>
      </c>
      <c r="F405" s="27">
        <v>0</v>
      </c>
      <c r="G405" s="27">
        <v>0</v>
      </c>
      <c r="H405" s="27">
        <v>0</v>
      </c>
      <c r="I405" s="27">
        <v>0</v>
      </c>
      <c r="J405" s="27">
        <v>0</v>
      </c>
      <c r="K405" s="27">
        <v>0</v>
      </c>
      <c r="L405" s="27">
        <v>0</v>
      </c>
      <c r="M405" s="27">
        <v>0</v>
      </c>
      <c r="N405" s="27">
        <v>2</v>
      </c>
      <c r="O405" s="27">
        <v>2</v>
      </c>
      <c r="P405" s="27">
        <v>2</v>
      </c>
      <c r="Q405" s="27">
        <v>2</v>
      </c>
      <c r="R405" s="27">
        <v>2</v>
      </c>
      <c r="S405" s="27">
        <v>2</v>
      </c>
      <c r="T405" s="27">
        <v>2</v>
      </c>
      <c r="U405" s="27">
        <v>3</v>
      </c>
      <c r="V405" s="27">
        <v>3</v>
      </c>
      <c r="W405" s="27">
        <v>3</v>
      </c>
      <c r="X405" s="27">
        <v>8</v>
      </c>
      <c r="Y405" s="27">
        <v>8</v>
      </c>
      <c r="Z405" s="27">
        <v>9</v>
      </c>
      <c r="AA405" s="27">
        <v>9</v>
      </c>
      <c r="AB405" s="27">
        <v>9</v>
      </c>
      <c r="AC405" s="27">
        <v>9</v>
      </c>
      <c r="AD405" s="27">
        <v>9</v>
      </c>
      <c r="AE405" s="27">
        <v>9</v>
      </c>
      <c r="AF405" s="27">
        <v>9</v>
      </c>
      <c r="AG405" s="27">
        <v>9</v>
      </c>
      <c r="AH405" s="27">
        <v>9</v>
      </c>
      <c r="AI405" s="27">
        <v>9</v>
      </c>
      <c r="AJ405" s="27">
        <v>9</v>
      </c>
      <c r="AK405" s="27">
        <v>9</v>
      </c>
      <c r="AL405" s="27">
        <v>13</v>
      </c>
      <c r="AM405" s="27">
        <v>13</v>
      </c>
      <c r="AN405" s="27">
        <v>13</v>
      </c>
      <c r="AO405" s="27">
        <v>15</v>
      </c>
      <c r="AP405" s="27">
        <v>20</v>
      </c>
      <c r="AQ405" s="27">
        <v>23</v>
      </c>
      <c r="AR405" s="27">
        <v>36</v>
      </c>
      <c r="AS405" s="27">
        <v>40</v>
      </c>
      <c r="AT405" s="27">
        <v>51</v>
      </c>
      <c r="AU405" s="27">
        <v>85</v>
      </c>
      <c r="AV405" s="27">
        <v>115</v>
      </c>
      <c r="AW405" s="27">
        <v>163</v>
      </c>
      <c r="AX405" s="27">
        <v>206</v>
      </c>
      <c r="AY405" s="27">
        <v>273</v>
      </c>
      <c r="AZ405" s="27">
        <v>321</v>
      </c>
      <c r="BA405" s="27">
        <v>382</v>
      </c>
      <c r="BB405" s="27">
        <v>456</v>
      </c>
      <c r="BC405" s="27">
        <v>456</v>
      </c>
      <c r="BD405" s="27">
        <v>798</v>
      </c>
      <c r="BE405" s="27">
        <v>1140</v>
      </c>
      <c r="BF405" s="27">
        <v>1140</v>
      </c>
      <c r="BG405" s="27">
        <v>1543</v>
      </c>
      <c r="BH405" s="27">
        <v>1950</v>
      </c>
      <c r="BI405" s="27">
        <v>2626</v>
      </c>
      <c r="BJ405" s="27">
        <v>2689</v>
      </c>
      <c r="BK405" t="s">
        <v>1455</v>
      </c>
    </row>
    <row r="406" spans="1:63" x14ac:dyDescent="0.25">
      <c r="A406" s="26"/>
      <c r="B406" s="26" t="s">
        <v>474</v>
      </c>
      <c r="C406" s="26">
        <v>48.019599999999997</v>
      </c>
      <c r="D406" s="26">
        <v>66.923699999999997</v>
      </c>
      <c r="E406" s="26">
        <v>0</v>
      </c>
      <c r="F406" s="26">
        <v>0</v>
      </c>
      <c r="G406" s="26">
        <v>0</v>
      </c>
      <c r="H406" s="26">
        <v>0</v>
      </c>
      <c r="I406" s="26">
        <v>0</v>
      </c>
      <c r="J406" s="26">
        <v>0</v>
      </c>
      <c r="K406" s="26">
        <v>0</v>
      </c>
      <c r="L406" s="26">
        <v>0</v>
      </c>
      <c r="M406" s="26">
        <v>0</v>
      </c>
      <c r="N406" s="26">
        <v>0</v>
      </c>
      <c r="O406" s="26">
        <v>0</v>
      </c>
      <c r="P406" s="26">
        <v>0</v>
      </c>
      <c r="Q406" s="26">
        <v>0</v>
      </c>
      <c r="R406" s="26">
        <v>0</v>
      </c>
      <c r="S406" s="26">
        <v>0</v>
      </c>
      <c r="T406" s="26">
        <v>0</v>
      </c>
      <c r="U406" s="26">
        <v>0</v>
      </c>
      <c r="V406" s="26">
        <v>0</v>
      </c>
      <c r="W406" s="26">
        <v>0</v>
      </c>
      <c r="X406" s="26">
        <v>0</v>
      </c>
      <c r="Y406" s="26">
        <v>0</v>
      </c>
      <c r="Z406" s="26">
        <v>0</v>
      </c>
      <c r="AA406" s="26">
        <v>0</v>
      </c>
      <c r="AB406" s="26">
        <v>0</v>
      </c>
      <c r="AC406" s="26">
        <v>0</v>
      </c>
      <c r="AD406" s="26">
        <v>0</v>
      </c>
      <c r="AE406" s="26">
        <v>0</v>
      </c>
      <c r="AF406" s="26">
        <v>0</v>
      </c>
      <c r="AG406" s="26">
        <v>0</v>
      </c>
      <c r="AH406" s="26">
        <v>0</v>
      </c>
      <c r="AI406" s="26">
        <v>0</v>
      </c>
      <c r="AJ406" s="26">
        <v>0</v>
      </c>
      <c r="AK406" s="26">
        <v>0</v>
      </c>
      <c r="AL406" s="26">
        <v>0</v>
      </c>
      <c r="AM406" s="26">
        <v>0</v>
      </c>
      <c r="AN406" s="26">
        <v>0</v>
      </c>
      <c r="AO406" s="26">
        <v>0</v>
      </c>
      <c r="AP406" s="26">
        <v>0</v>
      </c>
      <c r="AQ406" s="26">
        <v>0</v>
      </c>
      <c r="AR406" s="26">
        <v>0</v>
      </c>
      <c r="AS406" s="26">
        <v>0</v>
      </c>
      <c r="AT406" s="26">
        <v>0</v>
      </c>
      <c r="AU406" s="26">
        <v>0</v>
      </c>
      <c r="AV406" s="26">
        <v>0</v>
      </c>
      <c r="AW406" s="26">
        <v>0</v>
      </c>
      <c r="AX406" s="26">
        <v>0</v>
      </c>
      <c r="AY406" s="26">
        <v>0</v>
      </c>
      <c r="AZ406" s="26">
        <v>0</v>
      </c>
      <c r="BA406" s="26">
        <v>0</v>
      </c>
      <c r="BB406" s="26">
        <v>0</v>
      </c>
      <c r="BC406" s="26">
        <v>0</v>
      </c>
      <c r="BD406" s="26">
        <v>4</v>
      </c>
      <c r="BE406" s="26">
        <v>6</v>
      </c>
      <c r="BF406">
        <v>9</v>
      </c>
      <c r="BG406">
        <v>10</v>
      </c>
      <c r="BH406">
        <v>33</v>
      </c>
      <c r="BI406">
        <v>35</v>
      </c>
      <c r="BJ406">
        <v>44</v>
      </c>
      <c r="BK406" t="s">
        <v>449</v>
      </c>
    </row>
    <row r="407" spans="1:63" x14ac:dyDescent="0.25">
      <c r="A407" s="26" t="s">
        <v>475</v>
      </c>
      <c r="B407" s="26" t="s">
        <v>42</v>
      </c>
      <c r="C407" s="26">
        <v>-17.6797</v>
      </c>
      <c r="D407" s="26">
        <v>149.4068</v>
      </c>
      <c r="E407" s="26">
        <v>0</v>
      </c>
      <c r="F407" s="26">
        <v>0</v>
      </c>
      <c r="G407" s="26">
        <v>0</v>
      </c>
      <c r="H407" s="26">
        <v>0</v>
      </c>
      <c r="I407" s="26">
        <v>0</v>
      </c>
      <c r="J407" s="26">
        <v>0</v>
      </c>
      <c r="K407" s="26">
        <v>0</v>
      </c>
      <c r="L407" s="26">
        <v>0</v>
      </c>
      <c r="M407" s="26">
        <v>0</v>
      </c>
      <c r="N407" s="26">
        <v>0</v>
      </c>
      <c r="O407" s="26">
        <v>0</v>
      </c>
      <c r="P407" s="26">
        <v>0</v>
      </c>
      <c r="Q407" s="26">
        <v>0</v>
      </c>
      <c r="R407" s="26">
        <v>0</v>
      </c>
      <c r="S407" s="26">
        <v>0</v>
      </c>
      <c r="T407" s="26">
        <v>0</v>
      </c>
      <c r="U407" s="26">
        <v>0</v>
      </c>
      <c r="V407" s="26">
        <v>0</v>
      </c>
      <c r="W407" s="26">
        <v>0</v>
      </c>
      <c r="X407" s="26">
        <v>0</v>
      </c>
      <c r="Y407" s="26">
        <v>0</v>
      </c>
      <c r="Z407" s="26">
        <v>0</v>
      </c>
      <c r="AA407" s="26">
        <v>0</v>
      </c>
      <c r="AB407" s="26">
        <v>0</v>
      </c>
      <c r="AC407" s="26">
        <v>0</v>
      </c>
      <c r="AD407" s="26">
        <v>0</v>
      </c>
      <c r="AE407" s="26">
        <v>0</v>
      </c>
      <c r="AF407" s="26">
        <v>0</v>
      </c>
      <c r="AG407" s="26">
        <v>0</v>
      </c>
      <c r="AH407" s="26">
        <v>0</v>
      </c>
      <c r="AI407" s="26">
        <v>0</v>
      </c>
      <c r="AJ407" s="26">
        <v>0</v>
      </c>
      <c r="AK407" s="26">
        <v>0</v>
      </c>
      <c r="AL407" s="26">
        <v>0</v>
      </c>
      <c r="AM407" s="26">
        <v>0</v>
      </c>
      <c r="AN407" s="26">
        <v>0</v>
      </c>
      <c r="AO407" s="26">
        <v>0</v>
      </c>
      <c r="AP407" s="26">
        <v>0</v>
      </c>
      <c r="AQ407" s="26">
        <v>0</v>
      </c>
      <c r="AR407" s="26">
        <v>0</v>
      </c>
      <c r="AS407" s="26">
        <v>0</v>
      </c>
      <c r="AT407" s="26">
        <v>0</v>
      </c>
      <c r="AU407" s="26">
        <v>0</v>
      </c>
      <c r="AV407" s="26">
        <v>0</v>
      </c>
      <c r="AW407" s="26">
        <v>0</v>
      </c>
      <c r="AX407" s="26">
        <v>0</v>
      </c>
      <c r="AY407" s="26">
        <v>0</v>
      </c>
      <c r="AZ407" s="26">
        <v>0</v>
      </c>
      <c r="BA407" s="26">
        <v>0</v>
      </c>
      <c r="BB407" s="26">
        <v>0</v>
      </c>
      <c r="BC407" s="26">
        <v>0</v>
      </c>
      <c r="BD407" s="26">
        <v>3</v>
      </c>
      <c r="BE407" s="26">
        <v>3</v>
      </c>
      <c r="BF407">
        <v>3</v>
      </c>
      <c r="BG407">
        <v>3</v>
      </c>
      <c r="BH407">
        <v>3</v>
      </c>
      <c r="BI407">
        <v>3</v>
      </c>
      <c r="BJ407">
        <v>6</v>
      </c>
      <c r="BK407" t="s">
        <v>452</v>
      </c>
    </row>
    <row r="408" spans="1:63" x14ac:dyDescent="0.25">
      <c r="A408" s="26" t="s">
        <v>477</v>
      </c>
      <c r="B408" s="26" t="s">
        <v>46</v>
      </c>
      <c r="C408" s="26">
        <v>53.760899999999999</v>
      </c>
      <c r="D408" s="26">
        <v>-98.813900000000004</v>
      </c>
      <c r="E408" s="26">
        <v>0</v>
      </c>
      <c r="F408" s="26">
        <v>0</v>
      </c>
      <c r="G408" s="26">
        <v>0</v>
      </c>
      <c r="H408" s="26">
        <v>0</v>
      </c>
      <c r="I408" s="26">
        <v>0</v>
      </c>
      <c r="J408" s="26">
        <v>0</v>
      </c>
      <c r="K408" s="26">
        <v>0</v>
      </c>
      <c r="L408" s="26">
        <v>0</v>
      </c>
      <c r="M408" s="26">
        <v>0</v>
      </c>
      <c r="N408" s="26">
        <v>0</v>
      </c>
      <c r="O408" s="26">
        <v>0</v>
      </c>
      <c r="P408" s="26">
        <v>0</v>
      </c>
      <c r="Q408" s="26">
        <v>0</v>
      </c>
      <c r="R408" s="26">
        <v>0</v>
      </c>
      <c r="S408" s="26">
        <v>0</v>
      </c>
      <c r="T408" s="26">
        <v>0</v>
      </c>
      <c r="U408" s="26">
        <v>0</v>
      </c>
      <c r="V408" s="26">
        <v>0</v>
      </c>
      <c r="W408" s="26">
        <v>0</v>
      </c>
      <c r="X408" s="26">
        <v>0</v>
      </c>
      <c r="Y408" s="26">
        <v>0</v>
      </c>
      <c r="Z408" s="26">
        <v>0</v>
      </c>
      <c r="AA408" s="26">
        <v>0</v>
      </c>
      <c r="AB408" s="26">
        <v>0</v>
      </c>
      <c r="AC408" s="26">
        <v>0</v>
      </c>
      <c r="AD408" s="26">
        <v>0</v>
      </c>
      <c r="AE408" s="26">
        <v>0</v>
      </c>
      <c r="AF408" s="26">
        <v>0</v>
      </c>
      <c r="AG408" s="26">
        <v>0</v>
      </c>
      <c r="AH408" s="26">
        <v>0</v>
      </c>
      <c r="AI408" s="26">
        <v>0</v>
      </c>
      <c r="AJ408" s="26">
        <v>0</v>
      </c>
      <c r="AK408" s="26">
        <v>0</v>
      </c>
      <c r="AL408" s="26">
        <v>0</v>
      </c>
      <c r="AM408" s="26">
        <v>0</v>
      </c>
      <c r="AN408" s="26">
        <v>0</v>
      </c>
      <c r="AO408" s="26">
        <v>0</v>
      </c>
      <c r="AP408" s="26">
        <v>0</v>
      </c>
      <c r="AQ408" s="26">
        <v>0</v>
      </c>
      <c r="AR408" s="26">
        <v>0</v>
      </c>
      <c r="AS408" s="26">
        <v>0</v>
      </c>
      <c r="AT408" s="26">
        <v>0</v>
      </c>
      <c r="AU408" s="26">
        <v>0</v>
      </c>
      <c r="AV408" s="26">
        <v>0</v>
      </c>
      <c r="AW408" s="26">
        <v>0</v>
      </c>
      <c r="AX408" s="26">
        <v>0</v>
      </c>
      <c r="AY408" s="26">
        <v>0</v>
      </c>
      <c r="AZ408" s="26">
        <v>0</v>
      </c>
      <c r="BA408" s="26">
        <v>0</v>
      </c>
      <c r="BB408" s="26">
        <v>0</v>
      </c>
      <c r="BC408" s="26">
        <v>0</v>
      </c>
      <c r="BD408" s="26">
        <v>4</v>
      </c>
      <c r="BE408" s="26">
        <v>4</v>
      </c>
      <c r="BF408">
        <v>4</v>
      </c>
      <c r="BG408">
        <v>7</v>
      </c>
      <c r="BH408">
        <v>8</v>
      </c>
      <c r="BI408">
        <v>15</v>
      </c>
      <c r="BJ408">
        <v>17</v>
      </c>
      <c r="BK408" t="s">
        <v>1449</v>
      </c>
    </row>
    <row r="409" spans="1:63" x14ac:dyDescent="0.25">
      <c r="A409" s="26" t="s">
        <v>478</v>
      </c>
      <c r="B409" s="26" t="s">
        <v>46</v>
      </c>
      <c r="C409" s="26">
        <v>52.939900000000002</v>
      </c>
      <c r="D409" s="26">
        <v>-106.4509</v>
      </c>
      <c r="E409" s="26">
        <v>0</v>
      </c>
      <c r="F409" s="26">
        <v>0</v>
      </c>
      <c r="G409" s="26">
        <v>0</v>
      </c>
      <c r="H409" s="26">
        <v>0</v>
      </c>
      <c r="I409" s="26">
        <v>0</v>
      </c>
      <c r="J409" s="26">
        <v>0</v>
      </c>
      <c r="K409" s="26">
        <v>0</v>
      </c>
      <c r="L409" s="26">
        <v>0</v>
      </c>
      <c r="M409" s="26">
        <v>0</v>
      </c>
      <c r="N409" s="26">
        <v>0</v>
      </c>
      <c r="O409" s="26">
        <v>0</v>
      </c>
      <c r="P409" s="26">
        <v>0</v>
      </c>
      <c r="Q409" s="26">
        <v>0</v>
      </c>
      <c r="R409" s="26">
        <v>0</v>
      </c>
      <c r="S409" s="26">
        <v>0</v>
      </c>
      <c r="T409" s="26">
        <v>0</v>
      </c>
      <c r="U409" s="26">
        <v>0</v>
      </c>
      <c r="V409" s="26">
        <v>0</v>
      </c>
      <c r="W409" s="26">
        <v>0</v>
      </c>
      <c r="X409" s="26">
        <v>0</v>
      </c>
      <c r="Y409" s="26">
        <v>0</v>
      </c>
      <c r="Z409" s="26">
        <v>0</v>
      </c>
      <c r="AA409" s="26">
        <v>0</v>
      </c>
      <c r="AB409" s="26">
        <v>0</v>
      </c>
      <c r="AC409" s="26">
        <v>0</v>
      </c>
      <c r="AD409" s="26">
        <v>0</v>
      </c>
      <c r="AE409" s="26">
        <v>0</v>
      </c>
      <c r="AF409" s="26">
        <v>0</v>
      </c>
      <c r="AG409" s="26">
        <v>0</v>
      </c>
      <c r="AH409" s="26">
        <v>0</v>
      </c>
      <c r="AI409" s="26">
        <v>0</v>
      </c>
      <c r="AJ409" s="26">
        <v>0</v>
      </c>
      <c r="AK409" s="26">
        <v>0</v>
      </c>
      <c r="AL409" s="26">
        <v>0</v>
      </c>
      <c r="AM409" s="26">
        <v>0</v>
      </c>
      <c r="AN409" s="26">
        <v>0</v>
      </c>
      <c r="AO409" s="26">
        <v>0</v>
      </c>
      <c r="AP409" s="26">
        <v>0</v>
      </c>
      <c r="AQ409" s="26">
        <v>0</v>
      </c>
      <c r="AR409" s="26">
        <v>0</v>
      </c>
      <c r="AS409" s="26">
        <v>0</v>
      </c>
      <c r="AT409" s="26">
        <v>0</v>
      </c>
      <c r="AU409" s="26">
        <v>0</v>
      </c>
      <c r="AV409" s="26">
        <v>0</v>
      </c>
      <c r="AW409" s="26">
        <v>0</v>
      </c>
      <c r="AX409" s="26">
        <v>0</v>
      </c>
      <c r="AY409" s="26">
        <v>0</v>
      </c>
      <c r="AZ409" s="26">
        <v>0</v>
      </c>
      <c r="BA409" s="26">
        <v>0</v>
      </c>
      <c r="BB409" s="26">
        <v>0</v>
      </c>
      <c r="BC409" s="26">
        <v>0</v>
      </c>
      <c r="BD409" s="26">
        <v>2</v>
      </c>
      <c r="BE409" s="26">
        <v>2</v>
      </c>
      <c r="BF409">
        <v>2</v>
      </c>
      <c r="BG409">
        <v>7</v>
      </c>
      <c r="BH409">
        <v>7</v>
      </c>
      <c r="BI409">
        <v>8</v>
      </c>
      <c r="BJ409">
        <v>16</v>
      </c>
      <c r="BK409" t="s">
        <v>651</v>
      </c>
    </row>
    <row r="410" spans="1:63" x14ac:dyDescent="0.25">
      <c r="A410" s="26"/>
      <c r="B410" s="26" t="s">
        <v>479</v>
      </c>
      <c r="C410" s="26">
        <v>9.1449999999999996</v>
      </c>
      <c r="D410" s="26">
        <v>40.489699999999999</v>
      </c>
      <c r="E410" s="26">
        <v>0</v>
      </c>
      <c r="F410" s="26">
        <v>0</v>
      </c>
      <c r="G410" s="26">
        <v>0</v>
      </c>
      <c r="H410" s="26">
        <v>0</v>
      </c>
      <c r="I410" s="26">
        <v>0</v>
      </c>
      <c r="J410" s="26">
        <v>0</v>
      </c>
      <c r="K410" s="26">
        <v>0</v>
      </c>
      <c r="L410" s="26">
        <v>0</v>
      </c>
      <c r="M410" s="26">
        <v>0</v>
      </c>
      <c r="N410" s="26">
        <v>0</v>
      </c>
      <c r="O410" s="26">
        <v>0</v>
      </c>
      <c r="P410" s="26">
        <v>0</v>
      </c>
      <c r="Q410" s="26">
        <v>0</v>
      </c>
      <c r="R410" s="26">
        <v>0</v>
      </c>
      <c r="S410" s="26">
        <v>0</v>
      </c>
      <c r="T410" s="26">
        <v>0</v>
      </c>
      <c r="U410" s="26">
        <v>0</v>
      </c>
      <c r="V410" s="26">
        <v>0</v>
      </c>
      <c r="W410" s="26">
        <v>0</v>
      </c>
      <c r="X410" s="26">
        <v>0</v>
      </c>
      <c r="Y410" s="26">
        <v>0</v>
      </c>
      <c r="Z410" s="26">
        <v>0</v>
      </c>
      <c r="AA410" s="26">
        <v>0</v>
      </c>
      <c r="AB410" s="26">
        <v>0</v>
      </c>
      <c r="AC410" s="26">
        <v>0</v>
      </c>
      <c r="AD410" s="26">
        <v>0</v>
      </c>
      <c r="AE410" s="26">
        <v>0</v>
      </c>
      <c r="AF410" s="26">
        <v>0</v>
      </c>
      <c r="AG410" s="26">
        <v>0</v>
      </c>
      <c r="AH410" s="26">
        <v>0</v>
      </c>
      <c r="AI410" s="26">
        <v>0</v>
      </c>
      <c r="AJ410" s="26">
        <v>0</v>
      </c>
      <c r="AK410" s="26">
        <v>0</v>
      </c>
      <c r="AL410" s="26">
        <v>0</v>
      </c>
      <c r="AM410" s="26">
        <v>0</v>
      </c>
      <c r="AN410" s="26">
        <v>0</v>
      </c>
      <c r="AO410" s="26">
        <v>0</v>
      </c>
      <c r="AP410" s="26">
        <v>0</v>
      </c>
      <c r="AQ410" s="26">
        <v>0</v>
      </c>
      <c r="AR410" s="26">
        <v>0</v>
      </c>
      <c r="AS410" s="26">
        <v>0</v>
      </c>
      <c r="AT410" s="26">
        <v>0</v>
      </c>
      <c r="AU410" s="26">
        <v>0</v>
      </c>
      <c r="AV410" s="26">
        <v>0</v>
      </c>
      <c r="AW410" s="26">
        <v>0</v>
      </c>
      <c r="AX410" s="26">
        <v>0</v>
      </c>
      <c r="AY410" s="26">
        <v>0</v>
      </c>
      <c r="AZ410" s="26">
        <v>0</v>
      </c>
      <c r="BA410" s="26">
        <v>0</v>
      </c>
      <c r="BB410" s="26">
        <v>0</v>
      </c>
      <c r="BC410" s="26">
        <v>0</v>
      </c>
      <c r="BD410" s="26">
        <v>1</v>
      </c>
      <c r="BE410" s="26">
        <v>1</v>
      </c>
      <c r="BF410">
        <v>1</v>
      </c>
      <c r="BG410">
        <v>5</v>
      </c>
      <c r="BH410">
        <v>5</v>
      </c>
      <c r="BI410">
        <v>6</v>
      </c>
      <c r="BJ410">
        <v>6</v>
      </c>
      <c r="BK410" t="s">
        <v>444</v>
      </c>
    </row>
    <row r="411" spans="1:63" x14ac:dyDescent="0.25">
      <c r="A411" s="26"/>
      <c r="B411" s="26" t="s">
        <v>480</v>
      </c>
      <c r="C411" s="26">
        <v>12.8628</v>
      </c>
      <c r="D411" s="26">
        <v>30.217600000000001</v>
      </c>
      <c r="E411" s="26">
        <v>0</v>
      </c>
      <c r="F411" s="26">
        <v>0</v>
      </c>
      <c r="G411" s="26">
        <v>0</v>
      </c>
      <c r="H411" s="26">
        <v>0</v>
      </c>
      <c r="I411" s="26">
        <v>0</v>
      </c>
      <c r="J411" s="26">
        <v>0</v>
      </c>
      <c r="K411" s="26">
        <v>0</v>
      </c>
      <c r="L411" s="26">
        <v>0</v>
      </c>
      <c r="M411" s="26">
        <v>0</v>
      </c>
      <c r="N411" s="26">
        <v>0</v>
      </c>
      <c r="O411" s="26">
        <v>0</v>
      </c>
      <c r="P411" s="26">
        <v>0</v>
      </c>
      <c r="Q411" s="26">
        <v>0</v>
      </c>
      <c r="R411" s="26">
        <v>0</v>
      </c>
      <c r="S411" s="26">
        <v>0</v>
      </c>
      <c r="T411" s="26">
        <v>0</v>
      </c>
      <c r="U411" s="26">
        <v>0</v>
      </c>
      <c r="V411" s="26">
        <v>0</v>
      </c>
      <c r="W411" s="26">
        <v>0</v>
      </c>
      <c r="X411" s="26">
        <v>0</v>
      </c>
      <c r="Y411" s="26">
        <v>0</v>
      </c>
      <c r="Z411" s="26">
        <v>0</v>
      </c>
      <c r="AA411" s="26">
        <v>0</v>
      </c>
      <c r="AB411" s="26">
        <v>0</v>
      </c>
      <c r="AC411" s="26">
        <v>0</v>
      </c>
      <c r="AD411" s="26">
        <v>0</v>
      </c>
      <c r="AE411" s="26">
        <v>0</v>
      </c>
      <c r="AF411" s="26">
        <v>0</v>
      </c>
      <c r="AG411" s="26">
        <v>0</v>
      </c>
      <c r="AH411" s="26">
        <v>0</v>
      </c>
      <c r="AI411" s="26">
        <v>0</v>
      </c>
      <c r="AJ411" s="26">
        <v>0</v>
      </c>
      <c r="AK411" s="26">
        <v>0</v>
      </c>
      <c r="AL411" s="26">
        <v>0</v>
      </c>
      <c r="AM411" s="26">
        <v>0</v>
      </c>
      <c r="AN411" s="26">
        <v>0</v>
      </c>
      <c r="AO411" s="26">
        <v>0</v>
      </c>
      <c r="AP411" s="26">
        <v>0</v>
      </c>
      <c r="AQ411" s="26">
        <v>0</v>
      </c>
      <c r="AR411" s="26">
        <v>0</v>
      </c>
      <c r="AS411" s="26">
        <v>0</v>
      </c>
      <c r="AT411" s="26">
        <v>0</v>
      </c>
      <c r="AU411" s="26">
        <v>0</v>
      </c>
      <c r="AV411" s="26">
        <v>0</v>
      </c>
      <c r="AW411" s="26">
        <v>0</v>
      </c>
      <c r="AX411" s="26">
        <v>0</v>
      </c>
      <c r="AY411" s="26">
        <v>0</v>
      </c>
      <c r="AZ411" s="26">
        <v>0</v>
      </c>
      <c r="BA411" s="26">
        <v>0</v>
      </c>
      <c r="BB411" s="26">
        <v>0</v>
      </c>
      <c r="BC411" s="26">
        <v>0</v>
      </c>
      <c r="BD411" s="26">
        <v>1</v>
      </c>
      <c r="BE411" s="26">
        <v>1</v>
      </c>
      <c r="BF411">
        <v>1</v>
      </c>
      <c r="BG411">
        <v>1</v>
      </c>
      <c r="BH411">
        <v>1</v>
      </c>
      <c r="BI411">
        <v>2</v>
      </c>
      <c r="BJ411">
        <v>2</v>
      </c>
      <c r="BK411" t="s">
        <v>443</v>
      </c>
    </row>
    <row r="412" spans="1:63" x14ac:dyDescent="0.25">
      <c r="A412" s="26"/>
      <c r="B412" s="26" t="s">
        <v>481</v>
      </c>
      <c r="C412" s="26">
        <v>9.9456000000000007</v>
      </c>
      <c r="D412" s="26">
        <v>-9.6966000000000001</v>
      </c>
      <c r="E412" s="26">
        <v>0</v>
      </c>
      <c r="F412" s="26">
        <v>0</v>
      </c>
      <c r="G412" s="26">
        <v>0</v>
      </c>
      <c r="H412" s="26">
        <v>0</v>
      </c>
      <c r="I412" s="26">
        <v>0</v>
      </c>
      <c r="J412" s="26">
        <v>0</v>
      </c>
      <c r="K412" s="26">
        <v>0</v>
      </c>
      <c r="L412" s="26">
        <v>0</v>
      </c>
      <c r="M412" s="26">
        <v>0</v>
      </c>
      <c r="N412" s="26">
        <v>0</v>
      </c>
      <c r="O412" s="26">
        <v>0</v>
      </c>
      <c r="P412" s="26">
        <v>0</v>
      </c>
      <c r="Q412" s="26">
        <v>0</v>
      </c>
      <c r="R412" s="26">
        <v>0</v>
      </c>
      <c r="S412" s="26">
        <v>0</v>
      </c>
      <c r="T412" s="26">
        <v>0</v>
      </c>
      <c r="U412" s="26">
        <v>0</v>
      </c>
      <c r="V412" s="26">
        <v>0</v>
      </c>
      <c r="W412" s="26">
        <v>0</v>
      </c>
      <c r="X412" s="26">
        <v>0</v>
      </c>
      <c r="Y412" s="26">
        <v>0</v>
      </c>
      <c r="Z412" s="26">
        <v>0</v>
      </c>
      <c r="AA412" s="26">
        <v>0</v>
      </c>
      <c r="AB412" s="26">
        <v>0</v>
      </c>
      <c r="AC412" s="26">
        <v>0</v>
      </c>
      <c r="AD412" s="26">
        <v>0</v>
      </c>
      <c r="AE412" s="26">
        <v>0</v>
      </c>
      <c r="AF412" s="26">
        <v>0</v>
      </c>
      <c r="AG412" s="26">
        <v>0</v>
      </c>
      <c r="AH412" s="26">
        <v>0</v>
      </c>
      <c r="AI412" s="26">
        <v>0</v>
      </c>
      <c r="AJ412" s="26">
        <v>0</v>
      </c>
      <c r="AK412" s="26">
        <v>0</v>
      </c>
      <c r="AL412" s="26">
        <v>0</v>
      </c>
      <c r="AM412" s="26">
        <v>0</v>
      </c>
      <c r="AN412" s="26">
        <v>0</v>
      </c>
      <c r="AO412" s="26">
        <v>0</v>
      </c>
      <c r="AP412" s="26">
        <v>0</v>
      </c>
      <c r="AQ412" s="26">
        <v>0</v>
      </c>
      <c r="AR412" s="26">
        <v>0</v>
      </c>
      <c r="AS412" s="26">
        <v>0</v>
      </c>
      <c r="AT412" s="26">
        <v>0</v>
      </c>
      <c r="AU412" s="26">
        <v>0</v>
      </c>
      <c r="AV412" s="26">
        <v>0</v>
      </c>
      <c r="AW412" s="26">
        <v>0</v>
      </c>
      <c r="AX412" s="26">
        <v>0</v>
      </c>
      <c r="AY412" s="26">
        <v>0</v>
      </c>
      <c r="AZ412" s="26">
        <v>0</v>
      </c>
      <c r="BA412" s="26">
        <v>0</v>
      </c>
      <c r="BB412" s="26">
        <v>0</v>
      </c>
      <c r="BC412" s="26">
        <v>0</v>
      </c>
      <c r="BD412" s="26">
        <v>1</v>
      </c>
      <c r="BE412" s="26">
        <v>1</v>
      </c>
      <c r="BF412">
        <v>1</v>
      </c>
      <c r="BG412">
        <v>1</v>
      </c>
      <c r="BH412">
        <v>1</v>
      </c>
      <c r="BI412">
        <v>1</v>
      </c>
      <c r="BJ412">
        <v>1</v>
      </c>
      <c r="BK412" t="s">
        <v>441</v>
      </c>
    </row>
    <row r="413" spans="1:63" x14ac:dyDescent="0.25">
      <c r="A413" s="26" t="s">
        <v>152</v>
      </c>
      <c r="B413" s="26" t="s">
        <v>46</v>
      </c>
      <c r="C413" s="26">
        <v>37.648899999999998</v>
      </c>
      <c r="D413" s="26">
        <v>-122.66549999999999</v>
      </c>
      <c r="E413" s="26">
        <v>0</v>
      </c>
      <c r="F413" s="26">
        <v>0</v>
      </c>
      <c r="G413" s="26">
        <v>0</v>
      </c>
      <c r="H413" s="26">
        <v>0</v>
      </c>
      <c r="I413" s="26">
        <v>0</v>
      </c>
      <c r="J413" s="26">
        <v>0</v>
      </c>
      <c r="K413" s="26">
        <v>0</v>
      </c>
      <c r="L413" s="26">
        <v>0</v>
      </c>
      <c r="M413" s="26">
        <v>0</v>
      </c>
      <c r="N413" s="26">
        <v>0</v>
      </c>
      <c r="O413" s="26">
        <v>0</v>
      </c>
      <c r="P413" s="26">
        <v>0</v>
      </c>
      <c r="Q413" s="26">
        <v>0</v>
      </c>
      <c r="R413" s="26">
        <v>0</v>
      </c>
      <c r="S413" s="26">
        <v>0</v>
      </c>
      <c r="T413" s="26">
        <v>0</v>
      </c>
      <c r="U413" s="26">
        <v>0</v>
      </c>
      <c r="V413" s="26">
        <v>0</v>
      </c>
      <c r="W413" s="26">
        <v>0</v>
      </c>
      <c r="X413" s="26">
        <v>0</v>
      </c>
      <c r="Y413" s="26">
        <v>0</v>
      </c>
      <c r="Z413" s="26">
        <v>0</v>
      </c>
      <c r="AA413" s="26">
        <v>0</v>
      </c>
      <c r="AB413" s="26">
        <v>0</v>
      </c>
      <c r="AC413" s="26">
        <v>0</v>
      </c>
      <c r="AD413" s="26">
        <v>0</v>
      </c>
      <c r="AE413" s="26">
        <v>0</v>
      </c>
      <c r="AF413" s="26">
        <v>0</v>
      </c>
      <c r="AG413" s="26">
        <v>0</v>
      </c>
      <c r="AH413" s="26">
        <v>0</v>
      </c>
      <c r="AI413" s="26">
        <v>0</v>
      </c>
      <c r="AJ413" s="26">
        <v>0</v>
      </c>
      <c r="AK413" s="26">
        <v>0</v>
      </c>
      <c r="AL413" s="26">
        <v>0</v>
      </c>
      <c r="AM413" s="26">
        <v>0</v>
      </c>
      <c r="AN413" s="26">
        <v>0</v>
      </c>
      <c r="AO413" s="26">
        <v>0</v>
      </c>
      <c r="AP413" s="26">
        <v>0</v>
      </c>
      <c r="AQ413" s="26">
        <v>0</v>
      </c>
      <c r="AR413" s="26">
        <v>0</v>
      </c>
      <c r="AS413" s="26">
        <v>0</v>
      </c>
      <c r="AT413" s="26">
        <v>0</v>
      </c>
      <c r="AU413" s="26">
        <v>0</v>
      </c>
      <c r="AV413" s="26">
        <v>0</v>
      </c>
      <c r="AW413" s="26">
        <v>0</v>
      </c>
      <c r="AX413" s="26">
        <v>0</v>
      </c>
      <c r="AY413" s="26">
        <v>0</v>
      </c>
      <c r="AZ413" s="26">
        <v>0</v>
      </c>
      <c r="BA413" s="26">
        <v>0</v>
      </c>
      <c r="BB413" s="26">
        <v>0</v>
      </c>
      <c r="BC413" s="26">
        <v>0</v>
      </c>
      <c r="BD413" s="26">
        <v>2</v>
      </c>
      <c r="BE413" s="26">
        <v>2</v>
      </c>
      <c r="BF413">
        <v>2</v>
      </c>
      <c r="BG413">
        <v>2</v>
      </c>
      <c r="BH413">
        <v>8</v>
      </c>
      <c r="BI413">
        <v>9</v>
      </c>
      <c r="BJ413">
        <v>9</v>
      </c>
      <c r="BK413" t="s">
        <v>454</v>
      </c>
    </row>
    <row r="414" spans="1:63" x14ac:dyDescent="0.25">
      <c r="A414" s="26"/>
      <c r="B414" s="26" t="s">
        <v>483</v>
      </c>
      <c r="C414" s="26">
        <v>-2.3599999999999999E-2</v>
      </c>
      <c r="D414" s="26">
        <v>37.906199999999998</v>
      </c>
      <c r="E414" s="26">
        <v>0</v>
      </c>
      <c r="F414" s="26">
        <v>0</v>
      </c>
      <c r="G414" s="26">
        <v>0</v>
      </c>
      <c r="H414" s="26">
        <v>0</v>
      </c>
      <c r="I414" s="26">
        <v>0</v>
      </c>
      <c r="J414" s="26">
        <v>0</v>
      </c>
      <c r="K414" s="26">
        <v>0</v>
      </c>
      <c r="L414" s="26">
        <v>0</v>
      </c>
      <c r="M414" s="26">
        <v>0</v>
      </c>
      <c r="N414" s="26">
        <v>0</v>
      </c>
      <c r="O414" s="26">
        <v>0</v>
      </c>
      <c r="P414" s="26">
        <v>0</v>
      </c>
      <c r="Q414" s="26">
        <v>0</v>
      </c>
      <c r="R414" s="26">
        <v>0</v>
      </c>
      <c r="S414" s="26">
        <v>0</v>
      </c>
      <c r="T414" s="26">
        <v>0</v>
      </c>
      <c r="U414" s="26">
        <v>0</v>
      </c>
      <c r="V414" s="26">
        <v>0</v>
      </c>
      <c r="W414" s="26">
        <v>0</v>
      </c>
      <c r="X414" s="26">
        <v>0</v>
      </c>
      <c r="Y414" s="26">
        <v>0</v>
      </c>
      <c r="Z414" s="26">
        <v>0</v>
      </c>
      <c r="AA414" s="26">
        <v>0</v>
      </c>
      <c r="AB414" s="26">
        <v>0</v>
      </c>
      <c r="AC414" s="26">
        <v>0</v>
      </c>
      <c r="AD414" s="26">
        <v>0</v>
      </c>
      <c r="AE414" s="26">
        <v>0</v>
      </c>
      <c r="AF414" s="26">
        <v>0</v>
      </c>
      <c r="AG414" s="26">
        <v>0</v>
      </c>
      <c r="AH414" s="26">
        <v>0</v>
      </c>
      <c r="AI414" s="26">
        <v>0</v>
      </c>
      <c r="AJ414" s="26">
        <v>0</v>
      </c>
      <c r="AK414" s="26">
        <v>0</v>
      </c>
      <c r="AL414" s="26">
        <v>0</v>
      </c>
      <c r="AM414" s="26">
        <v>0</v>
      </c>
      <c r="AN414" s="26">
        <v>0</v>
      </c>
      <c r="AO414" s="26">
        <v>0</v>
      </c>
      <c r="AP414" s="26">
        <v>0</v>
      </c>
      <c r="AQ414" s="26">
        <v>0</v>
      </c>
      <c r="AR414" s="26">
        <v>0</v>
      </c>
      <c r="AS414" s="26">
        <v>0</v>
      </c>
      <c r="AT414" s="26">
        <v>0</v>
      </c>
      <c r="AU414" s="26">
        <v>0</v>
      </c>
      <c r="AV414" s="26">
        <v>0</v>
      </c>
      <c r="AW414" s="26">
        <v>0</v>
      </c>
      <c r="AX414" s="26">
        <v>0</v>
      </c>
      <c r="AY414" s="26">
        <v>0</v>
      </c>
      <c r="AZ414" s="26">
        <v>0</v>
      </c>
      <c r="BA414" s="26">
        <v>0</v>
      </c>
      <c r="BB414" s="26">
        <v>0</v>
      </c>
      <c r="BC414" s="26">
        <v>0</v>
      </c>
      <c r="BD414" s="26">
        <v>1</v>
      </c>
      <c r="BE414" s="26">
        <v>1</v>
      </c>
      <c r="BF414">
        <v>3</v>
      </c>
      <c r="BG414">
        <v>3</v>
      </c>
      <c r="BH414">
        <v>3</v>
      </c>
      <c r="BI414">
        <v>3</v>
      </c>
      <c r="BJ414">
        <v>7</v>
      </c>
      <c r="BK414" t="s">
        <v>447</v>
      </c>
    </row>
    <row r="415" spans="1:63" x14ac:dyDescent="0.25">
      <c r="A415" s="26"/>
      <c r="B415" s="26" t="s">
        <v>484</v>
      </c>
      <c r="C415" s="26">
        <v>17.0608</v>
      </c>
      <c r="D415" s="26">
        <v>-61.796399999999998</v>
      </c>
      <c r="E415" s="26">
        <v>0</v>
      </c>
      <c r="F415" s="26">
        <v>0</v>
      </c>
      <c r="G415" s="26">
        <v>0</v>
      </c>
      <c r="H415" s="26">
        <v>0</v>
      </c>
      <c r="I415" s="26">
        <v>0</v>
      </c>
      <c r="J415" s="26">
        <v>0</v>
      </c>
      <c r="K415" s="26">
        <v>0</v>
      </c>
      <c r="L415" s="26">
        <v>0</v>
      </c>
      <c r="M415" s="26">
        <v>0</v>
      </c>
      <c r="N415" s="26">
        <v>0</v>
      </c>
      <c r="O415" s="26">
        <v>0</v>
      </c>
      <c r="P415" s="26">
        <v>0</v>
      </c>
      <c r="Q415" s="26">
        <v>0</v>
      </c>
      <c r="R415" s="26">
        <v>0</v>
      </c>
      <c r="S415" s="26">
        <v>0</v>
      </c>
      <c r="T415" s="26">
        <v>0</v>
      </c>
      <c r="U415" s="26">
        <v>0</v>
      </c>
      <c r="V415" s="26">
        <v>0</v>
      </c>
      <c r="W415" s="26">
        <v>0</v>
      </c>
      <c r="X415" s="26">
        <v>0</v>
      </c>
      <c r="Y415" s="26">
        <v>0</v>
      </c>
      <c r="Z415" s="26">
        <v>0</v>
      </c>
      <c r="AA415" s="26">
        <v>0</v>
      </c>
      <c r="AB415" s="26">
        <v>0</v>
      </c>
      <c r="AC415" s="26">
        <v>0</v>
      </c>
      <c r="AD415" s="26">
        <v>0</v>
      </c>
      <c r="AE415" s="26">
        <v>0</v>
      </c>
      <c r="AF415" s="26">
        <v>0</v>
      </c>
      <c r="AG415" s="26">
        <v>0</v>
      </c>
      <c r="AH415" s="26">
        <v>0</v>
      </c>
      <c r="AI415" s="26">
        <v>0</v>
      </c>
      <c r="AJ415" s="26">
        <v>0</v>
      </c>
      <c r="AK415" s="26">
        <v>0</v>
      </c>
      <c r="AL415" s="26">
        <v>0</v>
      </c>
      <c r="AM415" s="26">
        <v>0</v>
      </c>
      <c r="AN415" s="26">
        <v>0</v>
      </c>
      <c r="AO415" s="26">
        <v>0</v>
      </c>
      <c r="AP415" s="26">
        <v>0</v>
      </c>
      <c r="AQ415" s="26">
        <v>0</v>
      </c>
      <c r="AR415" s="26">
        <v>0</v>
      </c>
      <c r="AS415" s="26">
        <v>0</v>
      </c>
      <c r="AT415" s="26">
        <v>0</v>
      </c>
      <c r="AU415" s="26">
        <v>0</v>
      </c>
      <c r="AV415" s="26">
        <v>0</v>
      </c>
      <c r="AW415" s="26">
        <v>0</v>
      </c>
      <c r="AX415" s="26">
        <v>0</v>
      </c>
      <c r="AY415" s="26">
        <v>0</v>
      </c>
      <c r="AZ415" s="26">
        <v>0</v>
      </c>
      <c r="BA415" s="26">
        <v>0</v>
      </c>
      <c r="BB415" s="26">
        <v>0</v>
      </c>
      <c r="BC415" s="26">
        <v>0</v>
      </c>
      <c r="BD415" s="26">
        <v>1</v>
      </c>
      <c r="BE415" s="26">
        <v>1</v>
      </c>
      <c r="BF415">
        <v>1</v>
      </c>
      <c r="BG415">
        <v>1</v>
      </c>
      <c r="BH415">
        <v>1</v>
      </c>
      <c r="BI415">
        <v>1</v>
      </c>
      <c r="BJ415">
        <v>1</v>
      </c>
      <c r="BK415" t="s">
        <v>441</v>
      </c>
    </row>
    <row r="416" spans="1:63" x14ac:dyDescent="0.25">
      <c r="A416" s="26" t="s">
        <v>485</v>
      </c>
      <c r="B416" s="26" t="s">
        <v>37</v>
      </c>
      <c r="C416" s="26">
        <v>32.318199999999997</v>
      </c>
      <c r="D416" s="26">
        <v>-86.902299999999997</v>
      </c>
      <c r="E416" s="26">
        <v>0</v>
      </c>
      <c r="F416" s="26">
        <v>0</v>
      </c>
      <c r="G416" s="26">
        <v>0</v>
      </c>
      <c r="H416" s="26">
        <v>0</v>
      </c>
      <c r="I416" s="26">
        <v>0</v>
      </c>
      <c r="J416" s="26">
        <v>0</v>
      </c>
      <c r="K416" s="26">
        <v>0</v>
      </c>
      <c r="L416" s="26">
        <v>0</v>
      </c>
      <c r="M416" s="26">
        <v>0</v>
      </c>
      <c r="N416" s="26">
        <v>0</v>
      </c>
      <c r="O416" s="26">
        <v>0</v>
      </c>
      <c r="P416" s="26">
        <v>0</v>
      </c>
      <c r="Q416" s="26">
        <v>0</v>
      </c>
      <c r="R416" s="26">
        <v>0</v>
      </c>
      <c r="S416" s="26">
        <v>0</v>
      </c>
      <c r="T416" s="26">
        <v>0</v>
      </c>
      <c r="U416" s="26">
        <v>0</v>
      </c>
      <c r="V416" s="26">
        <v>0</v>
      </c>
      <c r="W416" s="26">
        <v>0</v>
      </c>
      <c r="X416" s="26">
        <v>0</v>
      </c>
      <c r="Y416" s="26">
        <v>0</v>
      </c>
      <c r="Z416" s="26">
        <v>0</v>
      </c>
      <c r="AA416" s="26">
        <v>0</v>
      </c>
      <c r="AB416" s="26">
        <v>0</v>
      </c>
      <c r="AC416" s="26">
        <v>0</v>
      </c>
      <c r="AD416" s="26">
        <v>0</v>
      </c>
      <c r="AE416" s="26">
        <v>0</v>
      </c>
      <c r="AF416" s="26">
        <v>0</v>
      </c>
      <c r="AG416" s="26">
        <v>0</v>
      </c>
      <c r="AH416" s="26">
        <v>0</v>
      </c>
      <c r="AI416" s="26">
        <v>0</v>
      </c>
      <c r="AJ416" s="26">
        <v>0</v>
      </c>
      <c r="AK416" s="26">
        <v>0</v>
      </c>
      <c r="AL416" s="26">
        <v>0</v>
      </c>
      <c r="AM416" s="26">
        <v>0</v>
      </c>
      <c r="AN416" s="26">
        <v>0</v>
      </c>
      <c r="AO416" s="26">
        <v>0</v>
      </c>
      <c r="AP416" s="26">
        <v>0</v>
      </c>
      <c r="AQ416" s="26">
        <v>0</v>
      </c>
      <c r="AR416" s="26">
        <v>0</v>
      </c>
      <c r="AS416" s="26">
        <v>0</v>
      </c>
      <c r="AT416" s="26">
        <v>0</v>
      </c>
      <c r="AU416" s="26">
        <v>0</v>
      </c>
      <c r="AV416" s="26">
        <v>0</v>
      </c>
      <c r="AW416" s="26">
        <v>0</v>
      </c>
      <c r="AX416" s="26">
        <v>0</v>
      </c>
      <c r="AY416" s="26">
        <v>0</v>
      </c>
      <c r="AZ416" s="26">
        <v>0</v>
      </c>
      <c r="BA416" s="26">
        <v>0</v>
      </c>
      <c r="BB416" s="26">
        <v>0</v>
      </c>
      <c r="BC416" s="26">
        <v>0</v>
      </c>
      <c r="BD416" s="26">
        <v>5</v>
      </c>
      <c r="BE416" s="26">
        <v>6</v>
      </c>
      <c r="BF416">
        <v>12</v>
      </c>
      <c r="BG416">
        <v>29</v>
      </c>
      <c r="BH416">
        <v>39</v>
      </c>
      <c r="BI416">
        <v>46</v>
      </c>
      <c r="BJ416">
        <v>78</v>
      </c>
      <c r="BK416" t="s">
        <v>1261</v>
      </c>
    </row>
    <row r="417" spans="1:63" x14ac:dyDescent="0.25">
      <c r="A417" s="26"/>
      <c r="B417" s="26" t="s">
        <v>652</v>
      </c>
      <c r="C417" s="26">
        <v>-32.522799999999997</v>
      </c>
      <c r="D417" s="26">
        <v>-55.765799999999999</v>
      </c>
      <c r="E417" s="26">
        <v>0</v>
      </c>
      <c r="F417" s="26">
        <v>0</v>
      </c>
      <c r="G417" s="26">
        <v>0</v>
      </c>
      <c r="H417" s="26">
        <v>0</v>
      </c>
      <c r="I417" s="26">
        <v>0</v>
      </c>
      <c r="J417" s="26">
        <v>0</v>
      </c>
      <c r="K417" s="26">
        <v>0</v>
      </c>
      <c r="L417" s="26">
        <v>0</v>
      </c>
      <c r="M417" s="26">
        <v>0</v>
      </c>
      <c r="N417" s="26">
        <v>0</v>
      </c>
      <c r="O417" s="26">
        <v>0</v>
      </c>
      <c r="P417" s="26">
        <v>0</v>
      </c>
      <c r="Q417" s="26">
        <v>0</v>
      </c>
      <c r="R417" s="26">
        <v>0</v>
      </c>
      <c r="S417" s="26">
        <v>0</v>
      </c>
      <c r="T417" s="26">
        <v>0</v>
      </c>
      <c r="U417" s="26">
        <v>0</v>
      </c>
      <c r="V417" s="26">
        <v>0</v>
      </c>
      <c r="W417" s="26">
        <v>0</v>
      </c>
      <c r="X417" s="26">
        <v>0</v>
      </c>
      <c r="Y417" s="26">
        <v>0</v>
      </c>
      <c r="Z417" s="26">
        <v>0</v>
      </c>
      <c r="AA417" s="26">
        <v>0</v>
      </c>
      <c r="AB417" s="26">
        <v>0</v>
      </c>
      <c r="AC417" s="26">
        <v>0</v>
      </c>
      <c r="AD417" s="26">
        <v>0</v>
      </c>
      <c r="AE417" s="26">
        <v>0</v>
      </c>
      <c r="AF417" s="26">
        <v>0</v>
      </c>
      <c r="AG417" s="26">
        <v>0</v>
      </c>
      <c r="AH417" s="26">
        <v>0</v>
      </c>
      <c r="AI417" s="26">
        <v>0</v>
      </c>
      <c r="AJ417" s="26">
        <v>0</v>
      </c>
      <c r="AK417" s="26">
        <v>0</v>
      </c>
      <c r="AL417" s="26">
        <v>0</v>
      </c>
      <c r="AM417" s="26">
        <v>0</v>
      </c>
      <c r="AN417" s="26">
        <v>0</v>
      </c>
      <c r="AO417" s="26">
        <v>0</v>
      </c>
      <c r="AP417" s="26">
        <v>0</v>
      </c>
      <c r="AQ417" s="26">
        <v>0</v>
      </c>
      <c r="AR417" s="26">
        <v>0</v>
      </c>
      <c r="AS417" s="26">
        <v>0</v>
      </c>
      <c r="AT417" s="26">
        <v>0</v>
      </c>
      <c r="AU417" s="26">
        <v>0</v>
      </c>
      <c r="AV417" s="26">
        <v>0</v>
      </c>
      <c r="AW417" s="26">
        <v>0</v>
      </c>
      <c r="AX417" s="26">
        <v>0</v>
      </c>
      <c r="AY417" s="26">
        <v>0</v>
      </c>
      <c r="AZ417" s="26">
        <v>0</v>
      </c>
      <c r="BA417" s="26">
        <v>0</v>
      </c>
      <c r="BB417" s="26">
        <v>0</v>
      </c>
      <c r="BC417" s="26">
        <v>0</v>
      </c>
      <c r="BD417" s="26">
        <v>0</v>
      </c>
      <c r="BE417" s="26">
        <v>4</v>
      </c>
      <c r="BF417">
        <v>4</v>
      </c>
      <c r="BG417">
        <v>8</v>
      </c>
      <c r="BH417">
        <v>29</v>
      </c>
      <c r="BI417">
        <v>50</v>
      </c>
      <c r="BJ417">
        <v>79</v>
      </c>
      <c r="BK417" t="s">
        <v>1040</v>
      </c>
    </row>
    <row r="418" spans="1:63" x14ac:dyDescent="0.25">
      <c r="A418" s="26"/>
      <c r="B418" s="26" t="s">
        <v>653</v>
      </c>
      <c r="C418" s="26">
        <v>7.9465000000000003</v>
      </c>
      <c r="D418" s="26">
        <v>-1.0232000000000001</v>
      </c>
      <c r="E418" s="26">
        <v>0</v>
      </c>
      <c r="F418" s="26">
        <v>0</v>
      </c>
      <c r="G418" s="26">
        <v>0</v>
      </c>
      <c r="H418" s="26">
        <v>0</v>
      </c>
      <c r="I418" s="26">
        <v>0</v>
      </c>
      <c r="J418" s="26">
        <v>0</v>
      </c>
      <c r="K418" s="26">
        <v>0</v>
      </c>
      <c r="L418" s="26">
        <v>0</v>
      </c>
      <c r="M418" s="26">
        <v>0</v>
      </c>
      <c r="N418" s="26">
        <v>0</v>
      </c>
      <c r="O418" s="26">
        <v>0</v>
      </c>
      <c r="P418" s="26">
        <v>0</v>
      </c>
      <c r="Q418" s="26">
        <v>0</v>
      </c>
      <c r="R418" s="26">
        <v>0</v>
      </c>
      <c r="S418" s="26">
        <v>0</v>
      </c>
      <c r="T418" s="26">
        <v>0</v>
      </c>
      <c r="U418" s="26">
        <v>0</v>
      </c>
      <c r="V418" s="26">
        <v>0</v>
      </c>
      <c r="W418" s="26">
        <v>0</v>
      </c>
      <c r="X418" s="26">
        <v>0</v>
      </c>
      <c r="Y418" s="26">
        <v>0</v>
      </c>
      <c r="Z418" s="26">
        <v>0</v>
      </c>
      <c r="AA418" s="26">
        <v>0</v>
      </c>
      <c r="AB418" s="26">
        <v>0</v>
      </c>
      <c r="AC418" s="26">
        <v>0</v>
      </c>
      <c r="AD418" s="26">
        <v>0</v>
      </c>
      <c r="AE418" s="26">
        <v>0</v>
      </c>
      <c r="AF418" s="26">
        <v>0</v>
      </c>
      <c r="AG418" s="26">
        <v>0</v>
      </c>
      <c r="AH418" s="26">
        <v>0</v>
      </c>
      <c r="AI418" s="26">
        <v>0</v>
      </c>
      <c r="AJ418" s="26">
        <v>0</v>
      </c>
      <c r="AK418" s="26">
        <v>0</v>
      </c>
      <c r="AL418" s="26">
        <v>0</v>
      </c>
      <c r="AM418" s="26">
        <v>0</v>
      </c>
      <c r="AN418" s="26">
        <v>0</v>
      </c>
      <c r="AO418" s="26">
        <v>0</v>
      </c>
      <c r="AP418" s="26">
        <v>0</v>
      </c>
      <c r="AQ418" s="26">
        <v>0</v>
      </c>
      <c r="AR418" s="26">
        <v>0</v>
      </c>
      <c r="AS418" s="26">
        <v>0</v>
      </c>
      <c r="AT418" s="26">
        <v>0</v>
      </c>
      <c r="AU418" s="26">
        <v>0</v>
      </c>
      <c r="AV418" s="26">
        <v>0</v>
      </c>
      <c r="AW418" s="26">
        <v>0</v>
      </c>
      <c r="AX418" s="26">
        <v>0</v>
      </c>
      <c r="AY418" s="26">
        <v>0</v>
      </c>
      <c r="AZ418" s="26">
        <v>0</v>
      </c>
      <c r="BA418" s="26">
        <v>0</v>
      </c>
      <c r="BB418" s="26">
        <v>0</v>
      </c>
      <c r="BC418" s="26">
        <v>0</v>
      </c>
      <c r="BD418" s="26">
        <v>0</v>
      </c>
      <c r="BE418" s="26">
        <v>3</v>
      </c>
      <c r="BF418">
        <v>6</v>
      </c>
      <c r="BG418">
        <v>6</v>
      </c>
      <c r="BH418">
        <v>7</v>
      </c>
      <c r="BI418">
        <v>7</v>
      </c>
      <c r="BJ418">
        <v>11</v>
      </c>
      <c r="BK418" t="s">
        <v>1452</v>
      </c>
    </row>
    <row r="419" spans="1:63" x14ac:dyDescent="0.25">
      <c r="A419" s="26" t="s">
        <v>654</v>
      </c>
      <c r="B419" s="26" t="s">
        <v>37</v>
      </c>
      <c r="C419" s="26">
        <v>18.220800000000001</v>
      </c>
      <c r="D419" s="26">
        <v>-66.590100000000007</v>
      </c>
      <c r="E419" s="26">
        <v>0</v>
      </c>
      <c r="F419" s="26">
        <v>0</v>
      </c>
      <c r="G419" s="26">
        <v>0</v>
      </c>
      <c r="H419" s="26">
        <v>0</v>
      </c>
      <c r="I419" s="26">
        <v>0</v>
      </c>
      <c r="J419" s="26">
        <v>0</v>
      </c>
      <c r="K419" s="26">
        <v>0</v>
      </c>
      <c r="L419" s="26">
        <v>0</v>
      </c>
      <c r="M419" s="26">
        <v>0</v>
      </c>
      <c r="N419" s="26">
        <v>0</v>
      </c>
      <c r="O419" s="26">
        <v>0</v>
      </c>
      <c r="P419" s="26">
        <v>0</v>
      </c>
      <c r="Q419" s="26">
        <v>0</v>
      </c>
      <c r="R419" s="26">
        <v>0</v>
      </c>
      <c r="S419" s="26">
        <v>0</v>
      </c>
      <c r="T419" s="26">
        <v>0</v>
      </c>
      <c r="U419" s="26">
        <v>0</v>
      </c>
      <c r="V419" s="26">
        <v>0</v>
      </c>
      <c r="W419" s="26">
        <v>0</v>
      </c>
      <c r="X419" s="26">
        <v>0</v>
      </c>
      <c r="Y419" s="26">
        <v>0</v>
      </c>
      <c r="Z419" s="26">
        <v>0</v>
      </c>
      <c r="AA419" s="26">
        <v>0</v>
      </c>
      <c r="AB419" s="26">
        <v>0</v>
      </c>
      <c r="AC419" s="26">
        <v>0</v>
      </c>
      <c r="AD419" s="26">
        <v>0</v>
      </c>
      <c r="AE419" s="26">
        <v>0</v>
      </c>
      <c r="AF419" s="26">
        <v>0</v>
      </c>
      <c r="AG419" s="26">
        <v>0</v>
      </c>
      <c r="AH419" s="26">
        <v>0</v>
      </c>
      <c r="AI419" s="26">
        <v>0</v>
      </c>
      <c r="AJ419" s="26">
        <v>0</v>
      </c>
      <c r="AK419" s="26">
        <v>0</v>
      </c>
      <c r="AL419" s="26">
        <v>0</v>
      </c>
      <c r="AM419" s="26">
        <v>0</v>
      </c>
      <c r="AN419" s="26">
        <v>0</v>
      </c>
      <c r="AO419" s="26">
        <v>0</v>
      </c>
      <c r="AP419" s="26">
        <v>0</v>
      </c>
      <c r="AQ419" s="26">
        <v>0</v>
      </c>
      <c r="AR419" s="26">
        <v>0</v>
      </c>
      <c r="AS419" s="26">
        <v>0</v>
      </c>
      <c r="AT419" s="26">
        <v>0</v>
      </c>
      <c r="AU419" s="26">
        <v>0</v>
      </c>
      <c r="AV419" s="26">
        <v>0</v>
      </c>
      <c r="AW419" s="26">
        <v>0</v>
      </c>
      <c r="AX419" s="26">
        <v>0</v>
      </c>
      <c r="AY419" s="26">
        <v>0</v>
      </c>
      <c r="AZ419" s="26">
        <v>0</v>
      </c>
      <c r="BA419" s="26">
        <v>0</v>
      </c>
      <c r="BB419" s="26">
        <v>0</v>
      </c>
      <c r="BC419" s="26">
        <v>0</v>
      </c>
      <c r="BD419" s="26">
        <v>0</v>
      </c>
      <c r="BE419" s="26">
        <v>3</v>
      </c>
      <c r="BF419">
        <v>5</v>
      </c>
      <c r="BG419">
        <v>5</v>
      </c>
      <c r="BH419">
        <v>5</v>
      </c>
      <c r="BI419">
        <v>5</v>
      </c>
      <c r="BJ419">
        <v>5</v>
      </c>
      <c r="BK419" t="s">
        <v>456</v>
      </c>
    </row>
    <row r="420" spans="1:63" x14ac:dyDescent="0.25">
      <c r="A420" s="26"/>
      <c r="B420" s="26" t="s">
        <v>655</v>
      </c>
      <c r="C420" s="26">
        <v>-22.957599999999999</v>
      </c>
      <c r="D420" s="26">
        <v>18.490400000000001</v>
      </c>
      <c r="E420" s="26">
        <v>0</v>
      </c>
      <c r="F420" s="26">
        <v>0</v>
      </c>
      <c r="G420" s="26">
        <v>0</v>
      </c>
      <c r="H420" s="26">
        <v>0</v>
      </c>
      <c r="I420" s="26">
        <v>0</v>
      </c>
      <c r="J420" s="26">
        <v>0</v>
      </c>
      <c r="K420" s="26">
        <v>0</v>
      </c>
      <c r="L420" s="26">
        <v>0</v>
      </c>
      <c r="M420" s="26">
        <v>0</v>
      </c>
      <c r="N420" s="26">
        <v>0</v>
      </c>
      <c r="O420" s="26">
        <v>0</v>
      </c>
      <c r="P420" s="26">
        <v>0</v>
      </c>
      <c r="Q420" s="26">
        <v>0</v>
      </c>
      <c r="R420" s="26">
        <v>0</v>
      </c>
      <c r="S420" s="26">
        <v>0</v>
      </c>
      <c r="T420" s="26">
        <v>0</v>
      </c>
      <c r="U420" s="26">
        <v>0</v>
      </c>
      <c r="V420" s="26">
        <v>0</v>
      </c>
      <c r="W420" s="26">
        <v>0</v>
      </c>
      <c r="X420" s="26">
        <v>0</v>
      </c>
      <c r="Y420" s="26">
        <v>0</v>
      </c>
      <c r="Z420" s="26">
        <v>0</v>
      </c>
      <c r="AA420" s="26">
        <v>0</v>
      </c>
      <c r="AB420" s="26">
        <v>0</v>
      </c>
      <c r="AC420" s="26">
        <v>0</v>
      </c>
      <c r="AD420" s="26">
        <v>0</v>
      </c>
      <c r="AE420" s="26">
        <v>0</v>
      </c>
      <c r="AF420" s="26">
        <v>0</v>
      </c>
      <c r="AG420" s="26">
        <v>0</v>
      </c>
      <c r="AH420" s="26">
        <v>0</v>
      </c>
      <c r="AI420" s="26">
        <v>0</v>
      </c>
      <c r="AJ420" s="26">
        <v>0</v>
      </c>
      <c r="AK420" s="26">
        <v>0</v>
      </c>
      <c r="AL420" s="26">
        <v>0</v>
      </c>
      <c r="AM420" s="26">
        <v>0</v>
      </c>
      <c r="AN420" s="26">
        <v>0</v>
      </c>
      <c r="AO420" s="26">
        <v>0</v>
      </c>
      <c r="AP420" s="26">
        <v>0</v>
      </c>
      <c r="AQ420" s="26">
        <v>0</v>
      </c>
      <c r="AR420" s="26">
        <v>0</v>
      </c>
      <c r="AS420" s="26">
        <v>0</v>
      </c>
      <c r="AT420" s="26">
        <v>0</v>
      </c>
      <c r="AU420" s="26">
        <v>0</v>
      </c>
      <c r="AV420" s="26">
        <v>0</v>
      </c>
      <c r="AW420" s="26">
        <v>0</v>
      </c>
      <c r="AX420" s="26">
        <v>0</v>
      </c>
      <c r="AY420" s="26">
        <v>0</v>
      </c>
      <c r="AZ420" s="26">
        <v>0</v>
      </c>
      <c r="BA420" s="26">
        <v>0</v>
      </c>
      <c r="BB420" s="26">
        <v>0</v>
      </c>
      <c r="BC420" s="26">
        <v>0</v>
      </c>
      <c r="BD420" s="26">
        <v>0</v>
      </c>
      <c r="BE420" s="26">
        <v>2</v>
      </c>
      <c r="BF420">
        <v>2</v>
      </c>
      <c r="BG420">
        <v>2</v>
      </c>
      <c r="BH420">
        <v>2</v>
      </c>
      <c r="BI420">
        <v>2</v>
      </c>
      <c r="BJ420">
        <v>3</v>
      </c>
      <c r="BK420" t="s">
        <v>442</v>
      </c>
    </row>
    <row r="421" spans="1:63" x14ac:dyDescent="0.25">
      <c r="A421" s="26"/>
      <c r="B421" s="26" t="s">
        <v>656</v>
      </c>
      <c r="C421" s="26">
        <v>-4.6795999999999998</v>
      </c>
      <c r="D421" s="26">
        <v>55.491999999999997</v>
      </c>
      <c r="E421" s="26">
        <v>0</v>
      </c>
      <c r="F421" s="26">
        <v>0</v>
      </c>
      <c r="G421" s="26">
        <v>0</v>
      </c>
      <c r="H421" s="26">
        <v>0</v>
      </c>
      <c r="I421" s="26">
        <v>0</v>
      </c>
      <c r="J421" s="26">
        <v>0</v>
      </c>
      <c r="K421" s="26">
        <v>0</v>
      </c>
      <c r="L421" s="26">
        <v>0</v>
      </c>
      <c r="M421" s="26">
        <v>0</v>
      </c>
      <c r="N421" s="26">
        <v>0</v>
      </c>
      <c r="O421" s="26">
        <v>0</v>
      </c>
      <c r="P421" s="26">
        <v>0</v>
      </c>
      <c r="Q421" s="26">
        <v>0</v>
      </c>
      <c r="R421" s="26">
        <v>0</v>
      </c>
      <c r="S421" s="26">
        <v>0</v>
      </c>
      <c r="T421" s="26">
        <v>0</v>
      </c>
      <c r="U421" s="26">
        <v>0</v>
      </c>
      <c r="V421" s="26">
        <v>0</v>
      </c>
      <c r="W421" s="26">
        <v>0</v>
      </c>
      <c r="X421" s="26">
        <v>0</v>
      </c>
      <c r="Y421" s="26">
        <v>0</v>
      </c>
      <c r="Z421" s="26">
        <v>0</v>
      </c>
      <c r="AA421" s="26">
        <v>0</v>
      </c>
      <c r="AB421" s="26">
        <v>0</v>
      </c>
      <c r="AC421" s="26">
        <v>0</v>
      </c>
      <c r="AD421" s="26">
        <v>0</v>
      </c>
      <c r="AE421" s="26">
        <v>0</v>
      </c>
      <c r="AF421" s="26">
        <v>0</v>
      </c>
      <c r="AG421" s="26">
        <v>0</v>
      </c>
      <c r="AH421" s="26">
        <v>0</v>
      </c>
      <c r="AI421" s="26">
        <v>0</v>
      </c>
      <c r="AJ421" s="26">
        <v>0</v>
      </c>
      <c r="AK421" s="26">
        <v>0</v>
      </c>
      <c r="AL421" s="26">
        <v>0</v>
      </c>
      <c r="AM421" s="26">
        <v>0</v>
      </c>
      <c r="AN421" s="26">
        <v>0</v>
      </c>
      <c r="AO421" s="26">
        <v>0</v>
      </c>
      <c r="AP421" s="26">
        <v>0</v>
      </c>
      <c r="AQ421" s="26">
        <v>0</v>
      </c>
      <c r="AR421" s="26">
        <v>0</v>
      </c>
      <c r="AS421" s="26">
        <v>0</v>
      </c>
      <c r="AT421" s="26">
        <v>0</v>
      </c>
      <c r="AU421" s="26">
        <v>0</v>
      </c>
      <c r="AV421" s="26">
        <v>0</v>
      </c>
      <c r="AW421" s="26">
        <v>0</v>
      </c>
      <c r="AX421" s="26">
        <v>0</v>
      </c>
      <c r="AY421" s="26">
        <v>0</v>
      </c>
      <c r="AZ421" s="26">
        <v>0</v>
      </c>
      <c r="BA421" s="26">
        <v>0</v>
      </c>
      <c r="BB421" s="26">
        <v>0</v>
      </c>
      <c r="BC421" s="26">
        <v>0</v>
      </c>
      <c r="BD421" s="26">
        <v>0</v>
      </c>
      <c r="BE421" s="26">
        <v>2</v>
      </c>
      <c r="BF421">
        <v>2</v>
      </c>
      <c r="BG421">
        <v>3</v>
      </c>
      <c r="BH421">
        <v>4</v>
      </c>
      <c r="BI421">
        <v>4</v>
      </c>
      <c r="BJ421">
        <v>6</v>
      </c>
      <c r="BK421" t="s">
        <v>447</v>
      </c>
    </row>
    <row r="422" spans="1:63" x14ac:dyDescent="0.25">
      <c r="A422" s="26"/>
      <c r="B422" s="26" t="s">
        <v>657</v>
      </c>
      <c r="C422" s="26">
        <v>10.691800000000001</v>
      </c>
      <c r="D422" s="26">
        <v>-61.222499999999997</v>
      </c>
      <c r="E422" s="26">
        <v>0</v>
      </c>
      <c r="F422" s="26">
        <v>0</v>
      </c>
      <c r="G422" s="26">
        <v>0</v>
      </c>
      <c r="H422" s="26">
        <v>0</v>
      </c>
      <c r="I422" s="26">
        <v>0</v>
      </c>
      <c r="J422" s="26">
        <v>0</v>
      </c>
      <c r="K422" s="26">
        <v>0</v>
      </c>
      <c r="L422" s="26">
        <v>0</v>
      </c>
      <c r="M422" s="26">
        <v>0</v>
      </c>
      <c r="N422" s="26">
        <v>0</v>
      </c>
      <c r="O422" s="26">
        <v>0</v>
      </c>
      <c r="P422" s="26">
        <v>0</v>
      </c>
      <c r="Q422" s="26">
        <v>0</v>
      </c>
      <c r="R422" s="26">
        <v>0</v>
      </c>
      <c r="S422" s="26">
        <v>0</v>
      </c>
      <c r="T422" s="26">
        <v>0</v>
      </c>
      <c r="U422" s="26">
        <v>0</v>
      </c>
      <c r="V422" s="26">
        <v>0</v>
      </c>
      <c r="W422" s="26">
        <v>0</v>
      </c>
      <c r="X422" s="26">
        <v>0</v>
      </c>
      <c r="Y422" s="26">
        <v>0</v>
      </c>
      <c r="Z422" s="26">
        <v>0</v>
      </c>
      <c r="AA422" s="26">
        <v>0</v>
      </c>
      <c r="AB422" s="26">
        <v>0</v>
      </c>
      <c r="AC422" s="26">
        <v>0</v>
      </c>
      <c r="AD422" s="26">
        <v>0</v>
      </c>
      <c r="AE422" s="26">
        <v>0</v>
      </c>
      <c r="AF422" s="26">
        <v>0</v>
      </c>
      <c r="AG422" s="26">
        <v>0</v>
      </c>
      <c r="AH422" s="26">
        <v>0</v>
      </c>
      <c r="AI422" s="26">
        <v>0</v>
      </c>
      <c r="AJ422" s="26">
        <v>0</v>
      </c>
      <c r="AK422" s="26">
        <v>0</v>
      </c>
      <c r="AL422" s="26">
        <v>0</v>
      </c>
      <c r="AM422" s="26">
        <v>0</v>
      </c>
      <c r="AN422" s="26">
        <v>0</v>
      </c>
      <c r="AO422" s="26">
        <v>0</v>
      </c>
      <c r="AP422" s="26">
        <v>0</v>
      </c>
      <c r="AQ422" s="26">
        <v>0</v>
      </c>
      <c r="AR422" s="26">
        <v>0</v>
      </c>
      <c r="AS422" s="26">
        <v>0</v>
      </c>
      <c r="AT422" s="26">
        <v>0</v>
      </c>
      <c r="AU422" s="26">
        <v>0</v>
      </c>
      <c r="AV422" s="26">
        <v>0</v>
      </c>
      <c r="AW422" s="26">
        <v>0</v>
      </c>
      <c r="AX422" s="26">
        <v>0</v>
      </c>
      <c r="AY422" s="26">
        <v>0</v>
      </c>
      <c r="AZ422" s="26">
        <v>0</v>
      </c>
      <c r="BA422" s="26">
        <v>0</v>
      </c>
      <c r="BB422" s="26">
        <v>0</v>
      </c>
      <c r="BC422" s="26">
        <v>0</v>
      </c>
      <c r="BD422" s="26">
        <v>0</v>
      </c>
      <c r="BE422" s="26">
        <v>2</v>
      </c>
      <c r="BF422">
        <v>2</v>
      </c>
      <c r="BG422">
        <v>4</v>
      </c>
      <c r="BH422">
        <v>5</v>
      </c>
      <c r="BI422">
        <v>7</v>
      </c>
      <c r="BJ422">
        <v>9</v>
      </c>
      <c r="BK422" t="s">
        <v>444</v>
      </c>
    </row>
    <row r="423" spans="1:63" x14ac:dyDescent="0.25">
      <c r="B423" t="s">
        <v>658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2</v>
      </c>
      <c r="BF423">
        <v>10</v>
      </c>
      <c r="BG423">
        <v>17</v>
      </c>
      <c r="BH423">
        <v>33</v>
      </c>
      <c r="BI423">
        <v>36</v>
      </c>
      <c r="BJ423">
        <v>42</v>
      </c>
      <c r="BK423" t="s">
        <v>811</v>
      </c>
    </row>
    <row r="424" spans="1:63" x14ac:dyDescent="0.25">
      <c r="B424" t="s">
        <v>660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1</v>
      </c>
      <c r="BF424">
        <v>1</v>
      </c>
      <c r="BG424">
        <v>1</v>
      </c>
      <c r="BH424">
        <v>1</v>
      </c>
      <c r="BI424">
        <v>1</v>
      </c>
      <c r="BJ424">
        <v>1</v>
      </c>
      <c r="BK424" t="s">
        <v>441</v>
      </c>
    </row>
    <row r="425" spans="1:63" x14ac:dyDescent="0.25">
      <c r="B425" t="s">
        <v>661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1</v>
      </c>
      <c r="BF425">
        <v>1</v>
      </c>
      <c r="BG425">
        <v>1</v>
      </c>
      <c r="BH425">
        <v>1</v>
      </c>
      <c r="BI425">
        <v>1</v>
      </c>
      <c r="BJ425">
        <v>1</v>
      </c>
      <c r="BK425" t="s">
        <v>442</v>
      </c>
    </row>
    <row r="426" spans="1:63" x14ac:dyDescent="0.25">
      <c r="B426" t="s">
        <v>662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1</v>
      </c>
      <c r="BF426">
        <v>1</v>
      </c>
      <c r="BG426">
        <v>2</v>
      </c>
      <c r="BH426">
        <v>6</v>
      </c>
      <c r="BI426">
        <v>6</v>
      </c>
      <c r="BJ426">
        <v>9</v>
      </c>
      <c r="BK426" t="s">
        <v>450</v>
      </c>
    </row>
    <row r="427" spans="1:63" x14ac:dyDescent="0.25">
      <c r="B427" t="s">
        <v>663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1</v>
      </c>
      <c r="BF427">
        <v>1</v>
      </c>
      <c r="BG427">
        <v>1</v>
      </c>
      <c r="BH427">
        <v>1</v>
      </c>
      <c r="BI427">
        <v>1</v>
      </c>
      <c r="BJ427">
        <v>2</v>
      </c>
      <c r="BK427" t="s">
        <v>443</v>
      </c>
    </row>
    <row r="428" spans="1:63" x14ac:dyDescent="0.25">
      <c r="B428" t="s">
        <v>664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1</v>
      </c>
      <c r="BF428">
        <v>1</v>
      </c>
      <c r="BG428">
        <v>5</v>
      </c>
      <c r="BH428">
        <v>7</v>
      </c>
      <c r="BI428">
        <v>8</v>
      </c>
      <c r="BJ428">
        <v>8</v>
      </c>
      <c r="BK428" t="s">
        <v>1449</v>
      </c>
    </row>
    <row r="429" spans="1:63" x14ac:dyDescent="0.25">
      <c r="B429" t="s">
        <v>665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1</v>
      </c>
      <c r="BF429">
        <v>2</v>
      </c>
      <c r="BG429">
        <v>2</v>
      </c>
      <c r="BH429">
        <v>2</v>
      </c>
      <c r="BI429">
        <v>2</v>
      </c>
      <c r="BJ429">
        <v>2</v>
      </c>
      <c r="BK429" t="s">
        <v>443</v>
      </c>
    </row>
    <row r="430" spans="1:63" x14ac:dyDescent="0.25">
      <c r="B430" t="s">
        <v>666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1</v>
      </c>
      <c r="BF430">
        <v>1</v>
      </c>
      <c r="BG430">
        <v>1</v>
      </c>
      <c r="BH430">
        <v>1</v>
      </c>
      <c r="BI430">
        <v>1</v>
      </c>
      <c r="BJ430">
        <v>1</v>
      </c>
      <c r="BK430" t="s">
        <v>441</v>
      </c>
    </row>
    <row r="431" spans="1:63" x14ac:dyDescent="0.25">
      <c r="B431" t="s">
        <v>667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1</v>
      </c>
      <c r="BF431">
        <v>1</v>
      </c>
      <c r="BG431">
        <v>1</v>
      </c>
      <c r="BH431">
        <v>1</v>
      </c>
      <c r="BI431">
        <v>1</v>
      </c>
      <c r="BJ431">
        <v>1</v>
      </c>
      <c r="BK431" t="s">
        <v>453</v>
      </c>
    </row>
    <row r="432" spans="1:63" x14ac:dyDescent="0.25">
      <c r="A432" t="s">
        <v>133</v>
      </c>
      <c r="B432" t="s">
        <v>42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5</v>
      </c>
      <c r="AY432">
        <v>5</v>
      </c>
      <c r="AZ432">
        <v>5</v>
      </c>
      <c r="BA432">
        <v>5</v>
      </c>
      <c r="BB432">
        <v>5</v>
      </c>
      <c r="BC432">
        <v>5</v>
      </c>
      <c r="BD432">
        <v>5</v>
      </c>
      <c r="BE432">
        <v>5</v>
      </c>
      <c r="BF432">
        <v>7</v>
      </c>
      <c r="BG432">
        <v>11</v>
      </c>
      <c r="BH432">
        <v>11</v>
      </c>
      <c r="BI432">
        <v>11</v>
      </c>
      <c r="BJ432">
        <v>11</v>
      </c>
      <c r="BK432" t="s">
        <v>1270</v>
      </c>
    </row>
    <row r="433" spans="1:63" x14ac:dyDescent="0.25">
      <c r="A433" t="s">
        <v>799</v>
      </c>
      <c r="B433" t="s">
        <v>37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3</v>
      </c>
      <c r="BG433">
        <v>3</v>
      </c>
      <c r="BH433">
        <v>3</v>
      </c>
      <c r="BI433">
        <v>5</v>
      </c>
      <c r="BJ433">
        <v>12</v>
      </c>
      <c r="BK433" t="s">
        <v>456</v>
      </c>
    </row>
    <row r="434" spans="1:63" x14ac:dyDescent="0.25">
      <c r="B434" t="s">
        <v>800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2</v>
      </c>
      <c r="BG434">
        <v>2</v>
      </c>
      <c r="BH434">
        <v>2</v>
      </c>
      <c r="BI434">
        <v>2</v>
      </c>
      <c r="BJ434">
        <v>2</v>
      </c>
      <c r="BK434" t="s">
        <v>443</v>
      </c>
    </row>
    <row r="435" spans="1:63" x14ac:dyDescent="0.25">
      <c r="A435" t="s">
        <v>801</v>
      </c>
      <c r="B435" t="s">
        <v>46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1</v>
      </c>
      <c r="BG435">
        <v>1</v>
      </c>
      <c r="BH435">
        <v>3</v>
      </c>
      <c r="BI435">
        <v>3</v>
      </c>
      <c r="BJ435">
        <v>3</v>
      </c>
      <c r="BK435" t="s">
        <v>453</v>
      </c>
    </row>
    <row r="436" spans="1:63" x14ac:dyDescent="0.25">
      <c r="A436" t="s">
        <v>802</v>
      </c>
      <c r="B436" t="s">
        <v>46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1</v>
      </c>
      <c r="BG436">
        <v>1</v>
      </c>
      <c r="BH436">
        <v>1</v>
      </c>
      <c r="BI436">
        <v>1</v>
      </c>
      <c r="BJ436">
        <v>2</v>
      </c>
      <c r="BK436" t="s">
        <v>443</v>
      </c>
    </row>
    <row r="437" spans="1:63" x14ac:dyDescent="0.25">
      <c r="B437" t="s">
        <v>803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1</v>
      </c>
      <c r="BG437">
        <v>1</v>
      </c>
      <c r="BH437">
        <v>1</v>
      </c>
      <c r="BI437">
        <v>1</v>
      </c>
      <c r="BJ437">
        <v>1</v>
      </c>
      <c r="BK437" t="s">
        <v>442</v>
      </c>
    </row>
    <row r="438" spans="1:63" x14ac:dyDescent="0.25">
      <c r="B438" t="s">
        <v>804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1</v>
      </c>
      <c r="BG438">
        <v>1</v>
      </c>
      <c r="BH438">
        <v>1</v>
      </c>
      <c r="BI438">
        <v>1</v>
      </c>
      <c r="BJ438">
        <v>3</v>
      </c>
      <c r="BK438" t="s">
        <v>442</v>
      </c>
    </row>
    <row r="439" spans="1:63" x14ac:dyDescent="0.25">
      <c r="B439" t="s">
        <v>805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1</v>
      </c>
      <c r="BG439">
        <v>1</v>
      </c>
      <c r="BH439">
        <v>1</v>
      </c>
      <c r="BI439">
        <v>4</v>
      </c>
      <c r="BJ439">
        <v>6</v>
      </c>
      <c r="BK439" t="s">
        <v>455</v>
      </c>
    </row>
    <row r="440" spans="1:63" x14ac:dyDescent="0.25">
      <c r="A440" t="s">
        <v>806</v>
      </c>
      <c r="B440" t="s">
        <v>42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1</v>
      </c>
      <c r="BG440">
        <v>1</v>
      </c>
      <c r="BH440">
        <v>1</v>
      </c>
      <c r="BI440">
        <v>3</v>
      </c>
      <c r="BJ440">
        <v>3</v>
      </c>
      <c r="BK440" t="s">
        <v>455</v>
      </c>
    </row>
    <row r="441" spans="1:63" x14ac:dyDescent="0.25">
      <c r="B441" t="s">
        <v>807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1</v>
      </c>
      <c r="BG441">
        <v>6</v>
      </c>
      <c r="BH441">
        <v>10</v>
      </c>
      <c r="BI441">
        <v>15</v>
      </c>
      <c r="BJ441">
        <v>23</v>
      </c>
      <c r="BK441" t="s">
        <v>813</v>
      </c>
    </row>
    <row r="442" spans="1:63" x14ac:dyDescent="0.25">
      <c r="A442" t="s">
        <v>87</v>
      </c>
      <c r="B442" t="s">
        <v>87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1</v>
      </c>
      <c r="AP442">
        <v>1</v>
      </c>
      <c r="AQ442">
        <v>6</v>
      </c>
      <c r="AR442">
        <v>10</v>
      </c>
      <c r="AS442">
        <v>18</v>
      </c>
      <c r="AT442">
        <v>24</v>
      </c>
      <c r="AU442">
        <v>38</v>
      </c>
      <c r="AV442">
        <v>82</v>
      </c>
      <c r="AW442">
        <v>128</v>
      </c>
      <c r="AX442">
        <v>188</v>
      </c>
      <c r="AY442">
        <v>265</v>
      </c>
      <c r="AZ442">
        <v>321</v>
      </c>
      <c r="BA442">
        <v>382</v>
      </c>
      <c r="BB442">
        <v>503</v>
      </c>
      <c r="BC442">
        <v>503</v>
      </c>
      <c r="BD442">
        <v>804</v>
      </c>
      <c r="BE442">
        <v>959</v>
      </c>
      <c r="BF442">
        <v>1135</v>
      </c>
      <c r="BG442">
        <v>1413</v>
      </c>
      <c r="BH442">
        <v>1705</v>
      </c>
      <c r="BI442">
        <v>2051</v>
      </c>
      <c r="BJ442">
        <v>2460</v>
      </c>
      <c r="BK442" t="s">
        <v>1456</v>
      </c>
    </row>
    <row r="443" spans="1:63" x14ac:dyDescent="0.25">
      <c r="A443" t="s">
        <v>1274</v>
      </c>
      <c r="B443" t="s">
        <v>46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5</v>
      </c>
      <c r="BH443">
        <v>7</v>
      </c>
      <c r="BI443">
        <v>12</v>
      </c>
      <c r="BJ443">
        <v>14</v>
      </c>
      <c r="BK443" t="s">
        <v>1270</v>
      </c>
    </row>
    <row r="444" spans="1:63" x14ac:dyDescent="0.25">
      <c r="A444" t="s">
        <v>476</v>
      </c>
      <c r="B444" t="s">
        <v>42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1</v>
      </c>
      <c r="BE444">
        <v>1</v>
      </c>
      <c r="BF444">
        <v>3</v>
      </c>
      <c r="BG444">
        <v>6</v>
      </c>
      <c r="BH444">
        <v>18</v>
      </c>
      <c r="BI444">
        <v>27</v>
      </c>
      <c r="BJ444">
        <v>33</v>
      </c>
      <c r="BK444" t="s">
        <v>1418</v>
      </c>
    </row>
    <row r="445" spans="1:63" x14ac:dyDescent="0.25">
      <c r="B445" t="s">
        <v>1275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1</v>
      </c>
      <c r="BH445">
        <v>1</v>
      </c>
      <c r="BI445">
        <v>2</v>
      </c>
      <c r="BJ445">
        <v>2</v>
      </c>
      <c r="BK445" t="s">
        <v>443</v>
      </c>
    </row>
    <row r="446" spans="1:63" x14ac:dyDescent="0.25">
      <c r="B446" t="s">
        <v>1277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1</v>
      </c>
      <c r="BH446">
        <v>1</v>
      </c>
      <c r="BI446">
        <v>2</v>
      </c>
      <c r="BJ446">
        <v>2</v>
      </c>
      <c r="BK446" t="s">
        <v>443</v>
      </c>
    </row>
    <row r="447" spans="1:63" x14ac:dyDescent="0.25">
      <c r="A447" t="s">
        <v>659</v>
      </c>
      <c r="B447" t="s">
        <v>87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1</v>
      </c>
      <c r="BF447">
        <v>1</v>
      </c>
      <c r="BG447">
        <v>1</v>
      </c>
      <c r="BH447">
        <v>3</v>
      </c>
      <c r="BI447">
        <v>3</v>
      </c>
      <c r="BJ447">
        <v>3</v>
      </c>
      <c r="BK447" t="s">
        <v>442</v>
      </c>
    </row>
    <row r="448" spans="1:63" x14ac:dyDescent="0.25">
      <c r="B448" t="s">
        <v>1278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1</v>
      </c>
      <c r="BH448">
        <v>1</v>
      </c>
      <c r="BI448">
        <v>1</v>
      </c>
      <c r="BJ448">
        <v>1</v>
      </c>
      <c r="BK448" t="s">
        <v>441</v>
      </c>
    </row>
    <row r="449" spans="1:63" x14ac:dyDescent="0.25">
      <c r="B449" t="s">
        <v>1279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1</v>
      </c>
      <c r="BH449">
        <v>1</v>
      </c>
      <c r="BI449">
        <v>3</v>
      </c>
      <c r="BJ449">
        <v>6</v>
      </c>
      <c r="BK449" t="s">
        <v>455</v>
      </c>
    </row>
    <row r="450" spans="1:63" x14ac:dyDescent="0.25">
      <c r="A450" t="s">
        <v>668</v>
      </c>
      <c r="B450" t="s">
        <v>37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1</v>
      </c>
      <c r="BF450">
        <v>1</v>
      </c>
      <c r="BG450">
        <v>1</v>
      </c>
      <c r="BH450">
        <v>2</v>
      </c>
      <c r="BI450">
        <v>2</v>
      </c>
      <c r="BJ450">
        <v>3</v>
      </c>
      <c r="BK450" t="s">
        <v>442</v>
      </c>
    </row>
    <row r="451" spans="1:63" x14ac:dyDescent="0.25">
      <c r="A451" t="s">
        <v>1457</v>
      </c>
      <c r="B451" t="s">
        <v>1038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1</v>
      </c>
      <c r="BE451">
        <v>1</v>
      </c>
      <c r="BF451">
        <v>1</v>
      </c>
      <c r="BG451">
        <v>1</v>
      </c>
      <c r="BH451">
        <v>1</v>
      </c>
      <c r="BI451">
        <v>1</v>
      </c>
      <c r="BJ451">
        <v>3</v>
      </c>
      <c r="BK451" t="s">
        <v>442</v>
      </c>
    </row>
    <row r="452" spans="1:63" x14ac:dyDescent="0.25">
      <c r="A452" t="s">
        <v>236</v>
      </c>
      <c r="B452" t="s">
        <v>42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1</v>
      </c>
      <c r="BC452">
        <v>1</v>
      </c>
      <c r="BD452">
        <v>5</v>
      </c>
      <c r="BE452">
        <v>6</v>
      </c>
      <c r="BF452">
        <v>7</v>
      </c>
      <c r="BG452">
        <v>9</v>
      </c>
      <c r="BH452">
        <v>9</v>
      </c>
      <c r="BI452">
        <v>12</v>
      </c>
      <c r="BJ452">
        <v>14</v>
      </c>
      <c r="BK452" t="s">
        <v>471</v>
      </c>
    </row>
    <row r="453" spans="1:63" x14ac:dyDescent="0.25">
      <c r="B453" t="s">
        <v>1280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2</v>
      </c>
      <c r="BI453">
        <v>2</v>
      </c>
      <c r="BJ453">
        <v>5</v>
      </c>
      <c r="BK453" t="s">
        <v>451</v>
      </c>
    </row>
    <row r="454" spans="1:63" x14ac:dyDescent="0.25">
      <c r="B454" t="s">
        <v>1281</v>
      </c>
      <c r="C454">
        <v>42.5</v>
      </c>
      <c r="D454">
        <v>19.3</v>
      </c>
      <c r="E454" s="27">
        <v>0</v>
      </c>
      <c r="F454" s="27">
        <v>0</v>
      </c>
      <c r="G454" s="27">
        <v>0</v>
      </c>
      <c r="H454" s="27">
        <v>0</v>
      </c>
      <c r="I454" s="27">
        <v>0</v>
      </c>
      <c r="J454" s="27">
        <v>0</v>
      </c>
      <c r="K454" s="27">
        <v>0</v>
      </c>
      <c r="L454" s="27">
        <v>0</v>
      </c>
      <c r="M454" s="27">
        <v>0</v>
      </c>
      <c r="N454" s="27">
        <v>0</v>
      </c>
      <c r="O454" s="27">
        <v>0</v>
      </c>
      <c r="P454" s="27">
        <v>0</v>
      </c>
      <c r="Q454" s="27">
        <v>0</v>
      </c>
      <c r="R454" s="27">
        <v>0</v>
      </c>
      <c r="S454" s="27">
        <v>0</v>
      </c>
      <c r="T454" s="27">
        <v>0</v>
      </c>
      <c r="U454" s="27">
        <v>0</v>
      </c>
      <c r="V454" s="27">
        <v>0</v>
      </c>
      <c r="W454" s="27">
        <v>0</v>
      </c>
      <c r="X454" s="27">
        <v>0</v>
      </c>
      <c r="Y454" s="27">
        <v>0</v>
      </c>
      <c r="Z454" s="27">
        <v>0</v>
      </c>
      <c r="AA454" s="27">
        <v>0</v>
      </c>
      <c r="AB454" s="27">
        <v>0</v>
      </c>
      <c r="AC454" s="27">
        <v>0</v>
      </c>
      <c r="AD454" s="27">
        <v>0</v>
      </c>
      <c r="AE454" s="27">
        <v>0</v>
      </c>
      <c r="AF454" s="27">
        <v>0</v>
      </c>
      <c r="AG454" s="27">
        <v>0</v>
      </c>
      <c r="AH454" s="27">
        <v>0</v>
      </c>
      <c r="AI454" s="27">
        <v>0</v>
      </c>
      <c r="AJ454" s="27">
        <v>0</v>
      </c>
      <c r="AK454" s="27">
        <v>0</v>
      </c>
      <c r="AL454" s="27">
        <v>0</v>
      </c>
      <c r="AM454" s="27">
        <v>0</v>
      </c>
      <c r="AN454" s="27">
        <v>0</v>
      </c>
      <c r="AO454" s="27">
        <v>0</v>
      </c>
      <c r="AP454" s="27">
        <v>0</v>
      </c>
      <c r="AQ454" s="27">
        <v>0</v>
      </c>
      <c r="AR454" s="27">
        <v>0</v>
      </c>
      <c r="AS454" s="27">
        <v>0</v>
      </c>
      <c r="AT454" s="27">
        <v>0</v>
      </c>
      <c r="AU454" s="27">
        <v>0</v>
      </c>
      <c r="AV454" s="27">
        <v>0</v>
      </c>
      <c r="AW454" s="27">
        <v>0</v>
      </c>
      <c r="AX454" s="27">
        <v>0</v>
      </c>
      <c r="AY454" s="27">
        <v>0</v>
      </c>
      <c r="AZ454" s="27">
        <v>0</v>
      </c>
      <c r="BA454" s="27">
        <v>0</v>
      </c>
      <c r="BB454" s="27">
        <v>0</v>
      </c>
      <c r="BC454" s="27">
        <v>0</v>
      </c>
      <c r="BD454" s="27">
        <v>0</v>
      </c>
      <c r="BE454" s="27">
        <v>0</v>
      </c>
      <c r="BF454" s="27">
        <v>0</v>
      </c>
      <c r="BG454" s="27">
        <v>0</v>
      </c>
      <c r="BH454" s="27">
        <v>2</v>
      </c>
      <c r="BI454" s="27">
        <v>1</v>
      </c>
      <c r="BJ454">
        <v>3</v>
      </c>
      <c r="BK454" t="s">
        <v>456</v>
      </c>
    </row>
    <row r="455" spans="1:63" x14ac:dyDescent="0.25">
      <c r="B455" t="s">
        <v>1282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3</v>
      </c>
      <c r="BJ455">
        <v>3</v>
      </c>
      <c r="BK455" t="s">
        <v>455</v>
      </c>
    </row>
    <row r="456" spans="1:63" x14ac:dyDescent="0.25">
      <c r="B456" t="s">
        <v>1283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3</v>
      </c>
      <c r="BJ456">
        <v>3</v>
      </c>
      <c r="BK456" t="s">
        <v>450</v>
      </c>
    </row>
    <row r="457" spans="1:63" x14ac:dyDescent="0.25">
      <c r="A457" t="s">
        <v>482</v>
      </c>
      <c r="B457" t="s">
        <v>87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2</v>
      </c>
      <c r="BE457">
        <v>2</v>
      </c>
      <c r="BF457">
        <v>2</v>
      </c>
      <c r="BG457">
        <v>2</v>
      </c>
      <c r="BH457">
        <v>3</v>
      </c>
      <c r="BI457">
        <v>4</v>
      </c>
      <c r="BJ457">
        <v>4</v>
      </c>
      <c r="BK457" t="s">
        <v>451</v>
      </c>
    </row>
    <row r="458" spans="1:63" x14ac:dyDescent="0.25">
      <c r="B458" t="s">
        <v>1284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2</v>
      </c>
      <c r="BJ458">
        <v>2</v>
      </c>
      <c r="BK458" t="s">
        <v>443</v>
      </c>
    </row>
    <row r="459" spans="1:63" x14ac:dyDescent="0.25">
      <c r="B459" t="s">
        <v>1285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1</v>
      </c>
      <c r="BJ459">
        <v>1</v>
      </c>
      <c r="BK459" t="s">
        <v>441</v>
      </c>
    </row>
    <row r="460" spans="1:63" x14ac:dyDescent="0.25">
      <c r="B460" t="s">
        <v>1286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1</v>
      </c>
      <c r="BI460">
        <v>1</v>
      </c>
      <c r="BJ460">
        <v>1</v>
      </c>
      <c r="BK460" t="s">
        <v>441</v>
      </c>
    </row>
    <row r="461" spans="1:63" x14ac:dyDescent="0.25">
      <c r="A461" t="s">
        <v>1458</v>
      </c>
      <c r="B461" t="s">
        <v>1038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1</v>
      </c>
      <c r="BJ461">
        <v>1</v>
      </c>
      <c r="BK461" t="s">
        <v>441</v>
      </c>
    </row>
    <row r="462" spans="1:63" x14ac:dyDescent="0.25">
      <c r="B462" t="s">
        <v>1459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1</v>
      </c>
      <c r="BH462">
        <v>1</v>
      </c>
      <c r="BI462">
        <v>1</v>
      </c>
      <c r="BJ462">
        <v>3</v>
      </c>
      <c r="BK462" t="s">
        <v>442</v>
      </c>
    </row>
    <row r="463" spans="1:63" x14ac:dyDescent="0.25">
      <c r="A463" t="s">
        <v>1276</v>
      </c>
      <c r="B463" t="s">
        <v>85</v>
      </c>
      <c r="C463">
        <v>71.706900000000005</v>
      </c>
      <c r="D463">
        <v>-42.604300000000002</v>
      </c>
      <c r="E463" s="27">
        <v>0</v>
      </c>
      <c r="F463" s="27">
        <v>0</v>
      </c>
      <c r="G463" s="27">
        <v>0</v>
      </c>
      <c r="H463" s="27">
        <v>0</v>
      </c>
      <c r="I463" s="27">
        <v>0</v>
      </c>
      <c r="J463" s="27">
        <v>0</v>
      </c>
      <c r="K463" s="27">
        <v>0</v>
      </c>
      <c r="L463" s="27">
        <v>0</v>
      </c>
      <c r="M463" s="27">
        <v>0</v>
      </c>
      <c r="N463" s="27">
        <v>0</v>
      </c>
      <c r="O463" s="27">
        <v>0</v>
      </c>
      <c r="P463" s="27">
        <v>0</v>
      </c>
      <c r="Q463" s="27">
        <v>0</v>
      </c>
      <c r="R463" s="27">
        <v>0</v>
      </c>
      <c r="S463" s="27">
        <v>0</v>
      </c>
      <c r="T463" s="27">
        <v>0</v>
      </c>
      <c r="U463" s="27">
        <v>0</v>
      </c>
      <c r="V463" s="27">
        <v>0</v>
      </c>
      <c r="W463" s="27">
        <v>0</v>
      </c>
      <c r="X463" s="27">
        <v>0</v>
      </c>
      <c r="Y463" s="27">
        <v>0</v>
      </c>
      <c r="Z463" s="27">
        <v>0</v>
      </c>
      <c r="AA463" s="27">
        <v>0</v>
      </c>
      <c r="AB463" s="27">
        <v>0</v>
      </c>
      <c r="AC463" s="27">
        <v>0</v>
      </c>
      <c r="AD463" s="27">
        <v>0</v>
      </c>
      <c r="AE463" s="27">
        <v>0</v>
      </c>
      <c r="AF463" s="27">
        <v>0</v>
      </c>
      <c r="AG463" s="27">
        <v>0</v>
      </c>
      <c r="AH463" s="27">
        <v>0</v>
      </c>
      <c r="AI463" s="27">
        <v>0</v>
      </c>
      <c r="AJ463" s="27">
        <v>0</v>
      </c>
      <c r="AK463" s="27">
        <v>0</v>
      </c>
      <c r="AL463" s="27">
        <v>0</v>
      </c>
      <c r="AM463" s="27">
        <v>0</v>
      </c>
      <c r="AN463" s="27">
        <v>0</v>
      </c>
      <c r="AO463" s="27">
        <v>0</v>
      </c>
      <c r="AP463" s="27">
        <v>0</v>
      </c>
      <c r="AQ463" s="27">
        <v>0</v>
      </c>
      <c r="AR463" s="27">
        <v>0</v>
      </c>
      <c r="AS463" s="27">
        <v>0</v>
      </c>
      <c r="AT463" s="27">
        <v>0</v>
      </c>
      <c r="AU463" s="27">
        <v>0</v>
      </c>
      <c r="AV463" s="27">
        <v>0</v>
      </c>
      <c r="AW463" s="27">
        <v>0</v>
      </c>
      <c r="AX463" s="27">
        <v>0</v>
      </c>
      <c r="AY463" s="27">
        <v>0</v>
      </c>
      <c r="AZ463" s="27">
        <v>0</v>
      </c>
      <c r="BA463" s="27">
        <v>0</v>
      </c>
      <c r="BB463" s="27">
        <v>0</v>
      </c>
      <c r="BC463" s="27">
        <v>0</v>
      </c>
      <c r="BD463" s="27">
        <v>0</v>
      </c>
      <c r="BE463" s="27">
        <v>0</v>
      </c>
      <c r="BF463" s="27">
        <v>0</v>
      </c>
      <c r="BG463" s="27">
        <v>1</v>
      </c>
      <c r="BH463" s="27">
        <v>1</v>
      </c>
      <c r="BI463" s="27">
        <v>1</v>
      </c>
      <c r="BJ463" s="27">
        <v>2</v>
      </c>
      <c r="BK463" t="s">
        <v>443</v>
      </c>
    </row>
    <row r="464" spans="1:63" x14ac:dyDescent="0.25">
      <c r="A464" t="s">
        <v>1460</v>
      </c>
      <c r="B464" t="s">
        <v>42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2</v>
      </c>
      <c r="BK464" t="s">
        <v>443</v>
      </c>
    </row>
    <row r="465" spans="1:63" x14ac:dyDescent="0.25">
      <c r="A465" t="s">
        <v>1461</v>
      </c>
      <c r="B465" t="s">
        <v>1038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2</v>
      </c>
      <c r="BK465" t="s">
        <v>443</v>
      </c>
    </row>
    <row r="466" spans="1:63" x14ac:dyDescent="0.25">
      <c r="B466" t="s">
        <v>1462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1</v>
      </c>
      <c r="BK466" t="s">
        <v>441</v>
      </c>
    </row>
    <row r="467" spans="1:63" x14ac:dyDescent="0.25">
      <c r="B467" t="s">
        <v>1463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1</v>
      </c>
      <c r="BK467" t="s">
        <v>441</v>
      </c>
    </row>
    <row r="468" spans="1:63" x14ac:dyDescent="0.25">
      <c r="B468" t="s">
        <v>1464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1</v>
      </c>
      <c r="BK468" t="s">
        <v>441</v>
      </c>
    </row>
    <row r="469" spans="1:63" x14ac:dyDescent="0.25">
      <c r="B469" t="s">
        <v>1465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1</v>
      </c>
      <c r="BK469" t="s">
        <v>441</v>
      </c>
    </row>
    <row r="470" spans="1:63" x14ac:dyDescent="0.25">
      <c r="B470" t="s">
        <v>1466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 t="s">
        <v>442</v>
      </c>
    </row>
    <row r="471" spans="1:63" x14ac:dyDescent="0.25">
      <c r="B471" t="s">
        <v>1467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 t="s">
        <v>443</v>
      </c>
    </row>
    <row r="472" spans="1:63" x14ac:dyDescent="0.25">
      <c r="B472" t="s">
        <v>1468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 t="s">
        <v>441</v>
      </c>
    </row>
    <row r="473" spans="1:63" x14ac:dyDescent="0.25">
      <c r="B473" t="s">
        <v>1469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 t="s">
        <v>441</v>
      </c>
    </row>
    <row r="474" spans="1:63" x14ac:dyDescent="0.25">
      <c r="A474" t="s">
        <v>1470</v>
      </c>
      <c r="B474" t="s">
        <v>87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 t="s">
        <v>441</v>
      </c>
    </row>
    <row r="475" spans="1:63" x14ac:dyDescent="0.25">
      <c r="B475" t="s">
        <v>1471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 t="s">
        <v>441</v>
      </c>
    </row>
    <row r="476" spans="1:63" x14ac:dyDescent="0.25">
      <c r="B476" t="s">
        <v>1472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 t="s">
        <v>441</v>
      </c>
    </row>
    <row r="477" spans="1:63" x14ac:dyDescent="0.25">
      <c r="A477" t="s">
        <v>1473</v>
      </c>
      <c r="B477" t="s">
        <v>1038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 t="s">
        <v>441</v>
      </c>
    </row>
    <row r="478" spans="1:63" x14ac:dyDescent="0.25">
      <c r="B478" t="s">
        <v>1474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 t="s">
        <v>441</v>
      </c>
    </row>
  </sheetData>
  <autoFilter ref="A1:DP476"/>
  <sortState ref="A2:BB334">
    <sortCondition ref="B2:B334"/>
    <sortCondition ref="A2:A334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workbookViewId="0">
      <selection activeCell="G8" sqref="G8"/>
    </sheetView>
  </sheetViews>
  <sheetFormatPr defaultRowHeight="15" x14ac:dyDescent="0.25"/>
  <cols>
    <col min="1" max="1" width="10.42578125" customWidth="1"/>
    <col min="2" max="2" width="74.28515625" customWidth="1"/>
    <col min="7" max="7" width="10.7109375" bestFit="1" customWidth="1"/>
  </cols>
  <sheetData>
    <row r="1" spans="1:8" ht="17.25" thickBot="1" x14ac:dyDescent="0.35">
      <c r="A1" s="40" t="s">
        <v>797</v>
      </c>
      <c r="B1" s="40" t="s">
        <v>776</v>
      </c>
      <c r="E1" t="s">
        <v>798</v>
      </c>
      <c r="F1" t="s">
        <v>1288</v>
      </c>
      <c r="G1" t="s">
        <v>1287</v>
      </c>
      <c r="H1" t="s">
        <v>1289</v>
      </c>
    </row>
    <row r="2" spans="1:8" ht="33.75" thickBot="1" x14ac:dyDescent="0.3">
      <c r="A2" s="41">
        <v>0</v>
      </c>
      <c r="B2" s="41" t="s">
        <v>777</v>
      </c>
      <c r="E2" s="26" t="s">
        <v>992</v>
      </c>
      <c r="F2" t="s">
        <v>48</v>
      </c>
      <c r="G2" s="27">
        <v>43851</v>
      </c>
      <c r="H2">
        <v>1</v>
      </c>
    </row>
    <row r="3" spans="1:8" ht="17.25" thickBot="1" x14ac:dyDescent="0.3">
      <c r="A3" s="41">
        <v>1</v>
      </c>
      <c r="B3" s="41" t="s">
        <v>778</v>
      </c>
      <c r="E3" t="s">
        <v>202</v>
      </c>
      <c r="G3" s="27">
        <v>43851</v>
      </c>
      <c r="H3">
        <v>-1</v>
      </c>
    </row>
    <row r="4" spans="1:8" ht="17.25" thickBot="1" x14ac:dyDescent="0.3">
      <c r="A4" s="41">
        <v>2</v>
      </c>
      <c r="B4" s="41" t="s">
        <v>779</v>
      </c>
      <c r="E4" t="s">
        <v>58</v>
      </c>
      <c r="F4" t="s">
        <v>58</v>
      </c>
      <c r="G4" s="27">
        <v>43851</v>
      </c>
      <c r="H4" s="26">
        <v>1</v>
      </c>
    </row>
    <row r="5" spans="1:8" ht="17.25" thickBot="1" x14ac:dyDescent="0.3">
      <c r="A5" s="41">
        <v>3</v>
      </c>
      <c r="B5" s="41" t="s">
        <v>780</v>
      </c>
      <c r="E5" t="s">
        <v>37</v>
      </c>
      <c r="F5" t="s">
        <v>37</v>
      </c>
      <c r="G5" s="27">
        <v>43871</v>
      </c>
      <c r="H5" s="26">
        <v>1</v>
      </c>
    </row>
    <row r="6" spans="1:8" ht="17.25" thickBot="1" x14ac:dyDescent="0.3">
      <c r="A6" s="41">
        <v>4</v>
      </c>
      <c r="B6" s="41" t="s">
        <v>781</v>
      </c>
      <c r="E6" t="s">
        <v>225</v>
      </c>
      <c r="F6" t="s">
        <v>225</v>
      </c>
      <c r="G6" s="27">
        <v>43851</v>
      </c>
      <c r="H6" s="26">
        <v>1</v>
      </c>
    </row>
    <row r="7" spans="1:8" ht="17.25" thickBot="1" x14ac:dyDescent="0.3">
      <c r="A7" s="41">
        <v>5</v>
      </c>
      <c r="B7" s="41" t="s">
        <v>782</v>
      </c>
      <c r="E7" s="26" t="s">
        <v>1294</v>
      </c>
      <c r="F7" t="s">
        <v>246</v>
      </c>
      <c r="G7" s="27">
        <v>43851</v>
      </c>
      <c r="H7" s="26">
        <v>1</v>
      </c>
    </row>
    <row r="8" spans="1:8" ht="17.25" thickBot="1" x14ac:dyDescent="0.3">
      <c r="A8" s="41">
        <v>6</v>
      </c>
      <c r="B8" s="41" t="s">
        <v>783</v>
      </c>
      <c r="E8" s="26" t="s">
        <v>1252</v>
      </c>
      <c r="F8" t="s">
        <v>1038</v>
      </c>
      <c r="G8" s="27">
        <v>43860</v>
      </c>
      <c r="H8" s="26">
        <v>1</v>
      </c>
    </row>
    <row r="9" spans="1:8" ht="17.25" thickBot="1" x14ac:dyDescent="0.3">
      <c r="A9" s="41">
        <v>7</v>
      </c>
      <c r="B9" s="41" t="s">
        <v>784</v>
      </c>
      <c r="E9" t="s">
        <v>997</v>
      </c>
      <c r="G9" s="27">
        <v>43831</v>
      </c>
      <c r="H9" s="26">
        <v>1</v>
      </c>
    </row>
    <row r="10" spans="1:8" ht="17.25" thickBot="1" x14ac:dyDescent="0.3">
      <c r="A10" s="41">
        <v>8</v>
      </c>
      <c r="B10" s="41" t="s">
        <v>785</v>
      </c>
    </row>
    <row r="11" spans="1:8" ht="17.25" thickBot="1" x14ac:dyDescent="0.3">
      <c r="A11" s="41">
        <v>9</v>
      </c>
      <c r="B11" s="41" t="s">
        <v>786</v>
      </c>
    </row>
    <row r="12" spans="1:8" ht="17.25" thickBot="1" x14ac:dyDescent="0.3">
      <c r="A12" s="41">
        <v>10</v>
      </c>
      <c r="B12" s="41" t="s">
        <v>787</v>
      </c>
    </row>
    <row r="13" spans="1:8" ht="17.25" thickBot="1" x14ac:dyDescent="0.3">
      <c r="A13" s="41">
        <v>11</v>
      </c>
      <c r="B13" s="41" t="s">
        <v>788</v>
      </c>
    </row>
    <row r="14" spans="1:8" ht="17.25" thickBot="1" x14ac:dyDescent="0.3">
      <c r="A14" s="41">
        <v>13</v>
      </c>
      <c r="B14" s="41" t="s">
        <v>789</v>
      </c>
    </row>
    <row r="15" spans="1:8" ht="33.75" thickBot="1" x14ac:dyDescent="0.3">
      <c r="A15" s="41">
        <v>14</v>
      </c>
      <c r="B15" s="41" t="s">
        <v>790</v>
      </c>
    </row>
    <row r="16" spans="1:8" ht="33.75" thickBot="1" x14ac:dyDescent="0.3">
      <c r="A16" s="41">
        <v>15</v>
      </c>
      <c r="B16" s="41" t="s">
        <v>791</v>
      </c>
    </row>
    <row r="17" spans="1:2" ht="33.75" thickBot="1" x14ac:dyDescent="0.3">
      <c r="A17" s="41">
        <v>16</v>
      </c>
      <c r="B17" s="41" t="s">
        <v>792</v>
      </c>
    </row>
    <row r="18" spans="1:2" ht="17.25" thickBot="1" x14ac:dyDescent="0.3">
      <c r="A18" s="41">
        <v>17</v>
      </c>
      <c r="B18" s="41" t="s">
        <v>793</v>
      </c>
    </row>
    <row r="19" spans="1:2" ht="17.25" thickBot="1" x14ac:dyDescent="0.3">
      <c r="A19" s="41">
        <v>18</v>
      </c>
      <c r="B19" s="41" t="s">
        <v>794</v>
      </c>
    </row>
    <row r="20" spans="1:2" ht="17.25" thickBot="1" x14ac:dyDescent="0.3">
      <c r="A20" s="41">
        <v>19</v>
      </c>
      <c r="B20" s="41" t="s">
        <v>795</v>
      </c>
    </row>
    <row r="21" spans="1:2" ht="16.5" x14ac:dyDescent="0.25">
      <c r="A21" s="41">
        <v>20</v>
      </c>
      <c r="B21" s="41" t="s">
        <v>796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16</vt:i4>
      </vt:variant>
      <vt:variant>
        <vt:lpstr>Named Ranges</vt:lpstr>
      </vt:variant>
      <vt:variant>
        <vt:i4>92</vt:i4>
      </vt:variant>
    </vt:vector>
  </HeadingPairs>
  <TitlesOfParts>
    <vt:vector size="114" baseType="lpstr">
      <vt:lpstr>myData</vt:lpstr>
      <vt:lpstr>Chart Index</vt:lpstr>
      <vt:lpstr>BedOccupancy</vt:lpstr>
      <vt:lpstr>Names</vt:lpstr>
      <vt:lpstr>time_series_19-covid-Confirmed</vt:lpstr>
      <vt:lpstr>solvMsgs</vt:lpstr>
      <vt:lpstr>chtAsymptoteNSW</vt:lpstr>
      <vt:lpstr>chtFutureAllSK2</vt:lpstr>
      <vt:lpstr>chtFutureUK</vt:lpstr>
      <vt:lpstr>chtFutureSKorea</vt:lpstr>
      <vt:lpstr>chtFutureNSWUS</vt:lpstr>
      <vt:lpstr>chtFutureAll</vt:lpstr>
      <vt:lpstr>chtFutureNSWEarly</vt:lpstr>
      <vt:lpstr>chtFutureNSW</vt:lpstr>
      <vt:lpstr>chtFutureItalyEarly</vt:lpstr>
      <vt:lpstr>chtFutureItaly</vt:lpstr>
      <vt:lpstr>chtFutureUSEarly</vt:lpstr>
      <vt:lpstr>chtFutureUS</vt:lpstr>
      <vt:lpstr>chtFutureChina</vt:lpstr>
      <vt:lpstr>chtTests</vt:lpstr>
      <vt:lpstr>chtFutureAU</vt:lpstr>
      <vt:lpstr>chtFutureAllAU</vt:lpstr>
      <vt:lpstr>myData!Asymptote</vt:lpstr>
      <vt:lpstr>myData!AuMaxCasespc</vt:lpstr>
      <vt:lpstr>myData!AuPop</vt:lpstr>
      <vt:lpstr>myData!AuSeries</vt:lpstr>
      <vt:lpstr>myData!beta</vt:lpstr>
      <vt:lpstr>myData!betaAu</vt:lpstr>
      <vt:lpstr>myData!betaChina</vt:lpstr>
      <vt:lpstr>myData!betaItaly</vt:lpstr>
      <vt:lpstr>myData!betaNSW</vt:lpstr>
      <vt:lpstr>myData!betaPodelta</vt:lpstr>
      <vt:lpstr>myData!betaPodeltaAu</vt:lpstr>
      <vt:lpstr>myData!betaPodeltaChina</vt:lpstr>
      <vt:lpstr>myData!betaPodeltaItaly</vt:lpstr>
      <vt:lpstr>myData!betaPodeltaNSW</vt:lpstr>
      <vt:lpstr>myData!betaPodeltaSKorea</vt:lpstr>
      <vt:lpstr>myData!betaPodeltaTest</vt:lpstr>
      <vt:lpstr>myData!betaPodeltaUK</vt:lpstr>
      <vt:lpstr>myData!betaPodeltaUS</vt:lpstr>
      <vt:lpstr>myData!betaSKorea</vt:lpstr>
      <vt:lpstr>myData!betaTest</vt:lpstr>
      <vt:lpstr>myData!betaTests</vt:lpstr>
      <vt:lpstr>myData!betaUK</vt:lpstr>
      <vt:lpstr>myData!betaUS</vt:lpstr>
      <vt:lpstr>myData!ChinaPop</vt:lpstr>
      <vt:lpstr>myData!ChinaSeries</vt:lpstr>
      <vt:lpstr>Countries</vt:lpstr>
      <vt:lpstr>myData!delta</vt:lpstr>
      <vt:lpstr>myData!deltaAu</vt:lpstr>
      <vt:lpstr>myData!deltaChina</vt:lpstr>
      <vt:lpstr>myData!deltaconstraint</vt:lpstr>
      <vt:lpstr>myData!deltaItaly</vt:lpstr>
      <vt:lpstr>myData!deltaNSW</vt:lpstr>
      <vt:lpstr>myData!deltaSKorea</vt:lpstr>
      <vt:lpstr>myData!deltaTest</vt:lpstr>
      <vt:lpstr>myData!deltaTests</vt:lpstr>
      <vt:lpstr>myData!deltaUK</vt:lpstr>
      <vt:lpstr>myData!deltaUS</vt:lpstr>
      <vt:lpstr>myData!HisTableTL</vt:lpstr>
      <vt:lpstr>myData!ItalyPop</vt:lpstr>
      <vt:lpstr>myData!ItalySeries</vt:lpstr>
      <vt:lpstr>myData!ItalyStart</vt:lpstr>
      <vt:lpstr>myData!LogFormula</vt:lpstr>
      <vt:lpstr>myData!MaxAusCases</vt:lpstr>
      <vt:lpstr>myData!MaxNSWCases</vt:lpstr>
      <vt:lpstr>myData!msqAu</vt:lpstr>
      <vt:lpstr>myData!msqChina</vt:lpstr>
      <vt:lpstr>myData!msqItaly</vt:lpstr>
      <vt:lpstr>myData!msqNSW</vt:lpstr>
      <vt:lpstr>myData!msqSKorea</vt:lpstr>
      <vt:lpstr>myData!msqTest</vt:lpstr>
      <vt:lpstr>myData!msqTests</vt:lpstr>
      <vt:lpstr>myData!msqUK</vt:lpstr>
      <vt:lpstr>myData!msqUS</vt:lpstr>
      <vt:lpstr>myData!mySolverPar</vt:lpstr>
      <vt:lpstr>myData!NSWMaxCasespc</vt:lpstr>
      <vt:lpstr>myData!NSWpop</vt:lpstr>
      <vt:lpstr>myData!NSWSeries</vt:lpstr>
      <vt:lpstr>myData!PerPerson</vt:lpstr>
      <vt:lpstr>PerPersonLabel</vt:lpstr>
      <vt:lpstr>myData!Po</vt:lpstr>
      <vt:lpstr>myData!PoAu</vt:lpstr>
      <vt:lpstr>myData!PoChina</vt:lpstr>
      <vt:lpstr>myData!PoItaly</vt:lpstr>
      <vt:lpstr>myData!PoNSW</vt:lpstr>
      <vt:lpstr>myData!PopScaling</vt:lpstr>
      <vt:lpstr>myData!PoSKorea</vt:lpstr>
      <vt:lpstr>myData!PoTest</vt:lpstr>
      <vt:lpstr>myData!PoTests</vt:lpstr>
      <vt:lpstr>myData!PoUK</vt:lpstr>
      <vt:lpstr>myData!PoUS</vt:lpstr>
      <vt:lpstr>myData!RunTableTL</vt:lpstr>
      <vt:lpstr>myData!RunTableTR</vt:lpstr>
      <vt:lpstr>myData!RunTimeAu</vt:lpstr>
      <vt:lpstr>myData!SKoreaPop</vt:lpstr>
      <vt:lpstr>myData!SKoreaSeries</vt:lpstr>
      <vt:lpstr>myData!SKoreaStart</vt:lpstr>
      <vt:lpstr>SolverMsg</vt:lpstr>
      <vt:lpstr>myData!StartDt2Au</vt:lpstr>
      <vt:lpstr>myData!StartDt2China</vt:lpstr>
      <vt:lpstr>myData!StartDt2Italy</vt:lpstr>
      <vt:lpstr>myData!StartDt2Korea</vt:lpstr>
      <vt:lpstr>myData!StartDt2NSW</vt:lpstr>
      <vt:lpstr>myData!StartDt2Tests</vt:lpstr>
      <vt:lpstr>myData!StartDt2UK</vt:lpstr>
      <vt:lpstr>myData!StartDt2US</vt:lpstr>
      <vt:lpstr>myData!TitleAll</vt:lpstr>
      <vt:lpstr>myData!TitleAllSK</vt:lpstr>
      <vt:lpstr>myData!UKPop</vt:lpstr>
      <vt:lpstr>myData!UKSeries</vt:lpstr>
      <vt:lpstr>myData!UKStart</vt:lpstr>
      <vt:lpstr>myData!USpop</vt:lpstr>
      <vt:lpstr>myData!USSeries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Kevin1</cp:lastModifiedBy>
  <dcterms:created xsi:type="dcterms:W3CDTF">2020-03-11T04:25:09Z</dcterms:created>
  <dcterms:modified xsi:type="dcterms:W3CDTF">2020-03-21T20:50:17Z</dcterms:modified>
</cp:coreProperties>
</file>