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3.xml" ContentType="application/vnd.ms-excel.controlproperti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firstSheet="10" activeTab="13"/>
  </bookViews>
  <sheets>
    <sheet name="myData" sheetId="4" r:id="rId1"/>
    <sheet name="chtAsymptoteNSW" sheetId="32" r:id="rId2"/>
    <sheet name="chtFutureAllSK2" sheetId="33" r:id="rId3"/>
    <sheet name="chtFutureUK" sheetId="30" r:id="rId4"/>
    <sheet name="chtFutureSKorea" sheetId="26" r:id="rId5"/>
    <sheet name="chtFutureNSWUS" sheetId="25" r:id="rId6"/>
    <sheet name="chtFutureAll" sheetId="15" r:id="rId7"/>
    <sheet name="Chart Index" sheetId="14" r:id="rId8"/>
    <sheet name="chtFutureNSWEarly" sheetId="8" r:id="rId9"/>
    <sheet name="chtFutureNSW" sheetId="5" r:id="rId10"/>
    <sheet name="chtFutureItalyEarly" sheetId="7" r:id="rId11"/>
    <sheet name="chtFutureItaly" sheetId="6" r:id="rId12"/>
    <sheet name="chtFutureUSEarly" sheetId="10" r:id="rId13"/>
    <sheet name="chtFutureUS" sheetId="11" r:id="rId14"/>
    <sheet name="chtFutureChina" sheetId="19" r:id="rId15"/>
    <sheet name="chtTests" sheetId="22" r:id="rId16"/>
    <sheet name="chtFutureAU" sheetId="24" r:id="rId17"/>
    <sheet name="chtFutureAllAU" sheetId="23" r:id="rId18"/>
    <sheet name="BedOccupancy" sheetId="16" state="hidden" r:id="rId19"/>
    <sheet name="Names" sheetId="20" state="hidden" r:id="rId20"/>
    <sheet name="time_series_19-covid-Confirmed" sheetId="1" r:id="rId21"/>
    <sheet name="solvMsgs" sheetId="21" r:id="rId22"/>
  </sheets>
  <functionGroups builtInGroupCount="18"/>
  <externalReferences>
    <externalReference r:id="rId23"/>
  </externalReferences>
  <definedNames>
    <definedName name="_xlnm._FilterDatabase" localSheetId="19" hidden="1">Names!$A$1:$P$56</definedName>
    <definedName name="_xlnm._FilterDatabase" localSheetId="20" hidden="1">'time_series_19-covid-Confirmed'!$A$1:$DP$483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myData!$CJ$11</definedName>
    <definedName name="AuPop" localSheetId="0">myData!$AA$8</definedName>
    <definedName name="AuSeries" localSheetId="0">myData!$CG$11</definedName>
    <definedName name="beta" localSheetId="0">myData!$A$2</definedName>
    <definedName name="betaAu" localSheetId="0">myData!$BP$11</definedName>
    <definedName name="betaChina" localSheetId="0">myData!$BP$15</definedName>
    <definedName name="betaItaly" localSheetId="0">myData!$BP$13</definedName>
    <definedName name="betaNSW" localSheetId="0">myData!$BP$12</definedName>
    <definedName name="betaPodelta" localSheetId="0">myData!$F$2</definedName>
    <definedName name="betaPodeltaAu" localSheetId="0">myData!$BU$11</definedName>
    <definedName name="betaPodeltaChina" localSheetId="0">myData!$BU$15</definedName>
    <definedName name="betaPodeltaItaly" localSheetId="0">myData!$BU$13</definedName>
    <definedName name="betaPodeltaNSW" localSheetId="0">myData!$BU$12</definedName>
    <definedName name="betaPodeltaSKorea" localSheetId="0">myData!$BU$16</definedName>
    <definedName name="betaPodeltaTest" localSheetId="0">myData!$AH$2</definedName>
    <definedName name="betaPodeltaUK" localSheetId="0">myData!$BU$17</definedName>
    <definedName name="betaPodeltaUS" localSheetId="0">myData!$BU$14</definedName>
    <definedName name="betaSKorea" localSheetId="0">myData!$BP$16</definedName>
    <definedName name="betaTest" localSheetId="0">myData!$AC$2</definedName>
    <definedName name="betaTests" localSheetId="0">myData!$BP$18</definedName>
    <definedName name="betaUK" localSheetId="0">myData!$BP$17</definedName>
    <definedName name="betaUS" localSheetId="0">myData!$BP$14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myData!$CG$15</definedName>
    <definedName name="Countries" comment="List of Countries for running solver">solvMsgs!$E$1:$G$9</definedName>
    <definedName name="delta" localSheetId="0">myData!$B$2</definedName>
    <definedName name="deltaAu" localSheetId="0">myData!$BQ$11</definedName>
    <definedName name="deltaChina" localSheetId="0">myData!$BQ$15</definedName>
    <definedName name="deltaconstraint" localSheetId="0">myData!$B$3</definedName>
    <definedName name="deltaItaly" localSheetId="0">myData!$BQ$13</definedName>
    <definedName name="deltaNSW" localSheetId="0">myData!$BQ$12</definedName>
    <definedName name="deltaSKorea" localSheetId="0">myData!$BQ$16</definedName>
    <definedName name="deltaTest" localSheetId="0">myData!$AD$2</definedName>
    <definedName name="deltaTests" localSheetId="0">myData!$BQ$18</definedName>
    <definedName name="deltaUK" localSheetId="0">myData!$BQ$17</definedName>
    <definedName name="deltaUS" localSheetId="0">myData!$BQ$14</definedName>
    <definedName name="HisTableBL" localSheetId="0">OFFSET(myData!HisTableTL,0,COUNTA(myData!$DF:$DF)+1,1,1)</definedName>
    <definedName name="HisTableTL" localSheetId="0">myData!$DF$10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myData!$CG$13</definedName>
    <definedName name="ItalyStart" localSheetId="0">myData!$BM$13</definedName>
    <definedName name="LogFormula" localSheetId="0">myData!$DZ$6</definedName>
    <definedName name="MaxAusCases" localSheetId="0">myData!$CA$11</definedName>
    <definedName name="MaxNSWCases" localSheetId="0">myData!$CA$12</definedName>
    <definedName name="msqAu" localSheetId="0">myData!$BT$11</definedName>
    <definedName name="msqChina" localSheetId="0">myData!$BT$15</definedName>
    <definedName name="msqItaly" localSheetId="0">myData!$BT$13</definedName>
    <definedName name="msqNSW" localSheetId="0">myData!$BT$12</definedName>
    <definedName name="msqSKorea" localSheetId="0">myData!$BT$16</definedName>
    <definedName name="msqTest" localSheetId="0">myData!$AG$2</definedName>
    <definedName name="msqTests" localSheetId="0">myData!$BT$18</definedName>
    <definedName name="msqUK" localSheetId="0">myData!$BT$17</definedName>
    <definedName name="msqUS" localSheetId="0">myData!$BT$14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myData!$CJ$12</definedName>
    <definedName name="NSWpop" comment="NSW population" localSheetId="0">myData!$L$8</definedName>
    <definedName name="NSWSeries" localSheetId="0">myData!$CG$12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myData!$BR$11</definedName>
    <definedName name="PoChina" localSheetId="0">myData!$BR$15</definedName>
    <definedName name="PoItaly" localSheetId="0">myData!$BR$13</definedName>
    <definedName name="PoNSW" localSheetId="0">myData!$BR$12</definedName>
    <definedName name="PopScaling" comment="Value of 1 applies population scaling so result is per 10m people" localSheetId="0">myData!$J$2</definedName>
    <definedName name="PoSKorea" localSheetId="0">myData!$BR$16</definedName>
    <definedName name="PoTest" localSheetId="0">myData!$AE$2</definedName>
    <definedName name="PoTests" localSheetId="0">myData!$BR$18</definedName>
    <definedName name="PoUK" localSheetId="0">myData!$BR$17</definedName>
    <definedName name="PoUS" localSheetId="0">myData!$BR$14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myData!$CN$10</definedName>
    <definedName name="RunTimeAu" localSheetId="0">myData!$BL$11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myData!$CG$16</definedName>
    <definedName name="SKoreaStart" localSheetId="0">myData!$BM$16</definedName>
    <definedName name="solver_adj" localSheetId="0" hidden="1">myData!$BP$14:$BR$14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myData!$BT$14</definedName>
    <definedName name="solver_pre" localSheetId="0" hidden="1">0.000000001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myData!$BN$11</definedName>
    <definedName name="StartDt2China" localSheetId="0">myData!$BN$15</definedName>
    <definedName name="StartDt2Italy" localSheetId="0">myData!$BN$13</definedName>
    <definedName name="StartDt2Korea" localSheetId="0">myData!$BN$16</definedName>
    <definedName name="StartDt2NSW" localSheetId="0">myData!$BN$12</definedName>
    <definedName name="StartDt2Tests" localSheetId="0">myData!$BN$18</definedName>
    <definedName name="StartDt2UK" localSheetId="0">myData!$BN$17</definedName>
    <definedName name="StartDt2US" localSheetId="0">myData!$BN$14</definedName>
    <definedName name="TitleAll" localSheetId="0">myData!$CO$8</definedName>
    <definedName name="TitleAllSK" localSheetId="0">myData!$CO$9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myData!$CG$17</definedName>
    <definedName name="UKStart" localSheetId="0">myData!$BM$17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myData!$CG$14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CH16" i="4"/>
  <c r="AI71" i="4"/>
  <c r="D2" i="4" l="1"/>
  <c r="AC14" i="4"/>
  <c r="AC11" i="4"/>
  <c r="AC12" i="4"/>
  <c r="AC13" i="4"/>
  <c r="AN11" i="4" l="1"/>
  <c r="AN12" i="4"/>
  <c r="AN13" i="4"/>
  <c r="AN14" i="4"/>
  <c r="AN15" i="4"/>
  <c r="AN16" i="4"/>
  <c r="AN17" i="4"/>
  <c r="AN18" i="4"/>
  <c r="W11" i="4"/>
  <c r="AB11" i="4"/>
  <c r="AL11" i="4" s="1"/>
  <c r="AB12" i="4"/>
  <c r="AL12" i="4" s="1"/>
  <c r="AB13" i="4"/>
  <c r="AL13" i="4" s="1"/>
  <c r="AB14" i="4"/>
  <c r="AL14" i="4" s="1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K14" i="4"/>
  <c r="AJ11" i="4"/>
  <c r="AJ12" i="4"/>
  <c r="AJ13" i="4"/>
  <c r="AJ14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V8" i="4" l="1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CA17" i="4"/>
  <c r="CA16" i="4"/>
  <c r="BV17" i="4"/>
  <c r="BV16" i="4"/>
  <c r="BU17" i="4"/>
  <c r="BU16" i="4"/>
  <c r="BS17" i="4"/>
  <c r="BS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Y17" i="4"/>
  <c r="CB17" i="4"/>
  <c r="BY16" i="4"/>
  <c r="CB16" i="4"/>
  <c r="R71" i="4" l="1"/>
  <c r="R70" i="4"/>
  <c r="AV23" i="4"/>
  <c r="AW23" i="4" s="1"/>
  <c r="AV47" i="4"/>
  <c r="AW47" i="4" s="1"/>
  <c r="AV39" i="4"/>
  <c r="AW39" i="4" s="1"/>
  <c r="AV31" i="4"/>
  <c r="AW31" i="4" s="1"/>
  <c r="AO15" i="4"/>
  <c r="AM15" i="4"/>
  <c r="AM14" i="4"/>
  <c r="AO14" i="4"/>
  <c r="AO13" i="4"/>
  <c r="AM13" i="4"/>
  <c r="AO12" i="4"/>
  <c r="AM12" i="4"/>
  <c r="AO16" i="4"/>
  <c r="AM16" i="4"/>
  <c r="AO18" i="4"/>
  <c r="AM18" i="4"/>
  <c r="AO17" i="4"/>
  <c r="AM17" i="4"/>
  <c r="AS43" i="4"/>
  <c r="AS51" i="4"/>
  <c r="AS59" i="4"/>
  <c r="AS44" i="4"/>
  <c r="AS52" i="4"/>
  <c r="AS60" i="4"/>
  <c r="AS50" i="4"/>
  <c r="AS45" i="4"/>
  <c r="AS53" i="4"/>
  <c r="AS61" i="4"/>
  <c r="AS58" i="4"/>
  <c r="AS46" i="4"/>
  <c r="AS54" i="4"/>
  <c r="AS39" i="4"/>
  <c r="AS47" i="4"/>
  <c r="AS55" i="4"/>
  <c r="AS42" i="4"/>
  <c r="AS40" i="4"/>
  <c r="AS48" i="4"/>
  <c r="AS56" i="4"/>
  <c r="AS41" i="4"/>
  <c r="AS49" i="4"/>
  <c r="AS57" i="4"/>
  <c r="T70" i="4"/>
  <c r="R68" i="4"/>
  <c r="R69" i="4"/>
  <c r="T69" i="4"/>
  <c r="T68" i="4"/>
  <c r="CG16" i="4"/>
  <c r="CG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15" i="4"/>
  <c r="AX14" i="4"/>
  <c r="AX13" i="4"/>
  <c r="AX12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X23" i="4" l="1"/>
  <c r="AX47" i="4"/>
  <c r="AX39" i="4"/>
  <c r="AX31" i="4"/>
  <c r="AT42" i="4"/>
  <c r="AU42" i="4"/>
  <c r="AU55" i="4"/>
  <c r="AT55" i="4"/>
  <c r="AU45" i="4"/>
  <c r="AT45" i="4"/>
  <c r="AT57" i="4"/>
  <c r="AU57" i="4"/>
  <c r="AU47" i="4"/>
  <c r="AT47" i="4"/>
  <c r="AT49" i="4"/>
  <c r="AU49" i="4"/>
  <c r="AU39" i="4"/>
  <c r="AT39" i="4"/>
  <c r="AT50" i="4"/>
  <c r="AU50" i="4"/>
  <c r="AU60" i="4"/>
  <c r="AT60" i="4"/>
  <c r="AT41" i="4"/>
  <c r="AU41" i="4"/>
  <c r="AU54" i="4"/>
  <c r="AT54" i="4"/>
  <c r="AU52" i="4"/>
  <c r="AT52" i="4"/>
  <c r="AT56" i="4"/>
  <c r="AU56" i="4"/>
  <c r="AU46" i="4"/>
  <c r="AT46" i="4"/>
  <c r="AU44" i="4"/>
  <c r="AT44" i="4"/>
  <c r="AT48" i="4"/>
  <c r="AU48" i="4"/>
  <c r="AU59" i="4"/>
  <c r="AT59" i="4"/>
  <c r="AT40" i="4"/>
  <c r="AU40" i="4"/>
  <c r="AT58" i="4"/>
  <c r="AU58" i="4"/>
  <c r="AU61" i="4"/>
  <c r="AT61" i="4"/>
  <c r="AU51" i="4"/>
  <c r="AT51" i="4"/>
  <c r="AU53" i="4"/>
  <c r="AT53" i="4"/>
  <c r="AU43" i="4"/>
  <c r="AT43" i="4"/>
  <c r="AX30" i="4"/>
  <c r="AX59" i="4"/>
  <c r="AX29" i="4"/>
  <c r="AX46" i="4"/>
  <c r="AX37" i="4"/>
  <c r="AX54" i="4"/>
  <c r="AX20" i="4"/>
  <c r="AX50" i="4"/>
  <c r="AX51" i="4"/>
  <c r="AX25" i="4"/>
  <c r="AX19" i="4"/>
  <c r="AX56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J17" i="4"/>
  <c r="CJ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CA18" i="4"/>
  <c r="BV18" i="4"/>
  <c r="BU18" i="4"/>
  <c r="AY9" i="4"/>
  <c r="BS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CB18" i="4"/>
  <c r="BY18" i="4"/>
  <c r="CE18" i="4" l="1"/>
  <c r="CG18" i="4"/>
  <c r="AM8" i="4" l="1"/>
  <c r="AD9" i="4"/>
  <c r="AD8" i="4"/>
  <c r="BV11" i="4"/>
  <c r="BU11" i="4"/>
  <c r="AA9" i="4"/>
  <c r="BS11" i="4"/>
  <c r="DN40" i="4"/>
  <c r="DP40" i="4"/>
  <c r="DQ40" i="4"/>
  <c r="BY11" i="4"/>
  <c r="DT40" i="4"/>
  <c r="CB11" i="4"/>
  <c r="AD14" i="4" l="1"/>
  <c r="AD11" i="4"/>
  <c r="AD13" i="4"/>
  <c r="AD12" i="4"/>
  <c r="CG11" i="4"/>
  <c r="DB12" i="4"/>
  <c r="DB11" i="4"/>
  <c r="DA11" i="4"/>
  <c r="DA12" i="4" s="1"/>
  <c r="V9" i="4"/>
  <c r="P9" i="4"/>
  <c r="N9" i="4"/>
  <c r="L9" i="4"/>
  <c r="L71" i="4" s="1"/>
  <c r="L3" i="4"/>
  <c r="K8" i="4" l="1"/>
  <c r="L63" i="4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J13" i="4" l="1"/>
  <c r="CJ15" i="4"/>
  <c r="CJ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CA15" i="4"/>
  <c r="CA14" i="4"/>
  <c r="CA13" i="4"/>
  <c r="AL2" i="4"/>
  <c r="BG59" i="4" l="1"/>
  <c r="BH59" i="4" s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H70" i="4" s="1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S12" i="4"/>
  <c r="BY12" i="4"/>
  <c r="CB12" i="4"/>
  <c r="BT18" i="4" l="1"/>
  <c r="CG12" i="4"/>
  <c r="AI107" i="4"/>
  <c r="L107" i="4" s="1"/>
  <c r="AI108" i="4"/>
  <c r="L108" i="4" s="1"/>
  <c r="AI109" i="4"/>
  <c r="L109" i="4" s="1"/>
  <c r="AI110" i="4"/>
  <c r="L110" i="4" s="1"/>
  <c r="AI111" i="4"/>
  <c r="L111" i="4" s="1"/>
  <c r="AI112" i="4"/>
  <c r="L112" i="4" s="1"/>
  <c r="AI113" i="4"/>
  <c r="L113" i="4" s="1"/>
  <c r="AI114" i="4"/>
  <c r="L114" i="4" s="1"/>
  <c r="AI115" i="4"/>
  <c r="L115" i="4" s="1"/>
  <c r="AI116" i="4"/>
  <c r="L116" i="4" s="1"/>
  <c r="AI117" i="4"/>
  <c r="L117" i="4" s="1"/>
  <c r="AC105" i="4"/>
  <c r="AD105" i="4" s="1"/>
  <c r="AC106" i="4"/>
  <c r="AD106" i="4" s="1"/>
  <c r="AC107" i="4"/>
  <c r="AD107" i="4" s="1"/>
  <c r="AC108" i="4"/>
  <c r="AD108" i="4" s="1"/>
  <c r="AC109" i="4"/>
  <c r="AD109" i="4" s="1"/>
  <c r="AC110" i="4"/>
  <c r="AD110" i="4" s="1"/>
  <c r="AC111" i="4"/>
  <c r="AD111" i="4" s="1"/>
  <c r="AC112" i="4"/>
  <c r="AD112" i="4" s="1"/>
  <c r="AC113" i="4"/>
  <c r="AD113" i="4" s="1"/>
  <c r="AC114" i="4"/>
  <c r="AD114" i="4" s="1"/>
  <c r="AC115" i="4"/>
  <c r="AD115" i="4" s="1"/>
  <c r="AC116" i="4"/>
  <c r="AD116" i="4" s="1"/>
  <c r="AC117" i="4"/>
  <c r="AD117" i="4" s="1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64" i="4" l="1"/>
  <c r="AP27" i="4"/>
  <c r="AP28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V15" i="4"/>
  <c r="BU15" i="4"/>
  <c r="BS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CB15" i="4"/>
  <c r="BY15" i="4"/>
  <c r="CG15" i="4" l="1"/>
  <c r="Y109" i="4"/>
  <c r="AY108" i="4"/>
  <c r="BA108" i="4" s="1"/>
  <c r="AY27" i="4"/>
  <c r="BA27" i="4" s="1"/>
  <c r="AY107" i="4"/>
  <c r="BA107" i="4" s="1"/>
  <c r="I11" i="16"/>
  <c r="AY11" i="4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71" i="4" l="1"/>
  <c r="AZ71" i="4"/>
  <c r="BA11" i="4"/>
  <c r="BA70" i="4"/>
  <c r="AZ70" i="4"/>
  <c r="BA69" i="4"/>
  <c r="AZ69" i="4"/>
  <c r="BA68" i="4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T15" i="4" l="1"/>
  <c r="AY110" i="4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D71" i="4" s="1"/>
  <c r="AC72" i="4"/>
  <c r="AD72" i="4" s="1"/>
  <c r="AC73" i="4"/>
  <c r="AD73" i="4" s="1"/>
  <c r="AC74" i="4"/>
  <c r="AD74" i="4" s="1"/>
  <c r="AC75" i="4"/>
  <c r="AD75" i="4" s="1"/>
  <c r="AC76" i="4"/>
  <c r="AD76" i="4" s="1"/>
  <c r="AC77" i="4"/>
  <c r="AD77" i="4" s="1"/>
  <c r="AC78" i="4"/>
  <c r="AD78" i="4" s="1"/>
  <c r="AC79" i="4"/>
  <c r="AD79" i="4" s="1"/>
  <c r="AC80" i="4"/>
  <c r="AD80" i="4" s="1"/>
  <c r="AC81" i="4"/>
  <c r="AD81" i="4" s="1"/>
  <c r="AC82" i="4"/>
  <c r="AD82" i="4" s="1"/>
  <c r="AC83" i="4"/>
  <c r="AD83" i="4" s="1"/>
  <c r="AC84" i="4"/>
  <c r="AD84" i="4" s="1"/>
  <c r="AC85" i="4"/>
  <c r="AD85" i="4" s="1"/>
  <c r="AC86" i="4"/>
  <c r="AD86" i="4" s="1"/>
  <c r="AC87" i="4"/>
  <c r="AD87" i="4" s="1"/>
  <c r="AC88" i="4"/>
  <c r="AD88" i="4" s="1"/>
  <c r="AC89" i="4"/>
  <c r="AD89" i="4" s="1"/>
  <c r="AC90" i="4"/>
  <c r="AD90" i="4" s="1"/>
  <c r="AC91" i="4"/>
  <c r="AD91" i="4" s="1"/>
  <c r="AC92" i="4"/>
  <c r="AD92" i="4" s="1"/>
  <c r="AC93" i="4"/>
  <c r="AD93" i="4" s="1"/>
  <c r="AC94" i="4"/>
  <c r="AD94" i="4" s="1"/>
  <c r="AC95" i="4"/>
  <c r="AD95" i="4" s="1"/>
  <c r="AC96" i="4"/>
  <c r="AD96" i="4" s="1"/>
  <c r="AC97" i="4"/>
  <c r="AD97" i="4" s="1"/>
  <c r="AC98" i="4"/>
  <c r="AD98" i="4" s="1"/>
  <c r="AC99" i="4"/>
  <c r="AD99" i="4" s="1"/>
  <c r="AC100" i="4"/>
  <c r="AD100" i="4" s="1"/>
  <c r="AC101" i="4"/>
  <c r="AD101" i="4" s="1"/>
  <c r="AC102" i="4"/>
  <c r="AD102" i="4" s="1"/>
  <c r="AC103" i="4"/>
  <c r="AD103" i="4" s="1"/>
  <c r="AC104" i="4"/>
  <c r="AD104" i="4" s="1"/>
  <c r="AC15" i="4"/>
  <c r="BA110" i="4" l="1"/>
  <c r="AD69" i="4"/>
  <c r="AD44" i="4"/>
  <c r="AD20" i="4"/>
  <c r="AD68" i="4"/>
  <c r="AD43" i="4"/>
  <c r="AD35" i="4"/>
  <c r="AD27" i="4"/>
  <c r="AD19" i="4"/>
  <c r="AD67" i="4"/>
  <c r="AD58" i="4"/>
  <c r="AD50" i="4"/>
  <c r="AD42" i="4"/>
  <c r="AD34" i="4"/>
  <c r="AD26" i="4"/>
  <c r="AD18" i="4"/>
  <c r="AD52" i="4"/>
  <c r="AD41" i="4"/>
  <c r="AD59" i="4"/>
  <c r="AD49" i="4"/>
  <c r="AD17" i="4"/>
  <c r="AD65" i="4"/>
  <c r="AD56" i="4"/>
  <c r="AD48" i="4"/>
  <c r="AD40" i="4"/>
  <c r="AD32" i="4"/>
  <c r="AD24" i="4"/>
  <c r="AD16" i="4"/>
  <c r="AD28" i="4"/>
  <c r="AD66" i="4"/>
  <c r="AD33" i="4"/>
  <c r="AD15" i="4"/>
  <c r="AD63" i="4"/>
  <c r="AD55" i="4"/>
  <c r="AD47" i="4"/>
  <c r="AD39" i="4"/>
  <c r="AD31" i="4"/>
  <c r="AD23" i="4"/>
  <c r="AD62" i="4"/>
  <c r="AD54" i="4"/>
  <c r="AD46" i="4"/>
  <c r="AD38" i="4"/>
  <c r="AD30" i="4"/>
  <c r="AD22" i="4"/>
  <c r="AD60" i="4"/>
  <c r="AD36" i="4"/>
  <c r="AD51" i="4"/>
  <c r="AD57" i="4"/>
  <c r="AD25" i="4"/>
  <c r="AD70" i="4"/>
  <c r="AD61" i="4"/>
  <c r="AD53" i="4"/>
  <c r="AD45" i="4"/>
  <c r="AD37" i="4"/>
  <c r="AD29" i="4"/>
  <c r="AD21" i="4"/>
  <c r="CA11" i="4"/>
  <c r="AY111" i="4"/>
  <c r="BA111" i="4" s="1"/>
  <c r="Y112" i="4"/>
  <c r="DC12" i="4"/>
  <c r="BV14" i="4"/>
  <c r="BD62" i="4"/>
  <c r="BS14" i="4"/>
  <c r="BU14" i="4"/>
  <c r="AI62" i="4"/>
  <c r="AI60" i="4"/>
  <c r="AI61" i="4"/>
  <c r="CB14" i="4"/>
  <c r="BY14" i="4"/>
  <c r="AP29" i="4" l="1"/>
  <c r="CG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D3" i="4"/>
  <c r="AQ29" i="4" l="1"/>
  <c r="AR43" i="4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V13" i="4"/>
  <c r="BV12" i="4"/>
  <c r="BU13" i="4"/>
  <c r="BU12" i="4"/>
  <c r="AJ15" i="4" s="1"/>
  <c r="BS13" i="4"/>
  <c r="BY13" i="4"/>
  <c r="CB13" i="4"/>
  <c r="AL15" i="4" l="1"/>
  <c r="AJ19" i="4"/>
  <c r="AL19" i="4" s="1"/>
  <c r="AJ27" i="4"/>
  <c r="AL27" i="4" s="1"/>
  <c r="AJ35" i="4"/>
  <c r="AL35" i="4" s="1"/>
  <c r="AJ43" i="4"/>
  <c r="AL43" i="4" s="1"/>
  <c r="AJ44" i="4"/>
  <c r="AL44" i="4" s="1"/>
  <c r="AJ41" i="4"/>
  <c r="AL41" i="4" s="1"/>
  <c r="AJ16" i="4"/>
  <c r="AL16" i="4" s="1"/>
  <c r="AJ30" i="4"/>
  <c r="AL30" i="4" s="1"/>
  <c r="AJ36" i="4"/>
  <c r="AL36" i="4" s="1"/>
  <c r="AJ33" i="4"/>
  <c r="AL33" i="4" s="1"/>
  <c r="AJ47" i="4"/>
  <c r="AL47" i="4" s="1"/>
  <c r="AJ22" i="4"/>
  <c r="AL22" i="4" s="1"/>
  <c r="AJ28" i="4"/>
  <c r="AL28" i="4" s="1"/>
  <c r="AJ25" i="4"/>
  <c r="AL25" i="4" s="1"/>
  <c r="AJ39" i="4"/>
  <c r="AL39" i="4" s="1"/>
  <c r="AJ45" i="4"/>
  <c r="AL45" i="4" s="1"/>
  <c r="AJ20" i="4"/>
  <c r="AL20" i="4" s="1"/>
  <c r="AJ17" i="4"/>
  <c r="AL17" i="4" s="1"/>
  <c r="AJ31" i="4"/>
  <c r="AL31" i="4" s="1"/>
  <c r="AJ37" i="4"/>
  <c r="AL37" i="4" s="1"/>
  <c r="AJ42" i="4"/>
  <c r="AL42" i="4" s="1"/>
  <c r="AJ48" i="4"/>
  <c r="AL48" i="4" s="1"/>
  <c r="AJ23" i="4"/>
  <c r="AL23" i="4" s="1"/>
  <c r="AJ29" i="4"/>
  <c r="AL29" i="4" s="1"/>
  <c r="AJ34" i="4"/>
  <c r="AL34" i="4" s="1"/>
  <c r="AJ40" i="4"/>
  <c r="AL40" i="4" s="1"/>
  <c r="AJ21" i="4"/>
  <c r="AL21" i="4" s="1"/>
  <c r="AJ26" i="4"/>
  <c r="AL26" i="4" s="1"/>
  <c r="AJ32" i="4"/>
  <c r="AL32" i="4" s="1"/>
  <c r="AJ46" i="4"/>
  <c r="AL46" i="4" s="1"/>
  <c r="AJ18" i="4"/>
  <c r="AL18" i="4" s="1"/>
  <c r="AJ24" i="4"/>
  <c r="AL24" i="4" s="1"/>
  <c r="AJ38" i="4"/>
  <c r="AL38" i="4" s="1"/>
  <c r="AM26" i="4"/>
  <c r="AO26" i="4" s="1"/>
  <c r="AM34" i="4"/>
  <c r="AO34" i="4" s="1"/>
  <c r="AM19" i="4"/>
  <c r="AO19" i="4" s="1"/>
  <c r="AM27" i="4"/>
  <c r="AO27" i="4" s="1"/>
  <c r="AM35" i="4"/>
  <c r="AO35" i="4" s="1"/>
  <c r="AM20" i="4"/>
  <c r="AO20" i="4" s="1"/>
  <c r="AM28" i="4"/>
  <c r="AO28" i="4" s="1"/>
  <c r="AM36" i="4"/>
  <c r="AO36" i="4" s="1"/>
  <c r="AM21" i="4"/>
  <c r="AO21" i="4" s="1"/>
  <c r="AM29" i="4"/>
  <c r="AO29" i="4" s="1"/>
  <c r="AM37" i="4"/>
  <c r="AO37" i="4" s="1"/>
  <c r="AM22" i="4"/>
  <c r="AO22" i="4" s="1"/>
  <c r="AM30" i="4"/>
  <c r="AO30" i="4" s="1"/>
  <c r="AM38" i="4"/>
  <c r="AO38" i="4" s="1"/>
  <c r="AM23" i="4"/>
  <c r="AO23" i="4" s="1"/>
  <c r="AM31" i="4"/>
  <c r="AO31" i="4" s="1"/>
  <c r="AM39" i="4"/>
  <c r="AO39" i="4" s="1"/>
  <c r="AM24" i="4"/>
  <c r="AO24" i="4" s="1"/>
  <c r="AM32" i="4"/>
  <c r="AO32" i="4" s="1"/>
  <c r="AM25" i="4"/>
  <c r="AO25" i="4" s="1"/>
  <c r="AM33" i="4"/>
  <c r="AO33" i="4" s="1"/>
  <c r="AM11" i="4"/>
  <c r="AM47" i="4"/>
  <c r="AO47" i="4" s="1"/>
  <c r="AM55" i="4"/>
  <c r="AO55" i="4" s="1"/>
  <c r="AM40" i="4"/>
  <c r="AO40" i="4" s="1"/>
  <c r="AM48" i="4"/>
  <c r="AO48" i="4" s="1"/>
  <c r="AM56" i="4"/>
  <c r="AO56" i="4" s="1"/>
  <c r="AM41" i="4"/>
  <c r="AO41" i="4" s="1"/>
  <c r="AM49" i="4"/>
  <c r="AO49" i="4" s="1"/>
  <c r="AM57" i="4"/>
  <c r="AO57" i="4" s="1"/>
  <c r="AM42" i="4"/>
  <c r="AO42" i="4" s="1"/>
  <c r="AM50" i="4"/>
  <c r="AO50" i="4" s="1"/>
  <c r="AM58" i="4"/>
  <c r="AO58" i="4" s="1"/>
  <c r="AM43" i="4"/>
  <c r="AO43" i="4" s="1"/>
  <c r="AM51" i="4"/>
  <c r="AO51" i="4" s="1"/>
  <c r="AM59" i="4"/>
  <c r="AO59" i="4" s="1"/>
  <c r="AM44" i="4"/>
  <c r="AO44" i="4" s="1"/>
  <c r="AM52" i="4"/>
  <c r="AO52" i="4" s="1"/>
  <c r="AM60" i="4"/>
  <c r="AO60" i="4" s="1"/>
  <c r="AM45" i="4"/>
  <c r="AO45" i="4" s="1"/>
  <c r="AM53" i="4"/>
  <c r="AO53" i="4" s="1"/>
  <c r="AM61" i="4"/>
  <c r="AO61" i="4" s="1"/>
  <c r="AM46" i="4"/>
  <c r="AO46" i="4" s="1"/>
  <c r="AM54" i="4"/>
  <c r="AO54" i="4" s="1"/>
  <c r="AJ51" i="4"/>
  <c r="AJ52" i="4"/>
  <c r="AJ60" i="4"/>
  <c r="AJ53" i="4"/>
  <c r="AJ61" i="4"/>
  <c r="AJ54" i="4"/>
  <c r="AJ55" i="4"/>
  <c r="AJ56" i="4"/>
  <c r="AJ49" i="4"/>
  <c r="AJ57" i="4"/>
  <c r="AJ50" i="4"/>
  <c r="AJ58" i="4"/>
  <c r="AJ59" i="4"/>
  <c r="CG13" i="4"/>
  <c r="AY114" i="4"/>
  <c r="Y115" i="4"/>
  <c r="EL11" i="4"/>
  <c r="AI64" i="4"/>
  <c r="AI65" i="4"/>
  <c r="AI66" i="4"/>
  <c r="AI67" i="4"/>
  <c r="AI68" i="4"/>
  <c r="AI69" i="4"/>
  <c r="AI70" i="4"/>
  <c r="L70" i="4" s="1"/>
  <c r="AI72" i="4"/>
  <c r="L72" i="4" s="1"/>
  <c r="AI73" i="4"/>
  <c r="L73" i="4" s="1"/>
  <c r="AI74" i="4"/>
  <c r="L74" i="4" s="1"/>
  <c r="AI75" i="4"/>
  <c r="L75" i="4" s="1"/>
  <c r="AI76" i="4"/>
  <c r="L76" i="4" s="1"/>
  <c r="AI77" i="4"/>
  <c r="L77" i="4" s="1"/>
  <c r="AI78" i="4"/>
  <c r="L78" i="4" s="1"/>
  <c r="AI79" i="4"/>
  <c r="L79" i="4" s="1"/>
  <c r="AI80" i="4"/>
  <c r="L80" i="4" s="1"/>
  <c r="AI81" i="4"/>
  <c r="L81" i="4" s="1"/>
  <c r="AI82" i="4"/>
  <c r="L82" i="4" s="1"/>
  <c r="AI83" i="4"/>
  <c r="L83" i="4" s="1"/>
  <c r="AI84" i="4"/>
  <c r="L84" i="4" s="1"/>
  <c r="AI85" i="4"/>
  <c r="L85" i="4" s="1"/>
  <c r="AI86" i="4"/>
  <c r="L86" i="4" s="1"/>
  <c r="AI87" i="4"/>
  <c r="L87" i="4" s="1"/>
  <c r="AI88" i="4"/>
  <c r="L88" i="4" s="1"/>
  <c r="AI89" i="4"/>
  <c r="L89" i="4" s="1"/>
  <c r="AI90" i="4"/>
  <c r="L90" i="4" s="1"/>
  <c r="AI91" i="4"/>
  <c r="L91" i="4" s="1"/>
  <c r="AI92" i="4"/>
  <c r="L92" i="4" s="1"/>
  <c r="AI93" i="4"/>
  <c r="L93" i="4" s="1"/>
  <c r="AI94" i="4"/>
  <c r="L94" i="4" s="1"/>
  <c r="AI95" i="4"/>
  <c r="L95" i="4" s="1"/>
  <c r="AI96" i="4"/>
  <c r="L96" i="4" s="1"/>
  <c r="AI97" i="4"/>
  <c r="L97" i="4" s="1"/>
  <c r="AI98" i="4"/>
  <c r="L98" i="4" s="1"/>
  <c r="AI99" i="4"/>
  <c r="L99" i="4" s="1"/>
  <c r="AI100" i="4"/>
  <c r="L100" i="4" s="1"/>
  <c r="AI101" i="4"/>
  <c r="L101" i="4" s="1"/>
  <c r="AI102" i="4"/>
  <c r="L102" i="4" s="1"/>
  <c r="AI103" i="4"/>
  <c r="L103" i="4" s="1"/>
  <c r="AI104" i="4"/>
  <c r="L104" i="4" s="1"/>
  <c r="AI105" i="4"/>
  <c r="L105" i="4" s="1"/>
  <c r="AI106" i="4"/>
  <c r="L106" i="4" s="1"/>
  <c r="AI12" i="4"/>
  <c r="AG12" i="4" s="1"/>
  <c r="AI13" i="4"/>
  <c r="AG13" i="4" s="1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E60" i="4"/>
  <c r="AG60" i="4" s="1"/>
  <c r="AE61" i="4"/>
  <c r="AG61" i="4" s="1"/>
  <c r="BA114" i="4" l="1"/>
  <c r="AO11" i="4"/>
  <c r="AK43" i="4"/>
  <c r="AK35" i="4"/>
  <c r="AK27" i="4"/>
  <c r="AK19" i="4"/>
  <c r="AK37" i="4"/>
  <c r="AK42" i="4"/>
  <c r="AK34" i="4"/>
  <c r="AK26" i="4"/>
  <c r="AK18" i="4"/>
  <c r="AK41" i="4"/>
  <c r="AK33" i="4"/>
  <c r="AK25" i="4"/>
  <c r="AK17" i="4"/>
  <c r="AK45" i="4"/>
  <c r="AK21" i="4"/>
  <c r="AK48" i="4"/>
  <c r="AK40" i="4"/>
  <c r="AK32" i="4"/>
  <c r="AK24" i="4"/>
  <c r="AK16" i="4"/>
  <c r="AK39" i="4"/>
  <c r="AK31" i="4"/>
  <c r="AK23" i="4"/>
  <c r="AK15" i="4"/>
  <c r="AK47" i="4"/>
  <c r="AK46" i="4"/>
  <c r="AK38" i="4"/>
  <c r="AK30" i="4"/>
  <c r="AK22" i="4"/>
  <c r="Z62" i="4"/>
  <c r="AH62" i="4"/>
  <c r="AJ62" i="4" s="1"/>
  <c r="AB62" i="4"/>
  <c r="AE62" i="4" s="1"/>
  <c r="AG62" i="4" s="1"/>
  <c r="AS62" i="4"/>
  <c r="AK29" i="4"/>
  <c r="AK44" i="4"/>
  <c r="AK36" i="4"/>
  <c r="AK28" i="4"/>
  <c r="AK20" i="4"/>
  <c r="AK13" i="4"/>
  <c r="AK12" i="4"/>
  <c r="AK11" i="4"/>
  <c r="AK51" i="4"/>
  <c r="AL51" i="4"/>
  <c r="AK59" i="4"/>
  <c r="AL59" i="4"/>
  <c r="AK58" i="4"/>
  <c r="AL58" i="4"/>
  <c r="AK56" i="4"/>
  <c r="AL56" i="4"/>
  <c r="AK60" i="4"/>
  <c r="AL60" i="4"/>
  <c r="AK50" i="4"/>
  <c r="AL50" i="4"/>
  <c r="AK57" i="4"/>
  <c r="AL57" i="4"/>
  <c r="AK61" i="4"/>
  <c r="AL61" i="4"/>
  <c r="AK52" i="4"/>
  <c r="AL52" i="4"/>
  <c r="AK49" i="4"/>
  <c r="AL49" i="4"/>
  <c r="AK55" i="4"/>
  <c r="AL55" i="4"/>
  <c r="AK54" i="4"/>
  <c r="AL54" i="4"/>
  <c r="AK53" i="4"/>
  <c r="AL53" i="4"/>
  <c r="AN31" i="4"/>
  <c r="AN36" i="4"/>
  <c r="AN23" i="4"/>
  <c r="AN28" i="4"/>
  <c r="AN38" i="4"/>
  <c r="AN20" i="4"/>
  <c r="AN33" i="4"/>
  <c r="AN30" i="4"/>
  <c r="AN35" i="4"/>
  <c r="AN25" i="4"/>
  <c r="AN22" i="4"/>
  <c r="AN27" i="4"/>
  <c r="AN32" i="4"/>
  <c r="AN37" i="4"/>
  <c r="AN19" i="4"/>
  <c r="AN24" i="4"/>
  <c r="AN29" i="4"/>
  <c r="AN34" i="4"/>
  <c r="AN39" i="4"/>
  <c r="AN21" i="4"/>
  <c r="AN26" i="4"/>
  <c r="AN43" i="4"/>
  <c r="AN58" i="4"/>
  <c r="AN54" i="4"/>
  <c r="AN50" i="4"/>
  <c r="AN46" i="4"/>
  <c r="AN61" i="4"/>
  <c r="AN42" i="4"/>
  <c r="AN57" i="4"/>
  <c r="AN53" i="4"/>
  <c r="AN49" i="4"/>
  <c r="AN45" i="4"/>
  <c r="AN60" i="4"/>
  <c r="AN41" i="4"/>
  <c r="AN56" i="4"/>
  <c r="AN52" i="4"/>
  <c r="AN48" i="4"/>
  <c r="AN44" i="4"/>
  <c r="AN59" i="4"/>
  <c r="AN40" i="4"/>
  <c r="AN55" i="4"/>
  <c r="AN51" i="4"/>
  <c r="AN47" i="4"/>
  <c r="W62" i="4"/>
  <c r="AM62" i="4" s="1"/>
  <c r="AO62" i="4" s="1"/>
  <c r="AA62" i="4"/>
  <c r="X62" i="4"/>
  <c r="AF61" i="4"/>
  <c r="AF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CA12" i="4"/>
  <c r="Y116" i="4"/>
  <c r="AY115" i="4"/>
  <c r="BA115" i="4" s="1"/>
  <c r="B63" i="4"/>
  <c r="G2" i="4"/>
  <c r="F2" i="4"/>
  <c r="AE23" i="4"/>
  <c r="AG23" i="4" s="1"/>
  <c r="AE24" i="4"/>
  <c r="AG24" i="4" s="1"/>
  <c r="AE25" i="4"/>
  <c r="AG25" i="4" s="1"/>
  <c r="AE26" i="4"/>
  <c r="AG26" i="4" s="1"/>
  <c r="AE27" i="4"/>
  <c r="AG27" i="4" s="1"/>
  <c r="AE28" i="4"/>
  <c r="AG28" i="4" s="1"/>
  <c r="AE29" i="4"/>
  <c r="AG29" i="4" s="1"/>
  <c r="AE30" i="4"/>
  <c r="AG30" i="4" s="1"/>
  <c r="AE31" i="4"/>
  <c r="AG31" i="4" s="1"/>
  <c r="AE32" i="4"/>
  <c r="AG32" i="4" s="1"/>
  <c r="AE33" i="4"/>
  <c r="AG33" i="4" s="1"/>
  <c r="AE34" i="4"/>
  <c r="AG34" i="4" s="1"/>
  <c r="AE35" i="4"/>
  <c r="AG35" i="4" s="1"/>
  <c r="AE36" i="4"/>
  <c r="AG36" i="4" s="1"/>
  <c r="AE37" i="4"/>
  <c r="AG37" i="4" s="1"/>
  <c r="AE38" i="4"/>
  <c r="AG38" i="4" s="1"/>
  <c r="AE39" i="4"/>
  <c r="AG39" i="4" s="1"/>
  <c r="AE40" i="4"/>
  <c r="AG40" i="4" s="1"/>
  <c r="AE41" i="4"/>
  <c r="AG41" i="4" s="1"/>
  <c r="AE42" i="4"/>
  <c r="AG42" i="4" s="1"/>
  <c r="AE43" i="4"/>
  <c r="AG43" i="4" s="1"/>
  <c r="AE44" i="4"/>
  <c r="AG44" i="4" s="1"/>
  <c r="AE45" i="4"/>
  <c r="AG45" i="4" s="1"/>
  <c r="AE46" i="4"/>
  <c r="AG46" i="4" s="1"/>
  <c r="AE47" i="4"/>
  <c r="AG47" i="4" s="1"/>
  <c r="AE48" i="4"/>
  <c r="AG48" i="4" s="1"/>
  <c r="AE49" i="4"/>
  <c r="AG49" i="4" s="1"/>
  <c r="AE50" i="4"/>
  <c r="AG50" i="4" s="1"/>
  <c r="AE51" i="4"/>
  <c r="AG51" i="4" s="1"/>
  <c r="AE52" i="4"/>
  <c r="AG52" i="4" s="1"/>
  <c r="AE53" i="4"/>
  <c r="AG53" i="4" s="1"/>
  <c r="AE54" i="4"/>
  <c r="AG54" i="4" s="1"/>
  <c r="AE55" i="4"/>
  <c r="AG55" i="4" s="1"/>
  <c r="AE56" i="4"/>
  <c r="AG56" i="4" s="1"/>
  <c r="AE57" i="4"/>
  <c r="AG57" i="4" s="1"/>
  <c r="AE58" i="4"/>
  <c r="AG58" i="4" s="1"/>
  <c r="AE59" i="4"/>
  <c r="AG59" i="4" s="1"/>
  <c r="AE15" i="4"/>
  <c r="AG15" i="4" s="1"/>
  <c r="AE16" i="4"/>
  <c r="AG16" i="4" s="1"/>
  <c r="AE17" i="4"/>
  <c r="AG17" i="4" s="1"/>
  <c r="AE18" i="4"/>
  <c r="AG18" i="4" s="1"/>
  <c r="AE19" i="4"/>
  <c r="AG19" i="4" s="1"/>
  <c r="AE20" i="4"/>
  <c r="AG20" i="4" s="1"/>
  <c r="AE21" i="4"/>
  <c r="AG21" i="4" s="1"/>
  <c r="AE22" i="4"/>
  <c r="AG22" i="4" s="1"/>
  <c r="AE14" i="4"/>
  <c r="AG14" i="4" s="1"/>
  <c r="AU62" i="4" l="1"/>
  <c r="AT62" i="4"/>
  <c r="AK62" i="4"/>
  <c r="AL62" i="4"/>
  <c r="AB63" i="4"/>
  <c r="Z63" i="4"/>
  <c r="AH63" i="4"/>
  <c r="AJ63" i="4" s="1"/>
  <c r="AS63" i="4"/>
  <c r="AU63" i="4" s="1"/>
  <c r="AN62" i="4"/>
  <c r="AV62" i="4"/>
  <c r="AA63" i="4"/>
  <c r="X63" i="4"/>
  <c r="W63" i="4"/>
  <c r="AM63" i="4" s="1"/>
  <c r="CJ11" i="4"/>
  <c r="CJ12" i="4"/>
  <c r="AF53" i="4"/>
  <c r="AF15" i="4"/>
  <c r="AF52" i="4"/>
  <c r="AF44" i="4"/>
  <c r="AF36" i="4"/>
  <c r="AF28" i="4"/>
  <c r="AF16" i="4"/>
  <c r="AF22" i="4"/>
  <c r="AF59" i="4"/>
  <c r="AF51" i="4"/>
  <c r="AF43" i="4"/>
  <c r="AF35" i="4"/>
  <c r="AF27" i="4"/>
  <c r="AF14" i="4"/>
  <c r="AF50" i="4"/>
  <c r="AF34" i="4"/>
  <c r="AF26" i="4"/>
  <c r="AF42" i="4"/>
  <c r="AF20" i="4"/>
  <c r="AF57" i="4"/>
  <c r="AF49" i="4"/>
  <c r="AF41" i="4"/>
  <c r="AF33" i="4"/>
  <c r="AF25" i="4"/>
  <c r="AF37" i="4"/>
  <c r="AF21" i="4"/>
  <c r="AF56" i="4"/>
  <c r="AF48" i="4"/>
  <c r="AF40" i="4"/>
  <c r="AF32" i="4"/>
  <c r="AF24" i="4"/>
  <c r="AF62" i="4"/>
  <c r="AF45" i="4"/>
  <c r="AF19" i="4"/>
  <c r="AF55" i="4"/>
  <c r="AF47" i="4"/>
  <c r="AF31" i="4"/>
  <c r="AF23" i="4"/>
  <c r="AF29" i="4"/>
  <c r="AF58" i="4"/>
  <c r="AF18" i="4"/>
  <c r="AF39" i="4"/>
  <c r="AF17" i="4"/>
  <c r="AF54" i="4"/>
  <c r="AF46" i="4"/>
  <c r="AF38" i="4"/>
  <c r="AF30" i="4"/>
  <c r="AF12" i="4"/>
  <c r="AE12" i="4"/>
  <c r="AF11" i="4"/>
  <c r="AE11" i="4"/>
  <c r="AE13" i="4"/>
  <c r="AF13" i="4"/>
  <c r="AP62" i="4"/>
  <c r="Y117" i="4"/>
  <c r="AY117" i="4" s="1"/>
  <c r="AY116" i="4"/>
  <c r="BA116" i="4" s="1"/>
  <c r="AE63" i="4"/>
  <c r="AG63" i="4" s="1"/>
  <c r="B64" i="4"/>
  <c r="AW62" i="4" l="1"/>
  <c r="BA117" i="4"/>
  <c r="BZ15" i="4"/>
  <c r="AT63" i="4"/>
  <c r="AL63" i="4"/>
  <c r="AK63" i="4"/>
  <c r="AB64" i="4"/>
  <c r="AE64" i="4" s="1"/>
  <c r="AG64" i="4" s="1"/>
  <c r="Z64" i="4"/>
  <c r="AH64" i="4"/>
  <c r="AJ64" i="4" s="1"/>
  <c r="AS64" i="4"/>
  <c r="AU64" i="4" s="1"/>
  <c r="AO63" i="4"/>
  <c r="AN63" i="4"/>
  <c r="CK16" i="4"/>
  <c r="CM16" i="4"/>
  <c r="AX62" i="4"/>
  <c r="AV63" i="4"/>
  <c r="AW63" i="4" s="1"/>
  <c r="AA64" i="4"/>
  <c r="X64" i="4"/>
  <c r="W64" i="4"/>
  <c r="AM64" i="4" s="1"/>
  <c r="CK13" i="4"/>
  <c r="CM13" i="4"/>
  <c r="CM15" i="4"/>
  <c r="AR62" i="4"/>
  <c r="AQ62" i="4"/>
  <c r="AF63" i="4"/>
  <c r="AP63" i="4"/>
  <c r="B65" i="4"/>
  <c r="AG2" i="4"/>
  <c r="CE15" i="4"/>
  <c r="AT64" i="4" l="1"/>
  <c r="AK64" i="4"/>
  <c r="AL64" i="4"/>
  <c r="AH65" i="4"/>
  <c r="AJ65" i="4" s="1"/>
  <c r="AK65" i="4" s="1"/>
  <c r="AB65" i="4"/>
  <c r="AE65" i="4" s="1"/>
  <c r="AG65" i="4" s="1"/>
  <c r="Z65" i="4"/>
  <c r="AS65" i="4"/>
  <c r="AT65" i="4" s="1"/>
  <c r="AO64" i="4"/>
  <c r="AN64" i="4"/>
  <c r="AX63" i="4"/>
  <c r="AV64" i="4"/>
  <c r="AA65" i="4"/>
  <c r="X65" i="4"/>
  <c r="W65" i="4"/>
  <c r="AM65" i="4" s="1"/>
  <c r="AR63" i="4"/>
  <c r="AQ63" i="4"/>
  <c r="AF64" i="4"/>
  <c r="AP64" i="4"/>
  <c r="B66" i="4"/>
  <c r="AW64" i="4" l="1"/>
  <c r="AU65" i="4"/>
  <c r="AL65" i="4"/>
  <c r="AH66" i="4"/>
  <c r="AB66" i="4"/>
  <c r="AE66" i="4" s="1"/>
  <c r="AG66" i="4" s="1"/>
  <c r="Z66" i="4"/>
  <c r="AS66" i="4"/>
  <c r="AU66" i="4" s="1"/>
  <c r="AJ66" i="4"/>
  <c r="AK66" i="4" s="1"/>
  <c r="AO65" i="4"/>
  <c r="AN65" i="4"/>
  <c r="AX64" i="4"/>
  <c r="AV65" i="4"/>
  <c r="AW65" i="4" s="1"/>
  <c r="AA66" i="4"/>
  <c r="X66" i="4"/>
  <c r="W66" i="4"/>
  <c r="AM66" i="4" s="1"/>
  <c r="AR64" i="4"/>
  <c r="AQ64" i="4"/>
  <c r="AF65" i="4"/>
  <c r="AP65" i="4"/>
  <c r="B67" i="4"/>
  <c r="AT66" i="4" l="1"/>
  <c r="AL66" i="4"/>
  <c r="AH67" i="4"/>
  <c r="AJ67" i="4" s="1"/>
  <c r="AK67" i="4" s="1"/>
  <c r="AB67" i="4"/>
  <c r="AE67" i="4" s="1"/>
  <c r="Z67" i="4"/>
  <c r="AS67" i="4"/>
  <c r="AU67" i="4" s="1"/>
  <c r="AO66" i="4"/>
  <c r="AN66" i="4"/>
  <c r="AX65" i="4"/>
  <c r="AV66" i="4"/>
  <c r="AW66" i="4" s="1"/>
  <c r="AA67" i="4"/>
  <c r="W67" i="4"/>
  <c r="AM67" i="4" s="1"/>
  <c r="AR65" i="4"/>
  <c r="AQ65" i="4"/>
  <c r="X67" i="4"/>
  <c r="AF66" i="4"/>
  <c r="AP66" i="4"/>
  <c r="B68" i="4"/>
  <c r="AG67" i="4" l="1"/>
  <c r="AT67" i="4"/>
  <c r="AL67" i="4"/>
  <c r="AH68" i="4"/>
  <c r="AB68" i="4"/>
  <c r="AE68" i="4" s="1"/>
  <c r="AG68" i="4" s="1"/>
  <c r="Z68" i="4"/>
  <c r="AS68" i="4"/>
  <c r="AU68" i="4" s="1"/>
  <c r="AJ68" i="4"/>
  <c r="AK68" i="4" s="1"/>
  <c r="AO67" i="4"/>
  <c r="AN67" i="4"/>
  <c r="AX66" i="4"/>
  <c r="AV67" i="4"/>
  <c r="AW67" i="4" s="1"/>
  <c r="W68" i="4"/>
  <c r="AM68" i="4" s="1"/>
  <c r="AA68" i="4"/>
  <c r="X68" i="4"/>
  <c r="CM14" i="4"/>
  <c r="AR66" i="4"/>
  <c r="AQ66" i="4"/>
  <c r="AF67" i="4"/>
  <c r="AP67" i="4"/>
  <c r="B69" i="4"/>
  <c r="CM17" i="4" s="1"/>
  <c r="AT68" i="4" l="1"/>
  <c r="AL68" i="4"/>
  <c r="Z69" i="4"/>
  <c r="AH69" i="4"/>
  <c r="AB69" i="4"/>
  <c r="AE69" i="4" s="1"/>
  <c r="AG69" i="4" s="1"/>
  <c r="AS69" i="4"/>
  <c r="AU69" i="4" s="1"/>
  <c r="AJ69" i="4"/>
  <c r="AK69" i="4" s="1"/>
  <c r="AO68" i="4"/>
  <c r="AN68" i="4"/>
  <c r="CK17" i="4"/>
  <c r="AX67" i="4"/>
  <c r="AV68" i="4"/>
  <c r="W69" i="4"/>
  <c r="AM69" i="4" s="1"/>
  <c r="AA69" i="4"/>
  <c r="AF68" i="4"/>
  <c r="AR67" i="4"/>
  <c r="AQ67" i="4"/>
  <c r="X69" i="4"/>
  <c r="AP68" i="4"/>
  <c r="B70" i="4"/>
  <c r="AT69" i="4" l="1"/>
  <c r="AL69" i="4"/>
  <c r="CK14" i="4"/>
  <c r="Z70" i="4"/>
  <c r="AH70" i="4"/>
  <c r="AJ70" i="4" s="1"/>
  <c r="AB70" i="4"/>
  <c r="AE70" i="4" s="1"/>
  <c r="AS70" i="4"/>
  <c r="AU70" i="4" s="1"/>
  <c r="AO69" i="4"/>
  <c r="AN69" i="4"/>
  <c r="AF69" i="4"/>
  <c r="AX68" i="4"/>
  <c r="AW68" i="4"/>
  <c r="AV69" i="4"/>
  <c r="AA70" i="4"/>
  <c r="X70" i="4"/>
  <c r="W70" i="4"/>
  <c r="AM70" i="4" s="1"/>
  <c r="AO70" i="4" s="1"/>
  <c r="AR68" i="4"/>
  <c r="AQ68" i="4"/>
  <c r="AP69" i="4"/>
  <c r="B71" i="4"/>
  <c r="CK15" i="4" s="1"/>
  <c r="AT70" i="4" l="1"/>
  <c r="AN70" i="4"/>
  <c r="AF70" i="4"/>
  <c r="AG70" i="4"/>
  <c r="AL70" i="4"/>
  <c r="AK70" i="4"/>
  <c r="Z71" i="4"/>
  <c r="AN71" i="4"/>
  <c r="AB71" i="4"/>
  <c r="AE71" i="4" s="1"/>
  <c r="AF71" i="4" s="1"/>
  <c r="AH71" i="4"/>
  <c r="AJ71" i="4" s="1"/>
  <c r="AS71" i="4"/>
  <c r="AU71" i="4" s="1"/>
  <c r="AK71" i="4"/>
  <c r="AR69" i="4"/>
  <c r="AQ69" i="4"/>
  <c r="AX69" i="4"/>
  <c r="AW69" i="4"/>
  <c r="AV70" i="4"/>
  <c r="AA71" i="4"/>
  <c r="X71" i="4"/>
  <c r="W71" i="4"/>
  <c r="AM71" i="4" s="1"/>
  <c r="AO71" i="4" s="1"/>
  <c r="AP70" i="4"/>
  <c r="B72" i="4"/>
  <c r="AG72" i="4" s="1"/>
  <c r="AT71" i="4" l="1"/>
  <c r="AG71" i="4"/>
  <c r="AL71" i="4"/>
  <c r="AB72" i="4"/>
  <c r="AE72" i="4" s="1"/>
  <c r="AF72" i="4" s="1"/>
  <c r="AT72" i="4"/>
  <c r="AH72" i="4"/>
  <c r="AJ72" i="4" s="1"/>
  <c r="AL72" i="4" s="1"/>
  <c r="Z72" i="4"/>
  <c r="AN72" i="4"/>
  <c r="AS72" i="4"/>
  <c r="AU72" i="4" s="1"/>
  <c r="AK72" i="4"/>
  <c r="AX70" i="4"/>
  <c r="AW70" i="4"/>
  <c r="BT17" i="4" s="1"/>
  <c r="AR70" i="4"/>
  <c r="AQ70" i="4"/>
  <c r="AV71" i="4"/>
  <c r="AX71" i="4" s="1"/>
  <c r="W72" i="4"/>
  <c r="AM72" i="4" s="1"/>
  <c r="AO72" i="4" s="1"/>
  <c r="AA72" i="4"/>
  <c r="X72" i="4"/>
  <c r="AP71" i="4"/>
  <c r="B73" i="4"/>
  <c r="AG73" i="4" s="1"/>
  <c r="AR71" i="4" l="1"/>
  <c r="AQ71" i="4"/>
  <c r="AH73" i="4"/>
  <c r="AJ73" i="4" s="1"/>
  <c r="AL73" i="4" s="1"/>
  <c r="AT73" i="4"/>
  <c r="AB73" i="4"/>
  <c r="AE73" i="4" s="1"/>
  <c r="AF73" i="4" s="1"/>
  <c r="Z73" i="4"/>
  <c r="AN73" i="4"/>
  <c r="AS73" i="4"/>
  <c r="AU73" i="4" s="1"/>
  <c r="AK73" i="4"/>
  <c r="AV72" i="4"/>
  <c r="AX72" i="4" s="1"/>
  <c r="AA73" i="4"/>
  <c r="X73" i="4"/>
  <c r="W73" i="4"/>
  <c r="AM73" i="4" s="1"/>
  <c r="AO73" i="4" s="1"/>
  <c r="AP72" i="4"/>
  <c r="AR72" i="4" s="1"/>
  <c r="B74" i="4"/>
  <c r="AG74" i="4" s="1"/>
  <c r="AH74" i="4" l="1"/>
  <c r="AB74" i="4"/>
  <c r="Z74" i="4"/>
  <c r="AT74" i="4"/>
  <c r="AN74" i="4"/>
  <c r="AS74" i="4"/>
  <c r="AU74" i="4" s="1"/>
  <c r="AJ74" i="4"/>
  <c r="AL74" i="4" s="1"/>
  <c r="AK74" i="4"/>
  <c r="AV73" i="4"/>
  <c r="AX73" i="4" s="1"/>
  <c r="W74" i="4"/>
  <c r="AM74" i="4" s="1"/>
  <c r="AO74" i="4" s="1"/>
  <c r="AA74" i="4"/>
  <c r="X74" i="4"/>
  <c r="AP73" i="4"/>
  <c r="AR73" i="4" s="1"/>
  <c r="B75" i="4"/>
  <c r="AG75" i="4" s="1"/>
  <c r="AE74" i="4"/>
  <c r="AF74" i="4" s="1"/>
  <c r="AH75" i="4" l="1"/>
  <c r="AB75" i="4"/>
  <c r="Z75" i="4"/>
  <c r="AT75" i="4"/>
  <c r="AN75" i="4"/>
  <c r="AS75" i="4"/>
  <c r="AU75" i="4" s="1"/>
  <c r="AJ75" i="4"/>
  <c r="AL75" i="4" s="1"/>
  <c r="AK75" i="4"/>
  <c r="AV74" i="4"/>
  <c r="AX74" i="4" s="1"/>
  <c r="AA75" i="4"/>
  <c r="X75" i="4"/>
  <c r="W75" i="4"/>
  <c r="AM75" i="4" s="1"/>
  <c r="AO75" i="4" s="1"/>
  <c r="AP74" i="4"/>
  <c r="AR74" i="4" s="1"/>
  <c r="AE75" i="4"/>
  <c r="AF75" i="4" s="1"/>
  <c r="B76" i="4"/>
  <c r="AG76" i="4" s="1"/>
  <c r="AN76" i="4" l="1"/>
  <c r="AH76" i="4"/>
  <c r="AB76" i="4"/>
  <c r="Z76" i="4"/>
  <c r="AT76" i="4"/>
  <c r="AS76" i="4"/>
  <c r="AU76" i="4" s="1"/>
  <c r="AJ76" i="4"/>
  <c r="AL76" i="4" s="1"/>
  <c r="AK76" i="4"/>
  <c r="AV75" i="4"/>
  <c r="AX75" i="4" s="1"/>
  <c r="W76" i="4"/>
  <c r="AM76" i="4" s="1"/>
  <c r="AO76" i="4" s="1"/>
  <c r="AA76" i="4"/>
  <c r="X76" i="4"/>
  <c r="AP75" i="4"/>
  <c r="AR75" i="4" s="1"/>
  <c r="B77" i="4"/>
  <c r="AG77" i="4" s="1"/>
  <c r="AE76" i="4"/>
  <c r="AF76" i="4" s="1"/>
  <c r="AN77" i="4" l="1"/>
  <c r="AH77" i="4"/>
  <c r="AB77" i="4"/>
  <c r="AE77" i="4" s="1"/>
  <c r="AF77" i="4" s="1"/>
  <c r="Z77" i="4"/>
  <c r="AT77" i="4"/>
  <c r="AS77" i="4"/>
  <c r="AU77" i="4" s="1"/>
  <c r="AJ77" i="4"/>
  <c r="AL77" i="4" s="1"/>
  <c r="AK77" i="4"/>
  <c r="AV76" i="4"/>
  <c r="AX76" i="4" s="1"/>
  <c r="AA77" i="4"/>
  <c r="X77" i="4"/>
  <c r="W77" i="4"/>
  <c r="AM77" i="4" s="1"/>
  <c r="AO77" i="4" s="1"/>
  <c r="AP76" i="4"/>
  <c r="AR76" i="4" s="1"/>
  <c r="B78" i="4"/>
  <c r="AG78" i="4" s="1"/>
  <c r="Z78" i="4" l="1"/>
  <c r="AT78" i="4"/>
  <c r="AN78" i="4"/>
  <c r="AH78" i="4"/>
  <c r="AB78" i="4"/>
  <c r="AE78" i="4" s="1"/>
  <c r="AF78" i="4" s="1"/>
  <c r="AS78" i="4"/>
  <c r="AU78" i="4" s="1"/>
  <c r="AJ78" i="4"/>
  <c r="AL78" i="4" s="1"/>
  <c r="AK78" i="4"/>
  <c r="AV77" i="4"/>
  <c r="AX77" i="4" s="1"/>
  <c r="W78" i="4"/>
  <c r="AM78" i="4" s="1"/>
  <c r="AO78" i="4" s="1"/>
  <c r="AA78" i="4"/>
  <c r="X78" i="4"/>
  <c r="AP77" i="4"/>
  <c r="AR77" i="4" s="1"/>
  <c r="B79" i="4"/>
  <c r="AG79" i="4" s="1"/>
  <c r="AB79" i="4" l="1"/>
  <c r="Z79" i="4"/>
  <c r="AT79" i="4"/>
  <c r="AN79" i="4"/>
  <c r="AH79" i="4"/>
  <c r="AJ79" i="4" s="1"/>
  <c r="AL79" i="4" s="1"/>
  <c r="AS79" i="4"/>
  <c r="AU79" i="4" s="1"/>
  <c r="AK79" i="4"/>
  <c r="AV78" i="4"/>
  <c r="AX78" i="4" s="1"/>
  <c r="AA79" i="4"/>
  <c r="X79" i="4"/>
  <c r="W79" i="4"/>
  <c r="AM79" i="4" s="1"/>
  <c r="AO79" i="4" s="1"/>
  <c r="AP78" i="4"/>
  <c r="AR78" i="4" s="1"/>
  <c r="AE79" i="4"/>
  <c r="AF79" i="4" s="1"/>
  <c r="B80" i="4"/>
  <c r="AG80" i="4" s="1"/>
  <c r="AB80" i="4" l="1"/>
  <c r="Z80" i="4"/>
  <c r="AT80" i="4"/>
  <c r="AH80" i="4"/>
  <c r="AN80" i="4"/>
  <c r="AS80" i="4"/>
  <c r="AU80" i="4" s="1"/>
  <c r="AJ80" i="4"/>
  <c r="AL80" i="4" s="1"/>
  <c r="AK80" i="4"/>
  <c r="AV79" i="4"/>
  <c r="AX79" i="4" s="1"/>
  <c r="W80" i="4"/>
  <c r="AM80" i="4" s="1"/>
  <c r="AO80" i="4" s="1"/>
  <c r="AA80" i="4"/>
  <c r="X80" i="4"/>
  <c r="AP79" i="4"/>
  <c r="AR79" i="4" s="1"/>
  <c r="B81" i="4"/>
  <c r="AG81" i="4" s="1"/>
  <c r="AE80" i="4"/>
  <c r="AF80" i="4" s="1"/>
  <c r="AH81" i="4" l="1"/>
  <c r="AT81" i="4"/>
  <c r="AB81" i="4"/>
  <c r="Z81" i="4"/>
  <c r="AN81" i="4"/>
  <c r="AS81" i="4"/>
  <c r="AU81" i="4" s="1"/>
  <c r="AJ81" i="4"/>
  <c r="AL81" i="4" s="1"/>
  <c r="AK81" i="4"/>
  <c r="AV80" i="4"/>
  <c r="AX80" i="4" s="1"/>
  <c r="AA81" i="4"/>
  <c r="X81" i="4"/>
  <c r="W81" i="4"/>
  <c r="AM81" i="4" s="1"/>
  <c r="AO81" i="4" s="1"/>
  <c r="AP80" i="4"/>
  <c r="AR80" i="4" s="1"/>
  <c r="B82" i="4"/>
  <c r="AG82" i="4" s="1"/>
  <c r="AE81" i="4"/>
  <c r="AF81" i="4" s="1"/>
  <c r="AH82" i="4" l="1"/>
  <c r="AB82" i="4"/>
  <c r="Z82" i="4"/>
  <c r="AT82" i="4"/>
  <c r="AN82" i="4"/>
  <c r="AS82" i="4"/>
  <c r="AU82" i="4" s="1"/>
  <c r="AJ82" i="4"/>
  <c r="AL82" i="4" s="1"/>
  <c r="AK82" i="4"/>
  <c r="AV81" i="4"/>
  <c r="AX81" i="4" s="1"/>
  <c r="W82" i="4"/>
  <c r="AM82" i="4" s="1"/>
  <c r="AO82" i="4" s="1"/>
  <c r="AA82" i="4"/>
  <c r="X82" i="4"/>
  <c r="AP82" i="4" s="1"/>
  <c r="AP81" i="4"/>
  <c r="AR81" i="4" s="1"/>
  <c r="B83" i="4"/>
  <c r="AG83" i="4" s="1"/>
  <c r="AE82" i="4"/>
  <c r="AF82" i="4" s="1"/>
  <c r="AH83" i="4" l="1"/>
  <c r="AB83" i="4"/>
  <c r="AN83" i="4"/>
  <c r="Z83" i="4"/>
  <c r="AT83" i="4"/>
  <c r="AS83" i="4"/>
  <c r="AU83" i="4" s="1"/>
  <c r="AJ83" i="4"/>
  <c r="AL83" i="4" s="1"/>
  <c r="AK83" i="4"/>
  <c r="AV82" i="4"/>
  <c r="AX82" i="4" s="1"/>
  <c r="AA83" i="4"/>
  <c r="X83" i="4"/>
  <c r="W83" i="4"/>
  <c r="AM83" i="4" s="1"/>
  <c r="AO83" i="4" s="1"/>
  <c r="AR82" i="4"/>
  <c r="B84" i="4"/>
  <c r="AG84" i="4" s="1"/>
  <c r="AE83" i="4"/>
  <c r="AF83" i="4" s="1"/>
  <c r="AN84" i="4" l="1"/>
  <c r="AH84" i="4"/>
  <c r="AB84" i="4"/>
  <c r="Z84" i="4"/>
  <c r="AT84" i="4"/>
  <c r="AS84" i="4"/>
  <c r="AU84" i="4" s="1"/>
  <c r="AJ84" i="4"/>
  <c r="AL84" i="4" s="1"/>
  <c r="AK84" i="4"/>
  <c r="AV83" i="4"/>
  <c r="AX83" i="4" s="1"/>
  <c r="W84" i="4"/>
  <c r="AM84" i="4" s="1"/>
  <c r="AO84" i="4" s="1"/>
  <c r="AA84" i="4"/>
  <c r="X84" i="4"/>
  <c r="AP83" i="4"/>
  <c r="AR83" i="4" s="1"/>
  <c r="B85" i="4"/>
  <c r="AG85" i="4" s="1"/>
  <c r="AE84" i="4"/>
  <c r="AF84" i="4" s="1"/>
  <c r="AN85" i="4" l="1"/>
  <c r="AT85" i="4"/>
  <c r="AH85" i="4"/>
  <c r="AB85" i="4"/>
  <c r="Z85" i="4"/>
  <c r="AS85" i="4"/>
  <c r="AU85" i="4" s="1"/>
  <c r="AJ85" i="4"/>
  <c r="AL85" i="4" s="1"/>
  <c r="AK85" i="4"/>
  <c r="AV84" i="4"/>
  <c r="AX84" i="4" s="1"/>
  <c r="AA85" i="4"/>
  <c r="X85" i="4"/>
  <c r="W85" i="4"/>
  <c r="AM85" i="4" s="1"/>
  <c r="AO85" i="4" s="1"/>
  <c r="AP84" i="4"/>
  <c r="AR84" i="4" s="1"/>
  <c r="B86" i="4"/>
  <c r="AG86" i="4" s="1"/>
  <c r="AE85" i="4"/>
  <c r="AF85" i="4" s="1"/>
  <c r="Z86" i="4" l="1"/>
  <c r="AT86" i="4"/>
  <c r="AN86" i="4"/>
  <c r="AH86" i="4"/>
  <c r="AB86" i="4"/>
  <c r="AE86" i="4" s="1"/>
  <c r="AF86" i="4" s="1"/>
  <c r="AS86" i="4"/>
  <c r="AU86" i="4" s="1"/>
  <c r="AJ86" i="4"/>
  <c r="AL86" i="4" s="1"/>
  <c r="AK86" i="4"/>
  <c r="AV85" i="4"/>
  <c r="AX85" i="4" s="1"/>
  <c r="W86" i="4"/>
  <c r="AM86" i="4" s="1"/>
  <c r="AO86" i="4" s="1"/>
  <c r="AA86" i="4"/>
  <c r="X86" i="4"/>
  <c r="AP85" i="4"/>
  <c r="AR85" i="4" s="1"/>
  <c r="B87" i="4"/>
  <c r="AG87" i="4" s="1"/>
  <c r="Z87" i="4" l="1"/>
  <c r="AT87" i="4"/>
  <c r="AN87" i="4"/>
  <c r="AB87" i="4"/>
  <c r="AE87" i="4" s="1"/>
  <c r="AF87" i="4" s="1"/>
  <c r="AH87" i="4"/>
  <c r="AJ87" i="4" s="1"/>
  <c r="AL87" i="4" s="1"/>
  <c r="AS87" i="4"/>
  <c r="AU87" i="4" s="1"/>
  <c r="AK87" i="4"/>
  <c r="AV86" i="4"/>
  <c r="AX86" i="4" s="1"/>
  <c r="AA87" i="4"/>
  <c r="X87" i="4"/>
  <c r="W87" i="4"/>
  <c r="AM87" i="4" s="1"/>
  <c r="AO87" i="4" s="1"/>
  <c r="AP86" i="4"/>
  <c r="AR86" i="4" s="1"/>
  <c r="B88" i="4"/>
  <c r="AG88" i="4" s="1"/>
  <c r="AB88" i="4" l="1"/>
  <c r="AT88" i="4"/>
  <c r="Z88" i="4"/>
  <c r="AN88" i="4"/>
  <c r="AH88" i="4"/>
  <c r="AJ88" i="4" s="1"/>
  <c r="AL88" i="4" s="1"/>
  <c r="AS88" i="4"/>
  <c r="AU88" i="4" s="1"/>
  <c r="AK88" i="4"/>
  <c r="AV87" i="4"/>
  <c r="AX87" i="4" s="1"/>
  <c r="W88" i="4"/>
  <c r="AM88" i="4" s="1"/>
  <c r="AO88" i="4" s="1"/>
  <c r="AA88" i="4"/>
  <c r="X88" i="4"/>
  <c r="AP87" i="4"/>
  <c r="AR87" i="4" s="1"/>
  <c r="B89" i="4"/>
  <c r="AG89" i="4" s="1"/>
  <c r="AE88" i="4"/>
  <c r="AF88" i="4" s="1"/>
  <c r="AH89" i="4" l="1"/>
  <c r="AB89" i="4"/>
  <c r="AT89" i="4"/>
  <c r="Z89" i="4"/>
  <c r="AN89" i="4"/>
  <c r="AS89" i="4"/>
  <c r="AU89" i="4" s="1"/>
  <c r="AJ89" i="4"/>
  <c r="AL89" i="4" s="1"/>
  <c r="AK89" i="4"/>
  <c r="AV88" i="4"/>
  <c r="AX88" i="4" s="1"/>
  <c r="AA89" i="4"/>
  <c r="X89" i="4"/>
  <c r="W89" i="4"/>
  <c r="AM89" i="4" s="1"/>
  <c r="AO89" i="4" s="1"/>
  <c r="AP88" i="4"/>
  <c r="AR88" i="4" s="1"/>
  <c r="B90" i="4"/>
  <c r="AG90" i="4" s="1"/>
  <c r="AE89" i="4"/>
  <c r="AF89" i="4" s="1"/>
  <c r="AH90" i="4" l="1"/>
  <c r="AB90" i="4"/>
  <c r="Z90" i="4"/>
  <c r="AT90" i="4"/>
  <c r="AN90" i="4"/>
  <c r="AS90" i="4"/>
  <c r="AU90" i="4" s="1"/>
  <c r="AJ90" i="4"/>
  <c r="AL90" i="4" s="1"/>
  <c r="AK90" i="4"/>
  <c r="AV89" i="4"/>
  <c r="AX89" i="4" s="1"/>
  <c r="W90" i="4"/>
  <c r="AM90" i="4" s="1"/>
  <c r="AO90" i="4" s="1"/>
  <c r="AA90" i="4"/>
  <c r="X90" i="4"/>
  <c r="AP89" i="4"/>
  <c r="AR89" i="4" s="1"/>
  <c r="B91" i="4"/>
  <c r="AG91" i="4" s="1"/>
  <c r="AE90" i="4"/>
  <c r="AF90" i="4" s="1"/>
  <c r="AH91" i="4" l="1"/>
  <c r="AB91" i="4"/>
  <c r="AN91" i="4"/>
  <c r="Z91" i="4"/>
  <c r="AT91" i="4"/>
  <c r="AS91" i="4"/>
  <c r="AU91" i="4" s="1"/>
  <c r="AJ91" i="4"/>
  <c r="AL91" i="4" s="1"/>
  <c r="AK91" i="4"/>
  <c r="AV90" i="4"/>
  <c r="AX90" i="4" s="1"/>
  <c r="AA91" i="4"/>
  <c r="X91" i="4"/>
  <c r="W91" i="4"/>
  <c r="AM91" i="4" s="1"/>
  <c r="AO91" i="4" s="1"/>
  <c r="AP90" i="4"/>
  <c r="AR90" i="4" s="1"/>
  <c r="B92" i="4"/>
  <c r="AG92" i="4" s="1"/>
  <c r="AE91" i="4"/>
  <c r="AF91" i="4" s="1"/>
  <c r="AN92" i="4" l="1"/>
  <c r="AH92" i="4"/>
  <c r="AB92" i="4"/>
  <c r="Z92" i="4"/>
  <c r="AT92" i="4"/>
  <c r="AS92" i="4"/>
  <c r="AU92" i="4" s="1"/>
  <c r="AJ92" i="4"/>
  <c r="AL92" i="4" s="1"/>
  <c r="AK92" i="4"/>
  <c r="AV91" i="4"/>
  <c r="AX91" i="4" s="1"/>
  <c r="W92" i="4"/>
  <c r="AM92" i="4" s="1"/>
  <c r="AO92" i="4" s="1"/>
  <c r="AA92" i="4"/>
  <c r="X92" i="4"/>
  <c r="AP91" i="4"/>
  <c r="AR91" i="4" s="1"/>
  <c r="B93" i="4"/>
  <c r="AG93" i="4" s="1"/>
  <c r="AE92" i="4"/>
  <c r="AF92" i="4" s="1"/>
  <c r="AN93" i="4" l="1"/>
  <c r="Z93" i="4"/>
  <c r="AH93" i="4"/>
  <c r="AB93" i="4"/>
  <c r="AE93" i="4" s="1"/>
  <c r="AF93" i="4" s="1"/>
  <c r="AT93" i="4"/>
  <c r="AS93" i="4"/>
  <c r="AU93" i="4" s="1"/>
  <c r="AJ93" i="4"/>
  <c r="AL93" i="4" s="1"/>
  <c r="AK93" i="4"/>
  <c r="AV92" i="4"/>
  <c r="AX92" i="4" s="1"/>
  <c r="AA93" i="4"/>
  <c r="X93" i="4"/>
  <c r="W93" i="4"/>
  <c r="AM93" i="4" s="1"/>
  <c r="AO93" i="4" s="1"/>
  <c r="AP92" i="4"/>
  <c r="AR92" i="4" s="1"/>
  <c r="B94" i="4"/>
  <c r="AG94" i="4" s="1"/>
  <c r="Z94" i="4" l="1"/>
  <c r="AT94" i="4"/>
  <c r="AN94" i="4"/>
  <c r="AH94" i="4"/>
  <c r="AJ94" i="4" s="1"/>
  <c r="AB94" i="4"/>
  <c r="AE94" i="4" s="1"/>
  <c r="AF94" i="4" s="1"/>
  <c r="AS94" i="4"/>
  <c r="AU94" i="4" s="1"/>
  <c r="AK94" i="4"/>
  <c r="AV93" i="4"/>
  <c r="AX93" i="4" s="1"/>
  <c r="W94" i="4"/>
  <c r="AM94" i="4" s="1"/>
  <c r="AO94" i="4" s="1"/>
  <c r="AA94" i="4"/>
  <c r="X94" i="4"/>
  <c r="AP93" i="4"/>
  <c r="AR93" i="4" s="1"/>
  <c r="B95" i="4"/>
  <c r="AG95" i="4" s="1"/>
  <c r="AL94" i="4" l="1"/>
  <c r="Z95" i="4"/>
  <c r="AT95" i="4"/>
  <c r="AN95" i="4"/>
  <c r="AB95" i="4"/>
  <c r="AH95" i="4"/>
  <c r="AJ95" i="4" s="1"/>
  <c r="AL95" i="4" s="1"/>
  <c r="AS95" i="4"/>
  <c r="AU95" i="4" s="1"/>
  <c r="AK95" i="4"/>
  <c r="AV94" i="4"/>
  <c r="AX94" i="4" s="1"/>
  <c r="AA95" i="4"/>
  <c r="X95" i="4"/>
  <c r="W95" i="4"/>
  <c r="AM95" i="4" s="1"/>
  <c r="AO95" i="4" s="1"/>
  <c r="AP94" i="4"/>
  <c r="AR94" i="4" s="1"/>
  <c r="B96" i="4"/>
  <c r="AG96" i="4" s="1"/>
  <c r="AE95" i="4"/>
  <c r="AF95" i="4" s="1"/>
  <c r="AB96" i="4" l="1"/>
  <c r="AT96" i="4"/>
  <c r="Z96" i="4"/>
  <c r="AN96" i="4"/>
  <c r="AH96" i="4"/>
  <c r="AJ96" i="4" s="1"/>
  <c r="AL96" i="4" s="1"/>
  <c r="AS96" i="4"/>
  <c r="AU96" i="4" s="1"/>
  <c r="AK96" i="4"/>
  <c r="AV95" i="4"/>
  <c r="AX95" i="4" s="1"/>
  <c r="W96" i="4"/>
  <c r="AM96" i="4" s="1"/>
  <c r="AO96" i="4" s="1"/>
  <c r="AA96" i="4"/>
  <c r="X96" i="4"/>
  <c r="AP95" i="4"/>
  <c r="AR95" i="4" s="1"/>
  <c r="B97" i="4"/>
  <c r="AG97" i="4" s="1"/>
  <c r="AE96" i="4"/>
  <c r="AF96" i="4" s="1"/>
  <c r="AH97" i="4" l="1"/>
  <c r="AT97" i="4"/>
  <c r="AB97" i="4"/>
  <c r="Z97" i="4"/>
  <c r="AN97" i="4"/>
  <c r="AS97" i="4"/>
  <c r="AU97" i="4" s="1"/>
  <c r="AJ97" i="4"/>
  <c r="AL97" i="4" s="1"/>
  <c r="AK97" i="4"/>
  <c r="AV96" i="4"/>
  <c r="AX96" i="4" s="1"/>
  <c r="AA97" i="4"/>
  <c r="X97" i="4"/>
  <c r="W97" i="4"/>
  <c r="AM97" i="4" s="1"/>
  <c r="AO97" i="4" s="1"/>
  <c r="AP96" i="4"/>
  <c r="AR96" i="4" s="1"/>
  <c r="B98" i="4"/>
  <c r="AG98" i="4" s="1"/>
  <c r="AE97" i="4"/>
  <c r="AF97" i="4" s="1"/>
  <c r="AH98" i="4" l="1"/>
  <c r="AB98" i="4"/>
  <c r="Z98" i="4"/>
  <c r="AT98" i="4"/>
  <c r="AN98" i="4"/>
  <c r="AS98" i="4"/>
  <c r="AU98" i="4" s="1"/>
  <c r="AJ98" i="4"/>
  <c r="AL98" i="4" s="1"/>
  <c r="AK98" i="4"/>
  <c r="AV97" i="4"/>
  <c r="AX97" i="4" s="1"/>
  <c r="W98" i="4"/>
  <c r="AM98" i="4" s="1"/>
  <c r="AO98" i="4" s="1"/>
  <c r="AA98" i="4"/>
  <c r="X98" i="4"/>
  <c r="AP97" i="4"/>
  <c r="AR97" i="4" s="1"/>
  <c r="B99" i="4"/>
  <c r="AG99" i="4" s="1"/>
  <c r="AE98" i="4"/>
  <c r="AF98" i="4" s="1"/>
  <c r="AH99" i="4" l="1"/>
  <c r="AN99" i="4"/>
  <c r="AB99" i="4"/>
  <c r="Z99" i="4"/>
  <c r="AT99" i="4"/>
  <c r="AS99" i="4"/>
  <c r="AU99" i="4" s="1"/>
  <c r="AJ99" i="4"/>
  <c r="AL99" i="4" s="1"/>
  <c r="AK99" i="4"/>
  <c r="AV98" i="4"/>
  <c r="AX98" i="4" s="1"/>
  <c r="AA99" i="4"/>
  <c r="X99" i="4"/>
  <c r="W99" i="4"/>
  <c r="AM99" i="4" s="1"/>
  <c r="AO99" i="4" s="1"/>
  <c r="AP98" i="4"/>
  <c r="AR98" i="4" s="1"/>
  <c r="B100" i="4"/>
  <c r="AG100" i="4" s="1"/>
  <c r="AE99" i="4"/>
  <c r="AF99" i="4" s="1"/>
  <c r="AN100" i="4" l="1"/>
  <c r="AH100" i="4"/>
  <c r="AB100" i="4"/>
  <c r="Z100" i="4"/>
  <c r="AT100" i="4"/>
  <c r="AS100" i="4"/>
  <c r="AU100" i="4" s="1"/>
  <c r="AJ100" i="4"/>
  <c r="AL100" i="4" s="1"/>
  <c r="AK100" i="4"/>
  <c r="AV99" i="4"/>
  <c r="AX99" i="4" s="1"/>
  <c r="W100" i="4"/>
  <c r="AM100" i="4" s="1"/>
  <c r="AO100" i="4" s="1"/>
  <c r="AA100" i="4"/>
  <c r="X100" i="4"/>
  <c r="AP99" i="4"/>
  <c r="AR99" i="4" s="1"/>
  <c r="B101" i="4"/>
  <c r="AG101" i="4" s="1"/>
  <c r="AE100" i="4"/>
  <c r="AF100" i="4" s="1"/>
  <c r="AN101" i="4" l="1"/>
  <c r="AH101" i="4"/>
  <c r="Z101" i="4"/>
  <c r="AT101" i="4"/>
  <c r="AB101" i="4"/>
  <c r="AE101" i="4" s="1"/>
  <c r="AF101" i="4" s="1"/>
  <c r="AS101" i="4"/>
  <c r="AU101" i="4" s="1"/>
  <c r="AJ101" i="4"/>
  <c r="AL101" i="4" s="1"/>
  <c r="AK101" i="4"/>
  <c r="AV100" i="4"/>
  <c r="AX100" i="4" s="1"/>
  <c r="AA101" i="4"/>
  <c r="X101" i="4"/>
  <c r="W101" i="4"/>
  <c r="AM101" i="4" s="1"/>
  <c r="AO101" i="4" s="1"/>
  <c r="AP100" i="4"/>
  <c r="AR100" i="4" s="1"/>
  <c r="B102" i="4"/>
  <c r="AG102" i="4" s="1"/>
  <c r="Z102" i="4" l="1"/>
  <c r="AT102" i="4"/>
  <c r="AN102" i="4"/>
  <c r="AH102" i="4"/>
  <c r="AJ102" i="4" s="1"/>
  <c r="AB102" i="4"/>
  <c r="AE102" i="4" s="1"/>
  <c r="AF102" i="4" s="1"/>
  <c r="AS102" i="4"/>
  <c r="AU102" i="4" s="1"/>
  <c r="AK102" i="4"/>
  <c r="AV101" i="4"/>
  <c r="AX101" i="4" s="1"/>
  <c r="W102" i="4"/>
  <c r="AM102" i="4" s="1"/>
  <c r="AO102" i="4" s="1"/>
  <c r="AA102" i="4"/>
  <c r="X102" i="4"/>
  <c r="AP101" i="4"/>
  <c r="AR101" i="4" s="1"/>
  <c r="B103" i="4"/>
  <c r="AG103" i="4" s="1"/>
  <c r="AL102" i="4" l="1"/>
  <c r="Z103" i="4"/>
  <c r="AT103" i="4"/>
  <c r="AN103" i="4"/>
  <c r="AB103" i="4"/>
  <c r="AH103" i="4"/>
  <c r="AJ103" i="4" s="1"/>
  <c r="AL103" i="4" s="1"/>
  <c r="AS103" i="4"/>
  <c r="AU103" i="4" s="1"/>
  <c r="AK103" i="4"/>
  <c r="AV102" i="4"/>
  <c r="AX102" i="4" s="1"/>
  <c r="AA103" i="4"/>
  <c r="X103" i="4"/>
  <c r="W103" i="4"/>
  <c r="AM103" i="4" s="1"/>
  <c r="AO103" i="4" s="1"/>
  <c r="AP102" i="4"/>
  <c r="AR102" i="4" s="1"/>
  <c r="B104" i="4"/>
  <c r="AG104" i="4" s="1"/>
  <c r="AE103" i="4"/>
  <c r="AF103" i="4" s="1"/>
  <c r="AB104" i="4" l="1"/>
  <c r="AT104" i="4"/>
  <c r="AH104" i="4"/>
  <c r="Z104" i="4"/>
  <c r="AN104" i="4"/>
  <c r="AS104" i="4"/>
  <c r="AU104" i="4" s="1"/>
  <c r="AJ104" i="4"/>
  <c r="AL104" i="4" s="1"/>
  <c r="AK104" i="4"/>
  <c r="AV103" i="4"/>
  <c r="AX103" i="4" s="1"/>
  <c r="W104" i="4"/>
  <c r="AM104" i="4" s="1"/>
  <c r="AO104" i="4" s="1"/>
  <c r="AA104" i="4"/>
  <c r="X104" i="4"/>
  <c r="AP103" i="4"/>
  <c r="AR103" i="4" s="1"/>
  <c r="B105" i="4"/>
  <c r="AG105" i="4" s="1"/>
  <c r="AE104" i="4"/>
  <c r="AF104" i="4" s="1"/>
  <c r="AH105" i="4" l="1"/>
  <c r="AB105" i="4"/>
  <c r="AT105" i="4"/>
  <c r="Z105" i="4"/>
  <c r="AN105" i="4"/>
  <c r="AS105" i="4"/>
  <c r="AU105" i="4" s="1"/>
  <c r="AJ105" i="4"/>
  <c r="AL105" i="4" s="1"/>
  <c r="AK105" i="4"/>
  <c r="AV104" i="4"/>
  <c r="AX104" i="4" s="1"/>
  <c r="AA105" i="4"/>
  <c r="X105" i="4"/>
  <c r="W105" i="4"/>
  <c r="AM105" i="4" s="1"/>
  <c r="AO105" i="4" s="1"/>
  <c r="AP104" i="4"/>
  <c r="AR104" i="4" s="1"/>
  <c r="B106" i="4"/>
  <c r="AG106" i="4" s="1"/>
  <c r="AE105" i="4"/>
  <c r="AF105" i="4" s="1"/>
  <c r="AH106" i="4" l="1"/>
  <c r="AB106" i="4"/>
  <c r="Z106" i="4"/>
  <c r="AT106" i="4"/>
  <c r="AN106" i="4"/>
  <c r="AS106" i="4"/>
  <c r="AU106" i="4" s="1"/>
  <c r="AJ106" i="4"/>
  <c r="AL106" i="4" s="1"/>
  <c r="AK106" i="4"/>
  <c r="AV105" i="4"/>
  <c r="AX105" i="4" s="1"/>
  <c r="W106" i="4"/>
  <c r="AM106" i="4" s="1"/>
  <c r="AO106" i="4" s="1"/>
  <c r="AA106" i="4"/>
  <c r="X106" i="4"/>
  <c r="AP105" i="4"/>
  <c r="AR105" i="4" s="1"/>
  <c r="B107" i="4"/>
  <c r="AG107" i="4" s="1"/>
  <c r="AE106" i="4"/>
  <c r="AF106" i="4" s="1"/>
  <c r="AN107" i="4" l="1"/>
  <c r="AH107" i="4"/>
  <c r="AJ107" i="4" s="1"/>
  <c r="AB107" i="4"/>
  <c r="Z107" i="4"/>
  <c r="AT107" i="4"/>
  <c r="AS107" i="4"/>
  <c r="AU107" i="4" s="1"/>
  <c r="AK107" i="4"/>
  <c r="AV106" i="4"/>
  <c r="AX106" i="4" s="1"/>
  <c r="AA107" i="4"/>
  <c r="X107" i="4"/>
  <c r="W107" i="4"/>
  <c r="AM107" i="4" s="1"/>
  <c r="AO107" i="4" s="1"/>
  <c r="AP106" i="4"/>
  <c r="AR106" i="4" s="1"/>
  <c r="B108" i="4"/>
  <c r="AG108" i="4" s="1"/>
  <c r="AE107" i="4"/>
  <c r="AF107" i="4" s="1"/>
  <c r="AL107" i="4" l="1"/>
  <c r="AN108" i="4"/>
  <c r="AH108" i="4"/>
  <c r="AJ108" i="4" s="1"/>
  <c r="AB108" i="4"/>
  <c r="Z108" i="4"/>
  <c r="AT108" i="4"/>
  <c r="AS108" i="4"/>
  <c r="AU108" i="4" s="1"/>
  <c r="AK108" i="4"/>
  <c r="AV107" i="4"/>
  <c r="AX107" i="4" s="1"/>
  <c r="W108" i="4"/>
  <c r="AM108" i="4" s="1"/>
  <c r="AO108" i="4" s="1"/>
  <c r="AA108" i="4"/>
  <c r="X108" i="4"/>
  <c r="AP107" i="4"/>
  <c r="AR107" i="4" s="1"/>
  <c r="B109" i="4"/>
  <c r="AG109" i="4" s="1"/>
  <c r="AE108" i="4"/>
  <c r="AF108" i="4" s="1"/>
  <c r="AN109" i="4" l="1"/>
  <c r="Z109" i="4"/>
  <c r="AT109" i="4"/>
  <c r="AH109" i="4"/>
  <c r="AJ109" i="4" s="1"/>
  <c r="AB109" i="4"/>
  <c r="AE109" i="4" s="1"/>
  <c r="AF109" i="4" s="1"/>
  <c r="AS109" i="4"/>
  <c r="AU109" i="4" s="1"/>
  <c r="AK109" i="4"/>
  <c r="AL108" i="4"/>
  <c r="AV108" i="4"/>
  <c r="AX108" i="4" s="1"/>
  <c r="AA109" i="4"/>
  <c r="X109" i="4"/>
  <c r="W109" i="4"/>
  <c r="AM109" i="4" s="1"/>
  <c r="AO109" i="4" s="1"/>
  <c r="AP108" i="4"/>
  <c r="AR108" i="4" s="1"/>
  <c r="B110" i="4"/>
  <c r="AG110" i="4" s="1"/>
  <c r="BT14" i="4"/>
  <c r="E2" i="4" s="1"/>
  <c r="AL109" i="4" l="1"/>
  <c r="Z110" i="4"/>
  <c r="AT110" i="4"/>
  <c r="AN110" i="4"/>
  <c r="AH110" i="4"/>
  <c r="AJ110" i="4" s="1"/>
  <c r="AL110" i="4" s="1"/>
  <c r="AB110" i="4"/>
  <c r="AE110" i="4" s="1"/>
  <c r="AF110" i="4" s="1"/>
  <c r="AS110" i="4"/>
  <c r="AU110" i="4" s="1"/>
  <c r="AK110" i="4"/>
  <c r="AV109" i="4"/>
  <c r="AX109" i="4" s="1"/>
  <c r="W110" i="4"/>
  <c r="AM110" i="4" s="1"/>
  <c r="AO110" i="4" s="1"/>
  <c r="AA110" i="4"/>
  <c r="X110" i="4"/>
  <c r="AP109" i="4"/>
  <c r="AR109" i="4" s="1"/>
  <c r="B111" i="4"/>
  <c r="AG111" i="4" s="1"/>
  <c r="AT111" i="4" l="1"/>
  <c r="Z111" i="4"/>
  <c r="AB111" i="4"/>
  <c r="AN111" i="4"/>
  <c r="AH111" i="4"/>
  <c r="AJ111" i="4" s="1"/>
  <c r="AL111" i="4" s="1"/>
  <c r="AS111" i="4"/>
  <c r="AU111" i="4" s="1"/>
  <c r="AK111" i="4"/>
  <c r="AV110" i="4"/>
  <c r="AX110" i="4" s="1"/>
  <c r="AA111" i="4"/>
  <c r="X111" i="4"/>
  <c r="W111" i="4"/>
  <c r="AM111" i="4" s="1"/>
  <c r="AO111" i="4" s="1"/>
  <c r="AP110" i="4"/>
  <c r="AR110" i="4" s="1"/>
  <c r="B112" i="4"/>
  <c r="AG112" i="4" s="1"/>
  <c r="AE111" i="4"/>
  <c r="AF111" i="4" s="1"/>
  <c r="AB112" i="4" l="1"/>
  <c r="AT112" i="4"/>
  <c r="AH112" i="4"/>
  <c r="AJ112" i="4" s="1"/>
  <c r="AL112" i="4" s="1"/>
  <c r="Z112" i="4"/>
  <c r="AN112" i="4"/>
  <c r="AS112" i="4"/>
  <c r="AU112" i="4" s="1"/>
  <c r="AK112" i="4"/>
  <c r="AV111" i="4"/>
  <c r="AX111" i="4" s="1"/>
  <c r="W112" i="4"/>
  <c r="AM112" i="4" s="1"/>
  <c r="AO112" i="4" s="1"/>
  <c r="AA112" i="4"/>
  <c r="X112" i="4"/>
  <c r="AP111" i="4"/>
  <c r="AR111" i="4" s="1"/>
  <c r="B113" i="4"/>
  <c r="AG113" i="4" s="1"/>
  <c r="AE112" i="4"/>
  <c r="AF112" i="4" s="1"/>
  <c r="AH113" i="4" l="1"/>
  <c r="AB113" i="4"/>
  <c r="Z113" i="4"/>
  <c r="AT113" i="4"/>
  <c r="AN113" i="4"/>
  <c r="AS113" i="4"/>
  <c r="AU113" i="4" s="1"/>
  <c r="AK113" i="4"/>
  <c r="AJ113" i="4"/>
  <c r="AV112" i="4"/>
  <c r="AX112" i="4" s="1"/>
  <c r="AA113" i="4"/>
  <c r="X113" i="4"/>
  <c r="W113" i="4"/>
  <c r="AM113" i="4" s="1"/>
  <c r="AO113" i="4" s="1"/>
  <c r="AP112" i="4"/>
  <c r="AR112" i="4" s="1"/>
  <c r="B114" i="4"/>
  <c r="AG114" i="4" s="1"/>
  <c r="AE113" i="4"/>
  <c r="AF113" i="4" s="1"/>
  <c r="AL113" i="4" l="1"/>
  <c r="AH114" i="4"/>
  <c r="AB114" i="4"/>
  <c r="AE114" i="4" s="1"/>
  <c r="AF114" i="4" s="1"/>
  <c r="Z114" i="4"/>
  <c r="AT114" i="4"/>
  <c r="AN114" i="4"/>
  <c r="AS114" i="4"/>
  <c r="AU114" i="4" s="1"/>
  <c r="AK114" i="4"/>
  <c r="AJ114" i="4"/>
  <c r="AV113" i="4"/>
  <c r="AX113" i="4" s="1"/>
  <c r="W114" i="4"/>
  <c r="AM114" i="4" s="1"/>
  <c r="AO114" i="4" s="1"/>
  <c r="AA114" i="4"/>
  <c r="X114" i="4"/>
  <c r="AP113" i="4"/>
  <c r="AR113" i="4" s="1"/>
  <c r="B115" i="4"/>
  <c r="AG115" i="4" s="1"/>
  <c r="AL114" i="4" l="1"/>
  <c r="AN115" i="4"/>
  <c r="AH115" i="4"/>
  <c r="AJ115" i="4" s="1"/>
  <c r="AB115" i="4"/>
  <c r="Z115" i="4"/>
  <c r="AT115" i="4"/>
  <c r="AS115" i="4"/>
  <c r="AU115" i="4" s="1"/>
  <c r="AK115" i="4"/>
  <c r="AV114" i="4"/>
  <c r="AX114" i="4" s="1"/>
  <c r="AA115" i="4"/>
  <c r="X115" i="4"/>
  <c r="W115" i="4"/>
  <c r="AM115" i="4" s="1"/>
  <c r="AO115" i="4" s="1"/>
  <c r="AP114" i="4"/>
  <c r="AR114" i="4" s="1"/>
  <c r="B116" i="4"/>
  <c r="AG116" i="4" s="1"/>
  <c r="AE115" i="4"/>
  <c r="AF115" i="4" s="1"/>
  <c r="AL115" i="4" l="1"/>
  <c r="AN116" i="4"/>
  <c r="AH116" i="4"/>
  <c r="AJ116" i="4" s="1"/>
  <c r="AB116" i="4"/>
  <c r="AE116" i="4" s="1"/>
  <c r="AF116" i="4" s="1"/>
  <c r="Z116" i="4"/>
  <c r="AT116" i="4"/>
  <c r="AS116" i="4"/>
  <c r="AU116" i="4" s="1"/>
  <c r="AK116" i="4"/>
  <c r="AV115" i="4"/>
  <c r="AX115" i="4" s="1"/>
  <c r="W116" i="4"/>
  <c r="AM116" i="4" s="1"/>
  <c r="AO116" i="4" s="1"/>
  <c r="AA116" i="4"/>
  <c r="X116" i="4"/>
  <c r="BX18" i="4" a="1"/>
  <c r="BX18" i="4" s="1"/>
  <c r="BX11" i="4" a="1"/>
  <c r="BX11" i="4" s="1"/>
  <c r="AP115" i="4"/>
  <c r="AR115" i="4" s="1"/>
  <c r="B117" i="4"/>
  <c r="BX14" i="4" a="1"/>
  <c r="BX14" i="4" s="1"/>
  <c r="CD12" i="4" a="1"/>
  <c r="CD12" i="4" s="1"/>
  <c r="CD18" i="4" l="1" a="1"/>
  <c r="CD18" i="4" s="1"/>
  <c r="AG117" i="4"/>
  <c r="BT11" i="4" s="1"/>
  <c r="AL116" i="4"/>
  <c r="BX16" i="4" a="1"/>
  <c r="BX16" i="4" s="1"/>
  <c r="CD11" i="4" a="1"/>
  <c r="CD11" i="4" s="1"/>
  <c r="CD16" i="4" a="1"/>
  <c r="CD16" i="4" s="1"/>
  <c r="BX17" i="4" a="1"/>
  <c r="BX17" i="4" s="1"/>
  <c r="CC18" i="4" a="1"/>
  <c r="CC18" i="4" s="1"/>
  <c r="CI18" i="4" s="1"/>
  <c r="BX12" i="4" a="1"/>
  <c r="BX12" i="4" s="1"/>
  <c r="CL13" i="4" s="1"/>
  <c r="Z117" i="4"/>
  <c r="AN117" i="4"/>
  <c r="AH117" i="4"/>
  <c r="AJ117" i="4" s="1"/>
  <c r="BZ12" i="4" s="1"/>
  <c r="AB117" i="4"/>
  <c r="AT117" i="4"/>
  <c r="BT16" i="4" s="1" a="1"/>
  <c r="AS117" i="4"/>
  <c r="AK117" i="4"/>
  <c r="BT12" i="4" s="1"/>
  <c r="CC16" i="4" a="1"/>
  <c r="CC16" i="4" s="1"/>
  <c r="CC17" i="4" a="1"/>
  <c r="CC17" i="4" s="1"/>
  <c r="AV116" i="4"/>
  <c r="AX116" i="4" s="1"/>
  <c r="W117" i="4"/>
  <c r="AM117" i="4" s="1"/>
  <c r="AA117" i="4"/>
  <c r="CD17" i="4" a="1"/>
  <c r="CD17" i="4" s="1"/>
  <c r="DS40" i="4" a="1"/>
  <c r="DS40" i="4" s="1"/>
  <c r="X117" i="4"/>
  <c r="CC11" i="4" a="1"/>
  <c r="CC11" i="4" s="1"/>
  <c r="CC14" i="4" a="1"/>
  <c r="CC14" i="4" s="1"/>
  <c r="CD15" i="4" a="1"/>
  <c r="CD15" i="4" s="1"/>
  <c r="BX15" i="4" a="1"/>
  <c r="BX15" i="4" s="1"/>
  <c r="CC12" i="4" a="1"/>
  <c r="CC12" i="4" s="1"/>
  <c r="AJ2" i="4" a="1"/>
  <c r="AJ2" i="4" s="1"/>
  <c r="AK2" i="4" s="1"/>
  <c r="AP116" i="4"/>
  <c r="AR116" i="4" s="1"/>
  <c r="AE117" i="4"/>
  <c r="CC13" i="4" a="1"/>
  <c r="CC13" i="4" s="1"/>
  <c r="CD13" i="4" a="1"/>
  <c r="CD13" i="4" s="1"/>
  <c r="CD14" i="4" a="1"/>
  <c r="CD14" i="4" s="1"/>
  <c r="BX13" i="4" a="1"/>
  <c r="BX13" i="4" s="1"/>
  <c r="CC15" i="4" a="1"/>
  <c r="CC15" i="4" s="1"/>
  <c r="CI15" i="4" s="1"/>
  <c r="CE12" i="4"/>
  <c r="AU117" i="4" l="1"/>
  <c r="BZ16" i="4"/>
  <c r="AO117" i="4"/>
  <c r="BZ13" i="4"/>
  <c r="CI12" i="4"/>
  <c r="AF117" i="4"/>
  <c r="BZ11" i="4"/>
  <c r="AL117" i="4"/>
  <c r="CL15" i="4"/>
  <c r="CL14" i="4"/>
  <c r="CL17" i="4"/>
  <c r="CL16" i="4"/>
  <c r="CO12" i="4" s="1"/>
  <c r="BT13" i="4"/>
  <c r="DO40" i="4"/>
  <c r="BW12" i="4"/>
  <c r="CO9" i="4"/>
  <c r="CN16" i="4"/>
  <c r="CN17" i="4"/>
  <c r="AV117" i="4"/>
  <c r="CN15" i="4"/>
  <c r="CN14" i="4"/>
  <c r="CN13" i="4"/>
  <c r="CO11" i="4" s="1"/>
  <c r="CO8" i="4"/>
  <c r="AP117" i="4"/>
  <c r="CE16" i="4"/>
  <c r="CE13" i="4"/>
  <c r="CE11" i="4"/>
  <c r="AG119" i="4"/>
  <c r="AX117" i="4" l="1"/>
  <c r="BZ17" i="4"/>
  <c r="CI16" i="4"/>
  <c r="AR117" i="4"/>
  <c r="BZ14" i="4"/>
  <c r="CI13" i="4"/>
  <c r="CI11" i="4"/>
  <c r="BT16" i="4"/>
  <c r="CE17" i="4"/>
  <c r="CE14" i="4"/>
  <c r="CI17" i="4" l="1"/>
  <c r="CI14" i="4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<sst xmlns="http://schemas.openxmlformats.org/spreadsheetml/2006/main" count="3066" uniqueCount="1609">
  <si>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</si>
  <si>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</si>
  <si>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</si>
  <si>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</si>
  <si>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</si>
  <si>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</si>
  <si>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</si>
  <si>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</si>
  <si>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</si>
  <si>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</si>
  <si>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</si>
  <si>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</si>
  <si>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</si>
  <si>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</si>
  <si>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</si>
  <si>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</si>
  <si>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</si>
  <si>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</si>
  <si>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</si>
  <si>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</si>
  <si>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</si>
  <si>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</si>
  <si>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</si>
  <si>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</si>
  <si>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</si>
  <si>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</si>
  <si>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</si>
  <si>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</si>
  <si>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</si>
  <si>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</si>
  <si>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</si>
  <si>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</si>
  <si>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</si>
  <si>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</si>
  <si>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</si>
  <si>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</si>
  <si>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</si>
  <si>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</si>
  <si>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</si>
  <si>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</si>
  <si>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</si>
  <si>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</si>
  <si>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</si>
  <si>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</si>
  <si>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</si>
  <si>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</si>
  <si>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</si>
  <si>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</si>
  <si>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</si>
  <si>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</si>
  <si>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</si>
  <si>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</si>
  <si>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</si>
  <si>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</si>
  <si>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</si>
  <si>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</si>
  <si>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</si>
  <si>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</si>
  <si>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</si>
  <si>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</si>
  <si>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</si>
  <si>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</si>
  <si>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</si>
  <si>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</si>
  <si>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</si>
  <si>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</si>
  <si>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</si>
  <si>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</si>
  <si>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</si>
  <si>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</si>
  <si>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</si>
  <si>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</si>
  <si>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</si>
  <si>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</si>
  <si>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</si>
  <si>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</si>
  <si>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</si>
  <si>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</si>
  <si>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</si>
  <si>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</si>
  <si>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</si>
  <si>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</si>
  <si>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</si>
  <si>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</si>
  <si>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</si>
  <si>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</si>
  <si>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</si>
  <si>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</si>
  <si>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</si>
  <si>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</si>
  <si>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</si>
  <si>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</si>
  <si>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</si>
  <si>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</si>
  <si>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</si>
  <si>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</si>
  <si>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</si>
  <si>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</si>
  <si>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</si>
  <si>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</si>
  <si>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</si>
  <si>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</si>
  <si>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</si>
  <si>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</si>
  <si>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</si>
  <si>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</si>
  <si>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</si>
  <si>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</si>
  <si>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</si>
  <si>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</si>
  <si>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</si>
  <si>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</si>
  <si>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</si>
  <si>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</si>
  <si>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</si>
  <si>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</si>
  <si>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</si>
  <si>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</si>
  <si>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</si>
  <si>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</si>
  <si>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</si>
  <si>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</si>
  <si>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</si>
  <si>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</si>
  <si>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</si>
  <si>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</si>
  <si>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</si>
  <si>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</si>
  <si>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</si>
  <si>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</si>
  <si>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</si>
  <si>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</si>
  <si>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</si>
  <si>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</si>
  <si>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</si>
  <si>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</si>
  <si>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</si>
  <si>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</si>
  <si>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</si>
  <si>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</si>
  <si>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</si>
  <si>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</si>
  <si>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</si>
  <si>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</si>
  <si>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</si>
  <si>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</si>
  <si>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</si>
  <si>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</si>
  <si>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</si>
  <si>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</si>
  <si>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</si>
  <si>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</si>
  <si>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</si>
  <si>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</si>
  <si>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</si>
  <si>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</si>
  <si>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</si>
  <si>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</si>
  <si>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</si>
  <si>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</si>
  <si>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</si>
  <si>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</si>
  <si>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</si>
  <si>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</si>
  <si>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</si>
  <si>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</si>
  <si>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</si>
  <si>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</si>
  <si>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</si>
  <si>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</si>
  <si>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</si>
  <si>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</si>
  <si>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</si>
  <si>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</si>
  <si>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</si>
  <si>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</si>
  <si>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</si>
  <si>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</si>
  <si>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</si>
  <si>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</si>
  <si>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</si>
  <si>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</si>
  <si>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</si>
  <si>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</si>
  <si>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</si>
  <si>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</si>
  <si>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</si>
  <si>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</si>
  <si>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</si>
  <si>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</si>
  <si>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</si>
  <si>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</si>
  <si>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</si>
  <si>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</si>
  <si>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</si>
  <si>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</si>
  <si>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</si>
  <si>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</si>
  <si>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</si>
  <si>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</si>
  <si>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</si>
  <si>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</si>
  <si>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</si>
  <si>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</si>
  <si>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</si>
  <si>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</si>
  <si>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</si>
  <si>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</si>
  <si>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</si>
  <si>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</si>
  <si>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</si>
  <si>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</si>
  <si>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</si>
  <si>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</si>
  <si>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</si>
  <si>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</si>
  <si>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</si>
  <si>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</si>
  <si>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</si>
  <si>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</si>
  <si>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</si>
  <si>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</si>
  <si>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</si>
  <si>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</si>
  <si>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</si>
  <si>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</si>
  <si>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</si>
  <si>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</si>
  <si>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</si>
  <si>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</si>
  <si>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</si>
  <si>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</si>
  <si>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</si>
  <si>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</si>
  <si>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</si>
  <si>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</si>
  <si>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</si>
  <si>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</si>
  <si>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</si>
  <si>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</si>
  <si>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</si>
  <si>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</si>
  <si>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</si>
  <si>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</si>
  <si>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</si>
  <si>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</si>
  <si>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</si>
  <si>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</si>
  <si>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</si>
  <si>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</si>
  <si>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</si>
  <si>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</si>
  <si>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</si>
  <si>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</si>
  <si>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</si>
  <si>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</si>
  <si>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</si>
  <si>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</si>
  <si>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</si>
  <si>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</si>
  <si>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</si>
  <si>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</si>
  <si>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</si>
  <si>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</si>
  <si>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</si>
  <si>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</si>
  <si>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</si>
  <si>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</si>
  <si>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</si>
  <si>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</si>
  <si>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</si>
  <si>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</si>
  <si>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</si>
  <si>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</si>
  <si>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</si>
  <si>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</si>
  <si>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</si>
  <si>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</si>
  <si>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</si>
  <si>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</si>
  <si>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</si>
  <si>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</si>
  <si>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</si>
  <si>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</si>
  <si>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</si>
  <si>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</si>
  <si>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</si>
  <si>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</si>
  <si>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</si>
  <si>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</si>
  <si>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</si>
  <si>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</si>
  <si>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</si>
  <si>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</si>
  <si>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</si>
  <si>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</si>
  <si>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</si>
  <si>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</si>
  <si>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</si>
  <si>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</si>
  <si>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</si>
  <si>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</si>
  <si>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</si>
  <si>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</si>
  <si>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</si>
  <si>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</si>
  <si>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</si>
  <si>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</si>
  <si>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</si>
  <si>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</si>
  <si>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</si>
  <si>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</si>
  <si>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</si>
  <si>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</si>
  <si>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</si>
  <si>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</si>
  <si>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</si>
  <si>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</si>
  <si>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</si>
  <si>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</si>
  <si>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</si>
  <si>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</si>
  <si>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</si>
  <si>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</si>
  <si>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</si>
  <si>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</si>
  <si>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</si>
  <si>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</si>
  <si>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</si>
  <si>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</si>
  <si>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</si>
  <si>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</si>
  <si>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</si>
  <si>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</si>
  <si>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</si>
  <si>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</si>
  <si>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</si>
  <si>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</si>
  <si>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</si>
  <si>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</si>
  <si>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</si>
  <si>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</si>
  <si>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</si>
  <si>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</si>
  <si>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</si>
  <si>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</si>
  <si>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</si>
  <si>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</si>
  <si>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</si>
  <si>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</si>
  <si>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</si>
  <si>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</si>
  <si>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</si>
  <si>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</si>
  <si>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</si>
  <si>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</si>
  <si>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</si>
  <si>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</si>
  <si>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</si>
  <si>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</si>
  <si>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</si>
  <si>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</si>
  <si>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</si>
  <si>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</si>
  <si>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</si>
  <si>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</si>
  <si>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</si>
  <si>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</si>
  <si>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</si>
  <si>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</si>
  <si>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</si>
  <si>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</si>
  <si>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</si>
  <si>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</si>
  <si>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</si>
  <si>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</si>
  <si>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</si>
  <si>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</si>
  <si>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</si>
  <si>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</si>
  <si>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</si>
  <si>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</si>
  <si>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</si>
  <si>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</si>
  <si>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</si>
  <si>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</si>
  <si>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</si>
  <si>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</si>
  <si>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</si>
  <si>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</si>
  <si>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</si>
  <si>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</si>
  <si>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</si>
  <si>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</si>
  <si>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</si>
  <si>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</si>
  <si>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</si>
  <si>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</si>
  <si>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</si>
  <si>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</si>
  <si>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</si>
  <si>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</si>
  <si>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</si>
  <si>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</si>
  <si>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</si>
  <si>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</si>
  <si>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</si>
  <si>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</si>
  <si>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</si>
  <si>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</si>
  <si>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</si>
  <si>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</si>
  <si>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</si>
  <si>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</si>
  <si>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</si>
  <si>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</si>
  <si>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</si>
  <si>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</si>
  <si>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</si>
  <si>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</si>
  <si>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</si>
  <si>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</si>
  <si>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</si>
  <si>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</si>
  <si>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</si>
  <si>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</si>
  <si>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</si>
  <si>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</si>
  <si>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</si>
  <si>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</si>
  <si>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</si>
  <si>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</si>
  <si>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</si>
  <si>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</si>
  <si>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</si>
  <si>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</si>
  <si>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</si>
  <si>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</si>
  <si>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</si>
  <si>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</si>
  <si>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</si>
  <si>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</si>
  <si>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</si>
  <si>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</si>
  <si>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</si>
  <si>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</si>
  <si>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</si>
  <si>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</si>
  <si>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</si>
  <si>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</si>
  <si>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</si>
  <si>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</si>
  <si>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</si>
  <si>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</si>
  <si>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</si>
  <si>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</si>
  <si>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</si>
  <si>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</si>
  <si>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</si>
  <si>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</si>
  <si>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</si>
  <si>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</si>
  <si>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318_x000D_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</si>
  <si>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</si>
  <si>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</si>
  <si>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</si>
  <si>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</si>
  <si>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</si>
  <si>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</si>
  <si>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</si>
  <si>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</si>
  <si>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</si>
  <si>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</si>
  <si>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</si>
  <si>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</si>
  <si>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</si>
  <si>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</si>
  <si>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</si>
  <si>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</si>
  <si>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</si>
  <si>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</si>
  <si>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</si>
  <si>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</si>
  <si>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</si>
  <si>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</si>
  <si>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</si>
  <si>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</si>
  <si>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</si>
  <si>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</si>
  <si>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</si>
  <si>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</si>
  <si>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</si>
  <si>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</si>
  <si>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</si>
  <si>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</si>
  <si>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</si>
  <si>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</si>
  <si>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</si>
  <si>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</si>
  <si>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</si>
  <si>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</si>
  <si>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</si>
  <si>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</si>
  <si>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</si>
  <si>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</si>
  <si>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</si>
  <si>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</si>
  <si>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</si>
  <si>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</si>
  <si>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</si>
  <si>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</si>
  <si>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</si>
  <si>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</si>
  <si>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</si>
  <si>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</si>
  <si>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</si>
  <si>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</si>
  <si>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</si>
  <si>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</si>
  <si>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</si>
  <si>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</si>
  <si>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</si>
  <si>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</si>
  <si>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</si>
  <si>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</si>
  <si>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</si>
  <si>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</si>
  <si>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</si>
  <si>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</si>
  <si>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</si>
  <si>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</si>
  <si>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</si>
  <si>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</si>
  <si>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</si>
  <si>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</si>
  <si>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</si>
  <si>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</si>
  <si>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</si>
  <si>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</si>
  <si>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</si>
  <si>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</si>
  <si>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</si>
  <si>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</si>
  <si>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</si>
  <si>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</si>
  <si>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</si>
  <si>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</si>
  <si>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</si>
  <si>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</si>
  <si>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</si>
  <si>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</si>
  <si>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</si>
  <si>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</si>
  <si>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</si>
  <si>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</si>
  <si>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</si>
  <si>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</si>
  <si>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</si>
  <si>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</si>
  <si>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</si>
  <si>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</si>
  <si>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</si>
  <si>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</si>
  <si>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</si>
  <si>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</si>
  <si>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</si>
  <si>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</si>
  <si>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</si>
  <si>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</si>
  <si>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</si>
  <si>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</si>
  <si>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</si>
  <si>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</si>
  <si>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</si>
  <si>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</si>
  <si>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</si>
  <si>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</si>
  <si>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</si>
  <si>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</si>
  <si>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</si>
  <si>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</si>
  <si>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</si>
  <si>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</si>
  <si>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</si>
  <si>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</si>
  <si>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</si>
  <si>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</si>
  <si>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</si>
  <si>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</si>
  <si>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</si>
  <si>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</si>
  <si>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</si>
  <si>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</si>
  <si>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</si>
  <si>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</si>
  <si>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</si>
  <si>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</si>
  <si>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</si>
  <si>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</si>
  <si>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</si>
  <si>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</si>
  <si>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</si>
  <si>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</si>
  <si>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</si>
  <si>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</si>
  <si>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</si>
  <si>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</si>
  <si>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</si>
  <si>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</si>
  <si>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</si>
  <si>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</si>
  <si>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</si>
  <si>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</si>
  <si>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</si>
  <si>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</si>
  <si>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</si>
  <si>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</si>
  <si>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</si>
  <si>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</si>
  <si>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</si>
  <si>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</si>
  <si>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</si>
  <si>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</si>
  <si>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</si>
  <si>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</si>
  <si>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</si>
  <si>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</si>
  <si>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</si>
  <si>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</si>
  <si>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</si>
  <si>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</si>
  <si>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</si>
  <si>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</si>
  <si>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</si>
  <si>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</si>
  <si>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</si>
  <si>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</si>
  <si>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</si>
  <si>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</si>
  <si>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</si>
  <si>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</si>
  <si>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</si>
  <si>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</si>
  <si>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</si>
  <si>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</si>
  <si>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</si>
  <si>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</si>
  <si>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</si>
  <si>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</si>
  <si>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</si>
  <si>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</si>
  <si>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</si>
  <si>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</si>
  <si>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</si>
  <si>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</si>
  <si>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</si>
  <si>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</si>
  <si>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</si>
  <si>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</si>
  <si>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</si>
  <si>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</si>
  <si>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</si>
  <si>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</si>
  <si>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</si>
  <si>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</si>
  <si>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</si>
  <si>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</si>
  <si>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</si>
  <si>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</si>
  <si>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</si>
  <si>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</si>
  <si>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</si>
  <si>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</si>
  <si>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</si>
  <si>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</si>
  <si>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</si>
  <si>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</si>
  <si>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</si>
  <si>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</si>
  <si>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</si>
  <si>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</si>
  <si>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</si>
  <si>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</si>
  <si>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</si>
  <si>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</si>
  <si>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</si>
  <si>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</si>
  <si>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</si>
  <si>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</si>
  <si>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</si>
  <si>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</si>
  <si>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</si>
  <si>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</si>
  <si>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</si>
  <si>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</si>
  <si>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</si>
  <si>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</si>
  <si>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</si>
  <si>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</si>
  <si>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</si>
  <si>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</si>
  <si>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</si>
  <si>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</si>
  <si>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</si>
  <si>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</si>
  <si>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</si>
  <si>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</si>
  <si>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</si>
  <si>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</si>
  <si>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</si>
  <si>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</si>
  <si>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</si>
  <si>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</si>
  <si>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</si>
  <si>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</si>
  <si>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</si>
  <si>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</si>
  <si>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</si>
  <si>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</si>
  <si>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</si>
  <si>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</si>
  <si>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</si>
  <si>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</si>
  <si>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</si>
  <si>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</si>
  <si>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</si>
  <si>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</si>
  <si>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</si>
  <si>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</si>
  <si>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</si>
  <si>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</si>
  <si>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</si>
  <si>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</si>
  <si>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</si>
  <si>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</si>
  <si>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</si>
  <si>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</si>
  <si>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</si>
  <si>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</si>
  <si>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</si>
  <si>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</si>
  <si>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</si>
  <si>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</si>
  <si>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</si>
  <si>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</si>
  <si>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</si>
  <si>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</si>
  <si>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</si>
  <si>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</si>
  <si>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</si>
  <si>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</si>
  <si>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</si>
  <si>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</si>
  <si>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</si>
  <si>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</si>
  <si>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</si>
  <si>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</si>
  <si>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</si>
  <si>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</si>
  <si>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</si>
  <si>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</si>
  <si>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</si>
  <si>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</si>
  <si>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</si>
  <si>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</si>
  <si>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</si>
  <si>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</si>
  <si>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</si>
  <si>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</si>
  <si>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</si>
  <si>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</si>
  <si>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</si>
  <si>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</si>
  <si>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</si>
  <si>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</si>
  <si>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</si>
  <si>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</si>
  <si>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</si>
  <si>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</si>
  <si>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</si>
  <si>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</si>
  <si>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</si>
  <si>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</si>
  <si>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</si>
  <si>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</si>
  <si>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</si>
  <si>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</si>
  <si>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</si>
  <si>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</si>
  <si>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</si>
  <si>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</si>
  <si>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</si>
  <si>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</si>
  <si>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</si>
  <si>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</si>
  <si>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</si>
  <si>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</si>
  <si>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</si>
  <si>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</si>
  <si>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</si>
  <si>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</si>
  <si>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</si>
  <si>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</si>
  <si>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</si>
  <si>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</si>
  <si>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</si>
  <si>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</si>
  <si>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</si>
  <si>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</si>
  <si>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</si>
  <si>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</si>
  <si>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</si>
  <si>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</si>
  <si>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</si>
  <si>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</si>
  <si>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</si>
  <si>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</si>
  <si>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</si>
  <si>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</si>
  <si>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</si>
  <si>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</si>
  <si>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</si>
  <si>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</si>
  <si>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</si>
  <si>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</si>
  <si>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</si>
  <si>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</si>
  <si>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</si>
  <si>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</si>
  <si>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</si>
  <si>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</si>
  <si>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</si>
  <si>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</si>
  <si>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</si>
  <si>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</si>
  <si>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</si>
  <si>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</si>
  <si>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</si>
  <si>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</si>
  <si>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</si>
  <si>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</si>
  <si>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</si>
  <si>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</si>
  <si>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</si>
  <si>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</si>
  <si>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</si>
  <si>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</si>
  <si>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</si>
  <si>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</si>
  <si>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</si>
  <si>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</si>
  <si>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</si>
  <si>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</si>
  <si>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</si>
  <si>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</si>
  <si>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</si>
  <si>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</si>
  <si>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</si>
  <si>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</si>
  <si>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</si>
  <si>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</si>
  <si>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</si>
  <si>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</si>
  <si>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</si>
  <si>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</si>
  <si>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</si>
  <si>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</si>
  <si>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</si>
  <si>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</si>
  <si>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</si>
  <si>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</si>
  <si>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</si>
  <si>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</si>
  <si>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</si>
  <si>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</si>
  <si>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</si>
  <si>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</si>
  <si>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</si>
  <si>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</si>
  <si>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</si>
  <si>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</si>
  <si>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</si>
  <si>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</si>
  <si>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</si>
  <si>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</si>
  <si>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</si>
  <si>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</si>
  <si>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</si>
  <si>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</si>
  <si>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</si>
  <si>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</si>
  <si>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</si>
  <si>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</si>
  <si>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</si>
  <si>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</si>
  <si>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</si>
  <si>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</si>
  <si>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</si>
  <si>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</si>
  <si>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</si>
  <si>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</si>
  <si>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</si>
  <si>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</si>
  <si>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</si>
  <si>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</si>
  <si>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</si>
  <si>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</si>
  <si>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</si>
  <si>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</si>
  <si>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</si>
  <si>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</si>
  <si>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</si>
  <si>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</si>
  <si>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</si>
  <si>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</si>
  <si>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</si>
  <si>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</si>
  <si>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</si>
  <si>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</si>
  <si>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</si>
  <si>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</si>
  <si>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</si>
  <si>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</si>
  <si>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</si>
  <si>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</si>
  <si>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</si>
  <si>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</si>
  <si>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</si>
  <si>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</si>
  <si>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</si>
  <si>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</si>
  <si>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</si>
  <si>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</si>
  <si>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</si>
  <si>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</si>
  <si>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</si>
  <si>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</si>
  <si>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</si>
  <si>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</si>
  <si>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</si>
  <si>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</si>
  <si>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</si>
  <si>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</si>
  <si>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</si>
  <si>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</si>
  <si>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</si>
  <si>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</si>
  <si>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</si>
  <si>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</si>
  <si>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</si>
  <si>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</si>
  <si>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</si>
  <si>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</si>
  <si>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</si>
  <si>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</si>
  <si>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</si>
  <si>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</si>
  <si>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</si>
  <si>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</si>
  <si>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</si>
  <si>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</si>
  <si>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</si>
  <si>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</si>
  <si>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</si>
  <si>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</si>
  <si>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</si>
  <si>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</si>
  <si>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</si>
  <si>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</si>
  <si>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</si>
  <si>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</si>
  <si>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</si>
  <si>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</si>
  <si>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</si>
  <si>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</si>
  <si>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</si>
  <si>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</si>
  <si>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</si>
  <si>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</si>
  <si>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</si>
  <si>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</si>
  <si>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</si>
  <si>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</si>
  <si>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</si>
  <si>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</si>
  <si>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</si>
  <si>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</si>
  <si>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</si>
  <si>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</si>
  <si>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</si>
  <si>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</si>
  <si>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</si>
  <si>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</si>
  <si>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</si>
  <si>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</si>
  <si>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</si>
  <si>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</si>
  <si>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</si>
  <si>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</si>
  <si>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</si>
  <si>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</si>
  <si>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</si>
  <si>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</si>
  <si>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</si>
  <si>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</si>
  <si>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</si>
  <si>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</si>
  <si>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</si>
  <si>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</si>
  <si>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</si>
  <si>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</si>
  <si>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</si>
  <si>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</si>
  <si>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</si>
  <si>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</si>
  <si>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</si>
  <si>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</si>
  <si>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</si>
  <si>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</si>
  <si>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</si>
  <si>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</si>
  <si>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</si>
  <si>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</si>
  <si>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</si>
  <si>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</si>
  <si>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</si>
  <si>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</si>
  <si>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</si>
  <si>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</si>
  <si>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</si>
  <si>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</si>
  <si>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</si>
  <si>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</si>
  <si>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</si>
  <si>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</si>
  <si>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</si>
  <si>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</si>
  <si>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</si>
  <si>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</si>
  <si>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</si>
  <si>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</si>
  <si>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</si>
  <si>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</si>
  <si>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</si>
  <si>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</si>
  <si>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</si>
  <si>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</si>
  <si>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</si>
  <si>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</si>
  <si>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</si>
  <si>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</si>
  <si>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</si>
  <si>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</si>
  <si>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</si>
  <si>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</si>
  <si>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</si>
  <si>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</si>
  <si>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</si>
  <si>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</si>
  <si>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</si>
  <si>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</si>
  <si>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</si>
  <si>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</si>
  <si>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</si>
  <si>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</si>
  <si>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</si>
  <si>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</si>
  <si>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</si>
  <si>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</si>
  <si>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</si>
  <si>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</si>
  <si>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</si>
  <si>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</si>
  <si>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</si>
  <si>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</si>
  <si>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</si>
  <si>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</si>
  <si>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</si>
  <si>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</si>
  <si>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</si>
  <si>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</si>
  <si>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</si>
  <si>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</si>
  <si>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</si>
  <si>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</si>
  <si>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</si>
  <si>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</si>
  <si>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</si>
  <si>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</si>
  <si>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</si>
  <si>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</si>
  <si>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</si>
  <si>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</si>
  <si>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</si>
  <si>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</si>
  <si>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</si>
  <si>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</si>
  <si>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</si>
  <si>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</si>
  <si>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</si>
  <si>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</si>
  <si>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</si>
  <si>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</si>
  <si>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</si>
  <si>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</si>
  <si>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</si>
  <si>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</si>
  <si>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</si>
  <si>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</si>
  <si>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</si>
  <si>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</si>
  <si>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</si>
  <si>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</si>
  <si>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</si>
  <si>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</si>
  <si>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</si>
  <si>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</si>
  <si>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</si>
  <si>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</si>
  <si>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</si>
  <si>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</si>
  <si>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</si>
  <si>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</si>
  <si>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</si>
  <si>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</si>
  <si>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</si>
  <si>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</si>
  <si>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</si>
  <si>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</si>
  <si>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</si>
  <si>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</si>
  <si>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</si>
  <si>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</si>
  <si>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</si>
  <si>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</si>
  <si>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</si>
  <si>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</si>
  <si>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</si>
  <si>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</si>
  <si>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</si>
  <si>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</si>
  <si>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</si>
  <si>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</si>
  <si>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</si>
  <si>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</si>
  <si>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</si>
  <si>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</si>
  <si>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</si>
  <si>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</si>
  <si>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</si>
  <si>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</si>
  <si>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</si>
  <si>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</si>
  <si>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</si>
  <si>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</si>
  <si>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</si>
  <si>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</si>
  <si>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</si>
  <si>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</si>
  <si>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</si>
  <si>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</si>
  <si>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</si>
  <si>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</si>
  <si>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</si>
  <si>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</si>
  <si>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</si>
  <si>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</si>
  <si>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</si>
  <si>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</si>
  <si>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</si>
  <si>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</si>
  <si>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</si>
  <si>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</si>
  <si>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</si>
  <si>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</si>
  <si>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</si>
  <si>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</si>
  <si>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</si>
  <si>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</si>
  <si>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</si>
  <si>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</si>
  <si>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</si>
  <si>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</si>
  <si>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</si>
  <si>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</si>
  <si>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</si>
  <si>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</si>
  <si>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</si>
  <si>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</si>
  <si>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</si>
  <si>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</si>
  <si>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</si>
  <si>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</si>
  <si>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</si>
  <si>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</si>
  <si>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</si>
  <si>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</si>
  <si>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</si>
  <si>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</si>
  <si>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</si>
  <si>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</si>
  <si>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</si>
  <si>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</si>
  <si>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</si>
  <si>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</si>
  <si>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</si>
  <si>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</si>
  <si>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</si>
  <si>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</si>
  <si>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</si>
  <si>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</si>
  <si>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</si>
  <si>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</si>
  <si>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</si>
  <si>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</si>
  <si>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</si>
  <si>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</si>
  <si>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</si>
  <si>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</si>
  <si>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</si>
  <si>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</si>
  <si>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</si>
  <si>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</si>
  <si>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</si>
  <si>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</si>
  <si>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</si>
  <si>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</si>
  <si>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</si>
  <si>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</si>
  <si>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</si>
  <si>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</si>
  <si>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</si>
  <si>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</si>
  <si>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</si>
  <si>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</si>
  <si>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</si>
  <si>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</si>
  <si>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</si>
  <si>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</si>
  <si>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</si>
  <si>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</si>
  <si>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</si>
  <si>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</si>
  <si>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</si>
  <si>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38_x000D_</t>
  </si>
  <si>
    <t>Ireland</t>
  </si>
  <si>
    <t>29_x000D_</t>
  </si>
  <si>
    <t>83_x000D_</t>
  </si>
  <si>
    <t>19_x000D_</t>
  </si>
  <si>
    <t>47_x000D_</t>
  </si>
  <si>
    <t>85_x000D_</t>
  </si>
  <si>
    <t>70_x000D_</t>
  </si>
  <si>
    <t>77_x000D_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</si>
  <si>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</si>
  <si>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</si>
  <si>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</si>
  <si>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</si>
  <si>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</si>
  <si>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</si>
  <si>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</si>
  <si>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</si>
  <si>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</si>
  <si>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</si>
  <si>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</si>
  <si>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</si>
  <si>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</si>
  <si>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</si>
  <si>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</si>
  <si>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</si>
  <si>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</si>
  <si>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</si>
  <si>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</si>
  <si>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</si>
  <si>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</si>
  <si>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</si>
  <si>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</si>
  <si>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</si>
  <si>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</si>
  <si>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</si>
  <si>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</si>
  <si>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</si>
  <si>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</si>
  <si>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</si>
  <si>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</si>
  <si>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</si>
  <si>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</si>
  <si>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</si>
  <si>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</si>
  <si>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</si>
  <si>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</si>
  <si>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</si>
  <si>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</si>
  <si>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</si>
  <si>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</si>
  <si>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</si>
  <si>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</si>
  <si>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</si>
  <si>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</si>
  <si>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</si>
  <si>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</si>
  <si>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</si>
  <si>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</si>
  <si>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</si>
  <si>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</si>
  <si>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</si>
  <si>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</si>
  <si>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</si>
  <si>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</si>
  <si>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</si>
  <si>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</si>
  <si>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</si>
  <si>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</si>
  <si>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</si>
  <si>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</si>
  <si>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</si>
  <si>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</si>
  <si>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</si>
  <si>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</si>
  <si>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</si>
  <si>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</si>
  <si>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</si>
  <si>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</si>
  <si>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</si>
  <si>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</si>
  <si>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</si>
  <si>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</si>
  <si>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</si>
  <si>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</si>
  <si>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</si>
  <si>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</si>
  <si>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73_x000D_</t>
  </si>
  <si>
    <t>450_x000D_</t>
  </si>
  <si>
    <t>140_x000D_</t>
  </si>
  <si>
    <t>163_x000D_</t>
  </si>
  <si>
    <t>90_x000D_</t>
  </si>
  <si>
    <t>128_x000D_</t>
  </si>
  <si>
    <t>43_x000D_</t>
  </si>
  <si>
    <t>67_x000D_</t>
  </si>
  <si>
    <t>144_x000D_</t>
  </si>
  <si>
    <t>64_x000D_</t>
  </si>
  <si>
    <t>484_x000D_</t>
  </si>
  <si>
    <t>367_x000D_</t>
  </si>
  <si>
    <t>137_x000D_</t>
  </si>
  <si>
    <t>32_x000D_</t>
  </si>
  <si>
    <t>139_x000D_</t>
  </si>
  <si>
    <t>114_x000D_</t>
  </si>
  <si>
    <t>585_x000D_</t>
  </si>
  <si>
    <t>303_x000D_</t>
  </si>
  <si>
    <t>45_x000D_</t>
  </si>
  <si>
    <t>126_x000D_</t>
  </si>
  <si>
    <t>122_x000D_</t>
  </si>
  <si>
    <t>194_x000D_</t>
  </si>
  <si>
    <t>53_x000D_</t>
  </si>
  <si>
    <t>96_x000D_</t>
  </si>
  <si>
    <t>80_x000D_</t>
  </si>
  <si>
    <t>371_x000D_</t>
  </si>
  <si>
    <t>254_x000D_</t>
  </si>
  <si>
    <t>134_x000D_</t>
  </si>
  <si>
    <t>17_x000D_</t>
  </si>
  <si>
    <t>66_x000D_</t>
  </si>
  <si>
    <t>Channel Islands</t>
  </si>
  <si>
    <t>16_x000D_</t>
  </si>
  <si>
    <t>Gibraltar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</si>
  <si>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</si>
  <si>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</si>
  <si>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</si>
  <si>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</si>
  <si>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</si>
  <si>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</si>
  <si>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</si>
  <si>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</si>
  <si>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</si>
  <si>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</si>
  <si>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</si>
  <si>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</si>
  <si>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</si>
  <si>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</si>
  <si>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</si>
  <si>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</si>
  <si>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</si>
  <si>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</si>
  <si>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</si>
  <si>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</si>
  <si>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</si>
  <si>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</si>
  <si>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</si>
  <si>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</si>
  <si>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</si>
  <si>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</si>
  <si>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</si>
  <si>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</si>
  <si>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</si>
  <si>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</si>
  <si>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</si>
  <si>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</si>
  <si>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</si>
  <si>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</si>
  <si>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</si>
  <si>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</si>
  <si>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</si>
  <si>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</si>
  <si>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</si>
  <si>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</si>
  <si>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</si>
  <si>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</si>
  <si>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</si>
  <si>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</si>
  <si>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</si>
  <si>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</si>
  <si>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</si>
  <si>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</si>
  <si>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</si>
  <si>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</si>
  <si>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</si>
  <si>
    <t>At Sat 21-Mar Australia 423 cases per 10M was 18 days behind Italy, 2 days behind USA &amp; 37 days behind China, 23 days behind South Korea, 2 days behind UK</t>
  </si>
  <si>
    <t>207 M</t>
  </si>
  <si>
    <t>81.6 M</t>
  </si>
  <si>
    <t>b=0.207, d=1.00E-09, P0=.0099 Limit=81.6 M</t>
  </si>
  <si>
    <t>Australia Limit 81.6 M</t>
  </si>
  <si>
    <t>COVID19 Australia P(t) = b / {d+[( b/Po - d ) ]* exp(-b*t)}
b=0.207, d=1.00E-09, P0=.0099 Limit=81.6 M
 21-Mar, Cases per 10 M population</t>
  </si>
  <si>
    <t>60.6 k</t>
  </si>
  <si>
    <t>b=0.259, d=4.28E-06, P0=.4422 Limit=10.0 k</t>
  </si>
  <si>
    <t>Italy Limit 10.0 k</t>
  </si>
  <si>
    <t>COVID19 Italy P(t) = b / {d+[( b/Po - d ) ]* exp(-b*t)}
b=0.259, d=4.28E-06, P0=.4422 Limit=10.0 k
 21-Mar, Cases per 10 M population</t>
  </si>
  <si>
    <t>385 k</t>
  </si>
  <si>
    <t>11.7 k</t>
  </si>
  <si>
    <t>b=0.348, d=9.04E-07, P0=.0171 Limit=11.7 k</t>
  </si>
  <si>
    <t>USA Limit 11.7 k</t>
  </si>
  <si>
    <t>COVID19 USA P(t) = b / {d+[( b/Po - d ) ]* exp(-b*t)}
b=0.348, d=9.04E-07, P0=.0171 Limit=11.7 k
 21-Mar, Cases per 10 M population
 - Prediction without last day</t>
  </si>
  <si>
    <t xml:space="preserve">COVID19 China P(t) = b / {d+[( b/Po - d ) ]* exp(-b*t)}
b=0.222, d=2.74E-06, P0=1537.6493 Limit=562  
 21-Mar, Cases per 10 M population
</t>
  </si>
  <si>
    <t>8.38 k</t>
  </si>
  <si>
    <t>1.63 k</t>
  </si>
  <si>
    <t>b=0.321, d=3.83E-05, P0=182.7881 Limit=1.63 k</t>
  </si>
  <si>
    <t>Skorea Limit 1.63 k fr 19th Feb</t>
  </si>
  <si>
    <t xml:space="preserve">COVID19 Skorea P(t) = b / {d+[( b/Po - d ) ]* exp(-b*t)}
b=0.321, d=3.83E-05, P0=182.7881 Limit=1.63 k
 21-Mar, Cases per 10 M population
log fit from 19th Feb </t>
  </si>
  <si>
    <t>236 M</t>
  </si>
  <si>
    <t>35.4 M</t>
  </si>
  <si>
    <t>b=0.236, d=1.00E-09, P0=.0303 Limit=35.4 M</t>
  </si>
  <si>
    <t>UK Limit 35.4 M</t>
  </si>
  <si>
    <t xml:space="preserve">COVID19 UK P(t) = b / {d+[( b/Po - d ) ]* exp(-b*t)}
b=0.236, d=1.00E-09, P0=.0303 Limit=35.4 M
 21-Mar, Cases per 10 M population
</t>
  </si>
  <si>
    <t>411_x000D_</t>
  </si>
  <si>
    <t>1007_x000D_</t>
  </si>
  <si>
    <t>432_x000D_</t>
  </si>
  <si>
    <t>1183_x000D_</t>
  </si>
  <si>
    <t>424_x000D_</t>
  </si>
  <si>
    <t>436_x000D_</t>
  </si>
  <si>
    <t>229_x000D_</t>
  </si>
  <si>
    <t>221_x000D_</t>
  </si>
  <si>
    <t>22213_x000D_</t>
  </si>
  <si>
    <t>523_x000D_</t>
  </si>
  <si>
    <t>153_x000D_</t>
  </si>
  <si>
    <t>307_x000D_</t>
  </si>
  <si>
    <t>330_x000D_</t>
  </si>
  <si>
    <t>53578_x000D_</t>
  </si>
  <si>
    <t>1763_x000D_</t>
  </si>
  <si>
    <t>25374_x000D_</t>
  </si>
  <si>
    <t>2815_x000D_</t>
  </si>
  <si>
    <t>294_x000D_</t>
  </si>
  <si>
    <t>187_x000D_</t>
  </si>
  <si>
    <t>214_x000D_</t>
  </si>
  <si>
    <t>52_x000D_</t>
  </si>
  <si>
    <t>305_x000D_</t>
  </si>
  <si>
    <t>206_x000D_</t>
  </si>
  <si>
    <t>6575_x000D_</t>
  </si>
  <si>
    <t>2814_x000D_</t>
  </si>
  <si>
    <t>883_x000D_</t>
  </si>
  <si>
    <t>730_x000D_</t>
  </si>
  <si>
    <t>1021_x000D_</t>
  </si>
  <si>
    <t>530_x000D_</t>
  </si>
  <si>
    <t>2118_x000D_</t>
  </si>
  <si>
    <t>306_x000D_</t>
  </si>
  <si>
    <t>473_x000D_</t>
  </si>
  <si>
    <t>203_x000D_</t>
  </si>
  <si>
    <t>22_x000D_</t>
  </si>
  <si>
    <t>785_x000D_</t>
  </si>
  <si>
    <t>670_x000D_</t>
  </si>
  <si>
    <t>481_x000D_</t>
  </si>
  <si>
    <t>506_x000D_</t>
  </si>
  <si>
    <t>160_x000D_</t>
  </si>
  <si>
    <t>112_x000D_</t>
  </si>
  <si>
    <t>1280_x000D_</t>
  </si>
  <si>
    <t>88_x000D_</t>
  </si>
  <si>
    <t>124_x000D_</t>
  </si>
  <si>
    <t>392_x000D_</t>
  </si>
  <si>
    <t>158_x000D_</t>
  </si>
  <si>
    <t>537_x000D_</t>
  </si>
  <si>
    <t>103_x000D_</t>
  </si>
  <si>
    <t>536_x000D_</t>
  </si>
  <si>
    <t>60_x000D_</t>
  </si>
  <si>
    <t>383_x000D_</t>
  </si>
  <si>
    <t>240_x000D_</t>
  </si>
  <si>
    <t>27_x000D_</t>
  </si>
  <si>
    <t>196_x000D_</t>
  </si>
  <si>
    <t>117_x000D_</t>
  </si>
  <si>
    <t>171_x000D_</t>
  </si>
  <si>
    <t>178_x000D_</t>
  </si>
  <si>
    <t>25_x000D_</t>
  </si>
  <si>
    <t>377_x000D_</t>
  </si>
  <si>
    <t>195_x000D_</t>
  </si>
  <si>
    <t>181_x000D_</t>
  </si>
  <si>
    <t>84_x000D_</t>
  </si>
  <si>
    <t>1793_x000D_</t>
  </si>
  <si>
    <t>11710_x000D_</t>
  </si>
  <si>
    <t>1364_x000D_</t>
  </si>
  <si>
    <t>525_x000D_</t>
  </si>
  <si>
    <t>507_x000D_</t>
  </si>
  <si>
    <t>390_x000D_</t>
  </si>
  <si>
    <t>659_x000D_</t>
  </si>
  <si>
    <t>1327_x000D_</t>
  </si>
  <si>
    <t>581_x000D_</t>
  </si>
  <si>
    <t>753_x000D_</t>
  </si>
  <si>
    <t>396_x000D_</t>
  </si>
  <si>
    <t>68_x000D_</t>
  </si>
  <si>
    <t>193_x000D_</t>
  </si>
  <si>
    <t>156_x000D_</t>
  </si>
  <si>
    <t>118_x000D_</t>
  </si>
  <si>
    <t>87_x000D_</t>
  </si>
  <si>
    <t>161_x000D_</t>
  </si>
  <si>
    <t>55_x000D_</t>
  </si>
  <si>
    <t>138_x000D_</t>
  </si>
  <si>
    <t>248_x000D_</t>
  </si>
  <si>
    <t>282_x000D_</t>
  </si>
  <si>
    <t>200_x000D_</t>
  </si>
  <si>
    <t>57_x000D_</t>
  </si>
  <si>
    <t>74_x000D_</t>
  </si>
  <si>
    <t>36_x000D_</t>
  </si>
  <si>
    <t>788_x000D_</t>
  </si>
  <si>
    <t>21_x000D_</t>
  </si>
  <si>
    <t>8_x000D_</t>
  </si>
  <si>
    <t>20610_x000D_</t>
  </si>
  <si>
    <t>8799_x000D_</t>
  </si>
  <si>
    <t>14282_x000D_</t>
  </si>
  <si>
    <t>1400_x000D_</t>
  </si>
  <si>
    <t>1236_x000D_</t>
  </si>
  <si>
    <t>764_x000D_</t>
  </si>
  <si>
    <t>542_x000D_</t>
  </si>
  <si>
    <t>1326_x000D_</t>
  </si>
  <si>
    <t>504_x000D_</t>
  </si>
  <si>
    <t>380_x000D_</t>
  </si>
  <si>
    <t>273_x000D_</t>
  </si>
  <si>
    <t>995_x000D_</t>
  </si>
  <si>
    <t>92_x000D_</t>
  </si>
  <si>
    <t>5018_x000D_</t>
  </si>
  <si>
    <t>131_x000D_</t>
  </si>
  <si>
    <t>110_x000D_</t>
  </si>
  <si>
    <t>3631_x000D_</t>
  </si>
  <si>
    <t>Northwest Territories</t>
  </si>
  <si>
    <t>Cape Verde</t>
  </si>
  <si>
    <t>East Timor</t>
  </si>
  <si>
    <t>Eritrea</t>
  </si>
  <si>
    <t>Uganda</t>
  </si>
  <si>
    <t>At Sun 22-Mar Australia 500 cases per 10M was 18 days behind Italy, 2 days behind USA &amp; 34 days behind China, 22 days behind South Korea, 2 days behind UK</t>
  </si>
  <si>
    <t>64.3 k</t>
  </si>
  <si>
    <t>25.3 k</t>
  </si>
  <si>
    <t>b=0.207, d=3.22E-06, P0=.0099 Limit=25.3 k</t>
  </si>
  <si>
    <t>Australia Limit 25.3 k</t>
  </si>
  <si>
    <t>COVID19 Australia P(t) = b / {d+[( b/Po - d ) ]* exp(-b*t)}
b=0.207, d=3.22E-06, P0=.0099 Limit=25.3 k
 22-Mar, Cases per 10 M population</t>
  </si>
  <si>
    <t>At Sun 22-Mar NSW 660 cases per 10M was 16 days behind Italy, 1 days behind USA &amp; 0 days behind China, 21 days behind South Korea, 1 days behind UK</t>
  </si>
  <si>
    <t>3.26 k</t>
  </si>
  <si>
    <t>4.04 k</t>
  </si>
  <si>
    <t>b=0.207, d=6.34E-05, P0=.0048 Limit=4.04 k</t>
  </si>
  <si>
    <t>NSW Limit 4.04 k</t>
  </si>
  <si>
    <t>COVID19 NSW P(t) = b / {d+[( b/Po - d ) ]* exp(-b*t)}
b=0.207, d=6.34E-05, P0=.0048 Limit=4.04 k
 22-Mar, Cases per 10 M population</t>
  </si>
  <si>
    <t>3.37 G</t>
  </si>
  <si>
    <t>102 M</t>
  </si>
  <si>
    <t>b=0.337, d=1.00E-10, P0=.0255 Limit=102 M</t>
  </si>
  <si>
    <t>USA Limit 102 M</t>
  </si>
  <si>
    <t>COVID19 USA P(t) = b / {d+[( b/Po - d ) ]* exp(-b*t)}
b=0.337, d=1.00E-10, P0=.0255 Limit=102 M
 21-Mar, Cases per 10 M population
 - Prediction without last day</t>
  </si>
  <si>
    <t>35.5 M</t>
  </si>
  <si>
    <t>b=0.236, d=1.00E-09, P0=.0297 Limit=35.5 M</t>
  </si>
  <si>
    <t>UK Limit 35.5 M</t>
  </si>
  <si>
    <t xml:space="preserve">COVID19 UK P(t) = b / {d+[( b/Po - d ) ]* exp(-b*t)}
b=0.236, d=1.00E-09, P0=.0297 Limit=35.5 M
 21-Mar, Cases per 10 M population
</t>
  </si>
  <si>
    <t>Limit Cases</t>
  </si>
  <si>
    <t>At Sun 22-Mar Australia 532 cases per 10M was 17 days behind Italy, 2 days behind USA &amp; 29 days behind China, 22 days behind South Korea, 2 days behind UK</t>
  </si>
  <si>
    <t>2.10 G</t>
  </si>
  <si>
    <t>828 M</t>
  </si>
  <si>
    <t xml:space="preserve">b=0.21, d=1.00E-10, P0=.008 Limit=828 M=&gt;2.10 G cases </t>
  </si>
  <si>
    <t>Australia Limit 828 M</t>
  </si>
  <si>
    <t>COVID19 Australia P(t) = b / {d+[( b/Po - d ) ]* exp(-b*t)}
b=0.21, d=1.00E-10, P0=.008 Limit=828 M=&gt;2.10 G cases 
 22-Mar, Cases per 10 M population</t>
  </si>
  <si>
    <t xml:space="preserve">b=0.207, d=6.34E-05, P0=.005 Limit=4.04 k=&gt;3.26 k cases </t>
  </si>
  <si>
    <t>COVID19 NSW P(t) = b / {d+[( b/Po - d ) ]* exp(-b*t)}
b=0.207, d=6.34E-05, P0=.005 Limit=4.04 k=&gt;3.26 k cases 
 22-Mar, Cases per 10 M population</t>
  </si>
  <si>
    <t xml:space="preserve">b=0.259, d=4.28E-06, P0=.442 Limit=10.0 k=&gt;60.6 k cases </t>
  </si>
  <si>
    <t>COVID19 Italy P(t) = b / {d+[( b/Po - d ) ]* exp(-b*t)}
b=0.259, d=4.28E-06, P0=.442 Limit=10.0 k=&gt;60.6 k cases 
 21-Mar, Cases per 10 M population</t>
  </si>
  <si>
    <t xml:space="preserve">b=0.337, d=1.00E-10, P0=.025 Limit=102 M=&gt;3.37 G cases </t>
  </si>
  <si>
    <t>COVID19 USA P(t) = b / {d+[( b/Po - d ) ]* exp(-b*t)}
b=0.337, d=1.00E-10, P0=.025 Limit=102 M=&gt;3.37 G cases 
 21-Mar, Cases per 10 M population</t>
  </si>
  <si>
    <t>164 k</t>
  </si>
  <si>
    <t>4.97 k</t>
  </si>
  <si>
    <t xml:space="preserve">b=0.337, d=2.06E-06, P0=.025 Limit=4.97 k=&gt;164 k cases </t>
  </si>
  <si>
    <t>USA Limit 4.97 k</t>
  </si>
  <si>
    <t>COVID19 USA P(t) = b / {d+[( b/Po - d ) ]* exp(-b*t)}
b=0.337, d=2.06E-06, P0=.025 Limit=4.97 k=&gt;164 k cases 
 21-Mar, Cases per 10 M population</t>
  </si>
  <si>
    <t xml:space="preserve">563  </t>
  </si>
  <si>
    <t xml:space="preserve">b=0.222, d=2.74E-06, P0=1537.649 Limit=563  =&gt;81.0 k cases </t>
  </si>
  <si>
    <t xml:space="preserve">China Limit 563  </t>
  </si>
  <si>
    <t>COVID19 China P(t) = b / {d+[( b/Po - d ) ]* exp(-b*t)}
b=0.222, d=2.74E-06, P0=1537.649 Limit=563  =&gt;81.0 k cases 
 22-Mar, Cases per 10 M population</t>
  </si>
  <si>
    <t xml:space="preserve">, log fit from 19th Feb </t>
  </si>
  <si>
    <t>8.44 k</t>
  </si>
  <si>
    <t>1.64 k</t>
  </si>
  <si>
    <t xml:space="preserve">b=0.315, d=3.74E-05, P0=191.459 Limit=1.64 k=&gt;8.44 k cases , log fit from 19th Feb </t>
  </si>
  <si>
    <t>Skorea Limit 1.64 k fr 19th Feb</t>
  </si>
  <si>
    <t>COVID19 Skorea P(t) = b / {d+[( b/Po - d ) ]* exp(-b*t)}
b=0.315, d=3.74E-05, P0=191.459 Limit=1.64 k=&gt;8.44 k cases , log fit from 19th Feb 
 22-Mar, Cases per 10 M population</t>
  </si>
  <si>
    <t xml:space="preserve">b=0.236, d=1.00E-09, P0=.03 Limit=35.5 M=&gt;236 M cases </t>
  </si>
  <si>
    <t>COVID19 UK P(t) = b / {d+[( b/Po - d ) ]* exp(-b*t)}
b=0.236, d=1.00E-09, P0=.03 Limit=35.5 M=&gt;236 M cases 
 21-Mar, Cases per 10 M population</t>
  </si>
  <si>
    <t>b=0.202, d=1.00E-10, P0=.006 Limit=2.50 G</t>
  </si>
  <si>
    <t>COVID19 Tests P(t) = b / {d+[( b/Po - d ) ]* exp(-b*t)}
b=0.202, d=1.00E-10, P0=.006 Limit=2.50 G
 21-Mar, Cases per 10 M population</t>
  </si>
  <si>
    <t>At Sun 22-Mar Australia 534 cases per 10M was 17 days behind Italy, 2 days behind USA &amp; 29 days behind China, 22 days behind South Korea, 2 days behind UK</t>
  </si>
  <si>
    <t>829 M</t>
  </si>
  <si>
    <t xml:space="preserve">b=0.21, d=1.00E-10, P0=.008 Limit=829 M=&gt;2.10 G cases </t>
  </si>
  <si>
    <t>Australia Limit 829 M</t>
  </si>
  <si>
    <t>COVID19 Australia P(t) = b / {d+[( b/Po - d ) ]* exp(-b*t)}
b=0.21, d=1.00E-10, P0=.008 Limit=829 M=&gt;2.10 G cases 
 22-Mar, Cases per 10 M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</si>
</sst>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  <numFmt numFmtId="176" formatCode="d/mm/yy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1" fontId="0" fillId="0" borderId="0" xfId="0" applyNumberFormat="1"/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  <xf numFmtId="0" fontId="0" fillId="44" borderId="0" xfId="0" applyFill="1"/>
    <xf numFmtId="173" fontId="0" fillId="44" borderId="0" xfId="0" applyNumberFormat="1" applyFill="1"/>
    <xf numFmtId="14" fontId="0" fillId="44" borderId="0" xfId="0" applyNumberFormat="1" applyFill="1"/>
    <xf numFmtId="164" fontId="18" fillId="44" borderId="10" xfId="0" applyNumberFormat="1" applyFont="1" applyFill="1" applyBorder="1" applyAlignment="1">
      <alignment horizontal="center" wrapText="1"/>
    </xf>
    <xf numFmtId="0" fontId="18" fillId="44" borderId="11" xfId="0" applyFont="1" applyFill="1" applyBorder="1" applyAlignment="1">
      <alignment horizontal="center"/>
    </xf>
    <xf numFmtId="0" fontId="0" fillId="44" borderId="11" xfId="0" applyFill="1" applyBorder="1"/>
    <xf numFmtId="0" fontId="19" fillId="44" borderId="12" xfId="0" applyFont="1" applyFill="1" applyBorder="1" applyAlignment="1">
      <alignment horizontal="center" wrapText="1"/>
    </xf>
    <xf numFmtId="0" fontId="0" fillId="44" borderId="11" xfId="0" applyFill="1" applyBorder="1" applyAlignment="1">
      <alignment wrapText="1"/>
    </xf>
    <xf numFmtId="0" fontId="0" fillId="44" borderId="10" xfId="0" applyFill="1" applyBorder="1" applyAlignment="1">
      <alignment wrapText="1"/>
    </xf>
    <xf numFmtId="0" fontId="0" fillId="44" borderId="13" xfId="0" applyFill="1" applyBorder="1"/>
    <xf numFmtId="0" fontId="0" fillId="44" borderId="0" xfId="0" applyFill="1" applyBorder="1"/>
    <xf numFmtId="0" fontId="0" fillId="44" borderId="0" xfId="0" applyFill="1" applyAlignment="1">
      <alignment wrapText="1"/>
    </xf>
    <xf numFmtId="176" fontId="0" fillId="0" borderId="0" xfId="0" applyNumberFormat="1"/>
    <xf numFmtId="176" fontId="0" fillId="44" borderId="0" xfId="0" applyNumberFormat="1" applyFill="1" applyAlignment="1">
      <alignment wrapText="1"/>
    </xf>
    <xf numFmtId="176" fontId="21" fillId="0" borderId="0" xfId="0" quotePrefix="1" applyNumberFormat="1" applyFont="1"/>
    <xf numFmtId="176" fontId="0" fillId="41" borderId="0" xfId="0" applyNumberFormat="1" applyFill="1"/>
    <xf numFmtId="176" fontId="0" fillId="40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5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3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6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238408"/>
        <c:axId val="876236840"/>
      </c:scatterChart>
      <c:valAx>
        <c:axId val="876238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236840"/>
        <c:crosses val="autoZero"/>
        <c:crossBetween val="midCat"/>
      </c:valAx>
      <c:valAx>
        <c:axId val="876236840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238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myData!$DS$15:$DS$24</c:f>
              <c:numCache>
                <c:formatCode>m/d/yyyy</c:formatCode>
                <c:ptCount val="10"/>
                <c:pt idx="0">
                  <c:v>43911</c:v>
                </c:pt>
                <c:pt idx="1">
                  <c:v>43911</c:v>
                </c:pt>
                <c:pt idx="2">
                  <c:v>43912</c:v>
                </c:pt>
                <c:pt idx="3">
                  <c:v>43912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</c:numCache>
            </c:numRef>
          </c:xVal>
          <c:yVal>
            <c:numRef>
              <c:f>myData!$DN$15:$DN$24</c:f>
              <c:numCache>
                <c:formatCode>General</c:formatCode>
                <c:ptCount val="10"/>
                <c:pt idx="0">
                  <c:v>206489313.35257691</c:v>
                </c:pt>
                <c:pt idx="1">
                  <c:v>207001690.92267293</c:v>
                </c:pt>
                <c:pt idx="2">
                  <c:v>64297.289822945546</c:v>
                </c:pt>
                <c:pt idx="3">
                  <c:v>2099285590.7198939</c:v>
                </c:pt>
                <c:pt idx="4">
                  <c:v>698.45143014252619</c:v>
                </c:pt>
                <c:pt idx="5">
                  <c:v>542.39562937001722</c:v>
                </c:pt>
                <c:pt idx="6">
                  <c:v>149466.80778825187</c:v>
                </c:pt>
                <c:pt idx="7">
                  <c:v>1903695418.3668838</c:v>
                </c:pt>
                <c:pt idx="8">
                  <c:v>1906532495.6548798</c:v>
                </c:pt>
                <c:pt idx="9">
                  <c:v>2020947810.4226243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myData!$DS$24:$DS$30</c:f>
              <c:numCache>
                <c:formatCode>m/d/yyyy</c:formatCode>
                <c:ptCount val="7"/>
                <c:pt idx="0">
                  <c:v>43908</c:v>
                </c:pt>
                <c:pt idx="1">
                  <c:v>43908</c:v>
                </c:pt>
                <c:pt idx="2">
                  <c:v>43910</c:v>
                </c:pt>
                <c:pt idx="3">
                  <c:v>43911</c:v>
                </c:pt>
                <c:pt idx="4">
                  <c:v>43912</c:v>
                </c:pt>
                <c:pt idx="5">
                  <c:v>43912</c:v>
                </c:pt>
                <c:pt idx="6">
                  <c:v>43904</c:v>
                </c:pt>
              </c:numCache>
            </c:numRef>
          </c:xVal>
          <c:yVal>
            <c:numRef>
              <c:f>myData!$DN$24:$DN$30</c:f>
              <c:numCache>
                <c:formatCode>General</c:formatCode>
                <c:ptCount val="7"/>
                <c:pt idx="0">
                  <c:v>2020947810.4226243</c:v>
                </c:pt>
                <c:pt idx="1">
                  <c:v>2020947810.4226243</c:v>
                </c:pt>
                <c:pt idx="2">
                  <c:v>19837162.818940759</c:v>
                </c:pt>
                <c:pt idx="3">
                  <c:v>2724.7105763852951</c:v>
                </c:pt>
                <c:pt idx="4">
                  <c:v>3260.9876989496688</c:v>
                </c:pt>
                <c:pt idx="5">
                  <c:v>3260.9876989496688</c:v>
                </c:pt>
                <c:pt idx="6">
                  <c:v>32853.312146806733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238800"/>
        <c:axId val="750927776"/>
      </c:scatterChart>
      <c:valAx>
        <c:axId val="87623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27776"/>
        <c:crosses val="autoZero"/>
        <c:crossBetween val="midCat"/>
      </c:valAx>
      <c:valAx>
        <c:axId val="7509277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23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Sun 22-Mar-2020,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4.04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1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  <c:pt idx="60">
                  <c:v>1730.933852140078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1.64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37.248784289533205</c:v>
                </c:pt>
                <c:pt idx="29" formatCode="0.0">
                  <c:v>50.630347977030347</c:v>
                </c:pt>
                <c:pt idx="30" formatCode="0.0">
                  <c:v>68.613597402786084</c:v>
                </c:pt>
                <c:pt idx="31" formatCode="0.0">
                  <c:v>92.612402737634724</c:v>
                </c:pt>
                <c:pt idx="32" formatCode="0.0">
                  <c:v>124.341601510578</c:v>
                </c:pt>
                <c:pt idx="33" formatCode="0.0">
                  <c:v>165.77775375757875</c:v>
                </c:pt>
                <c:pt idx="34" formatCode="0.0">
                  <c:v>219.02867976634963</c:v>
                </c:pt>
                <c:pt idx="35" formatCode="0.0">
                  <c:v>286.06876751752395</c:v>
                </c:pt>
                <c:pt idx="36" formatCode="0.0">
                  <c:v>368.31504818054941</c:v>
                </c:pt>
                <c:pt idx="37" formatCode="0.0">
                  <c:v>466.07610166667229</c:v>
                </c:pt>
                <c:pt idx="38" formatCode="0.0">
                  <c:v>578.00467766721135</c:v>
                </c:pt>
                <c:pt idx="39" formatCode="0.0">
                  <c:v>700.78616113834255</c:v>
                </c:pt>
                <c:pt idx="40" formatCode="0.0">
                  <c:v>829.30928280721707</c:v>
                </c:pt>
                <c:pt idx="41" formatCode="0.0">
                  <c:v>957.41182598609703</c:v>
                </c:pt>
                <c:pt idx="42" formatCode="0.0">
                  <c:v>1079.0109015204666</c:v>
                </c:pt>
                <c:pt idx="43" formatCode="0.0">
                  <c:v>1189.2030681089209</c:v>
                </c:pt>
                <c:pt idx="44" formatCode="0.0">
                  <c:v>1284.9379632131779</c:v>
                </c:pt>
                <c:pt idx="45" formatCode="0.0">
                  <c:v>1365.1143523169874</c:v>
                </c:pt>
                <c:pt idx="46" formatCode="0.0">
                  <c:v>1430.2218425730441</c:v>
                </c:pt>
                <c:pt idx="47" formatCode="0.0">
                  <c:v>1481.7814117732519</c:v>
                </c:pt>
                <c:pt idx="48" formatCode="0.0">
                  <c:v>1521.8061427985774</c:v>
                </c:pt>
                <c:pt idx="49" formatCode="0.0">
                  <c:v>1552.3983396220844</c:v>
                </c:pt>
                <c:pt idx="50" formatCode="0.0">
                  <c:v>1575.5048462293491</c:v>
                </c:pt>
                <c:pt idx="51" formatCode="0.0">
                  <c:v>1592.8012544238443</c:v>
                </c:pt>
                <c:pt idx="52" formatCode="0.0">
                  <c:v>1605.6616233015316</c:v>
                </c:pt>
                <c:pt idx="53" formatCode="0.0">
                  <c:v>1615.1758801795918</c:v>
                </c:pt>
                <c:pt idx="54" formatCode="0.0">
                  <c:v>1622.1885824560709</c:v>
                </c:pt>
                <c:pt idx="55" formatCode="0.0">
                  <c:v>1627.3433369567597</c:v>
                </c:pt>
                <c:pt idx="56" formatCode="0.0">
                  <c:v>1631.1247754962264</c:v>
                </c:pt>
                <c:pt idx="57" formatCode="0.0">
                  <c:v>1633.8946821333641</c:v>
                </c:pt>
                <c:pt idx="58" formatCode="0.0">
                  <c:v>1635.9214481256997</c:v>
                </c:pt>
                <c:pt idx="59" formatCode="0.0">
                  <c:v>1637.4032782536633</c:v>
                </c:pt>
                <c:pt idx="60" formatCode="0.0">
                  <c:v>1638.4860625316037</c:v>
                </c:pt>
                <c:pt idx="61" formatCode="0.0">
                  <c:v>1639.2769265686075</c:v>
                </c:pt>
                <c:pt idx="62" formatCode="0.0">
                  <c:v>1639.8543941114997</c:v>
                </c:pt>
                <c:pt idx="63" formatCode="0.0">
                  <c:v>1640.2759502194167</c:v>
                </c:pt>
                <c:pt idx="64" formatCode="0.0">
                  <c:v>1640.5836390208399</c:v>
                </c:pt>
                <c:pt idx="65" formatCode="0.0">
                  <c:v>1640.8081904397177</c:v>
                </c:pt>
                <c:pt idx="66" formatCode="0.0">
                  <c:v>1640.9720537892379</c:v>
                </c:pt>
                <c:pt idx="67" formatCode="0.0">
                  <c:v>1641.0916231911888</c:v>
                </c:pt>
                <c:pt idx="68" formatCode="0.0">
                  <c:v>1641.1788676803162</c:v>
                </c:pt>
                <c:pt idx="69" formatCode="0.0">
                  <c:v>1641.2425239451231</c:v>
                </c:pt>
                <c:pt idx="70" formatCode="0.0">
                  <c:v>1641.3953792501504</c:v>
                </c:pt>
                <c:pt idx="71" formatCode="0.0">
                  <c:v>1641.4121970012516</c:v>
                </c:pt>
                <c:pt idx="72" formatCode="0.0">
                  <c:v>1641.4140471871617</c:v>
                </c:pt>
                <c:pt idx="73" formatCode="0.0">
                  <c:v>1641.4142507312167</c:v>
                </c:pt>
                <c:pt idx="74" formatCode="0.0">
                  <c:v>1641.4142731236345</c:v>
                </c:pt>
                <c:pt idx="75" formatCode="0.0">
                  <c:v>1641.414275587083</c:v>
                </c:pt>
                <c:pt idx="76" formatCode="0.0">
                  <c:v>1641.4142758580933</c:v>
                </c:pt>
                <c:pt idx="77" formatCode="0.0">
                  <c:v>1641.4142758879082</c:v>
                </c:pt>
                <c:pt idx="78" formatCode="0.0">
                  <c:v>1641.4142758911885</c:v>
                </c:pt>
                <c:pt idx="79" formatCode="0.0">
                  <c:v>1641.4142758915491</c:v>
                </c:pt>
                <c:pt idx="80" formatCode="0.0">
                  <c:v>1641.4142758915891</c:v>
                </c:pt>
                <c:pt idx="81" formatCode="0.0">
                  <c:v>1641.414275891593</c:v>
                </c:pt>
                <c:pt idx="82" formatCode="0.0">
                  <c:v>1641.4142758915937</c:v>
                </c:pt>
                <c:pt idx="83" formatCode="0.0">
                  <c:v>1641.4142758915937</c:v>
                </c:pt>
                <c:pt idx="84" formatCode="0.0">
                  <c:v>1641.4142758915937</c:v>
                </c:pt>
                <c:pt idx="85" formatCode="0.0">
                  <c:v>1641.4142758915937</c:v>
                </c:pt>
                <c:pt idx="86" formatCode="0.0">
                  <c:v>1641.4142758915937</c:v>
                </c:pt>
                <c:pt idx="87" formatCode="0.0">
                  <c:v>1641.4142758915937</c:v>
                </c:pt>
                <c:pt idx="88" formatCode="0.0">
                  <c:v>1641.4142758915937</c:v>
                </c:pt>
                <c:pt idx="89" formatCode="0.0">
                  <c:v>1641.4142758915937</c:v>
                </c:pt>
                <c:pt idx="90" formatCode="0.0">
                  <c:v>1641.4142758915937</c:v>
                </c:pt>
                <c:pt idx="91" formatCode="0.0">
                  <c:v>1641.4142758915937</c:v>
                </c:pt>
                <c:pt idx="92" formatCode="0.0">
                  <c:v>1641.4142758915937</c:v>
                </c:pt>
                <c:pt idx="93" formatCode="0.0">
                  <c:v>1641.4142758915937</c:v>
                </c:pt>
                <c:pt idx="94" formatCode="0.0">
                  <c:v>1641.4142758915937</c:v>
                </c:pt>
                <c:pt idx="95" formatCode="0.0">
                  <c:v>1641.4142758915937</c:v>
                </c:pt>
                <c:pt idx="96" formatCode="0.0">
                  <c:v>1641.4142758915937</c:v>
                </c:pt>
                <c:pt idx="97" formatCode="0.0">
                  <c:v>1641.4142758915937</c:v>
                </c:pt>
                <c:pt idx="98" formatCode="0.0">
                  <c:v>1641.4142758915937</c:v>
                </c:pt>
                <c:pt idx="99" formatCode="0.0">
                  <c:v>1641.4142758915937</c:v>
                </c:pt>
                <c:pt idx="100" formatCode="0.0">
                  <c:v>1641.4142758915937</c:v>
                </c:pt>
                <c:pt idx="101" formatCode="0.0">
                  <c:v>1641.4142758915937</c:v>
                </c:pt>
                <c:pt idx="102" formatCode="0.0">
                  <c:v>1641.4142758915937</c:v>
                </c:pt>
                <c:pt idx="103" formatCode="0.0">
                  <c:v>1641.4142758915937</c:v>
                </c:pt>
                <c:pt idx="104" formatCode="0.0">
                  <c:v>1641.4142758915937</c:v>
                </c:pt>
                <c:pt idx="105" formatCode="0.0">
                  <c:v>1641.4142758915937</c:v>
                </c:pt>
                <c:pt idx="106" formatCode="0.0">
                  <c:v>1641.4142758915937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  <c:pt idx="57">
                  <c:v>533.82747200756978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829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3.2765421360321958E-3</c:v>
                </c:pt>
                <c:pt idx="1">
                  <c:v>4.0435486626358213E-3</c:v>
                </c:pt>
                <c:pt idx="2">
                  <c:v>4.9901039291684974E-3</c:v>
                </c:pt>
                <c:pt idx="3">
                  <c:v>6.1582385427913231E-3</c:v>
                </c:pt>
                <c:pt idx="4">
                  <c:v>7.5998220654749683E-3</c:v>
                </c:pt>
                <c:pt idx="5">
                  <c:v>9.3788662172669384E-3</c:v>
                </c:pt>
                <c:pt idx="6">
                  <c:v>1.1574367236958386E-2</c:v>
                </c:pt>
                <c:pt idx="7">
                  <c:v>1.4283813611634092E-2</c:v>
                </c:pt>
                <c:pt idx="8">
                  <c:v>1.7627514931465353E-2</c:v>
                </c:pt>
                <c:pt idx="9">
                  <c:v>2.1753944087148643E-2</c:v>
                </c:pt>
                <c:pt idx="10">
                  <c:v>2.6846330023610344E-2</c:v>
                </c:pt>
                <c:pt idx="11">
                  <c:v>3.3130793792990477E-2</c:v>
                </c:pt>
                <c:pt idx="12">
                  <c:v>4.0886389178199326E-2</c:v>
                </c:pt>
                <c:pt idx="13">
                  <c:v>5.0457493728423668E-2</c:v>
                </c:pt>
                <c:pt idx="14">
                  <c:v>6.2269100415072665E-2</c:v>
                </c:pt>
                <c:pt idx="15">
                  <c:v>7.6845688915088556E-2</c:v>
                </c:pt>
                <c:pt idx="16">
                  <c:v>9.4834514477438181E-2</c:v>
                </c:pt>
                <c:pt idx="17">
                  <c:v>0.11703434848587695</c:v>
                </c:pt>
                <c:pt idx="18">
                  <c:v>0.1444309469068509</c:v>
                </c:pt>
                <c:pt idx="19">
                  <c:v>0.17824082155475537</c:v>
                </c:pt>
                <c:pt idx="20">
                  <c:v>0.21996525778301859</c:v>
                </c:pt>
                <c:pt idx="21">
                  <c:v>0.27145697718923623</c:v>
                </c:pt>
                <c:pt idx="22">
                  <c:v>0.33500240540865622</c:v>
                </c:pt>
                <c:pt idx="23">
                  <c:v>0.41342319799478927</c:v>
                </c:pt>
                <c:pt idx="24">
                  <c:v>0.51020153251723088</c:v>
                </c:pt>
                <c:pt idx="25">
                  <c:v>0.62963473031598061</c:v>
                </c:pt>
                <c:pt idx="26">
                  <c:v>0.77702607369828591</c:v>
                </c:pt>
                <c:pt idx="27">
                  <c:v>0.95892029157739278</c:v>
                </c:pt>
                <c:pt idx="28">
                  <c:v>1.1833941699988606</c:v>
                </c:pt>
                <c:pt idx="29">
                  <c:v>1.4604151917516579</c:v>
                </c:pt>
                <c:pt idx="30">
                  <c:v>1.8022841300074184</c:v>
                </c:pt>
                <c:pt idx="31">
                  <c:v>2.2241812488044022</c:v>
                </c:pt>
                <c:pt idx="32">
                  <c:v>2.7448403637242169</c:v>
                </c:pt>
                <c:pt idx="33">
                  <c:v>3.3873806935798525</c:v>
                </c:pt>
                <c:pt idx="34">
                  <c:v>4.1803334404438051</c:v>
                </c:pt>
                <c:pt idx="35">
                  <c:v>5.158908682009689</c:v>
                </c:pt>
                <c:pt idx="36">
                  <c:v>6.3665588310432737</c:v>
                </c:pt>
                <c:pt idx="37">
                  <c:v>7.8569080853602564</c:v>
                </c:pt>
                <c:pt idx="38">
                  <c:v>9.6961335431047999</c:v>
                </c:pt>
                <c:pt idx="39">
                  <c:v>11.96590371371253</c:v>
                </c:pt>
                <c:pt idx="40">
                  <c:v>14.767004905364541</c:v>
                </c:pt>
                <c:pt idx="41">
                  <c:v>18.223816513978704</c:v>
                </c:pt>
                <c:pt idx="42">
                  <c:v>22.48983393311125</c:v>
                </c:pt>
                <c:pt idx="43">
                  <c:v>27.754484322307196</c:v>
                </c:pt>
                <c:pt idx="44">
                  <c:v>34.251537879000942</c:v>
                </c:pt>
                <c:pt idx="45">
                  <c:v>42.269488105102091</c:v>
                </c:pt>
                <c:pt idx="46">
                  <c:v>52.164361989678447</c:v>
                </c:pt>
                <c:pt idx="47">
                  <c:v>64.375528925819452</c:v>
                </c:pt>
                <c:pt idx="48">
                  <c:v>79.445210333708047</c:v>
                </c:pt>
                <c:pt idx="49">
                  <c:v>98.042556285491401</c:v>
                </c:pt>
                <c:pt idx="50">
                  <c:v>120.99335821699556</c:v>
                </c:pt>
                <c:pt idx="51">
                  <c:v>149.31671707083041</c:v>
                </c:pt>
                <c:pt idx="52">
                  <c:v>184.270295056733</c:v>
                </c:pt>
                <c:pt idx="53">
                  <c:v>227.40616035075564</c:v>
                </c:pt>
                <c:pt idx="54">
                  <c:v>280.63970440732754</c:v>
                </c:pt>
                <c:pt idx="55">
                  <c:v>346.33469201025537</c:v>
                </c:pt>
                <c:pt idx="56">
                  <c:v>427.40822051084024</c:v>
                </c:pt>
                <c:pt idx="57">
                  <c:v>527.46024869511064</c:v>
                </c:pt>
                <c:pt idx="58">
                  <c:v>650.93344663156211</c:v>
                </c:pt>
                <c:pt idx="59">
                  <c:v>803.31046410292822</c:v>
                </c:pt>
                <c:pt idx="60">
                  <c:v>991.35737657860102</c:v>
                </c:pt>
                <c:pt idx="61">
                  <c:v>1223.4241178778143</c:v>
                </c:pt>
                <c:pt idx="62">
                  <c:v>1509.8152386966349</c:v>
                </c:pt>
                <c:pt idx="63">
                  <c:v>1863.247452294918</c:v>
                </c:pt>
                <c:pt idx="64">
                  <c:v>2299.4142813871313</c:v>
                </c:pt>
                <c:pt idx="65">
                  <c:v>2837.682874563402</c:v>
                </c:pt>
                <c:pt idx="66">
                  <c:v>3501.9539272381912</c:v>
                </c:pt>
                <c:pt idx="67">
                  <c:v>15266.261036427753</c:v>
                </c:pt>
                <c:pt idx="68">
                  <c:v>66547.882805289497</c:v>
                </c:pt>
                <c:pt idx="69">
                  <c:v>290031.78398196353</c:v>
                </c:pt>
                <c:pt idx="70" formatCode="0.00E+00">
                  <c:v>1262885.6788091576</c:v>
                </c:pt>
                <c:pt idx="71" formatCode="0.00E+00">
                  <c:v>5477422.4907040661</c:v>
                </c:pt>
                <c:pt idx="72" formatCode="0.00E+00">
                  <c:v>23360020.782379415</c:v>
                </c:pt>
                <c:pt idx="73" formatCode="0.00E+00">
                  <c:v>93032110.179156363</c:v>
                </c:pt>
                <c:pt idx="74" formatCode="0.00E+00">
                  <c:v>294553838.91941363</c:v>
                </c:pt>
                <c:pt idx="75" formatCode="0.00E+00">
                  <c:v>585466524.14389646</c:v>
                </c:pt>
                <c:pt idx="76" formatCode="0.00E+00">
                  <c:v>756957387.31782877</c:v>
                </c:pt>
                <c:pt idx="77" formatCode="0.00E+00">
                  <c:v>811481569.69030333</c:v>
                </c:pt>
                <c:pt idx="78" formatCode="0.00E+00">
                  <c:v>825114956.99569154</c:v>
                </c:pt>
                <c:pt idx="79" formatCode="0.00E+00">
                  <c:v>828307142.35215402</c:v>
                </c:pt>
                <c:pt idx="80" formatCode="0.00E+00">
                  <c:v>829042878.7086699</c:v>
                </c:pt>
                <c:pt idx="81" formatCode="0.00E+00">
                  <c:v>829211832.47772586</c:v>
                </c:pt>
                <c:pt idx="82" formatCode="0.00E+00">
                  <c:v>829250598.23460293</c:v>
                </c:pt>
                <c:pt idx="83" formatCode="0.00E+00">
                  <c:v>829259491.16331184</c:v>
                </c:pt>
                <c:pt idx="84" formatCode="0.00E+00">
                  <c:v>829261531.12550783</c:v>
                </c:pt>
                <c:pt idx="85" formatCode="0.00E+00">
                  <c:v>829261999.07072818</c:v>
                </c:pt>
                <c:pt idx="86" formatCode="0.00E+00">
                  <c:v>829262106.41204023</c:v>
                </c:pt>
                <c:pt idx="87" formatCode="0.00E+00">
                  <c:v>829262131.03490353</c:v>
                </c:pt>
                <c:pt idx="88" formatCode="0.00E+00">
                  <c:v>829262136.68310452</c:v>
                </c:pt>
                <c:pt idx="89" formatCode="0.00E+00">
                  <c:v>829262137.97873676</c:v>
                </c:pt>
                <c:pt idx="90" formatCode="0.00E+00">
                  <c:v>829262138.27593982</c:v>
                </c:pt>
                <c:pt idx="91" formatCode="0.00E+00">
                  <c:v>829262138.34411478</c:v>
                </c:pt>
                <c:pt idx="92" formatCode="0.00E+00">
                  <c:v>829262138.35975337</c:v>
                </c:pt>
                <c:pt idx="93" formatCode="0.00E+00">
                  <c:v>829262138.36334062</c:v>
                </c:pt>
                <c:pt idx="94" formatCode="0.00E+00">
                  <c:v>829262138.36416364</c:v>
                </c:pt>
                <c:pt idx="95" formatCode="0.00E+00">
                  <c:v>829262138.36435235</c:v>
                </c:pt>
                <c:pt idx="96" formatCode="0.00E+00">
                  <c:v>829262138.36439562</c:v>
                </c:pt>
                <c:pt idx="97" formatCode="0.00E+00">
                  <c:v>829262138.36440551</c:v>
                </c:pt>
                <c:pt idx="98" formatCode="0.00E+00">
                  <c:v>829262138.36440778</c:v>
                </c:pt>
                <c:pt idx="99" formatCode="0.00E+00">
                  <c:v>829262138.36440837</c:v>
                </c:pt>
                <c:pt idx="100" formatCode="0.00E+00">
                  <c:v>829262138.36440849</c:v>
                </c:pt>
                <c:pt idx="101" formatCode="0.00E+00">
                  <c:v>829262138.36440849</c:v>
                </c:pt>
                <c:pt idx="102" formatCode="0.00E+00">
                  <c:v>829262138.36440849</c:v>
                </c:pt>
                <c:pt idx="103" formatCode="0.00E+00">
                  <c:v>829262138.36440849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762.64298615291989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35.5 M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4.4663803502333326E-3</c:v>
                </c:pt>
                <c:pt idx="1">
                  <c:v>5.6548771131002418E-3</c:v>
                </c:pt>
                <c:pt idx="2">
                  <c:v>7.1596309889527358E-3</c:v>
                </c:pt>
                <c:pt idx="3">
                  <c:v>9.0647974964200902E-3</c:v>
                </c:pt>
                <c:pt idx="4">
                  <c:v>1.1476925804796296E-2</c:v>
                </c:pt>
                <c:pt idx="5">
                  <c:v>1.4530917649118772E-2</c:v>
                </c:pt>
                <c:pt idx="6">
                  <c:v>1.8397571903130992E-2</c:v>
                </c:pt>
                <c:pt idx="7">
                  <c:v>2.3293136751180658E-2</c:v>
                </c:pt>
                <c:pt idx="8">
                  <c:v>2.949140367794743E-2</c:v>
                </c:pt>
                <c:pt idx="9">
                  <c:v>3.7339019649690205E-2</c:v>
                </c:pt>
                <c:pt idx="10">
                  <c:v>4.727487384266147E-2</c:v>
                </c:pt>
                <c:pt idx="11" formatCode="0.0">
                  <c:v>5.9854643149199714E-2</c:v>
                </c:pt>
                <c:pt idx="12" formatCode="0.0">
                  <c:v>7.5781869204003399E-2</c:v>
                </c:pt>
                <c:pt idx="13" formatCode="0.0">
                  <c:v>9.5947304957645071E-2</c:v>
                </c:pt>
                <c:pt idx="14" formatCode="0.0">
                  <c:v>0.12147873131054887</c:v>
                </c:pt>
                <c:pt idx="15" formatCode="0.0">
                  <c:v>0.1538040298736027</c:v>
                </c:pt>
                <c:pt idx="16" formatCode="0.0">
                  <c:v>0.19473103928914628</c:v>
                </c:pt>
                <c:pt idx="17" formatCode="0.0">
                  <c:v>0.24654866119024907</c:v>
                </c:pt>
                <c:pt idx="18" formatCode="0.0">
                  <c:v>0.31215487029185712</c:v>
                </c:pt>
                <c:pt idx="19" formatCode="0.0">
                  <c:v>0.39521878775822694</c:v>
                </c:pt>
                <c:pt idx="20" formatCode="0.0">
                  <c:v>0.50038588202651013</c:v>
                </c:pt>
                <c:pt idx="21" formatCode="0.0">
                  <c:v>0.6335377732277897</c:v>
                </c:pt>
                <c:pt idx="22" formatCode="0.0">
                  <c:v>0.80212117112588455</c:v>
                </c:pt>
                <c:pt idx="23" formatCode="0.0">
                  <c:v>1.0155643428766172</c:v>
                </c:pt>
                <c:pt idx="24" formatCode="0.0">
                  <c:v>1.2858044021269142</c:v>
                </c:pt>
                <c:pt idx="25" formatCode="0.0">
                  <c:v>1.6279549087929479</c:v>
                </c:pt>
                <c:pt idx="26" formatCode="0.0">
                  <c:v>2.0611511158963465</c:v>
                </c:pt>
                <c:pt idx="27" formatCode="0.0">
                  <c:v>2.6096201349461063</c:v>
                </c:pt>
                <c:pt idx="28" formatCode="0.0">
                  <c:v>3.3040358701531916</c:v>
                </c:pt>
                <c:pt idx="29" formatCode="0.0">
                  <c:v>4.1832344977213936</c:v>
                </c:pt>
                <c:pt idx="30" formatCode="0.0">
                  <c:v>5.2963864302198598</c:v>
                </c:pt>
                <c:pt idx="31" formatCode="0.0">
                  <c:v>6.7057462352430814</c:v>
                </c:pt>
                <c:pt idx="32" formatCode="0.0">
                  <c:v>8.4901342998734801</c:v>
                </c:pt>
                <c:pt idx="33" formatCode="0.0">
                  <c:v>10.74934495541217</c:v>
                </c:pt>
                <c:pt idx="34" formatCode="0.0">
                  <c:v>13.609727588887202</c:v>
                </c:pt>
                <c:pt idx="35" formatCode="0.0">
                  <c:v>17.231252866290657</c:v>
                </c:pt>
                <c:pt idx="36" formatCode="0.0">
                  <c:v>21.816459245450499</c:v>
                </c:pt>
                <c:pt idx="37" formatCode="0.0">
                  <c:v>27.621780107847485</c:v>
                </c:pt>
                <c:pt idx="38" formatCode="0.0">
                  <c:v>34.971884967812194</c:v>
                </c:pt>
                <c:pt idx="39" formatCode="0.0">
                  <c:v>44.277836767459824</c:v>
                </c:pt>
                <c:pt idx="40" formatCode="0.0">
                  <c:v>56.060080659055103</c:v>
                </c:pt>
                <c:pt idx="41" formatCode="0.0">
                  <c:v>70.977549841507198</c:v>
                </c:pt>
                <c:pt idx="42" formatCode="0.0">
                  <c:v>89.864516054024975</c:v>
                </c:pt>
                <c:pt idx="43" formatCode="0.0">
                  <c:v>113.77724535090267</c:v>
                </c:pt>
                <c:pt idx="44" formatCode="0.0">
                  <c:v>144.05306797929524</c:v>
                </c:pt>
                <c:pt idx="45" formatCode="0.0">
                  <c:v>182.38516517539836</c:v>
                </c:pt>
                <c:pt idx="46" formatCode="0.0">
                  <c:v>230.91725423207475</c:v>
                </c:pt>
                <c:pt idx="47" formatCode="0.0">
                  <c:v>292.36346530326711</c:v>
                </c:pt>
                <c:pt idx="48" formatCode="0.0">
                  <c:v>370.16011112908279</c:v>
                </c:pt>
                <c:pt idx="49" formatCode="0.0">
                  <c:v>468.65783265459049</c:v>
                </c:pt>
                <c:pt idx="50" formatCode="0.0">
                  <c:v>593.3648586005595</c:v>
                </c:pt>
                <c:pt idx="51" formatCode="0.0">
                  <c:v>751.25497086543555</c:v>
                </c:pt>
                <c:pt idx="52" formatCode="0.0">
                  <c:v>951.15737871032866</c:v>
                </c:pt>
                <c:pt idx="53" formatCode="0.0">
                  <c:v>1204.2502732127427</c:v>
                </c:pt>
                <c:pt idx="54" formatCode="0.0">
                  <c:v>1524.685612176175</c:v>
                </c:pt>
                <c:pt idx="55" formatCode="0.0">
                  <c:v>1930.3799932533414</c:v>
                </c:pt>
                <c:pt idx="56" formatCode="0.0">
                  <c:v>2444.0157109873285</c:v>
                </c:pt>
                <c:pt idx="57" formatCode="0.0">
                  <c:v>3094.307766938754</c:v>
                </c:pt>
                <c:pt idx="58" formatCode="0.0">
                  <c:v>3917.6073454721954</c:v>
                </c:pt>
                <c:pt idx="59" formatCode="0.0">
                  <c:v>4959.9308761432658</c:v>
                </c:pt>
                <c:pt idx="60" formatCode="0.0">
                  <c:v>6279.5272703717992</c:v>
                </c:pt>
                <c:pt idx="61" formatCode="0.0">
                  <c:v>7950.1254819020614</c:v>
                </c:pt>
                <c:pt idx="62" formatCode="0.0">
                  <c:v>41422.529603772848</c:v>
                </c:pt>
                <c:pt idx="63" formatCode="0.000E+00">
                  <c:v>214970.45410451604</c:v>
                </c:pt>
                <c:pt idx="64" formatCode="0.000E+00">
                  <c:v>1093221.7400112294</c:v>
                </c:pt>
                <c:pt idx="65" formatCode="0.000E+00">
                  <c:v>5046526.9543166868</c:v>
                </c:pt>
                <c:pt idx="66" formatCode="0.000E+00">
                  <c:v>16459299.433280924</c:v>
                </c:pt>
                <c:pt idx="67" formatCode="0.000E+00">
                  <c:v>29061393.893777285</c:v>
                </c:pt>
                <c:pt idx="68" formatCode="0.000E+00">
                  <c:v>34062089.203600541</c:v>
                </c:pt>
                <c:pt idx="69" formatCode="0.000E+00">
                  <c:v>35224297.637903593</c:v>
                </c:pt>
                <c:pt idx="70" formatCode="0.000E+00">
                  <c:v>35456268.531963527</c:v>
                </c:pt>
                <c:pt idx="71" formatCode="0.000E+00">
                  <c:v>35501097.698387071</c:v>
                </c:pt>
                <c:pt idx="72" formatCode="0.000E+00">
                  <c:v>35509706.4949653</c:v>
                </c:pt>
                <c:pt idx="73" formatCode="0.000E+00">
                  <c:v>35511357.679713003</c:v>
                </c:pt>
                <c:pt idx="74" formatCode="0.000E+00">
                  <c:v>35511674.306360193</c:v>
                </c:pt>
                <c:pt idx="75" formatCode="0.000E+00">
                  <c:v>35511735.019096158</c:v>
                </c:pt>
                <c:pt idx="76" formatCode="0.000E+00">
                  <c:v>35511746.660582073</c:v>
                </c:pt>
                <c:pt idx="77" formatCode="0.000E+00">
                  <c:v>35511748.892798573</c:v>
                </c:pt>
                <c:pt idx="78" formatCode="0.000E+00">
                  <c:v>35511749.320818581</c:v>
                </c:pt>
                <c:pt idx="79" formatCode="0.000E+00">
                  <c:v>35511749.402889982</c:v>
                </c:pt>
                <c:pt idx="80" formatCode="0.000E+00">
                  <c:v>35511749.418626882</c:v>
                </c:pt>
                <c:pt idx="81" formatCode="0.000E+00">
                  <c:v>35511749.42164439</c:v>
                </c:pt>
                <c:pt idx="82" formatCode="0.000E+00">
                  <c:v>35511749.422222987</c:v>
                </c:pt>
                <c:pt idx="83" formatCode="0.000E+00">
                  <c:v>35511749.422333926</c:v>
                </c:pt>
                <c:pt idx="84" formatCode="0.000E+00">
                  <c:v>35511749.422355205</c:v>
                </c:pt>
                <c:pt idx="85" formatCode="0.000E+00">
                  <c:v>35511749.42235928</c:v>
                </c:pt>
                <c:pt idx="86" formatCode="0.000E+00">
                  <c:v>35511749.422360063</c:v>
                </c:pt>
                <c:pt idx="87" formatCode="0.000E+00">
                  <c:v>35511749.422360212</c:v>
                </c:pt>
                <c:pt idx="88" formatCode="0.000E+00">
                  <c:v>35511749.422360241</c:v>
                </c:pt>
                <c:pt idx="89" formatCode="0.000E+00">
                  <c:v>35511749.422360249</c:v>
                </c:pt>
                <c:pt idx="90" formatCode="0.000E+00">
                  <c:v>35511749.422360249</c:v>
                </c:pt>
                <c:pt idx="91" formatCode="0.000E+00">
                  <c:v>35511749.422360249</c:v>
                </c:pt>
                <c:pt idx="92" formatCode="0.000E+00">
                  <c:v>35511749.422360249</c:v>
                </c:pt>
                <c:pt idx="93" formatCode="0.000E+00">
                  <c:v>35511749.422360249</c:v>
                </c:pt>
                <c:pt idx="94" formatCode="0.000E+00">
                  <c:v>35511749.422360249</c:v>
                </c:pt>
                <c:pt idx="95" formatCode="0.000E+00">
                  <c:v>35511749.422360249</c:v>
                </c:pt>
                <c:pt idx="96" formatCode="0.000E+00">
                  <c:v>35511749.422360249</c:v>
                </c:pt>
                <c:pt idx="97" formatCode="0.000E+00">
                  <c:v>35511749.422360249</c:v>
                </c:pt>
                <c:pt idx="98" formatCode="0.000E+00">
                  <c:v>35511749.422360249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0929736"/>
        <c:axId val="750930128"/>
      </c:scatterChart>
      <c:valAx>
        <c:axId val="750929736"/>
        <c:scaling>
          <c:orientation val="minMax"/>
          <c:max val="4395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30128"/>
        <c:crossesAt val="1.0000000000000002E-2"/>
        <c:crossBetween val="midCat"/>
        <c:majorUnit val="7"/>
        <c:minorUnit val="3.5"/>
      </c:valAx>
      <c:valAx>
        <c:axId val="750930128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92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myData!$CI$17</c:f>
          <c:strCache>
            <c:ptCount val="1"/>
            <c:pt idx="0">
              <c:v>COVID19 UK P(t) = b / {d+[( b/Po - d ) ]* exp(-b*t)}
b=0.236, d=1.00E-09, P0=.03 Limit=35.5 M=&gt;236 M cases 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762.64298615291989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35.5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4.4663803502333326E-3</c:v>
                </c:pt>
                <c:pt idx="1">
                  <c:v>5.6548771131002418E-3</c:v>
                </c:pt>
                <c:pt idx="2">
                  <c:v>7.1596309889527358E-3</c:v>
                </c:pt>
                <c:pt idx="3">
                  <c:v>9.0647974964200902E-3</c:v>
                </c:pt>
                <c:pt idx="4">
                  <c:v>1.1476925804796296E-2</c:v>
                </c:pt>
                <c:pt idx="5">
                  <c:v>1.4530917649118772E-2</c:v>
                </c:pt>
                <c:pt idx="6">
                  <c:v>1.8397571903130992E-2</c:v>
                </c:pt>
                <c:pt idx="7">
                  <c:v>2.3293136751180658E-2</c:v>
                </c:pt>
                <c:pt idx="8">
                  <c:v>2.949140367794743E-2</c:v>
                </c:pt>
                <c:pt idx="9">
                  <c:v>3.7339019649690205E-2</c:v>
                </c:pt>
                <c:pt idx="10">
                  <c:v>4.727487384266147E-2</c:v>
                </c:pt>
                <c:pt idx="11" formatCode="0.0">
                  <c:v>5.9854643149199714E-2</c:v>
                </c:pt>
                <c:pt idx="12" formatCode="0.0">
                  <c:v>7.5781869204003399E-2</c:v>
                </c:pt>
                <c:pt idx="13" formatCode="0.0">
                  <c:v>9.5947304957645071E-2</c:v>
                </c:pt>
                <c:pt idx="14" formatCode="0.0">
                  <c:v>0.12147873131054887</c:v>
                </c:pt>
                <c:pt idx="15" formatCode="0.0">
                  <c:v>0.1538040298736027</c:v>
                </c:pt>
                <c:pt idx="16" formatCode="0.0">
                  <c:v>0.19473103928914628</c:v>
                </c:pt>
                <c:pt idx="17" formatCode="0.0">
                  <c:v>0.24654866119024907</c:v>
                </c:pt>
                <c:pt idx="18" formatCode="0.0">
                  <c:v>0.31215487029185712</c:v>
                </c:pt>
                <c:pt idx="19" formatCode="0.0">
                  <c:v>0.39521878775822694</c:v>
                </c:pt>
                <c:pt idx="20" formatCode="0.0">
                  <c:v>0.50038588202651013</c:v>
                </c:pt>
                <c:pt idx="21" formatCode="0.0">
                  <c:v>0.6335377732277897</c:v>
                </c:pt>
                <c:pt idx="22" formatCode="0.0">
                  <c:v>0.80212117112588455</c:v>
                </c:pt>
                <c:pt idx="23" formatCode="0.0">
                  <c:v>1.0155643428766172</c:v>
                </c:pt>
                <c:pt idx="24" formatCode="0.0">
                  <c:v>1.2858044021269142</c:v>
                </c:pt>
                <c:pt idx="25" formatCode="0.0">
                  <c:v>1.6279549087929479</c:v>
                </c:pt>
                <c:pt idx="26" formatCode="0.0">
                  <c:v>2.0611511158963465</c:v>
                </c:pt>
                <c:pt idx="27" formatCode="0.0">
                  <c:v>2.6096201349461063</c:v>
                </c:pt>
                <c:pt idx="28" formatCode="0.0">
                  <c:v>3.3040358701531916</c:v>
                </c:pt>
                <c:pt idx="29" formatCode="0.0">
                  <c:v>4.1832344977213936</c:v>
                </c:pt>
                <c:pt idx="30" formatCode="0.0">
                  <c:v>5.2963864302198598</c:v>
                </c:pt>
                <c:pt idx="31" formatCode="0.0">
                  <c:v>6.7057462352430814</c:v>
                </c:pt>
                <c:pt idx="32" formatCode="0.0">
                  <c:v>8.4901342998734801</c:v>
                </c:pt>
                <c:pt idx="33" formatCode="0.0">
                  <c:v>10.74934495541217</c:v>
                </c:pt>
                <c:pt idx="34" formatCode="0.0">
                  <c:v>13.609727588887202</c:v>
                </c:pt>
                <c:pt idx="35" formatCode="0.0">
                  <c:v>17.231252866290657</c:v>
                </c:pt>
                <c:pt idx="36" formatCode="0.0">
                  <c:v>21.816459245450499</c:v>
                </c:pt>
                <c:pt idx="37" formatCode="0.0">
                  <c:v>27.621780107847485</c:v>
                </c:pt>
                <c:pt idx="38" formatCode="0.0">
                  <c:v>34.971884967812194</c:v>
                </c:pt>
                <c:pt idx="39" formatCode="0.0">
                  <c:v>44.277836767459824</c:v>
                </c:pt>
                <c:pt idx="40" formatCode="0.0">
                  <c:v>56.060080659055103</c:v>
                </c:pt>
                <c:pt idx="41" formatCode="0.0">
                  <c:v>70.977549841507198</c:v>
                </c:pt>
                <c:pt idx="42" formatCode="0.0">
                  <c:v>89.864516054024975</c:v>
                </c:pt>
                <c:pt idx="43" formatCode="0.0">
                  <c:v>113.77724535090267</c:v>
                </c:pt>
                <c:pt idx="44" formatCode="0.0">
                  <c:v>144.05306797929524</c:v>
                </c:pt>
                <c:pt idx="45" formatCode="0.0">
                  <c:v>182.38516517539836</c:v>
                </c:pt>
                <c:pt idx="46" formatCode="0.0">
                  <c:v>230.91725423207475</c:v>
                </c:pt>
                <c:pt idx="47" formatCode="0.0">
                  <c:v>292.36346530326711</c:v>
                </c:pt>
                <c:pt idx="48" formatCode="0.0">
                  <c:v>370.16011112908279</c:v>
                </c:pt>
                <c:pt idx="49" formatCode="0.0">
                  <c:v>468.65783265459049</c:v>
                </c:pt>
                <c:pt idx="50" formatCode="0.0">
                  <c:v>593.3648586005595</c:v>
                </c:pt>
                <c:pt idx="51" formatCode="0.0">
                  <c:v>751.25497086543555</c:v>
                </c:pt>
                <c:pt idx="52" formatCode="0.0">
                  <c:v>951.15737871032866</c:v>
                </c:pt>
                <c:pt idx="53" formatCode="0.0">
                  <c:v>1204.2502732127427</c:v>
                </c:pt>
                <c:pt idx="54" formatCode="0.0">
                  <c:v>1524.685612176175</c:v>
                </c:pt>
                <c:pt idx="55" formatCode="0.0">
                  <c:v>1930.3799932533414</c:v>
                </c:pt>
                <c:pt idx="56" formatCode="0.0">
                  <c:v>2444.0157109873285</c:v>
                </c:pt>
                <c:pt idx="57" formatCode="0.0">
                  <c:v>3094.307766938754</c:v>
                </c:pt>
                <c:pt idx="58" formatCode="0.0">
                  <c:v>3917.6073454721954</c:v>
                </c:pt>
                <c:pt idx="59" formatCode="0.0">
                  <c:v>4959.9308761432658</c:v>
                </c:pt>
                <c:pt idx="60" formatCode="0.0">
                  <c:v>6279.5272703717992</c:v>
                </c:pt>
                <c:pt idx="61" formatCode="0.0">
                  <c:v>7950.1254819020614</c:v>
                </c:pt>
                <c:pt idx="62" formatCode="0.0">
                  <c:v>41422.529603772848</c:v>
                </c:pt>
                <c:pt idx="63" formatCode="0.000E+00">
                  <c:v>214970.45410451604</c:v>
                </c:pt>
                <c:pt idx="64" formatCode="0.000E+00">
                  <c:v>1093221.7400112294</c:v>
                </c:pt>
                <c:pt idx="65" formatCode="0.000E+00">
                  <c:v>5046526.9543166868</c:v>
                </c:pt>
                <c:pt idx="66" formatCode="0.000E+00">
                  <c:v>16459299.433280924</c:v>
                </c:pt>
                <c:pt idx="67" formatCode="0.000E+00">
                  <c:v>29061393.893777285</c:v>
                </c:pt>
                <c:pt idx="68" formatCode="0.000E+00">
                  <c:v>34062089.203600541</c:v>
                </c:pt>
                <c:pt idx="69" formatCode="0.000E+00">
                  <c:v>35224297.637903593</c:v>
                </c:pt>
                <c:pt idx="70" formatCode="0.000E+00">
                  <c:v>35456268.531963527</c:v>
                </c:pt>
                <c:pt idx="71" formatCode="0.000E+00">
                  <c:v>35501097.698387071</c:v>
                </c:pt>
                <c:pt idx="72" formatCode="0.000E+00">
                  <c:v>35509706.4949653</c:v>
                </c:pt>
                <c:pt idx="73" formatCode="0.000E+00">
                  <c:v>35511357.679713003</c:v>
                </c:pt>
                <c:pt idx="74" formatCode="0.000E+00">
                  <c:v>35511674.306360193</c:v>
                </c:pt>
                <c:pt idx="75" formatCode="0.000E+00">
                  <c:v>35511735.019096158</c:v>
                </c:pt>
                <c:pt idx="76" formatCode="0.000E+00">
                  <c:v>35511746.660582073</c:v>
                </c:pt>
                <c:pt idx="77" formatCode="0.000E+00">
                  <c:v>35511748.892798573</c:v>
                </c:pt>
                <c:pt idx="78" formatCode="0.000E+00">
                  <c:v>35511749.320818581</c:v>
                </c:pt>
                <c:pt idx="79" formatCode="0.000E+00">
                  <c:v>35511749.402889982</c:v>
                </c:pt>
                <c:pt idx="80" formatCode="0.000E+00">
                  <c:v>35511749.418626882</c:v>
                </c:pt>
                <c:pt idx="81" formatCode="0.000E+00">
                  <c:v>35511749.42164439</c:v>
                </c:pt>
                <c:pt idx="82" formatCode="0.000E+00">
                  <c:v>35511749.422222987</c:v>
                </c:pt>
                <c:pt idx="83" formatCode="0.000E+00">
                  <c:v>35511749.422333926</c:v>
                </c:pt>
                <c:pt idx="84" formatCode="0.000E+00">
                  <c:v>35511749.422355205</c:v>
                </c:pt>
                <c:pt idx="85" formatCode="0.000E+00">
                  <c:v>35511749.42235928</c:v>
                </c:pt>
                <c:pt idx="86" formatCode="0.000E+00">
                  <c:v>35511749.422360063</c:v>
                </c:pt>
                <c:pt idx="87" formatCode="0.000E+00">
                  <c:v>35511749.422360212</c:v>
                </c:pt>
                <c:pt idx="88" formatCode="0.000E+00">
                  <c:v>35511749.422360241</c:v>
                </c:pt>
                <c:pt idx="89" formatCode="0.000E+00">
                  <c:v>35511749.422360249</c:v>
                </c:pt>
                <c:pt idx="90" formatCode="0.000E+00">
                  <c:v>35511749.422360249</c:v>
                </c:pt>
                <c:pt idx="91" formatCode="0.000E+00">
                  <c:v>35511749.422360249</c:v>
                </c:pt>
                <c:pt idx="92" formatCode="0.000E+00">
                  <c:v>35511749.422360249</c:v>
                </c:pt>
                <c:pt idx="93" formatCode="0.000E+00">
                  <c:v>35511749.422360249</c:v>
                </c:pt>
                <c:pt idx="94" formatCode="0.000E+00">
                  <c:v>35511749.422360249</c:v>
                </c:pt>
                <c:pt idx="95" formatCode="0.000E+00">
                  <c:v>35511749.422360249</c:v>
                </c:pt>
                <c:pt idx="96" formatCode="0.000E+00">
                  <c:v>35511749.422360249</c:v>
                </c:pt>
                <c:pt idx="97" formatCode="0.000E+00">
                  <c:v>35511749.422360249</c:v>
                </c:pt>
                <c:pt idx="98" formatCode="0.000E+00">
                  <c:v>35511749.422360249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820832"/>
        <c:axId val="891819656"/>
      </c:scatterChart>
      <c:valAx>
        <c:axId val="89182083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19656"/>
        <c:crossesAt val="0.1"/>
        <c:crossBetween val="midCat"/>
        <c:majorUnit val="14"/>
        <c:minorUnit val="7"/>
      </c:valAx>
      <c:valAx>
        <c:axId val="89181965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2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myData!$CI$16</c:f>
          <c:strCache>
            <c:ptCount val="1"/>
            <c:pt idx="0">
              <c:v>COVID19 Skorea P(t) = b / {d+[( b/Po - d ) ]* exp(-b*t)}
b=0.315, d=3.74E-05, P0=191.459 Limit=1.64 k=&gt;8.44 k cases , log fit from 19th Feb 
 22-Mar,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1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  <c:pt idx="60">
                  <c:v>1730.933852140078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1.64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37.248784289533205</c:v>
                </c:pt>
                <c:pt idx="29" formatCode="0.0">
                  <c:v>50.630347977030347</c:v>
                </c:pt>
                <c:pt idx="30" formatCode="0.0">
                  <c:v>68.613597402786084</c:v>
                </c:pt>
                <c:pt idx="31" formatCode="0.0">
                  <c:v>92.612402737634724</c:v>
                </c:pt>
                <c:pt idx="32" formatCode="0.0">
                  <c:v>124.341601510578</c:v>
                </c:pt>
                <c:pt idx="33" formatCode="0.0">
                  <c:v>165.77775375757875</c:v>
                </c:pt>
                <c:pt idx="34" formatCode="0.0">
                  <c:v>219.02867976634963</c:v>
                </c:pt>
                <c:pt idx="35" formatCode="0.0">
                  <c:v>286.06876751752395</c:v>
                </c:pt>
                <c:pt idx="36" formatCode="0.0">
                  <c:v>368.31504818054941</c:v>
                </c:pt>
                <c:pt idx="37" formatCode="0.0">
                  <c:v>466.07610166667229</c:v>
                </c:pt>
                <c:pt idx="38" formatCode="0.0">
                  <c:v>578.00467766721135</c:v>
                </c:pt>
                <c:pt idx="39" formatCode="0.0">
                  <c:v>700.78616113834255</c:v>
                </c:pt>
                <c:pt idx="40" formatCode="0.0">
                  <c:v>829.30928280721707</c:v>
                </c:pt>
                <c:pt idx="41" formatCode="0.0">
                  <c:v>957.41182598609703</c:v>
                </c:pt>
                <c:pt idx="42" formatCode="0.0">
                  <c:v>1079.0109015204666</c:v>
                </c:pt>
                <c:pt idx="43" formatCode="0.0">
                  <c:v>1189.2030681089209</c:v>
                </c:pt>
                <c:pt idx="44" formatCode="0.0">
                  <c:v>1284.9379632131779</c:v>
                </c:pt>
                <c:pt idx="45" formatCode="0.0">
                  <c:v>1365.1143523169874</c:v>
                </c:pt>
                <c:pt idx="46" formatCode="0.0">
                  <c:v>1430.2218425730441</c:v>
                </c:pt>
                <c:pt idx="47" formatCode="0.0">
                  <c:v>1481.7814117732519</c:v>
                </c:pt>
                <c:pt idx="48" formatCode="0.0">
                  <c:v>1521.8061427985774</c:v>
                </c:pt>
                <c:pt idx="49" formatCode="0.0">
                  <c:v>1552.3983396220844</c:v>
                </c:pt>
                <c:pt idx="50" formatCode="0.0">
                  <c:v>1575.5048462293491</c:v>
                </c:pt>
                <c:pt idx="51" formatCode="0.0">
                  <c:v>1592.8012544238443</c:v>
                </c:pt>
                <c:pt idx="52" formatCode="0.0">
                  <c:v>1605.6616233015316</c:v>
                </c:pt>
                <c:pt idx="53" formatCode="0.0">
                  <c:v>1615.1758801795918</c:v>
                </c:pt>
                <c:pt idx="54" formatCode="0.0">
                  <c:v>1622.1885824560709</c:v>
                </c:pt>
                <c:pt idx="55" formatCode="0.0">
                  <c:v>1627.3433369567597</c:v>
                </c:pt>
                <c:pt idx="56" formatCode="0.0">
                  <c:v>1631.1247754962264</c:v>
                </c:pt>
                <c:pt idx="57" formatCode="0.0">
                  <c:v>1633.8946821333641</c:v>
                </c:pt>
                <c:pt idx="58" formatCode="0.0">
                  <c:v>1635.9214481256997</c:v>
                </c:pt>
                <c:pt idx="59" formatCode="0.0">
                  <c:v>1637.4032782536633</c:v>
                </c:pt>
                <c:pt idx="60" formatCode="0.0">
                  <c:v>1638.4860625316037</c:v>
                </c:pt>
                <c:pt idx="61" formatCode="0.0">
                  <c:v>1639.2769265686075</c:v>
                </c:pt>
                <c:pt idx="62" formatCode="0.0">
                  <c:v>1639.8543941114997</c:v>
                </c:pt>
                <c:pt idx="63" formatCode="0.0">
                  <c:v>1640.2759502194167</c:v>
                </c:pt>
                <c:pt idx="64" formatCode="0.0">
                  <c:v>1640.5836390208399</c:v>
                </c:pt>
                <c:pt idx="65" formatCode="0.0">
                  <c:v>1640.8081904397177</c:v>
                </c:pt>
                <c:pt idx="66" formatCode="0.0">
                  <c:v>1640.9720537892379</c:v>
                </c:pt>
                <c:pt idx="67" formatCode="0.0">
                  <c:v>1641.0916231911888</c:v>
                </c:pt>
                <c:pt idx="68" formatCode="0.0">
                  <c:v>1641.1788676803162</c:v>
                </c:pt>
                <c:pt idx="69" formatCode="0.0">
                  <c:v>1641.2425239451231</c:v>
                </c:pt>
                <c:pt idx="70" formatCode="0.0">
                  <c:v>1641.3953792501504</c:v>
                </c:pt>
                <c:pt idx="71" formatCode="0.0">
                  <c:v>1641.4121970012516</c:v>
                </c:pt>
                <c:pt idx="72" formatCode="0.0">
                  <c:v>1641.4140471871617</c:v>
                </c:pt>
                <c:pt idx="73" formatCode="0.0">
                  <c:v>1641.4142507312167</c:v>
                </c:pt>
                <c:pt idx="74" formatCode="0.0">
                  <c:v>1641.4142731236345</c:v>
                </c:pt>
                <c:pt idx="75" formatCode="0.0">
                  <c:v>1641.414275587083</c:v>
                </c:pt>
                <c:pt idx="76" formatCode="0.0">
                  <c:v>1641.4142758580933</c:v>
                </c:pt>
                <c:pt idx="77" formatCode="0.0">
                  <c:v>1641.4142758879082</c:v>
                </c:pt>
                <c:pt idx="78" formatCode="0.0">
                  <c:v>1641.4142758911885</c:v>
                </c:pt>
                <c:pt idx="79" formatCode="0.0">
                  <c:v>1641.4142758915491</c:v>
                </c:pt>
                <c:pt idx="80" formatCode="0.0">
                  <c:v>1641.4142758915891</c:v>
                </c:pt>
                <c:pt idx="81" formatCode="0.0">
                  <c:v>1641.414275891593</c:v>
                </c:pt>
                <c:pt idx="82" formatCode="0.0">
                  <c:v>1641.4142758915937</c:v>
                </c:pt>
                <c:pt idx="83" formatCode="0.0">
                  <c:v>1641.4142758915937</c:v>
                </c:pt>
                <c:pt idx="84" formatCode="0.0">
                  <c:v>1641.4142758915937</c:v>
                </c:pt>
                <c:pt idx="85" formatCode="0.0">
                  <c:v>1641.4142758915937</c:v>
                </c:pt>
                <c:pt idx="86" formatCode="0.0">
                  <c:v>1641.4142758915937</c:v>
                </c:pt>
                <c:pt idx="87" formatCode="0.0">
                  <c:v>1641.4142758915937</c:v>
                </c:pt>
                <c:pt idx="88" formatCode="0.0">
                  <c:v>1641.4142758915937</c:v>
                </c:pt>
                <c:pt idx="89" formatCode="0.0">
                  <c:v>1641.4142758915937</c:v>
                </c:pt>
                <c:pt idx="90" formatCode="0.0">
                  <c:v>1641.4142758915937</c:v>
                </c:pt>
                <c:pt idx="91" formatCode="0.0">
                  <c:v>1641.4142758915937</c:v>
                </c:pt>
                <c:pt idx="92" formatCode="0.0">
                  <c:v>1641.4142758915937</c:v>
                </c:pt>
                <c:pt idx="93" formatCode="0.0">
                  <c:v>1641.4142758915937</c:v>
                </c:pt>
                <c:pt idx="94" formatCode="0.0">
                  <c:v>1641.4142758915937</c:v>
                </c:pt>
                <c:pt idx="95" formatCode="0.0">
                  <c:v>1641.4142758915937</c:v>
                </c:pt>
                <c:pt idx="96" formatCode="0.0">
                  <c:v>1641.4142758915937</c:v>
                </c:pt>
                <c:pt idx="97" formatCode="0.0">
                  <c:v>1641.4142758915937</c:v>
                </c:pt>
                <c:pt idx="98" formatCode="0.0">
                  <c:v>1641.4142758915937</c:v>
                </c:pt>
                <c:pt idx="99" formatCode="0.0">
                  <c:v>1641.4142758915937</c:v>
                </c:pt>
                <c:pt idx="100" formatCode="0.0">
                  <c:v>1641.4142758915937</c:v>
                </c:pt>
                <c:pt idx="101" formatCode="0.0">
                  <c:v>1641.4142758915937</c:v>
                </c:pt>
                <c:pt idx="102" formatCode="0.0">
                  <c:v>1641.4142758915937</c:v>
                </c:pt>
                <c:pt idx="103" formatCode="0.0">
                  <c:v>1641.4142758915937</c:v>
                </c:pt>
                <c:pt idx="104" formatCode="0.0">
                  <c:v>1641.4142758915937</c:v>
                </c:pt>
                <c:pt idx="105" formatCode="0.0">
                  <c:v>1641.4142758915937</c:v>
                </c:pt>
                <c:pt idx="106" formatCode="0.0">
                  <c:v>1641.4142758915937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820440"/>
        <c:axId val="893161560"/>
      </c:scatterChart>
      <c:valAx>
        <c:axId val="89182044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61560"/>
        <c:crossesAt val="0.1"/>
        <c:crossBetween val="midCat"/>
        <c:majorUnit val="14"/>
        <c:minorUnit val="7"/>
      </c:valAx>
      <c:valAx>
        <c:axId val="89316156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820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myData!$CG$11</c:f>
          <c:strCache>
            <c:ptCount val="1"/>
            <c:pt idx="0">
              <c:v>Australia Limit 829 M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4.04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774.20570743755002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102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7.7343597114947035E-4</c:v>
                </c:pt>
                <c:pt idx="1">
                  <c:v>1.0836348480330006E-3</c:v>
                </c:pt>
                <c:pt idx="2">
                  <c:v>1.5182439499483087E-3</c:v>
                </c:pt>
                <c:pt idx="3">
                  <c:v>2.1271599891188827E-3</c:v>
                </c:pt>
                <c:pt idx="4">
                  <c:v>2.9802915529164556E-3</c:v>
                </c:pt>
                <c:pt idx="5">
                  <c:v>4.1755851867233962E-3</c:v>
                </c:pt>
                <c:pt idx="6">
                  <c:v>5.8502704658006397E-3</c:v>
                </c:pt>
                <c:pt idx="7">
                  <c:v>8.1966150832266625E-3</c:v>
                </c:pt>
                <c:pt idx="8">
                  <c:v>1.1483998768041065E-2</c:v>
                </c:pt>
                <c:pt idx="9">
                  <c:v>1.6089840301583943E-2</c:v>
                </c:pt>
                <c:pt idx="10">
                  <c:v>2.2542928308757242E-2</c:v>
                </c:pt>
                <c:pt idx="11">
                  <c:v>3.158413055665326E-2</c:v>
                </c:pt>
                <c:pt idx="12">
                  <c:v>4.4251451689037401E-2</c:v>
                </c:pt>
                <c:pt idx="13">
                  <c:v>6.199920472648851E-2</c:v>
                </c:pt>
                <c:pt idx="14">
                  <c:v>8.6864978203691059E-2</c:v>
                </c:pt>
                <c:pt idx="15">
                  <c:v>0.12170356814866272</c:v>
                </c:pt>
                <c:pt idx="16">
                  <c:v>0.17051473222457275</c:v>
                </c:pt>
                <c:pt idx="17">
                  <c:v>0.23890239491207915</c:v>
                </c:pt>
                <c:pt idx="18">
                  <c:v>0.33471802427180158</c:v>
                </c:pt>
                <c:pt idx="19">
                  <c:v>0.46896204523867702</c:v>
                </c:pt>
                <c:pt idx="20">
                  <c:v>0.65704677911297127</c:v>
                </c:pt>
                <c:pt idx="21">
                  <c:v>0.92056590508318048</c:v>
                </c:pt>
                <c:pt idx="22">
                  <c:v>1.2897735924849898</c:v>
                </c:pt>
                <c:pt idx="23">
                  <c:v>1.8070579284777246</c:v>
                </c:pt>
                <c:pt idx="24">
                  <c:v>2.5318074189818311</c:v>
                </c:pt>
                <c:pt idx="25">
                  <c:v>3.5472292767179625</c:v>
                </c:pt>
                <c:pt idx="26">
                  <c:v>4.9699022908456456</c:v>
                </c:pt>
                <c:pt idx="27">
                  <c:v>6.9631610240366193</c:v>
                </c:pt>
                <c:pt idx="28">
                  <c:v>9.7558479484727627</c:v>
                </c:pt>
                <c:pt idx="29">
                  <c:v>13.668586411322842</c:v>
                </c:pt>
                <c:pt idx="30">
                  <c:v>19.150590764463793</c:v>
                </c:pt>
                <c:pt idx="31">
                  <c:v>26.831239728795456</c:v>
                </c:pt>
                <c:pt idx="32">
                  <c:v>37.592333969656103</c:v>
                </c:pt>
                <c:pt idx="33">
                  <c:v>52.669333509241632</c:v>
                </c:pt>
                <c:pt idx="34">
                  <c:v>73.7931975914356</c:v>
                </c:pt>
                <c:pt idx="35">
                  <c:v>103.38911084614992</c:v>
                </c:pt>
                <c:pt idx="36">
                  <c:v>144.85491009685279</c:v>
                </c:pt>
                <c:pt idx="37">
                  <c:v>202.95117542561565</c:v>
                </c:pt>
                <c:pt idx="38">
                  <c:v>284.34776708416985</c:v>
                </c:pt>
                <c:pt idx="39">
                  <c:v>398.38954717957728</c:v>
                </c:pt>
                <c:pt idx="40">
                  <c:v>558.1691815614513</c:v>
                </c:pt>
                <c:pt idx="41">
                  <c:v>782.03015751977443</c:v>
                </c:pt>
                <c:pt idx="42">
                  <c:v>1095.6725154709468</c:v>
                </c:pt>
                <c:pt idx="43">
                  <c:v>1535.1029309393316</c:v>
                </c:pt>
                <c:pt idx="44">
                  <c:v>2150.7676068710666</c:v>
                </c:pt>
                <c:pt idx="45">
                  <c:v>3013.3420076605817</c:v>
                </c:pt>
                <c:pt idx="46">
                  <c:v>4221.8412436626068</c:v>
                </c:pt>
                <c:pt idx="47">
                  <c:v>5914.9804778552825</c:v>
                </c:pt>
                <c:pt idx="48">
                  <c:v>8287.086154276074</c:v>
                </c:pt>
                <c:pt idx="49">
                  <c:v>11610.377980935969</c:v>
                </c:pt>
                <c:pt idx="50">
                  <c:v>16266.166463893578</c:v>
                </c:pt>
                <c:pt idx="51">
                  <c:v>22788.521515861921</c:v>
                </c:pt>
                <c:pt idx="52">
                  <c:v>240990.5361791176</c:v>
                </c:pt>
                <c:pt idx="53">
                  <c:v>2497541.4375885939</c:v>
                </c:pt>
                <c:pt idx="54">
                  <c:v>21448768.034569308</c:v>
                </c:pt>
                <c:pt idx="55">
                  <c:v>75524455.952021122</c:v>
                </c:pt>
                <c:pt idx="56">
                  <c:v>99100103.778756559</c:v>
                </c:pt>
                <c:pt idx="57">
                  <c:v>102107734.38354748</c:v>
                </c:pt>
                <c:pt idx="58">
                  <c:v>102400988.66497168</c:v>
                </c:pt>
                <c:pt idx="59">
                  <c:v>102428747.25534427</c:v>
                </c:pt>
                <c:pt idx="60">
                  <c:v>102431367.34440626</c:v>
                </c:pt>
                <c:pt idx="61">
                  <c:v>102431614.58400886</c:v>
                </c:pt>
                <c:pt idx="62">
                  <c:v>102431637.9137011</c:v>
                </c:pt>
                <c:pt idx="63">
                  <c:v>102431640.11510099</c:v>
                </c:pt>
                <c:pt idx="64">
                  <c:v>102431640.322826</c:v>
                </c:pt>
                <c:pt idx="65">
                  <c:v>102431640.34242702</c:v>
                </c:pt>
                <c:pt idx="66">
                  <c:v>102431640.34427658</c:v>
                </c:pt>
                <c:pt idx="67">
                  <c:v>102431640.3444511</c:v>
                </c:pt>
                <c:pt idx="68">
                  <c:v>102431640.34446757</c:v>
                </c:pt>
                <c:pt idx="69">
                  <c:v>102431640.34446913</c:v>
                </c:pt>
                <c:pt idx="70">
                  <c:v>102431640.34446926</c:v>
                </c:pt>
                <c:pt idx="71">
                  <c:v>102431640.34446928</c:v>
                </c:pt>
                <c:pt idx="72">
                  <c:v>102431640.34446928</c:v>
                </c:pt>
                <c:pt idx="73">
                  <c:v>102431640.34446928</c:v>
                </c:pt>
                <c:pt idx="74">
                  <c:v>102431640.34446928</c:v>
                </c:pt>
                <c:pt idx="75">
                  <c:v>102431640.34446928</c:v>
                </c:pt>
                <c:pt idx="76">
                  <c:v>102431640.34446928</c:v>
                </c:pt>
                <c:pt idx="77">
                  <c:v>102431640.34446928</c:v>
                </c:pt>
                <c:pt idx="78">
                  <c:v>102431640.34446928</c:v>
                </c:pt>
                <c:pt idx="79">
                  <c:v>102431640.34446928</c:v>
                </c:pt>
                <c:pt idx="80">
                  <c:v>102431640.34446928</c:v>
                </c:pt>
                <c:pt idx="81">
                  <c:v>102431640.34446928</c:v>
                </c:pt>
                <c:pt idx="82">
                  <c:v>102431640.34446928</c:v>
                </c:pt>
                <c:pt idx="83">
                  <c:v>102431640.34446928</c:v>
                </c:pt>
                <c:pt idx="84">
                  <c:v>102431640.34446928</c:v>
                </c:pt>
                <c:pt idx="85">
                  <c:v>102431640.34446928</c:v>
                </c:pt>
                <c:pt idx="86">
                  <c:v>102431640.34446928</c:v>
                </c:pt>
                <c:pt idx="87">
                  <c:v>102431640.34446928</c:v>
                </c:pt>
                <c:pt idx="88">
                  <c:v>102431640.34446928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myData!$CZ$11:$CZ$12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myData!$DB$11:$DB$12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162736"/>
        <c:axId val="893163128"/>
      </c:scatterChart>
      <c:valAx>
        <c:axId val="893162736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63128"/>
        <c:crossesAt val="1.0000000000000002E-2"/>
        <c:crossBetween val="midCat"/>
        <c:majorUnit val="14"/>
        <c:minorUnit val="7"/>
      </c:valAx>
      <c:valAx>
        <c:axId val="893163128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6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myData!$CG$12</c:f>
          <c:strCache>
            <c:ptCount val="1"/>
            <c:pt idx="0">
              <c:v>NSW Limit 4.04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4.04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774.20570743755002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102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7.7343597114947035E-4</c:v>
                </c:pt>
                <c:pt idx="1">
                  <c:v>1.0836348480330006E-3</c:v>
                </c:pt>
                <c:pt idx="2">
                  <c:v>1.5182439499483087E-3</c:v>
                </c:pt>
                <c:pt idx="3">
                  <c:v>2.1271599891188827E-3</c:v>
                </c:pt>
                <c:pt idx="4">
                  <c:v>2.9802915529164556E-3</c:v>
                </c:pt>
                <c:pt idx="5">
                  <c:v>4.1755851867233962E-3</c:v>
                </c:pt>
                <c:pt idx="6">
                  <c:v>5.8502704658006397E-3</c:v>
                </c:pt>
                <c:pt idx="7">
                  <c:v>8.1966150832266625E-3</c:v>
                </c:pt>
                <c:pt idx="8">
                  <c:v>1.1483998768041065E-2</c:v>
                </c:pt>
                <c:pt idx="9">
                  <c:v>1.6089840301583943E-2</c:v>
                </c:pt>
                <c:pt idx="10">
                  <c:v>2.2542928308757242E-2</c:v>
                </c:pt>
                <c:pt idx="11">
                  <c:v>3.158413055665326E-2</c:v>
                </c:pt>
                <c:pt idx="12">
                  <c:v>4.4251451689037401E-2</c:v>
                </c:pt>
                <c:pt idx="13">
                  <c:v>6.199920472648851E-2</c:v>
                </c:pt>
                <c:pt idx="14">
                  <c:v>8.6864978203691059E-2</c:v>
                </c:pt>
                <c:pt idx="15">
                  <c:v>0.12170356814866272</c:v>
                </c:pt>
                <c:pt idx="16">
                  <c:v>0.17051473222457275</c:v>
                </c:pt>
                <c:pt idx="17">
                  <c:v>0.23890239491207915</c:v>
                </c:pt>
                <c:pt idx="18">
                  <c:v>0.33471802427180158</c:v>
                </c:pt>
                <c:pt idx="19">
                  <c:v>0.46896204523867702</c:v>
                </c:pt>
                <c:pt idx="20">
                  <c:v>0.65704677911297127</c:v>
                </c:pt>
                <c:pt idx="21">
                  <c:v>0.92056590508318048</c:v>
                </c:pt>
                <c:pt idx="22">
                  <c:v>1.2897735924849898</c:v>
                </c:pt>
                <c:pt idx="23">
                  <c:v>1.8070579284777246</c:v>
                </c:pt>
                <c:pt idx="24">
                  <c:v>2.5318074189818311</c:v>
                </c:pt>
                <c:pt idx="25">
                  <c:v>3.5472292767179625</c:v>
                </c:pt>
                <c:pt idx="26">
                  <c:v>4.9699022908456456</c:v>
                </c:pt>
                <c:pt idx="27">
                  <c:v>6.9631610240366193</c:v>
                </c:pt>
                <c:pt idx="28">
                  <c:v>9.7558479484727627</c:v>
                </c:pt>
                <c:pt idx="29">
                  <c:v>13.668586411322842</c:v>
                </c:pt>
                <c:pt idx="30">
                  <c:v>19.150590764463793</c:v>
                </c:pt>
                <c:pt idx="31">
                  <c:v>26.831239728795456</c:v>
                </c:pt>
                <c:pt idx="32">
                  <c:v>37.592333969656103</c:v>
                </c:pt>
                <c:pt idx="33">
                  <c:v>52.669333509241632</c:v>
                </c:pt>
                <c:pt idx="34">
                  <c:v>73.7931975914356</c:v>
                </c:pt>
                <c:pt idx="35">
                  <c:v>103.38911084614992</c:v>
                </c:pt>
                <c:pt idx="36">
                  <c:v>144.85491009685279</c:v>
                </c:pt>
                <c:pt idx="37">
                  <c:v>202.95117542561565</c:v>
                </c:pt>
                <c:pt idx="38">
                  <c:v>284.34776708416985</c:v>
                </c:pt>
                <c:pt idx="39">
                  <c:v>398.38954717957728</c:v>
                </c:pt>
                <c:pt idx="40">
                  <c:v>558.1691815614513</c:v>
                </c:pt>
                <c:pt idx="41">
                  <c:v>782.03015751977443</c:v>
                </c:pt>
                <c:pt idx="42">
                  <c:v>1095.6725154709468</c:v>
                </c:pt>
                <c:pt idx="43">
                  <c:v>1535.1029309393316</c:v>
                </c:pt>
                <c:pt idx="44">
                  <c:v>2150.7676068710666</c:v>
                </c:pt>
                <c:pt idx="45">
                  <c:v>3013.3420076605817</c:v>
                </c:pt>
                <c:pt idx="46">
                  <c:v>4221.8412436626068</c:v>
                </c:pt>
                <c:pt idx="47">
                  <c:v>5914.9804778552825</c:v>
                </c:pt>
                <c:pt idx="48">
                  <c:v>8287.086154276074</c:v>
                </c:pt>
                <c:pt idx="49">
                  <c:v>11610.377980935969</c:v>
                </c:pt>
                <c:pt idx="50">
                  <c:v>16266.166463893578</c:v>
                </c:pt>
                <c:pt idx="51">
                  <c:v>22788.521515861921</c:v>
                </c:pt>
                <c:pt idx="52">
                  <c:v>240990.5361791176</c:v>
                </c:pt>
                <c:pt idx="53">
                  <c:v>2497541.4375885939</c:v>
                </c:pt>
                <c:pt idx="54">
                  <c:v>21448768.034569308</c:v>
                </c:pt>
                <c:pt idx="55">
                  <c:v>75524455.952021122</c:v>
                </c:pt>
                <c:pt idx="56">
                  <c:v>99100103.778756559</c:v>
                </c:pt>
                <c:pt idx="57">
                  <c:v>102107734.38354748</c:v>
                </c:pt>
                <c:pt idx="58">
                  <c:v>102400988.66497168</c:v>
                </c:pt>
                <c:pt idx="59">
                  <c:v>102428747.25534427</c:v>
                </c:pt>
                <c:pt idx="60">
                  <c:v>102431367.34440626</c:v>
                </c:pt>
                <c:pt idx="61">
                  <c:v>102431614.58400886</c:v>
                </c:pt>
                <c:pt idx="62">
                  <c:v>102431637.9137011</c:v>
                </c:pt>
                <c:pt idx="63">
                  <c:v>102431640.11510099</c:v>
                </c:pt>
                <c:pt idx="64">
                  <c:v>102431640.322826</c:v>
                </c:pt>
                <c:pt idx="65">
                  <c:v>102431640.34242702</c:v>
                </c:pt>
                <c:pt idx="66">
                  <c:v>102431640.34427658</c:v>
                </c:pt>
                <c:pt idx="67">
                  <c:v>102431640.3444511</c:v>
                </c:pt>
                <c:pt idx="68">
                  <c:v>102431640.34446757</c:v>
                </c:pt>
                <c:pt idx="69">
                  <c:v>102431640.34446913</c:v>
                </c:pt>
                <c:pt idx="70">
                  <c:v>102431640.34446926</c:v>
                </c:pt>
                <c:pt idx="71">
                  <c:v>102431640.34446928</c:v>
                </c:pt>
                <c:pt idx="72">
                  <c:v>102431640.34446928</c:v>
                </c:pt>
                <c:pt idx="73">
                  <c:v>102431640.34446928</c:v>
                </c:pt>
                <c:pt idx="74">
                  <c:v>102431640.34446928</c:v>
                </c:pt>
                <c:pt idx="75">
                  <c:v>102431640.34446928</c:v>
                </c:pt>
                <c:pt idx="76">
                  <c:v>102431640.34446928</c:v>
                </c:pt>
                <c:pt idx="77">
                  <c:v>102431640.34446928</c:v>
                </c:pt>
                <c:pt idx="78">
                  <c:v>102431640.34446928</c:v>
                </c:pt>
                <c:pt idx="79">
                  <c:v>102431640.34446928</c:v>
                </c:pt>
                <c:pt idx="80">
                  <c:v>102431640.34446928</c:v>
                </c:pt>
                <c:pt idx="81">
                  <c:v>102431640.34446928</c:v>
                </c:pt>
                <c:pt idx="82">
                  <c:v>102431640.34446928</c:v>
                </c:pt>
                <c:pt idx="83">
                  <c:v>102431640.34446928</c:v>
                </c:pt>
                <c:pt idx="84">
                  <c:v>102431640.34446928</c:v>
                </c:pt>
                <c:pt idx="85">
                  <c:v>102431640.34446928</c:v>
                </c:pt>
                <c:pt idx="86">
                  <c:v>102431640.34446928</c:v>
                </c:pt>
                <c:pt idx="87">
                  <c:v>102431640.34446928</c:v>
                </c:pt>
                <c:pt idx="88">
                  <c:v>102431640.34446928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13.277839126513657</c:v>
                </c:pt>
                <c:pt idx="2">
                  <c:v>16.483913250885774</c:v>
                </c:pt>
                <c:pt idx="3">
                  <c:v>20.435324329713296</c:v>
                </c:pt>
                <c:pt idx="4">
                  <c:v>25.290069488264411</c:v>
                </c:pt>
                <c:pt idx="5">
                  <c:v>31.231689989984112</c:v>
                </c:pt>
                <c:pt idx="6">
                  <c:v>38.469269506589079</c:v>
                </c:pt>
                <c:pt idx="7">
                  <c:v>47.234955158443526</c:v>
                </c:pt>
                <c:pt idx="8">
                  <c:v>57.777789923990177</c:v>
                </c:pt>
                <c:pt idx="9">
                  <c:v>70.352498891941678</c:v>
                </c:pt>
                <c:pt idx="10">
                  <c:v>85.201977845949585</c:v>
                </c:pt>
                <c:pt idx="11">
                  <c:v>102.53279331282597</c:v>
                </c:pt>
                <c:pt idx="12">
                  <c:v>122.4842215168274</c:v>
                </c:pt>
                <c:pt idx="13">
                  <c:v>145.09331353111799</c:v>
                </c:pt>
                <c:pt idx="14">
                  <c:v>170.26095795464892</c:v>
                </c:pt>
                <c:pt idx="15">
                  <c:v>197.72623537097684</c:v>
                </c:pt>
                <c:pt idx="16">
                  <c:v>227.05738388870014</c:v>
                </c:pt>
                <c:pt idx="17">
                  <c:v>257.66621707501042</c:v>
                </c:pt>
                <c:pt idx="18">
                  <c:v>288.84832900541903</c:v>
                </c:pt>
                <c:pt idx="19">
                  <c:v>319.84476913981143</c:v>
                </c:pt>
                <c:pt idx="20">
                  <c:v>349.91441515273277</c:v>
                </c:pt>
                <c:pt idx="21">
                  <c:v>378.40280699338768</c:v>
                </c:pt>
                <c:pt idx="22">
                  <c:v>404.79436830293793</c:v>
                </c:pt>
                <c:pt idx="23">
                  <c:v>428.74017293353091</c:v>
                </c:pt>
                <c:pt idx="24">
                  <c:v>450.06032120668647</c:v>
                </c:pt>
                <c:pt idx="25">
                  <c:v>468.72581289585702</c:v>
                </c:pt>
                <c:pt idx="26">
                  <c:v>484.82784872293678</c:v>
                </c:pt>
                <c:pt idx="27">
                  <c:v>498.54262526037638</c:v>
                </c:pt>
                <c:pt idx="28">
                  <c:v>510.09787167371917</c:v>
                </c:pt>
                <c:pt idx="29">
                  <c:v>519.74485743721016</c:v>
                </c:pt>
                <c:pt idx="30">
                  <c:v>527.73731709464573</c:v>
                </c:pt>
                <c:pt idx="31">
                  <c:v>534.31713501023455</c:v>
                </c:pt>
                <c:pt idx="32">
                  <c:v>539.70575604817702</c:v>
                </c:pt>
                <c:pt idx="33">
                  <c:v>544.09997576988178</c:v>
                </c:pt>
                <c:pt idx="34">
                  <c:v>547.67080293104789</c:v>
                </c:pt>
                <c:pt idx="35">
                  <c:v>550.56429762375774</c:v>
                </c:pt>
                <c:pt idx="36">
                  <c:v>552.90354957965974</c:v>
                </c:pt>
                <c:pt idx="37">
                  <c:v>554.79120642162422</c:v>
                </c:pt>
                <c:pt idx="38">
                  <c:v>556.31216275407837</c:v>
                </c:pt>
                <c:pt idx="39">
                  <c:v>557.53617213824259</c:v>
                </c:pt>
                <c:pt idx="40">
                  <c:v>558.52025039963905</c:v>
                </c:pt>
                <c:pt idx="41">
                  <c:v>559.31080946618351</c:v>
                </c:pt>
                <c:pt idx="42">
                  <c:v>559.94550535387623</c:v>
                </c:pt>
                <c:pt idx="43">
                  <c:v>560.45480994862965</c:v>
                </c:pt>
                <c:pt idx="44">
                  <c:v>560.86333002017966</c:v>
                </c:pt>
                <c:pt idx="45">
                  <c:v>561.19090290298379</c:v>
                </c:pt>
                <c:pt idx="46">
                  <c:v>561.4534995711889</c:v>
                </c:pt>
                <c:pt idx="47">
                  <c:v>561.66396446862893</c:v>
                </c:pt>
                <c:pt idx="48">
                  <c:v>561.83261874224183</c:v>
                </c:pt>
                <c:pt idx="49">
                  <c:v>561.96775027552724</c:v>
                </c:pt>
                <c:pt idx="50">
                  <c:v>562.07601060055231</c:v>
                </c:pt>
                <c:pt idx="51">
                  <c:v>562.16273564058793</c:v>
                </c:pt>
                <c:pt idx="52">
                  <c:v>562.23220442491822</c:v>
                </c:pt>
                <c:pt idx="53">
                  <c:v>562.2878474668446</c:v>
                </c:pt>
                <c:pt idx="54">
                  <c:v>562.33241440375673</c:v>
                </c:pt>
                <c:pt idx="55">
                  <c:v>562.36810873872071</c:v>
                </c:pt>
                <c:pt idx="56">
                  <c:v>562.39669605977701</c:v>
                </c:pt>
                <c:pt idx="57">
                  <c:v>562.41959090631053</c:v>
                </c:pt>
                <c:pt idx="58">
                  <c:v>562.43792646283885</c:v>
                </c:pt>
                <c:pt idx="59">
                  <c:v>562.45261045401287</c:v>
                </c:pt>
                <c:pt idx="60">
                  <c:v>562.46436995938495</c:v>
                </c:pt>
                <c:pt idx="61">
                  <c:v>562.47378733576375</c:v>
                </c:pt>
                <c:pt idx="62">
                  <c:v>562.48132900609392</c:v>
                </c:pt>
                <c:pt idx="63">
                  <c:v>562.48736852787783</c:v>
                </c:pt>
                <c:pt idx="64">
                  <c:v>562.49220507553264</c:v>
                </c:pt>
                <c:pt idx="65">
                  <c:v>562.49607824694544</c:v>
                </c:pt>
                <c:pt idx="66">
                  <c:v>562.49917992433916</c:v>
                </c:pt>
                <c:pt idx="67">
                  <c:v>562.50166377487596</c:v>
                </c:pt>
                <c:pt idx="68">
                  <c:v>562.50365286029717</c:v>
                </c:pt>
                <c:pt idx="69">
                  <c:v>562.50524573172311</c:v>
                </c:pt>
                <c:pt idx="70">
                  <c:v>562.50652131100901</c:v>
                </c:pt>
                <c:pt idx="71">
                  <c:v>562.50754280014814</c:v>
                </c:pt>
                <c:pt idx="72">
                  <c:v>562.50836081218722</c:v>
                </c:pt>
                <c:pt idx="73">
                  <c:v>562.50901587863348</c:v>
                </c:pt>
                <c:pt idx="74">
                  <c:v>562.50954045749609</c:v>
                </c:pt>
                <c:pt idx="75">
                  <c:v>562.50996054139728</c:v>
                </c:pt>
                <c:pt idx="76">
                  <c:v>562.5102969453917</c:v>
                </c:pt>
                <c:pt idx="77">
                  <c:v>562.51056633828443</c:v>
                </c:pt>
                <c:pt idx="78">
                  <c:v>562.51078206852617</c:v>
                </c:pt>
                <c:pt idx="79">
                  <c:v>562.51095482560504</c:v>
                </c:pt>
                <c:pt idx="80">
                  <c:v>562.51109316969598</c:v>
                </c:pt>
                <c:pt idx="81">
                  <c:v>562.51120395580961</c:v>
                </c:pt>
                <c:pt idx="82">
                  <c:v>562.51129267345448</c:v>
                </c:pt>
                <c:pt idx="83">
                  <c:v>562.51136371863925</c:v>
                </c:pt>
                <c:pt idx="84">
                  <c:v>562.51142061169617</c:v>
                </c:pt>
                <c:pt idx="85">
                  <c:v>562.51146617171264</c:v>
                </c:pt>
                <c:pt idx="86">
                  <c:v>562.51150265621732</c:v>
                </c:pt>
                <c:pt idx="87">
                  <c:v>562.51153187304283</c:v>
                </c:pt>
                <c:pt idx="88">
                  <c:v>562.51155526990362</c:v>
                </c:pt>
                <c:pt idx="89">
                  <c:v>562.5115740061309</c:v>
                </c:pt>
                <c:pt idx="90">
                  <c:v>562.51158901011843</c:v>
                </c:pt>
                <c:pt idx="91">
                  <c:v>562.51160102532481</c:v>
                </c:pt>
                <c:pt idx="92">
                  <c:v>562.51161064711255</c:v>
                </c:pt>
                <c:pt idx="93">
                  <c:v>562.51161835224855</c:v>
                </c:pt>
                <c:pt idx="94">
                  <c:v>562.51162452252811</c:v>
                </c:pt>
                <c:pt idx="95">
                  <c:v>562.51162946369334</c:v>
                </c:pt>
                <c:pt idx="96">
                  <c:v>562.5116334205826</c:v>
                </c:pt>
                <c:pt idx="97">
                  <c:v>562.51163658926293</c:v>
                </c:pt>
                <c:pt idx="98">
                  <c:v>562.51163912674485</c:v>
                </c:pt>
                <c:pt idx="99">
                  <c:v>562.51164115876247</c:v>
                </c:pt>
                <c:pt idx="100">
                  <c:v>562.51164278600402</c:v>
                </c:pt>
                <c:pt idx="101">
                  <c:v>562.5116440891004</c:v>
                </c:pt>
                <c:pt idx="102">
                  <c:v>562.51164513262097</c:v>
                </c:pt>
                <c:pt idx="103">
                  <c:v>562.51164596827323</c:v>
                </c:pt>
                <c:pt idx="104">
                  <c:v>562.5116466374642</c:v>
                </c:pt>
                <c:pt idx="105">
                  <c:v>562.51164717335303</c:v>
                </c:pt>
                <c:pt idx="106">
                  <c:v>562.5116476024931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565.1890238767237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myData!$CZ$11:$CZ$12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myData!$DB$11:$DB$12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366216"/>
        <c:axId val="617365824"/>
      </c:scatterChart>
      <c:valAx>
        <c:axId val="617366216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365824"/>
        <c:crossesAt val="1.0000000000000002E-2"/>
        <c:crossBetween val="midCat"/>
        <c:majorUnit val="14"/>
        <c:minorUnit val="7"/>
      </c:valAx>
      <c:valAx>
        <c:axId val="617365824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366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myData!$CI$12</c:f>
          <c:strCache>
            <c:ptCount val="1"/>
            <c:pt idx="0">
              <c:v>COVID19 NSW P(t) = b / {d+[( b/Po - d ) ]* exp(-b*t)}
b=0.207, d=6.34E-05, P0=.005 Limit=4.04 k=&gt;3.26 k cases 
 22-Mar,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myData!$CG$12</c:f>
              <c:strCache>
                <c:ptCount val="1"/>
                <c:pt idx="0">
                  <c:v>NSW Limit 4.04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myData!$CZ$11:$CZ$12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965664"/>
        <c:axId val="759232616"/>
      </c:scatterChart>
      <c:valAx>
        <c:axId val="878965664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32616"/>
        <c:crosses val="autoZero"/>
        <c:crossBetween val="midCat"/>
        <c:majorUnit val="7"/>
        <c:minorUnit val="1"/>
      </c:valAx>
      <c:valAx>
        <c:axId val="759232616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96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myData!$CI$12</c:f>
          <c:strCache>
            <c:ptCount val="1"/>
            <c:pt idx="0">
              <c:v>COVID19 NSW P(t) = b / {d+[( b/Po - d ) ]* exp(-b*t)}
b=0.207, d=6.34E-05, P0=.005 Limit=4.04 k=&gt;3.26 k cases 
 22-Mar,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  <c:pt idx="57">
                  <c:v>533.82747200756978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829 M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3.2765421360321958E-3</c:v>
                </c:pt>
                <c:pt idx="1">
                  <c:v>4.0435486626358213E-3</c:v>
                </c:pt>
                <c:pt idx="2">
                  <c:v>4.9901039291684974E-3</c:v>
                </c:pt>
                <c:pt idx="3">
                  <c:v>6.1582385427913231E-3</c:v>
                </c:pt>
                <c:pt idx="4">
                  <c:v>7.5998220654749683E-3</c:v>
                </c:pt>
                <c:pt idx="5">
                  <c:v>9.3788662172669384E-3</c:v>
                </c:pt>
                <c:pt idx="6">
                  <c:v>1.1574367236958386E-2</c:v>
                </c:pt>
                <c:pt idx="7">
                  <c:v>1.4283813611634092E-2</c:v>
                </c:pt>
                <c:pt idx="8">
                  <c:v>1.7627514931465353E-2</c:v>
                </c:pt>
                <c:pt idx="9">
                  <c:v>2.1753944087148643E-2</c:v>
                </c:pt>
                <c:pt idx="10">
                  <c:v>2.6846330023610344E-2</c:v>
                </c:pt>
                <c:pt idx="11">
                  <c:v>3.3130793792990477E-2</c:v>
                </c:pt>
                <c:pt idx="12">
                  <c:v>4.0886389178199326E-2</c:v>
                </c:pt>
                <c:pt idx="13">
                  <c:v>5.0457493728423668E-2</c:v>
                </c:pt>
                <c:pt idx="14">
                  <c:v>6.2269100415072665E-2</c:v>
                </c:pt>
                <c:pt idx="15">
                  <c:v>7.6845688915088556E-2</c:v>
                </c:pt>
                <c:pt idx="16">
                  <c:v>9.4834514477438181E-2</c:v>
                </c:pt>
                <c:pt idx="17">
                  <c:v>0.11703434848587695</c:v>
                </c:pt>
                <c:pt idx="18">
                  <c:v>0.1444309469068509</c:v>
                </c:pt>
                <c:pt idx="19">
                  <c:v>0.17824082155475537</c:v>
                </c:pt>
                <c:pt idx="20">
                  <c:v>0.21996525778301859</c:v>
                </c:pt>
                <c:pt idx="21">
                  <c:v>0.27145697718923623</c:v>
                </c:pt>
                <c:pt idx="22">
                  <c:v>0.33500240540865622</c:v>
                </c:pt>
                <c:pt idx="23">
                  <c:v>0.41342319799478927</c:v>
                </c:pt>
                <c:pt idx="24">
                  <c:v>0.51020153251723088</c:v>
                </c:pt>
                <c:pt idx="25">
                  <c:v>0.62963473031598061</c:v>
                </c:pt>
                <c:pt idx="26">
                  <c:v>0.77702607369828591</c:v>
                </c:pt>
                <c:pt idx="27">
                  <c:v>0.95892029157739278</c:v>
                </c:pt>
                <c:pt idx="28">
                  <c:v>1.1833941699988606</c:v>
                </c:pt>
                <c:pt idx="29">
                  <c:v>1.4604151917516579</c:v>
                </c:pt>
                <c:pt idx="30">
                  <c:v>1.8022841300074184</c:v>
                </c:pt>
                <c:pt idx="31">
                  <c:v>2.2241812488044022</c:v>
                </c:pt>
                <c:pt idx="32">
                  <c:v>2.7448403637242169</c:v>
                </c:pt>
                <c:pt idx="33">
                  <c:v>3.3873806935798525</c:v>
                </c:pt>
                <c:pt idx="34">
                  <c:v>4.1803334404438051</c:v>
                </c:pt>
                <c:pt idx="35">
                  <c:v>5.158908682009689</c:v>
                </c:pt>
                <c:pt idx="36">
                  <c:v>6.3665588310432737</c:v>
                </c:pt>
                <c:pt idx="37">
                  <c:v>7.8569080853602564</c:v>
                </c:pt>
                <c:pt idx="38">
                  <c:v>9.6961335431047999</c:v>
                </c:pt>
                <c:pt idx="39">
                  <c:v>11.96590371371253</c:v>
                </c:pt>
                <c:pt idx="40">
                  <c:v>14.767004905364541</c:v>
                </c:pt>
                <c:pt idx="41">
                  <c:v>18.223816513978704</c:v>
                </c:pt>
                <c:pt idx="42">
                  <c:v>22.48983393311125</c:v>
                </c:pt>
                <c:pt idx="43">
                  <c:v>27.754484322307196</c:v>
                </c:pt>
                <c:pt idx="44">
                  <c:v>34.251537879000942</c:v>
                </c:pt>
                <c:pt idx="45">
                  <c:v>42.269488105102091</c:v>
                </c:pt>
                <c:pt idx="46">
                  <c:v>52.164361989678447</c:v>
                </c:pt>
                <c:pt idx="47">
                  <c:v>64.375528925819452</c:v>
                </c:pt>
                <c:pt idx="48">
                  <c:v>79.445210333708047</c:v>
                </c:pt>
                <c:pt idx="49">
                  <c:v>98.042556285491401</c:v>
                </c:pt>
                <c:pt idx="50">
                  <c:v>120.99335821699556</c:v>
                </c:pt>
                <c:pt idx="51">
                  <c:v>149.31671707083041</c:v>
                </c:pt>
                <c:pt idx="52">
                  <c:v>184.270295056733</c:v>
                </c:pt>
                <c:pt idx="53">
                  <c:v>227.40616035075564</c:v>
                </c:pt>
                <c:pt idx="54">
                  <c:v>280.63970440732754</c:v>
                </c:pt>
                <c:pt idx="55">
                  <c:v>346.33469201025537</c:v>
                </c:pt>
                <c:pt idx="56">
                  <c:v>427.40822051084024</c:v>
                </c:pt>
                <c:pt idx="57">
                  <c:v>527.46024869511064</c:v>
                </c:pt>
                <c:pt idx="58">
                  <c:v>650.93344663156211</c:v>
                </c:pt>
                <c:pt idx="59">
                  <c:v>803.31046410292822</c:v>
                </c:pt>
                <c:pt idx="60">
                  <c:v>991.35737657860102</c:v>
                </c:pt>
                <c:pt idx="61">
                  <c:v>1223.4241178778143</c:v>
                </c:pt>
                <c:pt idx="62">
                  <c:v>1509.8152386966349</c:v>
                </c:pt>
                <c:pt idx="63">
                  <c:v>1863.247452294918</c:v>
                </c:pt>
                <c:pt idx="64">
                  <c:v>2299.4142813871313</c:v>
                </c:pt>
                <c:pt idx="65">
                  <c:v>2837.682874563402</c:v>
                </c:pt>
                <c:pt idx="66">
                  <c:v>3501.9539272381912</c:v>
                </c:pt>
                <c:pt idx="67">
                  <c:v>15266.261036427753</c:v>
                </c:pt>
                <c:pt idx="68">
                  <c:v>66547.882805289497</c:v>
                </c:pt>
                <c:pt idx="69">
                  <c:v>290031.78398196353</c:v>
                </c:pt>
                <c:pt idx="70" formatCode="0.00E+00">
                  <c:v>1262885.6788091576</c:v>
                </c:pt>
                <c:pt idx="71" formatCode="0.00E+00">
                  <c:v>5477422.4907040661</c:v>
                </c:pt>
                <c:pt idx="72" formatCode="0.00E+00">
                  <c:v>23360020.782379415</c:v>
                </c:pt>
                <c:pt idx="73" formatCode="0.00E+00">
                  <c:v>93032110.179156363</c:v>
                </c:pt>
                <c:pt idx="74" formatCode="0.00E+00">
                  <c:v>294553838.91941363</c:v>
                </c:pt>
                <c:pt idx="75" formatCode="0.00E+00">
                  <c:v>585466524.14389646</c:v>
                </c:pt>
                <c:pt idx="76" formatCode="0.00E+00">
                  <c:v>756957387.31782877</c:v>
                </c:pt>
                <c:pt idx="77" formatCode="0.00E+00">
                  <c:v>811481569.69030333</c:v>
                </c:pt>
                <c:pt idx="78" formatCode="0.00E+00">
                  <c:v>825114956.99569154</c:v>
                </c:pt>
                <c:pt idx="79" formatCode="0.00E+00">
                  <c:v>828307142.35215402</c:v>
                </c:pt>
                <c:pt idx="80" formatCode="0.00E+00">
                  <c:v>829042878.7086699</c:v>
                </c:pt>
                <c:pt idx="81" formatCode="0.00E+00">
                  <c:v>829211832.47772586</c:v>
                </c:pt>
                <c:pt idx="82" formatCode="0.00E+00">
                  <c:v>829250598.23460293</c:v>
                </c:pt>
                <c:pt idx="83" formatCode="0.00E+00">
                  <c:v>829259491.16331184</c:v>
                </c:pt>
                <c:pt idx="84" formatCode="0.00E+00">
                  <c:v>829261531.12550783</c:v>
                </c:pt>
                <c:pt idx="85" formatCode="0.00E+00">
                  <c:v>829261999.07072818</c:v>
                </c:pt>
                <c:pt idx="86" formatCode="0.00E+00">
                  <c:v>829262106.41204023</c:v>
                </c:pt>
                <c:pt idx="87" formatCode="0.00E+00">
                  <c:v>829262131.03490353</c:v>
                </c:pt>
                <c:pt idx="88" formatCode="0.00E+00">
                  <c:v>829262136.68310452</c:v>
                </c:pt>
                <c:pt idx="89" formatCode="0.00E+00">
                  <c:v>829262137.97873676</c:v>
                </c:pt>
                <c:pt idx="90" formatCode="0.00E+00">
                  <c:v>829262138.27593982</c:v>
                </c:pt>
                <c:pt idx="91" formatCode="0.00E+00">
                  <c:v>829262138.34411478</c:v>
                </c:pt>
                <c:pt idx="92" formatCode="0.00E+00">
                  <c:v>829262138.35975337</c:v>
                </c:pt>
                <c:pt idx="93" formatCode="0.00E+00">
                  <c:v>829262138.36334062</c:v>
                </c:pt>
                <c:pt idx="94" formatCode="0.00E+00">
                  <c:v>829262138.36416364</c:v>
                </c:pt>
                <c:pt idx="95" formatCode="0.00E+00">
                  <c:v>829262138.36435235</c:v>
                </c:pt>
                <c:pt idx="96" formatCode="0.00E+00">
                  <c:v>829262138.36439562</c:v>
                </c:pt>
                <c:pt idx="97" formatCode="0.00E+00">
                  <c:v>829262138.36440551</c:v>
                </c:pt>
                <c:pt idx="98" formatCode="0.00E+00">
                  <c:v>829262138.36440778</c:v>
                </c:pt>
                <c:pt idx="99" formatCode="0.00E+00">
                  <c:v>829262138.36440837</c:v>
                </c:pt>
                <c:pt idx="100" formatCode="0.00E+00">
                  <c:v>829262138.36440849</c:v>
                </c:pt>
                <c:pt idx="101" formatCode="0.00E+00">
                  <c:v>829262138.36440849</c:v>
                </c:pt>
                <c:pt idx="102" formatCode="0.00E+00">
                  <c:v>829262138.36440849</c:v>
                </c:pt>
                <c:pt idx="103" formatCode="0.00E+00">
                  <c:v>829262138.36440849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232224"/>
        <c:axId val="758141872"/>
      </c:scatterChar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2700" cap="rnd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142264"/>
        <c:axId val="758143048"/>
      </c:scatterChart>
      <c:valAx>
        <c:axId val="759232224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41872"/>
        <c:crossesAt val="0.1"/>
        <c:crossBetween val="midCat"/>
        <c:majorUnit val="14"/>
        <c:minorUnit val="7"/>
      </c:valAx>
      <c:valAx>
        <c:axId val="758141872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32224"/>
        <c:crosses val="autoZero"/>
        <c:crossBetween val="midCat"/>
      </c:valAx>
      <c:valAx>
        <c:axId val="758143048"/>
        <c:scaling>
          <c:logBase val="10"/>
          <c:orientation val="minMax"/>
          <c:max val="10000000"/>
          <c:min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NSW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142264"/>
        <c:crosses val="max"/>
        <c:crossBetween val="midCat"/>
      </c:valAx>
      <c:valAx>
        <c:axId val="758142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5814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81813659836555"/>
          <c:y val="0.69945145225951777"/>
          <c:w val="0.23547747830561738"/>
          <c:h val="0.13749257575523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myData!$CI$13</c:f>
          <c:strCache>
            <c:ptCount val="1"/>
            <c:pt idx="0">
              <c:v>COVID19 Italy P(t) = b / {d+[( b/Po - d ) ]* exp(-b*t)}
b=0.259, d=4.28E-06, P0=.442 Limit=10.0 k=&gt;60.6 k cases 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846064"/>
        <c:axId val="903778840"/>
      </c:scatterChart>
      <c:valAx>
        <c:axId val="875846064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778840"/>
        <c:crossesAt val="0.1"/>
        <c:crossBetween val="midCat"/>
        <c:majorUnit val="7"/>
        <c:minorUnit val="3.5"/>
      </c:valAx>
      <c:valAx>
        <c:axId val="90377884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84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myData!$CI$13</c:f>
          <c:strCache>
            <c:ptCount val="1"/>
            <c:pt idx="0">
              <c:v>COVID19 Italy P(t) = b / {d+[( b/Po - d ) ]* exp(-b*t)}
b=0.259, d=4.28E-06, P0=.442 Limit=10.0 k=&gt;60.6 k cases 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256136"/>
        <c:axId val="616901360"/>
      </c:scatterChart>
      <c:valAx>
        <c:axId val="61225613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1360"/>
        <c:crossesAt val="0.1"/>
        <c:crossBetween val="midCat"/>
        <c:majorUnit val="14"/>
        <c:minorUnit val="7"/>
      </c:valAx>
      <c:valAx>
        <c:axId val="616901360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56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myData!$CI$14</c:f>
          <c:strCache>
            <c:ptCount val="1"/>
            <c:pt idx="0">
              <c:v>COVID19 USA P(t) = b / {d+[( b/Po - d ) ]* exp(-b*t)}
b=0.337, d=1.00E-10, P0=.025 Limit=102 M=&gt;3.37 G cases 
 21-Mar, Cases per 10 M population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774.20570743755002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7.7343597114947035E-4</c:v>
                </c:pt>
                <c:pt idx="1">
                  <c:v>1.0836348480330006E-3</c:v>
                </c:pt>
                <c:pt idx="2">
                  <c:v>1.5182439499483087E-3</c:v>
                </c:pt>
                <c:pt idx="3">
                  <c:v>2.1271599891188827E-3</c:v>
                </c:pt>
                <c:pt idx="4">
                  <c:v>2.9802915529164556E-3</c:v>
                </c:pt>
                <c:pt idx="5">
                  <c:v>4.1755851867233962E-3</c:v>
                </c:pt>
                <c:pt idx="6">
                  <c:v>5.8502704658006397E-3</c:v>
                </c:pt>
                <c:pt idx="7">
                  <c:v>8.1966150832266625E-3</c:v>
                </c:pt>
                <c:pt idx="8">
                  <c:v>1.1483998768041065E-2</c:v>
                </c:pt>
                <c:pt idx="9">
                  <c:v>1.6089840301583943E-2</c:v>
                </c:pt>
                <c:pt idx="10">
                  <c:v>2.2542928308757242E-2</c:v>
                </c:pt>
                <c:pt idx="11">
                  <c:v>3.158413055665326E-2</c:v>
                </c:pt>
                <c:pt idx="12">
                  <c:v>4.4251451689037401E-2</c:v>
                </c:pt>
                <c:pt idx="13">
                  <c:v>6.199920472648851E-2</c:v>
                </c:pt>
                <c:pt idx="14">
                  <c:v>8.6864978203691059E-2</c:v>
                </c:pt>
                <c:pt idx="15">
                  <c:v>0.12170356814866272</c:v>
                </c:pt>
                <c:pt idx="16">
                  <c:v>0.17051473222457275</c:v>
                </c:pt>
                <c:pt idx="17">
                  <c:v>0.23890239491207915</c:v>
                </c:pt>
                <c:pt idx="18">
                  <c:v>0.33471802427180158</c:v>
                </c:pt>
                <c:pt idx="19">
                  <c:v>0.46896204523867702</c:v>
                </c:pt>
                <c:pt idx="20">
                  <c:v>0.65704677911297127</c:v>
                </c:pt>
                <c:pt idx="21">
                  <c:v>0.92056590508318048</c:v>
                </c:pt>
                <c:pt idx="22">
                  <c:v>1.2897735924849898</c:v>
                </c:pt>
                <c:pt idx="23">
                  <c:v>1.8070579284777246</c:v>
                </c:pt>
                <c:pt idx="24">
                  <c:v>2.5318074189818311</c:v>
                </c:pt>
                <c:pt idx="25">
                  <c:v>3.5472292767179625</c:v>
                </c:pt>
                <c:pt idx="26">
                  <c:v>4.9699022908456456</c:v>
                </c:pt>
                <c:pt idx="27">
                  <c:v>6.9631610240366193</c:v>
                </c:pt>
                <c:pt idx="28">
                  <c:v>9.7558479484727627</c:v>
                </c:pt>
                <c:pt idx="29">
                  <c:v>13.668586411322842</c:v>
                </c:pt>
                <c:pt idx="30">
                  <c:v>19.150590764463793</c:v>
                </c:pt>
                <c:pt idx="31">
                  <c:v>26.831239728795456</c:v>
                </c:pt>
                <c:pt idx="32">
                  <c:v>37.592333969656103</c:v>
                </c:pt>
                <c:pt idx="33">
                  <c:v>52.669333509241632</c:v>
                </c:pt>
                <c:pt idx="34">
                  <c:v>73.7931975914356</c:v>
                </c:pt>
                <c:pt idx="35">
                  <c:v>103.38911084614992</c:v>
                </c:pt>
                <c:pt idx="36">
                  <c:v>144.85491009685279</c:v>
                </c:pt>
                <c:pt idx="37">
                  <c:v>202.95117542561565</c:v>
                </c:pt>
                <c:pt idx="38">
                  <c:v>284.34776708416985</c:v>
                </c:pt>
                <c:pt idx="39">
                  <c:v>398.38954717957728</c:v>
                </c:pt>
                <c:pt idx="40">
                  <c:v>558.1691815614513</c:v>
                </c:pt>
                <c:pt idx="41">
                  <c:v>782.03015751977443</c:v>
                </c:pt>
                <c:pt idx="42">
                  <c:v>1095.6725154709468</c:v>
                </c:pt>
                <c:pt idx="43">
                  <c:v>1535.1029309393316</c:v>
                </c:pt>
                <c:pt idx="44">
                  <c:v>2150.7676068710666</c:v>
                </c:pt>
                <c:pt idx="45">
                  <c:v>3013.3420076605817</c:v>
                </c:pt>
                <c:pt idx="46">
                  <c:v>4221.8412436626068</c:v>
                </c:pt>
                <c:pt idx="47">
                  <c:v>5914.9804778552825</c:v>
                </c:pt>
                <c:pt idx="48">
                  <c:v>8287.086154276074</c:v>
                </c:pt>
                <c:pt idx="49">
                  <c:v>11610.377980935969</c:v>
                </c:pt>
                <c:pt idx="50">
                  <c:v>16266.166463893578</c:v>
                </c:pt>
                <c:pt idx="51">
                  <c:v>22788.521515861921</c:v>
                </c:pt>
                <c:pt idx="52">
                  <c:v>240990.5361791176</c:v>
                </c:pt>
                <c:pt idx="53">
                  <c:v>2497541.4375885939</c:v>
                </c:pt>
                <c:pt idx="54">
                  <c:v>21448768.034569308</c:v>
                </c:pt>
                <c:pt idx="55">
                  <c:v>75524455.952021122</c:v>
                </c:pt>
                <c:pt idx="56">
                  <c:v>99100103.778756559</c:v>
                </c:pt>
                <c:pt idx="57">
                  <c:v>102107734.38354748</c:v>
                </c:pt>
                <c:pt idx="58">
                  <c:v>102400988.66497168</c:v>
                </c:pt>
                <c:pt idx="59">
                  <c:v>102428747.25534427</c:v>
                </c:pt>
                <c:pt idx="60">
                  <c:v>102431367.34440626</c:v>
                </c:pt>
                <c:pt idx="61">
                  <c:v>102431614.58400886</c:v>
                </c:pt>
                <c:pt idx="62">
                  <c:v>102431637.9137011</c:v>
                </c:pt>
                <c:pt idx="63">
                  <c:v>102431640.11510099</c:v>
                </c:pt>
                <c:pt idx="64">
                  <c:v>102431640.322826</c:v>
                </c:pt>
                <c:pt idx="65">
                  <c:v>102431640.34242702</c:v>
                </c:pt>
                <c:pt idx="66">
                  <c:v>102431640.34427658</c:v>
                </c:pt>
                <c:pt idx="67">
                  <c:v>102431640.3444511</c:v>
                </c:pt>
                <c:pt idx="68">
                  <c:v>102431640.34446757</c:v>
                </c:pt>
                <c:pt idx="69">
                  <c:v>102431640.34446913</c:v>
                </c:pt>
                <c:pt idx="70">
                  <c:v>102431640.34446926</c:v>
                </c:pt>
                <c:pt idx="71">
                  <c:v>102431640.34446928</c:v>
                </c:pt>
                <c:pt idx="72">
                  <c:v>102431640.34446928</c:v>
                </c:pt>
                <c:pt idx="73">
                  <c:v>102431640.34446928</c:v>
                </c:pt>
                <c:pt idx="74">
                  <c:v>102431640.34446928</c:v>
                </c:pt>
                <c:pt idx="75">
                  <c:v>102431640.34446928</c:v>
                </c:pt>
                <c:pt idx="76">
                  <c:v>102431640.34446928</c:v>
                </c:pt>
                <c:pt idx="77">
                  <c:v>102431640.34446928</c:v>
                </c:pt>
                <c:pt idx="78">
                  <c:v>102431640.34446928</c:v>
                </c:pt>
                <c:pt idx="79">
                  <c:v>102431640.34446928</c:v>
                </c:pt>
                <c:pt idx="80">
                  <c:v>102431640.34446928</c:v>
                </c:pt>
                <c:pt idx="81">
                  <c:v>102431640.34446928</c:v>
                </c:pt>
                <c:pt idx="82">
                  <c:v>102431640.34446928</c:v>
                </c:pt>
                <c:pt idx="83">
                  <c:v>102431640.34446928</c:v>
                </c:pt>
                <c:pt idx="84">
                  <c:v>102431640.34446928</c:v>
                </c:pt>
                <c:pt idx="85">
                  <c:v>102431640.34446928</c:v>
                </c:pt>
                <c:pt idx="86">
                  <c:v>102431640.34446928</c:v>
                </c:pt>
                <c:pt idx="87">
                  <c:v>102431640.34446928</c:v>
                </c:pt>
                <c:pt idx="88">
                  <c:v>102431640.34446928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98616"/>
        <c:axId val="616899400"/>
      </c:scatterChart>
      <c:valAx>
        <c:axId val="616898616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99400"/>
        <c:crosses val="autoZero"/>
        <c:crossBetween val="midCat"/>
        <c:majorUnit val="7"/>
        <c:minorUnit val="3.5"/>
      </c:valAx>
      <c:valAx>
        <c:axId val="616899400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9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myData!$CI$14</c:f>
          <c:strCache>
            <c:ptCount val="1"/>
            <c:pt idx="0">
              <c:v>COVID19 USA P(t) = b / {d+[( b/Po - d ) ]* exp(-b*t)}
b=0.337, d=1.00E-10, P0=.025 Limit=102 M=&gt;3.37 G cases 
 21-Mar, Cases per 10 M population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774.20570743755002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myData!$CG$14</c:f>
              <c:strCache>
                <c:ptCount val="1"/>
                <c:pt idx="0">
                  <c:v>USA Limit 102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7.7343597114947035E-4</c:v>
                </c:pt>
                <c:pt idx="1">
                  <c:v>1.0836348480330006E-3</c:v>
                </c:pt>
                <c:pt idx="2">
                  <c:v>1.5182439499483087E-3</c:v>
                </c:pt>
                <c:pt idx="3">
                  <c:v>2.1271599891188827E-3</c:v>
                </c:pt>
                <c:pt idx="4">
                  <c:v>2.9802915529164556E-3</c:v>
                </c:pt>
                <c:pt idx="5">
                  <c:v>4.1755851867233962E-3</c:v>
                </c:pt>
                <c:pt idx="6">
                  <c:v>5.8502704658006397E-3</c:v>
                </c:pt>
                <c:pt idx="7">
                  <c:v>8.1966150832266625E-3</c:v>
                </c:pt>
                <c:pt idx="8">
                  <c:v>1.1483998768041065E-2</c:v>
                </c:pt>
                <c:pt idx="9">
                  <c:v>1.6089840301583943E-2</c:v>
                </c:pt>
                <c:pt idx="10">
                  <c:v>2.2542928308757242E-2</c:v>
                </c:pt>
                <c:pt idx="11">
                  <c:v>3.158413055665326E-2</c:v>
                </c:pt>
                <c:pt idx="12">
                  <c:v>4.4251451689037401E-2</c:v>
                </c:pt>
                <c:pt idx="13">
                  <c:v>6.199920472648851E-2</c:v>
                </c:pt>
                <c:pt idx="14">
                  <c:v>8.6864978203691059E-2</c:v>
                </c:pt>
                <c:pt idx="15">
                  <c:v>0.12170356814866272</c:v>
                </c:pt>
                <c:pt idx="16">
                  <c:v>0.17051473222457275</c:v>
                </c:pt>
                <c:pt idx="17">
                  <c:v>0.23890239491207915</c:v>
                </c:pt>
                <c:pt idx="18">
                  <c:v>0.33471802427180158</c:v>
                </c:pt>
                <c:pt idx="19">
                  <c:v>0.46896204523867702</c:v>
                </c:pt>
                <c:pt idx="20">
                  <c:v>0.65704677911297127</c:v>
                </c:pt>
                <c:pt idx="21">
                  <c:v>0.92056590508318048</c:v>
                </c:pt>
                <c:pt idx="22">
                  <c:v>1.2897735924849898</c:v>
                </c:pt>
                <c:pt idx="23">
                  <c:v>1.8070579284777246</c:v>
                </c:pt>
                <c:pt idx="24">
                  <c:v>2.5318074189818311</c:v>
                </c:pt>
                <c:pt idx="25">
                  <c:v>3.5472292767179625</c:v>
                </c:pt>
                <c:pt idx="26">
                  <c:v>4.9699022908456456</c:v>
                </c:pt>
                <c:pt idx="27">
                  <c:v>6.9631610240366193</c:v>
                </c:pt>
                <c:pt idx="28">
                  <c:v>9.7558479484727627</c:v>
                </c:pt>
                <c:pt idx="29">
                  <c:v>13.668586411322842</c:v>
                </c:pt>
                <c:pt idx="30">
                  <c:v>19.150590764463793</c:v>
                </c:pt>
                <c:pt idx="31">
                  <c:v>26.831239728795456</c:v>
                </c:pt>
                <c:pt idx="32">
                  <c:v>37.592333969656103</c:v>
                </c:pt>
                <c:pt idx="33">
                  <c:v>52.669333509241632</c:v>
                </c:pt>
                <c:pt idx="34">
                  <c:v>73.7931975914356</c:v>
                </c:pt>
                <c:pt idx="35">
                  <c:v>103.38911084614992</c:v>
                </c:pt>
                <c:pt idx="36">
                  <c:v>144.85491009685279</c:v>
                </c:pt>
                <c:pt idx="37">
                  <c:v>202.95117542561565</c:v>
                </c:pt>
                <c:pt idx="38">
                  <c:v>284.34776708416985</c:v>
                </c:pt>
                <c:pt idx="39">
                  <c:v>398.38954717957728</c:v>
                </c:pt>
                <c:pt idx="40">
                  <c:v>558.1691815614513</c:v>
                </c:pt>
                <c:pt idx="41">
                  <c:v>782.03015751977443</c:v>
                </c:pt>
                <c:pt idx="42">
                  <c:v>1095.6725154709468</c:v>
                </c:pt>
                <c:pt idx="43">
                  <c:v>1535.1029309393316</c:v>
                </c:pt>
                <c:pt idx="44">
                  <c:v>2150.7676068710666</c:v>
                </c:pt>
                <c:pt idx="45">
                  <c:v>3013.3420076605817</c:v>
                </c:pt>
                <c:pt idx="46">
                  <c:v>4221.8412436626068</c:v>
                </c:pt>
                <c:pt idx="47">
                  <c:v>5914.9804778552825</c:v>
                </c:pt>
                <c:pt idx="48">
                  <c:v>8287.086154276074</c:v>
                </c:pt>
                <c:pt idx="49">
                  <c:v>11610.377980935969</c:v>
                </c:pt>
                <c:pt idx="50">
                  <c:v>16266.166463893578</c:v>
                </c:pt>
                <c:pt idx="51">
                  <c:v>22788.521515861921</c:v>
                </c:pt>
                <c:pt idx="52">
                  <c:v>240990.5361791176</c:v>
                </c:pt>
                <c:pt idx="53">
                  <c:v>2497541.4375885939</c:v>
                </c:pt>
                <c:pt idx="54">
                  <c:v>21448768.034569308</c:v>
                </c:pt>
                <c:pt idx="55">
                  <c:v>75524455.952021122</c:v>
                </c:pt>
                <c:pt idx="56">
                  <c:v>99100103.778756559</c:v>
                </c:pt>
                <c:pt idx="57">
                  <c:v>102107734.38354748</c:v>
                </c:pt>
                <c:pt idx="58">
                  <c:v>102400988.66497168</c:v>
                </c:pt>
                <c:pt idx="59">
                  <c:v>102428747.25534427</c:v>
                </c:pt>
                <c:pt idx="60">
                  <c:v>102431367.34440626</c:v>
                </c:pt>
                <c:pt idx="61">
                  <c:v>102431614.58400886</c:v>
                </c:pt>
                <c:pt idx="62">
                  <c:v>102431637.9137011</c:v>
                </c:pt>
                <c:pt idx="63">
                  <c:v>102431640.11510099</c:v>
                </c:pt>
                <c:pt idx="64">
                  <c:v>102431640.322826</c:v>
                </c:pt>
                <c:pt idx="65">
                  <c:v>102431640.34242702</c:v>
                </c:pt>
                <c:pt idx="66">
                  <c:v>102431640.34427658</c:v>
                </c:pt>
                <c:pt idx="67">
                  <c:v>102431640.3444511</c:v>
                </c:pt>
                <c:pt idx="68">
                  <c:v>102431640.34446757</c:v>
                </c:pt>
                <c:pt idx="69">
                  <c:v>102431640.34446913</c:v>
                </c:pt>
                <c:pt idx="70">
                  <c:v>102431640.34446926</c:v>
                </c:pt>
                <c:pt idx="71">
                  <c:v>102431640.34446928</c:v>
                </c:pt>
                <c:pt idx="72">
                  <c:v>102431640.34446928</c:v>
                </c:pt>
                <c:pt idx="73">
                  <c:v>102431640.34446928</c:v>
                </c:pt>
                <c:pt idx="74">
                  <c:v>102431640.34446928</c:v>
                </c:pt>
                <c:pt idx="75">
                  <c:v>102431640.34446928</c:v>
                </c:pt>
                <c:pt idx="76">
                  <c:v>102431640.34446928</c:v>
                </c:pt>
                <c:pt idx="77">
                  <c:v>102431640.34446928</c:v>
                </c:pt>
                <c:pt idx="78">
                  <c:v>102431640.34446928</c:v>
                </c:pt>
                <c:pt idx="79">
                  <c:v>102431640.34446928</c:v>
                </c:pt>
                <c:pt idx="80">
                  <c:v>102431640.34446928</c:v>
                </c:pt>
                <c:pt idx="81">
                  <c:v>102431640.34446928</c:v>
                </c:pt>
                <c:pt idx="82">
                  <c:v>102431640.34446928</c:v>
                </c:pt>
                <c:pt idx="83">
                  <c:v>102431640.34446928</c:v>
                </c:pt>
                <c:pt idx="84">
                  <c:v>102431640.34446928</c:v>
                </c:pt>
                <c:pt idx="85">
                  <c:v>102431640.34446928</c:v>
                </c:pt>
                <c:pt idx="86">
                  <c:v>102431640.34446928</c:v>
                </c:pt>
                <c:pt idx="87">
                  <c:v>102431640.34446928</c:v>
                </c:pt>
                <c:pt idx="88">
                  <c:v>102431640.34446928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99008"/>
        <c:axId val="616900184"/>
      </c:scatterChart>
      <c:valAx>
        <c:axId val="616899008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0184"/>
        <c:crosses val="autoZero"/>
        <c:crossBetween val="midCat"/>
        <c:majorUnit val="7"/>
        <c:minorUnit val="3.5"/>
      </c:valAx>
      <c:valAx>
        <c:axId val="616900184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myData!$CI$15</c:f>
          <c:strCache>
            <c:ptCount val="1"/>
            <c:pt idx="0">
              <c:v>COVID19 China P(t) = b / {d+[( b/Po - d ) ]* exp(-b*t)}
b=0.222, d=2.74E-06, P0=1537.649 Limit=563  =&gt;81.0 k cases 
 22-Mar, Cases per 10 M population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13.277839126513657</c:v>
                </c:pt>
                <c:pt idx="2">
                  <c:v>16.483913250885774</c:v>
                </c:pt>
                <c:pt idx="3">
                  <c:v>20.435324329713296</c:v>
                </c:pt>
                <c:pt idx="4">
                  <c:v>25.290069488264411</c:v>
                </c:pt>
                <c:pt idx="5">
                  <c:v>31.231689989984112</c:v>
                </c:pt>
                <c:pt idx="6">
                  <c:v>38.469269506589079</c:v>
                </c:pt>
                <c:pt idx="7">
                  <c:v>47.234955158443526</c:v>
                </c:pt>
                <c:pt idx="8">
                  <c:v>57.777789923990177</c:v>
                </c:pt>
                <c:pt idx="9">
                  <c:v>70.352498891941678</c:v>
                </c:pt>
                <c:pt idx="10">
                  <c:v>85.201977845949585</c:v>
                </c:pt>
                <c:pt idx="11">
                  <c:v>102.53279331282597</c:v>
                </c:pt>
                <c:pt idx="12">
                  <c:v>122.4842215168274</c:v>
                </c:pt>
                <c:pt idx="13">
                  <c:v>145.09331353111799</c:v>
                </c:pt>
                <c:pt idx="14">
                  <c:v>170.26095795464892</c:v>
                </c:pt>
                <c:pt idx="15">
                  <c:v>197.72623537097684</c:v>
                </c:pt>
                <c:pt idx="16">
                  <c:v>227.05738388870014</c:v>
                </c:pt>
                <c:pt idx="17">
                  <c:v>257.66621707501042</c:v>
                </c:pt>
                <c:pt idx="18">
                  <c:v>288.84832900541903</c:v>
                </c:pt>
                <c:pt idx="19">
                  <c:v>319.84476913981143</c:v>
                </c:pt>
                <c:pt idx="20">
                  <c:v>349.91441515273277</c:v>
                </c:pt>
                <c:pt idx="21">
                  <c:v>378.40280699338768</c:v>
                </c:pt>
                <c:pt idx="22">
                  <c:v>404.79436830293793</c:v>
                </c:pt>
                <c:pt idx="23">
                  <c:v>428.74017293353091</c:v>
                </c:pt>
                <c:pt idx="24">
                  <c:v>450.06032120668647</c:v>
                </c:pt>
                <c:pt idx="25">
                  <c:v>468.72581289585702</c:v>
                </c:pt>
                <c:pt idx="26">
                  <c:v>484.82784872293678</c:v>
                </c:pt>
                <c:pt idx="27">
                  <c:v>498.54262526037638</c:v>
                </c:pt>
                <c:pt idx="28">
                  <c:v>510.09787167371917</c:v>
                </c:pt>
                <c:pt idx="29">
                  <c:v>519.74485743721016</c:v>
                </c:pt>
                <c:pt idx="30">
                  <c:v>527.73731709464573</c:v>
                </c:pt>
                <c:pt idx="31">
                  <c:v>534.31713501023455</c:v>
                </c:pt>
                <c:pt idx="32">
                  <c:v>539.70575604817702</c:v>
                </c:pt>
                <c:pt idx="33">
                  <c:v>544.09997576988178</c:v>
                </c:pt>
                <c:pt idx="34">
                  <c:v>547.67080293104789</c:v>
                </c:pt>
                <c:pt idx="35">
                  <c:v>550.56429762375774</c:v>
                </c:pt>
                <c:pt idx="36">
                  <c:v>552.90354957965974</c:v>
                </c:pt>
                <c:pt idx="37">
                  <c:v>554.79120642162422</c:v>
                </c:pt>
                <c:pt idx="38">
                  <c:v>556.31216275407837</c:v>
                </c:pt>
                <c:pt idx="39">
                  <c:v>557.53617213824259</c:v>
                </c:pt>
                <c:pt idx="40">
                  <c:v>558.52025039963905</c:v>
                </c:pt>
                <c:pt idx="41">
                  <c:v>559.31080946618351</c:v>
                </c:pt>
                <c:pt idx="42">
                  <c:v>559.94550535387623</c:v>
                </c:pt>
                <c:pt idx="43">
                  <c:v>560.45480994862965</c:v>
                </c:pt>
                <c:pt idx="44">
                  <c:v>560.86333002017966</c:v>
                </c:pt>
                <c:pt idx="45">
                  <c:v>561.19090290298379</c:v>
                </c:pt>
                <c:pt idx="46">
                  <c:v>561.4534995711889</c:v>
                </c:pt>
                <c:pt idx="47">
                  <c:v>561.66396446862893</c:v>
                </c:pt>
                <c:pt idx="48">
                  <c:v>561.83261874224183</c:v>
                </c:pt>
                <c:pt idx="49">
                  <c:v>561.96775027552724</c:v>
                </c:pt>
                <c:pt idx="50">
                  <c:v>562.07601060055231</c:v>
                </c:pt>
                <c:pt idx="51">
                  <c:v>562.16273564058793</c:v>
                </c:pt>
                <c:pt idx="52">
                  <c:v>562.23220442491822</c:v>
                </c:pt>
                <c:pt idx="53">
                  <c:v>562.2878474668446</c:v>
                </c:pt>
                <c:pt idx="54">
                  <c:v>562.33241440375673</c:v>
                </c:pt>
                <c:pt idx="55">
                  <c:v>562.36810873872071</c:v>
                </c:pt>
                <c:pt idx="56">
                  <c:v>562.39669605977701</c:v>
                </c:pt>
                <c:pt idx="57">
                  <c:v>562.41959090631053</c:v>
                </c:pt>
                <c:pt idx="58">
                  <c:v>562.43792646283885</c:v>
                </c:pt>
                <c:pt idx="59">
                  <c:v>562.45261045401287</c:v>
                </c:pt>
                <c:pt idx="60">
                  <c:v>562.46436995938495</c:v>
                </c:pt>
                <c:pt idx="61">
                  <c:v>562.47378733576375</c:v>
                </c:pt>
                <c:pt idx="62">
                  <c:v>562.48132900609392</c:v>
                </c:pt>
                <c:pt idx="63">
                  <c:v>562.48736852787783</c:v>
                </c:pt>
                <c:pt idx="64">
                  <c:v>562.49220507553264</c:v>
                </c:pt>
                <c:pt idx="65">
                  <c:v>562.49607824694544</c:v>
                </c:pt>
                <c:pt idx="66">
                  <c:v>562.49917992433916</c:v>
                </c:pt>
                <c:pt idx="67">
                  <c:v>562.50166377487596</c:v>
                </c:pt>
                <c:pt idx="68">
                  <c:v>562.50365286029717</c:v>
                </c:pt>
                <c:pt idx="69">
                  <c:v>562.50524573172311</c:v>
                </c:pt>
                <c:pt idx="70">
                  <c:v>562.50652131100901</c:v>
                </c:pt>
                <c:pt idx="71">
                  <c:v>562.50754280014814</c:v>
                </c:pt>
                <c:pt idx="72">
                  <c:v>562.50836081218722</c:v>
                </c:pt>
                <c:pt idx="73">
                  <c:v>562.50901587863348</c:v>
                </c:pt>
                <c:pt idx="74">
                  <c:v>562.50954045749609</c:v>
                </c:pt>
                <c:pt idx="75">
                  <c:v>562.50996054139728</c:v>
                </c:pt>
                <c:pt idx="76">
                  <c:v>562.5102969453917</c:v>
                </c:pt>
                <c:pt idx="77">
                  <c:v>562.51056633828443</c:v>
                </c:pt>
                <c:pt idx="78">
                  <c:v>562.51078206852617</c:v>
                </c:pt>
                <c:pt idx="79">
                  <c:v>562.51095482560504</c:v>
                </c:pt>
                <c:pt idx="80">
                  <c:v>562.51109316969598</c:v>
                </c:pt>
                <c:pt idx="81">
                  <c:v>562.51120395580961</c:v>
                </c:pt>
                <c:pt idx="82">
                  <c:v>562.51129267345448</c:v>
                </c:pt>
                <c:pt idx="83">
                  <c:v>562.51136371863925</c:v>
                </c:pt>
                <c:pt idx="84">
                  <c:v>562.51142061169617</c:v>
                </c:pt>
                <c:pt idx="85">
                  <c:v>562.51146617171264</c:v>
                </c:pt>
                <c:pt idx="86">
                  <c:v>562.51150265621732</c:v>
                </c:pt>
                <c:pt idx="87">
                  <c:v>562.51153187304283</c:v>
                </c:pt>
                <c:pt idx="88">
                  <c:v>562.51155526990362</c:v>
                </c:pt>
                <c:pt idx="89">
                  <c:v>562.5115740061309</c:v>
                </c:pt>
                <c:pt idx="90">
                  <c:v>562.51158901011843</c:v>
                </c:pt>
                <c:pt idx="91">
                  <c:v>562.51160102532481</c:v>
                </c:pt>
                <c:pt idx="92">
                  <c:v>562.51161064711255</c:v>
                </c:pt>
                <c:pt idx="93">
                  <c:v>562.51161835224855</c:v>
                </c:pt>
                <c:pt idx="94">
                  <c:v>562.51162452252811</c:v>
                </c:pt>
                <c:pt idx="95">
                  <c:v>562.51162946369334</c:v>
                </c:pt>
                <c:pt idx="96">
                  <c:v>562.5116334205826</c:v>
                </c:pt>
                <c:pt idx="97">
                  <c:v>562.51163658926293</c:v>
                </c:pt>
                <c:pt idx="98">
                  <c:v>562.51163912674485</c:v>
                </c:pt>
                <c:pt idx="99">
                  <c:v>562.51164115876247</c:v>
                </c:pt>
                <c:pt idx="100">
                  <c:v>562.51164278600402</c:v>
                </c:pt>
                <c:pt idx="101">
                  <c:v>562.5116440891004</c:v>
                </c:pt>
                <c:pt idx="102">
                  <c:v>562.51164513262097</c:v>
                </c:pt>
                <c:pt idx="103">
                  <c:v>562.51164596827323</c:v>
                </c:pt>
                <c:pt idx="104">
                  <c:v>562.5116466374642</c:v>
                </c:pt>
                <c:pt idx="105">
                  <c:v>562.51164717335303</c:v>
                </c:pt>
                <c:pt idx="106">
                  <c:v>562.5116476024931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565.1890238767237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00576"/>
        <c:axId val="616900968"/>
      </c:scatterChart>
      <c:valAx>
        <c:axId val="616900576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0968"/>
        <c:crosses val="autoZero"/>
        <c:crossBetween val="midCat"/>
        <c:majorUnit val="14"/>
        <c:minorUnit val="7"/>
      </c:valAx>
      <c:valAx>
        <c:axId val="616900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90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myData!$AH$55:$AH$72</c:f>
              <c:numCache>
                <c:formatCode>General</c:formatCode>
                <c:ptCount val="18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</c:numCache>
            </c:numRef>
          </c:xVal>
          <c:yVal>
            <c:numRef>
              <c:f>myData!$BB$55:$BB$72</c:f>
              <c:numCache>
                <c:formatCode>0</c:formatCode>
                <c:ptCount val="18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22-Mar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495848"/>
        <c:axId val="613495064"/>
      </c:scatterChart>
      <c:valAx>
        <c:axId val="613495848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5064"/>
        <c:crosses val="autoZero"/>
        <c:crossBetween val="midCat"/>
      </c:valAx>
      <c:valAx>
        <c:axId val="61349506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5848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myData!$CI$11</c:f>
          <c:strCache>
            <c:ptCount val="1"/>
            <c:pt idx="0">
              <c:v>COVID19 Australia P(t) = b / {d+[( b/Po - d ) ]* exp(-b*t)}
b=0.21, d=1.00E-10, P0=.008 Limit=829 M=&gt;2.10 G cases 
 22-Mar,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  <c:pt idx="57">
                  <c:v>533.82747200756978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829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3.2765421360321958E-3</c:v>
                </c:pt>
                <c:pt idx="1">
                  <c:v>4.0435486626358213E-3</c:v>
                </c:pt>
                <c:pt idx="2">
                  <c:v>4.9901039291684974E-3</c:v>
                </c:pt>
                <c:pt idx="3">
                  <c:v>6.1582385427913231E-3</c:v>
                </c:pt>
                <c:pt idx="4">
                  <c:v>7.5998220654749683E-3</c:v>
                </c:pt>
                <c:pt idx="5">
                  <c:v>9.3788662172669384E-3</c:v>
                </c:pt>
                <c:pt idx="6">
                  <c:v>1.1574367236958386E-2</c:v>
                </c:pt>
                <c:pt idx="7">
                  <c:v>1.4283813611634092E-2</c:v>
                </c:pt>
                <c:pt idx="8">
                  <c:v>1.7627514931465353E-2</c:v>
                </c:pt>
                <c:pt idx="9">
                  <c:v>2.1753944087148643E-2</c:v>
                </c:pt>
                <c:pt idx="10">
                  <c:v>2.6846330023610344E-2</c:v>
                </c:pt>
                <c:pt idx="11">
                  <c:v>3.3130793792990477E-2</c:v>
                </c:pt>
                <c:pt idx="12">
                  <c:v>4.0886389178199326E-2</c:v>
                </c:pt>
                <c:pt idx="13">
                  <c:v>5.0457493728423668E-2</c:v>
                </c:pt>
                <c:pt idx="14">
                  <c:v>6.2269100415072665E-2</c:v>
                </c:pt>
                <c:pt idx="15">
                  <c:v>7.6845688915088556E-2</c:v>
                </c:pt>
                <c:pt idx="16">
                  <c:v>9.4834514477438181E-2</c:v>
                </c:pt>
                <c:pt idx="17">
                  <c:v>0.11703434848587695</c:v>
                </c:pt>
                <c:pt idx="18">
                  <c:v>0.1444309469068509</c:v>
                </c:pt>
                <c:pt idx="19">
                  <c:v>0.17824082155475537</c:v>
                </c:pt>
                <c:pt idx="20">
                  <c:v>0.21996525778301859</c:v>
                </c:pt>
                <c:pt idx="21">
                  <c:v>0.27145697718923623</c:v>
                </c:pt>
                <c:pt idx="22">
                  <c:v>0.33500240540865622</c:v>
                </c:pt>
                <c:pt idx="23">
                  <c:v>0.41342319799478927</c:v>
                </c:pt>
                <c:pt idx="24">
                  <c:v>0.51020153251723088</c:v>
                </c:pt>
                <c:pt idx="25">
                  <c:v>0.62963473031598061</c:v>
                </c:pt>
                <c:pt idx="26">
                  <c:v>0.77702607369828591</c:v>
                </c:pt>
                <c:pt idx="27">
                  <c:v>0.95892029157739278</c:v>
                </c:pt>
                <c:pt idx="28">
                  <c:v>1.1833941699988606</c:v>
                </c:pt>
                <c:pt idx="29">
                  <c:v>1.4604151917516579</c:v>
                </c:pt>
                <c:pt idx="30">
                  <c:v>1.8022841300074184</c:v>
                </c:pt>
                <c:pt idx="31">
                  <c:v>2.2241812488044022</c:v>
                </c:pt>
                <c:pt idx="32">
                  <c:v>2.7448403637242169</c:v>
                </c:pt>
                <c:pt idx="33">
                  <c:v>3.3873806935798525</c:v>
                </c:pt>
                <c:pt idx="34">
                  <c:v>4.1803334404438051</c:v>
                </c:pt>
                <c:pt idx="35">
                  <c:v>5.158908682009689</c:v>
                </c:pt>
                <c:pt idx="36">
                  <c:v>6.3665588310432737</c:v>
                </c:pt>
                <c:pt idx="37">
                  <c:v>7.8569080853602564</c:v>
                </c:pt>
                <c:pt idx="38">
                  <c:v>9.6961335431047999</c:v>
                </c:pt>
                <c:pt idx="39">
                  <c:v>11.96590371371253</c:v>
                </c:pt>
                <c:pt idx="40">
                  <c:v>14.767004905364541</c:v>
                </c:pt>
                <c:pt idx="41">
                  <c:v>18.223816513978704</c:v>
                </c:pt>
                <c:pt idx="42">
                  <c:v>22.48983393311125</c:v>
                </c:pt>
                <c:pt idx="43">
                  <c:v>27.754484322307196</c:v>
                </c:pt>
                <c:pt idx="44">
                  <c:v>34.251537879000942</c:v>
                </c:pt>
                <c:pt idx="45">
                  <c:v>42.269488105102091</c:v>
                </c:pt>
                <c:pt idx="46">
                  <c:v>52.164361989678447</c:v>
                </c:pt>
                <c:pt idx="47">
                  <c:v>64.375528925819452</c:v>
                </c:pt>
                <c:pt idx="48">
                  <c:v>79.445210333708047</c:v>
                </c:pt>
                <c:pt idx="49">
                  <c:v>98.042556285491401</c:v>
                </c:pt>
                <c:pt idx="50">
                  <c:v>120.99335821699556</c:v>
                </c:pt>
                <c:pt idx="51">
                  <c:v>149.31671707083041</c:v>
                </c:pt>
                <c:pt idx="52">
                  <c:v>184.270295056733</c:v>
                </c:pt>
                <c:pt idx="53">
                  <c:v>227.40616035075564</c:v>
                </c:pt>
                <c:pt idx="54">
                  <c:v>280.63970440732754</c:v>
                </c:pt>
                <c:pt idx="55">
                  <c:v>346.33469201025537</c:v>
                </c:pt>
                <c:pt idx="56">
                  <c:v>427.40822051084024</c:v>
                </c:pt>
                <c:pt idx="57">
                  <c:v>527.46024869511064</c:v>
                </c:pt>
                <c:pt idx="58">
                  <c:v>650.93344663156211</c:v>
                </c:pt>
                <c:pt idx="59">
                  <c:v>803.31046410292822</c:v>
                </c:pt>
                <c:pt idx="60">
                  <c:v>991.35737657860102</c:v>
                </c:pt>
                <c:pt idx="61">
                  <c:v>1223.4241178778143</c:v>
                </c:pt>
                <c:pt idx="62">
                  <c:v>1509.8152386966349</c:v>
                </c:pt>
                <c:pt idx="63">
                  <c:v>1863.247452294918</c:v>
                </c:pt>
                <c:pt idx="64">
                  <c:v>2299.4142813871313</c:v>
                </c:pt>
                <c:pt idx="65">
                  <c:v>2837.682874563402</c:v>
                </c:pt>
                <c:pt idx="66">
                  <c:v>3501.9539272381912</c:v>
                </c:pt>
                <c:pt idx="67">
                  <c:v>15266.261036427753</c:v>
                </c:pt>
                <c:pt idx="68">
                  <c:v>66547.882805289497</c:v>
                </c:pt>
                <c:pt idx="69">
                  <c:v>290031.78398196353</c:v>
                </c:pt>
                <c:pt idx="70" formatCode="0.00E+00">
                  <c:v>1262885.6788091576</c:v>
                </c:pt>
                <c:pt idx="71" formatCode="0.00E+00">
                  <c:v>5477422.4907040661</c:v>
                </c:pt>
                <c:pt idx="72" formatCode="0.00E+00">
                  <c:v>23360020.782379415</c:v>
                </c:pt>
                <c:pt idx="73" formatCode="0.00E+00">
                  <c:v>93032110.179156363</c:v>
                </c:pt>
                <c:pt idx="74" formatCode="0.00E+00">
                  <c:v>294553838.91941363</c:v>
                </c:pt>
                <c:pt idx="75" formatCode="0.00E+00">
                  <c:v>585466524.14389646</c:v>
                </c:pt>
                <c:pt idx="76" formatCode="0.00E+00">
                  <c:v>756957387.31782877</c:v>
                </c:pt>
                <c:pt idx="77" formatCode="0.00E+00">
                  <c:v>811481569.69030333</c:v>
                </c:pt>
                <c:pt idx="78" formatCode="0.00E+00">
                  <c:v>825114956.99569154</c:v>
                </c:pt>
                <c:pt idx="79" formatCode="0.00E+00">
                  <c:v>828307142.35215402</c:v>
                </c:pt>
                <c:pt idx="80" formatCode="0.00E+00">
                  <c:v>829042878.7086699</c:v>
                </c:pt>
                <c:pt idx="81" formatCode="0.00E+00">
                  <c:v>829211832.47772586</c:v>
                </c:pt>
                <c:pt idx="82" formatCode="0.00E+00">
                  <c:v>829250598.23460293</c:v>
                </c:pt>
                <c:pt idx="83" formatCode="0.00E+00">
                  <c:v>829259491.16331184</c:v>
                </c:pt>
                <c:pt idx="84" formatCode="0.00E+00">
                  <c:v>829261531.12550783</c:v>
                </c:pt>
                <c:pt idx="85" formatCode="0.00E+00">
                  <c:v>829261999.07072818</c:v>
                </c:pt>
                <c:pt idx="86" formatCode="0.00E+00">
                  <c:v>829262106.41204023</c:v>
                </c:pt>
                <c:pt idx="87" formatCode="0.00E+00">
                  <c:v>829262131.03490353</c:v>
                </c:pt>
                <c:pt idx="88" formatCode="0.00E+00">
                  <c:v>829262136.68310452</c:v>
                </c:pt>
                <c:pt idx="89" formatCode="0.00E+00">
                  <c:v>829262137.97873676</c:v>
                </c:pt>
                <c:pt idx="90" formatCode="0.00E+00">
                  <c:v>829262138.27593982</c:v>
                </c:pt>
                <c:pt idx="91" formatCode="0.00E+00">
                  <c:v>829262138.34411478</c:v>
                </c:pt>
                <c:pt idx="92" formatCode="0.00E+00">
                  <c:v>829262138.35975337</c:v>
                </c:pt>
                <c:pt idx="93" formatCode="0.00E+00">
                  <c:v>829262138.36334062</c:v>
                </c:pt>
                <c:pt idx="94" formatCode="0.00E+00">
                  <c:v>829262138.36416364</c:v>
                </c:pt>
                <c:pt idx="95" formatCode="0.00E+00">
                  <c:v>829262138.36435235</c:v>
                </c:pt>
                <c:pt idx="96" formatCode="0.00E+00">
                  <c:v>829262138.36439562</c:v>
                </c:pt>
                <c:pt idx="97" formatCode="0.00E+00">
                  <c:v>829262138.36440551</c:v>
                </c:pt>
                <c:pt idx="98" formatCode="0.00E+00">
                  <c:v>829262138.36440778</c:v>
                </c:pt>
                <c:pt idx="99" formatCode="0.00E+00">
                  <c:v>829262138.36440837</c:v>
                </c:pt>
                <c:pt idx="100" formatCode="0.00E+00">
                  <c:v>829262138.36440849</c:v>
                </c:pt>
                <c:pt idx="101" formatCode="0.00E+00">
                  <c:v>829262138.36440849</c:v>
                </c:pt>
                <c:pt idx="102" formatCode="0.00E+00">
                  <c:v>829262138.36440849</c:v>
                </c:pt>
                <c:pt idx="103" formatCode="0.00E+00">
                  <c:v>829262138.36440849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myData!$CZ$11:$CZ$12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496240"/>
        <c:axId val="613493104"/>
      </c:scatterChart>
      <c:valAx>
        <c:axId val="613496240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3104"/>
        <c:crosses val="autoZero"/>
        <c:crossBetween val="midCat"/>
        <c:majorUnit val="14"/>
        <c:minorUnit val="7"/>
      </c:valAx>
      <c:valAx>
        <c:axId val="61349310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myData!$CI$12</c:f>
          <c:strCache>
            <c:ptCount val="1"/>
            <c:pt idx="0">
              <c:v>COVID19 NSW P(t) = b / {d+[( b/Po - d ) ]* exp(-b*t)}
b=0.207, d=6.34E-05, P0=.005 Limit=4.04 k=&gt;3.26 k cases 
 22-Mar,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  <c:pt idx="57">
                  <c:v>659.65346534653463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4.04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7.2996628653055591E-3</c:v>
                </c:pt>
                <c:pt idx="2">
                  <c:v>8.9776254160329246E-3</c:v>
                </c:pt>
                <c:pt idx="3">
                  <c:v>1.1041297645524093E-2</c:v>
                </c:pt>
                <c:pt idx="4">
                  <c:v>1.3579341275488535E-2</c:v>
                </c:pt>
                <c:pt idx="5">
                  <c:v>1.6700798107250055E-2</c:v>
                </c:pt>
                <c:pt idx="6">
                  <c:v>2.0539774512839077E-2</c:v>
                </c:pt>
                <c:pt idx="7">
                  <c:v>2.5261202613355307E-2</c:v>
                </c:pt>
                <c:pt idx="8">
                  <c:v>3.1067925573948135E-2</c:v>
                </c:pt>
                <c:pt idx="9">
                  <c:v>3.8209411286407029E-2</c:v>
                </c:pt>
                <c:pt idx="10">
                  <c:v>4.6992468600349696E-2</c:v>
                </c:pt>
                <c:pt idx="11">
                  <c:v>5.7794426192640885E-2</c:v>
                </c:pt>
                <c:pt idx="12">
                  <c:v>7.1079339804974787E-2</c:v>
                </c:pt>
                <c:pt idx="13">
                  <c:v>8.7417923441761941E-2</c:v>
                </c:pt>
                <c:pt idx="14">
                  <c:v>0.10751205974092157</c:v>
                </c:pt>
                <c:pt idx="15">
                  <c:v>0.13222494090171064</c:v>
                </c:pt>
                <c:pt idx="16">
                  <c:v>0.1626181326061909</c:v>
                </c:pt>
                <c:pt idx="17">
                  <c:v>0.19999714951205627</c:v>
                </c:pt>
                <c:pt idx="18">
                  <c:v>0.24596749462263917</c:v>
                </c:pt>
                <c:pt idx="19">
                  <c:v>0.30250356144190194</c:v>
                </c:pt>
                <c:pt idx="20">
                  <c:v>0.37203334597143273</c:v>
                </c:pt>
                <c:pt idx="21">
                  <c:v>0.457542588075874</c:v>
                </c:pt>
                <c:pt idx="22">
                  <c:v>0.56270278624931824</c:v>
                </c:pt>
                <c:pt idx="23">
                  <c:v>0.69202854000564262</c:v>
                </c:pt>
                <c:pt idx="24">
                  <c:v>0.85107091070818985</c:v>
                </c:pt>
                <c:pt idx="25">
                  <c:v>1.0466550037229918</c:v>
                </c:pt>
                <c:pt idx="26">
                  <c:v>1.2871718211662146</c:v>
                </c:pt>
                <c:pt idx="27">
                  <c:v>1.5829366853053064</c:v>
                </c:pt>
                <c:pt idx="28">
                  <c:v>1.9466292706195911</c:v>
                </c:pt>
                <c:pt idx="29">
                  <c:v>2.3938336042282522</c:v>
                </c:pt>
                <c:pt idx="30">
                  <c:v>2.9437004108651412</c:v>
                </c:pt>
                <c:pt idx="31">
                  <c:v>3.6197590146505281</c:v>
                </c:pt>
                <c:pt idx="32">
                  <c:v>4.4509118015548008</c:v>
                </c:pt>
                <c:pt idx="33">
                  <c:v>5.4726511346345426</c:v>
                </c:pt>
                <c:pt idx="34">
                  <c:v>6.7285467330067048</c:v>
                </c:pt>
                <c:pt idx="35">
                  <c:v>8.2720609817543362</c:v>
                </c:pt>
                <c:pt idx="36">
                  <c:v>10.168760478180765</c:v>
                </c:pt>
                <c:pt idx="37">
                  <c:v>12.499004267364043</c:v>
                </c:pt>
                <c:pt idx="38">
                  <c:v>15.361202400368484</c:v>
                </c:pt>
                <c:pt idx="39">
                  <c:v>18.875752049739116</c:v>
                </c:pt>
                <c:pt idx="40">
                  <c:v>23.189771294798341</c:v>
                </c:pt>
                <c:pt idx="41">
                  <c:v>28.482760880386472</c:v>
                </c:pt>
                <c:pt idx="42">
                  <c:v>34.973328566356635</c:v>
                </c:pt>
                <c:pt idx="43">
                  <c:v>42.927104140386142</c:v>
                </c:pt>
                <c:pt idx="44">
                  <c:v>52.665948246575987</c:v>
                </c:pt>
                <c:pt idx="45">
                  <c:v>64.578503902360936</c:v>
                </c:pt>
                <c:pt idx="46">
                  <c:v>79.132040425591939</c:v>
                </c:pt>
                <c:pt idx="47">
                  <c:v>96.885374437788542</c:v>
                </c:pt>
                <c:pt idx="48">
                  <c:v>118.50239458537273</c:v>
                </c:pt>
                <c:pt idx="49">
                  <c:v>144.76533336679168</c:v>
                </c:pt>
                <c:pt idx="50">
                  <c:v>176.58638715074017</c:v>
                </c:pt>
                <c:pt idx="51">
                  <c:v>215.01555751114421</c:v>
                </c:pt>
                <c:pt idx="52">
                  <c:v>261.24167106668108</c:v>
                </c:pt>
                <c:pt idx="53">
                  <c:v>316.58248190908932</c:v>
                </c:pt>
                <c:pt idx="54">
                  <c:v>382.45871686824944</c:v>
                </c:pt>
                <c:pt idx="55">
                  <c:v>460.34618358980606</c:v>
                </c:pt>
                <c:pt idx="56">
                  <c:v>551.70011219671005</c:v>
                </c:pt>
                <c:pt idx="57">
                  <c:v>657.84742433686233</c:v>
                </c:pt>
                <c:pt idx="58">
                  <c:v>779.84638597138087</c:v>
                </c:pt>
                <c:pt idx="59">
                  <c:v>918.31966688381863</c:v>
                </c:pt>
                <c:pt idx="60">
                  <c:v>1073.2760613068829</c:v>
                </c:pt>
                <c:pt idx="61">
                  <c:v>1243.9465711233931</c:v>
                </c:pt>
                <c:pt idx="62">
                  <c:v>1428.669085551446</c:v>
                </c:pt>
                <c:pt idx="63">
                  <c:v>1624.8580998388329</c:v>
                </c:pt>
                <c:pt idx="64">
                  <c:v>1829.087711289139</c:v>
                </c:pt>
                <c:pt idx="65">
                  <c:v>2037.2962832991859</c:v>
                </c:pt>
                <c:pt idx="66">
                  <c:v>2245.09345846427</c:v>
                </c:pt>
                <c:pt idx="67">
                  <c:v>3398.8854324616582</c:v>
                </c:pt>
                <c:pt idx="68">
                  <c:v>3865.6570005994613</c:v>
                </c:pt>
                <c:pt idx="69">
                  <c:v>3994.5482792640955</c:v>
                </c:pt>
                <c:pt idx="70" formatCode="0.00E+00">
                  <c:v>4026.0889972557889</c:v>
                </c:pt>
                <c:pt idx="71" formatCode="0.00E+00">
                  <c:v>4033.5721001022598</c:v>
                </c:pt>
                <c:pt idx="72" formatCode="0.00E+00">
                  <c:v>4035.3343433525956</c:v>
                </c:pt>
                <c:pt idx="73" formatCode="0.00E+00">
                  <c:v>4035.7486177813144</c:v>
                </c:pt>
                <c:pt idx="74" formatCode="0.00E+00">
                  <c:v>4035.8459667096477</c:v>
                </c:pt>
                <c:pt idx="75" formatCode="0.00E+00">
                  <c:v>4035.8688401821328</c:v>
                </c:pt>
                <c:pt idx="76" formatCode="0.00E+00">
                  <c:v>4035.8742144972803</c:v>
                </c:pt>
                <c:pt idx="77" formatCode="0.00E+00">
                  <c:v>4035.875477231159</c:v>
                </c:pt>
                <c:pt idx="78" formatCode="0.00E+00">
                  <c:v>4035.8757739191651</c:v>
                </c:pt>
                <c:pt idx="79" formatCode="0.00E+00">
                  <c:v>4035.8758436280309</c:v>
                </c:pt>
                <c:pt idx="80" formatCode="0.00E+00">
                  <c:v>4035.8758600066021</c:v>
                </c:pt>
                <c:pt idx="81" formatCode="0.00E+00">
                  <c:v>4035.8758638548588</c:v>
                </c:pt>
                <c:pt idx="82" formatCode="0.00E+00">
                  <c:v>4035.875864759033</c:v>
                </c:pt>
                <c:pt idx="83" formatCode="0.00E+00">
                  <c:v>4035.8758649714746</c:v>
                </c:pt>
                <c:pt idx="84" formatCode="0.00E+00">
                  <c:v>4035.875865021389</c:v>
                </c:pt>
                <c:pt idx="85" formatCode="0.00E+00">
                  <c:v>4035.875865033117</c:v>
                </c:pt>
                <c:pt idx="86" formatCode="0.00E+00">
                  <c:v>4035.8758650358723</c:v>
                </c:pt>
                <c:pt idx="87" formatCode="0.00E+00">
                  <c:v>4035.8758650365198</c:v>
                </c:pt>
                <c:pt idx="88" formatCode="0.00E+00">
                  <c:v>4035.8758650366726</c:v>
                </c:pt>
                <c:pt idx="89" formatCode="0.00E+00">
                  <c:v>4035.8758650367072</c:v>
                </c:pt>
                <c:pt idx="90" formatCode="0.00E+00">
                  <c:v>4035.8758650367163</c:v>
                </c:pt>
                <c:pt idx="91" formatCode="0.00E+00">
                  <c:v>4035.8758650367181</c:v>
                </c:pt>
                <c:pt idx="92" formatCode="0.00E+00">
                  <c:v>4035.8758650367186</c:v>
                </c:pt>
                <c:pt idx="93" formatCode="0.00E+00">
                  <c:v>4035.8758650367186</c:v>
                </c:pt>
                <c:pt idx="94" formatCode="0.00E+00">
                  <c:v>4035.8758650367186</c:v>
                </c:pt>
                <c:pt idx="95" formatCode="0.00E+00">
                  <c:v>4035.8758650367186</c:v>
                </c:pt>
                <c:pt idx="96" formatCode="0.00E+00">
                  <c:v>4035.8758650367186</c:v>
                </c:pt>
                <c:pt idx="97" formatCode="0.00E+00">
                  <c:v>4035.8758650367186</c:v>
                </c:pt>
                <c:pt idx="98" formatCode="0.00E+00">
                  <c:v>4035.8758650367186</c:v>
                </c:pt>
                <c:pt idx="99" formatCode="0.00E+00">
                  <c:v>4035.8758650367186</c:v>
                </c:pt>
                <c:pt idx="100" formatCode="0.00E+00">
                  <c:v>4035.8758650367186</c:v>
                </c:pt>
                <c:pt idx="101" formatCode="0.00E+00">
                  <c:v>4035.8758650367186</c:v>
                </c:pt>
                <c:pt idx="102" formatCode="0.00E+00">
                  <c:v>4035.8758650367186</c:v>
                </c:pt>
                <c:pt idx="103" formatCode="0.00E+00">
                  <c:v>4035.8758650367186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774.20570743755002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102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7.7343597114947035E-4</c:v>
                </c:pt>
                <c:pt idx="1">
                  <c:v>1.0836348480330006E-3</c:v>
                </c:pt>
                <c:pt idx="2">
                  <c:v>1.5182439499483087E-3</c:v>
                </c:pt>
                <c:pt idx="3">
                  <c:v>2.1271599891188827E-3</c:v>
                </c:pt>
                <c:pt idx="4">
                  <c:v>2.9802915529164556E-3</c:v>
                </c:pt>
                <c:pt idx="5">
                  <c:v>4.1755851867233962E-3</c:v>
                </c:pt>
                <c:pt idx="6">
                  <c:v>5.8502704658006397E-3</c:v>
                </c:pt>
                <c:pt idx="7">
                  <c:v>8.1966150832266625E-3</c:v>
                </c:pt>
                <c:pt idx="8">
                  <c:v>1.1483998768041065E-2</c:v>
                </c:pt>
                <c:pt idx="9">
                  <c:v>1.6089840301583943E-2</c:v>
                </c:pt>
                <c:pt idx="10">
                  <c:v>2.2542928308757242E-2</c:v>
                </c:pt>
                <c:pt idx="11">
                  <c:v>3.158413055665326E-2</c:v>
                </c:pt>
                <c:pt idx="12">
                  <c:v>4.4251451689037401E-2</c:v>
                </c:pt>
                <c:pt idx="13">
                  <c:v>6.199920472648851E-2</c:v>
                </c:pt>
                <c:pt idx="14">
                  <c:v>8.6864978203691059E-2</c:v>
                </c:pt>
                <c:pt idx="15">
                  <c:v>0.12170356814866272</c:v>
                </c:pt>
                <c:pt idx="16">
                  <c:v>0.17051473222457275</c:v>
                </c:pt>
                <c:pt idx="17">
                  <c:v>0.23890239491207915</c:v>
                </c:pt>
                <c:pt idx="18">
                  <c:v>0.33471802427180158</c:v>
                </c:pt>
                <c:pt idx="19">
                  <c:v>0.46896204523867702</c:v>
                </c:pt>
                <c:pt idx="20">
                  <c:v>0.65704677911297127</c:v>
                </c:pt>
                <c:pt idx="21">
                  <c:v>0.92056590508318048</c:v>
                </c:pt>
                <c:pt idx="22">
                  <c:v>1.2897735924849898</c:v>
                </c:pt>
                <c:pt idx="23">
                  <c:v>1.8070579284777246</c:v>
                </c:pt>
                <c:pt idx="24">
                  <c:v>2.5318074189818311</c:v>
                </c:pt>
                <c:pt idx="25">
                  <c:v>3.5472292767179625</c:v>
                </c:pt>
                <c:pt idx="26">
                  <c:v>4.9699022908456456</c:v>
                </c:pt>
                <c:pt idx="27">
                  <c:v>6.9631610240366193</c:v>
                </c:pt>
                <c:pt idx="28">
                  <c:v>9.7558479484727627</c:v>
                </c:pt>
                <c:pt idx="29">
                  <c:v>13.668586411322842</c:v>
                </c:pt>
                <c:pt idx="30">
                  <c:v>19.150590764463793</c:v>
                </c:pt>
                <c:pt idx="31">
                  <c:v>26.831239728795456</c:v>
                </c:pt>
                <c:pt idx="32">
                  <c:v>37.592333969656103</c:v>
                </c:pt>
                <c:pt idx="33">
                  <c:v>52.669333509241632</c:v>
                </c:pt>
                <c:pt idx="34">
                  <c:v>73.7931975914356</c:v>
                </c:pt>
                <c:pt idx="35">
                  <c:v>103.38911084614992</c:v>
                </c:pt>
                <c:pt idx="36">
                  <c:v>144.85491009685279</c:v>
                </c:pt>
                <c:pt idx="37">
                  <c:v>202.95117542561565</c:v>
                </c:pt>
                <c:pt idx="38">
                  <c:v>284.34776708416985</c:v>
                </c:pt>
                <c:pt idx="39">
                  <c:v>398.38954717957728</c:v>
                </c:pt>
                <c:pt idx="40">
                  <c:v>558.1691815614513</c:v>
                </c:pt>
                <c:pt idx="41">
                  <c:v>782.03015751977443</c:v>
                </c:pt>
                <c:pt idx="42">
                  <c:v>1095.6725154709468</c:v>
                </c:pt>
                <c:pt idx="43">
                  <c:v>1535.1029309393316</c:v>
                </c:pt>
                <c:pt idx="44">
                  <c:v>2150.7676068710666</c:v>
                </c:pt>
                <c:pt idx="45">
                  <c:v>3013.3420076605817</c:v>
                </c:pt>
                <c:pt idx="46">
                  <c:v>4221.8412436626068</c:v>
                </c:pt>
                <c:pt idx="47">
                  <c:v>5914.9804778552825</c:v>
                </c:pt>
                <c:pt idx="48">
                  <c:v>8287.086154276074</c:v>
                </c:pt>
                <c:pt idx="49">
                  <c:v>11610.377980935969</c:v>
                </c:pt>
                <c:pt idx="50">
                  <c:v>16266.166463893578</c:v>
                </c:pt>
                <c:pt idx="51">
                  <c:v>22788.521515861921</c:v>
                </c:pt>
                <c:pt idx="52">
                  <c:v>240990.5361791176</c:v>
                </c:pt>
                <c:pt idx="53">
                  <c:v>2497541.4375885939</c:v>
                </c:pt>
                <c:pt idx="54">
                  <c:v>21448768.034569308</c:v>
                </c:pt>
                <c:pt idx="55">
                  <c:v>75524455.952021122</c:v>
                </c:pt>
                <c:pt idx="56">
                  <c:v>99100103.778756559</c:v>
                </c:pt>
                <c:pt idx="57">
                  <c:v>102107734.38354748</c:v>
                </c:pt>
                <c:pt idx="58">
                  <c:v>102400988.66497168</c:v>
                </c:pt>
                <c:pt idx="59">
                  <c:v>102428747.25534427</c:v>
                </c:pt>
                <c:pt idx="60">
                  <c:v>102431367.34440626</c:v>
                </c:pt>
                <c:pt idx="61">
                  <c:v>102431614.58400886</c:v>
                </c:pt>
                <c:pt idx="62">
                  <c:v>102431637.9137011</c:v>
                </c:pt>
                <c:pt idx="63">
                  <c:v>102431640.11510099</c:v>
                </c:pt>
                <c:pt idx="64">
                  <c:v>102431640.322826</c:v>
                </c:pt>
                <c:pt idx="65">
                  <c:v>102431640.34242702</c:v>
                </c:pt>
                <c:pt idx="66">
                  <c:v>102431640.34427658</c:v>
                </c:pt>
                <c:pt idx="67">
                  <c:v>102431640.3444511</c:v>
                </c:pt>
                <c:pt idx="68">
                  <c:v>102431640.34446757</c:v>
                </c:pt>
                <c:pt idx="69">
                  <c:v>102431640.34446913</c:v>
                </c:pt>
                <c:pt idx="70">
                  <c:v>102431640.34446926</c:v>
                </c:pt>
                <c:pt idx="71">
                  <c:v>102431640.34446928</c:v>
                </c:pt>
                <c:pt idx="72">
                  <c:v>102431640.34446928</c:v>
                </c:pt>
                <c:pt idx="73">
                  <c:v>102431640.34446928</c:v>
                </c:pt>
                <c:pt idx="74">
                  <c:v>102431640.34446928</c:v>
                </c:pt>
                <c:pt idx="75">
                  <c:v>102431640.34446928</c:v>
                </c:pt>
                <c:pt idx="76">
                  <c:v>102431640.34446928</c:v>
                </c:pt>
                <c:pt idx="77">
                  <c:v>102431640.34446928</c:v>
                </c:pt>
                <c:pt idx="78">
                  <c:v>102431640.34446928</c:v>
                </c:pt>
                <c:pt idx="79">
                  <c:v>102431640.34446928</c:v>
                </c:pt>
                <c:pt idx="80">
                  <c:v>102431640.34446928</c:v>
                </c:pt>
                <c:pt idx="81">
                  <c:v>102431640.34446928</c:v>
                </c:pt>
                <c:pt idx="82">
                  <c:v>102431640.34446928</c:v>
                </c:pt>
                <c:pt idx="83">
                  <c:v>102431640.34446928</c:v>
                </c:pt>
                <c:pt idx="84">
                  <c:v>102431640.34446928</c:v>
                </c:pt>
                <c:pt idx="85">
                  <c:v>102431640.34446928</c:v>
                </c:pt>
                <c:pt idx="86">
                  <c:v>102431640.34446928</c:v>
                </c:pt>
                <c:pt idx="87">
                  <c:v>102431640.34446928</c:v>
                </c:pt>
                <c:pt idx="88">
                  <c:v>102431640.34446928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1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564.88332476486516</c:v>
                </c:pt>
                <c:pt idx="60">
                  <c:v>565.1890238767237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563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13.277839126513657</c:v>
                </c:pt>
                <c:pt idx="2">
                  <c:v>16.483913250885774</c:v>
                </c:pt>
                <c:pt idx="3">
                  <c:v>20.435324329713296</c:v>
                </c:pt>
                <c:pt idx="4">
                  <c:v>25.290069488264411</c:v>
                </c:pt>
                <c:pt idx="5">
                  <c:v>31.231689989984112</c:v>
                </c:pt>
                <c:pt idx="6">
                  <c:v>38.469269506589079</c:v>
                </c:pt>
                <c:pt idx="7">
                  <c:v>47.234955158443526</c:v>
                </c:pt>
                <c:pt idx="8">
                  <c:v>57.777789923990177</c:v>
                </c:pt>
                <c:pt idx="9">
                  <c:v>70.352498891941678</c:v>
                </c:pt>
                <c:pt idx="10">
                  <c:v>85.201977845949585</c:v>
                </c:pt>
                <c:pt idx="11">
                  <c:v>102.53279331282597</c:v>
                </c:pt>
                <c:pt idx="12">
                  <c:v>122.4842215168274</c:v>
                </c:pt>
                <c:pt idx="13">
                  <c:v>145.09331353111799</c:v>
                </c:pt>
                <c:pt idx="14">
                  <c:v>170.26095795464892</c:v>
                </c:pt>
                <c:pt idx="15">
                  <c:v>197.72623537097684</c:v>
                </c:pt>
                <c:pt idx="16">
                  <c:v>227.05738388870014</c:v>
                </c:pt>
                <c:pt idx="17">
                  <c:v>257.66621707501042</c:v>
                </c:pt>
                <c:pt idx="18">
                  <c:v>288.84832900541903</c:v>
                </c:pt>
                <c:pt idx="19">
                  <c:v>319.84476913981143</c:v>
                </c:pt>
                <c:pt idx="20">
                  <c:v>349.91441515273277</c:v>
                </c:pt>
                <c:pt idx="21">
                  <c:v>378.40280699338768</c:v>
                </c:pt>
                <c:pt idx="22">
                  <c:v>404.79436830293793</c:v>
                </c:pt>
                <c:pt idx="23">
                  <c:v>428.74017293353091</c:v>
                </c:pt>
                <c:pt idx="24">
                  <c:v>450.06032120668647</c:v>
                </c:pt>
                <c:pt idx="25">
                  <c:v>468.72581289585702</c:v>
                </c:pt>
                <c:pt idx="26">
                  <c:v>484.82784872293678</c:v>
                </c:pt>
                <c:pt idx="27">
                  <c:v>498.54262526037638</c:v>
                </c:pt>
                <c:pt idx="28">
                  <c:v>510.09787167371917</c:v>
                </c:pt>
                <c:pt idx="29">
                  <c:v>519.74485743721016</c:v>
                </c:pt>
                <c:pt idx="30">
                  <c:v>527.73731709464573</c:v>
                </c:pt>
                <c:pt idx="31">
                  <c:v>534.31713501023455</c:v>
                </c:pt>
                <c:pt idx="32">
                  <c:v>539.70575604817702</c:v>
                </c:pt>
                <c:pt idx="33">
                  <c:v>544.09997576988178</c:v>
                </c:pt>
                <c:pt idx="34">
                  <c:v>547.67080293104789</c:v>
                </c:pt>
                <c:pt idx="35">
                  <c:v>550.56429762375774</c:v>
                </c:pt>
                <c:pt idx="36">
                  <c:v>552.90354957965974</c:v>
                </c:pt>
                <c:pt idx="37">
                  <c:v>554.79120642162422</c:v>
                </c:pt>
                <c:pt idx="38">
                  <c:v>556.31216275407837</c:v>
                </c:pt>
                <c:pt idx="39">
                  <c:v>557.53617213824259</c:v>
                </c:pt>
                <c:pt idx="40">
                  <c:v>558.52025039963905</c:v>
                </c:pt>
                <c:pt idx="41">
                  <c:v>559.31080946618351</c:v>
                </c:pt>
                <c:pt idx="42">
                  <c:v>559.94550535387623</c:v>
                </c:pt>
                <c:pt idx="43">
                  <c:v>560.45480994862965</c:v>
                </c:pt>
                <c:pt idx="44">
                  <c:v>560.86333002017966</c:v>
                </c:pt>
                <c:pt idx="45">
                  <c:v>561.19090290298379</c:v>
                </c:pt>
                <c:pt idx="46">
                  <c:v>561.4534995711889</c:v>
                </c:pt>
                <c:pt idx="47">
                  <c:v>561.66396446862893</c:v>
                </c:pt>
                <c:pt idx="48">
                  <c:v>561.83261874224183</c:v>
                </c:pt>
                <c:pt idx="49">
                  <c:v>561.96775027552724</c:v>
                </c:pt>
                <c:pt idx="50">
                  <c:v>562.07601060055231</c:v>
                </c:pt>
                <c:pt idx="51">
                  <c:v>562.16273564058793</c:v>
                </c:pt>
                <c:pt idx="52">
                  <c:v>562.23220442491822</c:v>
                </c:pt>
                <c:pt idx="53">
                  <c:v>562.2878474668446</c:v>
                </c:pt>
                <c:pt idx="54">
                  <c:v>562.33241440375673</c:v>
                </c:pt>
                <c:pt idx="55">
                  <c:v>562.36810873872071</c:v>
                </c:pt>
                <c:pt idx="56">
                  <c:v>562.39669605977701</c:v>
                </c:pt>
                <c:pt idx="57">
                  <c:v>562.41959090631053</c:v>
                </c:pt>
                <c:pt idx="58">
                  <c:v>562.43792646283885</c:v>
                </c:pt>
                <c:pt idx="59">
                  <c:v>562.45261045401287</c:v>
                </c:pt>
                <c:pt idx="60">
                  <c:v>562.46436995938495</c:v>
                </c:pt>
                <c:pt idx="61">
                  <c:v>562.47378733576375</c:v>
                </c:pt>
                <c:pt idx="62">
                  <c:v>562.48132900609392</c:v>
                </c:pt>
                <c:pt idx="63">
                  <c:v>562.48736852787783</c:v>
                </c:pt>
                <c:pt idx="64">
                  <c:v>562.49220507553264</c:v>
                </c:pt>
                <c:pt idx="65">
                  <c:v>562.49607824694544</c:v>
                </c:pt>
                <c:pt idx="66">
                  <c:v>562.49917992433916</c:v>
                </c:pt>
                <c:pt idx="67">
                  <c:v>562.50166377487596</c:v>
                </c:pt>
                <c:pt idx="68">
                  <c:v>562.50365286029717</c:v>
                </c:pt>
                <c:pt idx="69">
                  <c:v>562.50524573172311</c:v>
                </c:pt>
                <c:pt idx="70">
                  <c:v>562.50652131100901</c:v>
                </c:pt>
                <c:pt idx="71">
                  <c:v>562.50754280014814</c:v>
                </c:pt>
                <c:pt idx="72">
                  <c:v>562.50836081218722</c:v>
                </c:pt>
                <c:pt idx="73">
                  <c:v>562.50901587863348</c:v>
                </c:pt>
                <c:pt idx="74">
                  <c:v>562.50954045749609</c:v>
                </c:pt>
                <c:pt idx="75">
                  <c:v>562.50996054139728</c:v>
                </c:pt>
                <c:pt idx="76">
                  <c:v>562.5102969453917</c:v>
                </c:pt>
                <c:pt idx="77">
                  <c:v>562.51056633828443</c:v>
                </c:pt>
                <c:pt idx="78">
                  <c:v>562.51078206852617</c:v>
                </c:pt>
                <c:pt idx="79">
                  <c:v>562.51095482560504</c:v>
                </c:pt>
                <c:pt idx="80">
                  <c:v>562.51109316969598</c:v>
                </c:pt>
                <c:pt idx="81">
                  <c:v>562.51120395580961</c:v>
                </c:pt>
                <c:pt idx="82">
                  <c:v>562.51129267345448</c:v>
                </c:pt>
                <c:pt idx="83">
                  <c:v>562.51136371863925</c:v>
                </c:pt>
                <c:pt idx="84">
                  <c:v>562.51142061169617</c:v>
                </c:pt>
                <c:pt idx="85">
                  <c:v>562.51146617171264</c:v>
                </c:pt>
                <c:pt idx="86">
                  <c:v>562.51150265621732</c:v>
                </c:pt>
                <c:pt idx="87">
                  <c:v>562.51153187304283</c:v>
                </c:pt>
                <c:pt idx="88">
                  <c:v>562.51155526990362</c:v>
                </c:pt>
                <c:pt idx="89">
                  <c:v>562.5115740061309</c:v>
                </c:pt>
                <c:pt idx="90">
                  <c:v>562.51158901011843</c:v>
                </c:pt>
                <c:pt idx="91">
                  <c:v>562.51160102532481</c:v>
                </c:pt>
                <c:pt idx="92">
                  <c:v>562.51161064711255</c:v>
                </c:pt>
                <c:pt idx="93">
                  <c:v>562.51161835224855</c:v>
                </c:pt>
                <c:pt idx="94">
                  <c:v>562.51162452252811</c:v>
                </c:pt>
                <c:pt idx="95">
                  <c:v>562.51162946369334</c:v>
                </c:pt>
                <c:pt idx="96">
                  <c:v>562.5116334205826</c:v>
                </c:pt>
                <c:pt idx="97">
                  <c:v>562.51163658926293</c:v>
                </c:pt>
                <c:pt idx="98">
                  <c:v>562.51163912674485</c:v>
                </c:pt>
                <c:pt idx="99">
                  <c:v>562.51164115876247</c:v>
                </c:pt>
                <c:pt idx="100">
                  <c:v>562.51164278600402</c:v>
                </c:pt>
                <c:pt idx="101">
                  <c:v>562.5116440891004</c:v>
                </c:pt>
                <c:pt idx="102">
                  <c:v>562.51164513262097</c:v>
                </c:pt>
                <c:pt idx="103">
                  <c:v>562.51164596827323</c:v>
                </c:pt>
                <c:pt idx="104">
                  <c:v>562.5116466374642</c:v>
                </c:pt>
                <c:pt idx="105">
                  <c:v>562.51164717335303</c:v>
                </c:pt>
                <c:pt idx="106">
                  <c:v>562.5116476024931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8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8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  <c:pt idx="57">
                  <c:v>533.82747200756978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829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3.2765421360321958E-3</c:v>
                </c:pt>
                <c:pt idx="1">
                  <c:v>4.0435486626358213E-3</c:v>
                </c:pt>
                <c:pt idx="2">
                  <c:v>4.9901039291684974E-3</c:v>
                </c:pt>
                <c:pt idx="3">
                  <c:v>6.1582385427913231E-3</c:v>
                </c:pt>
                <c:pt idx="4">
                  <c:v>7.5998220654749683E-3</c:v>
                </c:pt>
                <c:pt idx="5">
                  <c:v>9.3788662172669384E-3</c:v>
                </c:pt>
                <c:pt idx="6">
                  <c:v>1.1574367236958386E-2</c:v>
                </c:pt>
                <c:pt idx="7">
                  <c:v>1.4283813611634092E-2</c:v>
                </c:pt>
                <c:pt idx="8">
                  <c:v>1.7627514931465353E-2</c:v>
                </c:pt>
                <c:pt idx="9">
                  <c:v>2.1753944087148643E-2</c:v>
                </c:pt>
                <c:pt idx="10">
                  <c:v>2.6846330023610344E-2</c:v>
                </c:pt>
                <c:pt idx="11">
                  <c:v>3.3130793792990477E-2</c:v>
                </c:pt>
                <c:pt idx="12">
                  <c:v>4.0886389178199326E-2</c:v>
                </c:pt>
                <c:pt idx="13">
                  <c:v>5.0457493728423668E-2</c:v>
                </c:pt>
                <c:pt idx="14">
                  <c:v>6.2269100415072665E-2</c:v>
                </c:pt>
                <c:pt idx="15">
                  <c:v>7.6845688915088556E-2</c:v>
                </c:pt>
                <c:pt idx="16">
                  <c:v>9.4834514477438181E-2</c:v>
                </c:pt>
                <c:pt idx="17">
                  <c:v>0.11703434848587695</c:v>
                </c:pt>
                <c:pt idx="18">
                  <c:v>0.1444309469068509</c:v>
                </c:pt>
                <c:pt idx="19">
                  <c:v>0.17824082155475537</c:v>
                </c:pt>
                <c:pt idx="20">
                  <c:v>0.21996525778301859</c:v>
                </c:pt>
                <c:pt idx="21">
                  <c:v>0.27145697718923623</c:v>
                </c:pt>
                <c:pt idx="22">
                  <c:v>0.33500240540865622</c:v>
                </c:pt>
                <c:pt idx="23">
                  <c:v>0.41342319799478927</c:v>
                </c:pt>
                <c:pt idx="24">
                  <c:v>0.51020153251723088</c:v>
                </c:pt>
                <c:pt idx="25">
                  <c:v>0.62963473031598061</c:v>
                </c:pt>
                <c:pt idx="26">
                  <c:v>0.77702607369828591</c:v>
                </c:pt>
                <c:pt idx="27">
                  <c:v>0.95892029157739278</c:v>
                </c:pt>
                <c:pt idx="28">
                  <c:v>1.1833941699988606</c:v>
                </c:pt>
                <c:pt idx="29">
                  <c:v>1.4604151917516579</c:v>
                </c:pt>
                <c:pt idx="30">
                  <c:v>1.8022841300074184</c:v>
                </c:pt>
                <c:pt idx="31">
                  <c:v>2.2241812488044022</c:v>
                </c:pt>
                <c:pt idx="32">
                  <c:v>2.7448403637242169</c:v>
                </c:pt>
                <c:pt idx="33">
                  <c:v>3.3873806935798525</c:v>
                </c:pt>
                <c:pt idx="34">
                  <c:v>4.1803334404438051</c:v>
                </c:pt>
                <c:pt idx="35">
                  <c:v>5.158908682009689</c:v>
                </c:pt>
                <c:pt idx="36">
                  <c:v>6.3665588310432737</c:v>
                </c:pt>
                <c:pt idx="37">
                  <c:v>7.8569080853602564</c:v>
                </c:pt>
                <c:pt idx="38">
                  <c:v>9.6961335431047999</c:v>
                </c:pt>
                <c:pt idx="39">
                  <c:v>11.96590371371253</c:v>
                </c:pt>
                <c:pt idx="40">
                  <c:v>14.767004905364541</c:v>
                </c:pt>
                <c:pt idx="41">
                  <c:v>18.223816513978704</c:v>
                </c:pt>
                <c:pt idx="42">
                  <c:v>22.48983393311125</c:v>
                </c:pt>
                <c:pt idx="43">
                  <c:v>27.754484322307196</c:v>
                </c:pt>
                <c:pt idx="44">
                  <c:v>34.251537879000942</c:v>
                </c:pt>
                <c:pt idx="45">
                  <c:v>42.269488105102091</c:v>
                </c:pt>
                <c:pt idx="46">
                  <c:v>52.164361989678447</c:v>
                </c:pt>
                <c:pt idx="47">
                  <c:v>64.375528925819452</c:v>
                </c:pt>
                <c:pt idx="48">
                  <c:v>79.445210333708047</c:v>
                </c:pt>
                <c:pt idx="49">
                  <c:v>98.042556285491401</c:v>
                </c:pt>
                <c:pt idx="50">
                  <c:v>120.99335821699556</c:v>
                </c:pt>
                <c:pt idx="51">
                  <c:v>149.31671707083041</c:v>
                </c:pt>
                <c:pt idx="52">
                  <c:v>184.270295056733</c:v>
                </c:pt>
                <c:pt idx="53">
                  <c:v>227.40616035075564</c:v>
                </c:pt>
                <c:pt idx="54">
                  <c:v>280.63970440732754</c:v>
                </c:pt>
                <c:pt idx="55">
                  <c:v>346.33469201025537</c:v>
                </c:pt>
                <c:pt idx="56">
                  <c:v>427.40822051084024</c:v>
                </c:pt>
                <c:pt idx="57">
                  <c:v>527.46024869511064</c:v>
                </c:pt>
                <c:pt idx="58">
                  <c:v>650.93344663156211</c:v>
                </c:pt>
                <c:pt idx="59">
                  <c:v>803.31046410292822</c:v>
                </c:pt>
                <c:pt idx="60">
                  <c:v>991.35737657860102</c:v>
                </c:pt>
                <c:pt idx="61">
                  <c:v>1223.4241178778143</c:v>
                </c:pt>
                <c:pt idx="62">
                  <c:v>1509.8152386966349</c:v>
                </c:pt>
                <c:pt idx="63">
                  <c:v>1863.247452294918</c:v>
                </c:pt>
                <c:pt idx="64">
                  <c:v>2299.4142813871313</c:v>
                </c:pt>
                <c:pt idx="65">
                  <c:v>2837.682874563402</c:v>
                </c:pt>
                <c:pt idx="66">
                  <c:v>3501.9539272381912</c:v>
                </c:pt>
                <c:pt idx="67">
                  <c:v>15266.261036427753</c:v>
                </c:pt>
                <c:pt idx="68">
                  <c:v>66547.882805289497</c:v>
                </c:pt>
                <c:pt idx="69">
                  <c:v>290031.78398196353</c:v>
                </c:pt>
                <c:pt idx="70" formatCode="0.00E+00">
                  <c:v>1262885.6788091576</c:v>
                </c:pt>
                <c:pt idx="71" formatCode="0.00E+00">
                  <c:v>5477422.4907040661</c:v>
                </c:pt>
                <c:pt idx="72" formatCode="0.00E+00">
                  <c:v>23360020.782379415</c:v>
                </c:pt>
                <c:pt idx="73" formatCode="0.00E+00">
                  <c:v>93032110.179156363</c:v>
                </c:pt>
                <c:pt idx="74" formatCode="0.00E+00">
                  <c:v>294553838.91941363</c:v>
                </c:pt>
                <c:pt idx="75" formatCode="0.00E+00">
                  <c:v>585466524.14389646</c:v>
                </c:pt>
                <c:pt idx="76" formatCode="0.00E+00">
                  <c:v>756957387.31782877</c:v>
                </c:pt>
                <c:pt idx="77" formatCode="0.00E+00">
                  <c:v>811481569.69030333</c:v>
                </c:pt>
                <c:pt idx="78" formatCode="0.00E+00">
                  <c:v>825114956.99569154</c:v>
                </c:pt>
                <c:pt idx="79" formatCode="0.00E+00">
                  <c:v>828307142.35215402</c:v>
                </c:pt>
                <c:pt idx="80" formatCode="0.00E+00">
                  <c:v>829042878.7086699</c:v>
                </c:pt>
                <c:pt idx="81" formatCode="0.00E+00">
                  <c:v>829211832.47772586</c:v>
                </c:pt>
                <c:pt idx="82" formatCode="0.00E+00">
                  <c:v>829250598.23460293</c:v>
                </c:pt>
                <c:pt idx="83" formatCode="0.00E+00">
                  <c:v>829259491.16331184</c:v>
                </c:pt>
                <c:pt idx="84" formatCode="0.00E+00">
                  <c:v>829261531.12550783</c:v>
                </c:pt>
                <c:pt idx="85" formatCode="0.00E+00">
                  <c:v>829261999.07072818</c:v>
                </c:pt>
                <c:pt idx="86" formatCode="0.00E+00">
                  <c:v>829262106.41204023</c:v>
                </c:pt>
                <c:pt idx="87" formatCode="0.00E+00">
                  <c:v>829262131.03490353</c:v>
                </c:pt>
                <c:pt idx="88" formatCode="0.00E+00">
                  <c:v>829262136.68310452</c:v>
                </c:pt>
                <c:pt idx="89" formatCode="0.00E+00">
                  <c:v>829262137.97873676</c:v>
                </c:pt>
                <c:pt idx="90" formatCode="0.00E+00">
                  <c:v>829262138.27593982</c:v>
                </c:pt>
                <c:pt idx="91" formatCode="0.00E+00">
                  <c:v>829262138.34411478</c:v>
                </c:pt>
                <c:pt idx="92" formatCode="0.00E+00">
                  <c:v>829262138.35975337</c:v>
                </c:pt>
                <c:pt idx="93" formatCode="0.00E+00">
                  <c:v>829262138.36334062</c:v>
                </c:pt>
                <c:pt idx="94" formatCode="0.00E+00">
                  <c:v>829262138.36416364</c:v>
                </c:pt>
                <c:pt idx="95" formatCode="0.00E+00">
                  <c:v>829262138.36435235</c:v>
                </c:pt>
                <c:pt idx="96" formatCode="0.00E+00">
                  <c:v>829262138.36439562</c:v>
                </c:pt>
                <c:pt idx="97" formatCode="0.00E+00">
                  <c:v>829262138.36440551</c:v>
                </c:pt>
                <c:pt idx="98" formatCode="0.00E+00">
                  <c:v>829262138.36440778</c:v>
                </c:pt>
                <c:pt idx="99" formatCode="0.00E+00">
                  <c:v>829262138.36440837</c:v>
                </c:pt>
                <c:pt idx="100" formatCode="0.00E+00">
                  <c:v>829262138.36440849</c:v>
                </c:pt>
                <c:pt idx="101" formatCode="0.00E+00">
                  <c:v>829262138.36440849</c:v>
                </c:pt>
                <c:pt idx="102" formatCode="0.00E+00">
                  <c:v>829262138.36440849</c:v>
                </c:pt>
                <c:pt idx="103" formatCode="0.00E+00">
                  <c:v>829262138.36440849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myData!$CZ$11:$CZ$12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myData!$DB$11:$DB$12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493888"/>
        <c:axId val="613494280"/>
      </c:scatterChart>
      <c:valAx>
        <c:axId val="613493888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4280"/>
        <c:crossesAt val="1.0000000000000002E-2"/>
        <c:crossBetween val="midCat"/>
        <c:majorUnit val="14"/>
        <c:minorUnit val="7"/>
      </c:valAx>
      <c:valAx>
        <c:axId val="613494280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493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4"/>
  <sheetViews>
    <sheetView zoomScale="11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3"/>
  <sheetViews>
    <sheetView zoomScale="11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"/>
  <sheetViews>
    <sheetView zoomScale="11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4"/>
  <sheetViews>
    <sheetView zoomScale="11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2"/>
  <sheetViews>
    <sheetView zoomScale="11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3"/>
  <sheetViews>
    <sheetView zoomScale="11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6"/>
  <sheetViews>
    <sheetView tabSelected="1" zoomScale="11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1"/>
  <sheetViews>
    <sheetView zoomScale="8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73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2">
  <autoFilter ref="B10:BH117"/>
  <tableColumns count="59">
    <tableColumn id="1" name="Date" dataDxfId="41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0">
      <calculatedColumnFormula>tblData[[#This Row],[New South Wales]]/$L$9</calculatedColumnFormula>
    </tableColumn>
    <tableColumn id="27" name="Italy"/>
    <tableColumn id="38" name="Italy Cases per Capita" dataDxfId="39">
      <calculatedColumnFormula>IF(ISNUMBER(tblData[Italy]),tblData[Italy]/$N$9,"")</calculatedColumnFormula>
    </tableColumn>
    <tableColumn id="28" name="US"/>
    <tableColumn id="39" name="US Cases Per Capita" dataDxfId="38">
      <calculatedColumnFormula>IF(ISNUMBER(tblData[US]),tblData[US]/$P$9,"")</calculatedColumnFormula>
    </tableColumn>
    <tableColumn id="49" name="SKorea" dataDxfId="37"/>
    <tableColumn id="50" name="SKorea Cases Per Capita" dataDxfId="36">
      <calculatedColumnFormula>IF(ISNUMBER(tblData[SKorea]),tblData[SKorea]/$R$9,"")</calculatedColumnFormula>
    </tableColumn>
    <tableColumn id="51" name="UK" dataDxfId="35"/>
    <tableColumn id="52" name="UK Cases Per Capita" dataDxfId="34">
      <calculatedColumnFormula>IF(ISNUMBER(tblData[UK]),tblData[UK]/$T$9,"")</calculatedColumnFormula>
    </tableColumn>
    <tableColumn id="31" name="China"/>
    <tableColumn id="40" name="China Cases Per Capita" dataDxfId="33">
      <calculatedColumnFormula>IF(ISNUMBER(tblData[China]),tblData[China]/$V$9,"")</calculatedColumnFormula>
    </tableColumn>
    <tableColumn id="11" name="Days# Italy">
      <calculatedColumnFormula>IF($B11&lt;BM$13,"",$B11-BM$13)</calculatedColumnFormula>
    </tableColumn>
    <tableColumn id="26" name="Days# US"/>
    <tableColumn id="32" name="Days# China"/>
    <tableColumn id="54" name="Days# Skorea" dataDxfId="32">
      <calculatedColumnFormula>IF(tblData[[#This Row],[Date]]&lt;StartDt2Korea,"",tblData[[#This Row],[Date]]-StartDt2Korea)</calculatedColumnFormula>
    </tableColumn>
    <tableColumn id="53" name="Days# UK" dataDxfId="31">
      <calculatedColumnFormula>IF(tblData[[#This Row],[Date]]&lt;UKStart,"",tblData[[#This Row],[Date]]-UKStart)</calculatedColumnFormula>
    </tableColumn>
    <tableColumn id="13" name="Day# Aust" dataDxfId="30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29">
      <calculatedColumnFormula>IF(ISNUMBER(tblData[Au]),tblData[Au]/$AA$9,"")</calculatedColumnFormula>
    </tableColumn>
    <tableColumn id="19" name="Au LogiP(t)" dataDxfId="28">
      <calculatedColumnFormula>IF(ISNUMBER(tblData[[#This Row],[Day'# Aust]]),betaAu/(deltaAu+betaPodeltaAu*EXP(-betaAu*tblData[[#This Row],[Day'# Aust]])),"")</calculatedColumnFormula>
    </tableColumn>
    <tableColumn id="47" name="Au LogiP(t) Per Capita" dataDxfId="27">
      <calculatedColumnFormula>IF(ISNUMBER(tblData[Day'# Aust]),tblData[Au LogiP(t)]/$AD$9,"")</calculatedColumnFormula>
    </tableColumn>
    <tableColumn id="48" name="AU Sq Err" dataDxfId="26">
      <calculatedColumnFormula>IF(AND(tblData[Date]&gt;=StartDt2Au,ISNUMBER(tblData[NSW])),(tblData[[#This Row],[Au LogiP(t)]]-tblData[[#This Row],[Au]])^2,"")</calculatedColumnFormula>
    </tableColumn>
    <tableColumn id="15" name="Day # NSW" dataDxfId="25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24">
      <calculatedColumnFormula>IF(tblData[Date]&gt;StartDt2NSW,betaNSW/(deltaNSW+betaPodeltaNSW*EXP(-betaNSW*tblData[[#This Row],[Day '# NSW]])),"")</calculatedColumnFormula>
    </tableColumn>
    <tableColumn id="18" name="NSW Sq Err" dataDxfId="23">
      <calculatedColumnFormula>IF(AND(ISNUMBER(tblData[NSW]),tblData[Date]&gt;StartDt2NSW),(tblData[[#This Row],[NSW LogiP(t)]]-tblData[[#This Row],[NSW]])^2,"")</calculatedColumnFormula>
    </tableColumn>
    <tableColumn id="43" name="Nsw LogiP(t) Per Capita" dataDxfId="22">
      <calculatedColumnFormula>IF(AND(tblData[Date]&gt;StartDt2NSW,ISNUMBER(tblData[Day'# Aust])),tblData[NSW LogiP(t)]/$AG$9,"")</calculatedColumnFormula>
    </tableColumn>
    <tableColumn id="20" name="Italy LogiP(t)" dataDxfId="21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0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19">
      <calculatedColumnFormula>IF(AND(tblData[Date]&gt;StartDt2Italy,ISNUMBER(tblData[Days'# Italy])),tblData[[#This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IF(tblData[Date]&gt;=StartDt2Korea,betaSKorea/(deltaSKorea+betaPodeltaSKorea*EXP(-betaSKorea*(tblData[Date]-StartDt2Korea))),"")</calculatedColumnFormula>
    </tableColumn>
    <tableColumn id="55" name="Skorea Sq Err" dataDxfId="14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13">
      <calculatedColumnFormula>IF(tblData[Date]&gt;=StartDt2Korea,tblData[[#This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S129"/>
  <sheetViews>
    <sheetView zoomScaleNormal="100" workbookViewId="0">
      <pane xSplit="2" ySplit="10" topLeftCell="BC11" activePane="bottomRight" state="frozen"/>
      <selection pane="topRight" activeCell="C1" sqref="C1"/>
      <selection pane="bottomLeft" activeCell="A11" sqref="A11"/>
      <selection pane="bottomRight" activeCell="BK14" sqref="BK14:CO14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6.85546875" style="26" customWidth="1"/>
    <col min="65" max="65" width="10.7109375" bestFit="1" customWidth="1"/>
    <col min="66" max="66" width="10.7109375" style="26" customWidth="1"/>
    <col min="69" max="69" width="13.140625" customWidth="1"/>
    <col min="71" max="71" width="13.5703125" customWidth="1"/>
    <col min="72" max="72" width="11.28515625" customWidth="1"/>
    <col min="75" max="75" width="13.5703125" customWidth="1"/>
    <col min="76" max="76" width="10.7109375" bestFit="1" customWidth="1"/>
    <col min="77" max="79" width="14.140625" style="26" customWidth="1"/>
    <col min="80" max="80" width="13.42578125" customWidth="1"/>
    <col min="81" max="81" width="12.85546875" customWidth="1"/>
    <col min="83" max="83" width="62" customWidth="1"/>
    <col min="84" max="84" width="16.140625" customWidth="1"/>
    <col min="85" max="85" width="38.28515625" customWidth="1"/>
    <col min="86" max="86" width="15.7109375" customWidth="1"/>
    <col min="87" max="87" width="101.7109375" customWidth="1"/>
    <col min="89" max="89" width="10.7109375" bestFit="1" customWidth="1"/>
    <col min="91" max="91" width="10.7109375" bestFit="1" customWidth="1"/>
    <col min="93" max="93" width="44.42578125" customWidth="1"/>
    <col min="95" max="95" width="22.42578125" bestFit="1" customWidth="1"/>
    <col min="103" max="103" width="9.42578125" customWidth="1"/>
    <col min="104" max="104" width="12.140625" customWidth="1"/>
    <col min="111" max="111" width="15.85546875" style="82" bestFit="1" customWidth="1"/>
    <col min="112" max="112" width="14.7109375" style="27" customWidth="1"/>
    <col min="113" max="113" width="12.140625" style="27" bestFit="1" customWidth="1"/>
    <col min="119" max="119" width="9.5703125" bestFit="1" customWidth="1"/>
    <col min="123" max="123" width="11" style="27" bestFit="1" customWidth="1"/>
    <col min="125" max="125" width="9.140625" style="26"/>
    <col min="128" max="128" width="13.7109375" style="27" customWidth="1"/>
    <col min="136" max="136" width="9.140625" style="98"/>
    <col min="138" max="138" width="9.140625" style="98"/>
  </cols>
  <sheetData>
    <row r="1" spans="1:142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8" t="s">
        <v>849</v>
      </c>
      <c r="L1" s="26" t="s">
        <v>954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983</v>
      </c>
      <c r="AL1" t="s">
        <v>982</v>
      </c>
    </row>
    <row r="2" spans="1:142" ht="15.75" thickBot="1" x14ac:dyDescent="0.3">
      <c r="A2" s="9">
        <f>betaUS</f>
        <v>0.33723338069623404</v>
      </c>
      <c r="B2" s="39">
        <f>deltaUS</f>
        <v>9.9999999999795755E-11</v>
      </c>
      <c r="C2" s="9">
        <f>PoUS</f>
        <v>2.5463658145686113E-2</v>
      </c>
      <c r="D2" s="9">
        <f>beta/delta</f>
        <v>3372333806.9692283</v>
      </c>
      <c r="E2" s="9">
        <f>msqUS</f>
        <v>322.06292198158718</v>
      </c>
      <c r="F2" s="43">
        <f>(beta/Po)-delta</f>
        <v>13.243713011078873</v>
      </c>
      <c r="G2" s="10">
        <f>delta*1000</f>
        <v>9.9999999999795755E-8</v>
      </c>
      <c r="J2">
        <v>1</v>
      </c>
      <c r="L2" s="44">
        <v>10000000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2141.4153557262753</v>
      </c>
      <c r="AH2" s="42">
        <f>(betaTest/PoTest)-deltaTest</f>
        <v>3.3475175857532143E-5</v>
      </c>
      <c r="AI2" s="10">
        <f>deltaTest*1000</f>
        <v>5.7750090964641494E-4</v>
      </c>
      <c r="AJ2" s="53">
        <f t="array" ref="AJ2">MAX(IF(ISNUMBER(tblData[NSW Number of Tests]),tblData[Date]))</f>
        <v>43911</v>
      </c>
      <c r="AK2" t="str">
        <f>"NSW COVID19 Tests at " &amp;TEXT(AJ2,"ddd dd-mmm ")</f>
        <v xml:space="preserve">NSW COVID19 Tests at Sat 21-Mar </v>
      </c>
      <c r="AL2" t="str">
        <f ca="1">"Logistic Forecast, Limit " &amp; Cengnotation(AF2,3) &amp; " at " &amp; TEXT(NOW(),"dd-mmm")</f>
        <v>Logistic Forecast, Limit 291 k at 22-Mar</v>
      </c>
    </row>
    <row r="3" spans="1:142" x14ac:dyDescent="0.25">
      <c r="B3" s="44">
        <v>1E-10</v>
      </c>
      <c r="D3" t="str">
        <f>Cengnotation(D2)</f>
        <v>3.37 G</v>
      </c>
      <c r="L3" s="26" t="str">
        <f>"Cases per " &amp; Cengnotation(L2,2)  &amp; " population"</f>
        <v>Cases per 10 M population</v>
      </c>
    </row>
    <row r="4" spans="1:142" x14ac:dyDescent="0.25">
      <c r="A4" s="31" t="s">
        <v>489</v>
      </c>
    </row>
    <row r="6" spans="1:142" s="26" customFormat="1" ht="18.75" x14ac:dyDescent="0.3">
      <c r="M6" s="19"/>
      <c r="N6" s="19"/>
      <c r="O6" s="19"/>
      <c r="U6" s="19"/>
      <c r="DG6" s="82"/>
      <c r="DH6" s="27"/>
      <c r="DI6" s="27"/>
      <c r="DS6" s="27"/>
      <c r="DX6" s="27"/>
      <c r="DZ6" s="17" t="s">
        <v>220</v>
      </c>
      <c r="EF6" s="98"/>
      <c r="EH6" s="98"/>
    </row>
    <row r="7" spans="1:142" s="26" customFormat="1" x14ac:dyDescent="0.25">
      <c r="B7" s="26" t="s">
        <v>1322</v>
      </c>
      <c r="M7" s="19"/>
      <c r="N7" s="19"/>
      <c r="O7" s="19"/>
      <c r="U7" s="19"/>
      <c r="DG7" s="82"/>
      <c r="DH7" s="27"/>
      <c r="DI7" s="27"/>
      <c r="DS7" s="27"/>
      <c r="DX7" s="27"/>
      <c r="EF7" s="98"/>
      <c r="EH7" s="98"/>
    </row>
    <row r="8" spans="1:142" x14ac:dyDescent="0.25">
      <c r="B8" s="47" t="s">
        <v>846</v>
      </c>
      <c r="C8" s="45"/>
      <c r="D8" s="45"/>
      <c r="F8" s="45"/>
      <c r="G8" s="45"/>
      <c r="H8" s="45"/>
      <c r="I8" s="45"/>
      <c r="J8" s="45"/>
      <c r="K8" s="46">
        <f>NSWpop/L9</f>
        <v>10000000</v>
      </c>
      <c r="L8" s="46">
        <v>8080000</v>
      </c>
      <c r="N8" s="46">
        <v>60450000</v>
      </c>
      <c r="P8" s="46">
        <v>329227746</v>
      </c>
      <c r="Q8" s="46"/>
      <c r="R8" s="46">
        <v>51400000</v>
      </c>
      <c r="S8" s="46"/>
      <c r="T8" s="46">
        <v>66440000</v>
      </c>
      <c r="U8" s="46"/>
      <c r="V8" s="46">
        <v>1439323776</v>
      </c>
      <c r="W8" s="45"/>
      <c r="X8" s="45"/>
      <c r="Y8" s="45"/>
      <c r="Z8" s="45"/>
      <c r="AA8" s="46">
        <v>25364000</v>
      </c>
      <c r="AB8" s="45"/>
      <c r="AC8" s="45"/>
      <c r="AD8" s="46">
        <f>AuPop</f>
        <v>25364000</v>
      </c>
      <c r="AE8" s="45"/>
      <c r="AF8" s="45"/>
      <c r="AG8" s="46">
        <f>L8</f>
        <v>8080000</v>
      </c>
      <c r="AH8" s="45"/>
      <c r="AI8" s="45"/>
      <c r="AJ8" s="46">
        <f>AG8</f>
        <v>8080000</v>
      </c>
      <c r="AK8" s="45"/>
      <c r="AL8" s="45"/>
      <c r="AM8" s="46">
        <f>ItalyPop</f>
        <v>60450000</v>
      </c>
      <c r="AN8" s="46"/>
      <c r="AO8" s="45"/>
      <c r="AP8" s="46">
        <f>USpop</f>
        <v>329227746</v>
      </c>
      <c r="AQ8" s="46"/>
      <c r="AR8" s="46"/>
      <c r="AS8" s="46">
        <f>SKoreaPop</f>
        <v>51400000</v>
      </c>
      <c r="AT8" s="46"/>
      <c r="AU8" s="46"/>
      <c r="AV8" s="46">
        <f>UKPop</f>
        <v>66440000</v>
      </c>
      <c r="AW8" s="46"/>
      <c r="AX8" s="46"/>
      <c r="AY8" s="46">
        <f>ChinaPop</f>
        <v>1439323776</v>
      </c>
      <c r="BY8"/>
      <c r="CA8"/>
      <c r="CD8" s="26"/>
      <c r="CE8" s="26"/>
      <c r="CO8" s="26" t="str">
        <f>"COVID 19 Least Sq Err Logistic Eqns at " &amp; TEXT(MAX(CC16:CC22),"ddd dd-mmm-yyyy")&amp;IF(PopScaling=0,"",", "&amp;PerPersonLabel)</f>
        <v>COVID 19 Least Sq Err Logistic Eqns at Sun 22-Mar-2020, Cases per 10 M population</v>
      </c>
      <c r="DH8" s="27" t="s">
        <v>1320</v>
      </c>
    </row>
    <row r="9" spans="1:142" s="26" customFormat="1" ht="15.75" thickBot="1" x14ac:dyDescent="0.3">
      <c r="B9" s="47" t="s">
        <v>850</v>
      </c>
      <c r="C9" s="45"/>
      <c r="D9" s="45"/>
      <c r="F9" s="45"/>
      <c r="G9" s="45"/>
      <c r="H9" s="45"/>
      <c r="I9" s="45"/>
      <c r="J9" s="45"/>
      <c r="K9" s="45"/>
      <c r="L9" s="46">
        <f>IF(PopScaling=0,1,NSWpop/PerPerson)</f>
        <v>0.80800000000000005</v>
      </c>
      <c r="N9" s="46">
        <f>IF(PopScaling=0,1,ItalyPop/PerPerson)</f>
        <v>6.0449999999999999</v>
      </c>
      <c r="P9" s="46">
        <f>IF(PopScaling=0,1,USpop/PerPerson)</f>
        <v>32.922774599999997</v>
      </c>
      <c r="Q9" s="46"/>
      <c r="R9" s="46">
        <f>IF(PopScaling=0,1,SKoreaPop/PerPerson)</f>
        <v>5.14</v>
      </c>
      <c r="S9" s="46"/>
      <c r="T9" s="46">
        <f>IF(PopScaling=0,1,UKPop/PerPerson)</f>
        <v>6.6440000000000001</v>
      </c>
      <c r="U9" s="46"/>
      <c r="V9" s="46">
        <f>IF(PopScaling=0,1,ChinaPop/PerPerson)</f>
        <v>143.9323776</v>
      </c>
      <c r="W9" s="45"/>
      <c r="X9" s="45"/>
      <c r="Y9" s="45"/>
      <c r="Z9" s="45"/>
      <c r="AA9" s="45">
        <f>IF(PopScaling=0,1,AuPop/PerPerson)</f>
        <v>2.5364</v>
      </c>
      <c r="AB9" s="45"/>
      <c r="AC9" s="45"/>
      <c r="AD9" s="45">
        <f>IF(PopScaling=0,1,AuPop/PerPerson)</f>
        <v>2.5364</v>
      </c>
      <c r="AE9" s="45"/>
      <c r="AF9" s="45"/>
      <c r="AG9" s="46">
        <f>IF(PopScaling=0,1,AG8/10000000)</f>
        <v>0.80800000000000005</v>
      </c>
      <c r="AH9" s="45"/>
      <c r="AI9" s="45"/>
      <c r="AJ9" s="46">
        <f>IF(PopScaling=0,1,AJ8/10000000)</f>
        <v>0.80800000000000005</v>
      </c>
      <c r="AK9" s="45"/>
      <c r="AL9" s="45"/>
      <c r="AM9" s="46">
        <f>IF(PopScaling=0,1,AM8/10000000)</f>
        <v>6.0449999999999999</v>
      </c>
      <c r="AN9" s="46"/>
      <c r="AO9" s="45"/>
      <c r="AP9" s="46">
        <f>IF(PopScaling=0,1,AP8/10000000)</f>
        <v>32.922774599999997</v>
      </c>
      <c r="AQ9" s="46"/>
      <c r="AR9" s="46"/>
      <c r="AS9" s="46">
        <f>IF(PopScaling=0,1,AS8/10000000)</f>
        <v>5.14</v>
      </c>
      <c r="AT9" s="46"/>
      <c r="AU9" s="46"/>
      <c r="AV9" s="46">
        <f>IF(PopScaling=0,1,AV8/10000000)</f>
        <v>6.6440000000000001</v>
      </c>
      <c r="AW9" s="46"/>
      <c r="AX9" s="46"/>
      <c r="AY9" s="46">
        <f>IF(PopScaling=0,1,AY8/10000000)</f>
        <v>143.9323776</v>
      </c>
      <c r="CO9" s="26" t="str">
        <f>"COVID 19 Least Sq Err Logistic Eqns at " &amp; TEXT(MAX(CC16:CC22),"ddd dd-mmm-yyyy")&amp;IF(PopScaling=0,"",", "&amp;PerPersonLabel)</f>
        <v>COVID 19 Least Sq Err Logistic Eqns at Sun 22-Mar-2020, Cases per 10 M population</v>
      </c>
      <c r="CS9" s="26" t="s">
        <v>1029</v>
      </c>
      <c r="DG9" s="82"/>
      <c r="DH9" s="27"/>
      <c r="DI9" s="27"/>
      <c r="DS9" s="27"/>
      <c r="DX9" s="27"/>
      <c r="EF9" s="98"/>
      <c r="EH9" s="98"/>
    </row>
    <row r="10" spans="1:142" s="14" customFormat="1" ht="69.75" customHeight="1" x14ac:dyDescent="0.25">
      <c r="B10" s="14" t="s">
        <v>203</v>
      </c>
      <c r="C10" s="14" t="s">
        <v>66</v>
      </c>
      <c r="D10" s="69" t="s">
        <v>472</v>
      </c>
      <c r="E10" s="69" t="s">
        <v>47</v>
      </c>
      <c r="F10" s="69" t="s">
        <v>117</v>
      </c>
      <c r="G10" s="69" t="s">
        <v>50</v>
      </c>
      <c r="H10" s="69" t="s">
        <v>62</v>
      </c>
      <c r="I10" s="69" t="s">
        <v>106</v>
      </c>
      <c r="J10" s="69" t="s">
        <v>49</v>
      </c>
      <c r="K10" s="69" t="s">
        <v>95</v>
      </c>
      <c r="L10" s="29" t="s">
        <v>851</v>
      </c>
      <c r="M10" s="70" t="s">
        <v>58</v>
      </c>
      <c r="N10" s="75" t="s">
        <v>852</v>
      </c>
      <c r="O10" s="14" t="s">
        <v>37</v>
      </c>
      <c r="P10" s="29" t="s">
        <v>926</v>
      </c>
      <c r="Q10" s="29" t="s">
        <v>1277</v>
      </c>
      <c r="R10" s="29" t="s">
        <v>1275</v>
      </c>
      <c r="S10" s="29" t="s">
        <v>1243</v>
      </c>
      <c r="T10" s="29" t="s">
        <v>1274</v>
      </c>
      <c r="U10" s="70" t="s">
        <v>225</v>
      </c>
      <c r="V10" s="75" t="s">
        <v>925</v>
      </c>
      <c r="W10" s="14" t="s">
        <v>212</v>
      </c>
      <c r="X10" s="14" t="s">
        <v>488</v>
      </c>
      <c r="Y10" s="14" t="s">
        <v>648</v>
      </c>
      <c r="Z10" s="14" t="s">
        <v>1278</v>
      </c>
      <c r="AA10" s="14" t="s">
        <v>1273</v>
      </c>
      <c r="AB10" s="51" t="s">
        <v>217</v>
      </c>
      <c r="AC10" s="51" t="s">
        <v>984</v>
      </c>
      <c r="AD10" s="74" t="s">
        <v>985</v>
      </c>
      <c r="AE10" s="51" t="s">
        <v>986</v>
      </c>
      <c r="AF10" s="74" t="s">
        <v>988</v>
      </c>
      <c r="AG10" s="51" t="s">
        <v>987</v>
      </c>
      <c r="AH10" s="14" t="s">
        <v>213</v>
      </c>
      <c r="AI10" s="14" t="s">
        <v>202</v>
      </c>
      <c r="AJ10" s="51" t="s">
        <v>214</v>
      </c>
      <c r="AK10" s="51" t="s">
        <v>215</v>
      </c>
      <c r="AL10" s="74" t="s">
        <v>946</v>
      </c>
      <c r="AM10" s="30" t="s">
        <v>223</v>
      </c>
      <c r="AN10" s="30" t="s">
        <v>224</v>
      </c>
      <c r="AO10" s="30" t="s">
        <v>944</v>
      </c>
      <c r="AP10" s="14" t="s">
        <v>486</v>
      </c>
      <c r="AQ10" s="14" t="s">
        <v>487</v>
      </c>
      <c r="AR10" s="14" t="s">
        <v>953</v>
      </c>
      <c r="AS10" s="80" t="s">
        <v>1279</v>
      </c>
      <c r="AT10" s="80" t="s">
        <v>1280</v>
      </c>
      <c r="AU10" s="80" t="s">
        <v>1281</v>
      </c>
      <c r="AV10" s="81" t="s">
        <v>1282</v>
      </c>
      <c r="AW10" s="81" t="s">
        <v>1283</v>
      </c>
      <c r="AX10" s="81" t="s">
        <v>1284</v>
      </c>
      <c r="AY10" s="30" t="s">
        <v>666</v>
      </c>
      <c r="AZ10" s="30" t="s">
        <v>667</v>
      </c>
      <c r="BA10" s="30" t="s">
        <v>945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845</v>
      </c>
      <c r="BG10" s="29" t="s">
        <v>843</v>
      </c>
      <c r="BH10" s="29" t="s">
        <v>844</v>
      </c>
      <c r="BJ10" s="1"/>
      <c r="BK10" t="s">
        <v>1321</v>
      </c>
      <c r="BL10" s="26" t="s">
        <v>1323</v>
      </c>
      <c r="BM10" t="s">
        <v>204</v>
      </c>
      <c r="BN10" s="26" t="s">
        <v>1324</v>
      </c>
      <c r="BO10" t="s">
        <v>809</v>
      </c>
      <c r="BP10" s="2" t="s">
        <v>205</v>
      </c>
      <c r="BQ10" s="3" t="s">
        <v>206</v>
      </c>
      <c r="BR10" s="4" t="s">
        <v>207</v>
      </c>
      <c r="BS10" s="5" t="s">
        <v>216</v>
      </c>
      <c r="BT10" s="6" t="s">
        <v>209</v>
      </c>
      <c r="BU10" s="7" t="s">
        <v>210</v>
      </c>
      <c r="BV10" s="8" t="s">
        <v>211</v>
      </c>
      <c r="BW10" s="20" t="s">
        <v>238</v>
      </c>
      <c r="BX10" s="20" t="s">
        <v>239</v>
      </c>
      <c r="BY10" s="20" t="s">
        <v>490</v>
      </c>
      <c r="BZ10" s="20" t="s">
        <v>1572</v>
      </c>
      <c r="CA10" s="20" t="s">
        <v>807</v>
      </c>
      <c r="CB10" s="20" t="s">
        <v>955</v>
      </c>
      <c r="CC10" t="s">
        <v>222</v>
      </c>
      <c r="CD10" t="s">
        <v>221</v>
      </c>
      <c r="CE10" s="20" t="s">
        <v>770</v>
      </c>
      <c r="CF10" s="20" t="s">
        <v>772</v>
      </c>
      <c r="CG10" s="20" t="s">
        <v>808</v>
      </c>
      <c r="CH10" s="20" t="s">
        <v>973</v>
      </c>
      <c r="CI10" t="s">
        <v>771</v>
      </c>
      <c r="CJ10" s="20" t="s">
        <v>1015</v>
      </c>
      <c r="CK10" s="67" t="s">
        <v>1011</v>
      </c>
      <c r="CL10" s="67" t="s">
        <v>1013</v>
      </c>
      <c r="CM10" s="14" t="s">
        <v>1012</v>
      </c>
      <c r="CN10" t="s">
        <v>1014</v>
      </c>
      <c r="CO10"/>
      <c r="CP10"/>
      <c r="CQ10"/>
      <c r="CR10"/>
      <c r="CZ10" s="27" t="s">
        <v>203</v>
      </c>
      <c r="DA10" s="26" t="s">
        <v>956</v>
      </c>
      <c r="DB10" s="23" t="s">
        <v>957</v>
      </c>
      <c r="DC10" s="25"/>
      <c r="DF10" s="86" t="s">
        <v>980</v>
      </c>
      <c r="DG10" s="87" t="s">
        <v>1323</v>
      </c>
      <c r="DH10" s="88" t="s">
        <v>979</v>
      </c>
      <c r="DI10" s="88" t="s">
        <v>1325</v>
      </c>
      <c r="DJ10" s="86" t="s">
        <v>809</v>
      </c>
      <c r="DK10" s="89" t="s">
        <v>205</v>
      </c>
      <c r="DL10" s="90" t="s">
        <v>206</v>
      </c>
      <c r="DM10" s="91" t="s">
        <v>207</v>
      </c>
      <c r="DN10" s="92" t="s">
        <v>216</v>
      </c>
      <c r="DO10" s="93" t="s">
        <v>209</v>
      </c>
      <c r="DP10" s="94" t="s">
        <v>210</v>
      </c>
      <c r="DQ10" s="95" t="s">
        <v>211</v>
      </c>
      <c r="DR10" s="96" t="s">
        <v>238</v>
      </c>
      <c r="DS10" s="88" t="s">
        <v>239</v>
      </c>
      <c r="DT10" s="96" t="s">
        <v>490</v>
      </c>
      <c r="DU10" s="96" t="s">
        <v>1572</v>
      </c>
      <c r="DV10" s="96" t="s">
        <v>807</v>
      </c>
      <c r="DW10" s="96" t="s">
        <v>955</v>
      </c>
      <c r="DX10" s="88" t="s">
        <v>222</v>
      </c>
      <c r="DY10" s="86" t="s">
        <v>221</v>
      </c>
      <c r="DZ10" s="96" t="s">
        <v>770</v>
      </c>
      <c r="EA10" s="96" t="s">
        <v>772</v>
      </c>
      <c r="EB10" s="96" t="s">
        <v>808</v>
      </c>
      <c r="EC10" s="96" t="s">
        <v>973</v>
      </c>
      <c r="ED10" s="97" t="s">
        <v>771</v>
      </c>
      <c r="EE10" s="97" t="s">
        <v>1015</v>
      </c>
      <c r="EF10" s="99" t="s">
        <v>1011</v>
      </c>
      <c r="EG10" s="97" t="s">
        <v>1013</v>
      </c>
      <c r="EH10" s="99" t="s">
        <v>1012</v>
      </c>
      <c r="EI10" s="97" t="s">
        <v>1014</v>
      </c>
      <c r="EJ10" s="97"/>
      <c r="EK10" s="26"/>
      <c r="EL10" s="26"/>
    </row>
    <row r="11" spans="1:142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IF(tblData[Date]&gt;=StartDt2Italy,tblData[Date]-StartDt2Italy,"")</f>
        <v/>
      </c>
      <c r="X11" s="26"/>
      <c r="Y11" s="26">
        <f>IF($B14&lt;BM$15+3,"",$B14-BM$15-3)</f>
        <v>0</v>
      </c>
      <c r="Z11" s="26" t="str">
        <f>IF(tblData[[#This Row],[Date]]&lt;StartDt2Korea,"",tblData[[#This Row],[Date]]-StartDt2Korea)</f>
        <v/>
      </c>
      <c r="AA11" s="26" t="str">
        <f>IF(tblData[[#This Row],[Date]]&lt;UKStart,"",tblData[[#This Row],[Date]]-UKStart)</f>
        <v/>
      </c>
      <c r="AB11" t="str">
        <f>IF(tblData[Date]&gt;=StartDt2Au,tblData[Date]-StartDt2Au,"")</f>
        <v/>
      </c>
      <c r="AC11" s="26" t="str">
        <f>IF(tblData[New South Wales]&gt;0,SUM(tblData[[#This Row],[Australian Capital Territory]:[Western Australia]]),"")</f>
        <v/>
      </c>
      <c r="AD11" s="26" t="str">
        <f>IF(ISNUMBER(tblData[Au]),tblData[Au]/$AA$9,"")</f>
        <v/>
      </c>
      <c r="AE11" s="11" t="str">
        <f>IF(ISNUMBER(tblData[[#This Row],[Day'# Aust]]),betaAu/(deltaAu+betaPodeltaAu*EXP(-betaAu*tblData[[#This Row],[Day'# Aust]])),"")</f>
        <v/>
      </c>
      <c r="AF11" s="71" t="str">
        <f>IF(ISNUMBER(tblData[Day'# Aust]),tblData[Au LogiP(t)]/$AD$9,"")</f>
        <v/>
      </c>
      <c r="AG11" s="11" t="str">
        <f>IF(AND(tblData[Date]&gt;=StartDt2Au,ISNUMBER(tblData[NSW])),(tblData[[#This Row],[Au LogiP(t)]]-tblData[[#This Row],[Au]])^2,"")</f>
        <v/>
      </c>
      <c r="AH11" t="str">
        <f>IF(tblData[Date]&gt;StartDt2NSW,tblData[Date]-StartDt2NSW,"")</f>
        <v/>
      </c>
      <c r="AI11" t="str">
        <f>IF(E11&gt;0,E11,"")</f>
        <v/>
      </c>
      <c r="AJ11" s="11" t="str">
        <f>IF(tblData[Date]&gt;StartDt2NSW,betaNSW/(deltaNSW+betaPodeltaNSW*EXP(-betaNSW*tblData[[#This Row],[Day '# NSW]])),"")</f>
        <v/>
      </c>
      <c r="AK11" s="12" t="str">
        <f>IF(AND(ISNUMBER(tblData[NSW]),tblData[Date]&gt;StartDt2NSW),(tblData[[#This Row],[NSW LogiP(t)]]-tblData[[#This Row],[NSW]])^2,"")</f>
        <v/>
      </c>
      <c r="AL11" s="12" t="str">
        <f>IF(AND(tblData[Date]&gt;StartDt2NSW,ISNUMBER(tblData[Day'# Aust])),tblData[NSW LogiP(t)]/$AG$9,"")</f>
        <v/>
      </c>
      <c r="AM11" s="11" t="str">
        <f>IF(AND(tblData[Date]&gt;StartDt2Italy,ISNUMBER(tblData[Days'# Italy])),betaItaly/(deltaItaly+betaPodeltaItaly*EXP(-betaItaly*tblData[Days'# Italy])),"")</f>
        <v/>
      </c>
      <c r="AN11" s="11" t="str">
        <f>IF(AND(tblData[Date]&gt;StartDt2Italy,ISNUMBER(tblData[Italy])),(tblData[[#This Row],[Italy LogiP(t)]]-tblData[[#This Row],[Italy]])^2,"")</f>
        <v/>
      </c>
      <c r="AO11" s="11" t="str">
        <f>IF(AND(tblData[Date]&gt;StartDt2Italy,ISNUMBER(tblData[Days'# Italy])),tblData[[#This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IF(tblData[Date]&gt;=StartDt2Korea,betaSKorea/(deltaSKorea+betaPodeltaSKorea*EXP(-betaSKorea*(tblData[Date]-StartDt2Korea))),"")</f>
        <v/>
      </c>
      <c r="AT11" s="11" t="str">
        <f>IF(AND(tblData[Date]&gt;=StartDt2Korea,ISNUMBER(tblData[SKorea])),(tblData[[#This Row],[SKorea LogiP(t)]]-tblData[[#This Row],[SKorea]])^2,"")</f>
        <v/>
      </c>
      <c r="AU11" s="11" t="str">
        <f>IF(tblData[Date]&gt;=StartDt2Korea,tblData[[#This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83">
        <v>43912.862291666665</v>
      </c>
      <c r="BM11" s="1">
        <v>43855</v>
      </c>
      <c r="BN11" s="27">
        <v>43855</v>
      </c>
      <c r="BO11">
        <v>0</v>
      </c>
      <c r="BP11">
        <v>0.21033404877431897</v>
      </c>
      <c r="BQ11">
        <v>9.9999999999795755E-11</v>
      </c>
      <c r="BR11" s="26">
        <v>8.3106214738320611E-3</v>
      </c>
      <c r="BS11">
        <f>betaAu/deltaAu</f>
        <v>2103340487.7474856</v>
      </c>
      <c r="BT11" s="49">
        <f>SQRT(SUM(tblData[AU Sq Err])/COUNT(tblData[AU Sq Err]))</f>
        <v>11.368819454980502</v>
      </c>
      <c r="BU11">
        <f>(betaAu/PoAu)-deltaAu</f>
        <v>25.309063760847966</v>
      </c>
      <c r="BV11">
        <f>deltaAu*1000</f>
        <v>9.9999999999795755E-8</v>
      </c>
      <c r="BW11" s="26"/>
      <c r="BX11" s="27">
        <f t="array" ref="BX11">MAX(IF(ISNUMBER(tblData[Au]),tblData[Date]))</f>
        <v>43912</v>
      </c>
      <c r="BY11" s="27" t="str">
        <f t="shared" ref="BY11:BY18" si="0">Cengnotation(BS11,3)</f>
        <v>2.10 G</v>
      </c>
      <c r="BZ11" s="44">
        <f>MAX(tblData[Au LogiP(t)])</f>
        <v>2103340487.7474856</v>
      </c>
      <c r="CA11" s="26">
        <f>MAX(tblData[Au])</f>
        <v>1354</v>
      </c>
      <c r="CB11" s="26" t="str">
        <f>Cengnotation(BS11/(AuPop/PerPerson),3)</f>
        <v>829 M</v>
      </c>
      <c r="CC11" s="1">
        <f t="array" ref="CC11">MAX(IF(ISNUMBER(tblData[Au]),tblData[Date]))</f>
        <v>43912</v>
      </c>
      <c r="CD11">
        <f t="array" ref="CD11">COUNT(IF(ISNUMBER(tblData[Au]),tblData[Date]))</f>
        <v>58</v>
      </c>
      <c r="CE11" s="27" t="str">
        <f>"b="&amp;TEXT(BP11,"##0.###")&amp;", d="&amp;TEXT(BQ11,"0.00E+00")&amp;", P0="&amp;TEXT(BR11,"#.###")&amp;" Limit="&amp;IF(PopScaling=0,BY11,CB11)&amp;"=&gt;"&amp;Cengnotation(BZ11,3)&amp;" cases "&amp;CH11</f>
        <v xml:space="preserve">b=0.21, d=1.00E-10, P0=.008 Limit=829 M=&gt;2.10 G cases </v>
      </c>
      <c r="CF11" s="26"/>
      <c r="CG11" s="26" t="str">
        <f t="shared" ref="CG11:CG18" si="1">BK11&amp;" Limit " &amp; IF(PopScaling=0,BY11,CB11)</f>
        <v>Australia Limit 829 M</v>
      </c>
      <c r="CH11" s="26"/>
      <c r="CI11" s="18" t="str">
        <f>"COVID19 "&amp;BK11 &amp; " " &amp;LogFormula&amp;CHAR(10)&amp;CE11&amp;CHAR(10)&amp;TEXT(CC11," dd-mmm")&amp;IF(PopScaling=0,"",", "&amp;PerPersonLabel)</f>
        <v>COVID19 Australia P(t) = b / {d+[( b/Po - d ) ]* exp(-b*t)}
b=0.21, d=1.00E-10, P0=.008 Limit=829 M=&gt;2.10 G cases 
 22-Mar, Cases per 10 M population</v>
      </c>
      <c r="CJ11" s="21">
        <f>MAX(tblData[Au Cases Per Capita])</f>
        <v>533.82747200756978</v>
      </c>
      <c r="CK11" s="26"/>
      <c r="CL11" s="26"/>
      <c r="CO11" s="26" t="str">
        <f>"At " &amp; TEXT(CC11,"ddd dd-mmm ") &amp; BK11 &amp;  TEXT(AuMaxCasespc," ###0") &amp; " cases per 10M was " &amp; CN13  &amp; " days behind Italy, " &amp; IF(CN14&gt;0, CN14 &amp; " days behind", -CN14 &amp; " days ahead of ") &amp; " USA &amp; " &amp;  CN15 &amp; " days behind China, " &amp; CN16 &amp; " days behind South Korea, " &amp; CN17 &amp; " days behind UK"</f>
        <v>At Sun 22-Mar Australia 534 cases per 10M was 17 days behind Italy, 2 days behind USA &amp; 29 days behind China, 22 days behind South Korea, 2 days behind UK</v>
      </c>
      <c r="CZ11" s="27">
        <v>43852</v>
      </c>
      <c r="DA11" s="44">
        <f>NSWpop</f>
        <v>8080000</v>
      </c>
      <c r="DB11" s="52">
        <f>PerPerson</f>
        <v>10000000</v>
      </c>
      <c r="DF11" s="26" t="s">
        <v>48</v>
      </c>
      <c r="DH11" s="27">
        <v>43855</v>
      </c>
      <c r="DJ11" s="26">
        <v>0</v>
      </c>
      <c r="DK11" s="23">
        <v>0.19828176912463458</v>
      </c>
      <c r="DL11" s="25">
        <v>1.0000000000015669E-10</v>
      </c>
      <c r="DM11" s="22">
        <v>1.5235707215503663E-2</v>
      </c>
      <c r="DN11" s="26">
        <v>1982817691.2432389</v>
      </c>
      <c r="DO11" s="19">
        <v>10.841918819926793</v>
      </c>
      <c r="DP11" s="37">
        <v>13.014280618450188</v>
      </c>
      <c r="DQ11" s="24">
        <v>1.0000000000015668E-7</v>
      </c>
      <c r="DR11" s="12"/>
      <c r="DS11" s="27">
        <v>43908</v>
      </c>
      <c r="DT11" s="27" t="s">
        <v>990</v>
      </c>
      <c r="DU11" s="27"/>
      <c r="DV11" s="19">
        <v>565</v>
      </c>
      <c r="DW11" s="19" t="s">
        <v>991</v>
      </c>
      <c r="DX11" s="27">
        <v>43908</v>
      </c>
      <c r="DY11" s="26">
        <v>57</v>
      </c>
      <c r="DZ11" s="18" t="s">
        <v>992</v>
      </c>
      <c r="EA11" s="26"/>
      <c r="EB11" s="26" t="s">
        <v>993</v>
      </c>
      <c r="EC11" s="26"/>
      <c r="ED11" s="26" t="s">
        <v>994</v>
      </c>
      <c r="EE11" s="26"/>
      <c r="EG11" s="26"/>
      <c r="EI11" s="26"/>
      <c r="EJ11" s="26"/>
      <c r="EK11" s="26"/>
      <c r="EL11" s="21" t="e">
        <f>(AP15-O15)^2</f>
        <v>#VALUE!</v>
      </c>
    </row>
    <row r="12" spans="1:142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 t="str">
        <f>IF(tblData[[#This Row],[Date]]&lt;StartDt2Korea,"",tblData[[#This Row],[Date]]-StartDt2Korea)</f>
        <v/>
      </c>
      <c r="AA12" s="26" t="str">
        <f>IF(tblData[[#This Row],[Date]]&lt;UKStart,"",tblData[[#This Row],[Date]]-UKStart)</f>
        <v/>
      </c>
      <c r="AB12" t="str">
        <f>IF(tblData[Date]&gt;=StartDt2Au,tblData[Date]-StartDt2Au,"")</f>
        <v/>
      </c>
      <c r="AC12" s="26" t="str">
        <f>IF(tblData[New South Wales]&gt;0,SUM(tblData[[#This Row],[Australian Capital Territory]:[Western Australia]]),"")</f>
        <v/>
      </c>
      <c r="AD12" s="26" t="str">
        <f>IF(ISNUMBER(tblData[Au]),tblData[Au]/$AA$9,"")</f>
        <v/>
      </c>
      <c r="AE12" s="11" t="str">
        <f>IF(ISNUMBER(tblData[[#This Row],[Day'# Aust]]),betaAu/(deltaAu+betaPodeltaAu*EXP(-betaAu*tblData[[#This Row],[Day'# Aust]])),"")</f>
        <v/>
      </c>
      <c r="AF12" s="71" t="str">
        <f>IF(ISNUMBER(tblData[Day'# Aust]),tblData[Au LogiP(t)]/$AD$9,"")</f>
        <v/>
      </c>
      <c r="AG12" s="11" t="str">
        <f>IF(AND(tblData[Date]&gt;=StartDt2Au,ISNUMBER(tblData[NSW])),(tblData[[#This Row],[Au LogiP(t)]]-tblData[[#This Row],[Au]])^2,"")</f>
        <v/>
      </c>
      <c r="AH12" t="str">
        <f>IF(tblData[Date]&gt;StartDt2NSW,tblData[Date]-StartDt2NSW,"")</f>
        <v/>
      </c>
      <c r="AI12" t="str">
        <f>IF(E12&gt;0,E12,"")</f>
        <v/>
      </c>
      <c r="AJ12" s="11" t="str">
        <f>IF(tblData[Date]&gt;StartDt2NSW,betaNSW/(deltaNSW+betaPodeltaNSW*EXP(-betaNSW*tblData[[#This Row],[Day '# NSW]])),"")</f>
        <v/>
      </c>
      <c r="AK12" s="12" t="str">
        <f>IF(AND(ISNUMBER(tblData[NSW]),tblData[Date]&gt;StartDt2NSW),(tblData[[#This Row],[NSW LogiP(t)]]-tblData[[#This Row],[NSW]])^2,"")</f>
        <v/>
      </c>
      <c r="AL12" s="12" t="str">
        <f>IF(AND(tblData[Date]&gt;StartDt2NSW,ISNUMBER(tblData[Day'# Aust])),tblData[NSW LogiP(t)]/$AG$9,"")</f>
        <v/>
      </c>
      <c r="AM12" s="11" t="str">
        <f>IF(AND(tblData[Date]&gt;StartDt2Italy,ISNUMBER(tblData[Days'# Italy])),betaItaly/(deltaItaly+betaPodeltaItaly*EXP(-betaItaly*tblData[Days'# Italy])),"")</f>
        <v/>
      </c>
      <c r="AN12" s="11" t="str">
        <f>IF(AND(tblData[Date]&gt;StartDt2Italy,ISNUMBER(tblData[Italy])),(tblData[[#This Row],[Italy LogiP(t)]]-tblData[[#This Row],[Italy]])^2,"")</f>
        <v/>
      </c>
      <c r="AO12" s="11" t="str">
        <f>IF(AND(tblData[Date]&gt;StartDt2Italy,ISNUMBER(tblData[Days'# Italy])),tblData[[#This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IF(tblData[Date]&gt;=StartDt2Korea,betaSKorea/(deltaSKorea+betaPodeltaSKorea*EXP(-betaSKorea*(tblData[Date]-StartDt2Korea))),"")</f>
        <v/>
      </c>
      <c r="AT12" s="11" t="str">
        <f>IF(AND(tblData[Date]&gt;=StartDt2Korea,ISNUMBER(tblData[SKorea])),(tblData[[#This Row],[SKorea LogiP(t)]]-tblData[[#This Row],[SKorea]])^2,"")</f>
        <v/>
      </c>
      <c r="AU12" s="11" t="str">
        <f>IF(tblData[Date]&gt;=StartDt2Korea,tblData[[#This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1911.1109548694178</v>
      </c>
      <c r="AZ12" s="11">
        <f>IF(ISNUMBER(tblData[China]),(tblData[[#This Row],[China LogiP(t)]]-tblData[[#This Row],[China]])^2,"")</f>
        <v>1608105.3938598267</v>
      </c>
      <c r="BA12" s="11">
        <f>tblData[[#This Row],[China LogiP(t)]]/$AY$9</f>
        <v>13.277839126513657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2" t="s">
        <v>202</v>
      </c>
      <c r="BL12" s="84">
        <v>43912.862314814818</v>
      </c>
      <c r="BM12" s="63">
        <v>43855</v>
      </c>
      <c r="BN12" s="27">
        <v>43855</v>
      </c>
      <c r="BO12" s="62">
        <v>1</v>
      </c>
      <c r="BP12" s="62">
        <v>0.20690766856988288</v>
      </c>
      <c r="BQ12" s="68">
        <v>6.344938640416391E-5</v>
      </c>
      <c r="BR12" s="62">
        <v>4.7957380309846401E-3</v>
      </c>
      <c r="BS12" s="62">
        <f>betaNSW/deltaNSW</f>
        <v>3260.9876989496688</v>
      </c>
      <c r="BT12" s="64">
        <f>SQRT(SUM(tblData[NSW Sq Err])/COUNT(tblData[NSW Sq Err]))</f>
        <v>4.183094299453777</v>
      </c>
      <c r="BU12" s="62">
        <f>(betaNSW/PoNSW)-deltaNSW</f>
        <v>43.144008898410604</v>
      </c>
      <c r="BV12" s="62">
        <f>deltaNSW*1000</f>
        <v>6.3449386404163907E-2</v>
      </c>
      <c r="BW12" s="64">
        <f>SQRT(SUM(tblData[NSW Sq Err])/COUNT(tblData[NSW Sq Err]))</f>
        <v>4.183094299453777</v>
      </c>
      <c r="BX12" s="63">
        <f t="array" ref="BX12">MAX(IF(ISNUMBER(tblData[NSW]),tblData[Date]))</f>
        <v>43912</v>
      </c>
      <c r="BY12" s="63" t="str">
        <f t="shared" si="0"/>
        <v>3.26 k</v>
      </c>
      <c r="BZ12" s="44">
        <f>MAX(tblData[NSW LogiP(t)])</f>
        <v>3260.9876989496688</v>
      </c>
      <c r="CA12" s="62">
        <f>MAX(tblData[NSW])</f>
        <v>533</v>
      </c>
      <c r="CB12" s="62" t="str">
        <f>Cengnotation(BS12/(NSWpop/PerPerson),3)</f>
        <v>4.04 k</v>
      </c>
      <c r="CC12" s="63">
        <f t="array" ref="CC12">MAX(IF(ISNUMBER(tblData[NSW]),tblData[Date]))</f>
        <v>43912</v>
      </c>
      <c r="CD12" s="65">
        <f t="array" ref="CD12">COUNT(IF(ISNUMBER(tblData[NSW]),tblData[Date]))</f>
        <v>58</v>
      </c>
      <c r="CE12" s="27" t="str">
        <f>"b="&amp;TEXT(BP12,"##0.###")&amp;", d="&amp;TEXT(BQ12,"0.00E+00")&amp;", P0="&amp;TEXT(BR12,"#.###")&amp;" Limit="&amp;IF(PopScaling=0,BY12,CB12)&amp;"=&gt;"&amp;Cengnotation(BZ12,3)&amp;" cases "&amp;CH12</f>
        <v xml:space="preserve">b=0.207, d=6.34E-05, P0=.005 Limit=4.04 k=&gt;3.26 k cases </v>
      </c>
      <c r="CF12" s="62"/>
      <c r="CG12" s="62" t="str">
        <f t="shared" si="1"/>
        <v>NSW Limit 4.04 k</v>
      </c>
      <c r="CH12" s="62"/>
      <c r="CI12" s="18" t="str">
        <f>"COVID19 "&amp;BK12 &amp; " " &amp;LogFormula&amp;CHAR(10)&amp;CE12&amp;CHAR(10)&amp;TEXT(CC12," dd-mmm")&amp;IF(PopScaling=0,"",", "&amp;PerPersonLabel)</f>
        <v>COVID19 NSW P(t) = b / {d+[( b/Po - d ) ]* exp(-b*t)}
b=0.207, d=6.34E-05, P0=.005 Limit=4.04 k=&gt;3.26 k cases 
 22-Mar, Cases per 10 M population</v>
      </c>
      <c r="CJ12" s="21">
        <f>MAX(tblData[NSW Cases per Capita])</f>
        <v>659.65346534653463</v>
      </c>
      <c r="CK12" s="65"/>
      <c r="CL12" s="65"/>
      <c r="CN12" s="11"/>
      <c r="CO12" s="26" t="str">
        <f>"At " &amp; TEXT(CC12,"ddd dd-mmm " ) &amp;  BK12  &amp;  TEXT(NSWMaxCasespc," ###0") &amp; " cases per 10M was " &amp; CL13 &amp; " days behind Italy, " &amp; IF(CL14&gt;0, CL14 &amp; " days behind", -CL14 &amp; " days ahead of") &amp; " USA &amp; " &amp;  CL15 &amp; " days behind China, " &amp; CL16 &amp; " days behind South Korea, " &amp; CL17 &amp; " days behind UK"</f>
        <v>At Sun 22-Mar NSW 660 cases per 10M was 16 days behind Italy, 1 days behind USA &amp; 0 days behind China, 21 days behind South Korea, 1 days behind UK</v>
      </c>
      <c r="CZ12" s="27">
        <v>44004</v>
      </c>
      <c r="DA12" s="44">
        <f>DA11</f>
        <v>8080000</v>
      </c>
      <c r="DB12" s="52">
        <f>PerPerson</f>
        <v>10000000</v>
      </c>
      <c r="DC12">
        <f>delta</f>
        <v>9.9999999999795755E-11</v>
      </c>
      <c r="DF12" s="26" t="s">
        <v>48</v>
      </c>
      <c r="DH12" s="27">
        <v>43855</v>
      </c>
      <c r="DJ12" s="26">
        <v>0</v>
      </c>
      <c r="DK12" s="26">
        <v>0.19828176912463458</v>
      </c>
      <c r="DL12" s="26">
        <v>1.0000000000015669E-10</v>
      </c>
      <c r="DM12" s="26">
        <v>1.5235707215503663E-2</v>
      </c>
      <c r="DN12" s="26">
        <v>1982817691.2432389</v>
      </c>
      <c r="DO12" s="19">
        <v>12.353786198782009</v>
      </c>
      <c r="DP12" s="12">
        <v>13.014280618450188</v>
      </c>
      <c r="DQ12" s="26">
        <v>1.0000000000015668E-7</v>
      </c>
      <c r="DR12" s="26"/>
      <c r="DS12" s="27">
        <v>43908</v>
      </c>
      <c r="DT12" s="27" t="s">
        <v>990</v>
      </c>
      <c r="DU12" s="27"/>
      <c r="DV12" s="26">
        <v>636</v>
      </c>
      <c r="DW12" s="26" t="s">
        <v>991</v>
      </c>
      <c r="DX12" s="27">
        <v>43908</v>
      </c>
      <c r="DY12" s="26">
        <v>58</v>
      </c>
      <c r="DZ12" s="27" t="s">
        <v>992</v>
      </c>
      <c r="EA12" s="26"/>
      <c r="EB12" s="26" t="s">
        <v>993</v>
      </c>
      <c r="EC12" s="26"/>
      <c r="ED12" s="18" t="s">
        <v>1016</v>
      </c>
      <c r="EE12" s="21">
        <v>250.74909320296484</v>
      </c>
      <c r="EG12" s="26"/>
      <c r="EI12" s="26"/>
      <c r="EJ12" s="26" t="s">
        <v>1017</v>
      </c>
      <c r="EK12" s="26"/>
      <c r="EL12" s="26"/>
    </row>
    <row r="13" spans="1:142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2">Y12+1</f>
        <v>2</v>
      </c>
      <c r="Z13" s="26" t="str">
        <f>IF(tblData[[#This Row],[Date]]&lt;StartDt2Korea,"",tblData[[#This Row],[Date]]-StartDt2Korea)</f>
        <v/>
      </c>
      <c r="AA13" s="26" t="str">
        <f>IF(tblData[[#This Row],[Date]]&lt;UKStart,"",tblData[[#This Row],[Date]]-UKStart)</f>
        <v/>
      </c>
      <c r="AB13" t="str">
        <f>IF(tblData[Date]&gt;=StartDt2Au,tblData[Date]-StartDt2Au,"")</f>
        <v/>
      </c>
      <c r="AC13" s="26" t="str">
        <f>IF(tblData[New South Wales]&gt;0,SUM(tblData[[#This Row],[Australian Capital Territory]:[Western Australia]]),"")</f>
        <v/>
      </c>
      <c r="AD13" s="26" t="str">
        <f>IF(ISNUMBER(tblData[Au]),tblData[Au]/$AA$9,"")</f>
        <v/>
      </c>
      <c r="AE13" s="11" t="str">
        <f>IF(ISNUMBER(tblData[[#This Row],[Day'# Aust]]),betaAu/(deltaAu+betaPodeltaAu*EXP(-betaAu*tblData[[#This Row],[Day'# Aust]])),"")</f>
        <v/>
      </c>
      <c r="AF13" s="71" t="str">
        <f>IF(ISNUMBER(tblData[Day'# Aust]),tblData[Au LogiP(t)]/$AD$9,"")</f>
        <v/>
      </c>
      <c r="AG13" s="11" t="str">
        <f>IF(AND(tblData[Date]&gt;=StartDt2Au,ISNUMBER(tblData[NSW])),(tblData[[#This Row],[Au LogiP(t)]]-tblData[[#This Row],[Au]])^2,"")</f>
        <v/>
      </c>
      <c r="AH13" t="str">
        <f>IF(tblData[Date]&gt;StartDt2NSW,tblData[Date]-StartDt2NSW,"")</f>
        <v/>
      </c>
      <c r="AI13" t="str">
        <f>IF(E13&gt;0,E13,"")</f>
        <v/>
      </c>
      <c r="AJ13" s="11" t="str">
        <f>IF(tblData[Date]&gt;StartDt2NSW,betaNSW/(deltaNSW+betaPodeltaNSW*EXP(-betaNSW*tblData[[#This Row],[Day '# NSW]])),"")</f>
        <v/>
      </c>
      <c r="AK13" s="12" t="str">
        <f>IF(AND(ISNUMBER(tblData[NSW]),tblData[Date]&gt;StartDt2NSW),(tblData[[#This Row],[NSW LogiP(t)]]-tblData[[#This Row],[NSW]])^2,"")</f>
        <v/>
      </c>
      <c r="AL13" s="12" t="str">
        <f>IF(AND(tblData[Date]&gt;StartDt2NSW,ISNUMBER(tblData[Day'# Aust])),tblData[NSW LogiP(t)]/$AG$9,"")</f>
        <v/>
      </c>
      <c r="AM13" s="11" t="str">
        <f>IF(AND(tblData[Date]&gt;StartDt2Italy,ISNUMBER(tblData[Days'# Italy])),betaItaly/(deltaItaly+betaPodeltaItaly*EXP(-betaItaly*tblData[Days'# Italy])),"")</f>
        <v/>
      </c>
      <c r="AN13" s="11" t="str">
        <f>IF(AND(tblData[Date]&gt;StartDt2Italy,ISNUMBER(tblData[Italy])),(tblData[[#This Row],[Italy LogiP(t)]]-tblData[[#This Row],[Italy]])^2,"")</f>
        <v/>
      </c>
      <c r="AO13" s="11" t="str">
        <f>IF(AND(tblData[Date]&gt;StartDt2Italy,ISNUMBER(tblData[Days'# Italy])),tblData[[#This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IF(tblData[Date]&gt;=StartDt2Korea,betaSKorea/(deltaSKorea+betaPodeltaSKorea*EXP(-betaSKorea*(tblData[Date]-StartDt2Korea))),"")</f>
        <v/>
      </c>
      <c r="AT13" s="11" t="str">
        <f>IF(AND(tblData[Date]&gt;=StartDt2Korea,ISNUMBER(tblData[SKorea])),(tblData[[#This Row],[SKorea LogiP(t)]]-tblData[[#This Row],[SKorea]])^2,"")</f>
        <v/>
      </c>
      <c r="AU13" s="11" t="str">
        <f>IF(tblData[Date]&gt;=StartDt2Korea,tblData[[#This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2372.5688263521347</v>
      </c>
      <c r="AZ13" s="11">
        <f>IF(ISNUMBER(tblData[China]),(tblData[[#This Row],[China LogiP(t)]]-tblData[[#This Row],[China]])^2,"")</f>
        <v>2109956.1952900179</v>
      </c>
      <c r="BA13" s="11">
        <f>tblData[[#This Row],[China LogiP(t)]]/$AY$9</f>
        <v>16.483913250885774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82">
        <v>43912.862326388888</v>
      </c>
      <c r="BM13" s="1">
        <v>43860</v>
      </c>
      <c r="BN13" s="27">
        <v>43860</v>
      </c>
      <c r="BO13">
        <v>2</v>
      </c>
      <c r="BP13" s="23">
        <v>0.25947894792637805</v>
      </c>
      <c r="BQ13" s="25">
        <v>4.2793930730069226E-6</v>
      </c>
      <c r="BR13" s="22">
        <v>0.44221157817092033</v>
      </c>
      <c r="BS13" s="24">
        <f>betaItaly/deltaItaly</f>
        <v>60634.520713483966</v>
      </c>
      <c r="BT13" s="37">
        <f>SQRT(SUM(tblData[Italy Sq Err])/COUNT(tblData[Italy Sq Err]))</f>
        <v>1498.6578455090564</v>
      </c>
      <c r="BU13" s="24">
        <f>(betaItaly/PoItaly)-deltaItaly</f>
        <v>0.58677128401401213</v>
      </c>
      <c r="BV13" s="24">
        <f>deltaItaly*1000</f>
        <v>4.2793930730069228E-3</v>
      </c>
      <c r="BW13" s="24"/>
      <c r="BX13" s="27">
        <f t="array" ref="BX13">MAX(IF(ISNUMBER(tblData[Italy]),tblData[Date]))</f>
        <v>43911</v>
      </c>
      <c r="BY13" s="27" t="str">
        <f t="shared" si="0"/>
        <v>60.6 k</v>
      </c>
      <c r="BZ13" s="44">
        <f>MAX(tblData[Italy LogiP(t)])</f>
        <v>60634.520713483966</v>
      </c>
      <c r="CA13" s="26">
        <f>MAX(tblData[Italy])</f>
        <v>53578</v>
      </c>
      <c r="CB13" s="26" t="str">
        <f>Cengnotation(BS13/(ItalyPop/PerPerson),3)</f>
        <v>10.0 k</v>
      </c>
      <c r="CC13" s="1">
        <f t="array" ref="CC13">MAX(IF(ISNUMBER(tblData[Italy]),tblData[Date]))</f>
        <v>43911</v>
      </c>
      <c r="CD13" s="19">
        <f t="array" ref="CD13">COUNT(IF(ISNUMBER(tblData[Italy]),tblData[Date]))</f>
        <v>52</v>
      </c>
      <c r="CE13" s="27" t="str">
        <f>"b="&amp;TEXT(BP13,"##0.###")&amp;", d="&amp;TEXT(BQ13,"0.00E+00")&amp;", P0="&amp;TEXT(BR13,"#.###")&amp;" Limit="&amp;IF(PopScaling=0,BY13,CB13)&amp;"=&gt;"&amp;Cengnotation(BZ13,3)&amp;" cases "&amp;CH13</f>
        <v xml:space="preserve">b=0.259, d=4.28E-06, P0=.442 Limit=10.0 k=&gt;60.6 k cases </v>
      </c>
      <c r="CG13" s="26" t="str">
        <f t="shared" si="1"/>
        <v>Italy Limit 10.0 k</v>
      </c>
      <c r="CH13" s="26"/>
      <c r="CI13" s="18" t="str">
        <f>"COVID19 "&amp;BK13 &amp; " " &amp;LogFormula&amp;CHAR(10)&amp;CE13&amp;CHAR(10)&amp;TEXT(CC13," dd-mmm")&amp;IF(PopScaling=0,"",", "&amp;PerPersonLabel)</f>
        <v>COVID19 Italy P(t) = b / {d+[( b/Po - d ) ]* exp(-b*t)}
b=0.259, d=4.28E-06, P0=.442 Limit=10.0 k=&gt;60.6 k cases 
 21-Mar, Cases per 10 M population</v>
      </c>
      <c r="CJ13" s="21">
        <f>MAX(tblData[Italy Cases per Capita])</f>
        <v>8863.1927212572373</v>
      </c>
      <c r="CK13" s="27">
        <f>IF(CJ13&gt;NSWMaxCasespc,INDEX(tblData[Date],1+MATCH(NSWMaxCasespc,tblData[Italy Cases per Capita],1)),INDEX(tblData[Date],1+MATCH(CJ13,tblData[NSW Cases per Capita],1)))</f>
        <v>43896</v>
      </c>
      <c r="CL13" s="11">
        <f>IF(CJ13&gt;NSWMaxCasespc,1,-1)*(BX$12-CK13)</f>
        <v>16</v>
      </c>
      <c r="CM13" s="27">
        <f>IF(CJ13&gt;AuMaxCasespc,INDEX(tblData[Date],1+MATCH(AuMaxCasespc,tblData[Italy Cases per Capita],1)),INDEX(tblData[Date],1+MATCH(CJ13,tblData[Au Cases Per Capita],1)))</f>
        <v>43895</v>
      </c>
      <c r="CN13" s="11">
        <f>IF(CJ13&gt;AuMaxCasespc,1,-1)*(BX$13-CM13+1)</f>
        <v>17</v>
      </c>
      <c r="DF13" s="26" t="s">
        <v>48</v>
      </c>
      <c r="DH13" s="27">
        <v>43855</v>
      </c>
      <c r="DJ13" s="26">
        <v>0</v>
      </c>
      <c r="DK13" s="26">
        <v>0.20329336152663352</v>
      </c>
      <c r="DL13" s="26">
        <v>9.9999999999999995E-7</v>
      </c>
      <c r="DM13" s="26">
        <v>1.1946625698450987E-2</v>
      </c>
      <c r="DN13" s="26">
        <v>203293.36152663353</v>
      </c>
      <c r="DO13" s="19">
        <v>11.355599354824715</v>
      </c>
      <c r="DP13" s="12">
        <v>17.016800786381637</v>
      </c>
      <c r="DQ13" s="26">
        <v>1E-3</v>
      </c>
      <c r="DR13" s="26"/>
      <c r="DS13" s="27">
        <v>43910</v>
      </c>
      <c r="DT13" s="26" t="s">
        <v>1286</v>
      </c>
      <c r="DV13" s="26">
        <v>876</v>
      </c>
      <c r="DW13" s="26" t="s">
        <v>1287</v>
      </c>
      <c r="DX13" s="27">
        <v>43910</v>
      </c>
      <c r="DY13" s="26">
        <v>59</v>
      </c>
      <c r="DZ13" s="26" t="s">
        <v>1288</v>
      </c>
      <c r="EA13" s="26"/>
      <c r="EB13" s="26" t="s">
        <v>1289</v>
      </c>
      <c r="EC13" s="26"/>
      <c r="ED13" s="26" t="s">
        <v>1290</v>
      </c>
      <c r="EE13" s="26">
        <v>345.37139252483837</v>
      </c>
      <c r="EG13" s="26"/>
      <c r="EI13" s="26"/>
      <c r="EJ13" s="26" t="s">
        <v>1291</v>
      </c>
      <c r="EK13" s="26"/>
      <c r="EL13" s="26"/>
    </row>
    <row r="14" spans="1:142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2"/>
        <v>3</v>
      </c>
      <c r="Z14" s="26" t="str">
        <f>IF(tblData[[#This Row],[Date]]&lt;StartDt2Korea,"",tblData[[#This Row],[Date]]-StartDt2Korea)</f>
        <v/>
      </c>
      <c r="AA14" s="26" t="str">
        <f>IF(tblData[[#This Row],[Date]]&lt;UKStart,"",tblData[[#This Row],[Date]]-UKStart)</f>
        <v/>
      </c>
      <c r="AB14">
        <f>IF(tblData[Date]&gt;=StartDt2Au,tblData[Date]-StartDt2Au,"")</f>
        <v>0</v>
      </c>
      <c r="AC14" s="26">
        <f>IF(tblData[New South Wales]&gt;=0,SUM(tblData[[#This Row],[Australian Capital Territory]:[Western Australia]]),"")</f>
        <v>0</v>
      </c>
      <c r="AD14" s="26">
        <f>IF(ISNUMBER(tblData[Au]),tblData[Au]/$AA$9,"")</f>
        <v>0</v>
      </c>
      <c r="AE14" s="19">
        <f>IF(ISNUMBER(tblData[[#This Row],[Day'# Aust]]),betaAu/(deltaAu+betaPodeltaAu*EXP(-betaAu*tblData[[#This Row],[Day'# Aust]])),"")</f>
        <v>8.3106214738320611E-3</v>
      </c>
      <c r="AF14" s="72">
        <f>IF(ISNUMBER(tblData[Day'# Aust]),tblData[Au LogiP(t)]/$AD$9,"")</f>
        <v>3.2765421360321958E-3</v>
      </c>
      <c r="AG14" s="11">
        <f>IF(AND(tblData[Date]&gt;=StartDt2Au,ISNUMBER(tblData[NSW])),(tblData[[#This Row],[Au LogiP(t)]]-tblData[[#This Row],[Au]])^2,"")</f>
        <v>6.9066429281318574E-5</v>
      </c>
      <c r="AH14" t="str">
        <f>IF(tblData[Date]&gt;StartDt2NSW,tblData[Date]-StartDt2NSW,"")</f>
        <v/>
      </c>
      <c r="AI14">
        <v>0</v>
      </c>
      <c r="AJ14" s="11" t="str">
        <f>IF(tblData[Date]&gt;StartDt2NSW,betaNSW/(deltaNSW+betaPodeltaNSW*EXP(-betaNSW*tblData[[#This Row],[Day '# NSW]])),"")</f>
        <v/>
      </c>
      <c r="AK14" s="12" t="str">
        <f>IF(AND(ISNUMBER(tblData[NSW]),tblData[Date]&gt;StartDt2NSW),(tblData[[#This Row],[NSW LogiP(t)]]-tblData[[#This Row],[NSW]])^2,"")</f>
        <v/>
      </c>
      <c r="AL14" s="12" t="str">
        <f>IF(AND(tblData[Date]&gt;StartDt2NSW,ISNUMBER(tblData[Day'# Aust])),tblData[NSW LogiP(t)]/$AG$9,"")</f>
        <v/>
      </c>
      <c r="AM14" s="11" t="str">
        <f>IF(AND(tblData[Date]&gt;StartDt2Italy,ISNUMBER(tblData[Days'# Italy])),betaItaly/(deltaItaly+betaPodeltaItaly*EXP(-betaItaly*tblData[Days'# Italy])),"")</f>
        <v/>
      </c>
      <c r="AN14" s="11" t="str">
        <f>IF(AND(tblData[Date]&gt;StartDt2Italy,ISNUMBER(tblData[Italy])),(tblData[[#This Row],[Italy LogiP(t)]]-tblData[[#This Row],[Italy]])^2,"")</f>
        <v/>
      </c>
      <c r="AO14" s="11" t="str">
        <f>IF(AND(tblData[Date]&gt;StartDt2Italy,ISNUMBER(tblData[Days'# Italy])),tblData[[#This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IF(tblData[Date]&gt;=StartDt2Korea,betaSKorea/(deltaSKorea+betaPodeltaSKorea*EXP(-betaSKorea*(tblData[Date]-StartDt2Korea))),"")</f>
        <v/>
      </c>
      <c r="AT14" s="11" t="str">
        <f>IF(AND(tblData[Date]&gt;=StartDt2Korea,ISNUMBER(tblData[SKorea])),(tblData[[#This Row],[SKorea LogiP(t)]]-tblData[[#This Row],[SKorea]])^2,"")</f>
        <v/>
      </c>
      <c r="AU14" s="11" t="str">
        <f>IF(tblData[Date]&gt;=StartDt2Korea,tblData[[#This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2941.3048178027611</v>
      </c>
      <c r="AZ14" s="11">
        <f>IF(ISNUMBER(tblData[China]),(tblData[[#This Row],[China LogiP(t)]]-tblData[[#This Row],[China]])^2,"")</f>
        <v>2357160.8835683698</v>
      </c>
      <c r="BA14" s="11">
        <f>tblData[[#This Row],[China LogiP(t)]]/$AY$9</f>
        <v>20.435324329713296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485</v>
      </c>
      <c r="BL14" s="83">
        <v>43912.873854166668</v>
      </c>
      <c r="BM14" s="27">
        <v>43852</v>
      </c>
      <c r="BN14" s="27">
        <v>43870</v>
      </c>
      <c r="BO14" s="26">
        <v>3</v>
      </c>
      <c r="BP14" s="23">
        <v>0.33723338069623404</v>
      </c>
      <c r="BQ14" s="25">
        <v>9.9999999999795755E-11</v>
      </c>
      <c r="BR14" s="22">
        <v>2.5463658145686113E-2</v>
      </c>
      <c r="BS14" s="24">
        <f>betaUS/deltaUS</f>
        <v>3372333806.9692283</v>
      </c>
      <c r="BT14" s="37">
        <f>SQRT(SUM(tblData[US Sq Err])/COUNT(tblData[US Sq Err]))</f>
        <v>322.06292198158718</v>
      </c>
      <c r="BU14" s="24">
        <f>(betaUS/PoUS)-deltaUS</f>
        <v>13.243713011078873</v>
      </c>
      <c r="BV14" s="24">
        <f>deltaUS*1000</f>
        <v>9.9999999999795755E-8</v>
      </c>
      <c r="BW14" s="24"/>
      <c r="BX14" s="27">
        <f t="array" ref="BX14">MAX(IF(ISNUMBER(tblData[US]),tblData[Date]))</f>
        <v>43911</v>
      </c>
      <c r="BY14" s="27" t="str">
        <f t="shared" si="0"/>
        <v>3.37 G</v>
      </c>
      <c r="BZ14" s="44">
        <f>MAX(tblData[US LogiP(t)])</f>
        <v>3372333806.9692283</v>
      </c>
      <c r="CA14" s="26">
        <f>MAX(tblData[US])</f>
        <v>25489</v>
      </c>
      <c r="CB14" s="26" t="str">
        <f>Cengnotation(BS14/(USpop/PerPerson),3)</f>
        <v>102 M</v>
      </c>
      <c r="CC14" s="27">
        <f t="array" ref="CC14">MAX(IF(ISNUMBER(tblData[Italy]),tblData[Date]))</f>
        <v>43911</v>
      </c>
      <c r="CD14" s="19">
        <f t="array" ref="CD14">COUNT(IF(ISNUMBER(tblData[US]),tblData[Date]))</f>
        <v>42</v>
      </c>
      <c r="CE14" s="27" t="str">
        <f>"b="&amp;TEXT(BP14,"##0.###")&amp;", d="&amp;TEXT(BQ14,"0.00E+00")&amp;", P0="&amp;TEXT(BR14,"#.###")&amp;" Limit="&amp;IF(PopScaling=0,BY14,CB14)&amp;"=&gt;"&amp;Cengnotation(BZ14,3)&amp;" cases "&amp;CH14</f>
        <v xml:space="preserve">b=0.337, d=1.00E-10, P0=.025 Limit=102 M=&gt;3.37 G cases </v>
      </c>
      <c r="CF14" s="26"/>
      <c r="CG14" s="26" t="str">
        <f t="shared" si="1"/>
        <v>USA Limit 102 M</v>
      </c>
      <c r="CH14" s="33"/>
      <c r="CI14" s="18" t="str">
        <f>"COVID19 "&amp;BK14 &amp; " " &amp;LogFormula&amp;CHAR(10)&amp;CE14&amp;CHAR(10)&amp;TEXT(CC14," dd-mmm")&amp;IF(PopScaling=0,"",", "&amp;PerPersonLabel)</f>
        <v>COVID19 USA P(t) = b / {d+[( b/Po - d ) ]* exp(-b*t)}
b=0.337, d=1.00E-10, P0=.025 Limit=102 M=&gt;3.37 G cases 
 21-Mar, Cases per 10 M population</v>
      </c>
      <c r="CJ14" s="21">
        <f>MAX(tblData[US Cases Per Capita])</f>
        <v>774.20570743755002</v>
      </c>
      <c r="CK14" s="27">
        <f>IF(CJ14&gt;NSWMaxCasespc,INDEX(tblData[Date],1+MATCH(NSWMaxCasespc,tblData[US Cases Per Capita],1)),INDEX(tblData[Date],1+MATCH(CJ14,tblData[NSW Cases per Capita],1)))</f>
        <v>43911</v>
      </c>
      <c r="CL14" s="11">
        <f>IF(CJ14&gt;NSWMaxCasespc,1,-1)*(BX$12-CK14)</f>
        <v>1</v>
      </c>
      <c r="CM14" s="27">
        <f>IF(CJ14&gt;AuMaxCasespc,INDEX(tblData[Date],1+MATCH(AuMaxCasespc,tblData[US Cases Per Capita],1)),INDEX(tblData[Date],1+MATCH(CJ14,tblData[Au Cases Per Capita],1)))</f>
        <v>43910</v>
      </c>
      <c r="CN14" s="11">
        <f>IF(CJ14&gt;AuMaxCasespc,1,-1)*(BX$13-CM14+1)</f>
        <v>2</v>
      </c>
      <c r="CO14" s="26"/>
      <c r="CQ14" s="26"/>
      <c r="CR14" s="26"/>
      <c r="DF14" s="26" t="s">
        <v>48</v>
      </c>
      <c r="DG14" s="82">
        <v>43911.866249999999</v>
      </c>
      <c r="DH14" s="27">
        <v>43855</v>
      </c>
      <c r="DI14" s="27">
        <v>43855</v>
      </c>
      <c r="DJ14" s="26">
        <v>0</v>
      </c>
      <c r="DK14" s="26">
        <v>0.20648931335259277</v>
      </c>
      <c r="DL14" s="26">
        <v>1.0000000000000768E-9</v>
      </c>
      <c r="DM14" s="26">
        <v>1.0150253776574341E-2</v>
      </c>
      <c r="DN14" s="26">
        <v>206489313.35257691</v>
      </c>
      <c r="DO14" s="19">
        <v>10.992507007919523</v>
      </c>
      <c r="DP14" s="12">
        <v>20.343266078627209</v>
      </c>
      <c r="DQ14" s="26">
        <v>1.0000000000000768E-6</v>
      </c>
      <c r="DR14" s="26"/>
      <c r="DS14" s="27">
        <v>43911</v>
      </c>
      <c r="DT14" s="26" t="s">
        <v>1399</v>
      </c>
      <c r="DV14" s="26">
        <v>1068</v>
      </c>
      <c r="DW14" s="26" t="s">
        <v>1400</v>
      </c>
      <c r="DX14" s="27">
        <v>43911</v>
      </c>
      <c r="DY14" s="26">
        <v>60</v>
      </c>
      <c r="DZ14" s="26" t="s">
        <v>1401</v>
      </c>
      <c r="EB14" s="26" t="s">
        <v>1402</v>
      </c>
      <c r="EC14" s="26"/>
      <c r="ED14" s="26" t="s">
        <v>1403</v>
      </c>
      <c r="EE14" s="26">
        <v>421.06923198233716</v>
      </c>
      <c r="EG14" s="26"/>
      <c r="EI14" s="26"/>
      <c r="EJ14" s="26" t="s">
        <v>1381</v>
      </c>
      <c r="EK14" s="26"/>
      <c r="EL14" s="26"/>
    </row>
    <row r="15" spans="1:142" ht="15" customHeight="1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2"/>
        <v>4</v>
      </c>
      <c r="Z15" s="26" t="str">
        <f>IF(tblData[[#This Row],[Date]]&lt;StartDt2Korea,"",tblData[[#This Row],[Date]]-StartDt2Korea)</f>
        <v/>
      </c>
      <c r="AA15" s="26" t="str">
        <f>IF(tblData[[#This Row],[Date]]&lt;UKStart,"",tblData[[#This Row],[Date]]-UKStart)</f>
        <v/>
      </c>
      <c r="AB15">
        <f>IF(tblData[Date]&gt;=StartDt2Au,tblData[Date]-StartDt2Au,"")</f>
        <v>1</v>
      </c>
      <c r="AC15">
        <f>IF(tblData[New South Wales]&gt;0,SUM(tblData[[#This Row],[Australian Capital Territory]:[Western Australia]]),"")</f>
        <v>4</v>
      </c>
      <c r="AD15" s="12">
        <f>IF(ISNUMBER(tblData[Au]),tblData[Au]/$AA$9,"")</f>
        <v>1.5770383220312254</v>
      </c>
      <c r="AE15" s="19">
        <f>IF(ISNUMBER(tblData[[#This Row],[Day'# Aust]]),betaAu/(deltaAu+betaPodeltaAu*EXP(-betaAu*tblData[[#This Row],[Day'# Aust]])),"")</f>
        <v>1.0256056827909497E-2</v>
      </c>
      <c r="AF15" s="72">
        <f>IF(ISNUMBER(tblData[Day'# Aust]),tblData[Au LogiP(t)]/$AD$9,"")</f>
        <v>4.0435486626358213E-3</v>
      </c>
      <c r="AG15" s="11">
        <f>IF(AND(tblData[Date]&gt;=StartDt2Au,ISNUMBER(tblData[NSW])),(tblData[[#This Row],[Au LogiP(t)]]-tblData[[#This Row],[Au]])^2,"")</f>
        <v>15.918056732078382</v>
      </c>
      <c r="AH15">
        <f>IF(tblData[Date]&gt;StartDt2NSW,tblData[Date]-StartDt2NSW,"")</f>
        <v>1</v>
      </c>
      <c r="AI15">
        <f t="shared" ref="AI15:AI62" si="3">IF(E15&gt;0,E15,"")</f>
        <v>3</v>
      </c>
      <c r="AJ15" s="11">
        <f>IF(tblData[Date]&gt;StartDt2NSW,betaNSW/(deltaNSW+betaPodeltaNSW*EXP(-betaNSW*tblData[[#This Row],[Day '# NSW]])),"")</f>
        <v>5.8981275951668919E-3</v>
      </c>
      <c r="AK15" s="12">
        <f>IF(AND(ISNUMBER(tblData[NSW]),tblData[Date]&gt;StartDt2NSW),(tblData[[#This Row],[NSW LogiP(t)]]-tblData[[#This Row],[NSW]])^2,"")</f>
        <v>8.9646460223381261</v>
      </c>
      <c r="AL15" s="12">
        <f>IF(AND(tblData[Date]&gt;StartDt2NSW,ISNUMBER(tblData[Day'# Aust])),tblData[NSW LogiP(t)]/$AG$9,"")</f>
        <v>7.2996628653055591E-3</v>
      </c>
      <c r="AM15" s="11" t="str">
        <f>IF(AND(tblData[Date]&gt;StartDt2Italy,ISNUMBER(tblData[Days'# Italy])),betaItaly/(deltaItaly+betaPodeltaItaly*EXP(-betaItaly*tblData[Days'# Italy])),"")</f>
        <v/>
      </c>
      <c r="AN15" s="11" t="str">
        <f>IF(AND(tblData[Date]&gt;StartDt2Italy,ISNUMBER(tblData[Italy])),(tblData[[#This Row],[Italy LogiP(t)]]-tblData[[#This Row],[Italy]])^2,"")</f>
        <v/>
      </c>
      <c r="AO15" s="11" t="str">
        <f>IF(AND(tblData[Date]&gt;StartDt2Italy,ISNUMBER(tblData[Days'# Italy])),tblData[[#This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IF(tblData[Date]&gt;=StartDt2Korea,betaSKorea/(deltaSKorea+betaPodeltaSKorea*EXP(-betaSKorea*(tblData[Date]-StartDt2Korea))),"")</f>
        <v/>
      </c>
      <c r="AT15" s="11" t="str">
        <f>IF(AND(tblData[Date]&gt;=StartDt2Korea,ISNUMBER(tblData[SKorea])),(tblData[[#This Row],[SKorea LogiP(t)]]-tblData[[#This Row],[SKorea]])^2,"")</f>
        <v/>
      </c>
      <c r="AU15" s="11" t="str">
        <f>IF(tblData[Date]&gt;=StartDt2Korea,tblData[[#This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3640.059831115112</v>
      </c>
      <c r="AZ15" s="11">
        <f>IF(ISNUMBER(tblData[China]),(tblData[[#This Row],[China LogiP(t)]]-tblData[[#This Row],[China]])^2,"")</f>
        <v>2449412.274970063</v>
      </c>
      <c r="BA15" s="11">
        <f>tblData[[#This Row],[China LogiP(t)]]/$AY$9</f>
        <v>25.290069488264411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83">
        <v>43912.862349537034</v>
      </c>
      <c r="BM15" s="27">
        <v>43852</v>
      </c>
      <c r="BN15" s="27">
        <v>43852</v>
      </c>
      <c r="BO15" s="26">
        <v>4</v>
      </c>
      <c r="BP15" s="23">
        <v>0.2221429979133962</v>
      </c>
      <c r="BQ15" s="25">
        <v>2.7437378104594008E-6</v>
      </c>
      <c r="BR15" s="22">
        <v>1537.6493038446686</v>
      </c>
      <c r="BS15" s="24">
        <f>betaChina/deltaChina</f>
        <v>80963.639115430429</v>
      </c>
      <c r="BT15" s="37">
        <f>SQRT(SUM(tblData[China Sq Err])/COUNT(tblData[China Sq Err]))</f>
        <v>2060.6222776666727</v>
      </c>
      <c r="BU15" s="24">
        <f>(betaChina/PoChina)-deltaChina</f>
        <v>1.4172548372006768E-4</v>
      </c>
      <c r="BV15" s="24">
        <f>deltaChina*1000</f>
        <v>2.743737810459401E-3</v>
      </c>
      <c r="BW15" s="24"/>
      <c r="BX15" s="27">
        <f t="array" ref="BX15">MAX(IF(ISNUMBER(tblData[Italy]),tblData[Date]))</f>
        <v>43911</v>
      </c>
      <c r="BY15" s="27" t="str">
        <f t="shared" si="0"/>
        <v>81.0 k</v>
      </c>
      <c r="BZ15" s="44">
        <f>MAX(tblData[China LogiP(t)])</f>
        <v>80963.638867120171</v>
      </c>
      <c r="CA15" s="26">
        <f>MAX(tblData[China])</f>
        <v>81349</v>
      </c>
      <c r="CB15" s="26" t="str">
        <f>Cengnotation(BS15/(ChinaPop/PerPerson),3)</f>
        <v xml:space="preserve">563  </v>
      </c>
      <c r="CC15" s="27">
        <f t="array" ref="CC15">MAX(IF(ISNUMBER(tblData[China]),tblData[Date]))</f>
        <v>43912</v>
      </c>
      <c r="CD15" s="19">
        <f t="array" ref="CD15">COUNT(IF(ISNUMBER(tblData[China]),tblData[Date]))</f>
        <v>61</v>
      </c>
      <c r="CE15" s="27" t="str">
        <f>"b="&amp;TEXT(BP15,"##0.###")&amp;", d="&amp;TEXT(BQ15,"0.00E+00")&amp;", P0="&amp;TEXT(BR15,"#.###")&amp;" Limit="&amp;IF(PopScaling=0,BY15,CB15)&amp;"=&gt;"&amp;Cengnotation(BZ15,3)&amp;" cases "&amp;CH15</f>
        <v xml:space="preserve">b=0.222, d=2.74E-06, P0=1537.649 Limit=563  =&gt;81.0 k cases </v>
      </c>
      <c r="CF15" s="26"/>
      <c r="CG15" s="26" t="str">
        <f t="shared" si="1"/>
        <v xml:space="preserve">China Limit 563  </v>
      </c>
      <c r="CH15" s="26"/>
      <c r="CI15" s="18" t="str">
        <f>"COVID19 "&amp;BK15 &amp; " " &amp;LogFormula&amp;CHAR(10)&amp;CE15&amp;CHAR(10)&amp;TEXT(CC15," dd-mmm")&amp;IF(PopScaling=0,"",", "&amp;PerPersonLabel)</f>
        <v>COVID19 China P(t) = b / {d+[( b/Po - d ) ]* exp(-b*t)}
b=0.222, d=2.74E-06, P0=1537.649 Limit=563  =&gt;81.0 k cases 
 22-Mar, Cases per 10 M population</v>
      </c>
      <c r="CJ15" s="21">
        <f>MAX(tblData[China Cases Per Capita])</f>
        <v>565.1890238767237</v>
      </c>
      <c r="CK15" s="27">
        <f>IF(CJ15&gt;NSWMaxCasespc,INDEX(tblData[Date],1+MATCH(NSWMaxCasespc,tblData[China Cases Per Capita],1)),INDEX(tblData[Date],1+MATCH(CJ15,tblData[NSW Cases per Capita],1)))</f>
        <v>43912</v>
      </c>
      <c r="CL15" s="11">
        <f>IF(CJ15&gt;NSWMaxCasespc,1,-1)*(BX$12-CK15)</f>
        <v>0</v>
      </c>
      <c r="CM15" s="27">
        <f>IF(CJ15&gt;AuMaxCasespc,INDEX(tblData[Date],1+MATCH(AuMaxCasespc,tblData[China Cases Per Capita],1)),INDEX(tblData[Date],1+MATCH(CJ15,tblData[Au Cases Per Capita],1)))</f>
        <v>43883</v>
      </c>
      <c r="CN15" s="11">
        <f>IF(CJ15&gt;AuMaxCasespc,1,-1)*(BX$13-CM15+1)</f>
        <v>29</v>
      </c>
      <c r="CO15" s="26"/>
      <c r="CQ15" s="26"/>
      <c r="CR15" s="26"/>
      <c r="DF15" s="26" t="s">
        <v>48</v>
      </c>
      <c r="DG15" s="82">
        <v>43911.898379629631</v>
      </c>
      <c r="DH15" s="27">
        <v>43855</v>
      </c>
      <c r="DI15" s="27">
        <v>43855</v>
      </c>
      <c r="DJ15" s="26">
        <v>0</v>
      </c>
      <c r="DK15" s="26">
        <v>0.20648931335259277</v>
      </c>
      <c r="DL15" s="26">
        <v>1.0000000000000768E-9</v>
      </c>
      <c r="DM15" s="26">
        <v>1.0150253776574341E-2</v>
      </c>
      <c r="DN15" s="26">
        <v>206489313.35257691</v>
      </c>
      <c r="DO15" s="26">
        <v>10.992507007919523</v>
      </c>
      <c r="DP15" s="26">
        <v>20.343266078627209</v>
      </c>
      <c r="DQ15" s="26">
        <v>1.0000000000000768E-6</v>
      </c>
      <c r="DR15" s="26"/>
      <c r="DS15" s="27">
        <v>43911</v>
      </c>
      <c r="DT15" s="26" t="s">
        <v>1399</v>
      </c>
      <c r="DV15" s="26">
        <v>1068</v>
      </c>
      <c r="DW15" s="26" t="s">
        <v>1400</v>
      </c>
      <c r="DX15" s="27">
        <v>43911</v>
      </c>
      <c r="DY15" s="26">
        <v>57</v>
      </c>
      <c r="DZ15" s="26" t="s">
        <v>1401</v>
      </c>
      <c r="EA15" s="26"/>
      <c r="EB15" s="26" t="s">
        <v>1402</v>
      </c>
      <c r="EC15" s="26"/>
      <c r="ED15" s="26" t="s">
        <v>1403</v>
      </c>
      <c r="EE15" s="26">
        <v>421.06923198233716</v>
      </c>
      <c r="EG15" s="26"/>
      <c r="EI15" s="26"/>
      <c r="EJ15" t="s">
        <v>1381</v>
      </c>
      <c r="EK15" s="26"/>
      <c r="EL15" s="26"/>
    </row>
    <row r="16" spans="1:142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2"/>
        <v>5</v>
      </c>
      <c r="Z16" s="26" t="str">
        <f>IF(tblData[[#This Row],[Date]]&lt;StartDt2Korea,"",tblData[[#This Row],[Date]]-StartDt2Korea)</f>
        <v/>
      </c>
      <c r="AA16" s="26" t="str">
        <f>IF(tblData[[#This Row],[Date]]&lt;UKStart,"",tblData[[#This Row],[Date]]-UKStart)</f>
        <v/>
      </c>
      <c r="AB16">
        <f>IF(tblData[Date]&gt;=StartDt2Au,tblData[Date]-StartDt2Au,"")</f>
        <v>2</v>
      </c>
      <c r="AC16" s="26">
        <f>IF(tblData[New South Wales]&gt;0,SUM(tblData[[#This Row],[Australian Capital Territory]:[Western Australia]]),"")</f>
        <v>5</v>
      </c>
      <c r="AD16" s="12">
        <f>IF(ISNUMBER(tblData[Au]),tblData[Au]/$AA$9,"")</f>
        <v>1.9712979025390318</v>
      </c>
      <c r="AE16" s="19">
        <f>IF(ISNUMBER(tblData[[#This Row],[Day'# Aust]]),betaAu/(deltaAu+betaPodeltaAu*EXP(-betaAu*tblData[[#This Row],[Day'# Aust]])),"")</f>
        <v>1.2656899605942977E-2</v>
      </c>
      <c r="AF16" s="72">
        <f>IF(ISNUMBER(tblData[Day'# Aust]),tblData[Au LogiP(t)]/$AD$9,"")</f>
        <v>4.9901039291684974E-3</v>
      </c>
      <c r="AG16" s="11">
        <f>IF(AND(tblData[Date]&gt;=StartDt2Au,ISNUMBER(tblData[NSW])),(tblData[[#This Row],[Au LogiP(t)]]-tblData[[#This Row],[Au]])^2,"")</f>
        <v>24.873591201048203</v>
      </c>
      <c r="AH16">
        <f>IF(tblData[Date]&gt;StartDt2NSW,tblData[Date]-StartDt2NSW,"")</f>
        <v>2</v>
      </c>
      <c r="AI16">
        <f t="shared" si="3"/>
        <v>4</v>
      </c>
      <c r="AJ16" s="11">
        <f>IF(tblData[Date]&gt;StartDt2NSW,betaNSW/(deltaNSW+betaPodeltaNSW*EXP(-betaNSW*tblData[[#This Row],[Day '# NSW]])),"")</f>
        <v>7.2539213361546033E-3</v>
      </c>
      <c r="AK16" s="12">
        <f>IF(AND(ISNUMBER(tblData[NSW]),tblData[Date]&gt;StartDt2NSW),(tblData[[#This Row],[NSW LogiP(t)]]-tblData[[#This Row],[NSW]])^2,"")</f>
        <v>15.942021248685515</v>
      </c>
      <c r="AL16" s="12">
        <f>IF(AND(tblData[Date]&gt;StartDt2NSW,ISNUMBER(tblData[Day'# Aust])),tblData[NSW LogiP(t)]/$AG$9,"")</f>
        <v>8.9776254160329246E-3</v>
      </c>
      <c r="AM16" s="11" t="str">
        <f>IF(AND(tblData[Date]&gt;StartDt2Italy,ISNUMBER(tblData[Days'# Italy])),betaItaly/(deltaItaly+betaPodeltaItaly*EXP(-betaItaly*tblData[Days'# Italy])),"")</f>
        <v/>
      </c>
      <c r="AN16" s="11" t="str">
        <f>IF(AND(tblData[Date]&gt;StartDt2Italy,ISNUMBER(tblData[Italy])),(tblData[[#This Row],[Italy LogiP(t)]]-tblData[[#This Row],[Italy]])^2,"")</f>
        <v/>
      </c>
      <c r="AO16" s="11" t="str">
        <f>IF(AND(tblData[Date]&gt;StartDt2Italy,ISNUMBER(tblData[Days'# Italy])),tblData[[#This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IF(tblData[Date]&gt;=StartDt2Korea,betaSKorea/(deltaSKorea+betaPodeltaSKorea*EXP(-betaSKorea*(tblData[Date]-StartDt2Korea))),"")</f>
        <v/>
      </c>
      <c r="AT16" s="11" t="str">
        <f>IF(AND(tblData[Date]&gt;=StartDt2Korea,ISNUMBER(tblData[SKorea])),(tblData[[#This Row],[SKorea LogiP(t)]]-tblData[[#This Row],[SKorea]])^2,"")</f>
        <v/>
      </c>
      <c r="AU16" s="11" t="str">
        <f>IF(tblData[Date]&gt;=StartDt2Korea,tblData[[#This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4495.2513967245332</v>
      </c>
      <c r="AZ16" s="11">
        <f>IF(ISNUMBER(tblData[China]),(tblData[[#This Row],[China LogiP(t)]]-tblData[[#This Row],[China]])^2,"")</f>
        <v>2618737.5830009026</v>
      </c>
      <c r="BA16" s="11">
        <f>tblData[[#This Row],[China LogiP(t)]]/$AY$9</f>
        <v>31.231689989984112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1276</v>
      </c>
      <c r="BL16" s="83">
        <v>43912.862361111111</v>
      </c>
      <c r="BM16" s="27">
        <v>43852</v>
      </c>
      <c r="BN16" s="27">
        <v>43880</v>
      </c>
      <c r="BO16" s="26">
        <v>5</v>
      </c>
      <c r="BP16" s="23">
        <v>0.31530859841320269</v>
      </c>
      <c r="BQ16" s="25">
        <v>3.7372701209800403E-5</v>
      </c>
      <c r="BR16" s="22">
        <v>191.45875124820066</v>
      </c>
      <c r="BS16" s="24">
        <f>betaSKorea/deltaSKorea</f>
        <v>8436.8693780827907</v>
      </c>
      <c r="BT16" s="37">
        <f t="array" ref="BT16">SQRT(SUM(tblData[Skorea Sq Err])/COUNT(tblData[Skorea Sq Err]))</f>
        <v>180.57430626108624</v>
      </c>
      <c r="BU16" s="24">
        <f>(betaSKorea/PoSKorea)-deltaSKorea</f>
        <v>1.6095021287865954E-3</v>
      </c>
      <c r="BV16" s="24">
        <f>deltaSKorea*1000</f>
        <v>3.7372701209800401E-2</v>
      </c>
      <c r="BW16" s="24"/>
      <c r="BX16" s="27">
        <f t="array" ref="BX16">MAX(IF(ISNUMBER(tblData[SKorea]),tblData[Date]))</f>
        <v>43912</v>
      </c>
      <c r="BY16" s="27" t="str">
        <f t="shared" si="0"/>
        <v>8.44 k</v>
      </c>
      <c r="BZ16" s="44">
        <f>MAX(tblData[SKorea LogiP(t)])</f>
        <v>8436.8693780827907</v>
      </c>
      <c r="CA16" s="26">
        <f>MAX(tblData[SKorea])</f>
        <v>8897</v>
      </c>
      <c r="CB16" s="26" t="str">
        <f>Cengnotation(BS16/(SKoreaPop/PerPerson),3)</f>
        <v>1.64 k</v>
      </c>
      <c r="CC16" s="27">
        <f t="array" ref="CC16">MAX(IF(ISNUMBER(tblData[SKorea]),tblData[Date]))</f>
        <v>43912</v>
      </c>
      <c r="CD16" s="19">
        <f t="array" ref="CD16">COUNT(IF(ISNUMBER(tblData[SKorea]),tblData[Date]))</f>
        <v>61</v>
      </c>
      <c r="CE16" s="27" t="str">
        <f>"b="&amp;TEXT(BP16,"##0.###")&amp;", d="&amp;TEXT(BQ16,"0.00E+00")&amp;", P0="&amp;TEXT(BR16,"#.###")&amp;" Limit="&amp;IF(PopScaling=0,BY16,CB16)&amp;"=&gt;"&amp;Cengnotation(BZ16,3)&amp;" cases "&amp;CH16</f>
        <v xml:space="preserve">b=0.315, d=3.74E-05, P0=191.459 Limit=1.64 k=&gt;8.44 k cases , log fit from 19th Feb </v>
      </c>
      <c r="CF16" s="26"/>
      <c r="CG16" s="26" t="str">
        <f>BK16&amp;" Limit " &amp; IF(PopScaling=0,BY16,CB16) &amp; " fr 19th Feb"</f>
        <v>Skorea Limit 1.64 k fr 19th Feb</v>
      </c>
      <c r="CH16" s="33" t="str">
        <f xml:space="preserve"> ", log fit from 19th Feb "</f>
        <v xml:space="preserve">, log fit from 19th Feb </v>
      </c>
      <c r="CI16" s="18" t="str">
        <f>"COVID19 "&amp;BK16 &amp; " " &amp;LogFormula&amp;CHAR(10)&amp;CE16&amp;CHAR(10)&amp;TEXT(CC16," dd-mmm")&amp;IF(PopScaling=0,"",", "&amp;PerPersonLabel)</f>
        <v>COVID19 Skorea P(t) = b / {d+[( b/Po - d ) ]* exp(-b*t)}
b=0.315, d=3.74E-05, P0=191.459 Limit=1.64 k=&gt;8.44 k cases , log fit from 19th Feb 
 22-Mar, Cases per 10 M population</v>
      </c>
      <c r="CJ16" s="21">
        <f>MAX(tblData[SKorea Cases Per Capita])</f>
        <v>1730.933852140078</v>
      </c>
      <c r="CK16" s="27">
        <f>IF(CJ16&gt;NSWMaxCasespc,INDEX(tblData[Date],1+MATCH(NSWMaxCasespc,tblData[SKorea Cases Per Capita],1)),INDEX(tblData[Date],1+MATCH(CJ16,tblData[NSW Cases per Capita],1)))</f>
        <v>43891</v>
      </c>
      <c r="CL16" s="11">
        <f>IF(CJ16&gt;NSWMaxCasespc,1,-1)*(BX$12-CK16)</f>
        <v>21</v>
      </c>
      <c r="CM16" s="27">
        <f>IF(CJ16&gt;AuMaxCasespc,INDEX(tblData[Date],1+MATCH(AuMaxCasespc,tblData[SKorea Cases Per Capita],1)),INDEX(tblData[Date],1+MATCH(CJ16,tblData[Au Cases Per Capita],1)))</f>
        <v>43890</v>
      </c>
      <c r="CN16" s="11">
        <f>IF(CJ16&gt;AuMaxCasespc,1,-1)*(BX$13-CM16+1)</f>
        <v>22</v>
      </c>
      <c r="CO16" s="26"/>
      <c r="CP16" s="26"/>
      <c r="CQ16" s="26"/>
      <c r="CR16" s="26"/>
      <c r="CS16" s="26"/>
      <c r="CT16" s="26"/>
      <c r="CU16" s="26"/>
      <c r="CV16" s="26"/>
      <c r="CW16" s="26"/>
      <c r="DF16" s="26" t="s">
        <v>48</v>
      </c>
      <c r="DG16" s="82">
        <v>43912.326643518521</v>
      </c>
      <c r="DH16" s="27">
        <v>43855</v>
      </c>
      <c r="DI16" s="27">
        <v>43855</v>
      </c>
      <c r="DJ16" s="26">
        <v>0</v>
      </c>
      <c r="DK16" s="26">
        <v>0.20700169092268883</v>
      </c>
      <c r="DL16" s="26">
        <v>1.0000000000000768E-9</v>
      </c>
      <c r="DM16" s="26">
        <v>9.888722941768591E-3</v>
      </c>
      <c r="DN16" s="26">
        <v>207001690.92267293</v>
      </c>
      <c r="DO16" s="26">
        <v>11.00426291537671</v>
      </c>
      <c r="DP16" s="26">
        <v>20.933106542853348</v>
      </c>
      <c r="DQ16" s="26">
        <v>1.0000000000000768E-6</v>
      </c>
      <c r="DR16" s="26"/>
      <c r="DS16" s="27">
        <v>43911</v>
      </c>
      <c r="DT16" s="26" t="s">
        <v>1415</v>
      </c>
      <c r="DV16" s="26">
        <v>1073</v>
      </c>
      <c r="DW16" s="26" t="s">
        <v>1416</v>
      </c>
      <c r="DX16" s="27">
        <v>43911</v>
      </c>
      <c r="DY16" s="26">
        <v>57</v>
      </c>
      <c r="DZ16" s="26" t="s">
        <v>1417</v>
      </c>
      <c r="EA16" s="26"/>
      <c r="EB16" t="s">
        <v>1418</v>
      </c>
      <c r="EC16" s="26"/>
      <c r="ED16" s="26" t="s">
        <v>1419</v>
      </c>
      <c r="EE16" s="26">
        <v>423.04052988487621</v>
      </c>
      <c r="EG16" s="26"/>
      <c r="EI16" s="26"/>
      <c r="EJ16" t="s">
        <v>1414</v>
      </c>
      <c r="EK16" s="26"/>
      <c r="EL16" s="26"/>
    </row>
    <row r="17" spans="2:142" ht="15" customHeight="1" x14ac:dyDescent="0.25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2"/>
        <v>6</v>
      </c>
      <c r="Z17" s="26" t="str">
        <f>IF(tblData[[#This Row],[Date]]&lt;StartDt2Korea,"",tblData[[#This Row],[Date]]-StartDt2Korea)</f>
        <v/>
      </c>
      <c r="AA17" s="26" t="str">
        <f>IF(tblData[[#This Row],[Date]]&lt;UKStart,"",tblData[[#This Row],[Date]]-UKStart)</f>
        <v/>
      </c>
      <c r="AB17">
        <f>IF(tblData[Date]&gt;=StartDt2Au,tblData[Date]-StartDt2Au,"")</f>
        <v>3</v>
      </c>
      <c r="AC17" s="26">
        <f>IF(tblData[New South Wales]&gt;0,SUM(tblData[[#This Row],[Australian Capital Territory]:[Western Australia]]),"")</f>
        <v>5</v>
      </c>
      <c r="AD17" s="12">
        <f>IF(ISNUMBER(tblData[Au]),tblData[Au]/$AA$9,"")</f>
        <v>1.9712979025390318</v>
      </c>
      <c r="AE17" s="19">
        <f>IF(ISNUMBER(tblData[[#This Row],[Day'# Aust]]),betaAu/(deltaAu+betaPodeltaAu*EXP(-betaAu*tblData[[#This Row],[Day'# Aust]])),"")</f>
        <v>1.5619756239935912E-2</v>
      </c>
      <c r="AF17" s="72">
        <f>IF(ISNUMBER(tblData[Day'# Aust]),tblData[Au LogiP(t)]/$AD$9,"")</f>
        <v>6.1582385427913231E-3</v>
      </c>
      <c r="AG17" s="11">
        <f>IF(AND(tblData[Date]&gt;=StartDt2Au,ISNUMBER(tblData[NSW])),(tblData[[#This Row],[Au LogiP(t)]]-tblData[[#This Row],[Au]])^2,"")</f>
        <v>24.844046414385637</v>
      </c>
      <c r="AH17">
        <f>IF(tblData[Date]&gt;StartDt2NSW,tblData[Date]-StartDt2NSW,"")</f>
        <v>3</v>
      </c>
      <c r="AI17">
        <f t="shared" si="3"/>
        <v>4</v>
      </c>
      <c r="AJ17" s="11">
        <f>IF(tblData[Date]&gt;StartDt2NSW,betaNSW/(deltaNSW+betaPodeltaNSW*EXP(-betaNSW*tblData[[#This Row],[Day '# NSW]])),"")</f>
        <v>8.9213684975834682E-3</v>
      </c>
      <c r="AK17" s="12">
        <f>IF(AND(ISNUMBER(tblData[NSW]),tblData[Date]&gt;StartDt2NSW),(tblData[[#This Row],[NSW LogiP(t)]]-tblData[[#This Row],[NSW]])^2,"")</f>
        <v>15.928708642835202</v>
      </c>
      <c r="AL17" s="12">
        <f>IF(AND(tblData[Date]&gt;StartDt2NSW,ISNUMBER(tblData[Day'# Aust])),tblData[NSW LogiP(t)]/$AG$9,"")</f>
        <v>1.1041297645524093E-2</v>
      </c>
      <c r="AM17" s="11" t="str">
        <f>IF(AND(tblData[Date]&gt;StartDt2Italy,ISNUMBER(tblData[Days'# Italy])),betaItaly/(deltaItaly+betaPodeltaItaly*EXP(-betaItaly*tblData[Days'# Italy])),"")</f>
        <v/>
      </c>
      <c r="AN17" s="11" t="str">
        <f>IF(AND(tblData[Date]&gt;StartDt2Italy,ISNUMBER(tblData[Italy])),(tblData[[#This Row],[Italy LogiP(t)]]-tblData[[#This Row],[Italy]])^2,"")</f>
        <v/>
      </c>
      <c r="AO17" s="11" t="str">
        <f>IF(AND(tblData[Date]&gt;StartDt2Italy,ISNUMBER(tblData[Days'# Italy])),tblData[[#This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IF(tblData[Date]&gt;=StartDt2Korea,betaSKorea/(deltaSKorea+betaPodeltaSKorea*EXP(-betaSKorea*(tblData[Date]-StartDt2Korea))),"")</f>
        <v/>
      </c>
      <c r="AT17" s="11" t="str">
        <f>IF(AND(tblData[Date]&gt;=StartDt2Korea,ISNUMBER(tblData[SKorea])),(tblData[[#This Row],[SKorea LogiP(t)]]-tblData[[#This Row],[SKorea]])^2,"")</f>
        <v/>
      </c>
      <c r="AU17" s="11" t="str">
        <f>IF(tblData[Date]&gt;=StartDt2Korea,tblData[[#This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5536.9734246185444</v>
      </c>
      <c r="AZ17" s="11">
        <f>IF(ISNUMBER(tblData[China]),(tblData[[#This Row],[China LogiP(t)]]-tblData[[#This Row],[China]])^2,"")</f>
        <v>782.51248488938666</v>
      </c>
      <c r="BA17" s="11">
        <f>tblData[[#This Row],[China LogiP(t)]]/$AY$9</f>
        <v>38.469269506589079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1243</v>
      </c>
      <c r="BL17" s="83">
        <v>43912.862372685187</v>
      </c>
      <c r="BM17" s="27">
        <v>43860</v>
      </c>
      <c r="BN17" s="27">
        <v>43860</v>
      </c>
      <c r="BO17" s="26">
        <v>6</v>
      </c>
      <c r="BP17" s="23">
        <v>0.23594006316216126</v>
      </c>
      <c r="BQ17" s="25">
        <v>9.9999999999999903E-10</v>
      </c>
      <c r="BR17" s="22">
        <v>2.9674631046950263E-2</v>
      </c>
      <c r="BS17" s="24">
        <f>betaUK/deltaUK</f>
        <v>235940063.1621615</v>
      </c>
      <c r="BT17" s="37">
        <f>SQRT(SUM(tblData[UK Sq Err])/COUNT(tblData[UK Sq Err]))</f>
        <v>71.927182904252248</v>
      </c>
      <c r="BU17" s="24">
        <f>(betaUK/PoUK)-deltaUK</f>
        <v>7.9509013190152125</v>
      </c>
      <c r="BV17" s="24">
        <f>deltaUK*1000</f>
        <v>9.9999999999999911E-7</v>
      </c>
      <c r="BW17" s="24"/>
      <c r="BX17" s="27">
        <f t="array" ref="BX17">MAX(IF(ISNUMBER(tblData[UK]),tblData[Date]))</f>
        <v>43911</v>
      </c>
      <c r="BY17" s="27" t="str">
        <f t="shared" si="0"/>
        <v>236 M</v>
      </c>
      <c r="BZ17" s="44">
        <f>MAX(tblData[UK LogiP(t)])</f>
        <v>235940063.1621615</v>
      </c>
      <c r="CA17" s="26">
        <f>MAX(tblData[UK])</f>
        <v>5067</v>
      </c>
      <c r="CB17" s="26" t="str">
        <f>Cengnotation(BS17/(UKPop/PerPerson),3)</f>
        <v>35.5 M</v>
      </c>
      <c r="CC17" s="27">
        <f t="array" ref="CC17">MAX(IF(ISNUMBER(tblData[UK]),tblData[Date]))</f>
        <v>43911</v>
      </c>
      <c r="CD17" s="19">
        <f t="array" ref="CD17">COUNT(IF(ISNUMBER(tblData[UK]),tblData[Date]))</f>
        <v>52</v>
      </c>
      <c r="CE17" s="27" t="str">
        <f>"b="&amp;TEXT(BP17,"##0.###")&amp;", d="&amp;TEXT(BQ17,"0.00E+00")&amp;", P0="&amp;TEXT(BR17,"#.###")&amp;" Limit="&amp;IF(PopScaling=0,BY17,CB17)&amp;"=&gt;"&amp;Cengnotation(BZ17,3)&amp;" cases "&amp;CH17</f>
        <v xml:space="preserve">b=0.236, d=1.00E-09, P0=.03 Limit=35.5 M=&gt;236 M cases </v>
      </c>
      <c r="CF17" s="26"/>
      <c r="CG17" s="26" t="str">
        <f t="shared" si="1"/>
        <v>UK Limit 35.5 M</v>
      </c>
      <c r="CH17" s="26"/>
      <c r="CI17" s="18" t="str">
        <f>"COVID19 "&amp;BK17 &amp; " " &amp;LogFormula&amp;CHAR(10)&amp;CE17&amp;CHAR(10)&amp;TEXT(CC17," dd-mmm")&amp;IF(PopScaling=0,"",", "&amp;PerPersonLabel)</f>
        <v>COVID19 UK P(t) = b / {d+[( b/Po - d ) ]* exp(-b*t)}
b=0.236, d=1.00E-09, P0=.03 Limit=35.5 M=&gt;236 M cases 
 21-Mar, Cases per 10 M population</v>
      </c>
      <c r="CJ17" s="21">
        <f>MAX(tblData[UK Cases Per Capita])</f>
        <v>762.64298615291989</v>
      </c>
      <c r="CK17" s="27">
        <f>IF(CJ17&gt;NSWMaxCasespc,INDEX(tblData[Date],1+MATCH(NSWMaxCasespc,tblData[UK Cases Per Capita],1)),INDEX(tblData[Date],1+MATCH(CJ17,tblData[NSW Cases per Capita],1)))</f>
        <v>43911</v>
      </c>
      <c r="CL17" s="11">
        <f>IF(CJ17&gt;NSWMaxCasespc,1,-1)*(BX$12-CK17)</f>
        <v>1</v>
      </c>
      <c r="CM17" s="27">
        <f>IF(CJ17&gt;AuMaxCasespc,INDEX(tblData[Date],1+MATCH(AuMaxCasespc,tblData[UK Cases Per Capita],1)),INDEX(tblData[Date],1+MATCH(CJ17,tblData[Au Cases Per Capita],1)))</f>
        <v>43910</v>
      </c>
      <c r="CN17" s="11">
        <f>IF(CJ17&gt;AuMaxCasespc,1,-1)*(BX$13-CM17+1)</f>
        <v>2</v>
      </c>
      <c r="CO17" s="26"/>
      <c r="CP17" s="26"/>
      <c r="CQ17" s="26"/>
      <c r="CR17" s="26"/>
      <c r="CS17" s="26"/>
      <c r="CT17" s="26"/>
      <c r="CU17" s="26"/>
      <c r="CV17" s="26"/>
      <c r="CW17" s="26"/>
      <c r="DF17" s="26" t="s">
        <v>48</v>
      </c>
      <c r="DG17" s="82">
        <v>43912.58866898148</v>
      </c>
      <c r="DH17" s="27">
        <v>43855</v>
      </c>
      <c r="DI17" s="27">
        <v>43855</v>
      </c>
      <c r="DJ17" s="26">
        <v>0</v>
      </c>
      <c r="DK17" s="26">
        <v>0.20700168935626589</v>
      </c>
      <c r="DL17" s="26">
        <v>3.2194465727293212E-6</v>
      </c>
      <c r="DM17" s="26">
        <v>9.8887229355213678E-3</v>
      </c>
      <c r="DN17" s="26">
        <v>64297.289822945546</v>
      </c>
      <c r="DO17" s="26">
        <v>11.818703286404629</v>
      </c>
      <c r="DP17" s="26">
        <v>20.933103179226336</v>
      </c>
      <c r="DQ17" s="26">
        <v>3.2194465727293214E-3</v>
      </c>
      <c r="DR17" s="26"/>
      <c r="DS17" s="27">
        <v>43912</v>
      </c>
      <c r="DT17" s="26" t="s">
        <v>1552</v>
      </c>
      <c r="DV17" s="26">
        <v>1267</v>
      </c>
      <c r="DW17" s="26" t="s">
        <v>1553</v>
      </c>
      <c r="DX17" s="27">
        <v>43912</v>
      </c>
      <c r="DY17" s="26">
        <v>58</v>
      </c>
      <c r="DZ17" s="26" t="s">
        <v>1554</v>
      </c>
      <c r="EA17" s="26"/>
      <c r="EB17" s="26" t="s">
        <v>1555</v>
      </c>
      <c r="EC17" s="26"/>
      <c r="ED17" s="26" t="s">
        <v>1556</v>
      </c>
      <c r="EE17" s="26">
        <v>499.52688850339064</v>
      </c>
      <c r="EG17" s="26"/>
      <c r="EI17" s="26"/>
      <c r="EJ17" s="26" t="s">
        <v>1551</v>
      </c>
      <c r="EK17" s="26"/>
      <c r="EL17" s="26"/>
    </row>
    <row r="18" spans="2:142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2"/>
        <v>7</v>
      </c>
      <c r="Z18" s="26" t="str">
        <f>IF(tblData[[#This Row],[Date]]&lt;StartDt2Korea,"",tblData[[#This Row],[Date]]-StartDt2Korea)</f>
        <v/>
      </c>
      <c r="AA18" s="26" t="str">
        <f>IF(tblData[[#This Row],[Date]]&lt;UKStart,"",tblData[[#This Row],[Date]]-UKStart)</f>
        <v/>
      </c>
      <c r="AB18">
        <f>IF(tblData[Date]&gt;=StartDt2Au,tblData[Date]-StartDt2Au,"")</f>
        <v>4</v>
      </c>
      <c r="AC18" s="26">
        <f>IF(tblData[New South Wales]&gt;0,SUM(tblData[[#This Row],[Australian Capital Territory]:[Western Australia]]),"")</f>
        <v>6</v>
      </c>
      <c r="AD18" s="12">
        <f>IF(ISNUMBER(tblData[Au]),tblData[Au]/$AA$9,"")</f>
        <v>2.365557483046838</v>
      </c>
      <c r="AE18" s="19">
        <f>IF(ISNUMBER(tblData[[#This Row],[Day'# Aust]]),betaAu/(deltaAu+betaPodeltaAu*EXP(-betaAu*tblData[[#This Row],[Day'# Aust]])),"")</f>
        <v>1.9276188686870709E-2</v>
      </c>
      <c r="AF18" s="72">
        <f>IF(ISNUMBER(tblData[Day'# Aust]),tblData[Au LogiP(t)]/$AD$9,"")</f>
        <v>7.5998220654749683E-3</v>
      </c>
      <c r="AG18" s="11">
        <f>IF(AND(tblData[Date]&gt;=StartDt2Au,ISNUMBER(tblData[NSW])),(tblData[[#This Row],[Au LogiP(t)]]-tblData[[#This Row],[Au]])^2,"")</f>
        <v>35.769057307207838</v>
      </c>
      <c r="AH18">
        <f>IF(tblData[Date]&gt;StartDt2NSW,tblData[Date]-StartDt2NSW,"")</f>
        <v>4</v>
      </c>
      <c r="AI18">
        <f t="shared" si="3"/>
        <v>4</v>
      </c>
      <c r="AJ18" s="11">
        <f>IF(tblData[Date]&gt;StartDt2NSW,betaNSW/(deltaNSW+betaPodeltaNSW*EXP(-betaNSW*tblData[[#This Row],[Day '# NSW]])),"")</f>
        <v>1.0972107750594737E-2</v>
      </c>
      <c r="AK18" s="12">
        <f>IF(AND(ISNUMBER(tblData[NSW]),tblData[Date]&gt;StartDt2NSW),(tblData[[#This Row],[NSW LogiP(t)]]-tblData[[#This Row],[NSW]])^2,"")</f>
        <v>15.912343525143731</v>
      </c>
      <c r="AL18" s="12">
        <f>IF(AND(tblData[Date]&gt;StartDt2NSW,ISNUMBER(tblData[Day'# Aust])),tblData[NSW LogiP(t)]/$AG$9,"")</f>
        <v>1.3579341275488535E-2</v>
      </c>
      <c r="AM18" s="11" t="str">
        <f>IF(AND(tblData[Date]&gt;StartDt2Italy,ISNUMBER(tblData[Days'# Italy])),betaItaly/(deltaItaly+betaPodeltaItaly*EXP(-betaItaly*tblData[Days'# Italy])),"")</f>
        <v/>
      </c>
      <c r="AN18" s="11" t="str">
        <f>IF(AND(tblData[Date]&gt;StartDt2Italy,ISNUMBER(tblData[Italy])),(tblData[[#This Row],[Italy LogiP(t)]]-tblData[[#This Row],[Italy]])^2,"")</f>
        <v/>
      </c>
      <c r="AO18" s="11" t="str">
        <f>IF(AND(tblData[Date]&gt;StartDt2Italy,ISNUMBER(tblData[Days'# Italy])),tblData[[#This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IF(tblData[Date]&gt;=StartDt2Korea,betaSKorea/(deltaSKorea+betaPodeltaSKorea*EXP(-betaSKorea*(tblData[Date]-StartDt2Korea))),"")</f>
        <v/>
      </c>
      <c r="AT18" s="11" t="str">
        <f>IF(AND(tblData[Date]&gt;=StartDt2Korea,ISNUMBER(tblData[SKorea])),(tblData[[#This Row],[SKorea LogiP(t)]]-tblData[[#This Row],[SKorea]])^2,"")</f>
        <v/>
      </c>
      <c r="AU18" s="11" t="str">
        <f>IF(tblData[Date]&gt;=StartDt2Korea,tblData[[#This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6798.6394017841612</v>
      </c>
      <c r="AZ18" s="11">
        <f>IF(ISNUMBER(tblData[China]),(tblData[[#This Row],[China LogiP(t)]]-tblData[[#This Row],[China]])^2,"")</f>
        <v>506430.63817171886</v>
      </c>
      <c r="BA18" s="11">
        <f>tblData[[#This Row],[China LogiP(t)]]/$AY$9</f>
        <v>47.234955158443526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981</v>
      </c>
      <c r="BL18" s="83">
        <v>43912.862384259257</v>
      </c>
      <c r="BM18" s="27"/>
      <c r="BN18" s="13">
        <v>43896</v>
      </c>
      <c r="BO18" s="26">
        <v>7</v>
      </c>
      <c r="BP18" s="23">
        <v>0.20209478104227763</v>
      </c>
      <c r="BQ18" s="25">
        <v>1.0000000000000751E-10</v>
      </c>
      <c r="BR18" s="22">
        <v>5.7886977342360797E-3</v>
      </c>
      <c r="BS18" s="24">
        <f>betaTests/deltaTests</f>
        <v>2020947810.4226243</v>
      </c>
      <c r="BT18" s="37">
        <f>SQRT(SUM(tblData[NSW Test Sq Err])/COUNT(tblData[NSW Test Sq Err]))</f>
        <v>2141.4153557262753</v>
      </c>
      <c r="BU18" s="24">
        <f>(betaTests/PoTests)-deltaTests</f>
        <v>34.911959532184611</v>
      </c>
      <c r="BV18" s="24">
        <f>deltaTests*1000</f>
        <v>1.0000000000000751E-7</v>
      </c>
      <c r="BW18" s="24"/>
      <c r="BX18" s="27">
        <f t="array" ref="BX18">MAX(IF(ISNUMBER(tblData[NSW Number of Tests]),tblData[Date]))</f>
        <v>43911</v>
      </c>
      <c r="BY18" s="27" t="str">
        <f t="shared" si="0"/>
        <v>2.02 G</v>
      </c>
      <c r="BZ18" s="27"/>
      <c r="CA18" s="26">
        <f>MAX(tblData[NSW Number of Tests])</f>
        <v>46456</v>
      </c>
      <c r="CB18" s="26" t="str">
        <f>Cengnotation(BS18/(NSWpop/PerPerson),3)</f>
        <v>2.50 G</v>
      </c>
      <c r="CC18" s="27">
        <f t="array" ref="CC18">MAX(IF(ISNUMBER(tblData[NSW Number of Tests]),tblData[Date]))</f>
        <v>43911</v>
      </c>
      <c r="CD18" s="19">
        <f t="array" ref="CD18">COUNT(IF(ISNUMBER(tblData[NSW Number of Tests]),tblData[Date]))</f>
        <v>16</v>
      </c>
      <c r="CE18" s="27" t="str">
        <f>"b="&amp;TEXT(BP18,"##0.###")&amp;", d="&amp;TEXT(BQ18,"0.00E+00")&amp;", P0="&amp;TEXT(BR18,"#.###")&amp;" Limit="&amp;IF(PopScaling=0,BY18,CB18)</f>
        <v>b=0.202, d=1.00E-10, P0=.006 Limit=2.50 G</v>
      </c>
      <c r="CF18" s="26"/>
      <c r="CG18" s="26" t="str">
        <f t="shared" si="1"/>
        <v>Tests Limit 2.50 G</v>
      </c>
      <c r="CH18" s="26"/>
      <c r="CI18" s="18" t="str">
        <f>"COVID19 "&amp;BK18 &amp; " " &amp;LogFormula&amp;CHAR(10)&amp;CE18&amp;CHAR(10)&amp;TEXT(CC18," dd-mmm")&amp;IF(PopScaling=0,"",", "&amp;PerPersonLabel)&amp;CH18</f>
        <v>COVID19 Tests P(t) = b / {d+[( b/Po - d ) ]* exp(-b*t)}
b=0.202, d=1.00E-10, P0=.006 Limit=2.50 G
 21-Mar, Cases per 10 M population</v>
      </c>
      <c r="CJ18" s="26"/>
      <c r="CK18" s="19"/>
      <c r="CL18" s="19"/>
      <c r="CM18" s="26"/>
      <c r="CN18" s="26"/>
      <c r="CO18" s="26"/>
      <c r="CP18" s="26"/>
      <c r="CQ18" s="26"/>
      <c r="CR18" s="26"/>
      <c r="DF18" s="26" t="s">
        <v>48</v>
      </c>
      <c r="DG18" s="82">
        <v>43912.787418981483</v>
      </c>
      <c r="DH18" s="27">
        <v>43855</v>
      </c>
      <c r="DI18" s="27">
        <v>43855</v>
      </c>
      <c r="DJ18" s="26">
        <v>0</v>
      </c>
      <c r="DK18" s="26">
        <v>0.20992855907156063</v>
      </c>
      <c r="DL18" s="26">
        <v>9.9999999999795755E-11</v>
      </c>
      <c r="DM18" s="26">
        <v>8.4862960776543872E-3</v>
      </c>
      <c r="DN18" s="26">
        <v>2099285590.7198939</v>
      </c>
      <c r="DO18" s="26">
        <v>11.255677732956892</v>
      </c>
      <c r="DP18" s="26">
        <v>24.737359756217259</v>
      </c>
      <c r="DQ18" s="26">
        <v>9.9999999999795755E-8</v>
      </c>
      <c r="DR18" s="26"/>
      <c r="DS18" s="27">
        <v>43912</v>
      </c>
      <c r="DT18" s="26" t="s">
        <v>1574</v>
      </c>
      <c r="DU18" s="26">
        <v>2099285590.7198939</v>
      </c>
      <c r="DV18" s="26">
        <v>1349</v>
      </c>
      <c r="DW18" s="26" t="s">
        <v>1575</v>
      </c>
      <c r="DX18" s="27">
        <v>43912</v>
      </c>
      <c r="DY18" s="26">
        <v>58</v>
      </c>
      <c r="DZ18" s="26" t="s">
        <v>1576</v>
      </c>
      <c r="EA18" s="26"/>
      <c r="EB18" s="26" t="s">
        <v>1577</v>
      </c>
      <c r="EC18" s="26"/>
      <c r="ED18" s="26" t="s">
        <v>1578</v>
      </c>
      <c r="EE18" s="26">
        <v>531.85617410503073</v>
      </c>
      <c r="EG18" s="26"/>
      <c r="EI18" s="26"/>
      <c r="EJ18" s="26" t="s">
        <v>1573</v>
      </c>
      <c r="EK18" s="26"/>
      <c r="EL18" s="26"/>
    </row>
    <row r="19" spans="2:142" ht="15" customHeight="1" x14ac:dyDescent="0.3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2"/>
        <v>8</v>
      </c>
      <c r="Z19" s="26" t="str">
        <f>IF(tblData[[#This Row],[Date]]&lt;StartDt2Korea,"",tblData[[#This Row],[Date]]-StartDt2Korea)</f>
        <v/>
      </c>
      <c r="AA19" s="26">
        <f>IF(tblData[[#This Row],[Date]]&lt;UKStart,"",tblData[[#This Row],[Date]]-UKStart)</f>
        <v>0</v>
      </c>
      <c r="AB19">
        <f>IF(tblData[Date]&gt;=StartDt2Au,tblData[Date]-StartDt2Au,"")</f>
        <v>5</v>
      </c>
      <c r="AC19" s="26">
        <f>IF(tblData[New South Wales]&gt;0,SUM(tblData[[#This Row],[Australian Capital Territory]:[Western Australia]]),"")</f>
        <v>9</v>
      </c>
      <c r="AD19" s="12">
        <f>IF(ISNUMBER(tblData[Au]),tblData[Au]/$AA$9,"")</f>
        <v>3.548336224570257</v>
      </c>
      <c r="AE19" s="19">
        <f>IF(ISNUMBER(tblData[[#This Row],[Day'# Aust]]),betaAu/(deltaAu+betaPodeltaAu*EXP(-betaAu*tblData[[#This Row],[Day'# Aust]])),"")</f>
        <v>2.3788556273475862E-2</v>
      </c>
      <c r="AF19" s="72">
        <f>IF(ISNUMBER(tblData[Day'# Aust]),tblData[Au LogiP(t)]/$AD$9,"")</f>
        <v>9.3788662172669384E-3</v>
      </c>
      <c r="AG19" s="11">
        <f>IF(AND(tblData[Date]&gt;=StartDt2Au,ISNUMBER(tblData[NSW])),(tblData[[#This Row],[Au LogiP(t)]]-tblData[[#This Row],[Au]])^2,"")</f>
        <v>80.572371882487033</v>
      </c>
      <c r="AH19">
        <f>IF(tblData[Date]&gt;StartDt2NSW,tblData[Date]-StartDt2NSW,"")</f>
        <v>5</v>
      </c>
      <c r="AI19">
        <f t="shared" si="3"/>
        <v>4</v>
      </c>
      <c r="AJ19" s="11">
        <f>IF(tblData[Date]&gt;StartDt2NSW,betaNSW/(deltaNSW+betaPodeltaNSW*EXP(-betaNSW*tblData[[#This Row],[Day '# NSW]])),"")</f>
        <v>1.3494244870658045E-2</v>
      </c>
      <c r="AK19" s="12">
        <f>IF(AND(ISNUMBER(tblData[NSW]),tblData[Date]&gt;StartDt2NSW),(tblData[[#This Row],[NSW LogiP(t)]]-tblData[[#This Row],[NSW]])^2,"")</f>
        <v>15.892228135679364</v>
      </c>
      <c r="AL19" s="12">
        <f>IF(AND(tblData[Date]&gt;StartDt2NSW,ISNUMBER(tblData[Day'# Aust])),tblData[NSW LogiP(t)]/$AG$9,"")</f>
        <v>1.6700798107250055E-2</v>
      </c>
      <c r="AM19" s="11" t="str">
        <f>IF(AND(tblData[Date]&gt;StartDt2Italy,ISNUMBER(tblData[Days'# Italy])),betaItaly/(deltaItaly+betaPodeltaItaly*EXP(-betaItaly*tblData[Days'# Italy])),"")</f>
        <v/>
      </c>
      <c r="AN19" s="11" t="str">
        <f>IF(AND(tblData[Date]&gt;StartDt2Italy,ISNUMBER(tblData[Italy])),(tblData[[#This Row],[Italy LogiP(t)]]-tblData[[#This Row],[Italy]])^2,"")</f>
        <v/>
      </c>
      <c r="AO19" s="44" t="str">
        <f>IF(AND(tblData[Date]&gt;StartDt2Italy,ISNUMBER(tblData[Days'# Italy])),tblData[[#This Row],[Italy LogiP(t)]]/$AM$9,"")</f>
        <v/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IF(tblData[Date]&gt;=StartDt2Korea,betaSKorea/(deltaSKorea+betaPodeltaSKorea*EXP(-betaSKorea*(tblData[Date]-StartDt2Korea))),"")</f>
        <v/>
      </c>
      <c r="AT19" s="11" t="str">
        <f>IF(AND(tblData[Date]&gt;=StartDt2Korea,ISNUMBER(tblData[SKorea])),(tblData[[#This Row],[SKorea LogiP(t)]]-tblData[[#This Row],[SKorea]])^2,"")</f>
        <v/>
      </c>
      <c r="AU19" s="11" t="str">
        <f>IF(tblData[Date]&gt;=StartDt2Korea,tblData[[#This Row],[SKorea LogiP(t)]]/$AS$9,"")</f>
        <v/>
      </c>
      <c r="AV19" s="11">
        <f>IF(ISNUMBER(tblData[Days'# UK]),betaUK/(deltaUK+betaPodeltaUK*EXP(-betaUK*tblData[Days'# UK])),"")</f>
        <v>2.9674631046950263E-2</v>
      </c>
      <c r="AW19" s="11">
        <f>IF(ISNUMBER(tblData[UK]),(tblData[[#This Row],[UK LogiP(t)]]-tblData[[#This Row],[UK]])^2,"")</f>
        <v>8.8058372777262449E-4</v>
      </c>
      <c r="AX19" s="11">
        <f>IF(ISNUMBER(tblData[Days'# UK]),tblData[[#This Row],[UK LogiP(t)]]/$AV$9,"")</f>
        <v>4.4663803502333326E-3</v>
      </c>
      <c r="AY19" s="11">
        <f>IF(ISNUMBER(tblData[Days'# China]),betaChina/(deltaChina+betaPodeltaChina*EXP(-betaChina*tblData[Days'# China])),"")</f>
        <v>8316.0946762332296</v>
      </c>
      <c r="AZ19" s="11">
        <f>IF(ISNUMBER(tblData[China]),(tblData[[#This Row],[China LogiP(t)]]-tblData[[#This Row],[China]])^2,"")</f>
        <v>30658.145645219505</v>
      </c>
      <c r="BA19" s="11">
        <f>tblData[[#This Row],[China LogiP(t)]]/$AY$9</f>
        <v>57.777789923990177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M19" s="27"/>
      <c r="BN19" s="27"/>
      <c r="BO19" s="26"/>
      <c r="BP19" s="23"/>
      <c r="BQ19" s="25"/>
      <c r="BR19" s="22"/>
      <c r="BS19" s="26"/>
      <c r="BT19" s="12"/>
      <c r="BU19" s="26"/>
      <c r="BV19" s="24"/>
      <c r="BW19" s="24"/>
      <c r="BX19" s="24"/>
      <c r="BY19" s="24"/>
      <c r="BZ19" s="24"/>
      <c r="CB19" s="26"/>
      <c r="CC19" s="27"/>
      <c r="CD19" s="19"/>
      <c r="CE19" s="27"/>
      <c r="CF19" s="26"/>
      <c r="CG19" s="26"/>
      <c r="CH19" s="18"/>
      <c r="CI19" s="26"/>
      <c r="CJ19" s="26"/>
      <c r="CK19" s="19"/>
      <c r="CL19" s="19"/>
      <c r="CM19" s="26"/>
      <c r="CN19" s="26"/>
      <c r="CO19" s="26"/>
      <c r="CP19" s="26"/>
      <c r="CQ19" s="26"/>
      <c r="CR19" s="26"/>
      <c r="DF19" s="26" t="s">
        <v>202</v>
      </c>
      <c r="DH19" s="27">
        <v>43855</v>
      </c>
      <c r="DJ19" s="26">
        <v>1</v>
      </c>
      <c r="DK19" s="23">
        <v>0.19302410780606497</v>
      </c>
      <c r="DL19" s="25">
        <v>2.763601010404924E-4</v>
      </c>
      <c r="DM19" s="22">
        <v>9.6455935044007356E-3</v>
      </c>
      <c r="DN19" s="26">
        <v>698.45143014252619</v>
      </c>
      <c r="DO19" s="19">
        <v>3.2654567368634559</v>
      </c>
      <c r="DP19" s="37">
        <v>20.011359804951844</v>
      </c>
      <c r="DQ19" s="24">
        <v>0.27636010104049241</v>
      </c>
      <c r="DR19" s="12">
        <v>3.5803519373979857</v>
      </c>
      <c r="DS19" s="27">
        <v>43903</v>
      </c>
      <c r="DT19" s="27" t="s">
        <v>766</v>
      </c>
      <c r="DU19" s="27"/>
      <c r="DV19" s="19"/>
      <c r="DW19" s="19"/>
      <c r="DY19" s="27"/>
      <c r="DZ19" s="27"/>
      <c r="EA19" s="26"/>
      <c r="EB19" s="17"/>
      <c r="EC19" s="26"/>
      <c r="ED19" s="26"/>
      <c r="EE19" s="26"/>
      <c r="EG19" s="27"/>
      <c r="EI19" s="26"/>
      <c r="EJ19" s="26"/>
      <c r="EK19" s="26"/>
      <c r="EL19" s="26"/>
    </row>
    <row r="20" spans="2:142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9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2"/>
        <v>9</v>
      </c>
      <c r="Z20" s="26" t="str">
        <f>IF(tblData[[#This Row],[Date]]&lt;StartDt2Korea,"",tblData[[#This Row],[Date]]-StartDt2Korea)</f>
        <v/>
      </c>
      <c r="AA20" s="26">
        <f>IF(tblData[[#This Row],[Date]]&lt;UKStart,"",tblData[[#This Row],[Date]]-UKStart)</f>
        <v>1</v>
      </c>
      <c r="AB20">
        <f>IF(tblData[Date]&gt;=StartDt2Au,tblData[Date]-StartDt2Au,"")</f>
        <v>6</v>
      </c>
      <c r="AC20" s="26">
        <f>IF(tblData[New South Wales]&gt;0,SUM(tblData[[#This Row],[Australian Capital Territory]:[Western Australia]]),"")</f>
        <v>9</v>
      </c>
      <c r="AD20" s="12">
        <f>IF(ISNUMBER(tblData[Au]),tblData[Au]/$AA$9,"")</f>
        <v>3.548336224570257</v>
      </c>
      <c r="AE20" s="19">
        <f>IF(ISNUMBER(tblData[[#This Row],[Day'# Aust]]),betaAu/(deltaAu+betaPodeltaAu*EXP(-betaAu*tblData[[#This Row],[Day'# Aust]])),"")</f>
        <v>2.9357225059821249E-2</v>
      </c>
      <c r="AF20" s="72">
        <f>IF(ISNUMBER(tblData[Day'# Aust]),tblData[Au LogiP(t)]/$AD$9,"")</f>
        <v>1.1574367236958386E-2</v>
      </c>
      <c r="AG20" s="11">
        <f>IF(AND(tblData[Date]&gt;=StartDt2Au,ISNUMBER(tblData[NSW])),(tblData[[#This Row],[Au LogiP(t)]]-tblData[[#This Row],[Au]])^2,"")</f>
        <v>80.472431795586445</v>
      </c>
      <c r="AH20">
        <f>IF(tblData[Date]&gt;StartDt2NSW,tblData[Date]-StartDt2NSW,"")</f>
        <v>6</v>
      </c>
      <c r="AI20">
        <f t="shared" si="3"/>
        <v>4</v>
      </c>
      <c r="AJ20" s="11">
        <f>IF(tblData[Date]&gt;StartDt2NSW,betaNSW/(deltaNSW+betaPodeltaNSW*EXP(-betaNSW*tblData[[#This Row],[Day '# NSW]])),"")</f>
        <v>1.6596137806373975E-2</v>
      </c>
      <c r="AK20" s="12">
        <f>IF(AND(ISNUMBER(tblData[NSW]),tblData[Date]&gt;StartDt2NSW),(tblData[[#This Row],[NSW LogiP(t)]]-tblData[[#This Row],[NSW]])^2,"")</f>
        <v>15.867506329339095</v>
      </c>
      <c r="AL20" s="12">
        <f>IF(AND(tblData[Date]&gt;StartDt2NSW,ISNUMBER(tblData[Day'# Aust])),tblData[NSW LogiP(t)]/$AG$9,"")</f>
        <v>2.0539774512839077E-2</v>
      </c>
      <c r="AM20" s="11">
        <f>IF(AND(tblData[Date]&gt;StartDt2Italy,ISNUMBER(tblData[Days'# Italy])),betaItaly/(deltaItaly+betaPodeltaItaly*EXP(-betaItaly*tblData[Days'# Italy])),"")</f>
        <v>0.5732175072632526</v>
      </c>
      <c r="AN20" s="11">
        <f>IF(AND(tblData[Date]&gt;StartDt2Italy,ISNUMBER(tblData[Italy])),(tblData[[#This Row],[Italy LogiP(t)]]-tblData[[#This Row],[Italy]])^2,"")</f>
        <v>2.0357082815800864</v>
      </c>
      <c r="AO20" s="44">
        <f>IF(AND(tblData[Date]&gt;StartDt2Italy,ISNUMBER(tblData[Days'# Italy])),tblData[[#This Row],[Italy LogiP(t)]]/$AM$9,"")</f>
        <v>9.4825063236270074E-2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IF(tblData[Date]&gt;=StartDt2Korea,betaSKorea/(deltaSKorea+betaPodeltaSKorea*EXP(-betaSKorea*(tblData[Date]-StartDt2Korea))),"")</f>
        <v/>
      </c>
      <c r="AT20" s="11" t="str">
        <f>IF(AND(tblData[Date]&gt;=StartDt2Korea,ISNUMBER(tblData[SKorea])),(tblData[[#This Row],[SKorea LogiP(t)]]-tblData[[#This Row],[SKorea]])^2,"")</f>
        <v/>
      </c>
      <c r="AU20" s="11" t="str">
        <f>IF(tblData[Date]&gt;=StartDt2Korea,tblData[[#This Row],[SKorea LogiP(t)]]/$AS$9,"")</f>
        <v/>
      </c>
      <c r="AV20" s="11">
        <f>IF(ISNUMBER(tblData[Days'# UK]),betaUK/(deltaUK+betaPodeltaUK*EXP(-betaUK*tblData[Days'# UK])),"")</f>
        <v>3.7571003539438007E-2</v>
      </c>
      <c r="AW20" s="11">
        <f>IF(ISNUMBER(tblData[UK]),(tblData[[#This Row],[UK LogiP(t)]]-tblData[[#This Row],[UK]])^2,"")</f>
        <v>3.8511275661492079</v>
      </c>
      <c r="AX20" s="11">
        <f>IF(ISNUMBER(tblData[Days'# UK]),tblData[[#This Row],[UK LogiP(t)]]/$AV$9,"")</f>
        <v>5.6548771131002418E-3</v>
      </c>
      <c r="AY20" s="11">
        <f>IF(ISNUMBER(tblData[Days'# China]),betaChina/(deltaChina+betaPodeltaChina*EXP(-betaChina*tblData[Days'# China])),"")</f>
        <v>10126.002435618531</v>
      </c>
      <c r="AZ20" s="11">
        <f>IF(ISNUMBER(tblData[China]),(tblData[[#This Row],[China LogiP(t)]]-tblData[[#This Row],[China]])^2,"")</f>
        <v>104977.57828674052</v>
      </c>
      <c r="BA20" s="11">
        <f>tblData[[#This Row],[China LogiP(t)]]/$AY$9</f>
        <v>70.352498891941678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CA20"/>
      <c r="DC20" s="26"/>
      <c r="DF20" s="26" t="s">
        <v>202</v>
      </c>
      <c r="DH20" s="27">
        <v>43855</v>
      </c>
      <c r="DJ20" s="26">
        <v>1</v>
      </c>
      <c r="DK20" s="23">
        <v>0.20197976034974141</v>
      </c>
      <c r="DL20" s="25">
        <v>3.7238456472139586E-4</v>
      </c>
      <c r="DM20" s="23">
        <v>6.7779266478176703E-3</v>
      </c>
      <c r="DN20" s="26">
        <v>542.39562937001722</v>
      </c>
      <c r="DO20" s="19">
        <v>3.1776191206100863</v>
      </c>
      <c r="DP20" s="37">
        <v>29.799265593927426</v>
      </c>
      <c r="DQ20" s="24">
        <v>0.37238456472139586</v>
      </c>
      <c r="DR20" s="12">
        <v>3.1776191206100863</v>
      </c>
      <c r="DS20" s="27">
        <v>43904</v>
      </c>
      <c r="DT20" s="27" t="s">
        <v>767</v>
      </c>
      <c r="DU20" s="27"/>
      <c r="DV20" s="19"/>
      <c r="DW20" s="19"/>
      <c r="DY20" s="26"/>
      <c r="DZ20" s="18"/>
      <c r="EA20" s="26"/>
      <c r="EB20" s="26"/>
      <c r="EC20" s="26"/>
      <c r="ED20" s="26"/>
      <c r="EE20" s="26"/>
      <c r="EG20" s="26"/>
      <c r="EI20" s="26"/>
      <c r="EJ20" s="26"/>
      <c r="EK20" s="26"/>
      <c r="EL20" s="26"/>
    </row>
    <row r="21" spans="2:142" ht="15" customHeight="1" x14ac:dyDescent="0.3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9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2"/>
        <v>10</v>
      </c>
      <c r="Z21" s="26" t="str">
        <f>IF(tblData[[#This Row],[Date]]&lt;StartDt2Korea,"",tblData[[#This Row],[Date]]-StartDt2Korea)</f>
        <v/>
      </c>
      <c r="AA21" s="26">
        <f>IF(tblData[[#This Row],[Date]]&lt;UKStart,"",tblData[[#This Row],[Date]]-UKStart)</f>
        <v>2</v>
      </c>
      <c r="AB21">
        <f>IF(tblData[Date]&gt;=StartDt2Au,tblData[Date]-StartDt2Au,"")</f>
        <v>7</v>
      </c>
      <c r="AC21" s="26">
        <f>IF(tblData[New South Wales]&gt;0,SUM(tblData[[#This Row],[Australian Capital Territory]:[Western Australia]]),"")</f>
        <v>12</v>
      </c>
      <c r="AD21" s="12">
        <f>IF(ISNUMBER(tblData[Au]),tblData[Au]/$AA$9,"")</f>
        <v>4.731114966093676</v>
      </c>
      <c r="AE21" s="19">
        <f>IF(ISNUMBER(tblData[[#This Row],[Day'# Aust]]),betaAu/(deltaAu+betaPodeltaAu*EXP(-betaAu*tblData[[#This Row],[Day'# Aust]])),"")</f>
        <v>3.6229464844548712E-2</v>
      </c>
      <c r="AF21" s="72">
        <f>IF(ISNUMBER(tblData[Day'# Aust]),tblData[Au LogiP(t)]/$AD$9,"")</f>
        <v>1.4283813611634092E-2</v>
      </c>
      <c r="AG21" s="11">
        <f>IF(AND(tblData[Date]&gt;=StartDt2Au,ISNUMBER(tblData[NSW])),(tblData[[#This Row],[Au LogiP(t)]]-tblData[[#This Row],[Au]])^2,"")</f>
        <v>143.13180541785374</v>
      </c>
      <c r="AH21">
        <f>IF(tblData[Date]&gt;StartDt2NSW,tblData[Date]-StartDt2NSW,"")</f>
        <v>7</v>
      </c>
      <c r="AI21">
        <f t="shared" si="3"/>
        <v>4</v>
      </c>
      <c r="AJ21" s="11">
        <f>IF(tblData[Date]&gt;StartDt2NSW,betaNSW/(deltaNSW+betaPodeltaNSW*EXP(-betaNSW*tblData[[#This Row],[Day '# NSW]])),"")</f>
        <v>2.0411051711591091E-2</v>
      </c>
      <c r="AK21" s="12">
        <f>IF(AND(ISNUMBER(tblData[NSW]),tblData[Date]&gt;StartDt2NSW),(tblData[[#This Row],[NSW LogiP(t)]]-tblData[[#This Row],[NSW]])^2,"")</f>
        <v>15.837128197339243</v>
      </c>
      <c r="AL21" s="12">
        <f>IF(AND(tblData[Date]&gt;StartDt2NSW,ISNUMBER(tblData[Day'# Aust])),tblData[NSW LogiP(t)]/$AG$9,"")</f>
        <v>2.5261202613355307E-2</v>
      </c>
      <c r="AM21" s="11">
        <f>IF(AND(tblData[Date]&gt;StartDt2Italy,ISNUMBER(tblData[Days'# Italy])),betaItaly/(deltaItaly+betaPodeltaItaly*EXP(-betaItaly*tblData[Days'# Italy])),"")</f>
        <v>0.7430336891574143</v>
      </c>
      <c r="AN21" s="11">
        <f>IF(AND(tblData[Date]&gt;StartDt2Italy,ISNUMBER(tblData[Italy])),(tblData[[#This Row],[Italy LogiP(t)]]-tblData[[#This Row],[Italy]])^2,"")</f>
        <v>1.5799643065932198</v>
      </c>
      <c r="AO21" s="44">
        <f>IF(AND(tblData[Date]&gt;StartDt2Italy,ISNUMBER(tblData[Days'# Italy])),tblData[[#This Row],[Italy LogiP(t)]]/$AM$9,"")</f>
        <v>0.12291707016665249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IF(tblData[Date]&gt;=StartDt2Korea,betaSKorea/(deltaSKorea+betaPodeltaSKorea*EXP(-betaSKorea*(tblData[Date]-StartDt2Korea))),"")</f>
        <v/>
      </c>
      <c r="AT21" s="11" t="str">
        <f>IF(AND(tblData[Date]&gt;=StartDt2Korea,ISNUMBER(tblData[SKorea])),(tblData[[#This Row],[SKorea LogiP(t)]]-tblData[[#This Row],[SKorea]])^2,"")</f>
        <v/>
      </c>
      <c r="AU21" s="11" t="str">
        <f>IF(tblData[Date]&gt;=StartDt2Korea,tblData[[#This Row],[SKorea LogiP(t)]]/$AS$9,"")</f>
        <v/>
      </c>
      <c r="AV21" s="11">
        <f>IF(ISNUMBER(tblData[Days'# UK]),betaUK/(deltaUK+betaPodeltaUK*EXP(-betaUK*tblData[Days'# UK])),"")</f>
        <v>4.7568588290601975E-2</v>
      </c>
      <c r="AW21" s="11">
        <f>IF(ISNUMBER(tblData[UK]),(tblData[[#This Row],[UK LogiP(t)]]-tblData[[#This Row],[UK]])^2,"")</f>
        <v>3.8119884174295526</v>
      </c>
      <c r="AX21" s="11">
        <f>IF(ISNUMBER(tblData[Days'# UK]),tblData[[#This Row],[UK LogiP(t)]]/$AV$9,"")</f>
        <v>7.1596309889527358E-3</v>
      </c>
      <c r="AY21" s="11">
        <f>IF(ISNUMBER(tblData[Days'# China]),betaChina/(deltaChina+betaPodeltaChina*EXP(-betaChina*tblData[Days'# China])),"")</f>
        <v>12263.32324759005</v>
      </c>
      <c r="AZ21" s="11">
        <f>IF(ISNUMBER(tblData[China]),(tblData[[#This Row],[China LogiP(t)]]-tblData[[#This Row],[China]])^2,"")</f>
        <v>138624.60069600132</v>
      </c>
      <c r="BA21" s="11">
        <f>tblData[[#This Row],[China LogiP(t)]]/$AY$9</f>
        <v>85.201977845949585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F21" s="26" t="s">
        <v>202</v>
      </c>
      <c r="DH21" s="27">
        <v>43855</v>
      </c>
      <c r="DJ21" s="26">
        <v>1</v>
      </c>
      <c r="DK21" s="26">
        <v>0.18458384557537055</v>
      </c>
      <c r="DL21" s="26">
        <v>1.2349487374940706E-6</v>
      </c>
      <c r="DM21" s="26">
        <v>1.3171361296767334E-2</v>
      </c>
      <c r="DN21" s="26">
        <v>149466.80778825187</v>
      </c>
      <c r="DO21" s="19">
        <v>3.1071550624512132</v>
      </c>
      <c r="DP21" s="12">
        <v>14.014028250422166</v>
      </c>
      <c r="DQ21" s="26">
        <v>1.2349487374940706E-3</v>
      </c>
      <c r="DR21" s="12">
        <v>3.1071550624512132</v>
      </c>
      <c r="DS21" s="27">
        <v>43905</v>
      </c>
      <c r="DT21" s="27" t="s">
        <v>768</v>
      </c>
      <c r="DU21" s="27"/>
      <c r="DV21" s="19"/>
      <c r="DW21" s="19"/>
      <c r="DY21" s="17"/>
      <c r="DZ21" s="18"/>
      <c r="EA21" s="26"/>
      <c r="EB21" s="26"/>
      <c r="EC21" s="26"/>
      <c r="ED21" s="26"/>
      <c r="EE21" s="26"/>
      <c r="EF21" s="100"/>
      <c r="EG21" s="17"/>
      <c r="EH21" s="100"/>
      <c r="EI21" s="26"/>
      <c r="EJ21" s="26"/>
      <c r="EK21" s="26"/>
      <c r="EL21" s="26"/>
    </row>
    <row r="22" spans="2:142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9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2"/>
        <v>11</v>
      </c>
      <c r="Z22" s="26" t="str">
        <f>IF(tblData[[#This Row],[Date]]&lt;StartDt2Korea,"",tblData[[#This Row],[Date]]-StartDt2Korea)</f>
        <v/>
      </c>
      <c r="AA22" s="26">
        <f>IF(tblData[[#This Row],[Date]]&lt;UKStart,"",tblData[[#This Row],[Date]]-UKStart)</f>
        <v>3</v>
      </c>
      <c r="AB22">
        <f>IF(tblData[Date]&gt;=StartDt2Au,tblData[Date]-StartDt2Au,"")</f>
        <v>8</v>
      </c>
      <c r="AC22" s="26">
        <f>IF(tblData[New South Wales]&gt;0,SUM(tblData[[#This Row],[Australian Capital Territory]:[Western Australia]]),"")</f>
        <v>12</v>
      </c>
      <c r="AD22" s="12">
        <f>IF(ISNUMBER(tblData[Au]),tblData[Au]/$AA$9,"")</f>
        <v>4.731114966093676</v>
      </c>
      <c r="AE22" s="19">
        <f>IF(ISNUMBER(tblData[[#This Row],[Day'# Aust]]),betaAu/(deltaAu+betaPodeltaAu*EXP(-betaAu*tblData[[#This Row],[Day'# Aust]])),"")</f>
        <v>4.4710428872168723E-2</v>
      </c>
      <c r="AF22" s="72">
        <f>IF(ISNUMBER(tblData[Day'# Aust]),tblData[Au LogiP(t)]/$AD$9,"")</f>
        <v>1.7627514931465353E-2</v>
      </c>
      <c r="AG22" s="11">
        <f>IF(AND(tblData[Date]&gt;=StartDt2Au,ISNUMBER(tblData[NSW])),(tblData[[#This Row],[Au LogiP(t)]]-tblData[[#This Row],[Au]])^2,"")</f>
        <v>142.92894872951788</v>
      </c>
      <c r="AH22">
        <f>IF(tblData[Date]&gt;StartDt2NSW,tblData[Date]-StartDt2NSW,"")</f>
        <v>8</v>
      </c>
      <c r="AI22">
        <f t="shared" si="3"/>
        <v>4</v>
      </c>
      <c r="AJ22" s="11">
        <f>IF(tblData[Date]&gt;StartDt2NSW,betaNSW/(deltaNSW+betaPodeltaNSW*EXP(-betaNSW*tblData[[#This Row],[Day '# NSW]])),"")</f>
        <v>2.5102883863750095E-2</v>
      </c>
      <c r="AK22" s="12">
        <f>IF(AND(ISNUMBER(tblData[NSW]),tblData[Date]&gt;StartDt2NSW),(tblData[[#This Row],[NSW LogiP(t)]]-tblData[[#This Row],[NSW]])^2,"")</f>
        <v>15.799807083868275</v>
      </c>
      <c r="AL22" s="12">
        <f>IF(AND(tblData[Date]&gt;StartDt2NSW,ISNUMBER(tblData[Day'# Aust])),tblData[NSW LogiP(t)]/$AG$9,"")</f>
        <v>3.1067925573948135E-2</v>
      </c>
      <c r="AM22" s="11">
        <f>IF(AND(tblData[Date]&gt;StartDt2Italy,ISNUMBER(tblData[Days'# Italy])),betaItaly/(deltaItaly+betaPodeltaItaly*EXP(-betaItaly*tblData[Days'# Italy])),"")</f>
        <v>0.96315726255592082</v>
      </c>
      <c r="AN22" s="11">
        <f>IF(AND(tblData[Date]&gt;StartDt2Italy,ISNUMBER(tblData[Italy])),(tblData[[#This Row],[Italy LogiP(t)]]-tblData[[#This Row],[Italy]])^2,"")</f>
        <v>1.0750428621905317</v>
      </c>
      <c r="AO22" s="44">
        <f>IF(AND(tblData[Date]&gt;StartDt2Italy,ISNUMBER(tblData[Days'# Italy])),tblData[[#This Row],[Italy LogiP(t)]]/$AM$9,"")</f>
        <v>0.15933122622926729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IF(tblData[Date]&gt;=StartDt2Korea,betaSKorea/(deltaSKorea+betaPodeltaSKorea*EXP(-betaSKorea*(tblData[Date]-StartDt2Korea))),"")</f>
        <v/>
      </c>
      <c r="AT22" s="11" t="str">
        <f>IF(AND(tblData[Date]&gt;=StartDt2Korea,ISNUMBER(tblData[SKorea])),(tblData[[#This Row],[SKorea LogiP(t)]]-tblData[[#This Row],[SKorea]])^2,"")</f>
        <v/>
      </c>
      <c r="AU22" s="11" t="str">
        <f>IF(tblData[Date]&gt;=StartDt2Korea,tblData[[#This Row],[SKorea LogiP(t)]]/$AS$9,"")</f>
        <v/>
      </c>
      <c r="AV22" s="11">
        <f>IF(ISNUMBER(tblData[Days'# UK]),betaUK/(deltaUK+betaPodeltaUK*EXP(-betaUK*tblData[Days'# UK])),"")</f>
        <v>6.0226514566215077E-2</v>
      </c>
      <c r="AW22" s="11">
        <f>IF(ISNUMBER(tblData[UK]),(tblData[[#This Row],[UK LogiP(t)]]-tblData[[#This Row],[UK]])^2,"")</f>
        <v>3.7627211747919342</v>
      </c>
      <c r="AX22" s="11">
        <f>IF(ISNUMBER(tblData[Days'# UK]),tblData[[#This Row],[UK LogiP(t)]]/$AV$9,"")</f>
        <v>9.0647974964200902E-3</v>
      </c>
      <c r="AY22" s="11">
        <f>IF(ISNUMBER(tblData[Days'# China]),betaChina/(deltaChina+betaPodeltaChina*EXP(-betaChina*tblData[Days'# China])),"")</f>
        <v>14757.788723484422</v>
      </c>
      <c r="AZ22" s="11">
        <f>IF(ISNUMBER(tblData[China]),(tblData[[#This Row],[China LogiP(t)]]-tblData[[#This Row],[China]])^2,"")</f>
        <v>3505175.0639120899</v>
      </c>
      <c r="BA22" s="11">
        <f>tblData[[#This Row],[China LogiP(t)]]/$AY$9</f>
        <v>102.53279331282597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F22" s="26" t="s">
        <v>202</v>
      </c>
      <c r="DH22" s="27">
        <v>43855</v>
      </c>
      <c r="DJ22" s="26">
        <v>1</v>
      </c>
      <c r="DK22" s="23">
        <v>0.19036954183670268</v>
      </c>
      <c r="DL22" s="25">
        <v>1.0000000000000751E-10</v>
      </c>
      <c r="DM22" s="22">
        <v>1.0111170011545663E-2</v>
      </c>
      <c r="DN22" s="26">
        <v>1903695418.3668838</v>
      </c>
      <c r="DO22" s="19">
        <v>3.2111653832176152</v>
      </c>
      <c r="DP22" s="37">
        <v>18.827647207822032</v>
      </c>
      <c r="DQ22" s="24">
        <v>1.0000000000000751E-7</v>
      </c>
      <c r="DR22" s="12">
        <v>3.2111653832176152</v>
      </c>
      <c r="DS22" s="27">
        <v>43906</v>
      </c>
      <c r="DT22" s="27" t="s">
        <v>975</v>
      </c>
      <c r="DU22" s="27"/>
      <c r="DV22" s="19">
        <v>171</v>
      </c>
      <c r="DW22" s="19">
        <v>43906</v>
      </c>
      <c r="DX22" s="27">
        <v>52</v>
      </c>
      <c r="DY22" s="26" t="s">
        <v>976</v>
      </c>
      <c r="DZ22" s="18"/>
      <c r="EA22" s="26" t="s">
        <v>977</v>
      </c>
      <c r="EB22" s="26" t="s">
        <v>978</v>
      </c>
      <c r="EC22" s="26"/>
      <c r="ED22" s="26"/>
      <c r="EE22" s="26"/>
      <c r="EG22" s="26"/>
      <c r="EI22" s="26"/>
      <c r="EJ22" s="26"/>
      <c r="EK22" s="26"/>
      <c r="EL22" s="26"/>
    </row>
    <row r="23" spans="2:142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9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2"/>
        <v>12</v>
      </c>
      <c r="Z23" s="26" t="str">
        <f>IF(tblData[[#This Row],[Date]]&lt;StartDt2Korea,"",tblData[[#This Row],[Date]]-StartDt2Korea)</f>
        <v/>
      </c>
      <c r="AA23" s="26">
        <f>IF(tblData[[#This Row],[Date]]&lt;UKStart,"",tblData[[#This Row],[Date]]-UKStart)</f>
        <v>4</v>
      </c>
      <c r="AB23">
        <f>IF(tblData[Date]&gt;=StartDt2Au,tblData[Date]-StartDt2Au,"")</f>
        <v>9</v>
      </c>
      <c r="AC23" s="26">
        <f>IF(tblData[New South Wales]&gt;0,SUM(tblData[[#This Row],[Australian Capital Territory]:[Western Australia]]),"")</f>
        <v>12</v>
      </c>
      <c r="AD23" s="12">
        <f>IF(ISNUMBER(tblData[Au]),tblData[Au]/$AA$9,"")</f>
        <v>4.731114966093676</v>
      </c>
      <c r="AE23" s="19">
        <f>IF(ISNUMBER(tblData[[#This Row],[Day'# Aust]]),betaAu/(deltaAu+betaPodeltaAu*EXP(-betaAu*tblData[[#This Row],[Day'# Aust]])),"")</f>
        <v>5.5176703782643818E-2</v>
      </c>
      <c r="AF23" s="72">
        <f>IF(ISNUMBER(tblData[Day'# Aust]),tblData[Au LogiP(t)]/$AD$9,"")</f>
        <v>2.1753944087148643E-2</v>
      </c>
      <c r="AG23" s="11">
        <f>IF(AND(tblData[Date]&gt;=StartDt2Au,ISNUMBER(tblData[NSW])),(tblData[[#This Row],[Au LogiP(t)]]-tblData[[#This Row],[Au]])^2,"")</f>
        <v>142.67880357785685</v>
      </c>
      <c r="AH23">
        <f>IF(tblData[Date]&gt;StartDt2NSW,tblData[Date]-StartDt2NSW,"")</f>
        <v>9</v>
      </c>
      <c r="AI23">
        <f t="shared" si="3"/>
        <v>4</v>
      </c>
      <c r="AJ23" s="11">
        <f>IF(tblData[Date]&gt;StartDt2NSW,betaNSW/(deltaNSW+betaPodeltaNSW*EXP(-betaNSW*tblData[[#This Row],[Day '# NSW]])),"")</f>
        <v>3.0873204319416883E-2</v>
      </c>
      <c r="AK23" s="12">
        <f>IF(AND(ISNUMBER(tblData[NSW]),tblData[Date]&gt;StartDt2NSW),(tblData[[#This Row],[NSW LogiP(t)]]-tblData[[#This Row],[NSW]])^2,"")</f>
        <v>15.753967520189612</v>
      </c>
      <c r="AL23" s="12">
        <f>IF(AND(tblData[Date]&gt;StartDt2NSW,ISNUMBER(tblData[Day'# Aust])),tblData[NSW LogiP(t)]/$AG$9,"")</f>
        <v>3.8209411286407029E-2</v>
      </c>
      <c r="AM23" s="11">
        <f>IF(AND(tblData[Date]&gt;StartDt2Italy,ISNUMBER(tblData[Days'# Italy])),betaItaly/(deltaItaly+betaPodeltaItaly*EXP(-betaItaly*tblData[Days'# Italy])),"")</f>
        <v>1.2484910553074835</v>
      </c>
      <c r="AN23" s="11">
        <f>IF(AND(tblData[Date]&gt;StartDt2Italy,ISNUMBER(tblData[Italy])),(tblData[[#This Row],[Italy LogiP(t)]]-tblData[[#This Row],[Italy]])^2,"")</f>
        <v>0.5647656939528598</v>
      </c>
      <c r="AO23" s="44">
        <f>IF(AND(tblData[Date]&gt;StartDt2Italy,ISNUMBER(tblData[Days'# Italy])),tblData[[#This Row],[Italy LogiP(t)]]/$AM$9,"")</f>
        <v>0.20653284620471191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IF(tblData[Date]&gt;=StartDt2Korea,betaSKorea/(deltaSKorea+betaPodeltaSKorea*EXP(-betaSKorea*(tblData[Date]-StartDt2Korea))),"")</f>
        <v/>
      </c>
      <c r="AT23" s="11" t="str">
        <f>IF(AND(tblData[Date]&gt;=StartDt2Korea,ISNUMBER(tblData[SKorea])),(tblData[[#This Row],[SKorea LogiP(t)]]-tblData[[#This Row],[SKorea]])^2,"")</f>
        <v/>
      </c>
      <c r="AU23" s="11" t="str">
        <f>IF(tblData[Date]&gt;=StartDt2Korea,tblData[[#This Row],[SKorea LogiP(t)]]/$AS$9,"")</f>
        <v/>
      </c>
      <c r="AV23" s="11">
        <f>IF(ISNUMBER(tblData[Days'# UK]),betaUK/(deltaUK+betaPodeltaUK*EXP(-betaUK*tblData[Days'# UK])),"")</f>
        <v>7.6252695047066596E-2</v>
      </c>
      <c r="AW23" s="11">
        <f>IF(ISNUMBER(tblData[UK]),(tblData[[#This Row],[UK LogiP(t)]]-tblData[[#This Row],[UK]])^2,"")</f>
        <v>3.7008036933136745</v>
      </c>
      <c r="AX23" s="11">
        <f>IF(ISNUMBER(tblData[Days'# UK]),tblData[[#This Row],[UK LogiP(t)]]/$AV$9,"")</f>
        <v>1.1476925804796296E-2</v>
      </c>
      <c r="AY23" s="11">
        <f>IF(ISNUMBER(tblData[Days'# China]),betaChina/(deltaChina+betaPodeltaChina*EXP(-betaChina*tblData[Days'# China])),"")</f>
        <v>17629.445221402046</v>
      </c>
      <c r="AZ23" s="11">
        <f>IF(ISNUMBER(tblData[China]),(tblData[[#This Row],[China LogiP(t)]]-tblData[[#This Row],[China]])^2,"")</f>
        <v>4353710.8440899579</v>
      </c>
      <c r="BA23" s="11">
        <f>tblData[[#This Row],[China LogiP(t)]]/$AY$9</f>
        <v>122.4842215168274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F23" s="26" t="s">
        <v>202</v>
      </c>
      <c r="DH23" s="27">
        <v>43855</v>
      </c>
      <c r="DJ23" s="26">
        <v>1</v>
      </c>
      <c r="DK23" s="23">
        <v>0.19065324956550231</v>
      </c>
      <c r="DL23" s="25">
        <v>1.0000000000000751E-10</v>
      </c>
      <c r="DM23" s="22">
        <v>1.0112692767979454E-2</v>
      </c>
      <c r="DN23" s="26">
        <v>1906532495.6548798</v>
      </c>
      <c r="DO23" s="19">
        <v>3.3224128526326897</v>
      </c>
      <c r="DP23" s="37">
        <v>18.852866782245194</v>
      </c>
      <c r="DQ23" s="24">
        <v>1.0000000000000751E-7</v>
      </c>
      <c r="DR23" s="12">
        <v>3.3224128526326897</v>
      </c>
      <c r="DS23" s="27">
        <v>43907</v>
      </c>
      <c r="DT23" s="27" t="s">
        <v>958</v>
      </c>
      <c r="DU23" s="27"/>
      <c r="DV23" s="19">
        <v>210</v>
      </c>
      <c r="DW23" s="19" t="s">
        <v>959</v>
      </c>
      <c r="DX23" s="27">
        <v>43907</v>
      </c>
      <c r="DY23" s="26">
        <v>53</v>
      </c>
      <c r="DZ23" s="18" t="s">
        <v>960</v>
      </c>
      <c r="EA23" s="26"/>
      <c r="EB23" s="26" t="s">
        <v>961</v>
      </c>
      <c r="EC23" s="26"/>
      <c r="ED23" s="26"/>
      <c r="EE23" s="26"/>
      <c r="EG23" s="26"/>
      <c r="EI23" s="26"/>
      <c r="EJ23" s="26"/>
      <c r="EK23" s="26"/>
      <c r="EL23" s="26"/>
    </row>
    <row r="24" spans="2:142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9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2"/>
        <v>13</v>
      </c>
      <c r="Z24" s="26" t="str">
        <f>IF(tblData[[#This Row],[Date]]&lt;StartDt2Korea,"",tblData[[#This Row],[Date]]-StartDt2Korea)</f>
        <v/>
      </c>
      <c r="AA24" s="26">
        <f>IF(tblData[[#This Row],[Date]]&lt;UKStart,"",tblData[[#This Row],[Date]]-UKStart)</f>
        <v>5</v>
      </c>
      <c r="AB24">
        <f>IF(tblData[Date]&gt;=StartDt2Au,tblData[Date]-StartDt2Au,"")</f>
        <v>10</v>
      </c>
      <c r="AC24" s="26">
        <f>IF(tblData[New South Wales]&gt;0,SUM(tblData[[#This Row],[Australian Capital Territory]:[Western Australia]]),"")</f>
        <v>13</v>
      </c>
      <c r="AD24" s="12">
        <f>IF(ISNUMBER(tblData[Au]),tblData[Au]/$AA$9,"")</f>
        <v>5.1253745466014822</v>
      </c>
      <c r="AE24" s="19">
        <f>IF(ISNUMBER(tblData[[#This Row],[Day'# Aust]]),betaAu/(deltaAu+betaPodeltaAu*EXP(-betaAu*tblData[[#This Row],[Day'# Aust]])),"")</f>
        <v>6.8093031471885279E-2</v>
      </c>
      <c r="AF24" s="72">
        <f>IF(ISNUMBER(tblData[Day'# Aust]),tblData[Au LogiP(t)]/$AD$9,"")</f>
        <v>2.6846330023610344E-2</v>
      </c>
      <c r="AG24" s="11">
        <f>IF(AND(tblData[Date]&gt;=StartDt2Au,ISNUMBER(tblData[NSW])),(tblData[[#This Row],[Au LogiP(t)]]-tblData[[#This Row],[Au]])^2,"")</f>
        <v>167.234217842666</v>
      </c>
      <c r="AH24">
        <f>IF(tblData[Date]&gt;StartDt2NSW,tblData[Date]-StartDt2NSW,"")</f>
        <v>10</v>
      </c>
      <c r="AI24">
        <f t="shared" si="3"/>
        <v>4</v>
      </c>
      <c r="AJ24" s="11">
        <f>IF(tblData[Date]&gt;StartDt2NSW,betaNSW/(deltaNSW+betaPodeltaNSW*EXP(-betaNSW*tblData[[#This Row],[Day '# NSW]])),"")</f>
        <v>3.7969914629082557E-2</v>
      </c>
      <c r="AK24" s="12">
        <f>IF(AND(ISNUMBER(tblData[NSW]),tblData[Date]&gt;StartDt2NSW),(tblData[[#This Row],[NSW LogiP(t)]]-tblData[[#This Row],[NSW]])^2,"")</f>
        <v>15.697682397384279</v>
      </c>
      <c r="AL24" s="12">
        <f>IF(AND(tblData[Date]&gt;StartDt2NSW,ISNUMBER(tblData[Day'# Aust])),tblData[NSW LogiP(t)]/$AG$9,"")</f>
        <v>4.6992468600349696E-2</v>
      </c>
      <c r="AM24" s="11">
        <f>IF(AND(tblData[Date]&gt;StartDt2Italy,ISNUMBER(tblData[Days'# Italy])),betaItaly/(deltaItaly+betaPodeltaItaly*EXP(-betaItaly*tblData[Days'# Italy])),"")</f>
        <v>1.618352269922021</v>
      </c>
      <c r="AN24" s="11">
        <f>IF(AND(tblData[Date]&gt;StartDt2Italy,ISNUMBER(tblData[Italy])),(tblData[[#This Row],[Italy LogiP(t)]]-tblData[[#This Row],[Italy]])^2,"")</f>
        <v>0.14565498987367395</v>
      </c>
      <c r="AO24" s="44">
        <f>IF(AND(tblData[Date]&gt;StartDt2Italy,ISNUMBER(tblData[Days'# Italy])),tblData[[#This Row],[Italy LogiP(t)]]/$AM$9,"")</f>
        <v>0.26771749709214576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IF(tblData[Date]&gt;=StartDt2Korea,betaSKorea/(deltaSKorea+betaPodeltaSKorea*EXP(-betaSKorea*(tblData[Date]-StartDt2Korea))),"")</f>
        <v/>
      </c>
      <c r="AT24" s="11" t="str">
        <f>IF(AND(tblData[Date]&gt;=StartDt2Korea,ISNUMBER(tblData[SKorea])),(tblData[[#This Row],[SKorea LogiP(t)]]-tblData[[#This Row],[SKorea]])^2,"")</f>
        <v/>
      </c>
      <c r="AU24" s="11" t="str">
        <f>IF(tblData[Date]&gt;=StartDt2Korea,tblData[[#This Row],[SKorea LogiP(t)]]/$AS$9,"")</f>
        <v/>
      </c>
      <c r="AV24" s="11">
        <f>IF(ISNUMBER(tblData[Days'# UK]),betaUK/(deltaUK+betaPodeltaUK*EXP(-betaUK*tblData[Days'# UK])),"")</f>
        <v>9.6543416860745121E-2</v>
      </c>
      <c r="AW24" s="11">
        <f>IF(ISNUMBER(tblData[UK]),(tblData[[#This Row],[UK LogiP(t)]]-tblData[[#This Row],[UK]])^2,"")</f>
        <v>3.6231469638961671</v>
      </c>
      <c r="AX24" s="11">
        <f>IF(ISNUMBER(tblData[Days'# UK]),tblData[[#This Row],[UK LogiP(t)]]/$AV$9,"")</f>
        <v>1.4530917649118772E-2</v>
      </c>
      <c r="AY24" s="11">
        <f>IF(ISNUMBER(tblData[Days'# China]),betaChina/(deltaChina+betaPodeltaChina*EXP(-betaChina*tblData[Days'# China])),"")</f>
        <v>20883.625590396063</v>
      </c>
      <c r="AZ24" s="11">
        <f>IF(ISNUMBER(tblData[China]),(tblData[[#This Row],[China LogiP(t)]]-tblData[[#This Row],[China]])^2,"")</f>
        <v>7971443.0568063809</v>
      </c>
      <c r="BA24" s="11">
        <f>tblData[[#This Row],[China LogiP(t)]]/$AY$9</f>
        <v>145.09331353111799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F24" s="26" t="s">
        <v>202</v>
      </c>
      <c r="DH24" s="27">
        <v>43855</v>
      </c>
      <c r="DJ24" s="26">
        <v>1</v>
      </c>
      <c r="DK24" s="23">
        <v>0.20209478104227763</v>
      </c>
      <c r="DL24" s="25">
        <v>1.0000000000000751E-10</v>
      </c>
      <c r="DM24" s="22">
        <v>5.7886977342360797E-3</v>
      </c>
      <c r="DN24" s="26">
        <v>2020947810.4226243</v>
      </c>
      <c r="DO24" s="19">
        <v>3.5813561365949553</v>
      </c>
      <c r="DP24" s="37">
        <v>34.911959532184611</v>
      </c>
      <c r="DQ24" s="24">
        <v>1.0000000000000751E-7</v>
      </c>
      <c r="DR24" s="12">
        <v>3.5813561365949553</v>
      </c>
      <c r="DS24" s="27">
        <v>43908</v>
      </c>
      <c r="DT24" s="27" t="s">
        <v>995</v>
      </c>
      <c r="DU24" s="27"/>
      <c r="DV24" s="19">
        <v>267</v>
      </c>
      <c r="DW24" s="19" t="s">
        <v>996</v>
      </c>
      <c r="DX24" s="27">
        <v>43908</v>
      </c>
      <c r="DY24" s="26">
        <v>54</v>
      </c>
      <c r="DZ24" s="18" t="s">
        <v>997</v>
      </c>
      <c r="EA24" s="26"/>
      <c r="EB24" s="26" t="s">
        <v>998</v>
      </c>
      <c r="EC24" s="26"/>
      <c r="ED24" s="26" t="s">
        <v>999</v>
      </c>
      <c r="EE24" s="26"/>
      <c r="EG24" s="26"/>
      <c r="EI24" s="26"/>
      <c r="EJ24" s="26"/>
      <c r="EK24" s="26"/>
      <c r="EL24" s="26"/>
    </row>
    <row r="25" spans="2:142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9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2"/>
        <v>14</v>
      </c>
      <c r="Z25" s="26" t="str">
        <f>IF(tblData[[#This Row],[Date]]&lt;StartDt2Korea,"",tblData[[#This Row],[Date]]-StartDt2Korea)</f>
        <v/>
      </c>
      <c r="AA25" s="26">
        <f>IF(tblData[[#This Row],[Date]]&lt;UKStart,"",tblData[[#This Row],[Date]]-UKStart)</f>
        <v>6</v>
      </c>
      <c r="AB25">
        <f>IF(tblData[Date]&gt;=StartDt2Au,tblData[Date]-StartDt2Au,"")</f>
        <v>11</v>
      </c>
      <c r="AC25" s="26">
        <f>IF(tblData[New South Wales]&gt;0,SUM(tblData[[#This Row],[Australian Capital Territory]:[Western Australia]]),"")</f>
        <v>13</v>
      </c>
      <c r="AD25" s="12">
        <f>IF(ISNUMBER(tblData[Au]),tblData[Au]/$AA$9,"")</f>
        <v>5.1253745466014822</v>
      </c>
      <c r="AE25" s="19">
        <f>IF(ISNUMBER(tblData[[#This Row],[Day'# Aust]]),betaAu/(deltaAu+betaPodeltaAu*EXP(-betaAu*tblData[[#This Row],[Day'# Aust]])),"")</f>
        <v>8.4032945376541046E-2</v>
      </c>
      <c r="AF25" s="72">
        <f>IF(ISNUMBER(tblData[Day'# Aust]),tblData[Au LogiP(t)]/$AD$9,"")</f>
        <v>3.3130793792990477E-2</v>
      </c>
      <c r="AG25" s="11">
        <f>IF(AND(tblData[Date]&gt;=StartDt2Au,ISNUMBER(tblData[NSW])),(tblData[[#This Row],[Au LogiP(t)]]-tblData[[#This Row],[Au]])^2,"")</f>
        <v>166.82220495611861</v>
      </c>
      <c r="AH25">
        <f>IF(tblData[Date]&gt;StartDt2NSW,tblData[Date]-StartDt2NSW,"")</f>
        <v>11</v>
      </c>
      <c r="AI25">
        <f t="shared" si="3"/>
        <v>4</v>
      </c>
      <c r="AJ25" s="11">
        <f>IF(tblData[Date]&gt;StartDt2NSW,betaNSW/(deltaNSW+betaPodeltaNSW*EXP(-betaNSW*tblData[[#This Row],[Day '# NSW]])),"")</f>
        <v>4.6697896363653839E-2</v>
      </c>
      <c r="AK25" s="12">
        <f>IF(AND(ISNUMBER(tblData[NSW]),tblData[Date]&gt;StartDt2NSW),(tblData[[#This Row],[NSW LogiP(t)]]-tblData[[#This Row],[NSW]])^2,"")</f>
        <v>15.628597522615559</v>
      </c>
      <c r="AL25" s="12">
        <f>IF(AND(tblData[Date]&gt;StartDt2NSW,ISNUMBER(tblData[Day'# Aust])),tblData[NSW LogiP(t)]/$AG$9,"")</f>
        <v>5.7794426192640885E-2</v>
      </c>
      <c r="AM25" s="11">
        <f>IF(AND(tblData[Date]&gt;StartDt2Italy,ISNUMBER(tblData[Days'# Italy])),betaItaly/(deltaItaly+betaPodeltaItaly*EXP(-betaItaly*tblData[Days'# Italy])),"")</f>
        <v>2.0977798163127277</v>
      </c>
      <c r="AN25" s="11">
        <f>IF(AND(tblData[Date]&gt;StartDt2Italy,ISNUMBER(tblData[Italy])),(tblData[[#This Row],[Italy LogiP(t)]]-tblData[[#This Row],[Italy]])^2,"")</f>
        <v>9.5608924781507686E-3</v>
      </c>
      <c r="AO25" s="44">
        <f>IF(AND(tblData[Date]&gt;StartDt2Italy,ISNUMBER(tblData[Days'# Italy])),tblData[[#This Row],[Italy LogiP(t)]]/$AM$9,"")</f>
        <v>0.34702726489871427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IF(tblData[Date]&gt;=StartDt2Korea,betaSKorea/(deltaSKorea+betaPodeltaSKorea*EXP(-betaSKorea*(tblData[Date]-StartDt2Korea))),"")</f>
        <v/>
      </c>
      <c r="AT25" s="11" t="str">
        <f>IF(AND(tblData[Date]&gt;=StartDt2Korea,ISNUMBER(tblData[SKorea])),(tblData[[#This Row],[SKorea LogiP(t)]]-tblData[[#This Row],[SKorea]])^2,"")</f>
        <v/>
      </c>
      <c r="AU25" s="11" t="str">
        <f>IF(tblData[Date]&gt;=StartDt2Korea,tblData[[#This Row],[SKorea LogiP(t)]]/$AS$9,"")</f>
        <v/>
      </c>
      <c r="AV25" s="11">
        <f>IF(ISNUMBER(tblData[Days'# UK]),betaUK/(deltaUK+betaPodeltaUK*EXP(-betaUK*tblData[Days'# UK])),"")</f>
        <v>0.1222334677244023</v>
      </c>
      <c r="AW25" s="11">
        <f>IF(ISNUMBER(tblData[UK]),(tblData[[#This Row],[UK LogiP(t)]]-tblData[[#This Row],[UK]])^2,"")</f>
        <v>3.5260071497343231</v>
      </c>
      <c r="AX25" s="11">
        <f>IF(ISNUMBER(tblData[Days'# UK]),tblData[[#This Row],[UK LogiP(t)]]/$AV$9,"")</f>
        <v>1.8397571903130992E-2</v>
      </c>
      <c r="AY25" s="11">
        <f>IF(ISNUMBER(tblData[Days'# China]),betaChina/(deltaChina+betaPodeltaChina*EXP(-betaChina*tblData[Days'# China])),"")</f>
        <v>24506.064490866251</v>
      </c>
      <c r="AZ25" s="11">
        <f>IF(ISNUMBER(tblData[China]),(tblData[[#This Row],[China LogiP(t)]]-tblData[[#This Row],[China]])^2,"")</f>
        <v>8607977.5717559122</v>
      </c>
      <c r="BA25" s="11">
        <f>tblData[[#This Row],[China LogiP(t)]]/$AY$9</f>
        <v>170.26095795464892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F25" s="62" t="s">
        <v>202</v>
      </c>
      <c r="DH25" s="27">
        <v>43855</v>
      </c>
      <c r="DJ25" s="62">
        <v>1</v>
      </c>
      <c r="DK25" s="62">
        <v>0.20209478104227763</v>
      </c>
      <c r="DL25" s="62">
        <v>1.0000000000000751E-10</v>
      </c>
      <c r="DM25" s="62">
        <v>5.7886977342360797E-3</v>
      </c>
      <c r="DN25" s="62">
        <v>2020947810.4226243</v>
      </c>
      <c r="DO25" s="65">
        <v>3.8333653054478112</v>
      </c>
      <c r="DP25" s="64">
        <v>34.911959532184611</v>
      </c>
      <c r="DQ25" s="62">
        <v>1.0000000000000751E-7</v>
      </c>
      <c r="DR25" s="64">
        <v>3.8333653054478112</v>
      </c>
      <c r="DS25" s="27">
        <v>43908</v>
      </c>
      <c r="DT25" s="63" t="s">
        <v>995</v>
      </c>
      <c r="DU25" s="63"/>
      <c r="DV25" s="62">
        <v>307</v>
      </c>
      <c r="DW25" s="62" t="s">
        <v>996</v>
      </c>
      <c r="DX25" s="27">
        <v>43908</v>
      </c>
      <c r="DY25" s="65">
        <v>55</v>
      </c>
      <c r="DZ25" s="63" t="s">
        <v>997</v>
      </c>
      <c r="EA25" s="62"/>
      <c r="EB25" s="62" t="s">
        <v>998</v>
      </c>
      <c r="EC25" s="62"/>
      <c r="ED25" s="66" t="s">
        <v>1018</v>
      </c>
      <c r="EE25" s="21">
        <v>379.95049504950492</v>
      </c>
      <c r="EF25" s="101"/>
      <c r="EG25" s="65"/>
      <c r="EH25" s="101"/>
      <c r="EI25" s="11"/>
      <c r="EJ25" s="26" t="s">
        <v>1019</v>
      </c>
      <c r="EK25" s="26"/>
      <c r="EL25" s="26"/>
    </row>
    <row r="26" spans="2:142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9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2"/>
        <v>15</v>
      </c>
      <c r="Z26" s="26" t="str">
        <f>IF(tblData[[#This Row],[Date]]&lt;StartDt2Korea,"",tblData[[#This Row],[Date]]-StartDt2Korea)</f>
        <v/>
      </c>
      <c r="AA26" s="26">
        <f>IF(tblData[[#This Row],[Date]]&lt;UKStart,"",tblData[[#This Row],[Date]]-UKStart)</f>
        <v>7</v>
      </c>
      <c r="AB26">
        <f>IF(tblData[Date]&gt;=StartDt2Au,tblData[Date]-StartDt2Au,"")</f>
        <v>12</v>
      </c>
      <c r="AC26" s="26">
        <f>IF(tblData[New South Wales]&gt;0,SUM(tblData[[#This Row],[Australian Capital Territory]:[Western Australia]]),"")</f>
        <v>14</v>
      </c>
      <c r="AD26" s="12">
        <f>IF(ISNUMBER(tblData[Au]),tblData[Au]/$AA$9,"")</f>
        <v>5.5196341271092884</v>
      </c>
      <c r="AE26" s="19">
        <f>IF(ISNUMBER(tblData[[#This Row],[Day'# Aust]]),betaAu/(deltaAu+betaPodeltaAu*EXP(-betaAu*tblData[[#This Row],[Day'# Aust]])),"")</f>
        <v>0.10370423751158477</v>
      </c>
      <c r="AF26" s="72">
        <f>IF(ISNUMBER(tblData[Day'# Aust]),tblData[Au LogiP(t)]/$AD$9,"")</f>
        <v>4.0886389178199326E-2</v>
      </c>
      <c r="AG26" s="11">
        <f>IF(AND(tblData[Date]&gt;=StartDt2Au,ISNUMBER(tblData[NSW])),(tblData[[#This Row],[Au LogiP(t)]]-tblData[[#This Row],[Au]])^2,"")</f>
        <v>193.10703591855349</v>
      </c>
      <c r="AH26">
        <f>IF(tblData[Date]&gt;StartDt2NSW,tblData[Date]-StartDt2NSW,"")</f>
        <v>12</v>
      </c>
      <c r="AI26">
        <f t="shared" si="3"/>
        <v>4</v>
      </c>
      <c r="AJ26" s="11">
        <f>IF(tblData[Date]&gt;StartDt2NSW,betaNSW/(deltaNSW+betaPodeltaNSW*EXP(-betaNSW*tblData[[#This Row],[Day '# NSW]])),"")</f>
        <v>5.7432106562419628E-2</v>
      </c>
      <c r="AK26" s="12">
        <f>IF(AND(ISNUMBER(tblData[NSW]),tblData[Date]&gt;StartDt2NSW),(tblData[[#This Row],[NSW LogiP(t)]]-tblData[[#This Row],[NSW]])^2,"")</f>
        <v>15.543841594364839</v>
      </c>
      <c r="AL26" s="12">
        <f>IF(AND(tblData[Date]&gt;StartDt2NSW,ISNUMBER(tblData[Day'# Aust])),tblData[NSW LogiP(t)]/$AG$9,"")</f>
        <v>7.1079339804974787E-2</v>
      </c>
      <c r="AM26" s="11">
        <f>IF(AND(tblData[Date]&gt;StartDt2Italy,ISNUMBER(tblData[Days'# Italy])),betaItaly/(deltaItaly+betaPodeltaItaly*EXP(-betaItaly*tblData[Days'# Italy])),"")</f>
        <v>2.7192286446567251</v>
      </c>
      <c r="AN26" s="11">
        <f>IF(AND(tblData[Date]&gt;StartDt2Italy,ISNUMBER(tblData[Italy])),(tblData[[#This Row],[Italy LogiP(t)]]-tblData[[#This Row],[Italy]])^2,"")</f>
        <v>0.5172898432947497</v>
      </c>
      <c r="AO26" s="44">
        <f>IF(AND(tblData[Date]&gt;StartDt2Italy,ISNUMBER(tblData[Days'# Italy])),tblData[[#This Row],[Italy LogiP(t)]]/$AM$9,"")</f>
        <v>0.44983104129970641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IF(tblData[Date]&gt;=StartDt2Korea,betaSKorea/(deltaSKorea+betaPodeltaSKorea*EXP(-betaSKorea*(tblData[Date]-StartDt2Korea))),"")</f>
        <v/>
      </c>
      <c r="AT26" s="11" t="str">
        <f>IF(AND(tblData[Date]&gt;=StartDt2Korea,ISNUMBER(tblData[SKorea])),(tblData[[#This Row],[SKorea LogiP(t)]]-tblData[[#This Row],[SKorea]])^2,"")</f>
        <v/>
      </c>
      <c r="AU26" s="11" t="str">
        <f>IF(tblData[Date]&gt;=StartDt2Korea,tblData[[#This Row],[SKorea LogiP(t)]]/$AS$9,"")</f>
        <v/>
      </c>
      <c r="AV26" s="11">
        <f>IF(ISNUMBER(tblData[Days'# UK]),betaUK/(deltaUK+betaPodeltaUK*EXP(-betaUK*tblData[Days'# UK])),"")</f>
        <v>0.15475960057484431</v>
      </c>
      <c r="AW26" s="11">
        <f>IF(ISNUMBER(tblData[UK]),(tblData[[#This Row],[UK LogiP(t)]]-tblData[[#This Row],[UK]])^2,"")</f>
        <v>3.4049121316707076</v>
      </c>
      <c r="AX26" s="11">
        <f>IF(ISNUMBER(tblData[Days'# UK]),tblData[[#This Row],[UK LogiP(t)]]/$AV$9,"")</f>
        <v>2.3293136751180658E-2</v>
      </c>
      <c r="AY26" s="11">
        <f>IF(ISNUMBER(tblData[Days'# China]),betaChina/(deltaChina+betaPodeltaChina*EXP(-betaChina*tblData[Days'# China])),"")</f>
        <v>28459.207170841913</v>
      </c>
      <c r="AZ26" s="11">
        <f>IF(ISNUMBER(tblData[China]),(tblData[[#This Row],[China LogiP(t)]]-tblData[[#This Row],[China]])^2,"")</f>
        <v>4527502.3238165742</v>
      </c>
      <c r="BA26" s="11">
        <f>tblData[[#This Row],[China LogiP(t)]]/$AY$9</f>
        <v>197.72623537097684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F26" s="26" t="s">
        <v>202</v>
      </c>
      <c r="DH26" s="27">
        <v>43855</v>
      </c>
      <c r="DJ26" s="26">
        <v>1</v>
      </c>
      <c r="DK26" s="26">
        <v>0.19837162818971904</v>
      </c>
      <c r="DL26" s="26">
        <v>1.00000000000157E-8</v>
      </c>
      <c r="DM26" s="26">
        <v>6.9460009994493713E-3</v>
      </c>
      <c r="DN26" s="26">
        <v>19837162.818940759</v>
      </c>
      <c r="DO26" s="19">
        <v>3.6531506142049168</v>
      </c>
      <c r="DP26" s="12">
        <v>28.559113097735587</v>
      </c>
      <c r="DQ26" s="26">
        <v>1.00000000000157E-5</v>
      </c>
      <c r="DR26" s="26">
        <v>3.6531506142049168</v>
      </c>
      <c r="DS26" s="27">
        <v>43910</v>
      </c>
      <c r="DT26" s="26" t="s">
        <v>1292</v>
      </c>
      <c r="DV26" s="26">
        <v>382</v>
      </c>
      <c r="DW26" s="26" t="s">
        <v>1293</v>
      </c>
      <c r="DX26" s="27">
        <v>43910</v>
      </c>
      <c r="DY26" s="26">
        <v>56</v>
      </c>
      <c r="DZ26" s="26" t="s">
        <v>1294</v>
      </c>
      <c r="EA26" s="26"/>
      <c r="EB26" s="26" t="s">
        <v>1295</v>
      </c>
      <c r="EC26" s="26"/>
      <c r="ED26" s="26" t="s">
        <v>1296</v>
      </c>
      <c r="EE26" s="26">
        <v>472.77227722772273</v>
      </c>
      <c r="EG26" s="26"/>
      <c r="EI26" s="26"/>
      <c r="EJ26" s="26" t="s">
        <v>1297</v>
      </c>
      <c r="EK26" s="26"/>
      <c r="EL26" s="26"/>
    </row>
    <row r="27" spans="2:142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9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IF($B27&lt;BM$14+19,"",$B27-BM$14-19)</f>
        <v/>
      </c>
      <c r="Y27" s="26">
        <f t="shared" si="2"/>
        <v>16</v>
      </c>
      <c r="Z27" s="26" t="str">
        <f>IF(tblData[[#This Row],[Date]]&lt;StartDt2Korea,"",tblData[[#This Row],[Date]]-StartDt2Korea)</f>
        <v/>
      </c>
      <c r="AA27" s="26">
        <f>IF(tblData[[#This Row],[Date]]&lt;UKStart,"",tblData[[#This Row],[Date]]-UKStart)</f>
        <v>8</v>
      </c>
      <c r="AB27">
        <f>IF(tblData[Date]&gt;=StartDt2Au,tblData[Date]-StartDt2Au,"")</f>
        <v>13</v>
      </c>
      <c r="AC27" s="26">
        <f>IF(tblData[New South Wales]&gt;0,SUM(tblData[[#This Row],[Australian Capital Territory]:[Western Australia]]),"")</f>
        <v>15</v>
      </c>
      <c r="AD27" s="12">
        <f>IF(ISNUMBER(tblData[Au]),tblData[Au]/$AA$9,"")</f>
        <v>5.9138937076170954</v>
      </c>
      <c r="AE27" s="19">
        <f>IF(ISNUMBER(tblData[[#This Row],[Day'# Aust]]),betaAu/(deltaAu+betaPodeltaAu*EXP(-betaAu*tblData[[#This Row],[Day'# Aust]])),"")</f>
        <v>0.12798038709277379</v>
      </c>
      <c r="AF27" s="72">
        <f>IF(ISNUMBER(tblData[Day'# Aust]),tblData[Au LogiP(t)]/$AD$9,"")</f>
        <v>5.0457493728423668E-2</v>
      </c>
      <c r="AG27" s="11">
        <f>IF(AND(tblData[Date]&gt;=StartDt2Au,ISNUMBER(tblData[NSW])),(tblData[[#This Row],[Au LogiP(t)]]-tblData[[#This Row],[Au]])^2,"")</f>
        <v>221.17696736669723</v>
      </c>
      <c r="AH27">
        <f>IF(tblData[Date]&gt;StartDt2NSW,tblData[Date]-StartDt2NSW,"")</f>
        <v>13</v>
      </c>
      <c r="AI27">
        <f t="shared" si="3"/>
        <v>4</v>
      </c>
      <c r="AJ27" s="11">
        <f>IF(tblData[Date]&gt;StartDt2NSW,betaNSW/(deltaNSW+betaPodeltaNSW*EXP(-betaNSW*tblData[[#This Row],[Day '# NSW]])),"")</f>
        <v>7.0633682140943649E-2</v>
      </c>
      <c r="AK27" s="12">
        <f>IF(AND(ISNUMBER(tblData[NSW]),tblData[Date]&gt;StartDt2NSW),(tblData[[#This Row],[NSW LogiP(t)]]-tblData[[#This Row],[NSW]])^2,"")</f>
        <v>15.439919659925238</v>
      </c>
      <c r="AL27" s="12">
        <f>IF(AND(tblData[Date]&gt;StartDt2NSW,ISNUMBER(tblData[Day'# Aust])),tblData[NSW LogiP(t)]/$AG$9,"")</f>
        <v>8.7417923441761941E-2</v>
      </c>
      <c r="AM27" s="11">
        <f>IF(AND(tblData[Date]&gt;StartDt2Italy,ISNUMBER(tblData[Days'# Italy])),betaItaly/(deltaItaly+betaPodeltaItaly*EXP(-betaItaly*tblData[Days'# Italy])),"")</f>
        <v>3.5247655227704104</v>
      </c>
      <c r="AN27" s="11">
        <f>IF(AND(tblData[Date]&gt;StartDt2Italy,ISNUMBER(tblData[Italy])),(tblData[[#This Row],[Italy LogiP(t)]]-tblData[[#This Row],[Italy]])^2,"")</f>
        <v>0.27537885388850214</v>
      </c>
      <c r="AO27" s="44">
        <f>IF(AND(tblData[Date]&gt;StartDt2Italy,ISNUMBER(tblData[Days'# Italy])),tblData[[#This Row],[Italy LogiP(t)]]/$AM$9,"")</f>
        <v>0.58308776224489833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IF(tblData[Date]&gt;=StartDt2Korea,betaSKorea/(deltaSKorea+betaPodeltaSKorea*EXP(-betaSKorea*(tblData[Date]-StartDt2Korea))),"")</f>
        <v/>
      </c>
      <c r="AT27" s="11" t="str">
        <f>IF(AND(tblData[Date]&gt;=StartDt2Korea,ISNUMBER(tblData[SKorea])),(tblData[[#This Row],[SKorea LogiP(t)]]-tblData[[#This Row],[SKorea]])^2,"")</f>
        <v/>
      </c>
      <c r="AU27" s="11" t="str">
        <f>IF(tblData[Date]&gt;=StartDt2Korea,tblData[[#This Row],[SKorea LogiP(t)]]/$AS$9,"")</f>
        <v/>
      </c>
      <c r="AV27" s="11">
        <f>IF(ISNUMBER(tblData[Days'# UK]),betaUK/(deltaUK+betaPodeltaUK*EXP(-betaUK*tblData[Days'# UK])),"")</f>
        <v>0.19594088603628274</v>
      </c>
      <c r="AW27" s="11">
        <f>IF(ISNUMBER(tblData[UK]),(tblData[[#This Row],[UK LogiP(t)]]-tblData[[#This Row],[UK]])^2,"")</f>
        <v>7.8627475146029866</v>
      </c>
      <c r="AX27" s="11">
        <f>IF(ISNUMBER(tblData[Days'# UK]),tblData[[#This Row],[UK LogiP(t)]]/$AV$9,"")</f>
        <v>2.949140367794743E-2</v>
      </c>
      <c r="AY27" s="11">
        <f>IF(ISNUMBER(tblData[Days'# China]),betaChina/(deltaChina+betaPodeltaChina*EXP(-betaChina*tblData[Days'# China])),"")</f>
        <v>32680.909114736543</v>
      </c>
      <c r="AZ27" s="11">
        <f>IF(ISNUMBER(tblData[China]),(tblData[[#This Row],[China LogiP(t)]]-tblData[[#This Row],[China]])^2,"")</f>
        <v>2042300.7583430901</v>
      </c>
      <c r="BA27" s="11">
        <f>tblData[[#This Row],[China LogiP(t)]]/$AY$9</f>
        <v>227.05738388870014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F27" s="26" t="s">
        <v>202</v>
      </c>
      <c r="DG27" s="82">
        <v>43911.866284722222</v>
      </c>
      <c r="DH27" s="27">
        <v>43855</v>
      </c>
      <c r="DI27" s="27">
        <v>43855</v>
      </c>
      <c r="DJ27" s="26">
        <v>1</v>
      </c>
      <c r="DK27" s="26">
        <v>0.20930602113130264</v>
      </c>
      <c r="DL27" s="26">
        <v>7.6817707886235747E-5</v>
      </c>
      <c r="DM27" s="26">
        <v>4.3039510033128963E-3</v>
      </c>
      <c r="DN27" s="26">
        <v>2724.7105763852951</v>
      </c>
      <c r="DO27" s="19">
        <v>4.2004617329616165</v>
      </c>
      <c r="DP27" s="12">
        <v>48.631057916445158</v>
      </c>
      <c r="DQ27" s="26">
        <v>7.681770788623575E-2</v>
      </c>
      <c r="DR27" s="26">
        <v>4.2004617329616165</v>
      </c>
      <c r="DS27" s="27">
        <v>43911</v>
      </c>
      <c r="DT27" s="26" t="s">
        <v>1393</v>
      </c>
      <c r="DV27" s="26">
        <v>436</v>
      </c>
      <c r="DW27" s="26" t="s">
        <v>1394</v>
      </c>
      <c r="DX27" s="27">
        <v>43911</v>
      </c>
      <c r="DY27" s="26">
        <v>57</v>
      </c>
      <c r="DZ27" s="26" t="s">
        <v>1395</v>
      </c>
      <c r="EA27" s="26"/>
      <c r="EB27" s="26" t="s">
        <v>1396</v>
      </c>
      <c r="EC27" s="26"/>
      <c r="ED27" s="26" t="s">
        <v>1397</v>
      </c>
      <c r="EE27" s="26">
        <v>539.60396039603961</v>
      </c>
      <c r="EG27" s="26"/>
      <c r="EI27" s="26"/>
      <c r="EJ27" s="26" t="s">
        <v>1382</v>
      </c>
      <c r="EK27" s="26"/>
      <c r="EL27" s="26"/>
    </row>
    <row r="28" spans="2:142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9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IF($B28&lt;BM$14+19,"",$B28-BM$14-19)</f>
        <v/>
      </c>
      <c r="Y28" s="26">
        <f t="shared" si="2"/>
        <v>17</v>
      </c>
      <c r="Z28" s="26" t="str">
        <f>IF(tblData[[#This Row],[Date]]&lt;StartDt2Korea,"",tblData[[#This Row],[Date]]-StartDt2Korea)</f>
        <v/>
      </c>
      <c r="AA28" s="26">
        <f>IF(tblData[[#This Row],[Date]]&lt;UKStart,"",tblData[[#This Row],[Date]]-UKStart)</f>
        <v>9</v>
      </c>
      <c r="AB28">
        <f>IF(tblData[Date]&gt;=StartDt2Au,tblData[Date]-StartDt2Au,"")</f>
        <v>14</v>
      </c>
      <c r="AC28" s="26">
        <f>IF(tblData[New South Wales]&gt;0,SUM(tblData[[#This Row],[Australian Capital Territory]:[Western Australia]]),"")</f>
        <v>15</v>
      </c>
      <c r="AD28" s="12">
        <f>IF(ISNUMBER(tblData[Au]),tblData[Au]/$AA$9,"")</f>
        <v>5.9138937076170954</v>
      </c>
      <c r="AE28" s="19">
        <f>IF(ISNUMBER(tblData[[#This Row],[Day'# Aust]]),betaAu/(deltaAu+betaPodeltaAu*EXP(-betaAu*tblData[[#This Row],[Day'# Aust]])),"")</f>
        <v>0.1579393462927903</v>
      </c>
      <c r="AF28" s="72">
        <f>IF(ISNUMBER(tblData[Day'# Aust]),tblData[Au LogiP(t)]/$AD$9,"")</f>
        <v>6.2269100415072665E-2</v>
      </c>
      <c r="AG28" s="11">
        <f>IF(AND(tblData[Date]&gt;=StartDt2Au,ISNUMBER(tblData[NSW])),(tblData[[#This Row],[Au LogiP(t)]]-tblData[[#This Row],[Au]])^2,"")</f>
        <v>220.28676444832368</v>
      </c>
      <c r="AH28">
        <f>IF(tblData[Date]&gt;StartDt2NSW,tblData[Date]-StartDt2NSW,"")</f>
        <v>14</v>
      </c>
      <c r="AI28">
        <f t="shared" si="3"/>
        <v>4</v>
      </c>
      <c r="AJ28" s="11">
        <f>IF(tblData[Date]&gt;StartDt2NSW,betaNSW/(deltaNSW+betaPodeltaNSW*EXP(-betaNSW*tblData[[#This Row],[Day '# NSW]])),"")</f>
        <v>8.6869744270664628E-2</v>
      </c>
      <c r="AK28" s="12">
        <f>IF(AND(ISNUMBER(tblData[NSW]),tblData[Date]&gt;StartDt2NSW),(tblData[[#This Row],[NSW LogiP(t)]]-tblData[[#This Row],[NSW]])^2,"")</f>
        <v>15.312588398304333</v>
      </c>
      <c r="AL28" s="12">
        <f>IF(AND(tblData[Date]&gt;StartDt2NSW,ISNUMBER(tblData[Day'# Aust])),tblData[NSW LogiP(t)]/$AG$9,"")</f>
        <v>0.10751205974092157</v>
      </c>
      <c r="AM28" s="11">
        <f>IF(AND(tblData[Date]&gt;StartDt2Italy,ISNUMBER(tblData[Days'# Italy])),betaItaly/(deltaItaly+betaPodeltaItaly*EXP(-betaItaly*tblData[Days'# Italy])),"")</f>
        <v>4.5689144668982618</v>
      </c>
      <c r="AN28" s="11">
        <f>IF(AND(tblData[Date]&gt;StartDt2Italy,ISNUMBER(tblData[Italy])),(tblData[[#This Row],[Italy LogiP(t)]]-tblData[[#This Row],[Italy]])^2,"")</f>
        <v>2.4614926044426571</v>
      </c>
      <c r="AO28" s="44">
        <f>IF(AND(tblData[Date]&gt;StartDt2Italy,ISNUMBER(tblData[Days'# Italy])),tblData[[#This Row],[Italy LogiP(t)]]/$AM$9,"")</f>
        <v>0.75581711611220215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IF(tblData[Date]&gt;=StartDt2Korea,betaSKorea/(deltaSKorea+betaPodeltaSKorea*EXP(-betaSKorea*(tblData[Date]-StartDt2Korea))),"")</f>
        <v/>
      </c>
      <c r="AT28" s="11" t="str">
        <f>IF(AND(tblData[Date]&gt;=StartDt2Korea,ISNUMBER(tblData[SKorea])),(tblData[[#This Row],[SKorea LogiP(t)]]-tblData[[#This Row],[SKorea]])^2,"")</f>
        <v/>
      </c>
      <c r="AU28" s="11" t="str">
        <f>IF(tblData[Date]&gt;=StartDt2Korea,tblData[[#This Row],[SKorea LogiP(t)]]/$AS$9,"")</f>
        <v/>
      </c>
      <c r="AV28" s="11">
        <f>IF(ISNUMBER(tblData[Days'# UK]),betaUK/(deltaUK+betaPodeltaUK*EXP(-betaUK*tblData[Days'# UK])),"")</f>
        <v>0.24808044655254174</v>
      </c>
      <c r="AW28" s="11">
        <f>IF(ISNUMBER(tblData[UK]),(tblData[[#This Row],[UK LogiP(t)]]-tblData[[#This Row],[UK]])^2,"")</f>
        <v>7.5730612286464574</v>
      </c>
      <c r="AX28" s="11">
        <f>IF(ISNUMBER(tblData[Days'# UK]),tblData[[#This Row],[UK LogiP(t)]]/$AV$9,"")</f>
        <v>3.7339019649690205E-2</v>
      </c>
      <c r="AY28" s="11">
        <f>IF(ISNUMBER(tblData[Days'# China]),betaChina/(deltaChina+betaPodeltaChina*EXP(-betaChina*tblData[Days'# China])),"")</f>
        <v>37086.511250803967</v>
      </c>
      <c r="AZ28" s="11">
        <f>IF(ISNUMBER(tblData[China]),(tblData[[#This Row],[China LogiP(t)]]-tblData[[#This Row],[China]])^2,"")</f>
        <v>74262.381814742825</v>
      </c>
      <c r="BA28" s="11">
        <f>tblData[[#This Row],[China LogiP(t)]]/$AY$9</f>
        <v>257.66621707501042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F28" s="26" t="s">
        <v>202</v>
      </c>
      <c r="DG28" s="82">
        <v>43912.588692129626</v>
      </c>
      <c r="DH28" s="27">
        <v>43855</v>
      </c>
      <c r="DI28" s="27">
        <v>43855</v>
      </c>
      <c r="DJ28" s="26">
        <v>1</v>
      </c>
      <c r="DK28" s="26">
        <v>0.20690766856988288</v>
      </c>
      <c r="DL28" s="26">
        <v>6.344938640416391E-5</v>
      </c>
      <c r="DM28" s="26">
        <v>4.7957380309846401E-3</v>
      </c>
      <c r="DN28" s="26">
        <v>3260.9876989496688</v>
      </c>
      <c r="DO28" s="26">
        <v>4.183094299453777</v>
      </c>
      <c r="DP28" s="26">
        <v>43.144008898410604</v>
      </c>
      <c r="DQ28" s="26">
        <v>6.3449386404163907E-2</v>
      </c>
      <c r="DR28" s="26">
        <v>4.183094299453777</v>
      </c>
      <c r="DS28" s="27">
        <v>43912</v>
      </c>
      <c r="DT28" s="26" t="s">
        <v>1558</v>
      </c>
      <c r="DV28" s="26">
        <v>533</v>
      </c>
      <c r="DW28" s="26" t="s">
        <v>1559</v>
      </c>
      <c r="DX28" s="27">
        <v>43912</v>
      </c>
      <c r="DY28" s="26">
        <v>58</v>
      </c>
      <c r="DZ28" s="26" t="s">
        <v>1560</v>
      </c>
      <c r="EA28" s="26"/>
      <c r="EB28" s="26" t="s">
        <v>1561</v>
      </c>
      <c r="EC28" s="26"/>
      <c r="ED28" s="26" t="s">
        <v>1562</v>
      </c>
      <c r="EE28" s="26">
        <v>659.65346534653463</v>
      </c>
      <c r="EG28" s="26"/>
      <c r="EI28" s="26"/>
      <c r="EJ28" s="26" t="s">
        <v>1557</v>
      </c>
      <c r="EK28" s="26"/>
      <c r="EL28" s="26"/>
    </row>
    <row r="29" spans="2:142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9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4">IF($B29&lt;BM$14+18,"",$B29-BM$14-18)</f>
        <v>0</v>
      </c>
      <c r="Y29" s="26">
        <f t="shared" si="2"/>
        <v>18</v>
      </c>
      <c r="Z29" s="26" t="str">
        <f>IF(tblData[[#This Row],[Date]]&lt;StartDt2Korea,"",tblData[[#This Row],[Date]]-StartDt2Korea)</f>
        <v/>
      </c>
      <c r="AA29" s="26">
        <f>IF(tblData[[#This Row],[Date]]&lt;UKStart,"",tblData[[#This Row],[Date]]-UKStart)</f>
        <v>10</v>
      </c>
      <c r="AB29">
        <f>IF(tblData[Date]&gt;=StartDt2Au,tblData[Date]-StartDt2Au,"")</f>
        <v>15</v>
      </c>
      <c r="AC29" s="26">
        <f>IF(tblData[New South Wales]&gt;0,SUM(tblData[[#This Row],[Australian Capital Territory]:[Western Australia]]),"")</f>
        <v>15</v>
      </c>
      <c r="AD29" s="12">
        <f>IF(ISNUMBER(tblData[Au]),tblData[Au]/$AA$9,"")</f>
        <v>5.9138937076170954</v>
      </c>
      <c r="AE29" s="19">
        <f>IF(ISNUMBER(tblData[[#This Row],[Day'# Aust]]),betaAu/(deltaAu+betaPodeltaAu*EXP(-betaAu*tblData[[#This Row],[Day'# Aust]])),"")</f>
        <v>0.1949114053642306</v>
      </c>
      <c r="AF29" s="72">
        <f>IF(ISNUMBER(tblData[Day'# Aust]),tblData[Au LogiP(t)]/$AD$9,"")</f>
        <v>7.6845688915088556E-2</v>
      </c>
      <c r="AG29" s="11">
        <f>IF(AND(tblData[Date]&gt;=StartDt2Au,ISNUMBER(tblData[NSW])),(tblData[[#This Row],[Au LogiP(t)]]-tblData[[#This Row],[Au]])^2,"")</f>
        <v>219.19064829501414</v>
      </c>
      <c r="AH29">
        <f>IF(tblData[Date]&gt;StartDt2NSW,tblData[Date]-StartDt2NSW,"")</f>
        <v>15</v>
      </c>
      <c r="AI29">
        <f t="shared" si="3"/>
        <v>4</v>
      </c>
      <c r="AJ29" s="11">
        <f>IF(tblData[Date]&gt;StartDt2NSW,betaNSW/(deltaNSW+betaPodeltaNSW*EXP(-betaNSW*tblData[[#This Row],[Day '# NSW]])),"")</f>
        <v>0.1068377522485822</v>
      </c>
      <c r="AK29" s="12">
        <f>IF(AND(ISNUMBER(tblData[NSW]),tblData[Date]&gt;StartDt2NSW),(tblData[[#This Row],[NSW LogiP(t)]]-tblData[[#This Row],[NSW]])^2,"")</f>
        <v>15.156712287316871</v>
      </c>
      <c r="AL29" s="12">
        <f>IF(AND(tblData[Date]&gt;StartDt2NSW,ISNUMBER(tblData[Day'# Aust])),tblData[NSW LogiP(t)]/$AG$9,"")</f>
        <v>0.13222494090171064</v>
      </c>
      <c r="AM29" s="11">
        <f>IF(AND(tblData[Date]&gt;StartDt2Italy,ISNUMBER(tblData[Days'# Italy])),betaItaly/(deltaItaly+betaPodeltaItaly*EXP(-betaItaly*tblData[Days'# Italy])),"")</f>
        <v>5.9223437069227076</v>
      </c>
      <c r="AN29" s="11">
        <f>IF(AND(tblData[Date]&gt;StartDt2Italy,ISNUMBER(tblData[Italy])),(tblData[[#This Row],[Italy LogiP(t)]]-tblData[[#This Row],[Italy]])^2,"")</f>
        <v>8.5400927413907528</v>
      </c>
      <c r="AO29" s="44">
        <f>IF(AND(tblData[Date]&gt;StartDt2Italy,ISNUMBER(tblData[Days'# Italy])),tblData[[#This Row],[Italy LogiP(t)]]/$AM$9,"")</f>
        <v>0.97970946351078703</v>
      </c>
      <c r="AP29" s="11">
        <f>IF(ISNUMBER(tblData[[#This Row],[Days'# US]]),betaUS/(deltaUS+betaPodeltaUS*EXP(-betaUS*tblData[Days'# US])),"")</f>
        <v>2.5463658145686113E-2</v>
      </c>
      <c r="AQ29" s="11">
        <f>IF(ISNUMBER(tblData[US]),(tblData[[#This Row],[US LogiP(t)]]-tblData[US])^2,"")</f>
        <v>6.4839788616036676E-4</v>
      </c>
      <c r="AR29" s="11">
        <f>IF(ISNUMBER(tblData[[#This Row],[Days'# US]]),tblData[[#This Row],[US LogiP(t)]]/$AP$9,"")</f>
        <v>7.7343597114947035E-4</v>
      </c>
      <c r="AS29" s="11" t="str">
        <f>IF(tblData[Date]&gt;=StartDt2Korea,betaSKorea/(deltaSKorea+betaPodeltaSKorea*EXP(-betaSKorea*(tblData[Date]-StartDt2Korea))),"")</f>
        <v/>
      </c>
      <c r="AT29" s="11" t="str">
        <f>IF(AND(tblData[Date]&gt;=StartDt2Korea,ISNUMBER(tblData[SKorea])),(tblData[[#This Row],[SKorea LogiP(t)]]-tblData[[#This Row],[SKorea]])^2,"")</f>
        <v/>
      </c>
      <c r="AU29" s="11" t="str">
        <f>IF(tblData[Date]&gt;=StartDt2Korea,tblData[[#This Row],[SKorea LogiP(t)]]/$AS$9,"")</f>
        <v/>
      </c>
      <c r="AV29" s="11">
        <f>IF(ISNUMBER(tblData[Days'# UK]),betaUK/(deltaUK+betaPodeltaUK*EXP(-betaUK*tblData[Days'# UK])),"")</f>
        <v>0.31409426181064282</v>
      </c>
      <c r="AW29" s="11">
        <f>IF(ISNUMBER(tblData[UK]),(tblData[[#This Row],[UK LogiP(t)]]-tblData[[#This Row],[UK]])^2,"")</f>
        <v>7.2140896344385155</v>
      </c>
      <c r="AX29" s="11">
        <f>IF(ISNUMBER(tblData[Days'# UK]),tblData[[#This Row],[UK LogiP(t)]]/$AV$9,"")</f>
        <v>4.727487384266147E-2</v>
      </c>
      <c r="AY29" s="11">
        <f>IF(ISNUMBER(tblData[Days'# China]),betaChina/(deltaChina+betaPodeltaChina*EXP(-betaChina*tblData[Days'# China])),"")</f>
        <v>41574.626759537001</v>
      </c>
      <c r="AZ29" s="11">
        <f>IF(ISNUMBER(tblData[China]),(tblData[[#This Row],[China LogiP(t)]]-tblData[[#This Row],[China]])^2,"")</f>
        <v>3047212.7836116506</v>
      </c>
      <c r="BA29" s="11">
        <f>tblData[[#This Row],[China LogiP(t)]]/$AY$9</f>
        <v>288.84832900541903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F29" s="26" t="s">
        <v>202</v>
      </c>
      <c r="DG29" s="82">
        <v>43912.787488425929</v>
      </c>
      <c r="DH29" s="27">
        <v>43855</v>
      </c>
      <c r="DI29" s="27">
        <v>43855</v>
      </c>
      <c r="DJ29" s="26">
        <v>1</v>
      </c>
      <c r="DK29" s="26">
        <v>0.20690766856988288</v>
      </c>
      <c r="DL29" s="26">
        <v>6.344938640416391E-5</v>
      </c>
      <c r="DM29" s="26">
        <v>4.7957380309846401E-3</v>
      </c>
      <c r="DN29" s="26">
        <v>3260.9876989496688</v>
      </c>
      <c r="DO29" s="26">
        <v>4.183094299453777</v>
      </c>
      <c r="DP29" s="26">
        <v>43.144008898410604</v>
      </c>
      <c r="DQ29" s="26">
        <v>6.3449386404163907E-2</v>
      </c>
      <c r="DR29" s="26">
        <v>4.183094299453777</v>
      </c>
      <c r="DS29" s="27">
        <v>43912</v>
      </c>
      <c r="DT29" s="26" t="s">
        <v>1558</v>
      </c>
      <c r="DU29" s="26">
        <v>3260.9876989496688</v>
      </c>
      <c r="DV29" s="26">
        <v>533</v>
      </c>
      <c r="DW29" s="26" t="s">
        <v>1559</v>
      </c>
      <c r="DX29" s="27">
        <v>43912</v>
      </c>
      <c r="DY29" s="26">
        <v>58</v>
      </c>
      <c r="DZ29" s="26" t="s">
        <v>1579</v>
      </c>
      <c r="EA29" s="26"/>
      <c r="EB29" s="26" t="s">
        <v>1561</v>
      </c>
      <c r="EC29" s="26"/>
      <c r="ED29" s="26" t="s">
        <v>1580</v>
      </c>
      <c r="EE29" s="26">
        <v>659.65346534653463</v>
      </c>
      <c r="EG29" s="26"/>
      <c r="EI29" s="26"/>
      <c r="EJ29" s="26" t="s">
        <v>1557</v>
      </c>
      <c r="EK29" s="26"/>
      <c r="EL29" s="26"/>
    </row>
    <row r="30" spans="2:142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9">
        <f>IF(ISNUMBER(tblData[Italy]),tblData[Italy]/$N$9,"")</f>
        <v>0.49627791563275436</v>
      </c>
      <c r="O30">
        <v>11</v>
      </c>
      <c r="P30" s="49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4"/>
        <v>1</v>
      </c>
      <c r="Y30" s="26">
        <f t="shared" si="2"/>
        <v>19</v>
      </c>
      <c r="Z30" s="26" t="str">
        <f>IF(tblData[[#This Row],[Date]]&lt;StartDt2Korea,"",tblData[[#This Row],[Date]]-StartDt2Korea)</f>
        <v/>
      </c>
      <c r="AA30" s="26">
        <f>IF(tblData[[#This Row],[Date]]&lt;UKStart,"",tblData[[#This Row],[Date]]-UKStart)</f>
        <v>11</v>
      </c>
      <c r="AB30">
        <f>IF(tblData[Date]&gt;=StartDt2Au,tblData[Date]-StartDt2Au,"")</f>
        <v>16</v>
      </c>
      <c r="AC30" s="26">
        <f>IF(tblData[New South Wales]&gt;0,SUM(tblData[[#This Row],[Australian Capital Territory]:[Western Australia]]),"")</f>
        <v>15</v>
      </c>
      <c r="AD30" s="12">
        <f>IF(ISNUMBER(tblData[Au]),tblData[Au]/$AA$9,"")</f>
        <v>5.9138937076170954</v>
      </c>
      <c r="AE30" s="19">
        <f>IF(ISNUMBER(tblData[[#This Row],[Day'# Aust]]),betaAu/(deltaAu+betaPodeltaAu*EXP(-betaAu*tblData[[#This Row],[Day'# Aust]])),"")</f>
        <v>0.2405382625205742</v>
      </c>
      <c r="AF30" s="72">
        <f>IF(ISNUMBER(tblData[Day'# Aust]),tblData[Au LogiP(t)]/$AD$9,"")</f>
        <v>9.4834514477438181E-2</v>
      </c>
      <c r="AG30" s="11">
        <f>IF(AND(tblData[Date]&gt;=StartDt2Au,ISNUMBER(tblData[NSW])),(tblData[[#This Row],[Au LogiP(t)]]-tblData[[#This Row],[Au]])^2,"")</f>
        <v>217.84171078011917</v>
      </c>
      <c r="AH30">
        <f>IF(tblData[Date]&gt;StartDt2NSW,tblData[Date]-StartDt2NSW,"")</f>
        <v>16</v>
      </c>
      <c r="AI30">
        <f t="shared" si="3"/>
        <v>4</v>
      </c>
      <c r="AJ30" s="11">
        <f>IF(tblData[Date]&gt;StartDt2NSW,betaNSW/(deltaNSW+betaPodeltaNSW*EXP(-betaNSW*tblData[[#This Row],[Day '# NSW]])),"")</f>
        <v>0.13139545114580226</v>
      </c>
      <c r="AK30" s="12">
        <f>IF(AND(ISNUMBER(tblData[NSW]),tblData[Date]&gt;StartDt2NSW),(tblData[[#This Row],[NSW LogiP(t)]]-tblData[[#This Row],[NSW]])^2,"")</f>
        <v>14.966101155415389</v>
      </c>
      <c r="AL30" s="12">
        <f>IF(AND(tblData[Date]&gt;StartDt2NSW,ISNUMBER(tblData[Day'# Aust])),tblData[NSW LogiP(t)]/$AG$9,"")</f>
        <v>0.1626181326061909</v>
      </c>
      <c r="AM30" s="11">
        <f>IF(AND(tblData[Date]&gt;StartDt2Italy,ISNUMBER(tblData[Days'# Italy])),betaItaly/(deltaItaly+betaPodeltaItaly*EXP(-betaItaly*tblData[Days'# Italy])),"")</f>
        <v>7.6766425171576209</v>
      </c>
      <c r="AN30" s="11">
        <f>IF(AND(tblData[Date]&gt;StartDt2Italy,ISNUMBER(tblData[Italy])),(tblData[[#This Row],[Italy LogiP(t)]]-tblData[[#This Row],[Italy]])^2,"")</f>
        <v>21.870985233286369</v>
      </c>
      <c r="AO30" s="44">
        <f>IF(AND(tblData[Date]&gt;StartDt2Italy,ISNUMBER(tblData[Days'# Italy])),tblData[[#This Row],[Italy LogiP(t)]]/$AM$9,"")</f>
        <v>1.2699160491575883</v>
      </c>
      <c r="AP30" s="21">
        <f>IF(ISNUMBER(tblData[[#This Row],[Days'# US]]),betaUS/(deltaUS+betaPodeltaUS*EXP(-betaUS*tblData[Days'# US])),"")</f>
        <v>3.5676265850495728E-2</v>
      </c>
      <c r="AQ30" s="11">
        <f>IF(ISNUMBER(tblData[US]),(tblData[[#This Row],[US LogiP(t)]]-tblData[US])^2,"")</f>
        <v>120.21639494723412</v>
      </c>
      <c r="AR30" s="21">
        <f>IF(ISNUMBER(tblData[[#This Row],[Days'# US]]),tblData[[#This Row],[US LogiP(t)]]/$AP$9,"")</f>
        <v>1.0836348480330006E-3</v>
      </c>
      <c r="AS30" s="21" t="str">
        <f>IF(tblData[Date]&gt;=StartDt2Korea,betaSKorea/(deltaSKorea+betaPodeltaSKorea*EXP(-betaSKorea*(tblData[Date]-StartDt2Korea))),"")</f>
        <v/>
      </c>
      <c r="AT30" s="21" t="str">
        <f>IF(AND(tblData[Date]&gt;=StartDt2Korea,ISNUMBER(tblData[SKorea])),(tblData[[#This Row],[SKorea LogiP(t)]]-tblData[[#This Row],[SKorea]])^2,"")</f>
        <v/>
      </c>
      <c r="AU30" s="21" t="str">
        <f>IF(tblData[Date]&gt;=StartDt2Korea,tblData[[#This Row],[SKorea LogiP(t)]]/$AS$9,"")</f>
        <v/>
      </c>
      <c r="AV30" s="11">
        <f>IF(ISNUMBER(tblData[Days'# UK]),betaUK/(deltaUK+betaPodeltaUK*EXP(-betaUK*tblData[Days'# UK])),"")</f>
        <v>0.39767424908328292</v>
      </c>
      <c r="AW30" s="21">
        <f>IF(ISNUMBER(tblData[UK]),(tblData[[#This Row],[UK LogiP(t)]]-tblData[[#This Row],[UK]])^2,"")</f>
        <v>57.795356823051421</v>
      </c>
      <c r="AX30" s="21">
        <f>IF(ISNUMBER(tblData[Days'# UK]),tblData[[#This Row],[UK LogiP(t)]]/$AV$9,"")</f>
        <v>5.9854643149199714E-2</v>
      </c>
      <c r="AY30" s="11">
        <f>IF(ISNUMBER(tblData[Days'# China]),betaChina/(deltaChina+betaPodeltaChina*EXP(-betaChina*tblData[Days'# China])),"")</f>
        <v>46036.018085216165</v>
      </c>
      <c r="AZ30" s="11">
        <f>IF(ISNUMBER(tblData[China]),(tblData[[#This Row],[China LogiP(t)]]-tblData[[#This Row],[China]])^2,"")</f>
        <v>13557257.179858912</v>
      </c>
      <c r="BA30" s="11">
        <f>tblData[[#This Row],[China LogiP(t)]]/$AY$9</f>
        <v>319.84476913981143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F30" s="26" t="s">
        <v>58</v>
      </c>
      <c r="DH30" s="27">
        <v>43860</v>
      </c>
      <c r="DJ30" s="26">
        <v>2</v>
      </c>
      <c r="DK30" s="23">
        <v>0.26341245608301456</v>
      </c>
      <c r="DL30" s="25">
        <v>8.0178356113971791E-6</v>
      </c>
      <c r="DM30" s="22">
        <v>0.43807876080500274</v>
      </c>
      <c r="DN30" s="26">
        <v>32853.312146806733</v>
      </c>
      <c r="DO30" s="19">
        <v>317.87708238738571</v>
      </c>
      <c r="DP30" s="37">
        <v>0.60128216021130942</v>
      </c>
      <c r="DQ30" s="24">
        <v>8.0178356113971786E-3</v>
      </c>
      <c r="DR30" s="12"/>
      <c r="DS30" s="27">
        <v>43904</v>
      </c>
      <c r="DT30" s="27" t="s">
        <v>491</v>
      </c>
      <c r="DU30" s="27"/>
      <c r="DV30" s="19"/>
      <c r="DW30" s="19"/>
      <c r="DY30" s="26"/>
      <c r="DZ30" s="18"/>
      <c r="EA30" s="26"/>
      <c r="EB30" s="26"/>
      <c r="EC30" s="26"/>
      <c r="ED30" s="26"/>
      <c r="EE30" s="26"/>
      <c r="EG30" s="26"/>
      <c r="EI30" s="26"/>
      <c r="EJ30" s="26"/>
    </row>
    <row r="31" spans="2:142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9">
        <f>IF(ISNUMBER(tblData[Italy]),tblData[Italy]/$N$9,"")</f>
        <v>0.49627791563275436</v>
      </c>
      <c r="O31">
        <v>12</v>
      </c>
      <c r="P31" s="49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4"/>
        <v>2</v>
      </c>
      <c r="Y31" s="26">
        <f t="shared" si="2"/>
        <v>20</v>
      </c>
      <c r="Z31" s="26" t="str">
        <f>IF(tblData[[#This Row],[Date]]&lt;StartDt2Korea,"",tblData[[#This Row],[Date]]-StartDt2Korea)</f>
        <v/>
      </c>
      <c r="AA31" s="26">
        <f>IF(tblData[[#This Row],[Date]]&lt;UKStart,"",tblData[[#This Row],[Date]]-UKStart)</f>
        <v>12</v>
      </c>
      <c r="AB31">
        <f>IF(tblData[Date]&gt;=StartDt2Au,tblData[Date]-StartDt2Au,"")</f>
        <v>17</v>
      </c>
      <c r="AC31" s="26">
        <f>IF(tblData[New South Wales]&gt;0,SUM(tblData[[#This Row],[Australian Capital Territory]:[Western Australia]]),"")</f>
        <v>15</v>
      </c>
      <c r="AD31" s="12">
        <f>IF(ISNUMBER(tblData[Au]),tblData[Au]/$AA$9,"")</f>
        <v>5.9138937076170954</v>
      </c>
      <c r="AE31" s="19">
        <f>IF(ISNUMBER(tblData[[#This Row],[Day'# Aust]]),betaAu/(deltaAu+betaPodeltaAu*EXP(-betaAu*tblData[[#This Row],[Day'# Aust]])),"")</f>
        <v>0.29684592149957828</v>
      </c>
      <c r="AF31" s="72">
        <f>IF(ISNUMBER(tblData[Day'# Aust]),tblData[Au LogiP(t)]/$AD$9,"")</f>
        <v>0.11703434848587695</v>
      </c>
      <c r="AG31" s="11">
        <f>IF(AND(tblData[Date]&gt;=StartDt2Au,ISNUMBER(tblData[NSW])),(tblData[[#This Row],[Au LogiP(t)]]-tblData[[#This Row],[Au]])^2,"")</f>
        <v>216.18273985612359</v>
      </c>
      <c r="AH31">
        <f>IF(tblData[Date]&gt;StartDt2NSW,tblData[Date]-StartDt2NSW,"")</f>
        <v>17</v>
      </c>
      <c r="AI31">
        <f t="shared" si="3"/>
        <v>4</v>
      </c>
      <c r="AJ31" s="11">
        <f>IF(tblData[Date]&gt;StartDt2NSW,betaNSW/(deltaNSW+betaPodeltaNSW*EXP(-betaNSW*tblData[[#This Row],[Day '# NSW]])),"")</f>
        <v>0.16159769680574149</v>
      </c>
      <c r="AK31" s="12">
        <f>IF(AND(ISNUMBER(tblData[NSW]),tblData[Date]&gt;StartDt2NSW),(tblData[[#This Row],[NSW LogiP(t)]]-tblData[[#This Row],[NSW]])^2,"")</f>
        <v>14.733332241166988</v>
      </c>
      <c r="AL31" s="12">
        <f>IF(AND(tblData[Date]&gt;StartDt2NSW,ISNUMBER(tblData[Day'# Aust])),tblData[NSW LogiP(t)]/$AG$9,"")</f>
        <v>0.19999714951205627</v>
      </c>
      <c r="AM31" s="11">
        <f>IF(AND(tblData[Date]&gt;StartDt2Italy,ISNUMBER(tblData[Days'# Italy])),betaItaly/(deltaItaly+betaPodeltaItaly*EXP(-betaItaly*tblData[Days'# Italy])),"")</f>
        <v>9.9505091489714879</v>
      </c>
      <c r="AN31" s="11">
        <f>IF(AND(tblData[Date]&gt;StartDt2Italy,ISNUMBER(tblData[Italy])),(tblData[[#This Row],[Italy LogiP(t)]]-tblData[[#This Row],[Italy]])^2,"")</f>
        <v>48.309577429936354</v>
      </c>
      <c r="AO31" s="44">
        <f>IF(AND(tblData[Date]&gt;StartDt2Italy,ISNUMBER(tblData[Days'# Italy])),tblData[[#This Row],[Italy LogiP(t)]]/$AM$9,"")</f>
        <v>1.6460726466454074</v>
      </c>
      <c r="AP31" s="21">
        <f>IF(ISNUMBER(tblData[[#This Row],[Days'# US]]),betaUS/(deltaUS+betaPodeltaUS*EXP(-betaUS*tblData[Days'# US])),"")</f>
        <v>4.9984803351961843E-2</v>
      </c>
      <c r="AQ31" s="11">
        <f>IF(ISNUMBER(tblData[US]),(tblData[[#This Row],[US LogiP(t)]]-tblData[US])^2,"")</f>
        <v>142.80286320011908</v>
      </c>
      <c r="AR31" s="21">
        <f>IF(ISNUMBER(tblData[[#This Row],[Days'# US]]),tblData[[#This Row],[US LogiP(t)]]/$AP$9,"")</f>
        <v>1.5182439499483087E-3</v>
      </c>
      <c r="AS31" s="21" t="str">
        <f>IF(tblData[Date]&gt;=StartDt2Korea,betaSKorea/(deltaSKorea+betaPodeltaSKorea*EXP(-betaSKorea*(tblData[Date]-StartDt2Korea))),"")</f>
        <v/>
      </c>
      <c r="AT31" s="21" t="str">
        <f>IF(AND(tblData[Date]&gt;=StartDt2Korea,ISNUMBER(tblData[SKorea])),(tblData[[#This Row],[SKorea LogiP(t)]]-tblData[[#This Row],[SKorea]])^2,"")</f>
        <v/>
      </c>
      <c r="AU31" s="21" t="str">
        <f>IF(tblData[Date]&gt;=StartDt2Korea,tblData[[#This Row],[SKorea LogiP(t)]]/$AS$9,"")</f>
        <v/>
      </c>
      <c r="AV31" s="11">
        <f>IF(ISNUMBER(tblData[Days'# UK]),betaUK/(deltaUK+betaPodeltaUK*EXP(-betaUK*tblData[Days'# UK])),"")</f>
        <v>0.50349473899139863</v>
      </c>
      <c r="AW31" s="21">
        <f>IF(ISNUMBER(tblData[UK]),(tblData[[#This Row],[UK LogiP(t)]]-tblData[[#This Row],[UK]])^2,"")</f>
        <v>56.197591128329641</v>
      </c>
      <c r="AX31" s="21">
        <f>IF(ISNUMBER(tblData[Days'# UK]),tblData[[#This Row],[UK LogiP(t)]]/$AV$9,"")</f>
        <v>7.5781869204003399E-2</v>
      </c>
      <c r="AY31" s="11">
        <f>IF(ISNUMBER(tblData[Days'# China]),betaChina/(deltaChina+betaPodeltaChina*EXP(-betaChina*tblData[Days'# China])),"")</f>
        <v>50364.013729446291</v>
      </c>
      <c r="AZ31" s="11">
        <f>IF(ISNUMBER(tblData[China]),(tblData[[#This Row],[China LogiP(t)]]-tblData[[#This Row],[China]])^2,"")</f>
        <v>35736648.149448358</v>
      </c>
      <c r="BA31" s="11">
        <f>tblData[[#This Row],[China LogiP(t)]]/$AY$9</f>
        <v>349.91441515273277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F31" s="26" t="s">
        <v>58</v>
      </c>
      <c r="DH31" s="27">
        <v>43860</v>
      </c>
      <c r="DJ31" s="26">
        <v>2</v>
      </c>
      <c r="DK31" s="23">
        <v>0.26295149930522799</v>
      </c>
      <c r="DL31" s="25">
        <v>7.2323673251486775E-6</v>
      </c>
      <c r="DM31" s="22">
        <v>0.43947505980618701</v>
      </c>
      <c r="DN31" s="24">
        <v>36357.597379060448</v>
      </c>
      <c r="DO31" s="22">
        <v>403.75439893608279</v>
      </c>
      <c r="DP31" s="37">
        <v>0.59832364770853697</v>
      </c>
      <c r="DQ31" s="24">
        <v>7.2323673251486779E-3</v>
      </c>
      <c r="DR31" s="24"/>
      <c r="DS31" s="27">
        <v>43905</v>
      </c>
      <c r="DT31" s="27" t="s">
        <v>765</v>
      </c>
      <c r="DU31" s="27"/>
      <c r="DV31" s="26"/>
      <c r="DW31" s="26"/>
      <c r="DY31" s="19"/>
      <c r="DZ31" s="18"/>
      <c r="EA31" s="26"/>
      <c r="EB31" s="26"/>
      <c r="EC31" s="26"/>
      <c r="ED31" s="26"/>
      <c r="EE31" s="26"/>
      <c r="EG31" s="19"/>
      <c r="EI31" s="26"/>
      <c r="EJ31" s="26"/>
    </row>
    <row r="32" spans="2:142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9">
        <f>IF(ISNUMBER(tblData[Italy]),tblData[Italy]/$N$9,"")</f>
        <v>0.49627791563275436</v>
      </c>
      <c r="O32">
        <v>12</v>
      </c>
      <c r="P32" s="49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4"/>
        <v>3</v>
      </c>
      <c r="Y32" s="26">
        <f t="shared" si="2"/>
        <v>21</v>
      </c>
      <c r="Z32" s="26" t="str">
        <f>IF(tblData[[#This Row],[Date]]&lt;StartDt2Korea,"",tblData[[#This Row],[Date]]-StartDt2Korea)</f>
        <v/>
      </c>
      <c r="AA32" s="26">
        <f>IF(tblData[[#This Row],[Date]]&lt;UKStart,"",tblData[[#This Row],[Date]]-UKStart)</f>
        <v>13</v>
      </c>
      <c r="AB32">
        <f>IF(tblData[Date]&gt;=StartDt2Au,tblData[Date]-StartDt2Au,"")</f>
        <v>18</v>
      </c>
      <c r="AC32" s="26">
        <f>IF(tblData[New South Wales]&gt;0,SUM(tblData[[#This Row],[Australian Capital Territory]:[Western Australia]]),"")</f>
        <v>15</v>
      </c>
      <c r="AD32" s="12">
        <f>IF(ISNUMBER(tblData[Au]),tblData[Au]/$AA$9,"")</f>
        <v>5.9138937076170954</v>
      </c>
      <c r="AE32" s="19">
        <f>IF(ISNUMBER(tblData[[#This Row],[Day'# Aust]]),betaAu/(deltaAu+betaPodeltaAu*EXP(-betaAu*tblData[[#This Row],[Day'# Aust]])),"")</f>
        <v>0.36633465373453661</v>
      </c>
      <c r="AF32" s="72">
        <f>IF(ISNUMBER(tblData[Day'# Aust]),tblData[Au LogiP(t)]/$AD$9,"")</f>
        <v>0.1444309469068509</v>
      </c>
      <c r="AG32" s="11">
        <f>IF(AND(tblData[Date]&gt;=StartDt2Au,ISNUMBER(tblData[NSW])),(tblData[[#This Row],[Au LogiP(t)]]-tblData[[#This Row],[Au]])^2,"")</f>
        <v>214.14416146649069</v>
      </c>
      <c r="AH32">
        <f>IF(tblData[Date]&gt;StartDt2NSW,tblData[Date]-StartDt2NSW,"")</f>
        <v>18</v>
      </c>
      <c r="AI32">
        <f t="shared" si="3"/>
        <v>4</v>
      </c>
      <c r="AJ32" s="11">
        <f>IF(tblData[Date]&gt;StartDt2NSW,betaNSW/(deltaNSW+betaPodeltaNSW*EXP(-betaNSW*tblData[[#This Row],[Day '# NSW]])),"")</f>
        <v>0.19874173565509246</v>
      </c>
      <c r="AK32" s="12">
        <f>IF(AND(ISNUMBER(tblData[NSW]),tblData[Date]&gt;StartDt2NSW),(tblData[[#This Row],[NSW LogiP(t)]]-tblData[[#This Row],[NSW]])^2,"")</f>
        <v>14.449564392250458</v>
      </c>
      <c r="AL32" s="12">
        <f>IF(AND(tblData[Date]&gt;StartDt2NSW,ISNUMBER(tblData[Day'# Aust])),tblData[NSW LogiP(t)]/$AG$9,"")</f>
        <v>0.24596749462263917</v>
      </c>
      <c r="AM32" s="11">
        <f>IF(AND(tblData[Date]&gt;StartDt2Italy,ISNUMBER(tblData[Days'# Italy])),betaItaly/(deltaItaly+betaPodeltaItaly*EXP(-betaItaly*tblData[Days'# Italy])),"")</f>
        <v>12.897765153960885</v>
      </c>
      <c r="AN32" s="11">
        <f>IF(AND(tblData[Date]&gt;StartDt2Italy,ISNUMBER(tblData[Italy])),(tblData[[#This Row],[Italy LogiP(t)]]-tblData[[#This Row],[Italy]])^2,"")</f>
        <v>97.965755042962329</v>
      </c>
      <c r="AO32" s="44">
        <f>IF(AND(tblData[Date]&gt;StartDt2Italy,ISNUMBER(tblData[Days'# Italy])),tblData[[#This Row],[Italy LogiP(t)]]/$AM$9,"")</f>
        <v>2.1336253356428263</v>
      </c>
      <c r="AP32" s="21">
        <f>IF(ISNUMBER(tblData[[#This Row],[Days'# US]]),betaUS/(deltaUS+betaPodeltaUS*EXP(-betaUS*tblData[Days'# US])),"")</f>
        <v>7.0032008859899422E-2</v>
      </c>
      <c r="AQ32" s="11">
        <f>IF(ISNUMBER(tblData[US]),(tblData[[#This Row],[US LogiP(t)]]-tblData[US])^2,"")</f>
        <v>142.32413626962739</v>
      </c>
      <c r="AR32" s="21">
        <f>IF(ISNUMBER(tblData[[#This Row],[Days'# US]]),tblData[[#This Row],[US LogiP(t)]]/$AP$9,"")</f>
        <v>2.1271599891188827E-3</v>
      </c>
      <c r="AS32" s="21" t="str">
        <f>IF(tblData[Date]&gt;=StartDt2Korea,betaSKorea/(deltaSKorea+betaPodeltaSKorea*EXP(-betaSKorea*(tblData[Date]-StartDt2Korea))),"")</f>
        <v/>
      </c>
      <c r="AT32" s="21" t="str">
        <f>IF(AND(tblData[Date]&gt;=StartDt2Korea,ISNUMBER(tblData[SKorea])),(tblData[[#This Row],[SKorea LogiP(t)]]-tblData[[#This Row],[SKorea]])^2,"")</f>
        <v/>
      </c>
      <c r="AU32" s="21" t="str">
        <f>IF(tblData[Date]&gt;=StartDt2Korea,tblData[[#This Row],[SKorea LogiP(t)]]/$AS$9,"")</f>
        <v/>
      </c>
      <c r="AV32" s="11">
        <f>IF(ISNUMBER(tblData[Days'# UK]),betaUK/(deltaUK+betaPodeltaUK*EXP(-betaUK*tblData[Days'# UK])),"")</f>
        <v>0.6374738941385939</v>
      </c>
      <c r="AW32" s="21">
        <f>IF(ISNUMBER(tblData[UK]),(tblData[[#This Row],[UK LogiP(t)]]-tblData[[#This Row],[UK]])^2,"")</f>
        <v>69.931842871213533</v>
      </c>
      <c r="AX32" s="21">
        <f>IF(ISNUMBER(tblData[Days'# UK]),tblData[[#This Row],[UK LogiP(t)]]/$AV$9,"")</f>
        <v>9.5947304957645071E-2</v>
      </c>
      <c r="AY32" s="11">
        <f>IF(ISNUMBER(tblData[Days'# China]),betaChina/(deltaChina+betaPodeltaChina*EXP(-betaChina*tblData[Days'# China])),"")</f>
        <v>54464.415701072197</v>
      </c>
      <c r="AZ32" s="11">
        <f>IF(ISNUMBER(tblData[China]),(tblData[[#This Row],[China LogiP(t)]]-tblData[[#This Row],[China]])^2,"")</f>
        <v>94195093.930618733</v>
      </c>
      <c r="BA32" s="11">
        <f>tblData[[#This Row],[China LogiP(t)]]/$AY$9</f>
        <v>378.40280699338768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F32" s="26" t="s">
        <v>58</v>
      </c>
      <c r="DH32" s="27">
        <v>43860</v>
      </c>
      <c r="DJ32" s="26">
        <v>2</v>
      </c>
      <c r="DK32" s="23">
        <v>0.26191421074859073</v>
      </c>
      <c r="DL32" s="25">
        <v>6.140019699733307E-6</v>
      </c>
      <c r="DM32" s="22">
        <v>0.44086139601669905</v>
      </c>
      <c r="DN32" s="26">
        <v>42656.90071971056</v>
      </c>
      <c r="DO32" s="19">
        <v>414.31666978327439</v>
      </c>
      <c r="DP32" s="37">
        <v>0.59409035632825868</v>
      </c>
      <c r="DQ32" s="24">
        <v>6.1400196997333069E-3</v>
      </c>
      <c r="DR32" s="12"/>
      <c r="DS32" s="27">
        <v>43906</v>
      </c>
      <c r="DT32" s="27" t="s">
        <v>962</v>
      </c>
      <c r="DU32" s="27"/>
      <c r="DV32" s="19">
        <v>27980</v>
      </c>
      <c r="DW32" s="19" t="s">
        <v>963</v>
      </c>
      <c r="DX32" s="27">
        <v>43906</v>
      </c>
      <c r="DY32" s="26">
        <v>47</v>
      </c>
      <c r="DZ32" s="18" t="s">
        <v>964</v>
      </c>
      <c r="EA32" s="26"/>
      <c r="EB32" s="26" t="s">
        <v>965</v>
      </c>
      <c r="EC32" s="26"/>
      <c r="ED32" s="26"/>
      <c r="EE32" s="26"/>
      <c r="EG32" s="26"/>
      <c r="EI32" s="26"/>
      <c r="EJ32" s="26"/>
    </row>
    <row r="33" spans="2:140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9">
        <f>IF(ISNUMBER(tblData[Italy]),tblData[Italy]/$N$9,"")</f>
        <v>0.49627791563275436</v>
      </c>
      <c r="O33">
        <v>13</v>
      </c>
      <c r="P33" s="49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4"/>
        <v>4</v>
      </c>
      <c r="Y33" s="26">
        <f t="shared" si="2"/>
        <v>22</v>
      </c>
      <c r="Z33" s="26" t="str">
        <f>IF(tblData[[#This Row],[Date]]&lt;StartDt2Korea,"",tblData[[#This Row],[Date]]-StartDt2Korea)</f>
        <v/>
      </c>
      <c r="AA33" s="26">
        <f>IF(tblData[[#This Row],[Date]]&lt;UKStart,"",tblData[[#This Row],[Date]]-UKStart)</f>
        <v>14</v>
      </c>
      <c r="AB33">
        <f>IF(tblData[Date]&gt;=StartDt2Au,tblData[Date]-StartDt2Au,"")</f>
        <v>19</v>
      </c>
      <c r="AC33" s="26">
        <f>IF(tblData[New South Wales]&gt;0,SUM(tblData[[#This Row],[Australian Capital Territory]:[Western Australia]]),"")</f>
        <v>15</v>
      </c>
      <c r="AD33" s="12">
        <f>IF(ISNUMBER(tblData[Au]),tblData[Au]/$AA$9,"")</f>
        <v>5.9138937076170954</v>
      </c>
      <c r="AE33" s="19">
        <f>IF(ISNUMBER(tblData[[#This Row],[Day'# Aust]]),betaAu/(deltaAu+betaPodeltaAu*EXP(-betaAu*tblData[[#This Row],[Day'# Aust]])),"")</f>
        <v>0.4520900197914815</v>
      </c>
      <c r="AF33" s="72">
        <f>IF(ISNUMBER(tblData[Day'# Aust]),tblData[Au LogiP(t)]/$AD$9,"")</f>
        <v>0.17824082155475537</v>
      </c>
      <c r="AG33" s="11">
        <f>IF(AND(tblData[Date]&gt;=StartDt2Au,ISNUMBER(tblData[NSW])),(tblData[[#This Row],[Au LogiP(t)]]-tblData[[#This Row],[Au]])^2,"")</f>
        <v>211.6416847922506</v>
      </c>
      <c r="AH33">
        <f>IF(tblData[Date]&gt;StartDt2NSW,tblData[Date]-StartDt2NSW,"")</f>
        <v>19</v>
      </c>
      <c r="AI33">
        <f t="shared" si="3"/>
        <v>4</v>
      </c>
      <c r="AJ33" s="11">
        <f>IF(tblData[Date]&gt;StartDt2NSW,betaNSW/(deltaNSW+betaPodeltaNSW*EXP(-betaNSW*tblData[[#This Row],[Day '# NSW]])),"")</f>
        <v>0.2444228776450568</v>
      </c>
      <c r="AK33" s="12">
        <f>IF(AND(ISNUMBER(tblData[NSW]),tblData[Date]&gt;StartDt2NSW),(tblData[[#This Row],[NSW LogiP(t)]]-tblData[[#This Row],[NSW]])^2,"")</f>
        <v>14.104359521955836</v>
      </c>
      <c r="AL33" s="12">
        <f>IF(AND(tblData[Date]&gt;StartDt2NSW,ISNUMBER(tblData[Day'# Aust])),tblData[NSW LogiP(t)]/$AG$9,"")</f>
        <v>0.30250356144190194</v>
      </c>
      <c r="AM33" s="11">
        <f>IF(AND(tblData[Date]&gt;StartDt2Italy,ISNUMBER(tblData[Days'# Italy])),betaItaly/(deltaItaly+betaPodeltaItaly*EXP(-betaItaly*tblData[Days'# Italy])),"")</f>
        <v>16.717732545279564</v>
      </c>
      <c r="AN33" s="11">
        <f>IF(AND(tblData[Date]&gt;StartDt2Italy,ISNUMBER(tblData[Italy])),(tblData[[#This Row],[Italy LogiP(t)]]-tblData[[#This Row],[Italy]])^2,"")</f>
        <v>188.17618618382213</v>
      </c>
      <c r="AO33" s="44">
        <f>IF(AND(tblData[Date]&gt;StartDt2Italy,ISNUMBER(tblData[Days'# Italy])),tblData[[#This Row],[Italy LogiP(t)]]/$AM$9,"")</f>
        <v>2.7655471538924008</v>
      </c>
      <c r="AP33" s="21">
        <f>IF(ISNUMBER(tblData[[#This Row],[Days'# US]]),betaUS/(deltaUS+betaPodeltaUS*EXP(-betaUS*tblData[Days'# US])),"")</f>
        <v>9.8119467038952426E-2</v>
      </c>
      <c r="AQ33" s="11">
        <f>IF(ISNUMBER(tblData[US]),(tblData[[#This Row],[US LogiP(t)]]-tblData[US])^2,"")</f>
        <v>166.45852128679925</v>
      </c>
      <c r="AR33" s="21">
        <f>IF(ISNUMBER(tblData[[#This Row],[Days'# US]]),tblData[[#This Row],[US LogiP(t)]]/$AP$9,"")</f>
        <v>2.9802915529164556E-3</v>
      </c>
      <c r="AS33" s="21" t="str">
        <f>IF(tblData[Date]&gt;=StartDt2Korea,betaSKorea/(deltaSKorea+betaPodeltaSKorea*EXP(-betaSKorea*(tblData[Date]-StartDt2Korea))),"")</f>
        <v/>
      </c>
      <c r="AT33" s="21" t="str">
        <f>IF(AND(tblData[Date]&gt;=StartDt2Korea,ISNUMBER(tblData[SKorea])),(tblData[[#This Row],[SKorea LogiP(t)]]-tblData[[#This Row],[SKorea]])^2,"")</f>
        <v/>
      </c>
      <c r="AU33" s="21" t="str">
        <f>IF(tblData[Date]&gt;=StartDt2Korea,tblData[[#This Row],[SKorea LogiP(t)]]/$AS$9,"")</f>
        <v/>
      </c>
      <c r="AV33" s="11">
        <f>IF(ISNUMBER(tblData[Days'# UK]),betaUK/(deltaUK+betaPodeltaUK*EXP(-betaUK*tblData[Days'# UK])),"")</f>
        <v>0.80710469082728675</v>
      </c>
      <c r="AW33" s="21">
        <f>IF(ISNUMBER(tblData[UK]),(tblData[[#This Row],[UK LogiP(t)]]-tblData[[#This Row],[UK]])^2,"")</f>
        <v>67.123533547064241</v>
      </c>
      <c r="AX33" s="21">
        <f>IF(ISNUMBER(tblData[Days'# UK]),tblData[[#This Row],[UK LogiP(t)]]/$AV$9,"")</f>
        <v>0.12147873131054887</v>
      </c>
      <c r="AY33" s="11">
        <f>IF(ISNUMBER(tblData[Days'# China]),betaChina/(deltaChina+betaPodeltaChina*EXP(-betaChina*tblData[Days'# China])),"")</f>
        <v>58263.015868931929</v>
      </c>
      <c r="AZ33" s="11">
        <f>IF(ISNUMBER(tblData[China]),(tblData[[#This Row],[China LogiP(t)]]-tblData[[#This Row],[China]])^2,"")</f>
        <v>2663372.2040580078</v>
      </c>
      <c r="BA33" s="11">
        <f>tblData[[#This Row],[China LogiP(t)]]/$AY$9</f>
        <v>404.79436830293793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F33" s="26" t="s">
        <v>58</v>
      </c>
      <c r="DH33" s="27">
        <v>43860</v>
      </c>
      <c r="DJ33" s="26">
        <v>2</v>
      </c>
      <c r="DK33" s="23">
        <v>0.2615655981515827</v>
      </c>
      <c r="DL33" s="25">
        <v>5.8419822423564144E-6</v>
      </c>
      <c r="DM33" s="22">
        <v>0.44095476463112465</v>
      </c>
      <c r="DN33" s="26">
        <v>44773.432595385282</v>
      </c>
      <c r="DO33" s="19">
        <v>467.53213903899575</v>
      </c>
      <c r="DP33" s="37">
        <v>0.59317427337583117</v>
      </c>
      <c r="DQ33" s="24">
        <v>5.8419822423564144E-3</v>
      </c>
      <c r="DR33" s="12"/>
      <c r="DS33" s="27">
        <v>43907</v>
      </c>
      <c r="DT33" s="27" t="s">
        <v>1000</v>
      </c>
      <c r="DU33" s="27"/>
      <c r="DV33" s="19">
        <v>31506</v>
      </c>
      <c r="DW33" s="19" t="s">
        <v>1001</v>
      </c>
      <c r="DX33" s="27">
        <v>43907</v>
      </c>
      <c r="DY33" s="26">
        <v>48</v>
      </c>
      <c r="DZ33" s="18" t="s">
        <v>1002</v>
      </c>
      <c r="EA33" s="26"/>
      <c r="EB33" s="26" t="s">
        <v>1003</v>
      </c>
      <c r="EC33" s="26"/>
      <c r="ED33" s="26" t="s">
        <v>1004</v>
      </c>
      <c r="EE33" s="26"/>
      <c r="EG33" s="26"/>
      <c r="EI33" s="26"/>
      <c r="EJ33" s="26"/>
    </row>
    <row r="34" spans="2:140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9">
        <f>IF(ISNUMBER(tblData[Italy]),tblData[Italy]/$N$9,"")</f>
        <v>0.49627791563275436</v>
      </c>
      <c r="O34">
        <v>13</v>
      </c>
      <c r="P34" s="49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4"/>
        <v>5</v>
      </c>
      <c r="Y34" s="26">
        <f t="shared" si="2"/>
        <v>23</v>
      </c>
      <c r="Z34" s="26" t="str">
        <f>IF(tblData[[#This Row],[Date]]&lt;StartDt2Korea,"",tblData[[#This Row],[Date]]-StartDt2Korea)</f>
        <v/>
      </c>
      <c r="AA34" s="26">
        <f>IF(tblData[[#This Row],[Date]]&lt;UKStart,"",tblData[[#This Row],[Date]]-UKStart)</f>
        <v>15</v>
      </c>
      <c r="AB34">
        <f>IF(tblData[Date]&gt;=StartDt2Au,tblData[Date]-StartDt2Au,"")</f>
        <v>20</v>
      </c>
      <c r="AC34" s="26">
        <f>IF(tblData[New South Wales]&gt;0,SUM(tblData[[#This Row],[Australian Capital Territory]:[Western Australia]]),"")</f>
        <v>15</v>
      </c>
      <c r="AD34" s="12">
        <f>IF(ISNUMBER(tblData[Au]),tblData[Au]/$AA$9,"")</f>
        <v>5.9138937076170954</v>
      </c>
      <c r="AE34" s="19">
        <f>IF(ISNUMBER(tblData[[#This Row],[Day'# Aust]]),betaAu/(deltaAu+betaPodeltaAu*EXP(-betaAu*tblData[[#This Row],[Day'# Aust]])),"")</f>
        <v>0.55791987984084834</v>
      </c>
      <c r="AF34" s="72">
        <f>IF(ISNUMBER(tblData[Day'# Aust]),tblData[Au LogiP(t)]/$AD$9,"")</f>
        <v>0.21996525778301859</v>
      </c>
      <c r="AG34" s="11">
        <f>IF(AND(tblData[Date]&gt;=StartDt2Au,ISNUMBER(tblData[NSW])),(tblData[[#This Row],[Au LogiP(t)]]-tblData[[#This Row],[Au]])^2,"")</f>
        <v>208.57367819709614</v>
      </c>
      <c r="AH34">
        <f>IF(tblData[Date]&gt;StartDt2NSW,tblData[Date]-StartDt2NSW,"")</f>
        <v>20</v>
      </c>
      <c r="AI34">
        <f t="shared" si="3"/>
        <v>4</v>
      </c>
      <c r="AJ34" s="11">
        <f>IF(tblData[Date]&gt;StartDt2NSW,betaNSW/(deltaNSW+betaPodeltaNSW*EXP(-betaNSW*tblData[[#This Row],[Day '# NSW]])),"")</f>
        <v>0.30060294354491768</v>
      </c>
      <c r="AK34" s="12">
        <f>IF(AND(ISNUMBER(tblData[NSW]),tblData[Date]&gt;StartDt2NSW),(tblData[[#This Row],[NSW LogiP(t)]]-tblData[[#This Row],[NSW]])^2,"")</f>
        <v>13.685538581308526</v>
      </c>
      <c r="AL34" s="12">
        <f>IF(AND(tblData[Date]&gt;StartDt2NSW,ISNUMBER(tblData[Day'# Aust])),tblData[NSW LogiP(t)]/$AG$9,"")</f>
        <v>0.37203334597143273</v>
      </c>
      <c r="AM34" s="11">
        <f>IF(AND(tblData[Date]&gt;StartDt2Italy,ISNUMBER(tblData[Days'# Italy])),betaItaly/(deltaItaly+betaPodeltaItaly*EXP(-betaItaly*tblData[Days'# Italy])),"")</f>
        <v>21.668666027281812</v>
      </c>
      <c r="AN34" s="11">
        <f>IF(AND(tblData[Date]&gt;StartDt2Italy,ISNUMBER(tblData[Italy])),(tblData[[#This Row],[Italy LogiP(t)]]-tblData[[#This Row],[Italy]])^2,"")</f>
        <v>348.51909123818609</v>
      </c>
      <c r="AO34" s="44">
        <f>IF(AND(tblData[Date]&gt;StartDt2Italy,ISNUMBER(tblData[Days'# Italy])),tblData[[#This Row],[Italy LogiP(t)]]/$AM$9,"")</f>
        <v>3.5845601368538977</v>
      </c>
      <c r="AP34" s="21">
        <f>IF(ISNUMBER(tblData[[#This Row],[Days'# US]]),betaUS/(deltaUS+betaPodeltaUS*EXP(-betaUS*tblData[Days'# US])),"")</f>
        <v>0.13747184992559328</v>
      </c>
      <c r="AQ34" s="11">
        <f>IF(ISNUMBER(tblData[US]),(tblData[[#This Row],[US LogiP(t)]]-tblData[US])^2,"")</f>
        <v>165.44463041145656</v>
      </c>
      <c r="AR34" s="21">
        <f>IF(ISNUMBER(tblData[[#This Row],[Days'# US]]),tblData[[#This Row],[US LogiP(t)]]/$AP$9,"")</f>
        <v>4.1755851867233962E-3</v>
      </c>
      <c r="AS34" s="21" t="str">
        <f>IF(tblData[Date]&gt;=StartDt2Korea,betaSKorea/(deltaSKorea+betaPodeltaSKorea*EXP(-betaSKorea*(tblData[Date]-StartDt2Korea))),"")</f>
        <v/>
      </c>
      <c r="AT34" s="21" t="str">
        <f>IF(AND(tblData[Date]&gt;=StartDt2Korea,ISNUMBER(tblData[SKorea])),(tblData[[#This Row],[SKorea LogiP(t)]]-tblData[[#This Row],[SKorea]])^2,"")</f>
        <v/>
      </c>
      <c r="AU34" s="21" t="str">
        <f>IF(tblData[Date]&gt;=StartDt2Korea,tblData[[#This Row],[SKorea LogiP(t)]]/$AS$9,"")</f>
        <v/>
      </c>
      <c r="AV34" s="11">
        <f>IF(ISNUMBER(tblData[Days'# UK]),betaUK/(deltaUK+betaPodeltaUK*EXP(-betaUK*tblData[Days'# UK])),"")</f>
        <v>1.0218739744802163</v>
      </c>
      <c r="AW34" s="21">
        <f>IF(ISNUMBER(tblData[UK]),(tblData[[#This Row],[UK LogiP(t)]]-tblData[[#This Row],[UK]])^2,"")</f>
        <v>63.650494879076092</v>
      </c>
      <c r="AX34" s="21">
        <f>IF(ISNUMBER(tblData[Days'# UK]),tblData[[#This Row],[UK LogiP(t)]]/$AV$9,"")</f>
        <v>0.1538040298736027</v>
      </c>
      <c r="AY34" s="11">
        <f>IF(ISNUMBER(tblData[Days'# China]),betaChina/(deltaChina+betaPodeltaChina*EXP(-betaChina*tblData[Days'# China])),"")</f>
        <v>61709.592462958266</v>
      </c>
      <c r="AZ34" s="11">
        <f>IF(ISNUMBER(tblData[China]),(tblData[[#This Row],[China LogiP(t)]]-tblData[[#This Row],[China]])^2,"")</f>
        <v>21607692.630426399</v>
      </c>
      <c r="BA34" s="11">
        <f>tblData[[#This Row],[China LogiP(t)]]/$AY$9</f>
        <v>428.74017293353091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F34" s="26" t="s">
        <v>58</v>
      </c>
      <c r="DH34" s="27">
        <v>43860</v>
      </c>
      <c r="DJ34" s="26">
        <v>2</v>
      </c>
      <c r="DK34" s="23">
        <v>0.2615655981515827</v>
      </c>
      <c r="DL34" s="25">
        <v>5.8419822423564144E-6</v>
      </c>
      <c r="DM34" s="22">
        <v>0.44095476463112465</v>
      </c>
      <c r="DN34" s="24">
        <v>44773.432595385282</v>
      </c>
      <c r="DO34" s="22">
        <v>606.55052647767229</v>
      </c>
      <c r="DP34" s="37">
        <v>0.59317427337583117</v>
      </c>
      <c r="DQ34" s="24">
        <v>5.8419822423564144E-3</v>
      </c>
      <c r="DR34" s="24"/>
      <c r="DS34" s="27">
        <v>43907</v>
      </c>
      <c r="DT34" s="27" t="s">
        <v>1000</v>
      </c>
      <c r="DU34" s="27"/>
      <c r="DV34" s="26">
        <v>35713</v>
      </c>
      <c r="DW34" s="26" t="s">
        <v>1001</v>
      </c>
      <c r="DX34" s="27">
        <v>43907</v>
      </c>
      <c r="DY34" s="19">
        <v>49</v>
      </c>
      <c r="DZ34" s="27" t="s">
        <v>1002</v>
      </c>
      <c r="EA34" s="26"/>
      <c r="EB34" s="26" t="s">
        <v>1003</v>
      </c>
      <c r="EC34" s="26"/>
      <c r="ED34" s="18" t="s">
        <v>1020</v>
      </c>
      <c r="EE34" s="21">
        <v>5907.8577336641856</v>
      </c>
      <c r="EF34" s="98">
        <v>43893</v>
      </c>
      <c r="EG34" s="11">
        <v>16</v>
      </c>
      <c r="EH34" s="98">
        <v>43891</v>
      </c>
      <c r="EI34" s="11">
        <v>18</v>
      </c>
      <c r="EJ34" s="26"/>
    </row>
    <row r="35" spans="2:140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9">
        <f>IF(ISNUMBER(tblData[Italy]),tblData[Italy]/$N$9,"")</f>
        <v>0.49627791563275436</v>
      </c>
      <c r="O35">
        <v>13</v>
      </c>
      <c r="P35" s="49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4"/>
        <v>6</v>
      </c>
      <c r="Y35" s="26">
        <f t="shared" si="2"/>
        <v>24</v>
      </c>
      <c r="Z35" s="26" t="str">
        <f>IF(tblData[[#This Row],[Date]]&lt;StartDt2Korea,"",tblData[[#This Row],[Date]]-StartDt2Korea)</f>
        <v/>
      </c>
      <c r="AA35" s="26">
        <f>IF(tblData[[#This Row],[Date]]&lt;UKStart,"",tblData[[#This Row],[Date]]-UKStart)</f>
        <v>16</v>
      </c>
      <c r="AB35">
        <f>IF(tblData[Date]&gt;=StartDt2Au,tblData[Date]-StartDt2Au,"")</f>
        <v>21</v>
      </c>
      <c r="AC35" s="26">
        <f>IF(tblData[New South Wales]&gt;0,SUM(tblData[[#This Row],[Australian Capital Territory]:[Western Australia]]),"")</f>
        <v>15</v>
      </c>
      <c r="AD35" s="12">
        <f>IF(ISNUMBER(tblData[Au]),tblData[Au]/$AA$9,"")</f>
        <v>5.9138937076170954</v>
      </c>
      <c r="AE35" s="19">
        <f>IF(ISNUMBER(tblData[[#This Row],[Day'# Aust]]),betaAu/(deltaAu+betaPodeltaAu*EXP(-betaAu*tblData[[#This Row],[Day'# Aust]])),"")</f>
        <v>0.68852347694277882</v>
      </c>
      <c r="AF35" s="72">
        <f>IF(ISNUMBER(tblData[Day'# Aust]),tblData[Au LogiP(t)]/$AD$9,"")</f>
        <v>0.27145697718923623</v>
      </c>
      <c r="AG35" s="11">
        <f>IF(AND(tblData[Date]&gt;=StartDt2Au,ISNUMBER(tblData[NSW])),(tblData[[#This Row],[Au LogiP(t)]]-tblData[[#This Row],[Au]])^2,"")</f>
        <v>204.81836027001802</v>
      </c>
      <c r="AH35">
        <f>IF(tblData[Date]&gt;StartDt2NSW,tblData[Date]-StartDt2NSW,"")</f>
        <v>21</v>
      </c>
      <c r="AI35">
        <f t="shared" si="3"/>
        <v>4</v>
      </c>
      <c r="AJ35" s="11">
        <f>IF(tblData[Date]&gt;StartDt2NSW,betaNSW/(deltaNSW+betaPodeltaNSW*EXP(-betaNSW*tblData[[#This Row],[Day '# NSW]])),"")</f>
        <v>0.36969441116530621</v>
      </c>
      <c r="AK35" s="12">
        <f>IF(AND(ISNUMBER(tblData[NSW]),tblData[Date]&gt;StartDt2NSW),(tblData[[#This Row],[NSW LogiP(t)]]-tblData[[#This Row],[NSW]])^2,"")</f>
        <v>13.179118668324413</v>
      </c>
      <c r="AL35" s="12">
        <f>IF(AND(tblData[Date]&gt;StartDt2NSW,ISNUMBER(tblData[Day'# Aust])),tblData[NSW LogiP(t)]/$AG$9,"")</f>
        <v>0.457542588075874</v>
      </c>
      <c r="AM35" s="11">
        <f>IF(AND(tblData[Date]&gt;StartDt2Italy,ISNUMBER(tblData[Days'# Italy])),betaItaly/(deltaItaly+betaPodeltaItaly*EXP(-betaItaly*tblData[Days'# Italy])),"")</f>
        <v>28.085132327266102</v>
      </c>
      <c r="AN35" s="11">
        <f>IF(AND(tblData[Date]&gt;StartDt2Italy,ISNUMBER(tblData[Italy])),(tblData[[#This Row],[Italy LogiP(t)]]-tblData[[#This Row],[Italy]])^2,"")</f>
        <v>629.26386387645084</v>
      </c>
      <c r="AO35" s="44">
        <f>IF(AND(tblData[Date]&gt;StartDt2Italy,ISNUMBER(tblData[Days'# Italy])),tblData[[#This Row],[Italy LogiP(t)]]/$AM$9,"")</f>
        <v>4.6460103105485695</v>
      </c>
      <c r="AP35" s="21">
        <f>IF(ISNUMBER(tblData[[#This Row],[Days'# US]]),betaUS/(deltaUS+betaPodeltaUS*EXP(-betaUS*tblData[Days'# US])),"")</f>
        <v>0.19260713589459144</v>
      </c>
      <c r="AQ35" s="11">
        <f>IF(ISNUMBER(tblData[US]),(tblData[[#This Row],[US LogiP(t)]]-tblData[US])^2,"")</f>
        <v>164.02931197553812</v>
      </c>
      <c r="AR35" s="21">
        <f>IF(ISNUMBER(tblData[[#This Row],[Days'# US]]),tblData[[#This Row],[US LogiP(t)]]/$AP$9,"")</f>
        <v>5.8502704658006397E-3</v>
      </c>
      <c r="AS35" s="21" t="str">
        <f>IF(tblData[Date]&gt;=StartDt2Korea,betaSKorea/(deltaSKorea+betaPodeltaSKorea*EXP(-betaSKorea*(tblData[Date]-StartDt2Korea))),"")</f>
        <v/>
      </c>
      <c r="AT35" s="21" t="str">
        <f>IF(AND(tblData[Date]&gt;=StartDt2Korea,ISNUMBER(tblData[SKorea])),(tblData[[#This Row],[SKorea LogiP(t)]]-tblData[[#This Row],[SKorea]])^2,"")</f>
        <v/>
      </c>
      <c r="AU35" s="21" t="str">
        <f>IF(tblData[Date]&gt;=StartDt2Korea,tblData[[#This Row],[SKorea LogiP(t)]]/$AS$9,"")</f>
        <v/>
      </c>
      <c r="AV35" s="11">
        <f>IF(ISNUMBER(tblData[Days'# UK]),betaUK/(deltaUK+betaPodeltaUK*EXP(-betaUK*tblData[Days'# UK])),"")</f>
        <v>1.2937930250370879</v>
      </c>
      <c r="AW35" s="21">
        <f>IF(ISNUMBER(tblData[UK]),(tblData[[#This Row],[UK LogiP(t)]]-tblData[[#This Row],[UK]])^2,"")</f>
        <v>59.385625940967039</v>
      </c>
      <c r="AX35" s="21">
        <f>IF(ISNUMBER(tblData[Days'# UK]),tblData[[#This Row],[UK LogiP(t)]]/$AV$9,"")</f>
        <v>0.19473103928914628</v>
      </c>
      <c r="AY35" s="11">
        <f>IF(ISNUMBER(tblData[Days'# China]),betaChina/(deltaChina+betaPodeltaChina*EXP(-betaChina*tblData[Days'# China])),"")</f>
        <v>64778.25209469808</v>
      </c>
      <c r="AZ35" s="11">
        <f>IF(ISNUMBER(tblData[China]),(tblData[[#This Row],[China LogiP(t)]]-tblData[[#This Row],[China]])^2,"")</f>
        <v>13211392.335096693</v>
      </c>
      <c r="BA35" s="11">
        <f>tblData[[#This Row],[China LogiP(t)]]/$AY$9</f>
        <v>450.06032120668647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F35" t="s">
        <v>58</v>
      </c>
      <c r="DH35" s="27">
        <v>43860</v>
      </c>
      <c r="DJ35">
        <v>2</v>
      </c>
      <c r="DK35" s="26">
        <v>0.26124939657046986</v>
      </c>
      <c r="DL35" s="26">
        <v>5.5289448647719272E-6</v>
      </c>
      <c r="DM35" s="26">
        <v>0.44118045186898547</v>
      </c>
      <c r="DN35" s="26">
        <v>47251.221157049207</v>
      </c>
      <c r="DO35" s="19">
        <v>861.88192352690567</v>
      </c>
      <c r="DP35" s="12">
        <v>0.59215442615679836</v>
      </c>
      <c r="DQ35" s="26">
        <v>5.5289448647719269E-3</v>
      </c>
      <c r="DR35" s="26"/>
      <c r="DS35" s="27">
        <v>43909</v>
      </c>
      <c r="DT35" s="26" t="s">
        <v>1298</v>
      </c>
      <c r="DV35" s="26">
        <v>41035</v>
      </c>
      <c r="DW35" s="26" t="s">
        <v>1299</v>
      </c>
      <c r="DX35" s="27">
        <v>43909</v>
      </c>
      <c r="DY35" s="26">
        <v>50</v>
      </c>
      <c r="DZ35" s="26" t="s">
        <v>1300</v>
      </c>
      <c r="EB35" t="s">
        <v>1301</v>
      </c>
      <c r="EC35" s="26"/>
      <c r="ED35" s="26" t="s">
        <v>1302</v>
      </c>
      <c r="EE35" s="26">
        <v>6788.2547559966915</v>
      </c>
      <c r="EF35" s="98">
        <v>43894</v>
      </c>
      <c r="EG35" s="26">
        <v>16</v>
      </c>
      <c r="EH35" s="98">
        <v>43893</v>
      </c>
      <c r="EI35" s="26">
        <v>17</v>
      </c>
    </row>
    <row r="36" spans="2:140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9">
        <f>IF(ISNUMBER(tblData[Italy]),tblData[Italy]/$N$9,"")</f>
        <v>0.49627791563275436</v>
      </c>
      <c r="O36">
        <v>13</v>
      </c>
      <c r="P36" s="49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4"/>
        <v>7</v>
      </c>
      <c r="Y36" s="26">
        <f t="shared" si="2"/>
        <v>25</v>
      </c>
      <c r="Z36" s="26" t="str">
        <f>IF(tblData[[#This Row],[Date]]&lt;StartDt2Korea,"",tblData[[#This Row],[Date]]-StartDt2Korea)</f>
        <v/>
      </c>
      <c r="AA36" s="26">
        <f>IF(tblData[[#This Row],[Date]]&lt;UKStart,"",tblData[[#This Row],[Date]]-UKStart)</f>
        <v>17</v>
      </c>
      <c r="AB36">
        <f>IF(tblData[Date]&gt;=StartDt2Au,tblData[Date]-StartDt2Au,"")</f>
        <v>22</v>
      </c>
      <c r="AC36" s="26">
        <f>IF(tblData[New South Wales]&gt;0,SUM(tblData[[#This Row],[Australian Capital Territory]:[Western Australia]]),"")</f>
        <v>15</v>
      </c>
      <c r="AD36" s="12">
        <f>IF(ISNUMBER(tblData[Au]),tblData[Au]/$AA$9,"")</f>
        <v>5.9138937076170954</v>
      </c>
      <c r="AE36" s="19">
        <f>IF(ISNUMBER(tblData[[#This Row],[Day'# Aust]]),betaAu/(deltaAu+betaPodeltaAu*EXP(-betaAu*tblData[[#This Row],[Day'# Aust]])),"")</f>
        <v>0.84970010107851568</v>
      </c>
      <c r="AF36" s="72">
        <f>IF(ISNUMBER(tblData[Day'# Aust]),tblData[Au LogiP(t)]/$AD$9,"")</f>
        <v>0.33500240540865622</v>
      </c>
      <c r="AG36" s="11">
        <f>IF(AND(tblData[Date]&gt;=StartDt2Au,ISNUMBER(tblData[NSW])),(tblData[[#This Row],[Au LogiP(t)]]-tblData[[#This Row],[Au]])^2,"")</f>
        <v>200.23098722941739</v>
      </c>
      <c r="AH36">
        <f>IF(tblData[Date]&gt;StartDt2NSW,tblData[Date]-StartDt2NSW,"")</f>
        <v>22</v>
      </c>
      <c r="AI36">
        <f t="shared" si="3"/>
        <v>4</v>
      </c>
      <c r="AJ36" s="11">
        <f>IF(tblData[Date]&gt;StartDt2NSW,betaNSW/(deltaNSW+betaPodeltaNSW*EXP(-betaNSW*tblData[[#This Row],[Day '# NSW]])),"")</f>
        <v>0.45466385128944914</v>
      </c>
      <c r="AK36" s="12">
        <f>IF(AND(ISNUMBER(tblData[NSW]),tblData[Date]&gt;StartDt2NSW),(tblData[[#This Row],[NSW LogiP(t)]]-tblData[[#This Row],[NSW]])^2,"")</f>
        <v>12.569408407353761</v>
      </c>
      <c r="AL36" s="12">
        <f>IF(AND(tblData[Date]&gt;StartDt2NSW,ISNUMBER(tblData[Day'# Aust])),tblData[NSW LogiP(t)]/$AG$9,"")</f>
        <v>0.56270278624931824</v>
      </c>
      <c r="AM36" s="11">
        <f>IF(AND(tblData[Date]&gt;StartDt2Italy,ISNUMBER(tblData[Days'# Italy])),betaItaly/(deltaItaly+betaPodeltaItaly*EXP(-betaItaly*tblData[Days'# Italy])),"")</f>
        <v>36.400484088973137</v>
      </c>
      <c r="AN36" s="11">
        <f>IF(AND(tblData[Date]&gt;StartDt2Italy,ISNUMBER(tblData[Italy])),(tblData[[#This Row],[Italy LogiP(t)]]-tblData[[#This Row],[Italy]])^2,"")</f>
        <v>1115.5923373777478</v>
      </c>
      <c r="AO36" s="44">
        <f>IF(AND(tblData[Date]&gt;StartDt2Italy,ISNUMBER(tblData[Days'# Italy])),tblData[[#This Row],[Italy LogiP(t)]]/$AM$9,"")</f>
        <v>6.0215854572329421</v>
      </c>
      <c r="AP36" s="21">
        <f>IF(ISNUMBER(tblData[[#This Row],[Days'# US]]),betaUS/(deltaUS+betaPodeltaUS*EXP(-betaUS*tblData[Days'# US])),"")</f>
        <v>0.26985531086803161</v>
      </c>
      <c r="AQ36" s="11">
        <f>IF(ISNUMBER(tblData[US]),(tblData[[#This Row],[US LogiP(t)]]-tblData[US])^2,"")</f>
        <v>162.05658380623487</v>
      </c>
      <c r="AR36" s="21">
        <f>IF(ISNUMBER(tblData[[#This Row],[Days'# US]]),tblData[[#This Row],[US LogiP(t)]]/$AP$9,"")</f>
        <v>8.1966150832266625E-3</v>
      </c>
      <c r="AS36" s="21" t="str">
        <f>IF(tblData[Date]&gt;=StartDt2Korea,betaSKorea/(deltaSKorea+betaPodeltaSKorea*EXP(-betaSKorea*(tblData[Date]-StartDt2Korea))),"")</f>
        <v/>
      </c>
      <c r="AT36" s="21" t="str">
        <f>IF(AND(tblData[Date]&gt;=StartDt2Korea,ISNUMBER(tblData[SKorea])),(tblData[[#This Row],[SKorea LogiP(t)]]-tblData[[#This Row],[SKorea]])^2,"")</f>
        <v/>
      </c>
      <c r="AU36" s="21" t="str">
        <f>IF(tblData[Date]&gt;=StartDt2Korea,tblData[[#This Row],[SKorea LogiP(t)]]/$AS$9,"")</f>
        <v/>
      </c>
      <c r="AV36" s="11">
        <f>IF(ISNUMBER(tblData[Days'# UK]),betaUK/(deltaUK+betaPodeltaUK*EXP(-betaUK*tblData[Days'# UK])),"")</f>
        <v>1.6380693049480148</v>
      </c>
      <c r="AW36" s="21">
        <f>IF(ISNUMBER(tblData[UK]),(tblData[[#This Row],[UK LogiP(t)]]-tblData[[#This Row],[UK]])^2,"")</f>
        <v>54.198023558748602</v>
      </c>
      <c r="AX36" s="21">
        <f>IF(ISNUMBER(tblData[Days'# UK]),tblData[[#This Row],[UK LogiP(t)]]/$AV$9,"")</f>
        <v>0.24654866119024907</v>
      </c>
      <c r="AY36" s="11">
        <f>IF(ISNUMBER(tblData[Days'# China]),betaChina/(deltaChina+betaPodeltaChina*EXP(-betaChina*tblData[Days'# China])),"")</f>
        <v>67464.820692593436</v>
      </c>
      <c r="AZ36" s="11">
        <f>IF(ISNUMBER(tblData[China]),(tblData[[#This Row],[China LogiP(t)]]-tblData[[#This Row],[China]])^2,"")</f>
        <v>9291397.0901015624</v>
      </c>
      <c r="BA36" s="11">
        <f>tblData[[#This Row],[China LogiP(t)]]/$AY$9</f>
        <v>468.72581289585702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F36" t="s">
        <v>58</v>
      </c>
      <c r="DG36" s="82">
        <v>43911.866296296299</v>
      </c>
      <c r="DH36" s="27">
        <v>43860</v>
      </c>
      <c r="DI36" s="27">
        <v>43860</v>
      </c>
      <c r="DJ36">
        <v>2</v>
      </c>
      <c r="DK36" s="26">
        <v>0.26021145951808367</v>
      </c>
      <c r="DL36" s="26">
        <v>4.6967448339452021E-6</v>
      </c>
      <c r="DM36" s="26">
        <v>0.44199535332226664</v>
      </c>
      <c r="DN36">
        <v>55402.511466544704</v>
      </c>
      <c r="DO36" s="19">
        <v>1127.8816766057491</v>
      </c>
      <c r="DP36" s="12">
        <v>0.58871520169346225</v>
      </c>
      <c r="DQ36" s="26">
        <v>4.696744833945202E-3</v>
      </c>
      <c r="DR36" s="26"/>
      <c r="DS36" s="27">
        <v>43910</v>
      </c>
      <c r="DT36" s="26" t="s">
        <v>1326</v>
      </c>
      <c r="DV36" s="26">
        <v>47021</v>
      </c>
      <c r="DW36" s="26" t="s">
        <v>1327</v>
      </c>
      <c r="DX36" s="27">
        <v>43910</v>
      </c>
      <c r="DY36">
        <v>51</v>
      </c>
      <c r="DZ36" s="26" t="s">
        <v>1328</v>
      </c>
      <c r="EB36" t="s">
        <v>1329</v>
      </c>
      <c r="ED36" t="s">
        <v>1404</v>
      </c>
      <c r="EE36">
        <v>7778.4946236559144</v>
      </c>
      <c r="EF36" s="98">
        <v>43895</v>
      </c>
      <c r="EG36" s="26">
        <v>16</v>
      </c>
      <c r="EH36" s="98">
        <v>43894</v>
      </c>
      <c r="EI36">
        <v>17</v>
      </c>
    </row>
    <row r="37" spans="2:140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9">
        <f>IF(ISNUMBER(tblData[Italy]),tblData[Italy]/$N$9,"")</f>
        <v>0.49627791563275436</v>
      </c>
      <c r="O37">
        <v>13</v>
      </c>
      <c r="P37" s="49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4"/>
        <v>8</v>
      </c>
      <c r="Y37" s="26">
        <f t="shared" si="2"/>
        <v>26</v>
      </c>
      <c r="Z37" s="26" t="str">
        <f>IF(tblData[[#This Row],[Date]]&lt;StartDt2Korea,"",tblData[[#This Row],[Date]]-StartDt2Korea)</f>
        <v/>
      </c>
      <c r="AA37" s="26">
        <f>IF(tblData[[#This Row],[Date]]&lt;UKStart,"",tblData[[#This Row],[Date]]-UKStart)</f>
        <v>18</v>
      </c>
      <c r="AB37">
        <f>IF(tblData[Date]&gt;=StartDt2Au,tblData[Date]-StartDt2Au,"")</f>
        <v>23</v>
      </c>
      <c r="AC37" s="26">
        <f>IF(tblData[New South Wales]&gt;0,SUM(tblData[[#This Row],[Australian Capital Territory]:[Western Australia]]),"")</f>
        <v>15</v>
      </c>
      <c r="AD37" s="12">
        <f>IF(ISNUMBER(tblData[Au]),tblData[Au]/$AA$9,"")</f>
        <v>5.9138937076170954</v>
      </c>
      <c r="AE37" s="19">
        <f>IF(ISNUMBER(tblData[[#This Row],[Day'# Aust]]),betaAu/(deltaAu+betaPodeltaAu*EXP(-betaAu*tblData[[#This Row],[Day'# Aust]])),"")</f>
        <v>1.0486065993939835</v>
      </c>
      <c r="AF37" s="72">
        <f>IF(ISNUMBER(tblData[Day'# Aust]),tblData[Au LogiP(t)]/$AD$9,"")</f>
        <v>0.41342319799478927</v>
      </c>
      <c r="AG37" s="11">
        <f>IF(AND(tblData[Date]&gt;=StartDt2Au,ISNUMBER(tblData[NSW])),(tblData[[#This Row],[Au LogiP(t)]]-tblData[[#This Row],[Au]])^2,"")</f>
        <v>194.64137781847313</v>
      </c>
      <c r="AH37">
        <f>IF(tblData[Date]&gt;StartDt2NSW,tblData[Date]-StartDt2NSW,"")</f>
        <v>23</v>
      </c>
      <c r="AI37">
        <f t="shared" si="3"/>
        <v>4</v>
      </c>
      <c r="AJ37" s="11">
        <f>IF(tblData[Date]&gt;StartDt2NSW,betaNSW/(deltaNSW+betaPodeltaNSW*EXP(-betaNSW*tblData[[#This Row],[Day '# NSW]])),"")</f>
        <v>0.55915906032455931</v>
      </c>
      <c r="AK37" s="12">
        <f>IF(AND(ISNUMBER(tblData[NSW]),tblData[Date]&gt;StartDt2NSW),(tblData[[#This Row],[NSW LogiP(t)]]-tblData[[#This Row],[NSW]])^2,"")</f>
        <v>11.839386372146569</v>
      </c>
      <c r="AL37" s="12">
        <f>IF(AND(tblData[Date]&gt;StartDt2NSW,ISNUMBER(tblData[Day'# Aust])),tblData[NSW LogiP(t)]/$AG$9,"")</f>
        <v>0.69202854000564262</v>
      </c>
      <c r="AM37" s="11">
        <f>IF(AND(tblData[Date]&gt;StartDt2Italy,ISNUMBER(tblData[Days'# Italy])),betaItaly/(deltaItaly+betaPodeltaItaly*EXP(-betaItaly*tblData[Days'# Italy])),"")</f>
        <v>47.175900904281889</v>
      </c>
      <c r="AN37" s="11">
        <f>IF(AND(tblData[Date]&gt;StartDt2Italy,ISNUMBER(tblData[Italy])),(tblData[[#This Row],[Italy LogiP(t)]]-tblData[[#This Row],[Italy]])^2,"")</f>
        <v>1951.5102207049333</v>
      </c>
      <c r="AO37" s="44">
        <f>IF(AND(tblData[Date]&gt;StartDt2Italy,ISNUMBER(tblData[Days'# Italy])),tblData[[#This Row],[Italy LogiP(t)]]/$AM$9,"")</f>
        <v>7.8041192562914619</v>
      </c>
      <c r="AP37" s="21">
        <f>IF(ISNUMBER(tblData[[#This Row],[Days'# US]]),betaUS/(deltaUS+betaPodeltaUS*EXP(-betaUS*tblData[Days'# US])),"")</f>
        <v>0.37808510294689363</v>
      </c>
      <c r="AQ37" s="11">
        <f>IF(ISNUMBER(tblData[US]),(tblData[[#This Row],[US LogiP(t)]]-tblData[US])^2,"")</f>
        <v>159.31273566845113</v>
      </c>
      <c r="AR37" s="21">
        <f>IF(ISNUMBER(tblData[[#This Row],[Days'# US]]),tblData[[#This Row],[US LogiP(t)]]/$AP$9,"")</f>
        <v>1.1483998768041065E-2</v>
      </c>
      <c r="AS37" s="21" t="str">
        <f>IF(tblData[Date]&gt;=StartDt2Korea,betaSKorea/(deltaSKorea+betaPodeltaSKorea*EXP(-betaSKorea*(tblData[Date]-StartDt2Korea))),"")</f>
        <v/>
      </c>
      <c r="AT37" s="21" t="str">
        <f>IF(AND(tblData[Date]&gt;=StartDt2Korea,ISNUMBER(tblData[SKorea])),(tblData[[#This Row],[SKorea LogiP(t)]]-tblData[[#This Row],[SKorea]])^2,"")</f>
        <v/>
      </c>
      <c r="AU37" s="21" t="str">
        <f>IF(tblData[Date]&gt;=StartDt2Korea,tblData[[#This Row],[SKorea LogiP(t)]]/$AS$9,"")</f>
        <v/>
      </c>
      <c r="AV37" s="11">
        <f>IF(ISNUMBER(tblData[Days'# UK]),betaUK/(deltaUK+betaPodeltaUK*EXP(-betaUK*tblData[Days'# UK])),"")</f>
        <v>2.0739569582190986</v>
      </c>
      <c r="AW37" s="21">
        <f>IF(ISNUMBER(tblData[UK]),(tblData[[#This Row],[UK LogiP(t)]]-tblData[[#This Row],[UK]])^2,"")</f>
        <v>47.970072216601643</v>
      </c>
      <c r="AX37" s="21">
        <f>IF(ISNUMBER(tblData[Days'# UK]),tblData[[#This Row],[UK LogiP(t)]]/$AV$9,"")</f>
        <v>0.31215487029185712</v>
      </c>
      <c r="AY37" s="11">
        <f>IF(ISNUMBER(tblData[Days'# China]),betaChina/(deltaChina+betaPodeltaChina*EXP(-betaChina*tblData[Days'# China])),"")</f>
        <v>69782.424993385415</v>
      </c>
      <c r="AZ37" s="11">
        <f>IF(ISNUMBER(tblData[China]),(tblData[[#This Row],[China LogiP(t)]]-tblData[[#This Row],[China]])^2,"")</f>
        <v>7030850.0157031352</v>
      </c>
      <c r="BA37" s="11">
        <f>tblData[[#This Row],[China LogiP(t)]]/$AY$9</f>
        <v>484.82784872293678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F37" t="s">
        <v>58</v>
      </c>
      <c r="DG37" s="82">
        <v>43912.326678240737</v>
      </c>
      <c r="DH37" s="27">
        <v>43860</v>
      </c>
      <c r="DI37" s="27">
        <v>43860</v>
      </c>
      <c r="DJ37">
        <v>2</v>
      </c>
      <c r="DK37" s="26">
        <v>0.25947894792637805</v>
      </c>
      <c r="DL37" s="26">
        <v>4.2793930730069226E-6</v>
      </c>
      <c r="DM37" s="26">
        <v>0.44221157817092033</v>
      </c>
      <c r="DN37" s="26">
        <v>60634.520713483966</v>
      </c>
      <c r="DO37" s="26">
        <v>1498.6578455090564</v>
      </c>
      <c r="DP37" s="26">
        <v>0.58677128401401213</v>
      </c>
      <c r="DQ37" s="26">
        <v>4.2793930730069228E-3</v>
      </c>
      <c r="DR37" s="26"/>
      <c r="DS37" s="27">
        <v>43911</v>
      </c>
      <c r="DT37" s="26" t="s">
        <v>1420</v>
      </c>
      <c r="DV37">
        <v>53578</v>
      </c>
      <c r="DW37" t="s">
        <v>769</v>
      </c>
      <c r="DX37" s="27">
        <v>43911</v>
      </c>
      <c r="DY37" s="26">
        <v>52</v>
      </c>
      <c r="DZ37" s="26" t="s">
        <v>1421</v>
      </c>
      <c r="EB37" t="s">
        <v>1422</v>
      </c>
      <c r="ED37" s="26" t="s">
        <v>1423</v>
      </c>
      <c r="EE37" s="26">
        <v>8863.1927212572373</v>
      </c>
      <c r="EF37" s="98">
        <v>43895</v>
      </c>
      <c r="EG37" s="26">
        <v>16</v>
      </c>
      <c r="EH37" s="98">
        <v>43894</v>
      </c>
      <c r="EI37" s="26">
        <v>18</v>
      </c>
    </row>
    <row r="38" spans="2:140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9">
        <f>IF(ISNUMBER(tblData[Italy]),tblData[Italy]/$N$9,"")</f>
        <v>0.49627791563275436</v>
      </c>
      <c r="O38">
        <v>13</v>
      </c>
      <c r="P38" s="49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4"/>
        <v>9</v>
      </c>
      <c r="Y38" s="26">
        <f t="shared" si="2"/>
        <v>27</v>
      </c>
      <c r="Z38" s="26" t="str">
        <f>IF(tblData[[#This Row],[Date]]&lt;StartDt2Korea,"",tblData[[#This Row],[Date]]-StartDt2Korea)</f>
        <v/>
      </c>
      <c r="AA38" s="26">
        <f>IF(tblData[[#This Row],[Date]]&lt;UKStart,"",tblData[[#This Row],[Date]]-UKStart)</f>
        <v>19</v>
      </c>
      <c r="AB38">
        <f>IF(tblData[Date]&gt;=StartDt2Au,tblData[Date]-StartDt2Au,"")</f>
        <v>24</v>
      </c>
      <c r="AC38" s="26">
        <f>IF(tblData[New South Wales]&gt;0,SUM(tblData[[#This Row],[Australian Capital Territory]:[Western Australia]]),"")</f>
        <v>15</v>
      </c>
      <c r="AD38" s="12">
        <f>IF(ISNUMBER(tblData[Au]),tblData[Au]/$AA$9,"")</f>
        <v>5.9138937076170954</v>
      </c>
      <c r="AE38" s="19">
        <f>IF(ISNUMBER(tblData[[#This Row],[Day'# Aust]]),betaAu/(deltaAu+betaPodeltaAu*EXP(-betaAu*tblData[[#This Row],[Day'# Aust]])),"")</f>
        <v>1.2940751670767043</v>
      </c>
      <c r="AF38" s="72">
        <f>IF(ISNUMBER(tblData[Day'# Aust]),tblData[Au LogiP(t)]/$AD$9,"")</f>
        <v>0.51020153251723088</v>
      </c>
      <c r="AG38" s="11">
        <f>IF(AND(tblData[Date]&gt;=StartDt2Au,ISNUMBER(tblData[NSW])),(tblData[[#This Row],[Au LogiP(t)]]-tblData[[#This Row],[Au]])^2,"")</f>
        <v>187.85237552574347</v>
      </c>
      <c r="AH38">
        <f>IF(tblData[Date]&gt;StartDt2NSW,tblData[Date]-StartDt2NSW,"")</f>
        <v>24</v>
      </c>
      <c r="AI38">
        <f t="shared" si="3"/>
        <v>4</v>
      </c>
      <c r="AJ38" s="11">
        <f>IF(tblData[Date]&gt;StartDt2NSW,betaNSW/(deltaNSW+betaPodeltaNSW*EXP(-betaNSW*tblData[[#This Row],[Day '# NSW]])),"")</f>
        <v>0.68766529585221747</v>
      </c>
      <c r="AK38" s="12">
        <f>IF(AND(ISNUMBER(tblData[NSW]),tblData[Date]&gt;StartDt2NSW),(tblData[[#This Row],[NSW LogiP(t)]]-tblData[[#This Row],[NSW]])^2,"")</f>
        <v>10.971561192301779</v>
      </c>
      <c r="AL38" s="12">
        <f>IF(AND(tblData[Date]&gt;StartDt2NSW,ISNUMBER(tblData[Day'# Aust])),tblData[NSW LogiP(t)]/$AG$9,"")</f>
        <v>0.85107091070818985</v>
      </c>
      <c r="AM38" s="11">
        <f>IF(AND(tblData[Date]&gt;StartDt2Italy,ISNUMBER(tblData[Days'# Italy])),betaItaly/(deltaItaly+betaPodeltaItaly*EXP(-betaItaly*tblData[Days'# Italy])),"")</f>
        <v>61.137881487200389</v>
      </c>
      <c r="AN38" s="11">
        <f>IF(AND(tblData[Date]&gt;StartDt2Italy,ISNUMBER(tblData[Italy])),(tblData[[#This Row],[Italy LogiP(t)]]-tblData[[#This Row],[Italy]])^2,"")</f>
        <v>3380.0132638197579</v>
      </c>
      <c r="AO38" s="44">
        <f>IF(AND(tblData[Date]&gt;StartDt2Italy,ISNUMBER(tblData[Days'# Italy])),tblData[[#This Row],[Italy LogiP(t)]]/$AM$9,"")</f>
        <v>10.113793463556723</v>
      </c>
      <c r="AP38" s="21">
        <f>IF(ISNUMBER(tblData[[#This Row],[Days'# US]]),betaUS/(deltaUS+betaPodeltaUS*EXP(-betaUS*tblData[Days'# US])),"")</f>
        <v>0.52972218559904416</v>
      </c>
      <c r="AQ38" s="11">
        <f>IF(ISNUMBER(tblData[US]),(tblData[[#This Row],[US LogiP(t)]]-tblData[US])^2,"")</f>
        <v>155.50782876834066</v>
      </c>
      <c r="AR38" s="21">
        <f>IF(ISNUMBER(tblData[[#This Row],[Days'# US]]),tblData[[#This Row],[US LogiP(t)]]/$AP$9,"")</f>
        <v>1.6089840301583943E-2</v>
      </c>
      <c r="AS38" s="21" t="str">
        <f>IF(tblData[Date]&gt;=StartDt2Korea,betaSKorea/(deltaSKorea+betaPodeltaSKorea*EXP(-betaSKorea*(tblData[Date]-StartDt2Korea))),"")</f>
        <v/>
      </c>
      <c r="AT38" s="21" t="str">
        <f>IF(AND(tblData[Date]&gt;=StartDt2Korea,ISNUMBER(tblData[SKorea])),(tblData[[#This Row],[SKorea LogiP(t)]]-tblData[[#This Row],[SKorea]])^2,"")</f>
        <v/>
      </c>
      <c r="AU38" s="21" t="str">
        <f>IF(tblData[Date]&gt;=StartDt2Korea,tblData[[#This Row],[SKorea LogiP(t)]]/$AS$9,"")</f>
        <v/>
      </c>
      <c r="AV38" s="11">
        <f>IF(ISNUMBER(tblData[Days'# UK]),betaUK/(deltaUK+betaPodeltaUK*EXP(-betaUK*tblData[Days'# UK])),"")</f>
        <v>2.6258336258656598</v>
      </c>
      <c r="AW38" s="21">
        <f>IF(ISNUMBER(tblData[UK]),(tblData[[#This Row],[UK LogiP(t)]]-tblData[[#This Row],[UK]])^2,"")</f>
        <v>40.629996965144919</v>
      </c>
      <c r="AX38" s="21">
        <f>IF(ISNUMBER(tblData[Days'# UK]),tblData[[#This Row],[UK LogiP(t)]]/$AV$9,"")</f>
        <v>0.39521878775822694</v>
      </c>
      <c r="AY38" s="11">
        <f>IF(ISNUMBER(tblData[Days'# China]),betaChina/(deltaChina+betaPodeltaChina*EXP(-betaChina*tblData[Days'# China])),"")</f>
        <v>71756.425388671792</v>
      </c>
      <c r="AZ38" s="11">
        <f>IF(ISNUMBER(tblData[China]),(tblData[[#This Row],[China LogiP(t)]]-tblData[[#This Row],[China]])^2,"")</f>
        <v>6024936.5225770213</v>
      </c>
      <c r="BA38" s="11">
        <f>tblData[[#This Row],[China LogiP(t)]]/$AY$9</f>
        <v>498.54262526037638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F38" t="s">
        <v>58</v>
      </c>
      <c r="DG38" s="82">
        <v>43912.58871527778</v>
      </c>
      <c r="DH38" s="27">
        <v>43860</v>
      </c>
      <c r="DI38" s="27">
        <v>43860</v>
      </c>
      <c r="DJ38">
        <v>2</v>
      </c>
      <c r="DK38" s="26">
        <v>0.25947894792637805</v>
      </c>
      <c r="DL38" s="26">
        <v>4.2793930730069226E-6</v>
      </c>
      <c r="DM38" s="26">
        <v>0.44221157817092033</v>
      </c>
      <c r="DN38" s="26">
        <v>60634.520713483966</v>
      </c>
      <c r="DO38" s="26">
        <v>1498.6578455090564</v>
      </c>
      <c r="DP38" s="26">
        <v>0.58677128401401213</v>
      </c>
      <c r="DQ38" s="26">
        <v>4.2793930730069228E-3</v>
      </c>
      <c r="DR38" s="26"/>
      <c r="DS38" s="27">
        <v>43911</v>
      </c>
      <c r="DT38" s="26" t="s">
        <v>1420</v>
      </c>
      <c r="DV38" s="26">
        <v>53578</v>
      </c>
      <c r="DW38" s="26" t="s">
        <v>769</v>
      </c>
      <c r="DX38" s="27">
        <v>43911</v>
      </c>
      <c r="DY38">
        <v>52</v>
      </c>
      <c r="DZ38" s="26" t="s">
        <v>1421</v>
      </c>
      <c r="EB38" t="s">
        <v>1422</v>
      </c>
      <c r="EC38" s="26"/>
      <c r="ED38" t="s">
        <v>1423</v>
      </c>
      <c r="EE38">
        <v>8863.1927212572373</v>
      </c>
      <c r="EF38" s="98">
        <v>43896</v>
      </c>
      <c r="EG38" s="26">
        <v>16</v>
      </c>
      <c r="EH38" s="98">
        <v>43894</v>
      </c>
      <c r="EI38">
        <v>18</v>
      </c>
    </row>
    <row r="39" spans="2:140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9">
        <f>IF(ISNUMBER(tblData[Italy]),tblData[Italy]/$N$9,"")</f>
        <v>0.49627791563275436</v>
      </c>
      <c r="O39">
        <v>13</v>
      </c>
      <c r="P39" s="49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4"/>
        <v>10</v>
      </c>
      <c r="Y39" s="26">
        <f t="shared" si="2"/>
        <v>28</v>
      </c>
      <c r="Z39" s="26">
        <f>IF(tblData[[#This Row],[Date]]&lt;StartDt2Korea,"",tblData[[#This Row],[Date]]-StartDt2Korea)</f>
        <v>0</v>
      </c>
      <c r="AA39" s="26">
        <f>IF(tblData[[#This Row],[Date]]&lt;UKStart,"",tblData[[#This Row],[Date]]-UKStart)</f>
        <v>20</v>
      </c>
      <c r="AB39">
        <f>IF(tblData[Date]&gt;=StartDt2Au,tblData[Date]-StartDt2Au,"")</f>
        <v>25</v>
      </c>
      <c r="AC39" s="26">
        <f>IF(tblData[New South Wales]&gt;0,SUM(tblData[[#This Row],[Australian Capital Territory]:[Western Australia]]),"")</f>
        <v>15</v>
      </c>
      <c r="AD39" s="12">
        <f>IF(ISNUMBER(tblData[Au]),tblData[Au]/$AA$9,"")</f>
        <v>5.9138937076170954</v>
      </c>
      <c r="AE39" s="19">
        <f>IF(ISNUMBER(tblData[[#This Row],[Day'# Aust]]),betaAu/(deltaAu+betaPodeltaAu*EXP(-betaAu*tblData[[#This Row],[Day'# Aust]])),"")</f>
        <v>1.5970055299734531</v>
      </c>
      <c r="AF39" s="72">
        <f>IF(ISNUMBER(tblData[Day'# Aust]),tblData[Au LogiP(t)]/$AD$9,"")</f>
        <v>0.62963473031598061</v>
      </c>
      <c r="AG39" s="11">
        <f>IF(AND(tblData[Date]&gt;=StartDt2Au,ISNUMBER(tblData[NSW])),(tblData[[#This Row],[Au LogiP(t)]]-tblData[[#This Row],[Au]])^2,"")</f>
        <v>179.6402607635622</v>
      </c>
      <c r="AH39">
        <f>IF(tblData[Date]&gt;StartDt2NSW,tblData[Date]-StartDt2NSW,"")</f>
        <v>25</v>
      </c>
      <c r="AI39">
        <f t="shared" si="3"/>
        <v>4</v>
      </c>
      <c r="AJ39" s="11">
        <f>IF(tblData[Date]&gt;StartDt2NSW,betaNSW/(deltaNSW+betaPodeltaNSW*EXP(-betaNSW*tblData[[#This Row],[Day '# NSW]])),"")</f>
        <v>0.8456972430081775</v>
      </c>
      <c r="AK39" s="12">
        <f>IF(AND(ISNUMBER(tblData[NSW]),tblData[Date]&gt;StartDt2NSW),(tblData[[#This Row],[NSW LogiP(t)]]-tblData[[#This Row],[NSW]])^2,"")</f>
        <v>9.9496258827662132</v>
      </c>
      <c r="AL39" s="12">
        <f>IF(AND(tblData[Date]&gt;StartDt2NSW,ISNUMBER(tblData[Day'# Aust])),tblData[NSW LogiP(t)]/$AG$9,"")</f>
        <v>1.0466550037229918</v>
      </c>
      <c r="AM39" s="11">
        <f>IF(AND(tblData[Date]&gt;StartDt2Italy,ISNUMBER(tblData[Days'# Italy])),betaItaly/(deltaItaly+betaPodeltaItaly*EXP(-betaItaly*tblData[Days'# Italy])),"")</f>
        <v>79.226587586467261</v>
      </c>
      <c r="AN39" s="11">
        <f>IF(AND(tblData[Date]&gt;StartDt2Italy,ISNUMBER(tblData[Italy])),(tblData[[#This Row],[Italy LogiP(t)]]-tblData[[#This Row],[Italy]])^2,"")</f>
        <v>5810.4926550773644</v>
      </c>
      <c r="AO39" s="44">
        <f>IF(AND(tblData[Date]&gt;StartDt2Italy,ISNUMBER(tblData[Days'# Italy])),tblData[[#This Row],[Italy LogiP(t)]]/$AM$9,"")</f>
        <v>13.10613525003594</v>
      </c>
      <c r="AP39" s="21">
        <f>IF(ISNUMBER(tblData[[#This Row],[Days'# US]]),betaUS/(deltaUS+betaPodeltaUS*EXP(-betaUS*tblData[Days'# US])),"")</f>
        <v>0.74217574753317384</v>
      </c>
      <c r="AQ39" s="11">
        <f>IF(ISNUMBER(tblData[US]),(tblData[[#This Row],[US LogiP(t)]]-tblData[US])^2,"")</f>
        <v>150.2542554043639</v>
      </c>
      <c r="AR39" s="21">
        <f>IF(ISNUMBER(tblData[[#This Row],[Days'# US]]),tblData[[#This Row],[US LogiP(t)]]/$AP$9,"")</f>
        <v>2.2542928308757242E-2</v>
      </c>
      <c r="AS39" s="21">
        <f>IF(tblData[Date]&gt;=StartDt2Korea,betaSKorea/(deltaSKorea+betaPodeltaSKorea*EXP(-betaSKorea*(tblData[Date]-StartDt2Korea))),"")</f>
        <v>191.45875124820066</v>
      </c>
      <c r="AT39" s="21">
        <f>IF(AND(tblData[Date]&gt;=StartDt2Korea,ISNUMBER(tblData[SKorea])),(tblData[[#This Row],[SKorea LogiP(t)]]-tblData[[#This Row],[SKorea]])^2,"")</f>
        <v>25747.010852131934</v>
      </c>
      <c r="AU39" s="21">
        <f>IF(tblData[Date]&gt;=StartDt2Korea,tblData[[#This Row],[SKorea LogiP(t)]]/$AS$9,"")</f>
        <v>37.248784289533205</v>
      </c>
      <c r="AV39" s="11">
        <f>IF(ISNUMBER(tblData[Days'# UK]),betaUK/(deltaUK+betaPodeltaUK*EXP(-betaUK*tblData[Days'# UK])),"")</f>
        <v>3.3245638001841336</v>
      </c>
      <c r="AW39" s="21">
        <f>IF(ISNUMBER(tblData[UK]),(tblData[[#This Row],[UK LogiP(t)]]-tblData[[#This Row],[UK]])^2,"")</f>
        <v>32.210576058180365</v>
      </c>
      <c r="AX39" s="21">
        <f>IF(ISNUMBER(tblData[Days'# UK]),tblData[[#This Row],[UK LogiP(t)]]/$AV$9,"")</f>
        <v>0.50038588202651013</v>
      </c>
      <c r="AY39" s="11">
        <f>IF(ISNUMBER(tblData[Days'# China]),betaChina/(deltaChina+betaPodeltaChina*EXP(-betaChina*tblData[Days'# China])),"")</f>
        <v>73419.599478698088</v>
      </c>
      <c r="AZ39" s="11">
        <f>IF(ISNUMBER(tblData[China]),(tblData[[#This Row],[China LogiP(t)]]-tblData[[#This Row],[China]])^2,"")</f>
        <v>1438561.6104992977</v>
      </c>
      <c r="BA39" s="11">
        <f>tblData[[#This Row],[China LogiP(t)]]/$AY$9</f>
        <v>510.09787167371917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F39" t="s">
        <v>58</v>
      </c>
      <c r="DG39" s="82">
        <v>43912.787511574075</v>
      </c>
      <c r="DH39" s="27">
        <v>43860</v>
      </c>
      <c r="DI39" s="27">
        <v>43860</v>
      </c>
      <c r="DJ39">
        <v>2</v>
      </c>
      <c r="DK39" s="26">
        <v>0.25947894792637805</v>
      </c>
      <c r="DL39" s="26">
        <v>4.2793930730069226E-6</v>
      </c>
      <c r="DM39" s="26">
        <v>0.44221157817092033</v>
      </c>
      <c r="DN39">
        <v>60634.520713483966</v>
      </c>
      <c r="DO39" s="26">
        <v>1498.6578455090564</v>
      </c>
      <c r="DP39" s="26">
        <v>0.58677128401401213</v>
      </c>
      <c r="DQ39" s="26">
        <v>4.2793930730069228E-3</v>
      </c>
      <c r="DR39" s="26"/>
      <c r="DS39" s="27">
        <v>43911</v>
      </c>
      <c r="DT39" s="26" t="s">
        <v>1420</v>
      </c>
      <c r="DU39" s="26">
        <v>60634.520713483966</v>
      </c>
      <c r="DV39" s="26">
        <v>53578</v>
      </c>
      <c r="DW39" s="26" t="s">
        <v>769</v>
      </c>
      <c r="DX39" s="27">
        <v>43911</v>
      </c>
      <c r="DY39">
        <v>52</v>
      </c>
      <c r="DZ39" s="26" t="s">
        <v>1581</v>
      </c>
      <c r="EB39" t="s">
        <v>1422</v>
      </c>
      <c r="ED39" t="s">
        <v>1582</v>
      </c>
      <c r="EE39">
        <v>8863.1927212572373</v>
      </c>
      <c r="EF39" s="98">
        <v>43896</v>
      </c>
      <c r="EG39" s="26">
        <v>16</v>
      </c>
      <c r="EH39" s="98">
        <v>43895</v>
      </c>
      <c r="EI39">
        <v>17</v>
      </c>
    </row>
    <row r="40" spans="2:140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9">
        <f>IF(ISNUMBER(tblData[Italy]),tblData[Italy]/$N$9,"")</f>
        <v>0.49627791563275436</v>
      </c>
      <c r="O40">
        <v>13</v>
      </c>
      <c r="P40" s="49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4"/>
        <v>11</v>
      </c>
      <c r="Y40" s="26">
        <f t="shared" si="2"/>
        <v>29</v>
      </c>
      <c r="Z40" s="26">
        <f>IF(tblData[[#This Row],[Date]]&lt;StartDt2Korea,"",tblData[[#This Row],[Date]]-StartDt2Korea)</f>
        <v>1</v>
      </c>
      <c r="AA40" s="26">
        <f>IF(tblData[[#This Row],[Date]]&lt;UKStart,"",tblData[[#This Row],[Date]]-UKStart)</f>
        <v>21</v>
      </c>
      <c r="AB40">
        <f>IF(tblData[Date]&gt;=StartDt2Au,tblData[Date]-StartDt2Au,"")</f>
        <v>26</v>
      </c>
      <c r="AC40" s="26">
        <f>IF(tblData[New South Wales]&gt;0,SUM(tblData[[#This Row],[Australian Capital Territory]:[Western Australia]]),"")</f>
        <v>15</v>
      </c>
      <c r="AD40" s="12">
        <f>IF(ISNUMBER(tblData[Au]),tblData[Au]/$AA$9,"")</f>
        <v>5.9138937076170954</v>
      </c>
      <c r="AE40" s="19">
        <f>IF(ISNUMBER(tblData[[#This Row],[Day'# Aust]]),betaAu/(deltaAu+betaPodeltaAu*EXP(-betaAu*tblData[[#This Row],[Day'# Aust]])),"")</f>
        <v>1.9708489333283323</v>
      </c>
      <c r="AF40" s="72">
        <f>IF(ISNUMBER(tblData[Day'# Aust]),tblData[Au LogiP(t)]/$AD$9,"")</f>
        <v>0.77702607369828591</v>
      </c>
      <c r="AG40" s="11">
        <f>IF(AND(tblData[Date]&gt;=StartDt2Au,ISNUMBER(tblData[NSW])),(tblData[[#This Row],[Au LogiP(t)]]-tblData[[#This Row],[Au]])^2,"")</f>
        <v>169.75877751815145</v>
      </c>
      <c r="AH40">
        <f>IF(tblData[Date]&gt;StartDt2NSW,tblData[Date]-StartDt2NSW,"")</f>
        <v>26</v>
      </c>
      <c r="AI40">
        <f t="shared" si="3"/>
        <v>4</v>
      </c>
      <c r="AJ40" s="11">
        <f>IF(tblData[Date]&gt;StartDt2NSW,betaNSW/(deltaNSW+betaPodeltaNSW*EXP(-betaNSW*tblData[[#This Row],[Day '# NSW]])),"")</f>
        <v>1.0400348315023016</v>
      </c>
      <c r="AK40" s="12">
        <f>IF(AND(ISNUMBER(tblData[NSW]),tblData[Date]&gt;StartDt2NSW),(tblData[[#This Row],[NSW LogiP(t)]]-tblData[[#This Row],[NSW]])^2,"")</f>
        <v>8.7613937987196078</v>
      </c>
      <c r="AL40" s="12">
        <f>IF(AND(tblData[Date]&gt;StartDt2NSW,ISNUMBER(tblData[Day'# Aust])),tblData[NSW LogiP(t)]/$AG$9,"")</f>
        <v>1.2871718211662146</v>
      </c>
      <c r="AM40" s="11">
        <f>IF(AND(tblData[Date]&gt;StartDt2Italy,ISNUMBER(tblData[Days'# Italy])),betaItaly/(deltaItaly+betaPodeltaItaly*EXP(-betaItaly*tblData[Days'# Italy])),"")</f>
        <v>102.65808196642834</v>
      </c>
      <c r="AN40" s="11">
        <f>IF(AND(tblData[Date]&gt;StartDt2Italy,ISNUMBER(tblData[Italy])),(tblData[[#This Row],[Italy LogiP(t)]]-tblData[[#This Row],[Italy]])^2,"")</f>
        <v>9931.7333012273502</v>
      </c>
      <c r="AO40" s="44">
        <f>IF(AND(tblData[Date]&gt;StartDt2Italy,ISNUMBER(tblData[Days'# Italy])),tblData[[#This Row],[Italy LogiP(t)]]/$AM$9,"")</f>
        <v>16.982312980385167</v>
      </c>
      <c r="AP40" s="21">
        <f>IF(ISNUMBER(tblData[[#This Row],[Days'# US]]),betaUS/(deltaUS+betaPodeltaUS*EXP(-betaUS*tblData[Days'# US])),"")</f>
        <v>1.0398372112536678</v>
      </c>
      <c r="AQ40" s="11">
        <f>IF(ISNUMBER(tblData[US]),(tblData[[#This Row],[US LogiP(t)]]-tblData[US])^2,"")</f>
        <v>143.04549393331246</v>
      </c>
      <c r="AR40" s="21">
        <f>IF(ISNUMBER(tblData[[#This Row],[Days'# US]]),tblData[[#This Row],[US LogiP(t)]]/$AP$9,"")</f>
        <v>3.158413055665326E-2</v>
      </c>
      <c r="AS40" s="21">
        <f>IF(tblData[Date]&gt;=StartDt2Korea,betaSKorea/(deltaSKorea+betaPodeltaSKorea*EXP(-betaSKorea*(tblData[Date]-StartDt2Korea))),"")</f>
        <v>260.23998860193598</v>
      </c>
      <c r="AT40" s="21">
        <f>IF(AND(tblData[Date]&gt;=StartDt2Korea,ISNUMBER(tblData[SKorea])),(tblData[[#This Row],[SKorea LogiP(t)]]-tblData[[#This Row],[SKorea]])^2,"")</f>
        <v>24410.934038333085</v>
      </c>
      <c r="AU40" s="21">
        <f>IF(tblData[Date]&gt;=StartDt2Korea,tblData[[#This Row],[SKorea LogiP(t)]]/$AS$9,"")</f>
        <v>50.630347977030347</v>
      </c>
      <c r="AV40" s="11">
        <f>IF(ISNUMBER(tblData[Days'# UK]),betaUK/(deltaUK+betaPodeltaUK*EXP(-betaUK*tblData[Days'# UK])),"")</f>
        <v>4.2092249653254346</v>
      </c>
      <c r="AW40" s="21">
        <f>IF(ISNUMBER(tblData[UK]),(tblData[[#This Row],[UK LogiP(t)]]-tblData[[#This Row],[UK]])^2,"")</f>
        <v>22.951525432861082</v>
      </c>
      <c r="AX40" s="21">
        <f>IF(ISNUMBER(tblData[Days'# UK]),tblData[[#This Row],[UK LogiP(t)]]/$AV$9,"")</f>
        <v>0.6335377732277897</v>
      </c>
      <c r="AY40" s="11">
        <f>IF(ISNUMBER(tblData[Days'# China]),betaChina/(deltaChina+betaPodeltaChina*EXP(-betaChina*tblData[Days'# China])),"")</f>
        <v>74808.113076310692</v>
      </c>
      <c r="AZ40" s="11">
        <f>IF(ISNUMBER(tblData[China]),(tblData[[#This Row],[China LogiP(t)]]-tblData[[#This Row],[China]])^2,"")</f>
        <v>72300.177731099684</v>
      </c>
      <c r="BA40" s="11">
        <f>tblData[[#This Row],[China LogiP(t)]]/$AY$9</f>
        <v>519.74485743721016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F40" t="s">
        <v>58</v>
      </c>
      <c r="DH40" s="27">
        <v>43860</v>
      </c>
      <c r="DJ40">
        <v>2</v>
      </c>
      <c r="DK40" s="23">
        <v>0.26238091349277259</v>
      </c>
      <c r="DL40" s="25">
        <v>6.5504048686306527E-6</v>
      </c>
      <c r="DM40" s="22">
        <v>0.44060114064329331</v>
      </c>
      <c r="DN40" s="24">
        <f>betaItaly/deltaItaly</f>
        <v>60634.520713483966</v>
      </c>
      <c r="DO40" s="22">
        <f>SQRT(SUM(tblData[Italy Sq Err])/COUNT(tblData[Italy Sq Err]))</f>
        <v>1498.6578455090564</v>
      </c>
      <c r="DP40" s="37">
        <f>(betaItaly/PoItaly)-deltaItaly</f>
        <v>0.58677128401401213</v>
      </c>
      <c r="DQ40" s="24">
        <f>deltaItaly*1000</f>
        <v>4.2793930730069228E-3</v>
      </c>
      <c r="DR40" s="24"/>
      <c r="DS40" s="27">
        <f t="array" ref="DS40">MAX(IF(ISNUMBER(tblData[Italy]),tblData[Date]))</f>
        <v>43911</v>
      </c>
      <c r="DT40" s="27" t="str">
        <f>Cengnotation(DN40,3)</f>
        <v>60.6 k</v>
      </c>
      <c r="DU40" s="27"/>
      <c r="DV40" s="19"/>
      <c r="DW40" s="19"/>
      <c r="DZ40" s="18"/>
      <c r="EG40" s="26"/>
    </row>
    <row r="41" spans="2:140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9">
        <f>IF(ISNUMBER(tblData[Italy]),tblData[Italy]/$N$9,"")</f>
        <v>3.3085194375516958</v>
      </c>
      <c r="O41">
        <v>15</v>
      </c>
      <c r="P41" s="49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4"/>
        <v>12</v>
      </c>
      <c r="Y41" s="26">
        <f t="shared" si="2"/>
        <v>30</v>
      </c>
      <c r="Z41" s="26">
        <f>IF(tblData[[#This Row],[Date]]&lt;StartDt2Korea,"",tblData[[#This Row],[Date]]-StartDt2Korea)</f>
        <v>2</v>
      </c>
      <c r="AA41" s="26">
        <f>IF(tblData[[#This Row],[Date]]&lt;UKStart,"",tblData[[#This Row],[Date]]-UKStart)</f>
        <v>22</v>
      </c>
      <c r="AB41">
        <f>IF(tblData[Date]&gt;=StartDt2Au,tblData[Date]-StartDt2Au,"")</f>
        <v>27</v>
      </c>
      <c r="AC41" s="26">
        <f>IF(tblData[New South Wales]&gt;0,SUM(tblData[[#This Row],[Australian Capital Territory]:[Western Australia]]),"")</f>
        <v>15</v>
      </c>
      <c r="AD41" s="12">
        <f>IF(ISNUMBER(tblData[Au]),tblData[Au]/$AA$9,"")</f>
        <v>5.9138937076170954</v>
      </c>
      <c r="AE41" s="19">
        <f>IF(ISNUMBER(tblData[[#This Row],[Day'# Aust]]),betaAu/(deltaAu+betaPodeltaAu*EXP(-betaAu*tblData[[#This Row],[Day'# Aust]])),"")</f>
        <v>2.4322054275568989</v>
      </c>
      <c r="AF41" s="72">
        <f>IF(ISNUMBER(tblData[Day'# Aust]),tblData[Au LogiP(t)]/$AD$9,"")</f>
        <v>0.95892029157739278</v>
      </c>
      <c r="AG41" s="11">
        <f>IF(AND(tblData[Date]&gt;=StartDt2Au,ISNUMBER(tblData[NSW])),(tblData[[#This Row],[Au LogiP(t)]]-tblData[[#This Row],[Au]])^2,"")</f>
        <v>157.94946041513029</v>
      </c>
      <c r="AH41">
        <f>IF(tblData[Date]&gt;StartDt2NSW,tblData[Date]-StartDt2NSW,"")</f>
        <v>27</v>
      </c>
      <c r="AI41">
        <f t="shared" si="3"/>
        <v>4</v>
      </c>
      <c r="AJ41" s="11">
        <f>IF(tblData[Date]&gt;StartDt2NSW,betaNSW/(deltaNSW+betaPodeltaNSW*EXP(-betaNSW*tblData[[#This Row],[Day '# NSW]])),"")</f>
        <v>1.2790128417266877</v>
      </c>
      <c r="AK41" s="12">
        <f>IF(AND(ISNUMBER(tblData[NSW]),tblData[Date]&gt;StartDt2NSW),(tblData[[#This Row],[NSW LogiP(t)]]-tblData[[#This Row],[NSW]])^2,"")</f>
        <v>7.4037711154882757</v>
      </c>
      <c r="AL41" s="12">
        <f>IF(AND(tblData[Date]&gt;StartDt2NSW,ISNUMBER(tblData[Day'# Aust])),tblData[NSW LogiP(t)]/$AG$9,"")</f>
        <v>1.5829366853053064</v>
      </c>
      <c r="AM41" s="11">
        <f>IF(AND(tblData[Date]&gt;StartDt2Italy,ISNUMBER(tblData[Days'# Italy])),betaItaly/(deltaItaly+betaPodeltaItaly*EXP(-betaItaly*tblData[Days'# Italy])),"")</f>
        <v>133.00428818044787</v>
      </c>
      <c r="AN41" s="11">
        <f>IF(AND(tblData[Date]&gt;StartDt2Italy,ISNUMBER(tblData[Italy])),(tblData[[#This Row],[Italy LogiP(t)]]-tblData[[#This Row],[Italy]])^2,"")</f>
        <v>12769.969147169712</v>
      </c>
      <c r="AO41" s="44">
        <f>IF(AND(tblData[Date]&gt;StartDt2Italy,ISNUMBER(tblData[Days'# Italy])),tblData[[#This Row],[Italy LogiP(t)]]/$AM$9,"")</f>
        <v>22.002363636136952</v>
      </c>
      <c r="AP41" s="21">
        <f>IF(ISNUMBER(tblData[[#This Row],[Days'# US]]),betaUS/(deltaUS+betaPodeltaUS*EXP(-betaUS*tblData[Days'# US])),"")</f>
        <v>1.4568805696809675</v>
      </c>
      <c r="AQ41" s="11">
        <f>IF(ISNUMBER(tblData[US]),(tblData[[#This Row],[US LogiP(t)]]-tblData[US])^2,"")</f>
        <v>183.41608390388492</v>
      </c>
      <c r="AR41" s="21">
        <f>IF(ISNUMBER(tblData[[#This Row],[Days'# US]]),tblData[[#This Row],[US LogiP(t)]]/$AP$9,"")</f>
        <v>4.4251451689037401E-2</v>
      </c>
      <c r="AS41" s="21">
        <f>IF(tblData[Date]&gt;=StartDt2Korea,betaSKorea/(deltaSKorea+betaPodeltaSKorea*EXP(-betaSKorea*(tblData[Date]-StartDt2Korea))),"")</f>
        <v>352.67389065032046</v>
      </c>
      <c r="AT41" s="21">
        <f>IF(AND(tblData[Date]&gt;=StartDt2Korea,ISNUMBER(tblData[SKorea])),(tblData[[#This Row],[SKorea LogiP(t)]]-tblData[[#This Row],[SKorea]])^2,"")</f>
        <v>22103.925761103445</v>
      </c>
      <c r="AU41" s="21">
        <f>IF(tblData[Date]&gt;=StartDt2Korea,tblData[[#This Row],[SKorea LogiP(t)]]/$AS$9,"")</f>
        <v>68.613597402786084</v>
      </c>
      <c r="AV41" s="11">
        <f>IF(ISNUMBER(tblData[Days'# UK]),betaUK/(deltaUK+betaPodeltaUK*EXP(-betaUK*tblData[Days'# UK])),"")</f>
        <v>5.329293060960377</v>
      </c>
      <c r="AW41" s="21">
        <f>IF(ISNUMBER(tblData[UK]),(tblData[[#This Row],[UK LogiP(t)]]-tblData[[#This Row],[UK]])^2,"")</f>
        <v>13.474089432313638</v>
      </c>
      <c r="AX41" s="21">
        <f>IF(ISNUMBER(tblData[Days'# UK]),tblData[[#This Row],[UK LogiP(t)]]/$AV$9,"")</f>
        <v>0.80212117112588455</v>
      </c>
      <c r="AY41" s="11">
        <f>IF(ISNUMBER(tblData[Days'# China]),betaChina/(deltaChina+betaPodeltaChina*EXP(-betaChina*tblData[Days'# China])),"")</f>
        <v>75958.486797677484</v>
      </c>
      <c r="AZ41" s="11">
        <f>IF(ISNUMBER(tblData[China]),(tblData[[#This Row],[China LogiP(t)]]-tblData[[#This Row],[China]])^2,"")</f>
        <v>166861.46387680573</v>
      </c>
      <c r="BA41" s="11">
        <f>tblData[[#This Row],[China LogiP(t)]]/$AY$9</f>
        <v>527.73731709464573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F41" t="s">
        <v>485</v>
      </c>
      <c r="DH41" s="27">
        <v>43852</v>
      </c>
      <c r="DJ41">
        <v>3</v>
      </c>
      <c r="DK41" s="23">
        <v>0.23690262188948924</v>
      </c>
      <c r="DL41" s="25">
        <v>1.0000000000010001E-8</v>
      </c>
      <c r="DM41" s="22">
        <v>1</v>
      </c>
      <c r="DN41" s="26">
        <v>23690262.188925233</v>
      </c>
      <c r="DO41" s="19">
        <v>70.768652159383493</v>
      </c>
      <c r="DP41" s="37">
        <v>0.23690261188948925</v>
      </c>
      <c r="DQ41" s="24">
        <v>1.0000000000010001E-5</v>
      </c>
      <c r="DR41" s="12"/>
      <c r="DS41" s="27">
        <v>43904</v>
      </c>
      <c r="DT41" s="27" t="s">
        <v>492</v>
      </c>
      <c r="DU41" s="27"/>
      <c r="DV41" s="19"/>
      <c r="DW41" s="19"/>
      <c r="DY41" s="26"/>
      <c r="DZ41" s="18"/>
      <c r="ED41" s="26"/>
      <c r="EE41" s="26"/>
      <c r="EG41" s="26"/>
      <c r="EI41" s="26"/>
    </row>
    <row r="42" spans="2:140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9">
        <f>IF(ISNUMBER(tblData[Italy]),tblData[Italy]/$N$9,"")</f>
        <v>10.256410256410257</v>
      </c>
      <c r="O42">
        <v>15</v>
      </c>
      <c r="P42" s="49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4"/>
        <v>13</v>
      </c>
      <c r="Y42" s="26">
        <f t="shared" si="2"/>
        <v>31</v>
      </c>
      <c r="Z42" s="26">
        <f>IF(tblData[[#This Row],[Date]]&lt;StartDt2Korea,"",tblData[[#This Row],[Date]]-StartDt2Korea)</f>
        <v>3</v>
      </c>
      <c r="AA42" s="26">
        <f>IF(tblData[[#This Row],[Date]]&lt;UKStart,"",tblData[[#This Row],[Date]]-UKStart)</f>
        <v>23</v>
      </c>
      <c r="AB42">
        <f>IF(tblData[Date]&gt;=StartDt2Au,tblData[Date]-StartDt2Au,"")</f>
        <v>28</v>
      </c>
      <c r="AC42" s="26">
        <f>IF(tblData[New South Wales]&gt;0,SUM(tblData[[#This Row],[Australian Capital Territory]:[Western Australia]]),"")</f>
        <v>15</v>
      </c>
      <c r="AD42" s="12">
        <f>IF(ISNUMBER(tblData[Au]),tblData[Au]/$AA$9,"")</f>
        <v>5.9138937076170954</v>
      </c>
      <c r="AE42" s="19">
        <f>IF(ISNUMBER(tblData[[#This Row],[Day'# Aust]]),betaAu/(deltaAu+betaPodeltaAu*EXP(-betaAu*tblData[[#This Row],[Day'# Aust]])),"")</f>
        <v>3.0015609727851098</v>
      </c>
      <c r="AF42" s="72">
        <f>IF(ISNUMBER(tblData[Day'# Aust]),tblData[Au LogiP(t)]/$AD$9,"")</f>
        <v>1.1833941699988606</v>
      </c>
      <c r="AG42" s="11">
        <f>IF(AND(tblData[Date]&gt;=StartDt2Au,ISNUMBER(tblData[NSW])),(tblData[[#This Row],[Au LogiP(t)]]-tblData[[#This Row],[Au]])^2,"")</f>
        <v>143.96253908979338</v>
      </c>
      <c r="AH42">
        <f>IF(tblData[Date]&gt;StartDt2NSW,tblData[Date]-StartDt2NSW,"")</f>
        <v>28</v>
      </c>
      <c r="AI42">
        <f t="shared" si="3"/>
        <v>4</v>
      </c>
      <c r="AJ42" s="11">
        <f>IF(tblData[Date]&gt;StartDt2NSW,betaNSW/(deltaNSW+betaPodeltaNSW*EXP(-betaNSW*tblData[[#This Row],[Day '# NSW]])),"")</f>
        <v>1.5728764506606296</v>
      </c>
      <c r="AK42" s="12">
        <f>IF(AND(ISNUMBER(tblData[NSW]),tblData[Date]&gt;StartDt2NSW),(tblData[[#This Row],[NSW LogiP(t)]]-tblData[[#This Row],[NSW]])^2,"")</f>
        <v>5.8909287237577432</v>
      </c>
      <c r="AL42" s="12">
        <f>IF(AND(tblData[Date]&gt;StartDt2NSW,ISNUMBER(tblData[Day'# Aust])),tblData[NSW LogiP(t)]/$AG$9,"")</f>
        <v>1.9466292706195911</v>
      </c>
      <c r="AM42" s="11">
        <f>IF(AND(tblData[Date]&gt;StartDt2Italy,ISNUMBER(tblData[Days'# Italy])),betaItaly/(deltaItaly+betaPodeltaItaly*EXP(-betaItaly*tblData[Days'# Italy])),"")</f>
        <v>172.29544079970387</v>
      </c>
      <c r="AN42" s="11">
        <f>IF(AND(tblData[Date]&gt;StartDt2Italy,ISNUMBER(tblData[Italy])),(tblData[[#This Row],[Italy LogiP(t)]]-tblData[[#This Row],[Italy]])^2,"")</f>
        <v>12165.08426120098</v>
      </c>
      <c r="AO42" s="44">
        <f>IF(AND(tblData[Date]&gt;StartDt2Italy,ISNUMBER(tblData[Days'# Italy])),tblData[[#This Row],[Italy LogiP(t)]]/$AM$9,"")</f>
        <v>28.502140744367885</v>
      </c>
      <c r="AP42" s="21">
        <f>IF(ISNUMBER(tblData[[#This Row],[Days'# US]]),betaUS/(deltaUS+betaPodeltaUS*EXP(-betaUS*tblData[Days'# US])),"")</f>
        <v>2.0411858425894356</v>
      </c>
      <c r="AQ42" s="11">
        <f>IF(ISNUMBER(tblData[US]),(tblData[[#This Row],[US LogiP(t)]]-tblData[US])^2,"")</f>
        <v>167.93086436630449</v>
      </c>
      <c r="AR42" s="21">
        <f>IF(ISNUMBER(tblData[[#This Row],[Days'# US]]),tblData[[#This Row],[US LogiP(t)]]/$AP$9,"")</f>
        <v>6.199920472648851E-2</v>
      </c>
      <c r="AS42" s="21">
        <f>IF(tblData[Date]&gt;=StartDt2Korea,betaSKorea/(deltaSKorea+betaPodeltaSKorea*EXP(-betaSKorea*(tblData[Date]-StartDt2Korea))),"")</f>
        <v>476.02775007144243</v>
      </c>
      <c r="AT42" s="21">
        <f>IF(AND(tblData[Date]&gt;=StartDt2Korea,ISNUMBER(tblData[SKorea])),(tblData[[#This Row],[SKorea LogiP(t)]]-tblData[[#This Row],[SKorea]])^2,"")</f>
        <v>1851.3872762105136</v>
      </c>
      <c r="AU42" s="21">
        <f>IF(tblData[Date]&gt;=StartDt2Korea,tblData[[#This Row],[SKorea LogiP(t)]]/$AS$9,"")</f>
        <v>92.612402737634724</v>
      </c>
      <c r="AV42" s="11">
        <f>IF(ISNUMBER(tblData[Days'# UK]),betaUK/(deltaUK+betaPodeltaUK*EXP(-betaUK*tblData[Days'# UK])),"")</f>
        <v>6.7474094940722447</v>
      </c>
      <c r="AW42" s="21">
        <f>IF(ISNUMBER(tblData[UK]),(tblData[[#This Row],[UK LogiP(t)]]-tblData[[#This Row],[UK]])^2,"")</f>
        <v>5.0741639873958606</v>
      </c>
      <c r="AX42" s="21">
        <f>IF(ISNUMBER(tblData[Days'# UK]),tblData[[#This Row],[UK LogiP(t)]]/$AV$9,"")</f>
        <v>1.0155643428766172</v>
      </c>
      <c r="AY42" s="11">
        <f>IF(ISNUMBER(tblData[Days'# China]),betaChina/(deltaChina+betaPodeltaChina*EXP(-betaChina*tblData[Days'# China])),"")</f>
        <v>76905.535634443251</v>
      </c>
      <c r="AZ42" s="11">
        <f>IF(ISNUMBER(tblData[China]),(tblData[[#This Row],[China LogiP(t)]]-tblData[[#This Row],[China]])^2,"")</f>
        <v>9113.4450911525691</v>
      </c>
      <c r="BA42" s="11">
        <f>tblData[[#This Row],[China LogiP(t)]]/$AY$9</f>
        <v>534.31713501023455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F42" t="s">
        <v>485</v>
      </c>
      <c r="DH42" s="27">
        <v>43852</v>
      </c>
      <c r="DJ42">
        <v>3</v>
      </c>
      <c r="DK42" s="23">
        <v>0.32325497596799352</v>
      </c>
      <c r="DL42" s="38">
        <v>3.2192747767709561E-5</v>
      </c>
      <c r="DM42" s="22">
        <v>8.8068098227311528E-2</v>
      </c>
      <c r="DN42" s="24">
        <v>10041.235942345667</v>
      </c>
      <c r="DO42" s="22">
        <v>0</v>
      </c>
      <c r="DP42" s="37">
        <v>3.6704794053753567</v>
      </c>
      <c r="DQ42" s="24">
        <v>3.2192747767709563E-2</v>
      </c>
      <c r="DR42" s="24"/>
      <c r="DS42" s="27">
        <v>43905</v>
      </c>
      <c r="DT42" s="27" t="s">
        <v>769</v>
      </c>
      <c r="DU42" s="27"/>
      <c r="DV42" s="19"/>
      <c r="DW42" s="19"/>
      <c r="DZ42" s="18"/>
      <c r="EG42" s="26"/>
    </row>
    <row r="43" spans="2:140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9">
        <f>IF(ISNUMBER(tblData[Italy]),tblData[Italy]/$N$9,"")</f>
        <v>25.641025641025642</v>
      </c>
      <c r="O43">
        <v>15</v>
      </c>
      <c r="P43" s="49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4"/>
        <v>14</v>
      </c>
      <c r="Y43" s="26">
        <f t="shared" si="2"/>
        <v>32</v>
      </c>
      <c r="Z43" s="26">
        <f>IF(tblData[[#This Row],[Date]]&lt;StartDt2Korea,"",tblData[[#This Row],[Date]]-StartDt2Korea)</f>
        <v>4</v>
      </c>
      <c r="AA43" s="26">
        <f>IF(tblData[[#This Row],[Date]]&lt;UKStart,"",tblData[[#This Row],[Date]]-UKStart)</f>
        <v>24</v>
      </c>
      <c r="AB43">
        <f>IF(tblData[Date]&gt;=StartDt2Au,tblData[Date]-StartDt2Au,"")</f>
        <v>29</v>
      </c>
      <c r="AC43" s="26">
        <f>IF(tblData[New South Wales]&gt;0,SUM(tblData[[#This Row],[Australian Capital Territory]:[Western Australia]]),"")</f>
        <v>15</v>
      </c>
      <c r="AD43" s="12">
        <f>IF(ISNUMBER(tblData[Au]),tblData[Au]/$AA$9,"")</f>
        <v>5.9138937076170954</v>
      </c>
      <c r="AE43" s="19">
        <f>IF(ISNUMBER(tblData[[#This Row],[Day'# Aust]]),betaAu/(deltaAu+betaPodeltaAu*EXP(-betaAu*tblData[[#This Row],[Day'# Aust]])),"")</f>
        <v>3.7041970923589052</v>
      </c>
      <c r="AF43" s="72">
        <f>IF(ISNUMBER(tblData[Day'# Aust]),tblData[Au LogiP(t)]/$AD$9,"")</f>
        <v>1.4604151917516579</v>
      </c>
      <c r="AG43" s="11">
        <f>IF(AND(tblData[Date]&gt;=StartDt2Au,ISNUMBER(tblData[NSW])),(tblData[[#This Row],[Au LogiP(t)]]-tblData[[#This Row],[Au]])^2,"")</f>
        <v>127.59516332827302</v>
      </c>
      <c r="AH43">
        <f>IF(tblData[Date]&gt;StartDt2NSW,tblData[Date]-StartDt2NSW,"")</f>
        <v>29</v>
      </c>
      <c r="AI43">
        <f t="shared" si="3"/>
        <v>4</v>
      </c>
      <c r="AJ43" s="11">
        <f>IF(tblData[Date]&gt;StartDt2NSW,betaNSW/(deltaNSW+betaPodeltaNSW*EXP(-betaNSW*tblData[[#This Row],[Day '# NSW]])),"")</f>
        <v>1.934217552216428</v>
      </c>
      <c r="AK43" s="12">
        <f>IF(AND(ISNUMBER(tblData[NSW]),tblData[Date]&gt;StartDt2NSW),(tblData[[#This Row],[NSW LogiP(t)]]-tblData[[#This Row],[NSW]])^2,"")</f>
        <v>4.2674571215706862</v>
      </c>
      <c r="AL43" s="12">
        <f>IF(AND(tblData[Date]&gt;StartDt2NSW,ISNUMBER(tblData[Day'# Aust])),tblData[NSW LogiP(t)]/$AG$9,"")</f>
        <v>2.3938336042282522</v>
      </c>
      <c r="AM43" s="11">
        <f>IF(AND(tblData[Date]&gt;StartDt2Italy,ISNUMBER(tblData[Days'# Italy])),betaItaly/(deltaItaly+betaPodeltaItaly*EXP(-betaItaly*tblData[Days'# Italy])),"")</f>
        <v>223.15088684945897</v>
      </c>
      <c r="AN43" s="11">
        <f>IF(AND(tblData[Date]&gt;StartDt2Italy,ISNUMBER(tblData[Italy])),(tblData[[#This Row],[Italy LogiP(t)]]-tblData[[#This Row],[Italy]])^2,"")</f>
        <v>4644.5433783677599</v>
      </c>
      <c r="AO43" s="44">
        <f>IF(AND(tblData[Date]&gt;StartDt2Italy,ISNUMBER(tblData[Days'# Italy])),tblData[[#This Row],[Italy LogiP(t)]]/$AM$9,"")</f>
        <v>36.914952332416703</v>
      </c>
      <c r="AP43" s="21">
        <f>IF(ISNUMBER(tblData[[#This Row],[Days'# US]]),betaUS/(deltaUS+betaPodeltaUS*EXP(-betaUS*tblData[Days'# US])),"")</f>
        <v>2.8598360980340334</v>
      </c>
      <c r="AQ43" s="11">
        <f>IF(ISNUMBER(tblData[US]),(tblData[[#This Row],[US LogiP(t)]]-tblData[US])^2,"")</f>
        <v>147.38357956659752</v>
      </c>
      <c r="AR43" s="21">
        <f>IF(ISNUMBER(tblData[[#This Row],[Days'# US]]),tblData[[#This Row],[US LogiP(t)]]/$AP$9,"")</f>
        <v>8.6864978203691059E-2</v>
      </c>
      <c r="AS43" s="21">
        <f>IF(tblData[Date]&gt;=StartDt2Korea,betaSKorea/(deltaSKorea+betaPodeltaSKorea*EXP(-betaSKorea*(tblData[Date]-StartDt2Korea))),"")</f>
        <v>639.11583176437091</v>
      </c>
      <c r="AT43" s="21">
        <f>IF(AND(tblData[Date]&gt;=StartDt2Korea,ISNUMBER(tblData[SKorea])),(tblData[[#This Row],[SKorea LogiP(t)]]-tblData[[#This Row],[SKorea]])^2,"")</f>
        <v>1377.5849675610846</v>
      </c>
      <c r="AU43" s="21">
        <f>IF(tblData[Date]&gt;=StartDt2Korea,tblData[[#This Row],[SKorea LogiP(t)]]/$AS$9,"")</f>
        <v>124.341601510578</v>
      </c>
      <c r="AV43" s="11">
        <f>IF(ISNUMBER(tblData[Days'# UK]),betaUK/(deltaUK+betaPodeltaUK*EXP(-betaUK*tblData[Days'# UK])),"")</f>
        <v>8.5428844477312182</v>
      </c>
      <c r="AW43" s="21">
        <f>IF(ISNUMBER(tblData[UK]),(tblData[[#This Row],[UK LogiP(t)]]-tblData[[#This Row],[UK]])^2,"")</f>
        <v>0.20895462812599336</v>
      </c>
      <c r="AX43" s="21">
        <f>IF(ISNUMBER(tblData[Days'# UK]),tblData[[#This Row],[UK LogiP(t)]]/$AV$9,"")</f>
        <v>1.2858044021269142</v>
      </c>
      <c r="AY43" s="11">
        <f>IF(ISNUMBER(tblData[Days'# China]),betaChina/(deltaChina+betaPodeltaChina*EXP(-betaChina*tblData[Days'# China])),"")</f>
        <v>77681.132672419699</v>
      </c>
      <c r="AZ43" s="11">
        <f>IF(ISNUMBER(tblData[China]),(tblData[[#This Row],[China LogiP(t)]]-tblData[[#This Row],[China]])^2,"")</f>
        <v>434455.87985113397</v>
      </c>
      <c r="BA43" s="11">
        <f>tblData[[#This Row],[China LogiP(t)]]/$AY$9</f>
        <v>539.70575604817702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F43" t="s">
        <v>485</v>
      </c>
      <c r="DH43" s="27">
        <v>43852</v>
      </c>
      <c r="DJ43">
        <v>3</v>
      </c>
      <c r="DK43" s="23">
        <v>0.36149962702652205</v>
      </c>
      <c r="DL43" s="25">
        <v>4.559608796995672E-5</v>
      </c>
      <c r="DM43" s="22">
        <v>2.9311946911653858E-2</v>
      </c>
      <c r="DN43">
        <v>7928.3035699184175</v>
      </c>
      <c r="DO43" s="19">
        <v>80.421636650241254</v>
      </c>
      <c r="DP43" s="37">
        <v>12.332796985678472</v>
      </c>
      <c r="DQ43" s="24">
        <v>4.559608796995672E-2</v>
      </c>
      <c r="DR43" s="12"/>
      <c r="DS43" s="27">
        <v>43907</v>
      </c>
      <c r="DT43" s="27" t="s">
        <v>966</v>
      </c>
      <c r="DU43" s="27"/>
      <c r="DV43" s="19">
        <v>4736</v>
      </c>
      <c r="DW43" s="19" t="s">
        <v>967</v>
      </c>
      <c r="DX43" s="27">
        <v>43906</v>
      </c>
      <c r="DY43">
        <v>38</v>
      </c>
      <c r="DZ43" s="18" t="s">
        <v>968</v>
      </c>
      <c r="EB43" t="s">
        <v>969</v>
      </c>
    </row>
    <row r="44" spans="2:140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9">
        <f>IF(ISNUMBER(tblData[Italy]),tblData[Italy]/$N$9,"")</f>
        <v>37.882547559966916</v>
      </c>
      <c r="O44">
        <v>51</v>
      </c>
      <c r="P44" s="49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4"/>
        <v>15</v>
      </c>
      <c r="Y44" s="26">
        <f t="shared" si="2"/>
        <v>33</v>
      </c>
      <c r="Z44" s="26">
        <f>IF(tblData[[#This Row],[Date]]&lt;StartDt2Korea,"",tblData[[#This Row],[Date]]-StartDt2Korea)</f>
        <v>5</v>
      </c>
      <c r="AA44" s="26">
        <f>IF(tblData[[#This Row],[Date]]&lt;UKStart,"",tblData[[#This Row],[Date]]-UKStart)</f>
        <v>25</v>
      </c>
      <c r="AB44">
        <f>IF(tblData[Date]&gt;=StartDt2Au,tblData[Date]-StartDt2Au,"")</f>
        <v>30</v>
      </c>
      <c r="AC44" s="26">
        <f>IF(tblData[New South Wales]&gt;0,SUM(tblData[[#This Row],[Australian Capital Territory]:[Western Australia]]),"")</f>
        <v>15</v>
      </c>
      <c r="AD44" s="12">
        <f>IF(ISNUMBER(tblData[Au]),tblData[Au]/$AA$9,"")</f>
        <v>5.9138937076170954</v>
      </c>
      <c r="AE44" s="19">
        <f>IF(ISNUMBER(tblData[[#This Row],[Day'# Aust]]),betaAu/(deltaAu+betaPodeltaAu*EXP(-betaAu*tblData[[#This Row],[Day'# Aust]])),"")</f>
        <v>4.5713134673508158</v>
      </c>
      <c r="AF44" s="72">
        <f>IF(ISNUMBER(tblData[Day'# Aust]),tblData[Au LogiP(t)]/$AD$9,"")</f>
        <v>1.8022841300074184</v>
      </c>
      <c r="AG44" s="11">
        <f>IF(AND(tblData[Date]&gt;=StartDt2Au,ISNUMBER(tblData[NSW])),(tblData[[#This Row],[Au LogiP(t)]]-tblData[[#This Row],[Au]])^2,"")</f>
        <v>108.75750279625846</v>
      </c>
      <c r="AH44">
        <f>IF(tblData[Date]&gt;StartDt2NSW,tblData[Date]-StartDt2NSW,"")</f>
        <v>30</v>
      </c>
      <c r="AI44">
        <f t="shared" si="3"/>
        <v>4</v>
      </c>
      <c r="AJ44" s="11">
        <f>IF(tblData[Date]&gt;StartDt2NSW,betaNSW/(deltaNSW+betaPodeltaNSW*EXP(-betaNSW*tblData[[#This Row],[Day '# NSW]])),"")</f>
        <v>2.3785099319790342</v>
      </c>
      <c r="AK44" s="12">
        <f>IF(AND(ISNUMBER(tblData[NSW]),tblData[Date]&gt;StartDt2NSW),(tblData[[#This Row],[NSW LogiP(t)]]-tblData[[#This Row],[NSW]])^2,"")</f>
        <v>2.6292300406906364</v>
      </c>
      <c r="AL44" s="12">
        <f>IF(AND(tblData[Date]&gt;StartDt2NSW,ISNUMBER(tblData[Day'# Aust])),tblData[NSW LogiP(t)]/$AG$9,"")</f>
        <v>2.9437004108651412</v>
      </c>
      <c r="AM44" s="11">
        <f>IF(AND(tblData[Date]&gt;StartDt2Italy,ISNUMBER(tblData[Days'# Italy])),betaItaly/(deltaItaly+betaPodeltaItaly*EXP(-betaItaly*tblData[Days'# Italy])),"")</f>
        <v>288.94530472034586</v>
      </c>
      <c r="AN44" s="11">
        <f>IF(AND(tblData[Date]&gt;StartDt2Italy,ISNUMBER(tblData[Italy])),(tblData[[#This Row],[Italy LogiP(t)]]-tblData[[#This Row],[Italy]])^2,"")</f>
        <v>3593.4395580151195</v>
      </c>
      <c r="AO44" s="44">
        <f>IF(AND(tblData[Date]&gt;StartDt2Italy,ISNUMBER(tblData[Days'# Italy])),tblData[[#This Row],[Italy LogiP(t)]]/$AM$9,"")</f>
        <v>47.799057852828099</v>
      </c>
      <c r="AP44" s="21">
        <f>IF(ISNUMBER(tblData[[#This Row],[Days'# US]]),betaUS/(deltaUS+betaPodeltaUS*EXP(-betaUS*tblData[Days'# US])),"")</f>
        <v>4.0068191421741615</v>
      </c>
      <c r="AQ44" s="11">
        <f>IF(ISNUMBER(tblData[US]),(tblData[[#This Row],[US LogiP(t)]]-tblData[US])^2,"")</f>
        <v>2208.3590471363291</v>
      </c>
      <c r="AR44" s="21">
        <f>IF(ISNUMBER(tblData[[#This Row],[Days'# US]]),tblData[[#This Row],[US LogiP(t)]]/$AP$9,"")</f>
        <v>0.12170356814866272</v>
      </c>
      <c r="AS44" s="21">
        <f>IF(tblData[Date]&gt;=StartDt2Korea,betaSKorea/(deltaSKorea+betaPodeltaSKorea*EXP(-betaSKorea*(tblData[Date]-StartDt2Korea))),"")</f>
        <v>852.09765431395476</v>
      </c>
      <c r="AT44" s="21">
        <f>IF(AND(tblData[Date]&gt;=StartDt2Korea,ISNUMBER(tblData[SKorea])),(tblData[[#This Row],[SKorea LogiP(t)]]-tblData[[#This Row],[SKorea]])^2,"")</f>
        <v>364.72040029531496</v>
      </c>
      <c r="AU44" s="21">
        <f>IF(tblData[Date]&gt;=StartDt2Korea,tblData[[#This Row],[SKorea LogiP(t)]]/$AS$9,"")</f>
        <v>165.77775375757875</v>
      </c>
      <c r="AV44" s="11">
        <f>IF(ISNUMBER(tblData[Days'# UK]),betaUK/(deltaUK+betaPodeltaUK*EXP(-betaUK*tblData[Days'# UK])),"")</f>
        <v>10.816132414020347</v>
      </c>
      <c r="AW44" s="21">
        <f>IF(ISNUMBER(tblData[UK]),(tblData[[#This Row],[UK LogiP(t)]]-tblData[[#This Row],[UK]])^2,"")</f>
        <v>4.7692776330925994</v>
      </c>
      <c r="AX44" s="21">
        <f>IF(ISNUMBER(tblData[Days'# UK]),tblData[[#This Row],[UK LogiP(t)]]/$AV$9,"")</f>
        <v>1.6279549087929479</v>
      </c>
      <c r="AY44" s="11">
        <f>IF(ISNUMBER(tblData[Days'# China]),betaChina/(deltaChina+betaPodeltaChina*EXP(-betaChina*tblData[Days'# China])),"")</f>
        <v>78313.603164661472</v>
      </c>
      <c r="AZ44" s="11">
        <f>IF(ISNUMBER(tblData[China]),(tblData[[#This Row],[China LogiP(t)]]-tblData[[#This Row],[China]])^2,"")</f>
        <v>1150477.5488418047</v>
      </c>
      <c r="BA44" s="11">
        <f>tblData[[#This Row],[China LogiP(t)]]/$AY$9</f>
        <v>544.09997576988178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F44" t="s">
        <v>485</v>
      </c>
      <c r="DH44" s="27">
        <v>43852</v>
      </c>
      <c r="DJ44">
        <v>3</v>
      </c>
      <c r="DK44" s="23">
        <v>0.27693699134998795</v>
      </c>
      <c r="DL44" s="25">
        <v>9.9999999999976868E-11</v>
      </c>
      <c r="DM44" s="22">
        <v>0.29473541562593031</v>
      </c>
      <c r="DN44">
        <v>2769369913.5005202</v>
      </c>
      <c r="DO44" s="19">
        <v>50.62824539226316</v>
      </c>
      <c r="DP44" s="37">
        <v>0.93961219669642571</v>
      </c>
      <c r="DQ44" s="24">
        <v>9.9999999999976874E-8</v>
      </c>
      <c r="DR44" s="12"/>
      <c r="DS44" s="27">
        <v>43907</v>
      </c>
      <c r="DT44" s="27" t="s">
        <v>1005</v>
      </c>
      <c r="DU44" s="27"/>
      <c r="DV44" s="19">
        <v>6421</v>
      </c>
      <c r="DW44" s="19" t="s">
        <v>1006</v>
      </c>
      <c r="DX44" s="27">
        <v>43907</v>
      </c>
      <c r="DY44">
        <v>38</v>
      </c>
      <c r="DZ44" s="18" t="s">
        <v>1007</v>
      </c>
      <c r="EB44" t="s">
        <v>1008</v>
      </c>
      <c r="EC44" t="s">
        <v>974</v>
      </c>
      <c r="ED44" t="s">
        <v>1009</v>
      </c>
    </row>
    <row r="45" spans="2:140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9">
        <f>IF(ISNUMBER(tblData[Italy]),tblData[Italy]/$N$9,"")</f>
        <v>53.267162944582303</v>
      </c>
      <c r="O45">
        <v>51</v>
      </c>
      <c r="P45" s="49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4"/>
        <v>16</v>
      </c>
      <c r="Y45" s="26">
        <f t="shared" si="2"/>
        <v>34</v>
      </c>
      <c r="Z45" s="26">
        <f>IF(tblData[[#This Row],[Date]]&lt;StartDt2Korea,"",tblData[[#This Row],[Date]]-StartDt2Korea)</f>
        <v>6</v>
      </c>
      <c r="AA45" s="26">
        <f>IF(tblData[[#This Row],[Date]]&lt;UKStart,"",tblData[[#This Row],[Date]]-UKStart)</f>
        <v>26</v>
      </c>
      <c r="AB45">
        <f>IF(tblData[Date]&gt;=StartDt2Au,tblData[Date]-StartDt2Au,"")</f>
        <v>31</v>
      </c>
      <c r="AC45" s="26">
        <f>IF(tblData[New South Wales]&gt;0,SUM(tblData[[#This Row],[Australian Capital Territory]:[Western Australia]]),"")</f>
        <v>15</v>
      </c>
      <c r="AD45" s="12">
        <f>IF(ISNUMBER(tblData[Au]),tblData[Au]/$AA$9,"")</f>
        <v>5.9138937076170954</v>
      </c>
      <c r="AE45" s="19">
        <f>IF(ISNUMBER(tblData[[#This Row],[Day'# Aust]]),betaAu/(deltaAu+betaPodeltaAu*EXP(-betaAu*tblData[[#This Row],[Day'# Aust]])),"")</f>
        <v>5.6414133194674854</v>
      </c>
      <c r="AF45" s="72">
        <f>IF(ISNUMBER(tblData[Day'# Aust]),tblData[Au LogiP(t)]/$AD$9,"")</f>
        <v>2.2241812488044022</v>
      </c>
      <c r="AG45" s="11">
        <f>IF(AND(tblData[Date]&gt;=StartDt2Au,ISNUMBER(tblData[NSW])),(tblData[[#This Row],[Au LogiP(t)]]-tblData[[#This Row],[Au]])^2,"")</f>
        <v>87.583144657040592</v>
      </c>
      <c r="AH45">
        <f>IF(tblData[Date]&gt;StartDt2NSW,tblData[Date]-StartDt2NSW,"")</f>
        <v>31</v>
      </c>
      <c r="AI45">
        <f t="shared" si="3"/>
        <v>4</v>
      </c>
      <c r="AJ45" s="11">
        <f>IF(tblData[Date]&gt;StartDt2NSW,betaNSW/(deltaNSW+betaPodeltaNSW*EXP(-betaNSW*tblData[[#This Row],[Day '# NSW]])),"")</f>
        <v>2.924765283837627</v>
      </c>
      <c r="AK45" s="12">
        <f>IF(AND(ISNUMBER(tblData[NSW]),tblData[Date]&gt;StartDt2NSW),(tblData[[#This Row],[NSW LogiP(t)]]-tblData[[#This Row],[NSW]])^2,"")</f>
        <v>1.1561296948407789</v>
      </c>
      <c r="AL45" s="12">
        <f>IF(AND(tblData[Date]&gt;StartDt2NSW,ISNUMBER(tblData[Day'# Aust])),tblData[NSW LogiP(t)]/$AG$9,"")</f>
        <v>3.6197590146505281</v>
      </c>
      <c r="AM45" s="11">
        <f>IF(AND(tblData[Date]&gt;StartDt2Italy,ISNUMBER(tblData[Days'# Italy])),betaItaly/(deltaItaly+betaPodeltaItaly*EXP(-betaItaly*tblData[Days'# Italy])),"")</f>
        <v>374.01862567858421</v>
      </c>
      <c r="AN45" s="11">
        <f>IF(AND(tblData[Date]&gt;StartDt2Italy,ISNUMBER(tblData[Italy])),(tblData[[#This Row],[Italy LogiP(t)]]-tblData[[#This Row],[Italy]])^2,"")</f>
        <v>2705.9374174886611</v>
      </c>
      <c r="AO45" s="44">
        <f>IF(AND(tblData[Date]&gt;StartDt2Italy,ISNUMBER(tblData[Days'# Italy])),tblData[[#This Row],[Italy LogiP(t)]]/$AM$9,"")</f>
        <v>61.872394653198384</v>
      </c>
      <c r="AP45" s="21">
        <f>IF(ISNUMBER(tblData[[#This Row],[Days'# US]]),betaUS/(deltaUS+betaPodeltaUS*EXP(-betaUS*tblData[Days'# US])),"")</f>
        <v>5.6138180950089644</v>
      </c>
      <c r="AQ45" s="11">
        <f>IF(ISNUMBER(tblData[US]),(tblData[[#This Row],[US LogiP(t)]]-tblData[US])^2,"")</f>
        <v>2059.9055079129357</v>
      </c>
      <c r="AR45" s="21">
        <f>IF(ISNUMBER(tblData[[#This Row],[Days'# US]]),tblData[[#This Row],[US LogiP(t)]]/$AP$9,"")</f>
        <v>0.17051473222457275</v>
      </c>
      <c r="AS45" s="21">
        <f>IF(tblData[Date]&gt;=StartDt2Korea,betaSKorea/(deltaSKorea+betaPodeltaSKorea*EXP(-betaSKorea*(tblData[Date]-StartDt2Korea))),"")</f>
        <v>1125.807413999037</v>
      </c>
      <c r="AT45" s="21">
        <f>IF(AND(tblData[Date]&gt;=StartDt2Korea,ISNUMBER(tblData[SKorea])),(tblData[[#This Row],[SKorea LogiP(t)]]-tblData[[#This Row],[SKorea]])^2,"")</f>
        <v>22143.646461080778</v>
      </c>
      <c r="AU45" s="21">
        <f>IF(tblData[Date]&gt;=StartDt2Korea,tblData[[#This Row],[SKorea LogiP(t)]]/$AS$9,"")</f>
        <v>219.02867976634963</v>
      </c>
      <c r="AV45" s="11">
        <f>IF(ISNUMBER(tblData[Days'# UK]),betaUK/(deltaUK+betaPodeltaUK*EXP(-betaUK*tblData[Days'# UK])),"")</f>
        <v>13.694288014015326</v>
      </c>
      <c r="AW45" s="21">
        <f>IF(ISNUMBER(tblData[UK]),(tblData[[#This Row],[UK LogiP(t)]]-tblData[[#This Row],[UK]])^2,"")</f>
        <v>0.48203584640534552</v>
      </c>
      <c r="AX45" s="21">
        <f>IF(ISNUMBER(tblData[Days'# UK]),tblData[[#This Row],[UK LogiP(t)]]/$AV$9,"")</f>
        <v>2.0611511158963465</v>
      </c>
      <c r="AY45" s="11">
        <f>IF(ISNUMBER(tblData[Days'# China]),betaChina/(deltaChina+betaPodeltaChina*EXP(-betaChina*tblData[Days'# China])),"")</f>
        <v>78827.560807966773</v>
      </c>
      <c r="AZ45" s="11">
        <f>IF(ISNUMBER(tblData[China]),(tblData[[#This Row],[China LogiP(t)]]-tblData[[#This Row],[China]])^2,"")</f>
        <v>1152532.8084022698</v>
      </c>
      <c r="BA45" s="11">
        <f>tblData[[#This Row],[China LogiP(t)]]/$AY$9</f>
        <v>547.67080293104789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  <c r="DF45" t="s">
        <v>485</v>
      </c>
      <c r="DH45" s="27">
        <v>43852</v>
      </c>
      <c r="DJ45">
        <v>3</v>
      </c>
      <c r="DK45" s="23">
        <v>0.26960395783553237</v>
      </c>
      <c r="DL45" s="25">
        <v>9.0234118240884196E-8</v>
      </c>
      <c r="DM45" s="22">
        <v>0.28960505152543209</v>
      </c>
      <c r="DN45" s="24">
        <v>2987827.2552718031</v>
      </c>
      <c r="DO45" s="22">
        <v>77.269010204642242</v>
      </c>
      <c r="DP45" s="37">
        <v>0.9309365644114127</v>
      </c>
      <c r="DQ45" s="24">
        <v>9.0234118240884196E-5</v>
      </c>
      <c r="DR45" s="24"/>
      <c r="DS45" s="27">
        <v>43907</v>
      </c>
      <c r="DT45" s="27" t="s">
        <v>1021</v>
      </c>
      <c r="DU45" s="27"/>
      <c r="DV45">
        <v>7786</v>
      </c>
      <c r="DW45" t="s">
        <v>1022</v>
      </c>
      <c r="DX45" s="27">
        <v>43907</v>
      </c>
      <c r="DY45" s="19">
        <v>39</v>
      </c>
      <c r="DZ45" s="27" t="s">
        <v>1023</v>
      </c>
      <c r="EB45" t="s">
        <v>1024</v>
      </c>
      <c r="EC45" s="33" t="s">
        <v>974</v>
      </c>
      <c r="ED45" s="18" t="s">
        <v>1025</v>
      </c>
      <c r="EE45" s="21">
        <v>236.49282585071069</v>
      </c>
      <c r="EF45" s="98">
        <v>43907</v>
      </c>
      <c r="EG45" s="11">
        <v>-2</v>
      </c>
      <c r="EH45" s="98">
        <v>43909</v>
      </c>
      <c r="EI45" s="11">
        <v>0</v>
      </c>
    </row>
    <row r="46" spans="2:140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9">
        <f>IF(ISNUMBER(tblData[Italy]),tblData[Italy]/$N$9,"")</f>
        <v>74.937965260545909</v>
      </c>
      <c r="O46">
        <v>57</v>
      </c>
      <c r="P46" s="49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4"/>
        <v>17</v>
      </c>
      <c r="Y46" s="26">
        <f t="shared" si="2"/>
        <v>35</v>
      </c>
      <c r="Z46" s="26">
        <f>IF(tblData[[#This Row],[Date]]&lt;StartDt2Korea,"",tblData[[#This Row],[Date]]-StartDt2Korea)</f>
        <v>7</v>
      </c>
      <c r="AA46" s="26">
        <f>IF(tblData[[#This Row],[Date]]&lt;UKStart,"",tblData[[#This Row],[Date]]-UKStart)</f>
        <v>27</v>
      </c>
      <c r="AB46">
        <f>IF(tblData[Date]&gt;=StartDt2Au,tblData[Date]-StartDt2Au,"")</f>
        <v>32</v>
      </c>
      <c r="AC46" s="26">
        <f>IF(tblData[New South Wales]&gt;0,SUM(tblData[[#This Row],[Australian Capital Territory]:[Western Australia]]),"")</f>
        <v>15</v>
      </c>
      <c r="AD46" s="12">
        <f>IF(ISNUMBER(tblData[Au]),tblData[Au]/$AA$9,"")</f>
        <v>5.9138937076170954</v>
      </c>
      <c r="AE46" s="19">
        <f>IF(ISNUMBER(tblData[[#This Row],[Day'# Aust]]),betaAu/(deltaAu+betaPodeltaAu*EXP(-betaAu*tblData[[#This Row],[Day'# Aust]])),"")</f>
        <v>6.9620130985501039</v>
      </c>
      <c r="AF46" s="72">
        <f>IF(ISNUMBER(tblData[Day'# Aust]),tblData[Au LogiP(t)]/$AD$9,"")</f>
        <v>2.7448403637242169</v>
      </c>
      <c r="AG46" s="11">
        <f>IF(AND(tblData[Date]&gt;=StartDt2Au,ISNUMBER(tblData[NSW])),(tblData[[#This Row],[Au LogiP(t)]]-tblData[[#This Row],[Au]])^2,"")</f>
        <v>64.609233427880099</v>
      </c>
      <c r="AH46">
        <f>IF(tblData[Date]&gt;StartDt2NSW,tblData[Date]-StartDt2NSW,"")</f>
        <v>32</v>
      </c>
      <c r="AI46">
        <f t="shared" si="3"/>
        <v>4</v>
      </c>
      <c r="AJ46" s="11">
        <f>IF(tblData[Date]&gt;StartDt2NSW,betaNSW/(deltaNSW+betaPodeltaNSW*EXP(-betaNSW*tblData[[#This Row],[Day '# NSW]])),"")</f>
        <v>3.596336735656279</v>
      </c>
      <c r="AK46" s="12">
        <f>IF(AND(ISNUMBER(tblData[NSW]),tblData[Date]&gt;StartDt2NSW),(tblData[[#This Row],[NSW LogiP(t)]]-tblData[[#This Row],[NSW]])^2,"")</f>
        <v>0.16294403098062879</v>
      </c>
      <c r="AL46" s="12">
        <f>IF(AND(tblData[Date]&gt;StartDt2NSW,ISNUMBER(tblData[Day'# Aust])),tblData[NSW LogiP(t)]/$AG$9,"")</f>
        <v>4.4509118015548008</v>
      </c>
      <c r="AM46" s="11">
        <f>IF(AND(tblData[Date]&gt;StartDt2Italy,ISNUMBER(tblData[Days'# Italy])),betaItaly/(deltaItaly+betaPodeltaItaly*EXP(-betaItaly*tblData[Days'# Italy])),"")</f>
        <v>483.93896514332317</v>
      </c>
      <c r="AN46" s="11">
        <f>IF(AND(tblData[Date]&gt;StartDt2Italy,ISNUMBER(tblData[Italy])),(tblData[[#This Row],[Italy LogiP(t)]]-tblData[[#This Row],[Italy]])^2,"")</f>
        <v>957.21956413976636</v>
      </c>
      <c r="AO46" s="44">
        <f>IF(AND(tblData[Date]&gt;StartDt2Italy,ISNUMBER(tblData[Days'# Italy])),tblData[[#This Row],[Italy LogiP(t)]]/$AM$9,"")</f>
        <v>80.056073638266867</v>
      </c>
      <c r="AP46" s="21">
        <f>IF(ISNUMBER(tblData[[#This Row],[Days'# US]]),betaUS/(deltaUS+betaPodeltaUS*EXP(-betaUS*tblData[Days'# US])),"")</f>
        <v>7.8653296990905677</v>
      </c>
      <c r="AQ46" s="11">
        <f>IF(ISNUMBER(tblData[US]),(tblData[[#This Row],[US LogiP(t)]]-tblData[US])^2,"")</f>
        <v>2414.2158255790714</v>
      </c>
      <c r="AR46" s="21">
        <f>IF(ISNUMBER(tblData[[#This Row],[Days'# US]]),tblData[[#This Row],[US LogiP(t)]]/$AP$9,"")</f>
        <v>0.23890239491207915</v>
      </c>
      <c r="AS46" s="21">
        <f>IF(tblData[Date]&gt;=StartDt2Korea,betaSKorea/(deltaSKorea+betaPodeltaSKorea*EXP(-betaSKorea*(tblData[Date]-StartDt2Korea))),"")</f>
        <v>1470.3934650400731</v>
      </c>
      <c r="AT46" s="21">
        <f>IF(AND(tblData[Date]&gt;=StartDt2Korea,ISNUMBER(tblData[SKorea])),(tblData[[#This Row],[SKorea LogiP(t)]]-tblData[[#This Row],[SKorea]])^2,"")</f>
        <v>43845.623201488328</v>
      </c>
      <c r="AU46" s="21">
        <f>IF(tblData[Date]&gt;=StartDt2Korea,tblData[[#This Row],[SKorea LogiP(t)]]/$AS$9,"")</f>
        <v>286.06876751752395</v>
      </c>
      <c r="AV46" s="11">
        <f>IF(ISNUMBER(tblData[Days'# UK]),betaUK/(deltaUK+betaPodeltaUK*EXP(-betaUK*tblData[Days'# UK])),"")</f>
        <v>17.33831617658193</v>
      </c>
      <c r="AW46" s="21">
        <f>IF(ISNUMBER(tblData[UK]),(tblData[[#This Row],[UK LogiP(t)]]-tblData[[#This Row],[UK]])^2,"")</f>
        <v>18.820987247992459</v>
      </c>
      <c r="AX46" s="21">
        <f>IF(ISNUMBER(tblData[Days'# UK]),tblData[[#This Row],[UK LogiP(t)]]/$AV$9,"")</f>
        <v>2.6096201349461063</v>
      </c>
      <c r="AY46" s="11">
        <f>IF(ISNUMBER(tblData[Days'# China]),betaChina/(deltaChina+betaPodeltaChina*EXP(-betaChina*tblData[Days'# China])),"")</f>
        <v>79244.028378661475</v>
      </c>
      <c r="AZ46" s="11">
        <f>IF(ISNUMBER(tblData[China]),(tblData[[#This Row],[China LogiP(t)]]-tblData[[#This Row],[China]])^2,"")</f>
        <v>1162145.1851994875</v>
      </c>
      <c r="BA46" s="11">
        <f>tblData[[#This Row],[China LogiP(t)]]/$AY$9</f>
        <v>550.56429762375774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  <c r="DF46" t="s">
        <v>485</v>
      </c>
      <c r="DG46" s="82">
        <v>43911.866307870368</v>
      </c>
      <c r="DH46" s="27">
        <v>43852</v>
      </c>
      <c r="DI46" s="27">
        <v>43870</v>
      </c>
      <c r="DJ46">
        <v>3</v>
      </c>
      <c r="DK46">
        <v>0.34769529201458815</v>
      </c>
      <c r="DL46">
        <v>1.0000000000000751E-9</v>
      </c>
      <c r="DM46">
        <v>1.709986186409522E-2</v>
      </c>
      <c r="DN46">
        <v>347695292.01456201</v>
      </c>
      <c r="DO46" s="19">
        <v>315.73237932545749</v>
      </c>
      <c r="DP46" s="12">
        <v>20.333222265821231</v>
      </c>
      <c r="DQ46">
        <v>1.0000000000000751E-6</v>
      </c>
      <c r="DS46" s="27">
        <v>43910</v>
      </c>
      <c r="DT46" t="s">
        <v>1405</v>
      </c>
      <c r="DV46">
        <v>19100</v>
      </c>
      <c r="DW46" t="s">
        <v>1406</v>
      </c>
      <c r="DX46" s="27">
        <v>43910</v>
      </c>
      <c r="DY46">
        <v>41</v>
      </c>
      <c r="DZ46" t="s">
        <v>1407</v>
      </c>
      <c r="EB46" t="s">
        <v>1408</v>
      </c>
      <c r="EC46" t="s">
        <v>974</v>
      </c>
      <c r="ED46" t="s">
        <v>1409</v>
      </c>
      <c r="EE46">
        <v>580.14551422406544</v>
      </c>
      <c r="EF46" s="98">
        <v>43910</v>
      </c>
      <c r="EG46">
        <v>1</v>
      </c>
      <c r="EH46" s="98">
        <v>43910</v>
      </c>
      <c r="EI46">
        <v>1</v>
      </c>
    </row>
    <row r="47" spans="2:140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9">
        <f>IF(ISNUMBER(tblData[Italy]),tblData[Italy]/$N$9,"")</f>
        <v>108.35401157981804</v>
      </c>
      <c r="O47">
        <v>58</v>
      </c>
      <c r="P47" s="49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4"/>
        <v>18</v>
      </c>
      <c r="Y47" s="26">
        <f t="shared" si="2"/>
        <v>36</v>
      </c>
      <c r="Z47" s="26">
        <f>IF(tblData[[#This Row],[Date]]&lt;StartDt2Korea,"",tblData[[#This Row],[Date]]-StartDt2Korea)</f>
        <v>8</v>
      </c>
      <c r="AA47" s="26">
        <f>IF(tblData[[#This Row],[Date]]&lt;UKStart,"",tblData[[#This Row],[Date]]-UKStart)</f>
        <v>28</v>
      </c>
      <c r="AB47">
        <f>IF(tblData[Date]&gt;=StartDt2Au,tblData[Date]-StartDt2Au,"")</f>
        <v>33</v>
      </c>
      <c r="AC47" s="26">
        <f>IF(tblData[New South Wales]&gt;0,SUM(tblData[[#This Row],[Australian Capital Territory]:[Western Australia]]),"")</f>
        <v>15</v>
      </c>
      <c r="AD47" s="12">
        <f>IF(ISNUMBER(tblData[Au]),tblData[Au]/$AA$9,"")</f>
        <v>5.9138937076170954</v>
      </c>
      <c r="AE47" s="19">
        <f>IF(ISNUMBER(tblData[[#This Row],[Day'# Aust]]),betaAu/(deltaAu+betaPodeltaAu*EXP(-betaAu*tblData[[#This Row],[Day'# Aust]])),"")</f>
        <v>8.5917523911959375</v>
      </c>
      <c r="AF47" s="72">
        <f>IF(ISNUMBER(tblData[Day'# Aust]),tblData[Au LogiP(t)]/$AD$9,"")</f>
        <v>3.3873806935798525</v>
      </c>
      <c r="AG47" s="11">
        <f>IF(AND(tblData[Date]&gt;=StartDt2Au,ISNUMBER(tblData[NSW])),(tblData[[#This Row],[Au LogiP(t)]]-tblData[[#This Row],[Au]])^2,"")</f>
        <v>41.065637415742984</v>
      </c>
      <c r="AH47">
        <f>IF(tblData[Date]&gt;StartDt2NSW,tblData[Date]-StartDt2NSW,"")</f>
        <v>33</v>
      </c>
      <c r="AI47">
        <f t="shared" si="3"/>
        <v>4</v>
      </c>
      <c r="AJ47" s="11">
        <f>IF(tblData[Date]&gt;StartDt2NSW,betaNSW/(deltaNSW+betaPodeltaNSW*EXP(-betaNSW*tblData[[#This Row],[Day '# NSW]])),"")</f>
        <v>4.421902116784711</v>
      </c>
      <c r="AK47" s="12">
        <f>IF(AND(ISNUMBER(tblData[NSW]),tblData[Date]&gt;StartDt2NSW),(tblData[[#This Row],[NSW LogiP(t)]]-tblData[[#This Row],[NSW]])^2,"")</f>
        <v>0.17800139614741992</v>
      </c>
      <c r="AL47" s="12">
        <f>IF(AND(tblData[Date]&gt;StartDt2NSW,ISNUMBER(tblData[Day'# Aust])),tblData[NSW LogiP(t)]/$AG$9,"")</f>
        <v>5.4726511346345426</v>
      </c>
      <c r="AM47" s="11">
        <f>IF(AND(tblData[Date]&gt;StartDt2Italy,ISNUMBER(tblData[Days'# Italy])),betaItaly/(deltaItaly+betaPodeltaItaly*EXP(-betaItaly*tblData[Days'# Italy])),"")</f>
        <v>625.82830035540064</v>
      </c>
      <c r="AN47" s="11">
        <f>IF(AND(tblData[Date]&gt;StartDt2Italy,ISNUMBER(tblData[Italy])),(tblData[[#This Row],[Italy LogiP(t)]]-tblData[[#This Row],[Italy]])^2,"")</f>
        <v>850.98806015471826</v>
      </c>
      <c r="AO47" s="44">
        <f>IF(AND(tblData[Date]&gt;StartDt2Italy,ISNUMBER(tblData[Days'# Italy])),tblData[[#This Row],[Italy LogiP(t)]]/$AM$9,"")</f>
        <v>103.52825481478919</v>
      </c>
      <c r="AP47" s="21">
        <f>IF(ISNUMBER(tblData[[#This Row],[Days'# US]]),betaUS/(deltaUS+betaPodeltaUS*EXP(-betaUS*tblData[Days'# US])),"")</f>
        <v>11.019846067657852</v>
      </c>
      <c r="AQ47" s="11">
        <f>IF(ISNUMBER(tblData[US]),(tblData[[#This Row],[US LogiP(t)]]-tblData[US])^2,"")</f>
        <v>2207.1348635065633</v>
      </c>
      <c r="AR47" s="21">
        <f>IF(ISNUMBER(tblData[[#This Row],[Days'# US]]),tblData[[#This Row],[US LogiP(t)]]/$AP$9,"")</f>
        <v>0.33471802427180158</v>
      </c>
      <c r="AS47" s="21">
        <f>IF(tblData[Date]&gt;=StartDt2Korea,betaSKorea/(deltaSKorea+betaPodeltaSKorea*EXP(-betaSKorea*(tblData[Date]-StartDt2Korea))),"")</f>
        <v>1893.1393476480239</v>
      </c>
      <c r="AT47" s="21">
        <f>IF(AND(tblData[Date]&gt;=StartDt2Korea,ISNUMBER(tblData[SKorea])),(tblData[[#This Row],[SKorea LogiP(t)]]-tblData[[#This Row],[SKorea]])^2,"")</f>
        <v>16164.413720365077</v>
      </c>
      <c r="AU47" s="21">
        <f>IF(tblData[Date]&gt;=StartDt2Korea,tblData[[#This Row],[SKorea LogiP(t)]]/$AS$9,"")</f>
        <v>368.31504818054941</v>
      </c>
      <c r="AV47" s="11">
        <f>IF(ISNUMBER(tblData[Days'# UK]),betaUK/(deltaUK+betaPodeltaUK*EXP(-betaUK*tblData[Days'# UK])),"")</f>
        <v>21.952014321297806</v>
      </c>
      <c r="AW47" s="21">
        <f>IF(ISNUMBER(tblData[UK]),(tblData[[#This Row],[UK LogiP(t)]]-tblData[[#This Row],[UK]])^2,"")</f>
        <v>48.330503123529795</v>
      </c>
      <c r="AX47" s="21">
        <f>IF(ISNUMBER(tblData[Days'# UK]),tblData[[#This Row],[UK LogiP(t)]]/$AV$9,"")</f>
        <v>3.3040358701531916</v>
      </c>
      <c r="AY47" s="11">
        <f>IF(ISNUMBER(tblData[Days'# China]),betaChina/(deltaChina+betaPodeltaChina*EXP(-betaChina*tblData[Days'# China])),"")</f>
        <v>79580.722474479902</v>
      </c>
      <c r="AZ47" s="11">
        <f>IF(ISNUMBER(tblData[China]),(tblData[[#This Row],[China LogiP(t)]]-tblData[[#This Row],[China]])^2,"")</f>
        <v>961816.57194998267</v>
      </c>
      <c r="BA47" s="11">
        <f>tblData[[#This Row],[China LogiP(t)]]/$AY$9</f>
        <v>552.90354957965974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  <c r="DF47" t="s">
        <v>485</v>
      </c>
      <c r="DH47" s="27">
        <v>43852</v>
      </c>
      <c r="DJ47">
        <v>3</v>
      </c>
      <c r="DK47">
        <v>0.26960395737241599</v>
      </c>
      <c r="DL47">
        <v>2.2999968774326208E-6</v>
      </c>
      <c r="DM47">
        <v>0.28960505147680476</v>
      </c>
      <c r="DN47">
        <v>117219.27104238607</v>
      </c>
      <c r="DO47" s="19">
        <v>681.80877800845474</v>
      </c>
      <c r="DP47" s="12">
        <v>0.9309343532058354</v>
      </c>
      <c r="DQ47">
        <v>2.2999968774326208E-3</v>
      </c>
      <c r="DS47" s="27">
        <v>43910</v>
      </c>
      <c r="DT47" t="s">
        <v>1303</v>
      </c>
      <c r="DV47">
        <v>14366</v>
      </c>
      <c r="DW47" t="s">
        <v>1304</v>
      </c>
      <c r="DX47" s="27">
        <v>43909</v>
      </c>
      <c r="DY47">
        <v>41</v>
      </c>
      <c r="DZ47" t="s">
        <v>1305</v>
      </c>
      <c r="EB47" t="s">
        <v>1306</v>
      </c>
      <c r="EC47" t="s">
        <v>974</v>
      </c>
      <c r="ED47" t="s">
        <v>1307</v>
      </c>
      <c r="EE47">
        <v>436.35447420643584</v>
      </c>
      <c r="EF47" s="98">
        <v>43910</v>
      </c>
      <c r="EG47">
        <v>0</v>
      </c>
      <c r="EH47" s="98">
        <v>43909</v>
      </c>
      <c r="EI47">
        <v>1</v>
      </c>
    </row>
    <row r="48" spans="2:140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9">
        <f>IF(ISNUMBER(tblData[Italy]),tblData[Italy]/$N$9,"")</f>
        <v>146.89826302729529</v>
      </c>
      <c r="O48">
        <v>60</v>
      </c>
      <c r="P48" s="49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4"/>
        <v>19</v>
      </c>
      <c r="Y48" s="26">
        <f t="shared" si="2"/>
        <v>37</v>
      </c>
      <c r="Z48" s="26">
        <f>IF(tblData[[#This Row],[Date]]&lt;StartDt2Korea,"",tblData[[#This Row],[Date]]-StartDt2Korea)</f>
        <v>9</v>
      </c>
      <c r="AA48" s="26">
        <f>IF(tblData[[#This Row],[Date]]&lt;UKStart,"",tblData[[#This Row],[Date]]-UKStart)</f>
        <v>29</v>
      </c>
      <c r="AB48">
        <f>IF(tblData[Date]&gt;=StartDt2Au,tblData[Date]-StartDt2Au,"")</f>
        <v>34</v>
      </c>
      <c r="AC48" s="26">
        <f>IF(tblData[New South Wales]&gt;0,SUM(tblData[[#This Row],[Australian Capital Territory]:[Western Australia]]),"")</f>
        <v>15</v>
      </c>
      <c r="AD48" s="12">
        <f>IF(ISNUMBER(tblData[Au]),tblData[Au]/$AA$9,"")</f>
        <v>5.9138937076170954</v>
      </c>
      <c r="AE48" s="19">
        <f>IF(ISNUMBER(tblData[[#This Row],[Day'# Aust]]),betaAu/(deltaAu+betaPodeltaAu*EXP(-betaAu*tblData[[#This Row],[Day'# Aust]])),"")</f>
        <v>10.602997738341667</v>
      </c>
      <c r="AF48" s="72">
        <f>IF(ISNUMBER(tblData[Day'# Aust]),tblData[Au LogiP(t)]/$AD$9,"")</f>
        <v>4.1803334404438051</v>
      </c>
      <c r="AG48" s="11">
        <f>IF(AND(tblData[Date]&gt;=StartDt2Au,ISNUMBER(tblData[NSW])),(tblData[[#This Row],[Au LogiP(t)]]-tblData[[#This Row],[Au]])^2,"")</f>
        <v>19.333628889028493</v>
      </c>
      <c r="AH48" s="26">
        <f>IF(tblData[Date]&gt;StartDt2NSW,tblData[Date]-StartDt2NSW,"")</f>
        <v>34</v>
      </c>
      <c r="AI48">
        <f t="shared" si="3"/>
        <v>4</v>
      </c>
      <c r="AJ48" s="11">
        <f>IF(tblData[Date]&gt;StartDt2NSW,betaNSW/(deltaNSW+betaPodeltaNSW*EXP(-betaNSW*tblData[[#This Row],[Day '# NSW]])),"")</f>
        <v>5.4366657602694177</v>
      </c>
      <c r="AK48" s="12">
        <f>IF(AND(ISNUMBER(tblData[NSW]),tblData[Date]&gt;StartDt2NSW),(tblData[[#This Row],[NSW LogiP(t)]]-tblData[[#This Row],[NSW]])^2,"")</f>
        <v>2.0640085067305041</v>
      </c>
      <c r="AL48" s="12">
        <f>IF(AND(tblData[Date]&gt;StartDt2NSW,ISNUMBER(tblData[Day'# Aust])),tblData[NSW LogiP(t)]/$AG$9,"")</f>
        <v>6.7285467330067048</v>
      </c>
      <c r="AM48" s="11">
        <f>IF(AND(tblData[Date]&gt;StartDt2Italy,ISNUMBER(tblData[Days'# Italy])),betaItaly/(deltaItaly+betaPodeltaItaly*EXP(-betaItaly*tblData[Days'# Italy])),"")</f>
        <v>808.75977209989446</v>
      </c>
      <c r="AN48" s="11">
        <f>IF(AND(tblData[Date]&gt;StartDt2Italy,ISNUMBER(tblData[Italy])),(tblData[[#This Row],[Italy LogiP(t)]]-tblData[[#This Row],[Italy]])^2,"")</f>
        <v>6279.013717660664</v>
      </c>
      <c r="AO48" s="44">
        <f>IF(AND(tblData[Date]&gt;StartDt2Italy,ISNUMBER(tblData[Days'# Italy])),tblData[[#This Row],[Italy LogiP(t)]]/$AM$9,"")</f>
        <v>133.78987131511903</v>
      </c>
      <c r="AP48" s="21">
        <f>IF(ISNUMBER(tblData[[#This Row],[Days'# US]]),betaUS/(deltaUS+betaPodeltaUS*EXP(-betaUS*tblData[Days'# US])),"")</f>
        <v>15.439531711347966</v>
      </c>
      <c r="AQ48" s="11">
        <f>IF(ISNUMBER(tblData[US]),(tblData[[#This Row],[US LogiP(t)]]-tblData[US])^2,"")</f>
        <v>1985.6353341039635</v>
      </c>
      <c r="AR48" s="21">
        <f>IF(ISNUMBER(tblData[[#This Row],[Days'# US]]),tblData[[#This Row],[US LogiP(t)]]/$AP$9,"")</f>
        <v>0.46896204523867702</v>
      </c>
      <c r="AS48" s="21">
        <f>IF(tblData[Date]&gt;=StartDt2Korea,betaSKorea/(deltaSKorea+betaPodeltaSKorea*EXP(-betaSKorea*(tblData[Date]-StartDt2Korea))),"")</f>
        <v>2395.6311625666954</v>
      </c>
      <c r="AT48" s="21">
        <f>IF(AND(tblData[Date]&gt;=StartDt2Korea,ISNUMBER(tblData[SKorea])),(tblData[[#This Row],[SKorea LogiP(t)]]-tblData[[#This Row],[SKorea]])^2,"")</f>
        <v>3437.6132239222597</v>
      </c>
      <c r="AU48" s="21">
        <f>IF(tblData[Date]&gt;=StartDt2Korea,tblData[[#This Row],[SKorea LogiP(t)]]/$AS$9,"")</f>
        <v>466.07610166667229</v>
      </c>
      <c r="AV48" s="11">
        <f>IF(ISNUMBER(tblData[Days'# UK]),betaUK/(deltaUK+betaPodeltaUK*EXP(-betaUK*tblData[Days'# UK])),"")</f>
        <v>27.793410002860938</v>
      </c>
      <c r="AW48" s="21">
        <f>IF(ISNUMBER(tblData[UK]),(tblData[[#This Row],[UK LogiP(t)]]-tblData[[#This Row],[UK]])^2,"")</f>
        <v>60.737239472692927</v>
      </c>
      <c r="AX48" s="21">
        <f>IF(ISNUMBER(tblData[Days'# UK]),tblData[[#This Row],[UK LogiP(t)]]/$AV$9,"")</f>
        <v>4.1832344977213936</v>
      </c>
      <c r="AY48" s="11">
        <f>IF(ISNUMBER(tblData[Days'# China]),betaChina/(deltaChina+betaPodeltaChina*EXP(-betaChina*tblData[Days'# China])),"")</f>
        <v>79852.417411836766</v>
      </c>
      <c r="AZ48" s="11">
        <f>IF(ISNUMBER(tblData[China]),(tblData[[#This Row],[China LogiP(t)]]-tblData[[#This Row],[China]])^2,"")</f>
        <v>854547.55130698578</v>
      </c>
      <c r="BA48" s="11">
        <f>tblData[[#This Row],[China LogiP(t)]]/$AY$9</f>
        <v>554.79120642162422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  <c r="DF48" s="55" t="s">
        <v>485</v>
      </c>
      <c r="DG48" s="82">
        <v>43912.326689814814</v>
      </c>
      <c r="DH48" s="27">
        <v>43852</v>
      </c>
      <c r="DI48" s="27">
        <v>43870</v>
      </c>
      <c r="DJ48" s="55">
        <v>3</v>
      </c>
      <c r="DK48" s="55">
        <v>0.34769529183841918</v>
      </c>
      <c r="DL48" s="55">
        <v>9.0410268503126118E-7</v>
      </c>
      <c r="DM48" s="55">
        <v>1.7099861863491616E-2</v>
      </c>
      <c r="DN48" s="55">
        <v>384575.00192734954</v>
      </c>
      <c r="DO48" s="55">
        <v>373.46102354388694</v>
      </c>
      <c r="DP48" s="55">
        <v>20.333221353133922</v>
      </c>
      <c r="DQ48" s="55">
        <v>9.0410268503126115E-4</v>
      </c>
      <c r="DR48" s="55"/>
      <c r="DS48" s="27">
        <v>43911</v>
      </c>
      <c r="DT48" s="55" t="s">
        <v>1424</v>
      </c>
      <c r="DU48" s="55"/>
      <c r="DV48" s="55">
        <v>24148</v>
      </c>
      <c r="DW48" s="55" t="s">
        <v>1425</v>
      </c>
      <c r="DX48" s="27">
        <v>43911</v>
      </c>
      <c r="DY48" s="55">
        <v>42</v>
      </c>
      <c r="DZ48" s="55" t="s">
        <v>1426</v>
      </c>
      <c r="EA48" s="55"/>
      <c r="EB48" s="55" t="s">
        <v>1427</v>
      </c>
      <c r="EC48" s="55" t="s">
        <v>974</v>
      </c>
      <c r="ED48" s="55" t="s">
        <v>1428</v>
      </c>
      <c r="EE48" s="55">
        <v>733.47402499909595</v>
      </c>
      <c r="EF48" s="102">
        <v>43910</v>
      </c>
      <c r="EG48" s="55">
        <v>1</v>
      </c>
      <c r="EH48" s="102">
        <v>43910</v>
      </c>
      <c r="EI48" s="55">
        <v>2</v>
      </c>
    </row>
    <row r="49" spans="2:175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9">
        <f>IF(ISNUMBER(tblData[Italy]),tblData[Italy]/$N$9,"")</f>
        <v>186.60049627791562</v>
      </c>
      <c r="O49">
        <v>68</v>
      </c>
      <c r="P49" s="49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4"/>
        <v>20</v>
      </c>
      <c r="Y49" s="26">
        <f t="shared" si="2"/>
        <v>38</v>
      </c>
      <c r="Z49" s="26">
        <f>IF(tblData[[#This Row],[Date]]&lt;StartDt2Korea,"",tblData[[#This Row],[Date]]-StartDt2Korea)</f>
        <v>10</v>
      </c>
      <c r="AA49" s="26">
        <f>IF(tblData[[#This Row],[Date]]&lt;UKStart,"",tblData[[#This Row],[Date]]-UKStart)</f>
        <v>30</v>
      </c>
      <c r="AB49">
        <f>IF(tblData[Date]&gt;=StartDt2Au,tblData[Date]-StartDt2Au,"")</f>
        <v>35</v>
      </c>
      <c r="AC49" s="26">
        <f>IF(tblData[New South Wales]&gt;0,SUM(tblData[[#This Row],[Australian Capital Territory]:[Western Australia]]),"")</f>
        <v>25</v>
      </c>
      <c r="AD49" s="12">
        <f>IF(ISNUMBER(tblData[Au]),tblData[Au]/$AA$9,"")</f>
        <v>9.856489512695159</v>
      </c>
      <c r="AE49" s="19">
        <f>IF(ISNUMBER(tblData[[#This Row],[Day'# Aust]]),betaAu/(deltaAu+betaPodeltaAu*EXP(-betaAu*tblData[[#This Row],[Day'# Aust]])),"")</f>
        <v>13.085055981049376</v>
      </c>
      <c r="AF49" s="72">
        <f>IF(ISNUMBER(tblData[Day'# Aust]),tblData[Au LogiP(t)]/$AD$9,"")</f>
        <v>5.158908682009689</v>
      </c>
      <c r="AG49" s="11">
        <f>IF(AND(tblData[Date]&gt;=StartDt2Au,ISNUMBER(tblData[NSW])),(tblData[[#This Row],[Au LogiP(t)]]-tblData[[#This Row],[Au]])^2,"")</f>
        <v>141.96589097472724</v>
      </c>
      <c r="AH49" s="26">
        <f>IF(tblData[Date]&gt;StartDt2NSW,tblData[Date]-StartDt2NSW,"")</f>
        <v>35</v>
      </c>
      <c r="AI49">
        <f t="shared" si="3"/>
        <v>4</v>
      </c>
      <c r="AJ49" s="11">
        <f>IF(tblData[Date]&gt;StartDt2NSW,betaNSW/(deltaNSW+betaPodeltaNSW*EXP(-betaNSW*tblData[[#This Row],[Day '# NSW]])),"")</f>
        <v>6.6838252732575043</v>
      </c>
      <c r="AK49" s="12">
        <f>IF(AND(ISNUMBER(tblData[NSW]),tblData[Date]&gt;StartDt2NSW),(tblData[[#This Row],[NSW LogiP(t)]]-tblData[[#This Row],[NSW]])^2,"")</f>
        <v>7.2029180973757176</v>
      </c>
      <c r="AL49" s="12">
        <f>IF(AND(tblData[Date]&gt;StartDt2NSW,ISNUMBER(tblData[Day'# Aust])),tblData[NSW LogiP(t)]/$AG$9,"")</f>
        <v>8.2720609817543362</v>
      </c>
      <c r="AM49" s="11">
        <f>IF(AND(tblData[Date]&gt;StartDt2Italy,ISNUMBER(tblData[Days'# Italy])),betaItaly/(deltaItaly+betaPodeltaItaly*EXP(-betaItaly*tblData[Days'# Italy])),"")</f>
        <v>1044.2321818886908</v>
      </c>
      <c r="AN49" s="11">
        <f>IF(AND(tblData[Date]&gt;StartDt2Italy,ISNUMBER(tblData[Italy])),(tblData[[#This Row],[Italy LogiP(t)]]-tblData[[#This Row],[Italy]])^2,"")</f>
        <v>7017.0473511293858</v>
      </c>
      <c r="AO49" s="44">
        <f>IF(AND(tblData[Date]&gt;StartDt2Italy,ISNUMBER(tblData[Days'# Italy])),tblData[[#This Row],[Italy LogiP(t)]]/$AM$9,"")</f>
        <v>172.74312355478756</v>
      </c>
      <c r="AP49" s="21">
        <f>IF(ISNUMBER(tblData[[#This Row],[Days'# US]]),betaUS/(deltaUS+betaPodeltaUS*EXP(-betaUS*tblData[Days'# US])),"")</f>
        <v>21.631803010392339</v>
      </c>
      <c r="AQ49" s="11">
        <f>IF(ISNUMBER(tblData[US]),(tblData[[#This Row],[US LogiP(t)]]-tblData[US])^2,"")</f>
        <v>2150.0096920670608</v>
      </c>
      <c r="AR49" s="21">
        <f>IF(ISNUMBER(tblData[[#This Row],[Days'# US]]),tblData[[#This Row],[US LogiP(t)]]/$AP$9,"")</f>
        <v>0.65704677911297127</v>
      </c>
      <c r="AS49" s="21">
        <f>IF(tblData[Date]&gt;=StartDt2Korea,betaSKorea/(deltaSKorea+betaPodeltaSKorea*EXP(-betaSKorea*(tblData[Date]-StartDt2Korea))),"")</f>
        <v>2970.9440432094661</v>
      </c>
      <c r="AT49" s="21">
        <f>IF(AND(tblData[Date]&gt;=StartDt2Korea,ISNUMBER(tblData[SKorea])),(tblData[[#This Row],[SKorea LogiP(t)]]-tblData[[#This Row],[SKorea]])^2,"")</f>
        <v>32061.035662173526</v>
      </c>
      <c r="AU49" s="21">
        <f>IF(tblData[Date]&gt;=StartDt2Korea,tblData[[#This Row],[SKorea LogiP(t)]]/$AS$9,"")</f>
        <v>578.00467766721135</v>
      </c>
      <c r="AV49" s="11">
        <f>IF(ISNUMBER(tblData[Days'# UK]),betaUK/(deltaUK+betaPodeltaUK*EXP(-betaUK*tblData[Days'# UK])),"")</f>
        <v>35.189191442380746</v>
      </c>
      <c r="AW49" s="21">
        <f>IF(ISNUMBER(tblData[UK]),(tblData[[#This Row],[UK LogiP(t)]]-tblData[[#This Row],[UK]])^2,"")</f>
        <v>148.57638801900802</v>
      </c>
      <c r="AX49" s="21">
        <f>IF(ISNUMBER(tblData[Days'# UK]),tblData[[#This Row],[UK LogiP(t)]]/$AV$9,"")</f>
        <v>5.2963864302198598</v>
      </c>
      <c r="AY49" s="11">
        <f>IF(ISNUMBER(tblData[Days'# China]),betaChina/(deltaChina+betaPodeltaChina*EXP(-betaChina*tblData[Days'# China])),"")</f>
        <v>80071.332272992659</v>
      </c>
      <c r="AZ49" s="11">
        <f>IF(ISNUMBER(tblData[China]),(tblData[[#This Row],[China LogiP(t)]]-tblData[[#This Row],[China]])^2,"")</f>
        <v>511700.26078484335</v>
      </c>
      <c r="BA49" s="11">
        <f>tblData[[#This Row],[China LogiP(t)]]/$AY$9</f>
        <v>556.31216275407837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  <c r="DF49" t="s">
        <v>485</v>
      </c>
      <c r="DG49" s="82">
        <v>43912.588553240741</v>
      </c>
      <c r="DH49" s="27">
        <v>43852</v>
      </c>
      <c r="DI49" s="27">
        <v>43870</v>
      </c>
      <c r="DJ49">
        <v>3</v>
      </c>
      <c r="DK49">
        <v>0.33723338075349552</v>
      </c>
      <c r="DL49">
        <v>1.0000000000011339E-10</v>
      </c>
      <c r="DM49">
        <v>2.5463658145862197E-2</v>
      </c>
      <c r="DN49">
        <v>3372333807.5311313</v>
      </c>
      <c r="DO49" s="26">
        <v>322.06292198936342</v>
      </c>
      <c r="DP49" s="26">
        <v>13.243713013236043</v>
      </c>
      <c r="DQ49">
        <v>1.0000000000011339E-7</v>
      </c>
      <c r="DS49" s="27">
        <v>43911</v>
      </c>
      <c r="DT49" t="s">
        <v>1563</v>
      </c>
      <c r="DV49">
        <v>25489</v>
      </c>
      <c r="DW49" t="s">
        <v>1564</v>
      </c>
      <c r="DX49" s="27">
        <v>43911</v>
      </c>
      <c r="DY49">
        <v>42</v>
      </c>
      <c r="DZ49" t="s">
        <v>1565</v>
      </c>
      <c r="EB49" t="s">
        <v>1566</v>
      </c>
      <c r="EC49" t="s">
        <v>974</v>
      </c>
      <c r="ED49" t="s">
        <v>1567</v>
      </c>
      <c r="EE49">
        <v>774.20570743755002</v>
      </c>
      <c r="EF49" s="98">
        <v>43911</v>
      </c>
      <c r="EG49">
        <v>1</v>
      </c>
      <c r="EH49" s="98">
        <v>43910</v>
      </c>
      <c r="EI49">
        <v>2</v>
      </c>
    </row>
    <row r="50" spans="2:175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9">
        <f>IF(ISNUMBER(tblData[Italy]),tblData[Italy]/$N$9,"")</f>
        <v>280.2315963606286</v>
      </c>
      <c r="O50">
        <v>74</v>
      </c>
      <c r="P50" s="49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4"/>
        <v>21</v>
      </c>
      <c r="Y50" s="26">
        <f t="shared" si="2"/>
        <v>39</v>
      </c>
      <c r="Z50" s="26">
        <f>IF(tblData[[#This Row],[Date]]&lt;StartDt2Korea,"",tblData[[#This Row],[Date]]-StartDt2Korea)</f>
        <v>11</v>
      </c>
      <c r="AA50" s="26">
        <f>IF(tblData[[#This Row],[Date]]&lt;UKStart,"",tblData[[#This Row],[Date]]-UKStart)</f>
        <v>31</v>
      </c>
      <c r="AB50">
        <f>IF(tblData[Date]&gt;=StartDt2Au,tblData[Date]-StartDt2Au,"")</f>
        <v>36</v>
      </c>
      <c r="AC50" s="26">
        <f>IF(tblData[New South Wales]&gt;0,SUM(tblData[[#This Row],[Australian Capital Territory]:[Western Australia]]),"")</f>
        <v>27</v>
      </c>
      <c r="AD50" s="12">
        <f>IF(ISNUMBER(tblData[Au]),tblData[Au]/$AA$9,"")</f>
        <v>10.645008673710771</v>
      </c>
      <c r="AE50" s="19">
        <f>IF(ISNUMBER(tblData[[#This Row],[Day'# Aust]]),betaAu/(deltaAu+betaPodeltaAu*EXP(-betaAu*tblData[[#This Row],[Day'# Aust]])),"")</f>
        <v>16.148139819058159</v>
      </c>
      <c r="AF50" s="72">
        <f>IF(ISNUMBER(tblData[Day'# Aust]),tblData[Au LogiP(t)]/$AD$9,"")</f>
        <v>6.3665588310432737</v>
      </c>
      <c r="AG50" s="11">
        <f>IF(AND(tblData[Date]&gt;=StartDt2Au,ISNUMBER(tblData[NSW])),(tblData[[#This Row],[Au LogiP(t)]]-tblData[[#This Row],[Au]])^2,"")</f>
        <v>117.76286938671109</v>
      </c>
      <c r="AH50" s="26">
        <f>IF(tblData[Date]&gt;StartDt2NSW,tblData[Date]-StartDt2NSW,"")</f>
        <v>36</v>
      </c>
      <c r="AI50">
        <f t="shared" si="3"/>
        <v>6</v>
      </c>
      <c r="AJ50" s="11">
        <f>IF(tblData[Date]&gt;StartDt2NSW,betaNSW/(deltaNSW+betaPodeltaNSW*EXP(-betaNSW*tblData[[#This Row],[Day '# NSW]])),"")</f>
        <v>8.2163584663700586</v>
      </c>
      <c r="AK50" s="12">
        <f>IF(AND(ISNUMBER(tblData[NSW]),tblData[Date]&gt;StartDt2NSW),(tblData[[#This Row],[NSW LogiP(t)]]-tblData[[#This Row],[NSW]])^2,"")</f>
        <v>4.9122448514502386</v>
      </c>
      <c r="AL50" s="12">
        <f>IF(AND(tblData[Date]&gt;StartDt2NSW,ISNUMBER(tblData[Day'# Aust])),tblData[NSW LogiP(t)]/$AG$9,"")</f>
        <v>10.168760478180765</v>
      </c>
      <c r="AM50" s="11">
        <f>IF(AND(tblData[Date]&gt;StartDt2Italy,ISNUMBER(tblData[Days'# Italy])),betaItaly/(deltaItaly+betaPodeltaItaly*EXP(-betaItaly*tblData[Days'# Italy])),"")</f>
        <v>1346.7196698028094</v>
      </c>
      <c r="AN50" s="11">
        <f>IF(AND(tblData[Date]&gt;StartDt2Italy,ISNUMBER(tblData[Italy])),(tblData[[#This Row],[Italy LogiP(t)]]-tblData[[#This Row],[Italy]])^2,"")</f>
        <v>120603.6277418697</v>
      </c>
      <c r="AO50" s="44">
        <f>IF(AND(tblData[Date]&gt;StartDt2Italy,ISNUMBER(tblData[Days'# Italy])),tblData[[#This Row],[Italy LogiP(t)]]/$AM$9,"")</f>
        <v>222.78241022378981</v>
      </c>
      <c r="AP50" s="21">
        <f>IF(ISNUMBER(tblData[[#This Row],[Days'# US]]),betaUS/(deltaUS+betaPodeltaUS*EXP(-betaUS*tblData[Days'# US])),"")</f>
        <v>30.307583797498541</v>
      </c>
      <c r="AQ50" s="11">
        <f>IF(ISNUMBER(tblData[US]),(tblData[[#This Row],[US LogiP(t)]]-tblData[US])^2,"")</f>
        <v>1909.0272336126122</v>
      </c>
      <c r="AR50" s="21">
        <f>IF(ISNUMBER(tblData[[#This Row],[Days'# US]]),tblData[[#This Row],[US LogiP(t)]]/$AP$9,"")</f>
        <v>0.92056590508318048</v>
      </c>
      <c r="AS50" s="21">
        <f>IF(tblData[Date]&gt;=StartDt2Korea,betaSKorea/(deltaSKorea+betaPodeltaSKorea*EXP(-betaSKorea*(tblData[Date]-StartDt2Korea))),"")</f>
        <v>3602.0408682510806</v>
      </c>
      <c r="AT50" s="21">
        <f>IF(AND(tblData[Date]&gt;=StartDt2Korea,ISNUMBER(tblData[SKorea])),(tblData[[#This Row],[SKorea LogiP(t)]]-tblData[[#This Row],[SKorea]])^2,"")</f>
        <v>17945.048978924344</v>
      </c>
      <c r="AU50" s="21">
        <f>IF(tblData[Date]&gt;=StartDt2Korea,tblData[[#This Row],[SKorea LogiP(t)]]/$AS$9,"")</f>
        <v>700.78616113834255</v>
      </c>
      <c r="AV50" s="11">
        <f>IF(ISNUMBER(tblData[Days'# UK]),betaUK/(deltaUK+betaPodeltaUK*EXP(-betaUK*tblData[Days'# UK])),"")</f>
        <v>44.552977986955035</v>
      </c>
      <c r="AW50" s="21">
        <f>IF(ISNUMBER(tblData[UK]),(tblData[[#This Row],[UK LogiP(t)]]-tblData[[#This Row],[UK]])^2,"")</f>
        <v>73.153432445337401</v>
      </c>
      <c r="AX50" s="21">
        <f>IF(ISNUMBER(tblData[Days'# UK]),tblData[[#This Row],[UK LogiP(t)]]/$AV$9,"")</f>
        <v>6.7057462352430814</v>
      </c>
      <c r="AY50" s="11">
        <f>IF(ISNUMBER(tblData[Days'# China]),betaChina/(deltaChina+betaPodeltaChina*EXP(-betaChina*tblData[Days'# China])),"")</f>
        <v>80247.506853860134</v>
      </c>
      <c r="AZ50" s="11">
        <f>IF(ISNUMBER(tblData[China]),(tblData[[#This Row],[China LogiP(t)]]-tblData[[#This Row],[China]])^2,"")</f>
        <v>99544.574832719678</v>
      </c>
      <c r="BA50" s="11">
        <f>tblData[[#This Row],[China LogiP(t)]]/$AY$9</f>
        <v>557.53617213824259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  <c r="DF50" t="s">
        <v>485</v>
      </c>
      <c r="DG50" s="82">
        <v>43912.787546296298</v>
      </c>
      <c r="DH50" s="27">
        <v>43852</v>
      </c>
      <c r="DI50" s="27">
        <v>43870</v>
      </c>
      <c r="DJ50">
        <v>3</v>
      </c>
      <c r="DK50">
        <v>0.33723338054496799</v>
      </c>
      <c r="DL50">
        <v>2.0602986212095161E-6</v>
      </c>
      <c r="DM50">
        <v>2.5463658144854667E-2</v>
      </c>
      <c r="DN50">
        <v>163681.79693630635</v>
      </c>
      <c r="DO50">
        <v>828.39707151439563</v>
      </c>
      <c r="DP50">
        <v>13.24371094537222</v>
      </c>
      <c r="DQ50">
        <v>2.060298621209516E-3</v>
      </c>
      <c r="DS50" s="27">
        <v>43912</v>
      </c>
      <c r="DT50" t="s">
        <v>1585</v>
      </c>
      <c r="DU50" s="26">
        <v>163681.79693630635</v>
      </c>
      <c r="DV50">
        <v>26747</v>
      </c>
      <c r="DW50" t="s">
        <v>1586</v>
      </c>
      <c r="DX50" s="27">
        <v>43911</v>
      </c>
      <c r="DY50">
        <v>43</v>
      </c>
      <c r="DZ50" t="s">
        <v>1587</v>
      </c>
      <c r="EB50" t="s">
        <v>1588</v>
      </c>
      <c r="ED50" t="s">
        <v>1589</v>
      </c>
      <c r="EE50">
        <v>812.41633868853819</v>
      </c>
      <c r="EF50" s="98">
        <v>43911</v>
      </c>
      <c r="EG50">
        <v>1</v>
      </c>
      <c r="EH50" s="98">
        <v>43910</v>
      </c>
      <c r="EI50">
        <v>2</v>
      </c>
    </row>
    <row r="51" spans="2:175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9">
        <f>IF(ISNUMBER(tblData[Italy]),tblData[Italy]/$N$9,"")</f>
        <v>336.80727874276261</v>
      </c>
      <c r="O51">
        <v>98</v>
      </c>
      <c r="P51" s="49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4"/>
        <v>22</v>
      </c>
      <c r="Y51" s="26">
        <f t="shared" si="2"/>
        <v>40</v>
      </c>
      <c r="Z51" s="26">
        <f>IF(tblData[[#This Row],[Date]]&lt;StartDt2Korea,"",tblData[[#This Row],[Date]]-StartDt2Korea)</f>
        <v>12</v>
      </c>
      <c r="AA51" s="26">
        <f>IF(tblData[[#This Row],[Date]]&lt;UKStart,"",tblData[[#This Row],[Date]]-UKStart)</f>
        <v>32</v>
      </c>
      <c r="AB51">
        <f>IF(tblData[Date]&gt;=StartDt2Au,tblData[Date]-StartDt2Au,"")</f>
        <v>37</v>
      </c>
      <c r="AC51" s="26">
        <f>IF(tblData[New South Wales]&gt;0,SUM(tblData[[#This Row],[Australian Capital Territory]:[Western Australia]]),"")</f>
        <v>30</v>
      </c>
      <c r="AD51" s="12">
        <f>IF(ISNUMBER(tblData[Au]),tblData[Au]/$AA$9,"")</f>
        <v>11.827787415234191</v>
      </c>
      <c r="AE51" s="19">
        <f>IF(ISNUMBER(tblData[[#This Row],[Day'# Aust]]),betaAu/(deltaAu+betaPodeltaAu*EXP(-betaAu*tblData[[#This Row],[Day'# Aust]])),"")</f>
        <v>19.928261667707755</v>
      </c>
      <c r="AF51" s="72">
        <f>IF(ISNUMBER(tblData[Day'# Aust]),tblData[Au LogiP(t)]/$AD$9,"")</f>
        <v>7.8569080853602564</v>
      </c>
      <c r="AG51" s="11">
        <f>IF(AND(tblData[Date]&gt;=StartDt2Au,ISNUMBER(tblData[NSW])),(tblData[[#This Row],[Au LogiP(t)]]-tblData[[#This Row],[Au]])^2,"")</f>
        <v>101.43991303416497</v>
      </c>
      <c r="AH51" s="26">
        <f>IF(tblData[Date]&gt;StartDt2NSW,tblData[Date]-StartDt2NSW,"")</f>
        <v>37</v>
      </c>
      <c r="AI51">
        <f t="shared" si="3"/>
        <v>6</v>
      </c>
      <c r="AJ51" s="11">
        <f>IF(tblData[Date]&gt;StartDt2NSW,betaNSW/(deltaNSW+betaPodeltaNSW*EXP(-betaNSW*tblData[[#This Row],[Day '# NSW]])),"")</f>
        <v>10.099195448030148</v>
      </c>
      <c r="AK51" s="12">
        <f>IF(AND(ISNUMBER(tblData[NSW]),tblData[Date]&gt;StartDt2NSW),(tblData[[#This Row],[NSW LogiP(t)]]-tblData[[#This Row],[NSW]])^2,"")</f>
        <v>16.803403321151087</v>
      </c>
      <c r="AL51" s="12">
        <f>IF(AND(tblData[Date]&gt;StartDt2NSW,ISNUMBER(tblData[Day'# Aust])),tblData[NSW LogiP(t)]/$AG$9,"")</f>
        <v>12.499004267364043</v>
      </c>
      <c r="AM51" s="11">
        <f>IF(AND(tblData[Date]&gt;StartDt2Italy,ISNUMBER(tblData[Days'# Italy])),betaItaly/(deltaItaly+betaPodeltaItaly*EXP(-betaItaly*tblData[Days'# Italy])),"")</f>
        <v>1734.2799597800933</v>
      </c>
      <c r="AN51" s="11">
        <f>IF(AND(tblData[Date]&gt;StartDt2Italy,ISNUMBER(tblData[Italy])),(tblData[[#This Row],[Italy LogiP(t)]]-tblData[[#This Row],[Italy]])^2,"")</f>
        <v>91034.982670302081</v>
      </c>
      <c r="AO51" s="44">
        <f>IF(AND(tblData[Date]&gt;StartDt2Italy,ISNUMBER(tblData[Days'# Italy])),tblData[[#This Row],[Italy LogiP(t)]]/$AM$9,"")</f>
        <v>286.8949478544406</v>
      </c>
      <c r="AP51" s="21">
        <f>IF(ISNUMBER(tblData[[#This Row],[Days'# US]]),betaUS/(deltaUS+betaPodeltaUS*EXP(-betaUS*tblData[Days'# US])),"")</f>
        <v>42.462925270415568</v>
      </c>
      <c r="AQ51" s="11">
        <f>IF(ISNUMBER(tblData[US]),(tblData[[#This Row],[US LogiP(t)]]-tblData[US])^2,"")</f>
        <v>3084.3666695194456</v>
      </c>
      <c r="AR51" s="21">
        <f>IF(ISNUMBER(tblData[[#This Row],[Days'# US]]),tblData[[#This Row],[US LogiP(t)]]/$AP$9,"")</f>
        <v>1.2897735924849898</v>
      </c>
      <c r="AS51" s="21">
        <f>IF(tblData[Date]&gt;=StartDt2Korea,betaSKorea/(deltaSKorea+betaPodeltaSKorea*EXP(-betaSKorea*(tblData[Date]-StartDt2Korea))),"")</f>
        <v>4262.6497136290955</v>
      </c>
      <c r="AT51" s="21">
        <f>IF(AND(tblData[Date]&gt;=StartDt2Korea,ISNUMBER(tblData[SKorea])),(tblData[[#This Row],[SKorea LogiP(t)]]-tblData[[#This Row],[SKorea]])^2,"")</f>
        <v>5234.5639379518952</v>
      </c>
      <c r="AU51" s="21">
        <f>IF(tblData[Date]&gt;=StartDt2Korea,tblData[[#This Row],[SKorea LogiP(t)]]/$AS$9,"")</f>
        <v>829.30928280721707</v>
      </c>
      <c r="AV51" s="11">
        <f>IF(ISNUMBER(tblData[Days'# UK]),betaUK/(deltaUK+betaPodeltaUK*EXP(-betaUK*tblData[Days'# UK])),"")</f>
        <v>56.408452288359406</v>
      </c>
      <c r="AW51" s="21">
        <f>IF(ISNUMBER(tblData[UK]),(tblData[[#This Row],[UK LogiP(t)]]-tblData[[#This Row],[UK]])^2,"")</f>
        <v>269.23730649936704</v>
      </c>
      <c r="AX51" s="21">
        <f>IF(ISNUMBER(tblData[Days'# UK]),tblData[[#This Row],[UK LogiP(t)]]/$AV$9,"")</f>
        <v>8.4901342998734801</v>
      </c>
      <c r="AY51" s="11">
        <f>IF(ISNUMBER(tblData[Days'# China]),betaChina/(deltaChina+betaPodeltaChina*EXP(-betaChina*tblData[Days'# China])),"")</f>
        <v>80389.147577767391</v>
      </c>
      <c r="AZ51" s="11">
        <f>IF(ISNUMBER(tblData[China]),(tblData[[#This Row],[China LogiP(t)]]-tblData[[#This Row],[China]])^2,"")</f>
        <v>64083.696129497446</v>
      </c>
      <c r="BA51" s="11">
        <f>tblData[[#This Row],[China LogiP(t)]]/$AY$9</f>
        <v>558.52025039963905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  <c r="DF51" t="s">
        <v>225</v>
      </c>
      <c r="DH51" s="27">
        <v>43852</v>
      </c>
      <c r="DJ51">
        <v>4</v>
      </c>
      <c r="DK51" s="23">
        <v>0.2221429979133962</v>
      </c>
      <c r="DL51" s="25">
        <v>2.745882625476671E-6</v>
      </c>
      <c r="DM51" s="22">
        <v>1537.6493038446686</v>
      </c>
      <c r="DN51" s="24">
        <v>80900.398237099929</v>
      </c>
      <c r="DO51" s="22">
        <v>2208.2653303765946</v>
      </c>
      <c r="DP51" s="37">
        <v>1.4172333890505041E-4</v>
      </c>
      <c r="DQ51" s="24">
        <v>2.7458826254766712E-3</v>
      </c>
      <c r="DR51" s="24"/>
      <c r="DS51" s="27">
        <v>43905</v>
      </c>
      <c r="DT51" s="27" t="s">
        <v>764</v>
      </c>
      <c r="DU51" s="27"/>
      <c r="DV51" s="19"/>
      <c r="DW51" s="19"/>
      <c r="DZ51" s="18"/>
      <c r="EC51" s="18"/>
    </row>
    <row r="52" spans="2:175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9">
        <f>IF(ISNUMBER(tblData[Italy]),tblData[Italy]/$N$9,"")</f>
        <v>413.89578163771711</v>
      </c>
      <c r="O52">
        <v>118</v>
      </c>
      <c r="P52" s="49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4"/>
        <v>23</v>
      </c>
      <c r="Y52" s="26">
        <f t="shared" si="2"/>
        <v>41</v>
      </c>
      <c r="Z52" s="26">
        <f>IF(tblData[[#This Row],[Date]]&lt;StartDt2Korea,"",tblData[[#This Row],[Date]]-StartDt2Korea)</f>
        <v>13</v>
      </c>
      <c r="AA52" s="26">
        <f>IF(tblData[[#This Row],[Date]]&lt;UKStart,"",tblData[[#This Row],[Date]]-UKStart)</f>
        <v>33</v>
      </c>
      <c r="AB52">
        <f>IF(tblData[Date]&gt;=StartDt2Au,tblData[Date]-StartDt2Au,"")</f>
        <v>38</v>
      </c>
      <c r="AC52" s="26">
        <f>IF(tblData[New South Wales]&gt;0,SUM(tblData[[#This Row],[Australian Capital Territory]:[Western Australia]]),"")</f>
        <v>39</v>
      </c>
      <c r="AD52" s="12">
        <f>IF(ISNUMBER(tblData[Au]),tblData[Au]/$AA$9,"")</f>
        <v>15.376123639804447</v>
      </c>
      <c r="AE52" s="19">
        <f>IF(ISNUMBER(tblData[[#This Row],[Day'# Aust]]),betaAu/(deltaAu+betaPodeltaAu*EXP(-betaAu*tblData[[#This Row],[Day'# Aust]])),"")</f>
        <v>24.593273118731016</v>
      </c>
      <c r="AF52" s="72">
        <f>IF(ISNUMBER(tblData[Day'# Aust]),tblData[Au LogiP(t)]/$AD$9,"")</f>
        <v>9.6961335431047999</v>
      </c>
      <c r="AG52" s="11">
        <f>IF(AND(tblData[Date]&gt;=StartDt2Au,ISNUMBER(tblData[NSW])),(tblData[[#This Row],[Au LogiP(t)]]-tblData[[#This Row],[Au]])^2,"")</f>
        <v>207.55377943147835</v>
      </c>
      <c r="AH52">
        <f>IF(tblData[Date]&gt;StartDt2NSW,tblData[Date]-StartDt2NSW,"")</f>
        <v>38</v>
      </c>
      <c r="AI52">
        <f t="shared" si="3"/>
        <v>13</v>
      </c>
      <c r="AJ52" s="11">
        <f>IF(tblData[Date]&gt;StartDt2NSW,betaNSW/(deltaNSW+betaPodeltaNSW*EXP(-betaNSW*tblData[[#This Row],[Day '# NSW]])),"")</f>
        <v>12.411851539497736</v>
      </c>
      <c r="AK52" s="12">
        <f>IF(AND(ISNUMBER(tblData[NSW]),tblData[Date]&gt;StartDt2NSW),(tblData[[#This Row],[NSW LogiP(t)]]-tblData[[#This Row],[NSW]])^2,"")</f>
        <v>0.34591861159118342</v>
      </c>
      <c r="AL52" s="12">
        <f>IF(AND(tblData[Date]&gt;StartDt2NSW,ISNUMBER(tblData[Day'# Aust])),tblData[NSW LogiP(t)]/$AG$9,"")</f>
        <v>15.361202400368484</v>
      </c>
      <c r="AM52" s="11">
        <f>IF(AND(tblData[Date]&gt;StartDt2Italy,ISNUMBER(tblData[Days'# Italy])),betaItaly/(deltaItaly+betaPodeltaItaly*EXP(-betaItaly*tblData[Days'# Italy])),"")</f>
        <v>2229.1791832945714</v>
      </c>
      <c r="AN52" s="11">
        <f>IF(AND(tblData[Date]&gt;StartDt2Italy,ISNUMBER(tblData[Italy])),(tblData[[#This Row],[Italy LogiP(t)]]-tblData[[#This Row],[Italy]])^2,"")</f>
        <v>74431.198027817052</v>
      </c>
      <c r="AO52" s="44">
        <f>IF(AND(tblData[Date]&gt;StartDt2Italy,ISNUMBER(tblData[Days'# Italy])),tblData[[#This Row],[Italy LogiP(t)]]/$AM$9,"")</f>
        <v>368.76413288578516</v>
      </c>
      <c r="AP52" s="21">
        <f>IF(ISNUMBER(tblData[[#This Row],[Days'# US]]),betaUS/(deltaUS+betaPodeltaUS*EXP(-betaUS*tblData[Days'# US])),"")</f>
        <v>59.493360868415046</v>
      </c>
      <c r="AQ52" s="11">
        <f>IF(ISNUMBER(tblData[US]),(tblData[[#This Row],[US LogiP(t)]]-tblData[US])^2,"")</f>
        <v>3423.0268224735078</v>
      </c>
      <c r="AR52" s="21">
        <f>IF(ISNUMBER(tblData[[#This Row],[Days'# US]]),tblData[[#This Row],[US LogiP(t)]]/$AP$9,"")</f>
        <v>1.8070579284777246</v>
      </c>
      <c r="AS52" s="21">
        <f>IF(tblData[Date]&gt;=StartDt2Korea,betaSKorea/(deltaSKorea+betaPodeltaSKorea*EXP(-betaSKorea*(tblData[Date]-StartDt2Korea))),"")</f>
        <v>4921.0967855685385</v>
      </c>
      <c r="AT52" s="21">
        <f>IF(AND(tblData[Date]&gt;=StartDt2Korea,ISNUMBER(tblData[SKorea])),(tblData[[#This Row],[SKorea LogiP(t)]]-tblData[[#This Row],[SKorea]])^2,"")</f>
        <v>70173.713016120862</v>
      </c>
      <c r="AU52" s="21">
        <f>IF(tblData[Date]&gt;=StartDt2Korea,tblData[[#This Row],[SKorea LogiP(t)]]/$AS$9,"")</f>
        <v>957.41182598609703</v>
      </c>
      <c r="AV52" s="11">
        <f>IF(ISNUMBER(tblData[Days'# UK]),betaUK/(deltaUK+betaPodeltaUK*EXP(-betaUK*tblData[Days'# UK])),"")</f>
        <v>71.418647883758453</v>
      </c>
      <c r="AW52" s="21">
        <f>IF(ISNUMBER(tblData[UK]),(tblData[[#This Row],[UK LogiP(t)]]-tblData[[#This Row],[UK]])^2,"")</f>
        <v>416.92118140091355</v>
      </c>
      <c r="AX52" s="21">
        <f>IF(ISNUMBER(tblData[Days'# UK]),tblData[[#This Row],[UK LogiP(t)]]/$AV$9,"")</f>
        <v>10.74934495541217</v>
      </c>
      <c r="AY52" s="11">
        <f>IF(ISNUMBER(tblData[Days'# China]),betaChina/(deltaChina+betaPodeltaChina*EXP(-betaChina*tblData[Days'# China])),"")</f>
        <v>80502.93462384837</v>
      </c>
      <c r="AZ52" s="11">
        <f>IF(ISNUMBER(tblData[China]),(tblData[[#This Row],[China LogiP(t)]]-tblData[[#This Row],[China]])^2,"")</f>
        <v>58532.362216652473</v>
      </c>
      <c r="BA52" s="11">
        <f>tblData[[#This Row],[China LogiP(t)]]/$AY$9</f>
        <v>559.31080946618351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  <c r="DF52" t="s">
        <v>225</v>
      </c>
      <c r="DH52" s="27">
        <v>43852</v>
      </c>
      <c r="DJ52">
        <v>4</v>
      </c>
      <c r="DK52" s="23">
        <v>0.2221429979133962</v>
      </c>
      <c r="DL52" s="25">
        <v>2.745543785173982E-6</v>
      </c>
      <c r="DM52" s="22">
        <v>1537.6493038446686</v>
      </c>
      <c r="DN52">
        <v>80910.382530766758</v>
      </c>
      <c r="DO52" s="19">
        <v>2167.9126784143218</v>
      </c>
      <c r="DP52" s="37">
        <v>1.4172367774535312E-4</v>
      </c>
      <c r="DQ52" s="24">
        <v>2.7455437851739819E-3</v>
      </c>
      <c r="DR52" s="12"/>
      <c r="DS52" s="27">
        <v>43906</v>
      </c>
      <c r="DT52" s="27" t="s">
        <v>764</v>
      </c>
      <c r="DU52" s="27"/>
      <c r="DV52" s="19">
        <v>81033</v>
      </c>
      <c r="DW52" s="19" t="s">
        <v>970</v>
      </c>
      <c r="DX52" s="27">
        <v>43906</v>
      </c>
      <c r="DY52">
        <v>55</v>
      </c>
      <c r="DZ52" s="18" t="s">
        <v>971</v>
      </c>
      <c r="EB52" t="s">
        <v>972</v>
      </c>
    </row>
    <row r="53" spans="2:175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9">
        <f>IF(ISNUMBER(tblData[Italy]),tblData[Italy]/$N$9,"")</f>
        <v>511.00082712985937</v>
      </c>
      <c r="O53">
        <v>149</v>
      </c>
      <c r="P53" s="49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4"/>
        <v>24</v>
      </c>
      <c r="Y53" s="26">
        <f t="shared" si="2"/>
        <v>42</v>
      </c>
      <c r="Z53" s="26">
        <f>IF(tblData[[#This Row],[Date]]&lt;StartDt2Korea,"",tblData[[#This Row],[Date]]-StartDt2Korea)</f>
        <v>14</v>
      </c>
      <c r="AA53" s="26">
        <f>IF(tblData[[#This Row],[Date]]&lt;UKStart,"",tblData[[#This Row],[Date]]-UKStart)</f>
        <v>34</v>
      </c>
      <c r="AB53">
        <f>IF(tblData[Date]&gt;=StartDt2Au,tblData[Date]-StartDt2Au,"")</f>
        <v>39</v>
      </c>
      <c r="AC53" s="26">
        <f>IF(tblData[New South Wales]&gt;0,SUM(tblData[[#This Row],[Australian Capital Territory]:[Western Australia]]),"")</f>
        <v>52</v>
      </c>
      <c r="AD53" s="12">
        <f>IF(ISNUMBER(tblData[Au]),tblData[Au]/$AA$9,"")</f>
        <v>20.501498186405929</v>
      </c>
      <c r="AE53" s="19">
        <f>IF(ISNUMBER(tblData[[#This Row],[Day'# Aust]]),betaAu/(deltaAu+betaPodeltaAu*EXP(-betaAu*tblData[[#This Row],[Day'# Aust]])),"")</f>
        <v>30.350318179460462</v>
      </c>
      <c r="AF53" s="72">
        <f>IF(ISNUMBER(tblData[Day'# Aust]),tblData[Au LogiP(t)]/$AD$9,"")</f>
        <v>11.96590371371253</v>
      </c>
      <c r="AG53" s="11">
        <f>IF(AND(tblData[Date]&gt;=StartDt2Au,ISNUMBER(tblData[NSW])),(tblData[[#This Row],[Au LogiP(t)]]-tblData[[#This Row],[Au]])^2,"")</f>
        <v>468.70872293060017</v>
      </c>
      <c r="AH53">
        <f>IF(tblData[Date]&gt;StartDt2NSW,tblData[Date]-StartDt2NSW,"")</f>
        <v>39</v>
      </c>
      <c r="AI53">
        <f t="shared" si="3"/>
        <v>22</v>
      </c>
      <c r="AJ53" s="11">
        <f>IF(tblData[Date]&gt;StartDt2NSW,betaNSW/(deltaNSW+betaPodeltaNSW*EXP(-betaNSW*tblData[[#This Row],[Day '# NSW]])),"")</f>
        <v>15.251607656189206</v>
      </c>
      <c r="AK53" s="12">
        <f>IF(AND(ISNUMBER(tblData[NSW]),tblData[Date]&gt;StartDt2NSW),(tblData[[#This Row],[NSW LogiP(t)]]-tblData[[#This Row],[NSW]])^2,"")</f>
        <v>45.54079922600414</v>
      </c>
      <c r="AL53" s="12">
        <f>IF(AND(tblData[Date]&gt;StartDt2NSW,ISNUMBER(tblData[Day'# Aust])),tblData[NSW LogiP(t)]/$AG$9,"")</f>
        <v>18.875752049739116</v>
      </c>
      <c r="AM53" s="11">
        <f>IF(AND(tblData[Date]&gt;StartDt2Italy,ISNUMBER(tblData[Days'# Italy])),betaItaly/(deltaItaly+betaPodeltaItaly*EXP(-betaItaly*tblData[Days'# Italy])),"")</f>
        <v>2858.4505577386449</v>
      </c>
      <c r="AN53" s="11">
        <f>IF(AND(tblData[Date]&gt;StartDt2Italy,ISNUMBER(tblData[Italy])),(tblData[[#This Row],[Italy LogiP(t)]]-tblData[[#This Row],[Italy]])^2,"")</f>
        <v>53153.045327021922</v>
      </c>
      <c r="AO53" s="44">
        <f>IF(AND(tblData[Date]&gt;StartDt2Italy,ISNUMBER(tblData[Days'# Italy])),tblData[[#This Row],[Italy LogiP(t)]]/$AM$9,"")</f>
        <v>472.86196157793961</v>
      </c>
      <c r="AP53" s="21">
        <f>IF(ISNUMBER(tblData[[#This Row],[Days'# US]]),betaUS/(deltaUS+betaPodeltaUS*EXP(-betaUS*tblData[Days'# US])),"")</f>
        <v>83.35412498574658</v>
      </c>
      <c r="AQ53" s="11">
        <f>IF(ISNUMBER(tblData[US]),(tblData[[#This Row],[US LogiP(t)]]-tblData[US])^2,"")</f>
        <v>4309.3809063869812</v>
      </c>
      <c r="AR53" s="21">
        <f>IF(ISNUMBER(tblData[[#This Row],[Days'# US]]),tblData[[#This Row],[US LogiP(t)]]/$AP$9,"")</f>
        <v>2.5318074189818311</v>
      </c>
      <c r="AS53" s="21">
        <f>IF(tblData[Date]&gt;=StartDt2Korea,betaSKorea/(deltaSKorea+betaPodeltaSKorea*EXP(-betaSKorea*(tblData[Date]-StartDt2Korea))),"")</f>
        <v>5546.1160338151985</v>
      </c>
      <c r="AT53" s="21">
        <f>IF(AND(tblData[Date]&gt;=StartDt2Korea,ISNUMBER(tblData[SKorea])),(tblData[[#This Row],[SKorea LogiP(t)]]-tblData[[#This Row],[SKorea]])^2,"")</f>
        <v>5607.6083915664894</v>
      </c>
      <c r="AU53" s="21">
        <f>IF(tblData[Date]&gt;=StartDt2Korea,tblData[[#This Row],[SKorea LogiP(t)]]/$AS$9,"")</f>
        <v>1079.0109015204666</v>
      </c>
      <c r="AV53" s="11">
        <f>IF(ISNUMBER(tblData[Days'# UK]),betaUK/(deltaUK+betaPodeltaUK*EXP(-betaUK*tblData[Days'# UK])),"")</f>
        <v>90.423030100566564</v>
      </c>
      <c r="AW53" s="21">
        <f>IF(ISNUMBER(tblData[UK]),(tblData[[#This Row],[UK LogiP(t)]]-tblData[[#This Row],[UK]])^2,"")</f>
        <v>19.563195270517866</v>
      </c>
      <c r="AX53" s="21">
        <f>IF(ISNUMBER(tblData[Days'# UK]),tblData[[#This Row],[UK LogiP(t)]]/$AV$9,"")</f>
        <v>13.609727588887202</v>
      </c>
      <c r="AY53" s="11">
        <f>IF(ISNUMBER(tblData[Days'# China]),betaChina/(deltaChina+betaPodeltaChina*EXP(-betaChina*tblData[Days'# China])),"")</f>
        <v>80594.287912016938</v>
      </c>
      <c r="AZ53" s="11">
        <f>IF(ISNUMBER(tblData[China]),(tblData[[#This Row],[China LogiP(t)]]-tblData[[#This Row],[China]])^2,"")</f>
        <v>43383.854292375792</v>
      </c>
      <c r="BA53" s="11">
        <f>tblData[[#This Row],[China LogiP(t)]]/$AY$9</f>
        <v>559.94550535387623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  <c r="DF53" t="s">
        <v>225</v>
      </c>
      <c r="DH53" s="27">
        <v>43852</v>
      </c>
      <c r="DJ53">
        <v>4</v>
      </c>
      <c r="DK53" s="23">
        <v>0.2221429979133962</v>
      </c>
      <c r="DL53" s="25">
        <v>2.7453499609305866E-6</v>
      </c>
      <c r="DM53" s="22">
        <v>1537.6493038446686</v>
      </c>
      <c r="DN53">
        <v>80916.09487851843</v>
      </c>
      <c r="DO53" s="19">
        <v>2148.5827606526632</v>
      </c>
      <c r="DP53" s="37">
        <v>1.4172387156959651E-4</v>
      </c>
      <c r="DQ53" s="24">
        <v>2.7453499609305866E-3</v>
      </c>
      <c r="DR53" s="12"/>
      <c r="DS53" s="27">
        <v>43907</v>
      </c>
      <c r="DT53" s="27" t="s">
        <v>764</v>
      </c>
      <c r="DU53" s="27"/>
      <c r="DV53" s="19">
        <v>81058</v>
      </c>
      <c r="DW53" s="19" t="s">
        <v>970</v>
      </c>
      <c r="DX53" s="27">
        <v>43907</v>
      </c>
      <c r="DY53">
        <v>56</v>
      </c>
      <c r="DZ53" s="18" t="s">
        <v>971</v>
      </c>
      <c r="EB53" t="s">
        <v>972</v>
      </c>
      <c r="ED53" t="s">
        <v>1010</v>
      </c>
    </row>
    <row r="54" spans="2:175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9">
        <f>IF(ISNUMBER(tblData[Italy]),tblData[Italy]/$N$9,"")</f>
        <v>638.21339950372214</v>
      </c>
      <c r="O54">
        <v>217</v>
      </c>
      <c r="P54" s="49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4"/>
        <v>25</v>
      </c>
      <c r="Y54" s="26">
        <f t="shared" si="2"/>
        <v>43</v>
      </c>
      <c r="Z54" s="26">
        <f>IF(tblData[[#This Row],[Date]]&lt;StartDt2Korea,"",tblData[[#This Row],[Date]]-StartDt2Korea)</f>
        <v>15</v>
      </c>
      <c r="AA54" s="26">
        <f>IF(tblData[[#This Row],[Date]]&lt;UKStart,"",tblData[[#This Row],[Date]]-UKStart)</f>
        <v>35</v>
      </c>
      <c r="AB54">
        <f>IF(tblData[Date]&gt;=StartDt2Au,tblData[Date]-StartDt2Au,"")</f>
        <v>40</v>
      </c>
      <c r="AC54" s="26">
        <f>IF(tblData[New South Wales]&gt;0,SUM(tblData[[#This Row],[Australian Capital Territory]:[Western Australia]]),"")</f>
        <v>55</v>
      </c>
      <c r="AD54" s="12">
        <f>IF(ISNUMBER(tblData[Au]),tblData[Au]/$AA$9,"")</f>
        <v>21.68427692792935</v>
      </c>
      <c r="AE54" s="19">
        <f>IF(ISNUMBER(tblData[[#This Row],[Day'# Aust]]),betaAu/(deltaAu+betaPodeltaAu*EXP(-betaAu*tblData[[#This Row],[Day'# Aust]])),"")</f>
        <v>37.455031241966623</v>
      </c>
      <c r="AF54" s="72">
        <f>IF(ISNUMBER(tblData[Day'# Aust]),tblData[Au LogiP(t)]/$AD$9,"")</f>
        <v>14.767004905364541</v>
      </c>
      <c r="AG54" s="11">
        <f>IF(AND(tblData[Date]&gt;=StartDt2Au,ISNUMBER(tblData[NSW])),(tblData[[#This Row],[Au LogiP(t)]]-tblData[[#This Row],[Au]])^2,"")</f>
        <v>307.82592872036724</v>
      </c>
      <c r="AH54">
        <f>IF(tblData[Date]&gt;StartDt2NSW,tblData[Date]-StartDt2NSW,"")</f>
        <v>40</v>
      </c>
      <c r="AI54">
        <f t="shared" si="3"/>
        <v>22</v>
      </c>
      <c r="AJ54" s="11">
        <f>IF(tblData[Date]&gt;StartDt2NSW,betaNSW/(deltaNSW+betaPodeltaNSW*EXP(-betaNSW*tblData[[#This Row],[Day '# NSW]])),"")</f>
        <v>18.737335206197059</v>
      </c>
      <c r="AK54" s="12">
        <f>IF(AND(ISNUMBER(tblData[NSW]),tblData[Date]&gt;StartDt2NSW),(tblData[[#This Row],[NSW LogiP(t)]]-tblData[[#This Row],[NSW]])^2,"")</f>
        <v>10.644981556721186</v>
      </c>
      <c r="AL54" s="12">
        <f>IF(AND(tblData[Date]&gt;StartDt2NSW,ISNUMBER(tblData[Day'# Aust])),tblData[NSW LogiP(t)]/$AG$9,"")</f>
        <v>23.189771294798341</v>
      </c>
      <c r="AM54" s="11">
        <f>IF(AND(tblData[Date]&gt;StartDt2Italy,ISNUMBER(tblData[Days'# Italy])),betaItaly/(deltaItaly+betaPodeltaItaly*EXP(-betaItaly*tblData[Days'# Italy])),"")</f>
        <v>3654.2437858536114</v>
      </c>
      <c r="AN54" s="11">
        <f>IF(AND(tblData[Date]&gt;StartDt2Italy,ISNUMBER(tblData[Italy])),(tblData[[#This Row],[Italy LogiP(t)]]-tblData[[#This Row],[Italy]])^2,"")</f>
        <v>41516.594803268985</v>
      </c>
      <c r="AO54" s="44">
        <f>IF(AND(tblData[Date]&gt;StartDt2Italy,ISNUMBER(tblData[Days'# Italy])),tblData[[#This Row],[Italy LogiP(t)]]/$AM$9,"")</f>
        <v>604.50682975245843</v>
      </c>
      <c r="AP54" s="21">
        <f>IF(ISNUMBER(tblData[[#This Row],[Days'# US]]),betaUS/(deltaUS+betaPodeltaUS*EXP(-betaUS*tblData[Days'# US])),"")</f>
        <v>116.78462993190649</v>
      </c>
      <c r="AQ54" s="11">
        <f>IF(ISNUMBER(tblData[US]),(tblData[[#This Row],[US LogiP(t)]]-tblData[US])^2,"")</f>
        <v>10043.120397884932</v>
      </c>
      <c r="AR54" s="21">
        <f>IF(ISNUMBER(tblData[[#This Row],[Days'# US]]),tblData[[#This Row],[US LogiP(t)]]/$AP$9,"")</f>
        <v>3.5472292767179625</v>
      </c>
      <c r="AS54" s="21">
        <f>IF(tblData[Date]&gt;=StartDt2Korea,betaSKorea/(deltaSKorea+betaPodeltaSKorea*EXP(-betaSKorea*(tblData[Date]-StartDt2Korea))),"")</f>
        <v>6112.503770079853</v>
      </c>
      <c r="AT54" s="21">
        <f>IF(AND(tblData[Date]&gt;=StartDt2Korea,ISNUMBER(tblData[SKorea])),(tblData[[#This Row],[SKorea LogiP(t)]]-tblData[[#This Row],[SKorea]])^2,"")</f>
        <v>600.43474812629836</v>
      </c>
      <c r="AU54" s="21">
        <f>IF(tblData[Date]&gt;=StartDt2Korea,tblData[[#This Row],[SKorea LogiP(t)]]/$AS$9,"")</f>
        <v>1189.2030681089209</v>
      </c>
      <c r="AV54" s="11">
        <f>IF(ISNUMBER(tblData[Days'# UK]),betaUK/(deltaUK+betaPodeltaUK*EXP(-betaUK*tblData[Days'# UK])),"")</f>
        <v>114.48444404363512</v>
      </c>
      <c r="AW54" s="21">
        <f>IF(ISNUMBER(tblData[UK]),(tblData[[#This Row],[UK LogiP(t)]]-tblData[[#This Row],[UK]])^2,"")</f>
        <v>2.2969098568730599</v>
      </c>
      <c r="AX54" s="21">
        <f>IF(ISNUMBER(tblData[Days'# UK]),tblData[[#This Row],[UK LogiP(t)]]/$AV$9,"")</f>
        <v>17.231252866290657</v>
      </c>
      <c r="AY54" s="11">
        <f>IF(ISNUMBER(tblData[Days'# China]),betaChina/(deltaChina+betaPodeltaChina*EXP(-betaChina*tblData[Days'# China])),"")</f>
        <v>80667.593333262397</v>
      </c>
      <c r="AZ54" s="11">
        <f>IF(ISNUMBER(tblData[China]),(tblData[[#This Row],[China LogiP(t)]]-tblData[[#This Row],[China]])^2,"")</f>
        <v>17054.618692583543</v>
      </c>
      <c r="BA54" s="11">
        <f>tblData[[#This Row],[China LogiP(t)]]/$AY$9</f>
        <v>560.45480994862965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  <c r="DF54" t="s">
        <v>225</v>
      </c>
      <c r="DH54" s="27">
        <v>43852</v>
      </c>
      <c r="DJ54">
        <v>4</v>
      </c>
      <c r="DK54" s="23">
        <v>0.2221429979133962</v>
      </c>
      <c r="DL54" s="25">
        <v>2.7453499609305866E-6</v>
      </c>
      <c r="DM54" s="22">
        <v>1537.6493038446686</v>
      </c>
      <c r="DN54" s="24">
        <v>80916.09487851843</v>
      </c>
      <c r="DO54" s="22">
        <v>2129.8209279691509</v>
      </c>
      <c r="DP54" s="37">
        <v>1.4172387156959651E-4</v>
      </c>
      <c r="DQ54" s="24">
        <v>2.7453499609305866E-3</v>
      </c>
      <c r="DR54" s="24"/>
      <c r="DS54" s="27">
        <v>43907</v>
      </c>
      <c r="DT54" s="27" t="s">
        <v>764</v>
      </c>
      <c r="DU54" s="27"/>
      <c r="DV54">
        <v>81102</v>
      </c>
      <c r="DW54" t="s">
        <v>970</v>
      </c>
      <c r="DX54" s="27">
        <v>43907</v>
      </c>
      <c r="DY54" s="19">
        <v>57</v>
      </c>
      <c r="DZ54" s="27" t="s">
        <v>971</v>
      </c>
      <c r="EB54" t="s">
        <v>972</v>
      </c>
      <c r="ED54" s="18" t="s">
        <v>1026</v>
      </c>
      <c r="EE54" s="21">
        <v>563.47294022606354</v>
      </c>
      <c r="EF54" s="98">
        <v>43874</v>
      </c>
      <c r="EG54" s="11">
        <v>35</v>
      </c>
      <c r="EH54" s="98">
        <v>43869</v>
      </c>
      <c r="EI54" s="11">
        <v>40</v>
      </c>
    </row>
    <row r="55" spans="2:175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9">
        <f>IF(ISNUMBER(tblData[Italy]),tblData[Italy]/$N$9,"")</f>
        <v>766.91480562448305</v>
      </c>
      <c r="O55">
        <v>262</v>
      </c>
      <c r="P55" s="49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4"/>
        <v>26</v>
      </c>
      <c r="Y55" s="26">
        <f t="shared" si="2"/>
        <v>44</v>
      </c>
      <c r="Z55" s="26">
        <f>IF(tblData[[#This Row],[Date]]&lt;StartDt2Korea,"",tblData[[#This Row],[Date]]-StartDt2Korea)</f>
        <v>16</v>
      </c>
      <c r="AA55" s="26">
        <f>IF(tblData[[#This Row],[Date]]&lt;UKStart,"",tblData[[#This Row],[Date]]-UKStart)</f>
        <v>36</v>
      </c>
      <c r="AB55">
        <f>IF(tblData[Date]&gt;=StartDt2Au,tblData[Date]-StartDt2Au,"")</f>
        <v>41</v>
      </c>
      <c r="AC55" s="26">
        <f>IF(tblData[New South Wales]&gt;0,SUM(tblData[[#This Row],[Australian Capital Territory]:[Western Australia]]),"")</f>
        <v>60</v>
      </c>
      <c r="AD55" s="12">
        <f>IF(ISNUMBER(tblData[Au]),tblData[Au]/$AA$9,"")</f>
        <v>23.655574830468382</v>
      </c>
      <c r="AE55" s="19">
        <f>IF(ISNUMBER(tblData[[#This Row],[Day'# Aust]]),betaAu/(deltaAu+betaPodeltaAu*EXP(-betaAu*tblData[[#This Row],[Day'# Aust]])),"")</f>
        <v>46.222888206055586</v>
      </c>
      <c r="AF55" s="72">
        <f>IF(ISNUMBER(tblData[Day'# Aust]),tblData[Au LogiP(t)]/$AD$9,"")</f>
        <v>18.223816513978704</v>
      </c>
      <c r="AG55" s="11">
        <f>IF(AND(tblData[Date]&gt;=StartDt2Au,ISNUMBER(tblData[NSW])),(tblData[[#This Row],[Au LogiP(t)]]-tblData[[#This Row],[Au]])^2,"")</f>
        <v>189.80880938284227</v>
      </c>
      <c r="AH55">
        <f>IF(tblData[Date]&gt;StartDt2NSW,tblData[Date]-StartDt2NSW,"")</f>
        <v>41</v>
      </c>
      <c r="AI55">
        <f t="shared" si="3"/>
        <v>26</v>
      </c>
      <c r="AJ55" s="11">
        <f>IF(tblData[Date]&gt;StartDt2NSW,betaNSW/(deltaNSW+betaPodeltaNSW*EXP(-betaNSW*tblData[[#This Row],[Day '# NSW]])),"")</f>
        <v>23.014070791352271</v>
      </c>
      <c r="AK55" s="12">
        <f>IF(AND(ISNUMBER(tblData[NSW]),tblData[Date]&gt;StartDt2NSW),(tblData[[#This Row],[NSW LogiP(t)]]-tblData[[#This Row],[NSW]])^2,"")</f>
        <v>8.9157732390556532</v>
      </c>
      <c r="AL55" s="12">
        <f>IF(AND(tblData[Date]&gt;StartDt2NSW,ISNUMBER(tblData[Day'# Aust])),tblData[NSW LogiP(t)]/$AG$9,"")</f>
        <v>28.482760880386472</v>
      </c>
      <c r="AM55" s="11">
        <f>IF(AND(tblData[Date]&gt;StartDt2Italy,ISNUMBER(tblData[Days'# Italy])),betaItaly/(deltaItaly+betaPodeltaItaly*EXP(-betaItaly*tblData[Days'# Italy])),"")</f>
        <v>4653.740708627839</v>
      </c>
      <c r="AN55" s="11">
        <f>IF(AND(tblData[Date]&gt;StartDt2Italy,ISNUMBER(tblData[Italy])),(tblData[[#This Row],[Italy LogiP(t)]]-tblData[[#This Row],[Italy]])^2,"")</f>
        <v>314.73274261788157</v>
      </c>
      <c r="AO55" s="44">
        <f>IF(AND(tblData[Date]&gt;StartDt2Italy,ISNUMBER(tblData[Days'# Italy])),tblData[[#This Row],[Italy LogiP(t)]]/$AM$9,"")</f>
        <v>769.84957959104042</v>
      </c>
      <c r="AP55" s="21">
        <f>IF(ISNUMBER(tblData[[#This Row],[Days'# US]]),betaUS/(deltaUS+betaPodeltaUS*EXP(-betaUS*tblData[Days'# US])),"")</f>
        <v>163.62297290553482</v>
      </c>
      <c r="AQ55" s="11">
        <f>IF(ISNUMBER(tblData[US]),(tblData[[#This Row],[US LogiP(t)]]-tblData[US])^2,"")</f>
        <v>9678.0394599451356</v>
      </c>
      <c r="AR55" s="21">
        <f>IF(ISNUMBER(tblData[[#This Row],[Days'# US]]),tblData[[#This Row],[US LogiP(t)]]/$AP$9,"")</f>
        <v>4.9699022908456456</v>
      </c>
      <c r="AS55" s="21">
        <f>IF(tblData[Date]&gt;=StartDt2Korea,betaSKorea/(deltaSKorea+betaPodeltaSKorea*EXP(-betaSKorea*(tblData[Date]-StartDt2Korea))),"")</f>
        <v>6604.5811309157343</v>
      </c>
      <c r="AT55" s="21">
        <f>IF(AND(tblData[Date]&gt;=StartDt2Korea,ISNUMBER(tblData[SKorea])),(tblData[[#This Row],[SKorea LogiP(t)]]-tblData[[#This Row],[SKorea]])^2,"")</f>
        <v>134.12259328737724</v>
      </c>
      <c r="AU55" s="21">
        <f>IF(tblData[Date]&gt;=StartDt2Korea,tblData[[#This Row],[SKorea LogiP(t)]]/$AS$9,"")</f>
        <v>1284.9379632131779</v>
      </c>
      <c r="AV55" s="11">
        <f>IF(ISNUMBER(tblData[Days'# UK]),betaUK/(deltaUK+betaPodeltaUK*EXP(-betaUK*tblData[Days'# UK])),"")</f>
        <v>144.94855522677312</v>
      </c>
      <c r="AW55" s="21">
        <f>IF(ISNUMBER(tblData[UK]),(tblData[[#This Row],[UK LogiP(t)]]-tblData[[#This Row],[UK]])^2,"")</f>
        <v>362.95754794731369</v>
      </c>
      <c r="AX55" s="21">
        <f>IF(ISNUMBER(tblData[Days'# UK]),tblData[[#This Row],[UK LogiP(t)]]/$AV$9,"")</f>
        <v>21.816459245450499</v>
      </c>
      <c r="AY55" s="11">
        <f>IF(ISNUMBER(tblData[Days'# China]),betaChina/(deltaChina+betaPodeltaChina*EXP(-betaChina*tblData[Days'# China])),"")</f>
        <v>80726.392598457911</v>
      </c>
      <c r="AZ55" s="11">
        <f>IF(ISNUMBER(tblData[China]),(tblData[[#This Row],[China LogiP(t)]]-tblData[[#This Row],[China]])^2,"")</f>
        <v>1324.4212225187414</v>
      </c>
      <c r="BA55" s="11">
        <f>tblData[[#This Row],[China LogiP(t)]]/$AY$9</f>
        <v>560.86333002017966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Y55"/>
      <c r="CA55"/>
      <c r="CK55" s="26"/>
      <c r="CL55" s="26"/>
      <c r="DF55" s="26" t="s">
        <v>225</v>
      </c>
      <c r="DH55" s="27">
        <v>43852</v>
      </c>
      <c r="DJ55" s="26">
        <v>4</v>
      </c>
      <c r="DK55" s="26">
        <v>0.2221429979133962</v>
      </c>
      <c r="DL55" s="26">
        <v>2.7451241687424546E-6</v>
      </c>
      <c r="DM55" s="26">
        <v>1537.6493038446686</v>
      </c>
      <c r="DN55" s="26">
        <v>80922.750396081436</v>
      </c>
      <c r="DO55" s="19">
        <v>2111.6231171407408</v>
      </c>
      <c r="DP55" s="12">
        <v>1.4172409736178465E-4</v>
      </c>
      <c r="DQ55" s="26">
        <v>2.7451241687424547E-3</v>
      </c>
      <c r="DR55" s="26"/>
      <c r="DS55" s="27">
        <v>43909</v>
      </c>
      <c r="DT55" s="26" t="s">
        <v>764</v>
      </c>
      <c r="DV55" s="26">
        <v>81156</v>
      </c>
      <c r="DW55" s="26" t="s">
        <v>970</v>
      </c>
      <c r="DX55" s="27">
        <v>43909</v>
      </c>
      <c r="DY55" s="26">
        <v>58</v>
      </c>
      <c r="DZ55" s="26" t="s">
        <v>971</v>
      </c>
      <c r="EA55" s="26"/>
      <c r="EB55" s="26" t="s">
        <v>972</v>
      </c>
      <c r="EC55" s="26"/>
      <c r="ED55" s="26" t="s">
        <v>1308</v>
      </c>
      <c r="EE55" s="26">
        <v>563.84811640879889</v>
      </c>
      <c r="EF55" s="98">
        <v>43876</v>
      </c>
      <c r="EG55" s="26">
        <v>34</v>
      </c>
      <c r="EH55" s="98">
        <v>43874</v>
      </c>
      <c r="EI55" s="26">
        <v>36</v>
      </c>
    </row>
    <row r="56" spans="2:175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9">
        <f>IF(ISNUMBER(tblData[Italy]),tblData[Italy]/$N$9,"")</f>
        <v>973.20099255583125</v>
      </c>
      <c r="O56">
        <v>401</v>
      </c>
      <c r="P56" s="49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4"/>
        <v>27</v>
      </c>
      <c r="Y56" s="26">
        <f t="shared" si="2"/>
        <v>45</v>
      </c>
      <c r="Z56" s="26">
        <f>IF(tblData[[#This Row],[Date]]&lt;StartDt2Korea,"",tblData[[#This Row],[Date]]-StartDt2Korea)</f>
        <v>17</v>
      </c>
      <c r="AA56" s="26">
        <f>IF(tblData[[#This Row],[Date]]&lt;UKStart,"",tblData[[#This Row],[Date]]-UKStart)</f>
        <v>37</v>
      </c>
      <c r="AB56">
        <f>IF(tblData[Date]&gt;=StartDt2Au,tblData[Date]-StartDt2Au,"")</f>
        <v>42</v>
      </c>
      <c r="AC56" s="26">
        <f>IF(tblData[New South Wales]&gt;0,SUM(tblData[[#This Row],[Australian Capital Territory]:[Western Australia]]),"")</f>
        <v>63</v>
      </c>
      <c r="AD56" s="12">
        <f>IF(ISNUMBER(tblData[Au]),tblData[Au]/$AA$9,"")</f>
        <v>24.838353571991799</v>
      </c>
      <c r="AE56" s="19">
        <f>IF(ISNUMBER(tblData[[#This Row],[Day'# Aust]]),betaAu/(deltaAu+betaPodeltaAu*EXP(-betaAu*tblData[[#This Row],[Day'# Aust]])),"")</f>
        <v>57.04321478794337</v>
      </c>
      <c r="AF56" s="72">
        <f>IF(ISNUMBER(tblData[Day'# Aust]),tblData[Au LogiP(t)]/$AD$9,"")</f>
        <v>22.48983393311125</v>
      </c>
      <c r="AG56" s="11">
        <f>IF(AND(tblData[Date]&gt;=StartDt2Au,ISNUMBER(tblData[NSW])),(tblData[[#This Row],[Au LogiP(t)]]-tblData[[#This Row],[Au]])^2,"")</f>
        <v>35.48329006257655</v>
      </c>
      <c r="AH56">
        <f>IF(tblData[Date]&gt;StartDt2NSW,tblData[Date]-StartDt2NSW,"")</f>
        <v>42</v>
      </c>
      <c r="AI56">
        <f t="shared" si="3"/>
        <v>28</v>
      </c>
      <c r="AJ56" s="11">
        <f>IF(tblData[Date]&gt;StartDt2NSW,betaNSW/(deltaNSW+betaPodeltaNSW*EXP(-betaNSW*tblData[[#This Row],[Day '# NSW]])),"")</f>
        <v>28.258449481616164</v>
      </c>
      <c r="AK56" s="12">
        <f>IF(AND(ISNUMBER(tblData[NSW]),tblData[Date]&gt;StartDt2NSW),(tblData[[#This Row],[NSW LogiP(t)]]-tblData[[#This Row],[NSW]])^2,"")</f>
        <v>6.6796134547664116E-2</v>
      </c>
      <c r="AL56" s="12">
        <f>IF(AND(tblData[Date]&gt;StartDt2NSW,ISNUMBER(tblData[Day'# Aust])),tblData[NSW LogiP(t)]/$AG$9,"")</f>
        <v>34.973328566356635</v>
      </c>
      <c r="AM56" s="11">
        <f>IF(AND(tblData[Date]&gt;StartDt2Italy,ISNUMBER(tblData[Days'# Italy])),betaItaly/(deltaItaly+betaPodeltaItaly*EXP(-betaItaly*tblData[Days'# Italy])),"")</f>
        <v>5898.3179262726126</v>
      </c>
      <c r="AN56" s="11">
        <f>IF(AND(tblData[Date]&gt;StartDt2Italy,ISNUMBER(tblData[Italy])),(tblData[[#This Row],[Italy LogiP(t)]]-tblData[[#This Row],[Italy]])^2,"")</f>
        <v>234.63886529319433</v>
      </c>
      <c r="AO56" s="44">
        <f>IF(AND(tblData[Date]&gt;StartDt2Italy,ISNUMBER(tblData[Days'# Italy])),tblData[[#This Row],[Italy LogiP(t)]]/$AM$9,"")</f>
        <v>975.73497539662742</v>
      </c>
      <c r="AP56" s="21">
        <f>IF(ISNUMBER(tblData[[#This Row],[Days'# US]]),betaUS/(deltaUS+betaPodeltaUS*EXP(-betaUS*tblData[Days'# US])),"")</f>
        <v>229.24658089786277</v>
      </c>
      <c r="AQ56" s="11">
        <f>IF(ISNUMBER(tblData[US]),(tblData[[#This Row],[US LogiP(t)]]-tblData[US])^2,"")</f>
        <v>29499.236973274397</v>
      </c>
      <c r="AR56" s="21">
        <f>IF(ISNUMBER(tblData[[#This Row],[Days'# US]]),tblData[[#This Row],[US LogiP(t)]]/$AP$9,"")</f>
        <v>6.9631610240366193</v>
      </c>
      <c r="AS56" s="21">
        <f>IF(tblData[Date]&gt;=StartDt2Korea,betaSKorea/(deltaSKorea+betaPodeltaSKorea*EXP(-betaSKorea*(tblData[Date]-StartDt2Korea))),"")</f>
        <v>7016.6877709093151</v>
      </c>
      <c r="AT56" s="21">
        <f>IF(AND(tblData[Date]&gt;=StartDt2Korea,ISNUMBER(tblData[SKorea])),(tblData[[#This Row],[SKorea LogiP(t)]]-tblData[[#This Row],[SKorea]])^2,"")</f>
        <v>591.08448335794628</v>
      </c>
      <c r="AU56" s="21">
        <f>IF(tblData[Date]&gt;=StartDt2Korea,tblData[[#This Row],[SKorea LogiP(t)]]/$AS$9,"")</f>
        <v>1365.1143523169874</v>
      </c>
      <c r="AV56" s="11">
        <f>IF(ISNUMBER(tblData[Days'# UK]),betaUK/(deltaUK+betaPodeltaUK*EXP(-betaUK*tblData[Days'# UK])),"")</f>
        <v>183.51910703653868</v>
      </c>
      <c r="AW56" s="21">
        <f>IF(ISNUMBER(tblData[UK]),(tblData[[#This Row],[UK LogiP(t)]]-tblData[[#This Row],[UK]])^2,"")</f>
        <v>551.35233436152714</v>
      </c>
      <c r="AX56" s="21">
        <f>IF(ISNUMBER(tblData[Days'# UK]),tblData[[#This Row],[UK LogiP(t)]]/$AV$9,"")</f>
        <v>27.621780107847485</v>
      </c>
      <c r="AY56" s="11">
        <f>IF(ISNUMBER(tblData[Days'# China]),betaChina/(deltaChina+betaPodeltaChina*EXP(-betaChina*tblData[Days'# China])),"")</f>
        <v>80773.540942317195</v>
      </c>
      <c r="AZ56" s="11">
        <f>IF(ISNUMBER(tblData[China]),(tblData[[#This Row],[China LogiP(t)]]-tblData[[#This Row],[China]])^2,"")</f>
        <v>12.538272493702323</v>
      </c>
      <c r="BA56" s="11">
        <f>tblData[[#This Row],[China LogiP(t)]]/$AY$9</f>
        <v>561.19090290298379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Y56"/>
      <c r="CA56"/>
      <c r="CK56" s="26"/>
      <c r="CL56" s="26"/>
      <c r="DF56" t="s">
        <v>225</v>
      </c>
      <c r="DG56" s="82">
        <v>43911.866319444445</v>
      </c>
      <c r="DH56" s="27">
        <v>43852</v>
      </c>
      <c r="DI56" s="27">
        <v>43852</v>
      </c>
      <c r="DJ56">
        <v>4</v>
      </c>
      <c r="DK56">
        <v>0.2221429979133962</v>
      </c>
      <c r="DL56">
        <v>2.744154619604968E-6</v>
      </c>
      <c r="DM56">
        <v>1537.6493038446686</v>
      </c>
      <c r="DN56">
        <v>80951.341563025548</v>
      </c>
      <c r="DO56" s="19">
        <v>2094.0856057837377</v>
      </c>
      <c r="DP56" s="12">
        <v>1.4172506691092213E-4</v>
      </c>
      <c r="DQ56">
        <v>2.744154619604968E-3</v>
      </c>
      <c r="DS56" s="27">
        <v>43910</v>
      </c>
      <c r="DT56" t="s">
        <v>1384</v>
      </c>
      <c r="DV56">
        <v>81250</v>
      </c>
      <c r="DW56" t="s">
        <v>970</v>
      </c>
      <c r="DX56" s="27">
        <v>43910</v>
      </c>
      <c r="DY56">
        <v>59</v>
      </c>
      <c r="DZ56" t="s">
        <v>1383</v>
      </c>
      <c r="EB56" t="s">
        <v>972</v>
      </c>
      <c r="ED56" t="s">
        <v>1410</v>
      </c>
      <c r="EE56">
        <v>564.50120087504206</v>
      </c>
      <c r="EF56" s="98">
        <v>43886</v>
      </c>
      <c r="EG56">
        <v>25</v>
      </c>
      <c r="EH56" s="98">
        <v>43875</v>
      </c>
      <c r="EI56">
        <v>36</v>
      </c>
    </row>
    <row r="57" spans="2:175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9">
        <f>IF(ISNUMBER(tblData[Italy]),tblData[Italy]/$N$9,"")</f>
        <v>1220.0165425971877</v>
      </c>
      <c r="O57">
        <v>514</v>
      </c>
      <c r="P57" s="49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4"/>
        <v>28</v>
      </c>
      <c r="Y57" s="26">
        <f t="shared" si="2"/>
        <v>46</v>
      </c>
      <c r="Z57" s="26">
        <f>IF(tblData[[#This Row],[Date]]&lt;StartDt2Korea,"",tblData[[#This Row],[Date]]-StartDt2Korea)</f>
        <v>18</v>
      </c>
      <c r="AA57" s="26">
        <f>IF(tblData[[#This Row],[Date]]&lt;UKStart,"",tblData[[#This Row],[Date]]-UKStart)</f>
        <v>38</v>
      </c>
      <c r="AB57">
        <f>IF(tblData[Date]&gt;=StartDt2Au,tblData[Date]-StartDt2Au,"")</f>
        <v>43</v>
      </c>
      <c r="AC57" s="26">
        <f>IF(tblData[New South Wales]&gt;0,SUM(tblData[[#This Row],[Australian Capital Territory]:[Western Australia]]),"")</f>
        <v>76</v>
      </c>
      <c r="AD57" s="12">
        <f>IF(ISNUMBER(tblData[Au]),tblData[Au]/$AA$9,"")</f>
        <v>29.963728118593281</v>
      </c>
      <c r="AE57" s="19">
        <f>IF(ISNUMBER(tblData[[#This Row],[Day'# Aust]]),betaAu/(deltaAu+betaPodeltaAu*EXP(-betaAu*tblData[[#This Row],[Day'# Aust]])),"")</f>
        <v>70.39647403509997</v>
      </c>
      <c r="AF57" s="72">
        <f>IF(ISNUMBER(tblData[Day'# Aust]),tblData[Au LogiP(t)]/$AD$9,"")</f>
        <v>27.754484322307196</v>
      </c>
      <c r="AG57" s="11">
        <f>IF(AND(tblData[Date]&gt;=StartDt2Au,ISNUMBER(tblData[NSW])),(tblData[[#This Row],[Au LogiP(t)]]-tblData[[#This Row],[Au]])^2,"")</f>
        <v>31.399503239308807</v>
      </c>
      <c r="AH57">
        <f>IF(tblData[Date]&gt;StartDt2NSW,tblData[Date]-StartDt2NSW,"")</f>
        <v>43</v>
      </c>
      <c r="AI57">
        <f t="shared" si="3"/>
        <v>38</v>
      </c>
      <c r="AJ57" s="11">
        <f>IF(tblData[Date]&gt;StartDt2NSW,betaNSW/(deltaNSW+betaPodeltaNSW*EXP(-betaNSW*tblData[[#This Row],[Day '# NSW]])),"")</f>
        <v>34.685100145432003</v>
      </c>
      <c r="AK57" s="12">
        <f>IF(AND(ISNUMBER(tblData[NSW]),tblData[Date]&gt;StartDt2NSW),(tblData[[#This Row],[NSW LogiP(t)]]-tblData[[#This Row],[NSW]])^2,"")</f>
        <v>10.988561045814929</v>
      </c>
      <c r="AL57" s="12">
        <f>IF(AND(tblData[Date]&gt;StartDt2NSW,ISNUMBER(tblData[Day'# Aust])),tblData[NSW LogiP(t)]/$AG$9,"")</f>
        <v>42.927104140386142</v>
      </c>
      <c r="AM57" s="11">
        <f>IF(AND(tblData[Date]&gt;StartDt2Italy,ISNUMBER(tblData[Days'# Italy])),betaItaly/(deltaItaly+betaPodeltaItaly*EXP(-betaItaly*tblData[Days'# Italy])),"")</f>
        <v>7431.5539936990263</v>
      </c>
      <c r="AN57" s="11">
        <f>IF(AND(tblData[Date]&gt;StartDt2Italy,ISNUMBER(tblData[Italy])),(tblData[[#This Row],[Italy LogiP(t)]]-tblData[[#This Row],[Italy]])^2,"")</f>
        <v>3198.3542033095009</v>
      </c>
      <c r="AO57" s="44">
        <f>IF(AND(tblData[Date]&gt;StartDt2Italy,ISNUMBER(tblData[Days'# Italy])),tblData[[#This Row],[Italy LogiP(t)]]/$AM$9,"")</f>
        <v>1229.372041968408</v>
      </c>
      <c r="AP57" s="21">
        <f>IF(ISNUMBER(tblData[[#This Row],[Days'# US]]),betaUS/(deltaUS+betaPodeltaUS*EXP(-betaUS*tblData[Days'# US])),"")</f>
        <v>321.18958303944117</v>
      </c>
      <c r="AQ57" s="11">
        <f>IF(ISNUMBER(tblData[US]),(tblData[[#This Row],[US LogiP(t)]]-tblData[US])^2,"")</f>
        <v>37175.856888504553</v>
      </c>
      <c r="AR57" s="21">
        <f>IF(ISNUMBER(tblData[[#This Row],[Days'# US]]),tblData[[#This Row],[US LogiP(t)]]/$AP$9,"")</f>
        <v>9.7558479484727627</v>
      </c>
      <c r="AS57" s="21">
        <f>IF(tblData[Date]&gt;=StartDt2Korea,betaSKorea/(deltaSKorea+betaPodeltaSKorea*EXP(-betaSKorea*(tblData[Date]-StartDt2Korea))),"")</f>
        <v>7351.3402708254462</v>
      </c>
      <c r="AT57" s="21">
        <f>IF(AND(tblData[Date]&gt;=StartDt2Korea,ISNUMBER(tblData[SKorea])),(tblData[[#This Row],[SKorea LogiP(t)]]-tblData[[#This Row],[SKorea]])^2,"")</f>
        <v>1394.2958253176662</v>
      </c>
      <c r="AU57" s="21">
        <f>IF(tblData[Date]&gt;=StartDt2Korea,tblData[[#This Row],[SKorea LogiP(t)]]/$AS$9,"")</f>
        <v>1430.2218425730441</v>
      </c>
      <c r="AV57" s="11">
        <f>IF(ISNUMBER(tblData[Days'# UK]),betaUK/(deltaUK+betaPodeltaUK*EXP(-betaUK*tblData[Days'# UK])),"")</f>
        <v>232.35320372614424</v>
      </c>
      <c r="AW57" s="21">
        <f>IF(ISNUMBER(tblData[UK]),(tblData[[#This Row],[UK LogiP(t)]]-tblData[[#This Row],[UK]])^2,"")</f>
        <v>1734.4556398760458</v>
      </c>
      <c r="AX57" s="21">
        <f>IF(ISNUMBER(tblData[Days'# UK]),tblData[[#This Row],[UK LogiP(t)]]/$AV$9,"")</f>
        <v>34.971884967812194</v>
      </c>
      <c r="AY57" s="11">
        <f>IF(ISNUMBER(tblData[Days'# China]),betaChina/(deltaChina+betaPodeltaChina*EXP(-betaChina*tblData[Days'# China])),"")</f>
        <v>80811.337105121798</v>
      </c>
      <c r="AZ57" s="11">
        <f>IF(ISNUMBER(tblData[China]),(tblData[[#This Row],[China LogiP(t)]]-tblData[[#This Row],[China]])^2,"")</f>
        <v>136.02311693998504</v>
      </c>
      <c r="BA57" s="11">
        <f>tblData[[#This Row],[China LogiP(t)]]/$AY$9</f>
        <v>561.4534995711889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5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Y57"/>
      <c r="CA57"/>
      <c r="CK57" s="26"/>
      <c r="CL57" s="26"/>
      <c r="DF57" t="s">
        <v>225</v>
      </c>
      <c r="DG57" s="82">
        <v>43912.32671296296</v>
      </c>
      <c r="DH57" s="27">
        <v>43852</v>
      </c>
      <c r="DI57" s="27">
        <v>43852</v>
      </c>
      <c r="DJ57">
        <v>4</v>
      </c>
      <c r="DK57">
        <v>0.2221429979133962</v>
      </c>
      <c r="DL57">
        <v>2.7441363716222279E-6</v>
      </c>
      <c r="DM57">
        <v>1537.6493038446686</v>
      </c>
      <c r="DN57">
        <v>80951.879873985206</v>
      </c>
      <c r="DO57">
        <v>2077.0848925572823</v>
      </c>
      <c r="DP57">
        <v>1.4172508515890487E-4</v>
      </c>
      <c r="DQ57">
        <v>2.7441363716222281E-3</v>
      </c>
      <c r="DS57" s="27">
        <v>43911</v>
      </c>
      <c r="DT57" t="s">
        <v>1384</v>
      </c>
      <c r="DV57">
        <v>81304</v>
      </c>
      <c r="DW57" t="s">
        <v>970</v>
      </c>
      <c r="DX57" s="27">
        <v>43911</v>
      </c>
      <c r="DY57">
        <v>60</v>
      </c>
      <c r="DZ57" t="s">
        <v>1383</v>
      </c>
      <c r="EB57" t="s">
        <v>972</v>
      </c>
      <c r="ED57" t="s">
        <v>1429</v>
      </c>
      <c r="EE57">
        <v>564.87637705777752</v>
      </c>
      <c r="EF57" s="98">
        <v>43886</v>
      </c>
      <c r="EG57">
        <v>25</v>
      </c>
      <c r="EH57" s="98">
        <v>43875</v>
      </c>
      <c r="EI57">
        <v>37</v>
      </c>
    </row>
    <row r="58" spans="2:175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9">
        <f>IF(ISNUMBER(tblData[Italy]),tblData[Italy]/$N$9,"")</f>
        <v>1517.2870140612076</v>
      </c>
      <c r="O58">
        <v>579</v>
      </c>
      <c r="P58" s="49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4"/>
        <v>29</v>
      </c>
      <c r="Y58" s="26">
        <f t="shared" si="2"/>
        <v>47</v>
      </c>
      <c r="Z58" s="26">
        <f>IF(tblData[[#This Row],[Date]]&lt;StartDt2Korea,"",tblData[[#This Row],[Date]]-StartDt2Korea)</f>
        <v>19</v>
      </c>
      <c r="AA58" s="26">
        <f>IF(tblData[[#This Row],[Date]]&lt;UKStart,"",tblData[[#This Row],[Date]]-UKStart)</f>
        <v>39</v>
      </c>
      <c r="AB58">
        <f>IF(tblData[Date]&gt;=StartDt2Au,tblData[Date]-StartDt2Au,"")</f>
        <v>44</v>
      </c>
      <c r="AC58" s="26">
        <f>IF(tblData[New South Wales]&gt;0,SUM(tblData[[#This Row],[Australian Capital Territory]:[Western Australia]]),"")</f>
        <v>91</v>
      </c>
      <c r="AD58" s="12">
        <f>IF(ISNUMBER(tblData[Au]),tblData[Au]/$AA$9,"")</f>
        <v>35.87762182621038</v>
      </c>
      <c r="AE58" s="19">
        <f>IF(ISNUMBER(tblData[[#This Row],[Day'# Aust]]),betaAu/(deltaAu+betaPodeltaAu*EXP(-betaAu*tblData[[#This Row],[Day'# Aust]])),"")</f>
        <v>86.875600676297992</v>
      </c>
      <c r="AF58" s="72">
        <f>IF(ISNUMBER(tblData[Day'# Aust]),tblData[Au LogiP(t)]/$AD$9,"")</f>
        <v>34.251537879000942</v>
      </c>
      <c r="AG58" s="11">
        <f>IF(AND(tblData[Date]&gt;=StartDt2Au,ISNUMBER(tblData[NSW])),(tblData[[#This Row],[Au LogiP(t)]]-tblData[[#This Row],[Au]])^2,"")</f>
        <v>17.010669781353581</v>
      </c>
      <c r="AH58">
        <f>IF(tblData[Date]&gt;StartDt2NSW,tblData[Date]-StartDt2NSW,"")</f>
        <v>44</v>
      </c>
      <c r="AI58">
        <f t="shared" si="3"/>
        <v>48</v>
      </c>
      <c r="AJ58" s="11">
        <f>IF(tblData[Date]&gt;StartDt2NSW,betaNSW/(deltaNSW+betaPodeltaNSW*EXP(-betaNSW*tblData[[#This Row],[Day '# NSW]])),"")</f>
        <v>42.554086183233402</v>
      </c>
      <c r="AK58" s="12">
        <f>IF(AND(ISNUMBER(tblData[NSW]),tblData[Date]&gt;StartDt2NSW),(tblData[[#This Row],[NSW LogiP(t)]]-tblData[[#This Row],[NSW]])^2,"")</f>
        <v>29.657977299649339</v>
      </c>
      <c r="AL58" s="12">
        <f>IF(AND(tblData[Date]&gt;StartDt2NSW,ISNUMBER(tblData[Day'# Aust])),tblData[NSW LogiP(t)]/$AG$9,"")</f>
        <v>52.665948246575987</v>
      </c>
      <c r="AM58" s="11">
        <f>IF(AND(tblData[Date]&gt;StartDt2Italy,ISNUMBER(tblData[Days'# Italy])),betaItaly/(deltaItaly+betaPodeltaItaly*EXP(-betaItaly*tblData[Days'# Italy])),"")</f>
        <v>9295.6610659797789</v>
      </c>
      <c r="AN58" s="11">
        <f>IF(AND(tblData[Date]&gt;StartDt2Italy,ISNUMBER(tblData[Italy])),(tblData[[#This Row],[Italy LogiP(t)]]-tblData[[#This Row],[Italy]])^2,"")</f>
        <v>15292.059239255223</v>
      </c>
      <c r="AO58" s="44">
        <f>IF(AND(tblData[Date]&gt;StartDt2Italy,ISNUMBER(tblData[Days'# Italy])),tblData[[#This Row],[Italy LogiP(t)]]/$AM$9,"")</f>
        <v>1537.7437660843307</v>
      </c>
      <c r="AP58" s="21">
        <f>IF(ISNUMBER(tblData[[#This Row],[Days'# US]]),betaUS/(deltaUS+betaPodeltaUS*EXP(-betaUS*tblData[Days'# US])),"")</f>
        <v>450.00778952060477</v>
      </c>
      <c r="AQ58" s="11">
        <f>IF(ISNUMBER(tblData[US]),(tblData[[#This Row],[US LogiP(t)]]-tblData[US])^2,"")</f>
        <v>16638.990364360601</v>
      </c>
      <c r="AR58" s="21">
        <f>IF(ISNUMBER(tblData[[#This Row],[Days'# US]]),tblData[[#This Row],[US LogiP(t)]]/$AP$9,"")</f>
        <v>13.668586411322842</v>
      </c>
      <c r="AS58" s="21">
        <f>IF(tblData[Date]&gt;=StartDt2Korea,betaSKorea/(deltaSKorea+betaPodeltaSKorea*EXP(-betaSKorea*(tblData[Date]-StartDt2Korea))),"")</f>
        <v>7616.3564565145143</v>
      </c>
      <c r="AT58" s="21">
        <f>IF(AND(tblData[Date]&gt;=StartDt2Korea,ISNUMBER(tblData[SKorea])),(tblData[[#This Row],[SKorea LogiP(t)]]-tblData[[#This Row],[SKorea]])^2,"")</f>
        <v>19142.509059252694</v>
      </c>
      <c r="AU58" s="21">
        <f>IF(tblData[Date]&gt;=StartDt2Korea,tblData[[#This Row],[SKorea LogiP(t)]]/$AS$9,"")</f>
        <v>1481.7814117732519</v>
      </c>
      <c r="AV58" s="11">
        <f>IF(ISNUMBER(tblData[Days'# UK]),betaUK/(deltaUK+betaPodeltaUK*EXP(-betaUK*tblData[Days'# UK])),"")</f>
        <v>294.18194748300306</v>
      </c>
      <c r="AW58" s="21">
        <f>IF(ISNUMBER(tblData[UK]),(tblData[[#This Row],[UK LogiP(t)]]-tblData[[#This Row],[UK]])^2,"")</f>
        <v>773.84404583839989</v>
      </c>
      <c r="AX58" s="21">
        <f>IF(ISNUMBER(tblData[Days'# UK]),tblData[[#This Row],[UK LogiP(t)]]/$AV$9,"")</f>
        <v>44.277836767459824</v>
      </c>
      <c r="AY58" s="11">
        <f>IF(ISNUMBER(tblData[Days'# China]),betaChina/(deltaChina+betaPodeltaChina*EXP(-betaChina*tblData[Days'# China])),"")</f>
        <v>80841.629818211673</v>
      </c>
      <c r="AZ58" s="11">
        <f>IF(ISNUMBER(tblData[China]),(tblData[[#This Row],[China LogiP(t)]]-tblData[[#This Row],[China]])^2,"")</f>
        <v>337.4635789361659</v>
      </c>
      <c r="BA58" s="11">
        <f>tblData[[#This Row],[China LogiP(t)]]/$AY$9</f>
        <v>561.66396446862893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5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Y58"/>
      <c r="CA58"/>
      <c r="CK58" s="26"/>
      <c r="CL58" s="26"/>
      <c r="DF58" t="s">
        <v>225</v>
      </c>
      <c r="DG58" s="82">
        <v>43912.588449074072</v>
      </c>
      <c r="DH58" s="27">
        <v>43852</v>
      </c>
      <c r="DI58" s="27">
        <v>43852</v>
      </c>
      <c r="DJ58">
        <v>4</v>
      </c>
      <c r="DK58">
        <v>0.2221429979133962</v>
      </c>
      <c r="DL58">
        <v>2.744135355706393E-6</v>
      </c>
      <c r="DM58">
        <v>1537.6493038446686</v>
      </c>
      <c r="DN58">
        <v>80951.909843460453</v>
      </c>
      <c r="DO58">
        <v>2077.087790047718</v>
      </c>
      <c r="DP58">
        <v>1.4172508617482069E-4</v>
      </c>
      <c r="DQ58">
        <v>2.7441353557063931E-3</v>
      </c>
      <c r="DS58" s="27">
        <v>43911</v>
      </c>
      <c r="DT58" t="s">
        <v>1384</v>
      </c>
      <c r="DV58">
        <v>81305</v>
      </c>
      <c r="DW58" t="s">
        <v>970</v>
      </c>
      <c r="DX58" s="27">
        <v>43911</v>
      </c>
      <c r="DY58">
        <v>60</v>
      </c>
      <c r="DZ58" t="s">
        <v>1383</v>
      </c>
      <c r="EB58" t="s">
        <v>972</v>
      </c>
      <c r="ED58" t="s">
        <v>1429</v>
      </c>
      <c r="EE58">
        <v>564.88332476486516</v>
      </c>
      <c r="EF58" s="98">
        <v>43912</v>
      </c>
      <c r="EG58">
        <v>0</v>
      </c>
      <c r="EH58" s="98">
        <v>43878</v>
      </c>
      <c r="EI58">
        <v>34</v>
      </c>
    </row>
    <row r="59" spans="2:175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9">
        <f>IF(ISNUMBER(tblData[Italy]),tblData[Italy]/$N$9,"")</f>
        <v>1678.9081885856081</v>
      </c>
      <c r="O59">
        <v>959</v>
      </c>
      <c r="P59" s="49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4"/>
        <v>30</v>
      </c>
      <c r="Y59" s="26">
        <f t="shared" si="2"/>
        <v>48</v>
      </c>
      <c r="Z59" s="26">
        <f>IF(tblData[[#This Row],[Date]]&lt;StartDt2Korea,"",tblData[[#This Row],[Date]]-StartDt2Korea)</f>
        <v>20</v>
      </c>
      <c r="AA59" s="26">
        <f>IF(tblData[[#This Row],[Date]]&lt;UKStart,"",tblData[[#This Row],[Date]]-UKStart)</f>
        <v>40</v>
      </c>
      <c r="AB59">
        <f>IF(tblData[Date]&gt;=StartDt2Au,tblData[Date]-StartDt2Au,"")</f>
        <v>45</v>
      </c>
      <c r="AC59" s="26">
        <f>IF(tblData[New South Wales]&gt;0,SUM(tblData[[#This Row],[Australian Capital Territory]:[Western Australia]]),"")</f>
        <v>107</v>
      </c>
      <c r="AD59" s="12">
        <f>IF(ISNUMBER(tblData[Au]),tblData[Au]/$AA$9,"")</f>
        <v>42.185775114335279</v>
      </c>
      <c r="AE59" s="19">
        <f>IF(ISNUMBER(tblData[[#This Row],[Day'# Aust]]),betaAu/(deltaAu+betaPodeltaAu*EXP(-betaAu*tblData[[#This Row],[Day'# Aust]])),"")</f>
        <v>107.21232962978094</v>
      </c>
      <c r="AF59" s="72">
        <f>IF(ISNUMBER(tblData[Day'# Aust]),tblData[Au LogiP(t)]/$AD$9,"")</f>
        <v>42.269488105102091</v>
      </c>
      <c r="AG59" s="11">
        <f>IF(AND(tblData[Date]&gt;=StartDt2Au,ISNUMBER(tblData[NSW])),(tblData[[#This Row],[Au LogiP(t)]]-tblData[[#This Row],[Au]])^2,"")</f>
        <v>4.5083871682910594E-2</v>
      </c>
      <c r="AH59">
        <f>IF(tblData[Date]&gt;StartDt2NSW,tblData[Date]-StartDt2NSW,"")</f>
        <v>45</v>
      </c>
      <c r="AI59">
        <f t="shared" si="3"/>
        <v>55</v>
      </c>
      <c r="AJ59" s="11">
        <f>IF(tblData[Date]&gt;StartDt2NSW,betaNSW/(deltaNSW+betaPodeltaNSW*EXP(-betaNSW*tblData[[#This Row],[Day '# NSW]])),"")</f>
        <v>52.179431153107636</v>
      </c>
      <c r="AK59" s="12">
        <f>IF(AND(ISNUMBER(tblData[NSW]),tblData[Date]&gt;StartDt2NSW),(tblData[[#This Row],[NSW LogiP(t)]]-tblData[[#This Row],[NSW]])^2,"")</f>
        <v>7.9556086200597198</v>
      </c>
      <c r="AL59" s="12">
        <f>IF(AND(tblData[Date]&gt;StartDt2NSW,ISNUMBER(tblData[Day'# Aust])),tblData[NSW LogiP(t)]/$AG$9,"")</f>
        <v>64.578503902360936</v>
      </c>
      <c r="AM59" s="11">
        <f>IF(AND(tblData[Date]&gt;StartDt2Italy,ISNUMBER(tblData[Days'# Italy])),betaItaly/(deltaItaly+betaPodeltaItaly*EXP(-betaItaly*tblData[Days'# Italy])),"")</f>
        <v>11526.055342167278</v>
      </c>
      <c r="AN59" s="11">
        <f>IF(AND(tblData[Date]&gt;StartDt2Italy,ISNUMBER(tblData[Italy])),(tblData[[#This Row],[Italy LogiP(t)]]-tblData[[#This Row],[Italy]])^2,"")</f>
        <v>1896281.4153914379</v>
      </c>
      <c r="AO59" s="44">
        <f>IF(AND(tblData[Date]&gt;StartDt2Italy,ISNUMBER(tblData[Days'# Italy])),tblData[[#This Row],[Italy LogiP(t)]]/$AM$9,"")</f>
        <v>1906.7089068928499</v>
      </c>
      <c r="AP59" s="21">
        <f>IF(ISNUMBER(tblData[[#This Row],[Days'# US]]),betaUS/(deltaUS+betaPodeltaUS*EXP(-betaUS*tblData[Days'# US])),"")</f>
        <v>630.49058319528308</v>
      </c>
      <c r="AQ59" s="11">
        <f>IF(ISNUMBER(tblData[US]),(tblData[[#This Row],[US LogiP(t)]]-tblData[US])^2,"")</f>
        <v>107918.43692937522</v>
      </c>
      <c r="AR59" s="21">
        <f>IF(ISNUMBER(tblData[[#This Row],[Days'# US]]),tblData[[#This Row],[US LogiP(t)]]/$AP$9,"")</f>
        <v>19.150590764463793</v>
      </c>
      <c r="AS59" s="21">
        <f>IF(tblData[Date]&gt;=StartDt2Korea,betaSKorea/(deltaSKorea+betaPodeltaSKorea*EXP(-betaSKorea*(tblData[Date]-StartDt2Korea))),"")</f>
        <v>7822.083573984688</v>
      </c>
      <c r="AT59" s="21">
        <f>IF(AND(tblData[Date]&gt;=StartDt2Korea,ISNUMBER(tblData[SKorea])),(tblData[[#This Row],[SKorea LogiP(t)]]-tblData[[#This Row],[SKorea]])^2,"")</f>
        <v>95532.655707148078</v>
      </c>
      <c r="AU59" s="21">
        <f>IF(tblData[Date]&gt;=StartDt2Korea,tblData[[#This Row],[SKorea LogiP(t)]]/$AS$9,"")</f>
        <v>1521.8061427985774</v>
      </c>
      <c r="AV59" s="11">
        <f>IF(ISNUMBER(tblData[Days'# UK]),betaUK/(deltaUK+betaPodeltaUK*EXP(-betaUK*tblData[Days'# UK])),"")</f>
        <v>372.46317589876213</v>
      </c>
      <c r="AW59" s="21">
        <f>IF(ISNUMBER(tblData[UK]),(tblData[[#This Row],[UK LogiP(t)]]-tblData[[#This Row],[UK]])^2,"")</f>
        <v>133.09831034290295</v>
      </c>
      <c r="AX59" s="21">
        <f>IF(ISNUMBER(tblData[Days'# UK]),tblData[[#This Row],[UK LogiP(t)]]/$AV$9,"")</f>
        <v>56.060080659055103</v>
      </c>
      <c r="AY59" s="11">
        <f>IF(ISNUMBER(tblData[Days'# China]),betaChina/(deltaChina+betaPodeltaChina*EXP(-betaChina*tblData[Days'# China])),"")</f>
        <v>80865.90462880519</v>
      </c>
      <c r="AZ59" s="11">
        <f>IF(ISNUMBER(tblData[China]),(tblData[[#This Row],[China LogiP(t)]]-tblData[[#This Row],[China]])^2,"")</f>
        <v>445.01468584680089</v>
      </c>
      <c r="BA59" s="11">
        <f>tblData[[#This Row],[China LogiP(t)]]/$AY$9</f>
        <v>561.83261874224183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5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Y59"/>
      <c r="CA59"/>
      <c r="CK59" s="26"/>
      <c r="CL59" s="26"/>
      <c r="DF59" t="s">
        <v>225</v>
      </c>
      <c r="DG59" s="82">
        <v>43912.787581018521</v>
      </c>
      <c r="DH59" s="27">
        <v>43852</v>
      </c>
      <c r="DI59" s="27">
        <v>43852</v>
      </c>
      <c r="DJ59">
        <v>4</v>
      </c>
      <c r="DK59">
        <v>0.2221429979133962</v>
      </c>
      <c r="DL59">
        <v>2.7437387950754286E-6</v>
      </c>
      <c r="DM59">
        <v>1537.6493038446686</v>
      </c>
      <c r="DN59">
        <v>80963.610060880164</v>
      </c>
      <c r="DO59">
        <v>2060.619161619702</v>
      </c>
      <c r="DP59">
        <v>1.4172548273545167E-4</v>
      </c>
      <c r="DQ59">
        <v>2.7437387950754286E-3</v>
      </c>
      <c r="DS59" s="27">
        <v>43911</v>
      </c>
      <c r="DT59" t="s">
        <v>1384</v>
      </c>
      <c r="DU59" s="26">
        <v>80963.609812570081</v>
      </c>
      <c r="DV59">
        <v>81348</v>
      </c>
      <c r="DW59" t="s">
        <v>1590</v>
      </c>
      <c r="DX59" s="27">
        <v>43912</v>
      </c>
      <c r="DY59">
        <v>61</v>
      </c>
      <c r="DZ59" t="s">
        <v>1591</v>
      </c>
      <c r="EB59" t="s">
        <v>1592</v>
      </c>
      <c r="ED59" t="s">
        <v>1593</v>
      </c>
      <c r="EE59">
        <v>565.18207616963593</v>
      </c>
      <c r="EF59" s="98">
        <v>43912</v>
      </c>
      <c r="EG59">
        <v>0</v>
      </c>
      <c r="EH59" s="98">
        <v>43883</v>
      </c>
      <c r="EI59">
        <v>29</v>
      </c>
    </row>
    <row r="60" spans="2:175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9">
        <f>IF(ISNUMBER(tblData[Italy]),tblData[Italy]/$N$9,"")</f>
        <v>2061.5384615384614</v>
      </c>
      <c r="O60">
        <v>1281</v>
      </c>
      <c r="P60" s="49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4"/>
        <v>31</v>
      </c>
      <c r="Y60" s="26">
        <f t="shared" si="2"/>
        <v>49</v>
      </c>
      <c r="Z60" s="26">
        <f>IF(tblData[[#This Row],[Date]]&lt;StartDt2Korea,"",tblData[[#This Row],[Date]]-StartDt2Korea)</f>
        <v>21</v>
      </c>
      <c r="AA60" s="26">
        <f>IF(tblData[[#This Row],[Date]]&lt;UKStart,"",tblData[[#This Row],[Date]]-UKStart)</f>
        <v>41</v>
      </c>
      <c r="AB60">
        <f>IF(tblData[Date]&gt;=StartDt2Au,tblData[Date]-StartDt2Au,"")</f>
        <v>46</v>
      </c>
      <c r="AC60" s="26">
        <f>IF(tblData[New South Wales]&gt;0,SUM(tblData[[#This Row],[Australian Capital Territory]:[Western Australia]]),"")</f>
        <v>128</v>
      </c>
      <c r="AD60" s="12">
        <f>IF(ISNUMBER(tblData[Au]),tblData[Au]/$AA$9,"")</f>
        <v>50.465226304999213</v>
      </c>
      <c r="AE60" s="19">
        <f>IF(ISNUMBER(tblData[[#This Row],[Day'# Aust]]),betaAu/(deltaAu+betaPodeltaAu*EXP(-betaAu*tblData[[#This Row],[Day'# Aust]])),"")</f>
        <v>132.30968775062041</v>
      </c>
      <c r="AF60" s="72">
        <f>IF(ISNUMBER(tblData[Day'# Aust]),tblData[Au LogiP(t)]/$AD$9,"")</f>
        <v>52.164361989678447</v>
      </c>
      <c r="AG60" s="11">
        <f>IF(AND(tblData[Date]&gt;=StartDt2Au,ISNUMBER(tblData[NSW])),(tblData[[#This Row],[Au LogiP(t)]]-tblData[[#This Row],[Au]])^2,"")</f>
        <v>18.573408507847628</v>
      </c>
      <c r="AH60">
        <f>IF(tblData[Date]&gt;StartDt2NSW,tblData[Date]-StartDt2NSW,"")</f>
        <v>46</v>
      </c>
      <c r="AI60" s="26">
        <f t="shared" si="3"/>
        <v>65</v>
      </c>
      <c r="AJ60" s="11">
        <f>IF(tblData[Date]&gt;StartDt2NSW,betaNSW/(deltaNSW+betaPodeltaNSW*EXP(-betaNSW*tblData[[#This Row],[Day '# NSW]])),"")</f>
        <v>63.938688663878295</v>
      </c>
      <c r="AK60" s="12">
        <f>IF(AND(ISNUMBER(tblData[NSW]),tblData[Date]&gt;StartDt2NSW),(tblData[[#This Row],[NSW LogiP(t)]]-tblData[[#This Row],[NSW]])^2,"")</f>
        <v>1.1263817521804378</v>
      </c>
      <c r="AL60" s="12">
        <f>IF(AND(tblData[Date]&gt;StartDt2NSW,ISNUMBER(tblData[Day'# Aust])),tblData[NSW LogiP(t)]/$AG$9,"")</f>
        <v>79.132040425591939</v>
      </c>
      <c r="AM60" s="11">
        <f>IF(AND(tblData[Date]&gt;StartDt2Italy,ISNUMBER(tblData[Days'# Italy])),betaItaly/(deltaItaly+betaPodeltaItaly*EXP(-betaItaly*tblData[Days'# Italy])),"")</f>
        <v>14144.169199044063</v>
      </c>
      <c r="AN60" s="11">
        <f>IF(AND(tblData[Date]&gt;StartDt2Italy,ISNUMBER(tblData[Italy])),(tblData[[#This Row],[Italy LogiP(t)]]-tblData[[#This Row],[Italy]])^2,"")</f>
        <v>2829693.2142125447</v>
      </c>
      <c r="AO60" s="44">
        <f>IF(AND(tblData[Date]&gt;StartDt2Italy,ISNUMBER(tblData[Days'# Italy])),tblData[[#This Row],[Italy LogiP(t)]]/$AM$9,"")</f>
        <v>2339.812936152864</v>
      </c>
      <c r="AP60" s="21">
        <f>IF(ISNUMBER(tblData[[#This Row],[Days'# US]]),betaUS/(deltaUS+betaPodeltaUS*EXP(-betaUS*tblData[Days'# US])),"")</f>
        <v>883.35885782969785</v>
      </c>
      <c r="AQ60" s="11">
        <f>IF(ISNUMBER(tblData[US]),(tblData[[#This Row],[US LogiP(t)]]-tblData[US])^2,"")</f>
        <v>158118.47794650245</v>
      </c>
      <c r="AR60" s="21">
        <f>IF(ISNUMBER(tblData[[#This Row],[Days'# US]]),tblData[[#This Row],[US LogiP(t)]]/$AP$9,"")</f>
        <v>26.831239728795456</v>
      </c>
      <c r="AS60" s="21">
        <f>IF(tblData[Date]&gt;=StartDt2Korea,betaSKorea/(deltaSKorea+betaPodeltaSKorea*EXP(-betaSKorea*(tblData[Date]-StartDt2Korea))),"")</f>
        <v>7979.327465657514</v>
      </c>
      <c r="AT60" s="21">
        <f>IF(AND(tblData[Date]&gt;=StartDt2Korea,ISNUMBER(tblData[SKorea])),(tblData[[#This Row],[SKorea LogiP(t)]]-tblData[[#This Row],[SKorea]])^2,"")</f>
        <v>50322.811848323137</v>
      </c>
      <c r="AU60" s="21">
        <f>IF(tblData[Date]&gt;=StartDt2Korea,tblData[[#This Row],[SKorea LogiP(t)]]/$AS$9,"")</f>
        <v>1552.3983396220844</v>
      </c>
      <c r="AV60" s="11">
        <f>IF(ISNUMBER(tblData[Days'# UK]),betaUK/(deltaUK+betaPodeltaUK*EXP(-betaUK*tblData[Days'# UK])),"")</f>
        <v>471.57484114697382</v>
      </c>
      <c r="AW60" s="21">
        <f>IF(ISNUMBER(tblData[UK]),(tblData[[#This Row],[UK LogiP(t)]]-tblData[[#This Row],[UK]])^2,"")</f>
        <v>158.12662987162597</v>
      </c>
      <c r="AX60" s="21">
        <f>IF(ISNUMBER(tblData[Days'# UK]),tblData[[#This Row],[UK LogiP(t)]]/$AV$9,"")</f>
        <v>70.977549841507198</v>
      </c>
      <c r="AY60" s="11">
        <f>IF(ISNUMBER(tblData[Days'# China]),betaChina/(deltaChina+betaPodeltaChina*EXP(-betaChina*tblData[Days'# China])),"")</f>
        <v>80885.354431679691</v>
      </c>
      <c r="AZ60" s="11">
        <f>IF(ISNUMBER(tblData[China]),(tblData[[#This Row],[China LogiP(t)]]-tblData[[#This Row],[China]])^2,"")</f>
        <v>1270.6065408778447</v>
      </c>
      <c r="BA60" s="11">
        <f>tblData[[#This Row],[China LogiP(t)]]/$AY$9</f>
        <v>561.96775027552724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5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Y60"/>
      <c r="CA60"/>
      <c r="CK60" s="26"/>
      <c r="CL60" s="26"/>
      <c r="DF60" t="s">
        <v>1276</v>
      </c>
      <c r="DG60" s="82">
        <v>43911.866331018522</v>
      </c>
      <c r="DH60" s="27">
        <v>43852</v>
      </c>
      <c r="DI60" s="27">
        <v>43880</v>
      </c>
      <c r="DJ60">
        <v>5</v>
      </c>
      <c r="DK60">
        <v>0.32566109072274135</v>
      </c>
      <c r="DL60">
        <v>3.9144727914542807E-5</v>
      </c>
      <c r="DM60">
        <v>174.6164952155498</v>
      </c>
      <c r="DN60">
        <v>8319.4112738168697</v>
      </c>
      <c r="DO60" s="19">
        <v>139.72665717739883</v>
      </c>
      <c r="DP60" s="12">
        <v>1.8258628724312283E-3</v>
      </c>
      <c r="DQ60">
        <v>3.9144727914542807E-2</v>
      </c>
      <c r="DS60" s="27">
        <v>43910</v>
      </c>
      <c r="DT60" t="s">
        <v>1385</v>
      </c>
      <c r="DV60">
        <v>8652</v>
      </c>
      <c r="DW60" t="s">
        <v>1386</v>
      </c>
      <c r="DX60" s="27">
        <v>43910</v>
      </c>
      <c r="DY60">
        <v>59</v>
      </c>
      <c r="DZ60" t="s">
        <v>1387</v>
      </c>
      <c r="EB60" t="s">
        <v>1388</v>
      </c>
      <c r="EC60" t="s">
        <v>1285</v>
      </c>
      <c r="ED60" t="s">
        <v>1411</v>
      </c>
      <c r="EE60">
        <v>1683.2684824902724</v>
      </c>
      <c r="EF60" s="98">
        <v>43890</v>
      </c>
      <c r="EG60">
        <v>21</v>
      </c>
      <c r="EH60" s="98">
        <v>43889</v>
      </c>
      <c r="EI60">
        <v>22</v>
      </c>
    </row>
    <row r="61" spans="2:175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9">
        <f>IF(ISNUMBER(tblData[Italy]),tblData[Italy]/$N$9,"")</f>
        <v>2500.082712985939</v>
      </c>
      <c r="O61">
        <v>1663</v>
      </c>
      <c r="P61" s="49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6">IF($B61&lt;BM$14+18,"",$B61-BM$14-18)</f>
        <v>32</v>
      </c>
      <c r="Y61" s="26">
        <f t="shared" si="2"/>
        <v>50</v>
      </c>
      <c r="Z61" s="26">
        <f>IF(tblData[[#This Row],[Date]]&lt;StartDt2Korea,"",tblData[[#This Row],[Date]]-StartDt2Korea)</f>
        <v>22</v>
      </c>
      <c r="AA61" s="26">
        <f>IF(tblData[[#This Row],[Date]]&lt;UKStart,"",tblData[[#This Row],[Date]]-UKStart)</f>
        <v>42</v>
      </c>
      <c r="AB61">
        <f>IF(tblData[Date]&gt;=StartDt2Au,tblData[Date]-StartDt2Au,"")</f>
        <v>47</v>
      </c>
      <c r="AC61" s="26">
        <f>IF(tblData[New South Wales]&gt;0,SUM(tblData[[#This Row],[Australian Capital Territory]:[Western Australia]]),"")</f>
        <v>145</v>
      </c>
      <c r="AD61" s="12">
        <f>IF(ISNUMBER(tblData[Au]),tblData[Au]/$AA$9,"")</f>
        <v>57.167639173631919</v>
      </c>
      <c r="AE61" s="19">
        <f>IF(ISNUMBER(tblData[[#This Row],[Day'# Aust]]),betaAu/(deltaAu+betaPodeltaAu*EXP(-betaAu*tblData[[#This Row],[Day'# Aust]])),"")</f>
        <v>163.28209156744848</v>
      </c>
      <c r="AF61" s="72">
        <f>IF(ISNUMBER(tblData[Day'# Aust]),tblData[Au LogiP(t)]/$AD$9,"")</f>
        <v>64.375528925819452</v>
      </c>
      <c r="AG61" s="11">
        <f>IF(AND(tblData[Date]&gt;=StartDt2Au,ISNUMBER(tblData[NSW])),(tblData[[#This Row],[Au LogiP(t)]]-tblData[[#This Row],[Au]])^2,"")</f>
        <v>334.23487208057065</v>
      </c>
      <c r="AH61">
        <f>IF(tblData[Date]&gt;StartDt2NSW,tblData[Date]-StartDt2NSW,"")</f>
        <v>47</v>
      </c>
      <c r="AI61" s="26">
        <f t="shared" si="3"/>
        <v>75</v>
      </c>
      <c r="AJ61" s="11">
        <f>IF(tblData[Date]&gt;StartDt2NSW,betaNSW/(deltaNSW+betaPodeltaNSW*EXP(-betaNSW*tblData[[#This Row],[Day '# NSW]])),"")</f>
        <v>78.283382545733147</v>
      </c>
      <c r="AK61" s="12">
        <f>IF(AND(ISNUMBER(tblData[NSW]),tblData[Date]&gt;StartDt2NSW),(tblData[[#This Row],[NSW LogiP(t)]]-tblData[[#This Row],[NSW]])^2,"")</f>
        <v>10.780600941625082</v>
      </c>
      <c r="AL61" s="12">
        <f>IF(AND(tblData[Date]&gt;StartDt2NSW,ISNUMBER(tblData[Day'# Aust])),tblData[NSW LogiP(t)]/$AG$9,"")</f>
        <v>96.885374437788542</v>
      </c>
      <c r="AM61" s="11">
        <f>IF(AND(tblData[Date]&gt;StartDt2Italy,ISNUMBER(tblData[Days'# Italy])),betaItaly/(deltaItaly+betaPodeltaItaly*EXP(-betaItaly*tblData[Days'# Italy])),"")</f>
        <v>17149.304794154177</v>
      </c>
      <c r="AN61" s="11">
        <f>IF(AND(tblData[Date]&gt;StartDt2Italy,ISNUMBER(tblData[Italy])),(tblData[[#This Row],[Italy LogiP(t)]]-tblData[[#This Row],[Italy]])^2,"")</f>
        <v>4146537.214695286</v>
      </c>
      <c r="AO61" s="44">
        <f>IF(AND(tblData[Date]&gt;StartDt2Italy,ISNUMBER(tblData[Days'# Italy])),tblData[[#This Row],[Italy LogiP(t)]]/$AM$9,"")</f>
        <v>2836.940412597879</v>
      </c>
      <c r="AP61" s="21">
        <f>IF(ISNUMBER(tblData[[#This Row],[Days'# US]]),betaUS/(deltaUS+betaPodeltaUS*EXP(-betaUS*tblData[Days'# US])),"")</f>
        <v>1237.6439379709111</v>
      </c>
      <c r="AQ61" s="11">
        <f>IF(ISNUMBER(tblData[US]),(tblData[[#This Row],[US LogiP(t)]]-tblData[US])^2,"")</f>
        <v>180927.7795048941</v>
      </c>
      <c r="AR61" s="21">
        <f>IF(ISNUMBER(tblData[[#This Row],[Days'# US]]),tblData[[#This Row],[US LogiP(t)]]/$AP$9,"")</f>
        <v>37.592333969656103</v>
      </c>
      <c r="AS61" s="21">
        <f>IF(tblData[Date]&gt;=StartDt2Korea,betaSKorea/(deltaSKorea+betaPodeltaSKorea*EXP(-betaSKorea*(tblData[Date]-StartDt2Korea))),"")</f>
        <v>8098.0949096188542</v>
      </c>
      <c r="AT61" s="21">
        <f>IF(AND(tblData[Date]&gt;=StartDt2Korea,ISNUMBER(tblData[SKorea])),(tblData[[#This Row],[SKorea LogiP(t)]]-tblData[[#This Row],[SKorea]])^2,"")</f>
        <v>52484.477613270981</v>
      </c>
      <c r="AU61" s="21">
        <f>IF(tblData[Date]&gt;=StartDt2Korea,tblData[[#This Row],[SKorea LogiP(t)]]/$AS$9,"")</f>
        <v>1575.5048462293491</v>
      </c>
      <c r="AV61" s="11">
        <f>IF(ISNUMBER(tblData[Days'# UK]),betaUK/(deltaUK+betaPodeltaUK*EXP(-betaUK*tblData[Days'# UK])),"")</f>
        <v>597.05984466294194</v>
      </c>
      <c r="AW61" s="21">
        <f>IF(ISNUMBER(tblData[UK]),(tblData[[#This Row],[UK LogiP(t)]]-tblData[[#This Row],[UK]])^2,"")</f>
        <v>19060.52070835566</v>
      </c>
      <c r="AX61" s="21">
        <f>IF(ISNUMBER(tblData[Days'# UK]),tblData[[#This Row],[UK LogiP(t)]]/$AV$9,"")</f>
        <v>89.864516054024975</v>
      </c>
      <c r="AY61" s="11">
        <f>IF(ISNUMBER(tblData[Days'# China]),betaChina/(deltaChina+betaPodeltaChina*EXP(-betaChina*tblData[Days'# China])),"")</f>
        <v>80900.9365976603</v>
      </c>
      <c r="AZ61" s="11">
        <f>IF(ISNUMBER(tblData[China]),(tblData[[#This Row],[China LogiP(t)]]-tblData[[#This Row],[China]])^2,"")</f>
        <v>964.93496491805945</v>
      </c>
      <c r="BA61" s="11">
        <f>tblData[[#This Row],[China LogiP(t)]]/$AY$9</f>
        <v>562.07601060055231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5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Y61"/>
      <c r="CA61"/>
      <c r="CK61" s="26"/>
      <c r="CL61" s="26"/>
      <c r="DF61" t="s">
        <v>1276</v>
      </c>
      <c r="DH61" s="27">
        <v>43852</v>
      </c>
      <c r="DJ61">
        <v>5</v>
      </c>
      <c r="DK61">
        <v>0.33457917057724718</v>
      </c>
      <c r="DL61">
        <v>4.0721909397092568E-5</v>
      </c>
      <c r="DM61">
        <v>161.50151869158597</v>
      </c>
      <c r="DN61">
        <v>8216.19554512184</v>
      </c>
      <c r="DO61" s="19">
        <v>148.73667220847148</v>
      </c>
      <c r="DP61" s="12">
        <v>2.0309562598725215E-3</v>
      </c>
      <c r="DQ61">
        <v>4.0721909397092568E-2</v>
      </c>
      <c r="DS61" s="27">
        <v>43910</v>
      </c>
      <c r="DT61" t="s">
        <v>1309</v>
      </c>
      <c r="DV61">
        <v>8652</v>
      </c>
      <c r="DW61" t="s">
        <v>1310</v>
      </c>
      <c r="DX61" s="27">
        <v>43910</v>
      </c>
      <c r="DY61">
        <v>59</v>
      </c>
      <c r="DZ61" t="s">
        <v>1311</v>
      </c>
      <c r="EB61" t="s">
        <v>1312</v>
      </c>
      <c r="EC61" t="s">
        <v>1285</v>
      </c>
      <c r="ED61" t="s">
        <v>1313</v>
      </c>
      <c r="EE61">
        <v>1683.2684824902724</v>
      </c>
      <c r="EF61" s="98">
        <v>43890</v>
      </c>
      <c r="EG61">
        <v>20</v>
      </c>
      <c r="EH61" s="98">
        <v>43889</v>
      </c>
      <c r="EI61">
        <v>21</v>
      </c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  <c r="FR61" s="55"/>
      <c r="FS61" s="55"/>
    </row>
    <row r="62" spans="2:175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9">
        <f>IF(ISNUMBER(tblData[Italy]),tblData[Italy]/$N$9,"")</f>
        <v>2921.4226633581475</v>
      </c>
      <c r="O62">
        <v>2179</v>
      </c>
      <c r="P62" s="49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6"/>
        <v>33</v>
      </c>
      <c r="Y62" s="26">
        <f t="shared" si="2"/>
        <v>51</v>
      </c>
      <c r="Z62" s="26">
        <f>IF(tblData[[#This Row],[Date]]&lt;StartDt2Korea,"",tblData[[#This Row],[Date]]-StartDt2Korea)</f>
        <v>23</v>
      </c>
      <c r="AA62" s="26">
        <f>IF(tblData[[#This Row],[Date]]&lt;UKStart,"",tblData[[#This Row],[Date]]-UKStart)</f>
        <v>43</v>
      </c>
      <c r="AB62">
        <f>IF(tblData[Date]&gt;=StartDt2Au,tblData[Date]-StartDt2Au,"")</f>
        <v>48</v>
      </c>
      <c r="AC62" s="26">
        <f>IF(tblData[New South Wales]&gt;0,SUM(tblData[[#This Row],[Australian Capital Territory]:[Western Australia]]),"")</f>
        <v>200</v>
      </c>
      <c r="AD62" s="12">
        <f>IF(ISNUMBER(tblData[Au]),tblData[Au]/$AA$9,"")</f>
        <v>78.851916101561272</v>
      </c>
      <c r="AE62" s="19">
        <f>IF(ISNUMBER(tblData[[#This Row],[Day'# Aust]]),betaAu/(deltaAu+betaPodeltaAu*EXP(-betaAu*tblData[[#This Row],[Day'# Aust]])),"")</f>
        <v>201.50483149041708</v>
      </c>
      <c r="AF62" s="72">
        <f>IF(ISNUMBER(tblData[Day'# Aust]),tblData[Au LogiP(t)]/$AD$9,"")</f>
        <v>79.445210333708047</v>
      </c>
      <c r="AG62" s="11">
        <f>IF(AND(tblData[Date]&gt;=StartDt2Au,ISNUMBER(tblData[NSW])),(tblData[[#This Row],[Au LogiP(t)]]-tblData[[#This Row],[Au]])^2,"")</f>
        <v>2.2645178145508758</v>
      </c>
      <c r="AH62">
        <f>IF(tblData[Date]&gt;StartDt2NSW,tblData[Date]-StartDt2NSW,"")</f>
        <v>48</v>
      </c>
      <c r="AI62" s="28">
        <f t="shared" si="3"/>
        <v>92</v>
      </c>
      <c r="AJ62" s="11">
        <f>IF(tblData[Date]&gt;StartDt2NSW,betaNSW/(deltaNSW+betaPodeltaNSW*EXP(-betaNSW*tblData[[#This Row],[Day '# NSW]])),"")</f>
        <v>95.749934824981167</v>
      </c>
      <c r="AK62" s="12">
        <f>IF(AND(ISNUMBER(tblData[NSW]),tblData[Date]&gt;StartDt2NSW),(tblData[[#This Row],[NSW LogiP(t)]]-tblData[[#This Row],[NSW]])^2,"")</f>
        <v>14.062011191606539</v>
      </c>
      <c r="AL62" s="12">
        <f>IF(AND(tblData[Date]&gt;StartDt2NSW,ISNUMBER(tblData[Day'# Aust])),tblData[NSW LogiP(t)]/$AG$9,"")</f>
        <v>118.50239458537273</v>
      </c>
      <c r="AM62" s="11">
        <f>IF(AND(tblData[Date]&gt;StartDt2Italy,ISNUMBER(tblData[Days'# Italy])),betaItaly/(deltaItaly+betaPodeltaItaly*EXP(-betaItaly*tblData[Days'# Italy])),"")</f>
        <v>20511.230108556945</v>
      </c>
      <c r="AN62" s="11">
        <f>IF(AND(tblData[Date]&gt;StartDt2Italy,ISNUMBER(tblData[Italy])),(tblData[[#This Row],[Italy LogiP(t)]]-tblData[[#This Row],[Italy]])^2,"")</f>
        <v>8129513.1319416491</v>
      </c>
      <c r="AO62" s="44">
        <f>IF(AND(tblData[Date]&gt;StartDt2Italy,ISNUMBER(tblData[Days'# Italy])),tblData[[#This Row],[Italy LogiP(t)]]/$AM$9,"")</f>
        <v>3393.0901751128113</v>
      </c>
      <c r="AP62" s="21">
        <f>IF(ISNUMBER(tblData[[#This Row],[Days'# US]]),betaUS/(deltaUS+betaPodeltaUS*EXP(-betaUS*tblData[Days'# US])),"")</f>
        <v>1734.020595456989</v>
      </c>
      <c r="AQ62" s="11">
        <f>IF(ISNUMBER(tblData[US]),(tblData[[#This Row],[US LogiP(t)]]-tblData[US])^2,"")</f>
        <v>198006.67046745264</v>
      </c>
      <c r="AR62" s="21">
        <f>IF(ISNUMBER(tblData[[#This Row],[Days'# US]]),tblData[[#This Row],[US LogiP(t)]]/$AP$9,"")</f>
        <v>52.669333509241632</v>
      </c>
      <c r="AS62" s="21">
        <f>IF(tblData[Date]&gt;=StartDt2Korea,betaSKorea/(deltaSKorea+betaPodeltaSKorea*EXP(-betaSKorea*(tblData[Date]-StartDt2Korea))),"")</f>
        <v>8186.9984477385588</v>
      </c>
      <c r="AT62" s="21">
        <f>IF(AND(tblData[Date]&gt;=StartDt2Korea,ISNUMBER(tblData[SKorea])),(tblData[[#This Row],[SKorea LogiP(t)]]-tblData[[#This Row],[SKorea]])^2,"")</f>
        <v>43263.354261649954</v>
      </c>
      <c r="AU62" s="21">
        <f>IF(tblData[Date]&gt;=StartDt2Korea,tblData[[#This Row],[SKorea LogiP(t)]]/$AS$9,"")</f>
        <v>1592.8012544238443</v>
      </c>
      <c r="AV62" s="11">
        <f>IF(ISNUMBER(tblData[Days'# UK]),betaUK/(deltaUK+betaPodeltaUK*EXP(-betaUK*tblData[Days'# UK])),"")</f>
        <v>755.9360181113974</v>
      </c>
      <c r="AW62" s="21">
        <f>IF(ISNUMBER(tblData[UK]),(tblData[[#This Row],[UK LogiP(t)]]-tblData[[#This Row],[UK]])^2,"")</f>
        <v>2121.8904274335082</v>
      </c>
      <c r="AX62" s="21">
        <f>IF(ISNUMBER(tblData[Days'# UK]),tblData[[#This Row],[UK LogiP(t)]]/$AV$9,"")</f>
        <v>113.77724535090267</v>
      </c>
      <c r="AY62" s="11">
        <f>IF(ISNUMBER(tblData[Days'# China]),betaChina/(deltaChina+betaPodeltaChina*EXP(-betaChina*tblData[Days'# China])),"")</f>
        <v>80913.419138870071</v>
      </c>
      <c r="AZ62" s="11">
        <f>IF(ISNUMBER(tblData[China]),(tblData[[#This Row],[China LogiP(t)]]-tblData[[#This Row],[China]])^2,"")</f>
        <v>997.35078970785798</v>
      </c>
      <c r="BA62" s="11">
        <f>tblData[[#This Row],[China LogiP(t)]]/$AY$9</f>
        <v>562.16273564058793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5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Y62"/>
      <c r="CA62"/>
      <c r="CK62" s="26"/>
      <c r="CL62" s="26"/>
      <c r="DF62" t="s">
        <v>1276</v>
      </c>
      <c r="DG62" s="82">
        <v>43912.32671296296</v>
      </c>
      <c r="DH62" s="27">
        <v>43852</v>
      </c>
      <c r="DI62" s="27">
        <v>43880</v>
      </c>
      <c r="DJ62">
        <v>5</v>
      </c>
      <c r="DK62">
        <v>0.32050342361704887</v>
      </c>
      <c r="DL62">
        <v>3.8255187244755717E-5</v>
      </c>
      <c r="DM62">
        <v>182.78805705771839</v>
      </c>
      <c r="DN62">
        <v>8378.0382923360467</v>
      </c>
      <c r="DO62">
        <v>160.37089883020292</v>
      </c>
      <c r="DP62">
        <v>1.7151603737940299E-3</v>
      </c>
      <c r="DQ62">
        <v>3.8255187244755719E-2</v>
      </c>
      <c r="DS62" s="27">
        <v>43911</v>
      </c>
      <c r="DT62" t="s">
        <v>1430</v>
      </c>
      <c r="DV62">
        <v>8799</v>
      </c>
      <c r="DW62" t="s">
        <v>1431</v>
      </c>
      <c r="DX62" s="27">
        <v>43911</v>
      </c>
      <c r="DY62">
        <v>60</v>
      </c>
      <c r="DZ62" t="s">
        <v>1432</v>
      </c>
      <c r="EB62" t="s">
        <v>1433</v>
      </c>
      <c r="EC62" t="s">
        <v>1285</v>
      </c>
      <c r="ED62" t="s">
        <v>1434</v>
      </c>
      <c r="EE62">
        <v>1711.8677042801557</v>
      </c>
      <c r="EF62" s="98">
        <v>43890</v>
      </c>
      <c r="EG62">
        <v>21</v>
      </c>
      <c r="EH62" s="98">
        <v>43889</v>
      </c>
      <c r="EI62">
        <v>23</v>
      </c>
    </row>
    <row r="63" spans="2:175" x14ac:dyDescent="0.25">
      <c r="B63" s="1">
        <f t="shared" ref="B63:B64" si="7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9">
        <f>IF(ISNUMBER(tblData[Italy]),tblData[Italy]/$N$9,"")</f>
        <v>3499.9172870140615</v>
      </c>
      <c r="O63">
        <v>2727</v>
      </c>
      <c r="P63" s="49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6"/>
        <v>34</v>
      </c>
      <c r="Y63" s="26">
        <f t="shared" si="2"/>
        <v>52</v>
      </c>
      <c r="Z63" s="26">
        <f>IF(tblData[[#This Row],[Date]]&lt;StartDt2Korea,"",tblData[[#This Row],[Date]]-StartDt2Korea)</f>
        <v>24</v>
      </c>
      <c r="AA63" s="26">
        <f>IF(tblData[[#This Row],[Date]]&lt;UKStart,"",tblData[[#This Row],[Date]]-UKStart)</f>
        <v>44</v>
      </c>
      <c r="AB63">
        <f>IF(tblData[Date]&gt;=StartDt2Au,tblData[Date]-StartDt2Au,"")</f>
        <v>49</v>
      </c>
      <c r="AC63" s="26">
        <f>IF(tblData[New South Wales]&gt;0,SUM(tblData[[#This Row],[Australian Capital Territory]:[Western Australia]]),"")</f>
        <v>251</v>
      </c>
      <c r="AD63" s="12">
        <f>IF(ISNUMBER(tblData[Au]),tblData[Au]/$AA$9,"")</f>
        <v>98.95915470745939</v>
      </c>
      <c r="AE63" s="19">
        <f>IF(ISNUMBER(tblData[[#This Row],[Day'# Aust]]),betaAu/(deltaAu+betaPodeltaAu*EXP(-betaAu*tblData[[#This Row],[Day'# Aust]])),"")</f>
        <v>248.67513976252039</v>
      </c>
      <c r="AF63" s="72">
        <f>IF(ISNUMBER(tblData[Day'# Aust]),tblData[Au LogiP(t)]/$AD$9,"")</f>
        <v>98.042556285491401</v>
      </c>
      <c r="AG63" s="11">
        <f>IF(AND(tblData[Date]&gt;=StartDt2Au,ISNUMBER(tblData[NSW])),(tblData[[#This Row],[Au LogiP(t)]]-tblData[[#This Row],[Au]])^2,"")</f>
        <v>5.4049751238137587</v>
      </c>
      <c r="AH63">
        <f>IF(tblData[Date]&gt;StartDt2NSW,tblData[Date]-StartDt2NSW,"")</f>
        <v>49</v>
      </c>
      <c r="AI63" s="26">
        <v>112</v>
      </c>
      <c r="AJ63" s="11">
        <f>IF(tblData[Date]&gt;StartDt2NSW,betaNSW/(deltaNSW+betaPodeltaNSW*EXP(-betaNSW*tblData[[#This Row],[Day '# NSW]])),"")</f>
        <v>116.97038936036768</v>
      </c>
      <c r="AK63" s="12">
        <f>IF(AND(ISNUMBER(tblData[NSW]),tblData[Date]&gt;StartDt2NSW),(tblData[[#This Row],[NSW LogiP(t)]]-tblData[[#This Row],[NSW]])^2,"")</f>
        <v>24.704770393656197</v>
      </c>
      <c r="AL63" s="12">
        <f>IF(AND(tblData[Date]&gt;StartDt2NSW,ISNUMBER(tblData[Day'# Aust])),tblData[NSW LogiP(t)]/$AG$9,"")</f>
        <v>144.76533336679168</v>
      </c>
      <c r="AM63" s="11">
        <f>IF(AND(tblData[Date]&gt;StartDt2Italy,ISNUMBER(tblData[Days'# Italy])),betaItaly/(deltaItaly+betaPodeltaItaly*EXP(-betaItaly*tblData[Days'# Italy])),"")</f>
        <v>24165.960336717391</v>
      </c>
      <c r="AN63" s="11">
        <f>IF(AND(tblData[Date]&gt;StartDt2Italy,ISNUMBER(tblData[Italy])),(tblData[[#This Row],[Italy LogiP(t)]]-tblData[[#This Row],[Italy]])^2,"")</f>
        <v>9053842.3079384379</v>
      </c>
      <c r="AO63" s="44">
        <f>IF(AND(tblData[Date]&gt;StartDt2Italy,ISNUMBER(tblData[Days'# Italy])),tblData[[#This Row],[Italy LogiP(t)]]/$AM$9,"")</f>
        <v>3997.6774750566406</v>
      </c>
      <c r="AP63" s="21">
        <f>IF(ISNUMBER(tblData[[#This Row],[Days'# US]]),betaUS/(deltaUS+betaPodeltaUS*EXP(-betaUS*tblData[Days'# US])),"")</f>
        <v>2429.4768113160967</v>
      </c>
      <c r="AQ63" s="11">
        <f>IF(ISNUMBER(tblData[US]),(tblData[[#This Row],[US LogiP(t)]]-tblData[US])^2,"")</f>
        <v>88520.047804637521</v>
      </c>
      <c r="AR63" s="21">
        <f>IF(ISNUMBER(tblData[[#This Row],[Days'# US]]),tblData[[#This Row],[US LogiP(t)]]/$AP$9,"")</f>
        <v>73.7931975914356</v>
      </c>
      <c r="AS63" s="21">
        <f>IF(tblData[Date]&gt;=StartDt2Korea,betaSKorea/(deltaSKorea+betaPodeltaSKorea*EXP(-betaSKorea*(tblData[Date]-StartDt2Korea))),"")</f>
        <v>8253.1007437698718</v>
      </c>
      <c r="AT63" s="21">
        <f>IF(AND(tblData[Date]&gt;=StartDt2Korea,ISNUMBER(tblData[SKorea])),(tblData[[#This Row],[SKorea LogiP(t)]]-tblData[[#This Row],[SKorea]])^2,"")</f>
        <v>27922.658568444338</v>
      </c>
      <c r="AU63" s="21">
        <f>IF(tblData[Date]&gt;=StartDt2Korea,tblData[[#This Row],[SKorea LogiP(t)]]/$AS$9,"")</f>
        <v>1605.6616233015316</v>
      </c>
      <c r="AV63" s="11">
        <f>IF(ISNUMBER(tblData[Days'# UK]),betaUK/(deltaUK+betaPodeltaUK*EXP(-betaUK*tblData[Days'# UK])),"")</f>
        <v>957.08858365443757</v>
      </c>
      <c r="AW63" s="21">
        <f>IF(ISNUMBER(tblData[UK]),(tblData[[#This Row],[UK LogiP(t)]]-tblData[[#This Row],[UK]])^2,"")</f>
        <v>34935.877560304179</v>
      </c>
      <c r="AX63" s="21">
        <f>IF(ISNUMBER(tblData[Days'# UK]),tblData[[#This Row],[UK LogiP(t)]]/$AV$9,"")</f>
        <v>144.05306797929524</v>
      </c>
      <c r="AY63" s="11">
        <f>IF(ISNUMBER(tblData[Days'# China]),betaChina/(deltaChina+betaPodeltaChina*EXP(-betaChina*tblData[Days'# China])),"")</f>
        <v>80923.417946167712</v>
      </c>
      <c r="AZ63" s="11">
        <f>IF(ISNUMBER(tblData[China]),(tblData[[#This Row],[China LogiP(t)]]-tblData[[#This Row],[China]])^2,"")</f>
        <v>2871.0364928861859</v>
      </c>
      <c r="BA63" s="11">
        <f>tblData[[#This Row],[China LogiP(t)]]/$AY$9</f>
        <v>562.23220442491822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5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Y63"/>
      <c r="CA63"/>
      <c r="CK63" s="26"/>
      <c r="CL63" s="26"/>
      <c r="DF63" t="s">
        <v>1276</v>
      </c>
      <c r="DG63" s="82">
        <v>43912.588761574072</v>
      </c>
      <c r="DH63" s="27">
        <v>43852</v>
      </c>
      <c r="DI63" s="27">
        <v>43880</v>
      </c>
      <c r="DJ63">
        <v>5</v>
      </c>
      <c r="DK63">
        <v>0.32050342361704887</v>
      </c>
      <c r="DL63">
        <v>3.8255187244755717E-5</v>
      </c>
      <c r="DM63">
        <v>182.78805705771839</v>
      </c>
      <c r="DN63">
        <v>8378.0382923360467</v>
      </c>
      <c r="DO63">
        <v>160.37089883020292</v>
      </c>
      <c r="DP63">
        <v>1.7151603737940299E-3</v>
      </c>
      <c r="DQ63">
        <v>3.8255187244755719E-2</v>
      </c>
      <c r="DS63" s="27">
        <v>43911</v>
      </c>
      <c r="DT63" t="s">
        <v>1430</v>
      </c>
      <c r="DV63">
        <v>8799</v>
      </c>
      <c r="DW63" t="s">
        <v>1431</v>
      </c>
      <c r="DX63" s="27">
        <v>43911</v>
      </c>
      <c r="DY63">
        <v>60</v>
      </c>
      <c r="DZ63" t="s">
        <v>1432</v>
      </c>
      <c r="EB63" t="s">
        <v>1433</v>
      </c>
      <c r="EC63" t="s">
        <v>1285</v>
      </c>
      <c r="ED63" t="s">
        <v>1434</v>
      </c>
      <c r="EE63">
        <v>1711.8677042801557</v>
      </c>
      <c r="EF63" s="98">
        <v>43891</v>
      </c>
      <c r="EG63">
        <v>21</v>
      </c>
      <c r="EH63" s="98">
        <v>43890</v>
      </c>
      <c r="EI63">
        <v>22</v>
      </c>
    </row>
    <row r="64" spans="2:175" x14ac:dyDescent="0.25">
      <c r="B64" s="1">
        <f t="shared" si="7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9">
        <f>IF(ISNUMBER(tblData[Italy]),tblData[Italy]/$N$9,"")</f>
        <v>4093.7965260545907</v>
      </c>
      <c r="O64">
        <v>3499</v>
      </c>
      <c r="P64" s="49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6"/>
        <v>35</v>
      </c>
      <c r="Y64" s="26">
        <f t="shared" si="2"/>
        <v>53</v>
      </c>
      <c r="Z64" s="26">
        <f>IF(tblData[[#This Row],[Date]]&lt;StartDt2Korea,"",tblData[[#This Row],[Date]]-StartDt2Korea)</f>
        <v>25</v>
      </c>
      <c r="AA64" s="26">
        <f>IF(tblData[[#This Row],[Date]]&lt;UKStart,"",tblData[[#This Row],[Date]]-UKStart)</f>
        <v>45</v>
      </c>
      <c r="AB64">
        <f>IF(tblData[Date]&gt;=StartDt2Au,tblData[Date]-StartDt2Au,"")</f>
        <v>50</v>
      </c>
      <c r="AC64" s="26">
        <f>IF(tblData[New South Wales]&gt;0,SUM(tblData[[#This Row],[Australian Capital Territory]:[Western Australia]]),"")</f>
        <v>316</v>
      </c>
      <c r="AD64" s="12">
        <f>IF(ISNUMBER(tblData[Au]),tblData[Au]/$AA$9,"")</f>
        <v>124.58602744046681</v>
      </c>
      <c r="AE64" s="19">
        <f>IF(ISNUMBER(tblData[[#This Row],[Day'# Aust]]),betaAu/(deltaAu+betaPodeltaAu*EXP(-betaAu*tblData[[#This Row],[Day'# Aust]])),"")</f>
        <v>306.88755378158754</v>
      </c>
      <c r="AF64" s="72">
        <f>IF(ISNUMBER(tblData[Day'# Aust]),tblData[Au LogiP(t)]/$AD$9,"")</f>
        <v>120.99335821699556</v>
      </c>
      <c r="AG64" s="11">
        <f>IF(AND(tblData[Date]&gt;=StartDt2Au,ISNUMBER(tblData[NSW])),(tblData[[#This Row],[Au LogiP(t)]]-tblData[[#This Row],[Au]])^2,"")</f>
        <v>83.036676083459511</v>
      </c>
      <c r="AH64">
        <f>IF(tblData[Date]&gt;StartDt2NSW,tblData[Date]-StartDt2NSW,"")</f>
        <v>50</v>
      </c>
      <c r="AI64">
        <f t="shared" ref="AI64:AI95" si="8">IF(E64&gt;0,E64,"")</f>
        <v>134</v>
      </c>
      <c r="AJ64" s="11">
        <f>IF(tblData[Date]&gt;StartDt2NSW,betaNSW/(deltaNSW+betaPodeltaNSW*EXP(-betaNSW*tblData[[#This Row],[Day '# NSW]])),"")</f>
        <v>142.68180081779806</v>
      </c>
      <c r="AK64" s="12">
        <f>IF(AND(ISNUMBER(tblData[NSW]),tblData[Date]&gt;StartDt2NSW),(tblData[[#This Row],[NSW LogiP(t)]]-tblData[[#This Row],[NSW]])^2,"")</f>
        <v>75.373665439919122</v>
      </c>
      <c r="AL64" s="12">
        <f>IF(AND(tblData[Date]&gt;StartDt2NSW,ISNUMBER(tblData[Day'# Aust])),tblData[NSW LogiP(t)]/$AG$9,"")</f>
        <v>176.58638715074017</v>
      </c>
      <c r="AM64" s="11">
        <f>IF(AND(tblData[Date]&gt;StartDt2Italy,ISNUMBER(tblData[Days'# Italy])),betaItaly/(deltaItaly+betaPodeltaItaly*EXP(-betaItaly*tblData[Days'# Italy])),"")</f>
        <v>28017.174583544671</v>
      </c>
      <c r="AN64" s="11">
        <f>IF(AND(tblData[Date]&gt;StartDt2Italy,ISNUMBER(tblData[Italy])),(tblData[[#This Row],[Italy LogiP(t)]]-tblData[[#This Row],[Italy]])^2,"")</f>
        <v>10694041.806861563</v>
      </c>
      <c r="AO64" s="44">
        <f>IF(AND(tblData[Date]&gt;StartDt2Italy,ISNUMBER(tblData[Days'# Italy])),tblData[[#This Row],[Italy LogiP(t)]]/$AM$9,"")</f>
        <v>4634.7683347468437</v>
      </c>
      <c r="AP64" s="21">
        <f>IF(ISNUMBER(tblData[[#This Row],[Days'# US]]),betaUS/(deltaUS+betaPodeltaUS*EXP(-betaUS*tblData[Days'# US])),"")</f>
        <v>3403.8563924822088</v>
      </c>
      <c r="AQ64" s="11">
        <f>IF(ISNUMBER(tblData[US]),(tblData[[#This Row],[US LogiP(t)]]-tblData[US])^2,"")</f>
        <v>9052.3060514994995</v>
      </c>
      <c r="AR64" s="21">
        <f>IF(ISNUMBER(tblData[[#This Row],[Days'# US]]),tblData[[#This Row],[US LogiP(t)]]/$AP$9,"")</f>
        <v>103.38911084614992</v>
      </c>
      <c r="AS64" s="21">
        <f>IF(tblData[Date]&gt;=StartDt2Korea,betaSKorea/(deltaSKorea+betaPodeltaSKorea*EXP(-betaSKorea*(tblData[Date]-StartDt2Korea))),"")</f>
        <v>8302.0040241231018</v>
      </c>
      <c r="AT64" s="21">
        <f>IF(AND(tblData[Date]&gt;=StartDt2Korea,ISNUMBER(tblData[SKorea])),(tblData[[#This Row],[SKorea LogiP(t)]]-tblData[[#This Row],[SKorea]])^2,"")</f>
        <v>19601.126770662064</v>
      </c>
      <c r="AU64" s="21">
        <f>IF(tblData[Date]&gt;=StartDt2Korea,tblData[[#This Row],[SKorea LogiP(t)]]/$AS$9,"")</f>
        <v>1615.1758801795918</v>
      </c>
      <c r="AV64" s="11">
        <f>IF(ISNUMBER(tblData[Days'# UK]),betaUK/(deltaUK+betaPodeltaUK*EXP(-betaUK*tblData[Days'# UK])),"")</f>
        <v>1211.7670374253466</v>
      </c>
      <c r="AW64" s="21">
        <f>IF(ISNUMBER(tblData[UK]),(tblData[[#This Row],[UK LogiP(t)]]-tblData[[#This Row],[UK]])^2,"")</f>
        <v>4457.8372865576393</v>
      </c>
      <c r="AX64" s="21">
        <f>IF(ISNUMBER(tblData[Days'# UK]),tblData[[#This Row],[UK LogiP(t)]]/$AV$9,"")</f>
        <v>182.38516517539836</v>
      </c>
      <c r="AY64" s="11">
        <f>IF(ISNUMBER(tblData[Days'# China]),betaChina/(deltaChina+betaPodeltaChina*EXP(-betaChina*tblData[Days'# China])),"")</f>
        <v>80931.426781489077</v>
      </c>
      <c r="AZ64" s="11">
        <f>IF(ISNUMBER(tblData[China]),(tblData[[#This Row],[China LogiP(t)]]-tblData[[#This Row],[China]])^2,"")</f>
        <v>5122.7256080122943</v>
      </c>
      <c r="BA64" s="11">
        <f>tblData[[#This Row],[China LogiP(t)]]/$AY$9</f>
        <v>562.2878474668446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5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Y64"/>
      <c r="CA64"/>
      <c r="CK64" s="26"/>
      <c r="CL64" s="26"/>
      <c r="DF64" t="s">
        <v>1276</v>
      </c>
      <c r="DG64" s="82">
        <v>43912.787604166668</v>
      </c>
      <c r="DH64" s="27">
        <v>43852</v>
      </c>
      <c r="DI64" s="27">
        <v>43880</v>
      </c>
      <c r="DJ64">
        <v>5</v>
      </c>
      <c r="DK64">
        <v>0.31530859841320269</v>
      </c>
      <c r="DL64">
        <v>3.7372701209800403E-5</v>
      </c>
      <c r="DM64">
        <v>191.45875124820066</v>
      </c>
      <c r="DN64">
        <v>8436.8693780827907</v>
      </c>
      <c r="DO64">
        <v>180.57430626108624</v>
      </c>
      <c r="DP64">
        <v>1.6095021287865954E-3</v>
      </c>
      <c r="DQ64">
        <v>3.7372701209800401E-2</v>
      </c>
      <c r="DS64" s="27">
        <v>43912</v>
      </c>
      <c r="DT64" t="s">
        <v>1595</v>
      </c>
      <c r="DU64" s="26">
        <v>8436.8693780827907</v>
      </c>
      <c r="DV64">
        <v>8897</v>
      </c>
      <c r="DW64" t="s">
        <v>1596</v>
      </c>
      <c r="DX64" s="27">
        <v>43912</v>
      </c>
      <c r="DY64">
        <v>61</v>
      </c>
      <c r="DZ64" t="s">
        <v>1597</v>
      </c>
      <c r="EB64" t="s">
        <v>1598</v>
      </c>
      <c r="EC64" t="s">
        <v>1594</v>
      </c>
      <c r="ED64" t="s">
        <v>1599</v>
      </c>
      <c r="EE64">
        <v>1730.933852140078</v>
      </c>
      <c r="EF64" s="98">
        <v>43891</v>
      </c>
      <c r="EG64">
        <v>21</v>
      </c>
      <c r="EH64" s="98">
        <v>43890</v>
      </c>
      <c r="EI64">
        <v>22</v>
      </c>
    </row>
    <row r="65" spans="2:175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9">
        <f>IF(ISNUMBER(tblData[Italy]),tblData[Italy]/$N$9,"")</f>
        <v>4628.618693134822</v>
      </c>
      <c r="O65">
        <v>4632</v>
      </c>
      <c r="P65" s="49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6"/>
        <v>36</v>
      </c>
      <c r="Y65" s="26">
        <f t="shared" si="2"/>
        <v>54</v>
      </c>
      <c r="Z65" s="26">
        <f>IF(tblData[[#This Row],[Date]]&lt;StartDt2Korea,"",tblData[[#This Row],[Date]]-StartDt2Korea)</f>
        <v>26</v>
      </c>
      <c r="AA65" s="26">
        <f>IF(tblData[[#This Row],[Date]]&lt;UKStart,"",tblData[[#This Row],[Date]]-UKStart)</f>
        <v>46</v>
      </c>
      <c r="AB65">
        <f>IF(tblData[Date]&gt;=StartDt2Au,tblData[Date]-StartDt2Au,"")</f>
        <v>51</v>
      </c>
      <c r="AC65" s="26">
        <f>IF(tblData[New South Wales]&gt;0,SUM(tblData[[#This Row],[Australian Capital Territory]:[Western Australia]]),"")</f>
        <v>377</v>
      </c>
      <c r="AD65" s="12">
        <f>IF(ISNUMBER(tblData[Au]),tblData[Au]/$AA$9,"")</f>
        <v>148.635861851443</v>
      </c>
      <c r="AE65" s="19">
        <f>IF(ISNUMBER(tblData[[#This Row],[Day'# Aust]]),betaAu/(deltaAu+betaPodeltaAu*EXP(-betaAu*tblData[[#This Row],[Day'# Aust]])),"")</f>
        <v>378.72692117845423</v>
      </c>
      <c r="AF65" s="72">
        <f>IF(ISNUMBER(tblData[Day'# Aust]),tblData[Au LogiP(t)]/$AD$9,"")</f>
        <v>149.31671707083041</v>
      </c>
      <c r="AG65" s="11">
        <f>IF(AND(tblData[Date]&gt;=StartDt2Au,ISNUMBER(tblData[NSW])),(tblData[[#This Row],[Au LogiP(t)]]-tblData[[#This Row],[Au]])^2,"")</f>
        <v>2.9822567565937588</v>
      </c>
      <c r="AH65">
        <f>IF(tblData[Date]&gt;StartDt2NSW,tblData[Date]-StartDt2NSW,"")</f>
        <v>51</v>
      </c>
      <c r="AI65">
        <f t="shared" si="8"/>
        <v>171</v>
      </c>
      <c r="AJ65" s="11">
        <f>IF(tblData[Date]&gt;StartDt2NSW,betaNSW/(deltaNSW+betaPodeltaNSW*EXP(-betaNSW*tblData[[#This Row],[Day '# NSW]])),"")</f>
        <v>173.73257046900454</v>
      </c>
      <c r="AK65" s="12">
        <f>IF(AND(ISNUMBER(tblData[NSW]),tblData[Date]&gt;StartDt2NSW),(tblData[[#This Row],[NSW LogiP(t)]]-tblData[[#This Row],[NSW]])^2,"")</f>
        <v>7.4669413680757062</v>
      </c>
      <c r="AL65" s="12">
        <f>IF(AND(tblData[Date]&gt;StartDt2NSW,ISNUMBER(tblData[Day'# Aust])),tblData[NSW LogiP(t)]/$AG$9,"")</f>
        <v>215.01555751114421</v>
      </c>
      <c r="AM65" s="11">
        <f>IF(AND(tblData[Date]&gt;StartDt2Italy,ISNUMBER(tblData[Days'# Italy])),betaItaly/(deltaItaly+betaPodeltaItaly*EXP(-betaItaly*tblData[Days'# Italy])),"")</f>
        <v>31944.526318864268</v>
      </c>
      <c r="AN65" s="11">
        <f>IF(AND(tblData[Date]&gt;StartDt2Italy,ISNUMBER(tblData[Italy])),(tblData[[#This Row],[Italy LogiP(t)]]-tblData[[#This Row],[Italy]])^2,"")</f>
        <v>15717468.93296746</v>
      </c>
      <c r="AO65" s="44">
        <f>IF(AND(tblData[Date]&gt;StartDt2Italy,ISNUMBER(tblData[Days'# Italy])),tblData[[#This Row],[Italy LogiP(t)]]/$AM$9,"")</f>
        <v>5284.4543124672073</v>
      </c>
      <c r="AP65" s="21">
        <f>IF(ISNUMBER(tblData[[#This Row],[Days'# US]]),betaUS/(deltaUS+betaPodeltaUS*EXP(-betaUS*tblData[Days'# US])),"")</f>
        <v>4769.0255548219484</v>
      </c>
      <c r="AQ65" s="11">
        <f>IF(ISNUMBER(tblData[US]),(tblData[[#This Row],[US LogiP(t)]]-tblData[US])^2,"")</f>
        <v>18776.002674262785</v>
      </c>
      <c r="AR65" s="21">
        <f>IF(ISNUMBER(tblData[[#This Row],[Days'# US]]),tblData[[#This Row],[US LogiP(t)]]/$AP$9,"")</f>
        <v>144.85491009685279</v>
      </c>
      <c r="AS65" s="21">
        <f>IF(tblData[Date]&gt;=StartDt2Korea,betaSKorea/(deltaSKorea+betaPodeltaSKorea*EXP(-betaSKorea*(tblData[Date]-StartDt2Korea))),"")</f>
        <v>8338.0493138242036</v>
      </c>
      <c r="AT65" s="21">
        <f>IF(AND(tblData[Date]&gt;=StartDt2Korea,ISNUMBER(tblData[SKorea])),(tblData[[#This Row],[SKorea LogiP(t)]]-tblData[[#This Row],[SKorea]])^2,"")</f>
        <v>10414.0624519908</v>
      </c>
      <c r="AU65" s="21">
        <f>IF(tblData[Date]&gt;=StartDt2Korea,tblData[[#This Row],[SKorea LogiP(t)]]/$AS$9,"")</f>
        <v>1622.1885824560709</v>
      </c>
      <c r="AV65" s="11">
        <f>IF(ISNUMBER(tblData[Days'# UK]),betaUK/(deltaUK+betaPodeltaUK*EXP(-betaUK*tblData[Days'# UK])),"")</f>
        <v>1534.2142371179048</v>
      </c>
      <c r="AW65" s="21">
        <f>IF(ISNUMBER(tblData[UK]),(tblData[[#This Row],[UK LogiP(t)]]-tblData[[#This Row],[UK]])^2,"")</f>
        <v>281.76183553392633</v>
      </c>
      <c r="AX65" s="21">
        <f>IF(ISNUMBER(tblData[Days'# UK]),tblData[[#This Row],[UK LogiP(t)]]/$AV$9,"")</f>
        <v>230.91725423207475</v>
      </c>
      <c r="AY65" s="11">
        <f>IF(ISNUMBER(tblData[Days'# China]),betaChina/(deltaChina+betaPodeltaChina*EXP(-betaChina*tblData[Days'# China])),"")</f>
        <v>80937.841406681197</v>
      </c>
      <c r="AZ65" s="11">
        <f>IF(ISNUMBER(tblData[China]),(tblData[[#This Row],[China LogiP(t)]]-tblData[[#This Row],[China]])^2,"")</f>
        <v>9055.1578824134285</v>
      </c>
      <c r="BA65" s="11">
        <f>tblData[[#This Row],[China LogiP(t)]]/$AY$9</f>
        <v>562.33241440375673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5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Y65"/>
      <c r="CA65"/>
      <c r="CK65" s="26"/>
      <c r="CL65" s="26"/>
      <c r="DF65" t="s">
        <v>1243</v>
      </c>
      <c r="DG65" s="82">
        <v>43911.866331018522</v>
      </c>
      <c r="DH65" s="27">
        <v>43860</v>
      </c>
      <c r="DI65" s="27">
        <v>43860</v>
      </c>
      <c r="DJ65">
        <v>6</v>
      </c>
      <c r="DK65">
        <v>0.23059524064806408</v>
      </c>
      <c r="DL65">
        <v>9.9999999999999903E-10</v>
      </c>
      <c r="DM65">
        <v>3.8070710556030042E-2</v>
      </c>
      <c r="DN65">
        <v>230595240.64806432</v>
      </c>
      <c r="DO65" s="19">
        <v>70.671251275874369</v>
      </c>
      <c r="DP65" s="12">
        <v>6.0570248687798465</v>
      </c>
      <c r="DQ65">
        <v>9.9999999999999911E-7</v>
      </c>
      <c r="DS65" s="27">
        <v>43910</v>
      </c>
      <c r="DT65" t="s">
        <v>1389</v>
      </c>
      <c r="DV65">
        <v>4014</v>
      </c>
      <c r="DW65" t="s">
        <v>1390</v>
      </c>
      <c r="DX65" s="27">
        <v>43910</v>
      </c>
      <c r="DY65">
        <v>51</v>
      </c>
      <c r="DZ65" t="s">
        <v>1391</v>
      </c>
      <c r="EB65" t="s">
        <v>1392</v>
      </c>
      <c r="ED65" t="s">
        <v>1398</v>
      </c>
      <c r="EE65">
        <v>604.15412402167362</v>
      </c>
      <c r="EF65" s="98">
        <v>43910</v>
      </c>
      <c r="EG65">
        <v>1</v>
      </c>
      <c r="EH65" s="98">
        <v>43910</v>
      </c>
      <c r="EI65">
        <v>1</v>
      </c>
    </row>
    <row r="66" spans="2:175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9">
        <f>IF(ISNUMBER(tblData[Italy]),tblData[Italy]/$N$9,"")</f>
        <v>5211.9106699751865</v>
      </c>
      <c r="O66">
        <v>6421</v>
      </c>
      <c r="P66" s="49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6"/>
        <v>37</v>
      </c>
      <c r="Y66" s="26">
        <f t="shared" si="2"/>
        <v>55</v>
      </c>
      <c r="Z66" s="26">
        <f>IF(tblData[[#This Row],[Date]]&lt;StartDt2Korea,"",tblData[[#This Row],[Date]]-StartDt2Korea)</f>
        <v>27</v>
      </c>
      <c r="AA66" s="26">
        <f>IF(tblData[[#This Row],[Date]]&lt;UKStart,"",tblData[[#This Row],[Date]]-UKStart)</f>
        <v>47</v>
      </c>
      <c r="AB66">
        <f>IF(tblData[Date]&gt;=StartDt2Au,tblData[Date]-StartDt2Au,"")</f>
        <v>52</v>
      </c>
      <c r="AC66" s="26">
        <f>IF(tblData[New South Wales]&gt;0,SUM(tblData[[#This Row],[Australian Capital Territory]:[Western Australia]]),"")</f>
        <v>456</v>
      </c>
      <c r="AD66" s="12">
        <f>IF(ISNUMBER(tblData[Au]),tblData[Au]/$AA$9,"")</f>
        <v>179.78236871155968</v>
      </c>
      <c r="AE66" s="19">
        <f>IF(ISNUMBER(tblData[[#This Row],[Day'# Aust]]),betaAu/(deltaAu+betaPodeltaAu*EXP(-betaAu*tblData[[#This Row],[Day'# Aust]])),"")</f>
        <v>467.38317638189756</v>
      </c>
      <c r="AF66" s="72">
        <f>IF(ISNUMBER(tblData[Day'# Aust]),tblData[Au LogiP(t)]/$AD$9,"")</f>
        <v>184.270295056733</v>
      </c>
      <c r="AG66" s="11">
        <f>IF(AND(tblData[Date]&gt;=StartDt2Au,ISNUMBER(tblData[NSW])),(tblData[[#This Row],[Au LogiP(t)]]-tblData[[#This Row],[Au]])^2,"")</f>
        <v>129.57670454139034</v>
      </c>
      <c r="AH66">
        <f>IF(tblData[Date]&gt;StartDt2NSW,tblData[Date]-StartDt2NSW,"")</f>
        <v>52</v>
      </c>
      <c r="AI66">
        <f t="shared" si="8"/>
        <v>210</v>
      </c>
      <c r="AJ66" s="11">
        <f>IF(tblData[Date]&gt;StartDt2NSW,betaNSW/(deltaNSW+betaPodeltaNSW*EXP(-betaNSW*tblData[[#This Row],[Day '# NSW]])),"")</f>
        <v>211.08327022187834</v>
      </c>
      <c r="AK66" s="12">
        <f>IF(AND(ISNUMBER(tblData[NSW]),tblData[Date]&gt;StartDt2NSW),(tblData[[#This Row],[NSW LogiP(t)]]-tblData[[#This Row],[NSW]])^2,"")</f>
        <v>1.1734743736083411</v>
      </c>
      <c r="AL66" s="12">
        <f>IF(AND(tblData[Date]&gt;StartDt2NSW,ISNUMBER(tblData[Day'# Aust])),tblData[NSW LogiP(t)]/$AG$9,"")</f>
        <v>261.24167106668108</v>
      </c>
      <c r="AM66" s="11">
        <f>IF(AND(tblData[Date]&gt;StartDt2Italy,ISNUMBER(tblData[Days'# Italy])),betaItaly/(deltaItaly+betaPodeltaItaly*EXP(-betaItaly*tblData[Days'# Italy])),"")</f>
        <v>35817.859092885672</v>
      </c>
      <c r="AN66" s="11">
        <f>IF(AND(tblData[Date]&gt;StartDt2Italy,ISNUMBER(tblData[Italy])),(tblData[[#This Row],[Italy LogiP(t)]]-tblData[[#This Row],[Italy]])^2,"")</f>
        <v>18592128.836900849</v>
      </c>
      <c r="AO66" s="44">
        <f>IF(AND(tblData[Date]&gt;StartDt2Italy,ISNUMBER(tblData[Days'# Italy])),tblData[[#This Row],[Italy LogiP(t)]]/$AM$9,"")</f>
        <v>5925.2041510149993</v>
      </c>
      <c r="AP66" s="21">
        <f>IF(ISNUMBER(tblData[[#This Row],[Days'# US]]),betaUS/(deltaUS+betaPodeltaUS*EXP(-betaUS*tblData[Days'# US])),"")</f>
        <v>6681.7158033426022</v>
      </c>
      <c r="AQ66" s="11">
        <f>IF(ISNUMBER(tblData[US]),(tblData[[#This Row],[US LogiP(t)]]-tblData[US])^2,"")</f>
        <v>67972.7301125784</v>
      </c>
      <c r="AR66" s="21">
        <f>IF(ISNUMBER(tblData[[#This Row],[Days'# US]]),tblData[[#This Row],[US LogiP(t)]]/$AP$9,"")</f>
        <v>202.95117542561565</v>
      </c>
      <c r="AS66" s="21">
        <f>IF(tblData[Date]&gt;=StartDt2Korea,betaSKorea/(deltaSKorea+betaPodeltaSKorea*EXP(-betaSKorea*(tblData[Date]-StartDt2Korea))),"")</f>
        <v>8364.5447519577447</v>
      </c>
      <c r="AT66" s="21">
        <f>IF(AND(tblData[Date]&gt;=StartDt2Korea,ISNUMBER(tblData[SKorea])),(tblData[[#This Row],[SKorea LogiP(t)]]-tblData[[#This Row],[SKorea]])^2,"")</f>
        <v>1984.2349269769973</v>
      </c>
      <c r="AU66" s="21">
        <f>IF(tblData[Date]&gt;=StartDt2Korea,tblData[[#This Row],[SKorea LogiP(t)]]/$AS$9,"")</f>
        <v>1627.3433369567597</v>
      </c>
      <c r="AV66" s="11">
        <f>IF(ISNUMBER(tblData[Days'# UK]),betaUK/(deltaUK+betaPodeltaUK*EXP(-betaUK*tblData[Days'# UK])),"")</f>
        <v>1942.4628634749067</v>
      </c>
      <c r="AW66" s="21">
        <f>IF(ISNUMBER(tblData[UK]),(tblData[[#This Row],[UK LogiP(t)]]-tblData[[#This Row],[UK]])^2,"")</f>
        <v>307.55115749976062</v>
      </c>
      <c r="AX66" s="21">
        <f>IF(ISNUMBER(tblData[Days'# UK]),tblData[[#This Row],[UK LogiP(t)]]/$AV$9,"")</f>
        <v>292.36346530326711</v>
      </c>
      <c r="AY66" s="11">
        <f>IF(ISNUMBER(tblData[Days'# China]),betaChina/(deltaChina+betaPodeltaChina*EXP(-betaChina*tblData[Days'# China])),"")</f>
        <v>80942.978977179402</v>
      </c>
      <c r="AZ66" s="11">
        <f>IF(ISNUMBER(tblData[China]),(tblData[[#This Row],[China LogiP(t)]]-tblData[[#This Row],[China]])^2,"")</f>
        <v>13229.835690696495</v>
      </c>
      <c r="BA66" s="11">
        <f>tblData[[#This Row],[China LogiP(t)]]/$AY$9</f>
        <v>562.36810873872071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5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Y66"/>
      <c r="CA66"/>
      <c r="CK66" s="26"/>
      <c r="CL66" s="26"/>
      <c r="DF66" t="s">
        <v>1243</v>
      </c>
      <c r="DH66" s="27">
        <v>43860</v>
      </c>
      <c r="DJ66">
        <v>6</v>
      </c>
      <c r="DK66">
        <v>0.24137990934722836</v>
      </c>
      <c r="DL66">
        <v>9.9999999999999995E-7</v>
      </c>
      <c r="DM66">
        <v>2.4074005303217398E-2</v>
      </c>
      <c r="DN66">
        <v>241379.90934722839</v>
      </c>
      <c r="DO66" s="19">
        <v>146.85588583547002</v>
      </c>
      <c r="DP66" s="12">
        <v>10.026577722858754</v>
      </c>
      <c r="DQ66">
        <v>1E-3</v>
      </c>
      <c r="DS66" s="27">
        <v>43910</v>
      </c>
      <c r="DT66" t="s">
        <v>1314</v>
      </c>
      <c r="DV66">
        <v>3269</v>
      </c>
      <c r="DW66" t="s">
        <v>1315</v>
      </c>
      <c r="DX66" s="27">
        <v>43910</v>
      </c>
      <c r="DY66">
        <v>51</v>
      </c>
      <c r="DZ66" t="s">
        <v>1316</v>
      </c>
      <c r="EB66" t="s">
        <v>1317</v>
      </c>
      <c r="ED66" t="s">
        <v>1318</v>
      </c>
      <c r="EE66">
        <v>492.0228777844672</v>
      </c>
      <c r="EF66" s="98">
        <v>43910</v>
      </c>
      <c r="EG66">
        <v>0</v>
      </c>
      <c r="EH66" s="98">
        <v>43908</v>
      </c>
      <c r="EI66">
        <v>2</v>
      </c>
    </row>
    <row r="67" spans="2:175" x14ac:dyDescent="0.25">
      <c r="B67" s="1">
        <f t="shared" ref="B67:B80" si="9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9">
        <f>IF(ISNUMBER(tblData[Italy]),tblData[Italy]/$N$9,"")</f>
        <v>5907.8577336641856</v>
      </c>
      <c r="O67">
        <v>7783</v>
      </c>
      <c r="P67" s="49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6"/>
        <v>38</v>
      </c>
      <c r="Y67" s="26">
        <f t="shared" si="2"/>
        <v>56</v>
      </c>
      <c r="Z67" s="26">
        <f>IF(tblData[[#This Row],[Date]]&lt;StartDt2Korea,"",tblData[[#This Row],[Date]]-StartDt2Korea)</f>
        <v>28</v>
      </c>
      <c r="AA67" s="26">
        <f>IF(tblData[[#This Row],[Date]]&lt;UKStart,"",tblData[[#This Row],[Date]]-UKStart)</f>
        <v>48</v>
      </c>
      <c r="AB67">
        <f>IF(tblData[Date]&gt;=StartDt2Au,tblData[Date]-StartDt2Au,"")</f>
        <v>53</v>
      </c>
      <c r="AC67" s="26">
        <f>IF(tblData[New South Wales]&gt;0,SUM(tblData[[#This Row],[Australian Capital Territory]:[Western Australia]]),"")</f>
        <v>568</v>
      </c>
      <c r="AD67" s="12">
        <f>IF(ISNUMBER(tblData[Au]),tblData[Au]/$AA$9,"")</f>
        <v>223.93944172843399</v>
      </c>
      <c r="AE67" s="19">
        <f>IF(ISNUMBER(tblData[[#This Row],[Day'# Aust]]),betaAu/(deltaAu+betaPodeltaAu*EXP(-betaAu*tblData[[#This Row],[Day'# Aust]])),"")</f>
        <v>576.79298511365664</v>
      </c>
      <c r="AF67" s="72">
        <f>IF(ISNUMBER(tblData[Day'# Aust]),tblData[Au LogiP(t)]/$AD$9,"")</f>
        <v>227.40616035075564</v>
      </c>
      <c r="AG67" s="11">
        <f>IF(AND(tblData[Date]&gt;=StartDt2Au,ISNUMBER(tblData[NSW])),(tblData[[#This Row],[Au LogiP(t)]]-tblData[[#This Row],[Au]])^2,"")</f>
        <v>77.316587208987301</v>
      </c>
      <c r="AH67">
        <f>IF(tblData[Date]&gt;StartDt2NSW,tblData[Date]-StartDt2NSW,"")</f>
        <v>53</v>
      </c>
      <c r="AI67">
        <f t="shared" si="8"/>
        <v>267</v>
      </c>
      <c r="AJ67" s="11">
        <f>IF(tblData[Date]&gt;StartDt2NSW,betaNSW/(deltaNSW+betaPodeltaNSW*EXP(-betaNSW*tblData[[#This Row],[Day '# NSW]])),"")</f>
        <v>255.79864538254418</v>
      </c>
      <c r="AK67" s="12">
        <f>IF(AND(ISNUMBER(tblData[NSW]),tblData[Date]&gt;StartDt2NSW),(tblData[[#This Row],[NSW LogiP(t)]]-tblData[[#This Row],[NSW]])^2,"")</f>
        <v>125.47034526599882</v>
      </c>
      <c r="AL67" s="12">
        <f>IF(AND(tblData[Date]&gt;StartDt2NSW,ISNUMBER(tblData[Day'# Aust])),tblData[NSW LogiP(t)]/$AG$9,"")</f>
        <v>316.58248190908932</v>
      </c>
      <c r="AM67" s="11">
        <f>IF(AND(tblData[Date]&gt;StartDt2Italy,ISNUMBER(tblData[Days'# Italy])),betaItaly/(deltaItaly+betaPodeltaItaly*EXP(-betaItaly*tblData[Days'# Italy])),"")</f>
        <v>39514.005246695284</v>
      </c>
      <c r="AN67" s="11">
        <f>IF(AND(tblData[Date]&gt;StartDt2Italy,ISNUMBER(tblData[Italy])),(tblData[[#This Row],[Italy LogiP(t)]]-tblData[[#This Row],[Italy]])^2,"")</f>
        <v>14447640.885405075</v>
      </c>
      <c r="AO67" s="44">
        <f>IF(AND(tblData[Date]&gt;StartDt2Italy,ISNUMBER(tblData[Days'# Italy])),tblData[[#This Row],[Italy LogiP(t)]]/$AM$9,"")</f>
        <v>6536.6427207105517</v>
      </c>
      <c r="AP67" s="21">
        <f>IF(ISNUMBER(tblData[[#This Row],[Days'# US]]),betaUS/(deltaUS+betaPodeltaUS*EXP(-betaUS*tblData[Days'# US])),"")</f>
        <v>9361.5174437254227</v>
      </c>
      <c r="AQ67" s="11">
        <f>IF(ISNUMBER(tblData[US]),(tblData[[#This Row],[US LogiP(t)]]-tblData[US])^2,"")</f>
        <v>2491717.3201454431</v>
      </c>
      <c r="AR67" s="21">
        <f>IF(ISNUMBER(tblData[[#This Row],[Days'# US]]),tblData[[#This Row],[US LogiP(t)]]/$AP$9,"")</f>
        <v>284.34776708416985</v>
      </c>
      <c r="AS67" s="21">
        <f>IF(tblData[Date]&gt;=StartDt2Korea,betaSKorea/(deltaSKorea+betaPodeltaSKorea*EXP(-betaSKorea*(tblData[Date]-StartDt2Korea))),"")</f>
        <v>8383.981346050603</v>
      </c>
      <c r="AT67" s="21">
        <f>IF(AND(tblData[Date]&gt;=StartDt2Korea,ISNUMBER(tblData[SKorea])),(tblData[[#This Row],[SKorea LogiP(t)]]-tblData[[#This Row],[SKorea]])^2,"")</f>
        <v>842.08227703485693</v>
      </c>
      <c r="AU67" s="21">
        <f>IF(tblData[Date]&gt;=StartDt2Korea,tblData[[#This Row],[SKorea LogiP(t)]]/$AS$9,"")</f>
        <v>1631.1247754962264</v>
      </c>
      <c r="AV67" s="11">
        <f>IF(ISNUMBER(tblData[Days'# UK]),betaUK/(deltaUK+betaPodeltaUK*EXP(-betaUK*tblData[Days'# UK])),"")</f>
        <v>2459.3437783416261</v>
      </c>
      <c r="AW67" s="21">
        <f>IF(ISNUMBER(tblData[UK]),(tblData[[#This Row],[UK LogiP(t)]]-tblData[[#This Row],[UK]])^2,"")</f>
        <v>33363.295310513</v>
      </c>
      <c r="AX67" s="21">
        <f>IF(ISNUMBER(tblData[Days'# UK]),tblData[[#This Row],[UK LogiP(t)]]/$AV$9,"")</f>
        <v>370.16011112908279</v>
      </c>
      <c r="AY67" s="11">
        <f>IF(ISNUMBER(tblData[Days'# China]),betaChina/(deltaChina+betaPodeltaChina*EXP(-betaChina*tblData[Days'# China])),"")</f>
        <v>80947.093618268249</v>
      </c>
      <c r="AZ67" s="11">
        <f>IF(ISNUMBER(tblData[China]),(tblData[[#This Row],[China LogiP(t)]]-tblData[[#This Row],[China]])^2,"")</f>
        <v>23995.987101222967</v>
      </c>
      <c r="BA67" s="11">
        <f>tblData[[#This Row],[China LogiP(t)]]/$AY$9</f>
        <v>562.39669605977701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5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Y67"/>
      <c r="CA67"/>
      <c r="CK67" s="26"/>
      <c r="CL67" s="26"/>
      <c r="DF67" t="s">
        <v>1243</v>
      </c>
      <c r="DG67" s="82">
        <v>43912.326736111114</v>
      </c>
      <c r="DH67" s="27">
        <v>43860</v>
      </c>
      <c r="DI67" s="27">
        <v>43860</v>
      </c>
      <c r="DJ67">
        <v>6</v>
      </c>
      <c r="DK67">
        <v>0.23552292998723806</v>
      </c>
      <c r="DL67">
        <v>9.9999999999999903E-10</v>
      </c>
      <c r="DM67">
        <v>3.0253807305994522E-2</v>
      </c>
      <c r="DN67">
        <v>235522929.98723829</v>
      </c>
      <c r="DO67">
        <v>71.58354260153051</v>
      </c>
      <c r="DP67">
        <v>7.7849021637127134</v>
      </c>
      <c r="DQ67">
        <v>9.9999999999999911E-7</v>
      </c>
      <c r="DS67" s="27">
        <v>43911</v>
      </c>
      <c r="DT67" t="s">
        <v>1435</v>
      </c>
      <c r="DV67">
        <v>5049</v>
      </c>
      <c r="DW67" t="s">
        <v>1436</v>
      </c>
      <c r="DX67" s="27">
        <v>43911</v>
      </c>
      <c r="DY67">
        <v>52</v>
      </c>
      <c r="DZ67" t="s">
        <v>1437</v>
      </c>
      <c r="EB67" t="s">
        <v>1438</v>
      </c>
      <c r="ED67" t="s">
        <v>1439</v>
      </c>
      <c r="EE67">
        <v>759.93377483443703</v>
      </c>
      <c r="EF67" s="98">
        <v>43910</v>
      </c>
      <c r="EG67">
        <v>1</v>
      </c>
      <c r="EH67" s="98">
        <v>43910</v>
      </c>
      <c r="EI67">
        <v>2</v>
      </c>
    </row>
    <row r="68" spans="2:175" x14ac:dyDescent="0.25">
      <c r="B68" s="1">
        <f t="shared" si="9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9">
        <f>IF(ISNUMBER(tblData[Italy]),tblData[Italy]/$N$9,"")</f>
        <v>6788.2547559966915</v>
      </c>
      <c r="O68">
        <v>13677</v>
      </c>
      <c r="P68" s="49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6"/>
        <v>39</v>
      </c>
      <c r="Y68" s="26">
        <f t="shared" si="2"/>
        <v>57</v>
      </c>
      <c r="Z68" s="26">
        <f>IF(tblData[[#This Row],[Date]]&lt;StartDt2Korea,"",tblData[[#This Row],[Date]]-StartDt2Korea)</f>
        <v>29</v>
      </c>
      <c r="AA68" s="26">
        <f>IF(tblData[[#This Row],[Date]]&lt;UKStart,"",tblData[[#This Row],[Date]]-UKStart)</f>
        <v>49</v>
      </c>
      <c r="AB68">
        <f>IF(tblData[Date]&gt;=StartDt2Au,tblData[Date]-StartDt2Au,"")</f>
        <v>54</v>
      </c>
      <c r="AC68" s="26">
        <f>IF(tblData[New South Wales]&gt;0,SUM(tblData[[#This Row],[Australian Capital Territory]:[Western Australia]]),"")</f>
        <v>710</v>
      </c>
      <c r="AD68" s="12">
        <f>IF(ISNUMBER(tblData[Au]),tblData[Au]/$AA$9,"")</f>
        <v>279.92430216054248</v>
      </c>
      <c r="AE68" s="19">
        <f>IF(ISNUMBER(tblData[[#This Row],[Day'# Aust]]),betaAu/(deltaAu+betaPodeltaAu*EXP(-betaAu*tblData[[#This Row],[Day'# Aust]])),"")</f>
        <v>711.81454625874562</v>
      </c>
      <c r="AF68" s="72">
        <f>IF(ISNUMBER(tblData[Day'# Aust]),tblData[Au LogiP(t)]/$AD$9,"")</f>
        <v>280.63970440732754</v>
      </c>
      <c r="AG68" s="11">
        <f>IF(AND(tblData[Date]&gt;=StartDt2Au,ISNUMBER(tblData[NSW])),(tblData[[#This Row],[Au LogiP(t)]]-tblData[[#This Row],[Au]])^2,"")</f>
        <v>3.2925781251277346</v>
      </c>
      <c r="AH68">
        <f>IF(tblData[Date]&gt;StartDt2NSW,tblData[Date]-StartDt2NSW,"")</f>
        <v>54</v>
      </c>
      <c r="AI68">
        <f t="shared" si="8"/>
        <v>307</v>
      </c>
      <c r="AJ68" s="11">
        <f>IF(tblData[Date]&gt;StartDt2NSW,betaNSW/(deltaNSW+betaPodeltaNSW*EXP(-betaNSW*tblData[[#This Row],[Day '# NSW]])),"")</f>
        <v>309.02664322954558</v>
      </c>
      <c r="AK68" s="12">
        <f>IF(AND(ISNUMBER(tblData[NSW]),tblData[Date]&gt;StartDt2NSW),(tblData[[#This Row],[NSW LogiP(t)]]-tblData[[#This Row],[NSW]])^2,"")</f>
        <v>4.1072827798629561</v>
      </c>
      <c r="AL68" s="12">
        <f>IF(AND(tblData[Date]&gt;StartDt2NSW,ISNUMBER(tblData[Day'# Aust])),tblData[NSW LogiP(t)]/$AG$9,"")</f>
        <v>382.45871686824944</v>
      </c>
      <c r="AM68" s="11">
        <f>IF(AND(tblData[Date]&gt;StartDt2Italy,ISNUMBER(tblData[Days'# Italy])),betaItaly/(deltaItaly+betaPodeltaItaly*EXP(-betaItaly*tblData[Days'# Italy])),"")</f>
        <v>42931.734638723552</v>
      </c>
      <c r="AN68" s="11">
        <f>IF(AND(tblData[Date]&gt;StartDt2Italy,ISNUMBER(tblData[Italy])),(tblData[[#This Row],[Italy LogiP(t)]]-tblData[[#This Row],[Italy]])^2,"")</f>
        <v>3597602.2897337633</v>
      </c>
      <c r="AO68" s="44">
        <f>IF(AND(tblData[Date]&gt;StartDt2Italy,ISNUMBER(tblData[Days'# Italy])),tblData[[#This Row],[Italy LogiP(t)]]/$AM$9,"")</f>
        <v>7102.0239270014144</v>
      </c>
      <c r="AP68" s="21">
        <f>IF(ISNUMBER(tblData[[#This Row],[Days'# US]]),betaUS/(deltaUS+betaPodeltaUS*EXP(-betaUS*tblData[Days'# US])),"")</f>
        <v>13116.089264789287</v>
      </c>
      <c r="AQ68" s="11">
        <f>IF(ISNUMBER(tblData[US]),(tblData[[#This Row],[US LogiP(t)]]-tblData[US])^2,"")</f>
        <v>314620.85287462262</v>
      </c>
      <c r="AR68" s="21">
        <f>IF(ISNUMBER(tblData[[#This Row],[Days'# US]]),tblData[[#This Row],[US LogiP(t)]]/$AP$9,"")</f>
        <v>398.38954717957728</v>
      </c>
      <c r="AS68" s="21">
        <f>IF(tblData[Date]&gt;=StartDt2Korea,betaSKorea/(deltaSKorea+betaPodeltaSKorea*EXP(-betaSKorea*(tblData[Date]-StartDt2Korea))),"")</f>
        <v>8398.2186661654905</v>
      </c>
      <c r="AT68" s="21">
        <f>IF(AND(tblData[Date]&gt;=StartDt2Korea,ISNUMBER(tblData[SKorea])),(tblData[[#This Row],[SKorea LogiP(t)]]-tblData[[#This Row],[SKorea]])^2,"")</f>
        <v>27816.013315618104</v>
      </c>
      <c r="AU68" s="21">
        <f>IF(tblData[Date]&gt;=StartDt2Korea,tblData[[#This Row],[SKorea LogiP(t)]]/$AS$9,"")</f>
        <v>1633.8946821333641</v>
      </c>
      <c r="AV68" s="11">
        <f>IF(ISNUMBER(tblData[Days'# UK]),betaUK/(deltaUK+betaPodeltaUK*EXP(-betaUK*tblData[Days'# UK])),"")</f>
        <v>3113.7626401570992</v>
      </c>
      <c r="AW68" s="21">
        <f>IF(ISNUMBER(tblData[UK]),(tblData[[#This Row],[UK LogiP(t)]]-tblData[[#This Row],[UK]])^2,"")</f>
        <v>158215.117904746</v>
      </c>
      <c r="AX68" s="21">
        <f>IF(ISNUMBER(tblData[Days'# UK]),tblData[[#This Row],[UK LogiP(t)]]/$AV$9,"")</f>
        <v>468.65783265459049</v>
      </c>
      <c r="AY68" s="11">
        <f>IF(ISNUMBER(tblData[Days'# China]),betaChina/(deltaChina+betaPodeltaChina*EXP(-betaChina*tblData[Days'# China])),"")</f>
        <v>80950.38892796461</v>
      </c>
      <c r="AZ68" s="11">
        <f>IF(ISNUMBER(tblData[China]),(tblData[[#This Row],[China LogiP(t)]]-tblData[[#This Row],[China]])^2,"")</f>
        <v>42275.912943542316</v>
      </c>
      <c r="BA68" s="11">
        <f>tblData[[#This Row],[China LogiP(t)]]/$AY$9</f>
        <v>562.41959090631053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5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Y68"/>
      <c r="CA68"/>
      <c r="CK68" s="26"/>
      <c r="CL68" s="26"/>
      <c r="DF68" t="s">
        <v>1243</v>
      </c>
      <c r="DG68" s="82">
        <v>43912.588784722226</v>
      </c>
      <c r="DH68" s="27">
        <v>43860</v>
      </c>
      <c r="DI68" s="27">
        <v>43860</v>
      </c>
      <c r="DJ68">
        <v>6</v>
      </c>
      <c r="DK68">
        <v>0.23594006316216126</v>
      </c>
      <c r="DL68">
        <v>9.9999999999999903E-10</v>
      </c>
      <c r="DM68">
        <v>2.9674631046950263E-2</v>
      </c>
      <c r="DN68">
        <v>235940063.1621615</v>
      </c>
      <c r="DO68">
        <v>71.927182904252248</v>
      </c>
      <c r="DP68">
        <v>7.9509013190152125</v>
      </c>
      <c r="DQ68">
        <v>9.9999999999999911E-7</v>
      </c>
      <c r="DS68" s="27">
        <v>43911</v>
      </c>
      <c r="DT68" t="s">
        <v>1435</v>
      </c>
      <c r="DV68">
        <v>5067</v>
      </c>
      <c r="DW68" t="s">
        <v>1568</v>
      </c>
      <c r="DX68" s="27">
        <v>43911</v>
      </c>
      <c r="DY68">
        <v>52</v>
      </c>
      <c r="DZ68" t="s">
        <v>1569</v>
      </c>
      <c r="EB68" t="s">
        <v>1570</v>
      </c>
      <c r="ED68" t="s">
        <v>1571</v>
      </c>
      <c r="EE68">
        <v>762.64298615291989</v>
      </c>
      <c r="EF68" s="98">
        <v>43911</v>
      </c>
      <c r="EG68">
        <v>1</v>
      </c>
      <c r="EH68" s="98">
        <v>43910</v>
      </c>
      <c r="EI68">
        <v>2</v>
      </c>
    </row>
    <row r="69" spans="2:175" x14ac:dyDescent="0.25">
      <c r="B69" s="1">
        <f t="shared" si="9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9">
        <f>IF(ISNUMBER(tblData[Italy]),tblData[Italy]/$N$9,"")</f>
        <v>7778.4946236559144</v>
      </c>
      <c r="O69">
        <v>19100</v>
      </c>
      <c r="P69" s="49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 s="26">
        <f>IF(tblData[[#This Row],[Date]]&lt;ItalyStart,"",tblData[[#This Row],[Date]]-ItalyStart)</f>
        <v>50</v>
      </c>
      <c r="X69" s="26">
        <f t="shared" si="6"/>
        <v>40</v>
      </c>
      <c r="Y69" s="26">
        <f t="shared" si="2"/>
        <v>58</v>
      </c>
      <c r="Z69" s="26">
        <f>IF(tblData[[#This Row],[Date]]&lt;StartDt2Korea,"",tblData[[#This Row],[Date]]-StartDt2Korea)</f>
        <v>30</v>
      </c>
      <c r="AA69" s="26">
        <f>IF(tblData[[#This Row],[Date]]&lt;UKStart,"",tblData[[#This Row],[Date]]-UKStart)</f>
        <v>50</v>
      </c>
      <c r="AB69">
        <f>IF(tblData[Date]&gt;=StartDt2Au,tblData[Date]-StartDt2Au,"")</f>
        <v>55</v>
      </c>
      <c r="AC69" s="26">
        <f>IF(tblData[New South Wales]&gt;0,SUM(tblData[[#This Row],[Australian Capital Territory]:[Western Australia]]),"")</f>
        <v>877</v>
      </c>
      <c r="AD69" s="12">
        <f>IF(ISNUMBER(tblData[Au]),tblData[Au]/$AA$9,"")</f>
        <v>345.76565210534613</v>
      </c>
      <c r="AE69" s="19">
        <f>IF(ISNUMBER(tblData[[#This Row],[Day'# Aust]]),betaAu/(deltaAu+betaPodeltaAu*EXP(-betaAu*tblData[[#This Row],[Day'# Aust]])),"")</f>
        <v>878.44331281481175</v>
      </c>
      <c r="AF69" s="72">
        <f>IF(ISNUMBER(tblData[Day'# Aust]),tblData[Au LogiP(t)]/$AD$9,"")</f>
        <v>346.33469201025537</v>
      </c>
      <c r="AG69" s="11">
        <f>IF(AND(tblData[Date]&gt;=StartDt2Au,ISNUMBER(tblData[NSW])),(tblData[[#This Row],[Au LogiP(t)]]-tblData[[#This Row],[Au]])^2,"")</f>
        <v>2.08315188139981</v>
      </c>
      <c r="AH69">
        <f>IF(tblData[Date]&gt;StartDt2NSW,tblData[Date]-StartDt2NSW,"")</f>
        <v>55</v>
      </c>
      <c r="AI69">
        <f t="shared" si="8"/>
        <v>382</v>
      </c>
      <c r="AJ69" s="11">
        <f>IF(tblData[Date]&gt;StartDt2NSW,betaNSW/(deltaNSW+betaPodeltaNSW*EXP(-betaNSW*tblData[[#This Row],[Day '# NSW]])),"")</f>
        <v>371.95971634056332</v>
      </c>
      <c r="AK69" s="12">
        <f>IF(AND(ISNUMBER(tblData[NSW]),tblData[Date]&gt;StartDt2NSW),(tblData[[#This Row],[NSW LogiP(t)]]-tblData[[#This Row],[NSW]])^2,"")</f>
        <v>100.80729596195124</v>
      </c>
      <c r="AL69" s="12">
        <f>IF(AND(tblData[Date]&gt;StartDt2NSW,ISNUMBER(tblData[Day'# Aust])),tblData[NSW LogiP(t)]/$AG$9,"")</f>
        <v>460.34618358980606</v>
      </c>
      <c r="AM69" s="11">
        <f>IF(AND(tblData[Date]&gt;StartDt2Italy,ISNUMBER(tblData[Days'# Italy])),betaItaly/(deltaItaly+betaPodeltaItaly*EXP(-betaItaly*tblData[Days'# Italy])),"")</f>
        <v>46001.220970294475</v>
      </c>
      <c r="AN69" s="11">
        <f>IF(AND(tblData[Date]&gt;StartDt2Italy,ISNUMBER(tblData[Italy])),(tblData[[#This Row],[Italy LogiP(t)]]-tblData[[#This Row],[Italy]])^2,"")</f>
        <v>1039949.2694271427</v>
      </c>
      <c r="AO69" s="44">
        <f>IF(AND(tblData[Date]&gt;StartDt2Italy,ISNUMBER(tblData[Days'# Italy])),tblData[[#This Row],[Italy LogiP(t)]]/$AM$9,"")</f>
        <v>7609.7966865664976</v>
      </c>
      <c r="AP69" s="21">
        <f>IF(ISNUMBER(tblData[[#This Row],[Days'# US]]),betaUS/(deltaUS+betaPodeltaUS*EXP(-betaUS*tblData[Days'# US])),"")</f>
        <v>18376.478153214135</v>
      </c>
      <c r="AQ69" s="11">
        <f>IF(ISNUMBER(tblData[US]),(tblData[[#This Row],[US LogiP(t)]]-tblData[US])^2,"")</f>
        <v>523483.86277642858</v>
      </c>
      <c r="AR69" s="21">
        <f>IF(ISNUMBER(tblData[[#This Row],[Days'# US]]),tblData[[#This Row],[US LogiP(t)]]/$AP$9,"")</f>
        <v>558.1691815614513</v>
      </c>
      <c r="AS69" s="21">
        <f>IF(tblData[Date]&gt;=StartDt2Korea,betaSKorea/(deltaSKorea+betaPodeltaSKorea*EXP(-betaSKorea*(tblData[Date]-StartDt2Korea))),"")</f>
        <v>8408.6362433660961</v>
      </c>
      <c r="AT69" s="21">
        <f>IF(AND(tblData[Date]&gt;=StartDt2Korea,ISNUMBER(tblData[SKorea])),(tblData[[#This Row],[SKorea LogiP(t)]]-tblData[[#This Row],[SKorea]])^2,"")</f>
        <v>59225.918042966005</v>
      </c>
      <c r="AU69" s="21">
        <f>IF(tblData[Date]&gt;=StartDt2Korea,tblData[[#This Row],[SKorea LogiP(t)]]/$AS$9,"")</f>
        <v>1635.9214481256997</v>
      </c>
      <c r="AV69" s="11">
        <f>IF(ISNUMBER(tblData[Days'# UK]),betaUK/(deltaUK+betaPodeltaUK*EXP(-betaUK*tblData[Days'# UK])),"")</f>
        <v>3942.3161205421175</v>
      </c>
      <c r="AW69" s="21">
        <f>IF(ISNUMBER(tblData[UK]),(tblData[[#This Row],[UK LogiP(t)]]-tblData[[#This Row],[UK]])^2,"")</f>
        <v>5138.5785741322343</v>
      </c>
      <c r="AX69" s="21">
        <f>IF(ISNUMBER(tblData[Days'# UK]),tblData[[#This Row],[UK LogiP(t)]]/$AV$9,"")</f>
        <v>593.3648586005595</v>
      </c>
      <c r="AY69" s="11">
        <f>IF(ISNUMBER(tblData[Days'# China]),betaChina/(deltaChina+betaPodeltaChina*EXP(-betaChina*tblData[Days'# China])),"")</f>
        <v>80953.028008210356</v>
      </c>
      <c r="AZ69" s="11">
        <f>IF(ISNUMBER(tblData[China]),(tblData[[#This Row],[China LogiP(t)]]-tblData[[#This Row],[China]])^2,"")</f>
        <v>88192.363907508174</v>
      </c>
      <c r="BA69" s="11">
        <f>tblData[[#This Row],[China LogiP(t)]]/$AY$9</f>
        <v>562.43792646283885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5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Y69"/>
      <c r="CA69"/>
      <c r="CK69" s="26"/>
      <c r="CL69" s="26"/>
      <c r="DF69" t="s">
        <v>1243</v>
      </c>
      <c r="DG69" s="82">
        <v>43912.787627314814</v>
      </c>
      <c r="DH69" s="27">
        <v>43860</v>
      </c>
      <c r="DI69" s="27">
        <v>43860</v>
      </c>
      <c r="DJ69">
        <v>6</v>
      </c>
      <c r="DK69">
        <v>0.23594006316216126</v>
      </c>
      <c r="DL69">
        <v>9.9999999999999903E-10</v>
      </c>
      <c r="DM69">
        <v>2.9674631046950263E-2</v>
      </c>
      <c r="DN69">
        <v>235940063.1621615</v>
      </c>
      <c r="DO69">
        <v>71.927182904252248</v>
      </c>
      <c r="DP69">
        <v>7.9509013190152125</v>
      </c>
      <c r="DQ69">
        <v>9.9999999999999911E-7</v>
      </c>
      <c r="DS69" s="27">
        <v>43911</v>
      </c>
      <c r="DT69" t="s">
        <v>1435</v>
      </c>
      <c r="DU69" s="26">
        <v>235940063.1621615</v>
      </c>
      <c r="DV69">
        <v>5067</v>
      </c>
      <c r="DW69" t="s">
        <v>1568</v>
      </c>
      <c r="DX69" s="27">
        <v>43911</v>
      </c>
      <c r="DY69">
        <v>52</v>
      </c>
      <c r="DZ69" t="s">
        <v>1600</v>
      </c>
      <c r="EB69" t="s">
        <v>1570</v>
      </c>
      <c r="ED69" t="s">
        <v>1601</v>
      </c>
      <c r="EE69">
        <v>762.64298615291989</v>
      </c>
      <c r="EF69" s="98">
        <v>43911</v>
      </c>
      <c r="EG69">
        <v>1</v>
      </c>
      <c r="EH69" s="98">
        <v>43910</v>
      </c>
      <c r="EI69">
        <v>2</v>
      </c>
    </row>
    <row r="70" spans="2:175" x14ac:dyDescent="0.25">
      <c r="B70" s="1">
        <f t="shared" si="9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16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>
        <v>53578</v>
      </c>
      <c r="N70" s="49">
        <f>IF(ISNUMBER(tblData[Italy]),tblData[Italy]/$N$9,"")</f>
        <v>8863.1927212572373</v>
      </c>
      <c r="O70">
        <v>25489</v>
      </c>
      <c r="P70" s="49">
        <f>IF(ISNUMBER(tblData[US]),tblData[US]/$P$9,"")</f>
        <v>774.20570743755002</v>
      </c>
      <c r="Q70">
        <v>8799</v>
      </c>
      <c r="R70" s="19">
        <f>IF(ISNUMBER(tblData[SKorea]),tblData[SKorea]/$R$9,"")</f>
        <v>1711.8677042801557</v>
      </c>
      <c r="S70">
        <v>5067</v>
      </c>
      <c r="T70" s="12">
        <f>IF(ISNUMBER(tblData[UK]),tblData[UK]/$T$9,"")</f>
        <v>762.64298615291989</v>
      </c>
      <c r="U70">
        <v>81305</v>
      </c>
      <c r="V70" s="21">
        <f>IF(ISNUMBER(tblData[China]),tblData[China]/$V$9,"")</f>
        <v>564.88332476486516</v>
      </c>
      <c r="W70" s="26">
        <f>IF(tblData[[#This Row],[Date]]&lt;ItalyStart,"",tblData[[#This Row],[Date]]-ItalyStart)</f>
        <v>51</v>
      </c>
      <c r="X70" s="26">
        <f t="shared" si="6"/>
        <v>41</v>
      </c>
      <c r="Y70" s="26">
        <f t="shared" si="2"/>
        <v>59</v>
      </c>
      <c r="Z70" s="26">
        <f>IF(tblData[[#This Row],[Date]]&lt;StartDt2Korea,"",tblData[[#This Row],[Date]]-StartDt2Korea)</f>
        <v>31</v>
      </c>
      <c r="AA70" s="26">
        <f>IF(tblData[[#This Row],[Date]]&lt;UKStart,"",tblData[[#This Row],[Date]]-UKStart)</f>
        <v>51</v>
      </c>
      <c r="AB70">
        <f>IF(tblData[Date]&gt;=StartDt2Au,tblData[Date]-StartDt2Au,"")</f>
        <v>56</v>
      </c>
      <c r="AC70" s="26">
        <f>IF(tblData[New South Wales]&gt;0,SUM(tblData[[#This Row],[Australian Capital Territory]:[Western Australia]]),"")</f>
        <v>1073</v>
      </c>
      <c r="AD70" s="12">
        <f>IF(ISNUMBER(tblData[Au]),tblData[Au]/$AA$9,"")</f>
        <v>423.04052988487621</v>
      </c>
      <c r="AE70" s="19">
        <f>IF(ISNUMBER(tblData[[#This Row],[Day'# Aust]]),betaAu/(deltaAu+betaPodeltaAu*EXP(-betaAu*tblData[[#This Row],[Day'# Aust]])),"")</f>
        <v>1084.0782105036951</v>
      </c>
      <c r="AF70" s="72">
        <f>IF(ISNUMBER(tblData[Day'# Aust]),tblData[Au LogiP(t)]/$AD$9,"")</f>
        <v>427.40822051084024</v>
      </c>
      <c r="AG70" s="11">
        <f>IF(AND(tblData[Date]&gt;=StartDt2Au,ISNUMBER(tblData[NSW])),(tblData[[#This Row],[Au LogiP(t)]]-tblData[[#This Row],[Au]])^2,"")</f>
        <v>122.72674796418084</v>
      </c>
      <c r="AH70">
        <f>IF(tblData[Date]&gt;StartDt2NSW,tblData[Date]-StartDt2NSW,"")</f>
        <v>56</v>
      </c>
      <c r="AI70">
        <f t="shared" si="8"/>
        <v>436</v>
      </c>
      <c r="AJ70" s="11">
        <f>IF(tblData[Date]&gt;StartDt2NSW,betaNSW/(deltaNSW+betaPodeltaNSW*EXP(-betaNSW*tblData[[#This Row],[Day '# NSW]])),"")</f>
        <v>445.77369065494179</v>
      </c>
      <c r="AK70" s="12">
        <f>IF(AND(ISNUMBER(tblData[NSW]),tblData[Date]&gt;StartDt2NSW),(tblData[[#This Row],[NSW LogiP(t)]]-tblData[[#This Row],[NSW]])^2,"")</f>
        <v>95.52502901849644</v>
      </c>
      <c r="AL70" s="12">
        <f>IF(AND(tblData[Date]&gt;StartDt2NSW,ISNUMBER(tblData[Day'# Aust])),tblData[NSW LogiP(t)]/$AG$9,"")</f>
        <v>551.70011219671005</v>
      </c>
      <c r="AM70" s="11">
        <f>IF(AND(tblData[Date]&gt;StartDt2Italy,ISNUMBER(tblData[Days'# Italy])),betaItaly/(deltaItaly+betaPodeltaItaly*EXP(-betaItaly*tblData[Days'# Italy])),"")</f>
        <v>48686.605536305768</v>
      </c>
      <c r="AN70" s="11">
        <f>IF(AND(tblData[Date]&gt;StartDt2Italy,ISNUMBER(tblData[Italy])),(tblData[[#This Row],[Italy LogiP(t)]]-tblData[[#This Row],[Italy]])^2,"")</f>
        <v>23925739.799458586</v>
      </c>
      <c r="AO70" s="44">
        <f>IF(AND(tblData[Date]&gt;StartDt2Italy,ISNUMBER(tblData[Days'# Italy])),tblData[[#This Row],[Italy LogiP(t)]]/$AM$9,"")</f>
        <v>8054.0290382639814</v>
      </c>
      <c r="AP70" s="21">
        <f>IF(ISNUMBER(tblData[[#This Row],[Days'# US]]),betaUS/(deltaUS+betaPodeltaUS*EXP(-betaUS*tblData[Days'# US])),"")</f>
        <v>25746.602606426026</v>
      </c>
      <c r="AQ70" s="11">
        <f>IF(ISNUMBER(tblData[US]),(tblData[[#This Row],[US LogiP(t)]]-tblData[US])^2,"")</f>
        <v>66359.102837481987</v>
      </c>
      <c r="AR70" s="21">
        <f>IF(ISNUMBER(tblData[[#This Row],[Days'# US]]),tblData[[#This Row],[US LogiP(t)]]/$AP$9,"")</f>
        <v>782.03015751977443</v>
      </c>
      <c r="AS70" s="21">
        <f>IF(tblData[Date]&gt;=StartDt2Korea,betaSKorea/(deltaSKorea+betaPodeltaSKorea*EXP(-betaSKorea*(tblData[Date]-StartDt2Korea))),"")</f>
        <v>8416.2528502238292</v>
      </c>
      <c r="AT70" s="21">
        <f>IF(AND(tblData[Date]&gt;=StartDt2Korea,ISNUMBER(tblData[SKorea])),(tblData[[#This Row],[SKorea LogiP(t)]]-tblData[[#This Row],[SKorea]])^2,"")</f>
        <v>146495.38066178249</v>
      </c>
      <c r="AU70" s="21">
        <f>IF(tblData[Date]&gt;=StartDt2Korea,tblData[[#This Row],[SKorea LogiP(t)]]/$AS$9,"")</f>
        <v>1637.4032782536633</v>
      </c>
      <c r="AV70" s="11">
        <f>IF(ISNUMBER(tblData[Days'# UK]),betaUK/(deltaUK+betaPodeltaUK*EXP(-betaUK*tblData[Days'# UK])),"")</f>
        <v>4991.338026429954</v>
      </c>
      <c r="AW70" s="21">
        <f>IF(ISNUMBER(tblData[UK]),(tblData[[#This Row],[UK LogiP(t)]]-tblData[[#This Row],[UK]])^2,"")</f>
        <v>5724.734244514344</v>
      </c>
      <c r="AX70" s="21">
        <f>IF(ISNUMBER(tblData[Days'# UK]),tblData[[#This Row],[UK LogiP(t)]]/$AV$9,"")</f>
        <v>751.25497086543555</v>
      </c>
      <c r="AY70" s="11">
        <f>IF(ISNUMBER(tblData[Days'# China]),betaChina/(deltaChina+betaPodeltaChina*EXP(-betaChina*tblData[Days'# China])),"")</f>
        <v>80955.141509972687</v>
      </c>
      <c r="AZ70" s="11">
        <f>IF(ISNUMBER(tblData[China]),(tblData[[#This Row],[China LogiP(t)]]-tblData[[#This Row],[China]])^2,"")</f>
        <v>122400.96304419123</v>
      </c>
      <c r="BA70" s="11">
        <f>tblData[[#This Row],[China LogiP(t)]]/$AY$9</f>
        <v>562.45261045401287</v>
      </c>
      <c r="BB70" s="11">
        <v>46456</v>
      </c>
      <c r="BC70" s="11"/>
      <c r="BD70" s="11">
        <f>IF(ISNUMBER(tblData[[#This Row],[NSW Number of Tests]]),tblData[[#This Row],[NSW Number of Tests]]-BB69,"")</f>
        <v>6158</v>
      </c>
      <c r="BE70" s="11" t="str">
        <f>IF(ISNUMBER(tblData[[#This Row],[NSW Under Investigation'']]),tblData[[#This Row],[NSW Under Investigation'']]-BC69,"")</f>
        <v/>
      </c>
      <c r="BF70" s="11">
        <f t="shared" si="5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>
        <f>IF(ISNUMBER(tblData[[#This Row],[NSW Number of Tests]]),(tblData[[#This Row],[NSW Number of Tests]]-tblData[[#This Row],[NSW Test Logi]])^2,"")</f>
        <v>27229286.507314503</v>
      </c>
      <c r="BY70"/>
      <c r="CA70"/>
      <c r="CK70" s="26"/>
      <c r="CL70" s="26"/>
      <c r="DF70" t="s">
        <v>981</v>
      </c>
      <c r="DJ70">
        <v>7</v>
      </c>
      <c r="DK70" s="23">
        <v>0.20209478104227763</v>
      </c>
      <c r="DL70" s="25">
        <v>1.0000000000000751E-10</v>
      </c>
      <c r="DM70" s="22">
        <v>5.7886977342360797E-3</v>
      </c>
      <c r="DN70" s="24">
        <v>2020947810.4226243</v>
      </c>
      <c r="DO70" s="22">
        <v>1385.0469640460797</v>
      </c>
      <c r="DP70" s="37">
        <v>34.911959532184611</v>
      </c>
      <c r="DQ70" s="24">
        <v>1.0000000000000751E-7</v>
      </c>
      <c r="DR70" s="24"/>
      <c r="DS70" s="27">
        <v>43908</v>
      </c>
      <c r="DT70" s="27" t="s">
        <v>995</v>
      </c>
      <c r="DU70" s="27"/>
      <c r="DV70">
        <v>33387</v>
      </c>
      <c r="DW70" t="s">
        <v>996</v>
      </c>
      <c r="DX70" s="27">
        <v>43908</v>
      </c>
      <c r="DY70" s="19">
        <v>13</v>
      </c>
      <c r="DZ70" s="27" t="s">
        <v>997</v>
      </c>
      <c r="EB70" t="s">
        <v>1027</v>
      </c>
      <c r="ED70" s="18" t="s">
        <v>1028</v>
      </c>
      <c r="EG70" s="19"/>
    </row>
    <row r="71" spans="2:175" x14ac:dyDescent="0.25">
      <c r="B71" s="1">
        <f t="shared" si="9"/>
        <v>43912</v>
      </c>
      <c r="D71" s="26">
        <v>19</v>
      </c>
      <c r="E71">
        <v>533</v>
      </c>
      <c r="F71">
        <v>5</v>
      </c>
      <c r="G71">
        <v>259</v>
      </c>
      <c r="H71">
        <v>100</v>
      </c>
      <c r="I71">
        <v>22</v>
      </c>
      <c r="J71">
        <v>296</v>
      </c>
      <c r="K71">
        <v>120</v>
      </c>
      <c r="L71" s="12">
        <f>IF(ISNUMBER(tblData[[#This Row],[NSW]]),tblData[[#This Row],[New South Wales]]/$L$9,"")</f>
        <v>659.65346534653463</v>
      </c>
      <c r="M71" s="26"/>
      <c r="N71" s="49" t="str">
        <f>IF(ISNUMBER(tblData[Italy]),tblData[Italy]/$N$9,"")</f>
        <v/>
      </c>
      <c r="P71" s="49" t="str">
        <f>IF(ISNUMBER(tblData[US]),tblData[US]/$P$9,"")</f>
        <v/>
      </c>
      <c r="Q71">
        <v>8897</v>
      </c>
      <c r="R71" s="19">
        <f>IF(ISNUMBER(tblData[SKorea]),tblData[SKorea]/$R$9,"")</f>
        <v>1730.933852140078</v>
      </c>
      <c r="T71" s="12" t="str">
        <f>IF(ISNUMBER(tblData[UK]),tblData[UK]/$T$9,"")</f>
        <v/>
      </c>
      <c r="U71">
        <v>81349</v>
      </c>
      <c r="V71" s="21">
        <f>IF(ISNUMBER(tblData[China]),tblData[China]/$V$9,"")</f>
        <v>565.1890238767237</v>
      </c>
      <c r="W71" s="26">
        <f>IF(tblData[[#This Row],[Date]]&lt;ItalyStart,"",tblData[[#This Row],[Date]]-ItalyStart)</f>
        <v>52</v>
      </c>
      <c r="X71" s="26">
        <f t="shared" si="6"/>
        <v>42</v>
      </c>
      <c r="Y71" s="26">
        <f t="shared" si="2"/>
        <v>60</v>
      </c>
      <c r="Z71" s="26">
        <f>IF(tblData[[#This Row],[Date]]&lt;StartDt2Korea,"",tblData[[#This Row],[Date]]-StartDt2Korea)</f>
        <v>32</v>
      </c>
      <c r="AA71" s="26">
        <f>IF(tblData[[#This Row],[Date]]&lt;UKStart,"",tblData[[#This Row],[Date]]-UKStart)</f>
        <v>52</v>
      </c>
      <c r="AB71">
        <f>IF(tblData[Date]&gt;=StartDt2Au,tblData[Date]-StartDt2Au,"")</f>
        <v>57</v>
      </c>
      <c r="AC71" s="26">
        <f>IF(tblData[New South Wales]&gt;0,SUM(tblData[[#This Row],[Australian Capital Territory]:[Western Australia]]),"")</f>
        <v>1354</v>
      </c>
      <c r="AD71" s="12">
        <f>IF(ISNUMBER(tblData[Au]),tblData[Au]/$AA$9,"")</f>
        <v>533.82747200756978</v>
      </c>
      <c r="AE71" s="19">
        <f>IF(ISNUMBER(tblData[[#This Row],[Day'# Aust]]),betaAu/(deltaAu+betaPodeltaAu*EXP(-betaAu*tblData[[#This Row],[Day'# Aust]])),"")</f>
        <v>1337.8501747902787</v>
      </c>
      <c r="AF71" s="72">
        <f>IF(ISNUMBER(tblData[Day'# Aust]),tblData[Au LogiP(t)]/$AD$9,"")</f>
        <v>527.46024869511064</v>
      </c>
      <c r="AG71" s="11">
        <f>IF(AND(tblData[Date]&gt;=StartDt2Au,ISNUMBER(tblData[NSW])),(tblData[[#This Row],[Au LogiP(t)]]-tblData[[#This Row],[Au]])^2,"")</f>
        <v>260.81685430454826</v>
      </c>
      <c r="AH71">
        <f>IF(tblData[Date]&gt;StartDt2NSW,tblData[Date]-StartDt2NSW,"")</f>
        <v>57</v>
      </c>
      <c r="AI71" s="26">
        <f t="shared" si="8"/>
        <v>533</v>
      </c>
      <c r="AJ71" s="11">
        <f>IF(tblData[Date]&gt;StartDt2NSW,betaNSW/(deltaNSW+betaPodeltaNSW*EXP(-betaNSW*tblData[[#This Row],[Day '# NSW]])),"")</f>
        <v>531.54071886418478</v>
      </c>
      <c r="AK71" s="12">
        <f>IF(AND(ISNUMBER(tblData[NSW]),tblData[Date]&gt;StartDt2NSW),(tblData[[#This Row],[NSW LogiP(t)]]-tblData[[#This Row],[NSW]])^2,"")</f>
        <v>2.1295014333461513</v>
      </c>
      <c r="AL71" s="12">
        <f>IF(AND(tblData[Date]&gt;StartDt2NSW,ISNUMBER(tblData[Day'# Aust])),tblData[NSW LogiP(t)]/$AG$9,"")</f>
        <v>657.84742433686233</v>
      </c>
      <c r="AM71" s="11">
        <f>IF(AND(tblData[Date]&gt;StartDt2Italy,ISNUMBER(tblData[Days'# Italy])),betaItaly/(deltaItaly+betaPodeltaItaly*EXP(-betaItaly*tblData[Days'# Italy])),"")</f>
        <v>50982.588914519059</v>
      </c>
      <c r="AN71" s="11" t="str">
        <f>IF(AND(tblData[Date]&gt;StartDt2Italy,ISNUMBER(tblData[Italy])),(tblData[[#This Row],[Italy LogiP(t)]]-tblData[[#This Row],[Italy]])^2,"")</f>
        <v/>
      </c>
      <c r="AO71" s="44">
        <f>IF(AND(tblData[Date]&gt;StartDt2Italy,ISNUMBER(tblData[Days'# Italy])),tblData[[#This Row],[Italy LogiP(t)]]/$AM$9,"")</f>
        <v>8433.8443200196962</v>
      </c>
      <c r="AP71" s="21">
        <f>IF(ISNUMBER(tblData[[#This Row],[Days'# US]]),betaUS/(deltaUS+betaPodeltaUS*EXP(-betaUS*tblData[Days'# US])),"")</f>
        <v>36072.57926226499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1095.6725154709468</v>
      </c>
      <c r="AS71" s="21">
        <f>IF(tblData[Date]&gt;=StartDt2Korea,betaSKorea/(deltaSKorea+betaPodeltaSKorea*EXP(-betaSKorea*(tblData[Date]-StartDt2Korea))),"")</f>
        <v>8421.8183614124428</v>
      </c>
      <c r="AT71" s="21">
        <f>IF(AND(tblData[Date]&gt;=StartDt2Korea,ISNUMBER(tblData[SKorea])),(tblData[[#This Row],[SKorea LogiP(t)]]-tblData[[#This Row],[SKorea]])^2,"")</f>
        <v>225797.58965075586</v>
      </c>
      <c r="AU71" s="21">
        <f>IF(tblData[Date]&gt;=StartDt2Korea,tblData[[#This Row],[SKorea LogiP(t)]]/$AS$9,"")</f>
        <v>1638.4860625316037</v>
      </c>
      <c r="AV71" s="11">
        <f>IF(ISNUMBER(tblData[Days'# UK]),betaUK/(deltaUK+betaPodeltaUK*EXP(-betaUK*tblData[Days'# UK])),"")</f>
        <v>6319.4896241514234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951.15737871032866</v>
      </c>
      <c r="AY71" s="11">
        <f>IF(ISNUMBER(tblData[Days'# China]),betaChina/(deltaChina+betaPodeltaChina*EXP(-betaChina*tblData[Days'# China])),"")</f>
        <v>80956.834083540292</v>
      </c>
      <c r="AZ71" s="11">
        <f>IF(ISNUMBER(tblData[China]),(tblData[[#This Row],[China LogiP(t)]]-tblData[[#This Row],[China]])^2,"")</f>
        <v>153794.10603268241</v>
      </c>
      <c r="BA71" s="11">
        <f>tblData[[#This Row],[China LogiP(t)]]/$AY$9</f>
        <v>562.46436995938495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5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Y71"/>
      <c r="CA71"/>
      <c r="CK71" s="26"/>
      <c r="CL71" s="26"/>
      <c r="DF71" t="s">
        <v>981</v>
      </c>
      <c r="DG71" s="82">
        <v>43911.866342592592</v>
      </c>
      <c r="DI71" s="27">
        <v>43896</v>
      </c>
      <c r="DJ71">
        <v>7</v>
      </c>
      <c r="DK71">
        <v>0.20209478104227763</v>
      </c>
      <c r="DL71">
        <v>1.0000000000000751E-10</v>
      </c>
      <c r="DM71">
        <v>5.7886977342360797E-3</v>
      </c>
      <c r="DN71">
        <v>2020947810.4226243</v>
      </c>
      <c r="DO71" s="19">
        <v>1753.8770216205796</v>
      </c>
      <c r="DP71" s="12">
        <v>34.911959532184611</v>
      </c>
      <c r="DQ71">
        <v>1.0000000000000751E-7</v>
      </c>
      <c r="DS71" s="27">
        <v>43910</v>
      </c>
      <c r="DT71" t="s">
        <v>995</v>
      </c>
      <c r="DV71">
        <v>40298</v>
      </c>
      <c r="DW71" t="s">
        <v>996</v>
      </c>
      <c r="DX71" s="27">
        <v>43910</v>
      </c>
      <c r="DY71">
        <v>15</v>
      </c>
      <c r="DZ71" t="s">
        <v>997</v>
      </c>
      <c r="EB71" t="s">
        <v>1027</v>
      </c>
      <c r="ED71" t="s">
        <v>1412</v>
      </c>
    </row>
    <row r="72" spans="2:175" x14ac:dyDescent="0.25">
      <c r="B72" s="1">
        <f t="shared" si="9"/>
        <v>43913</v>
      </c>
      <c r="D72" s="26"/>
      <c r="L72" s="12" t="str">
        <f>IF(ISNUMBER(tblData[[#This Row],[NSW]]),tblData[[#This Row],[New South Wales]]/$L$9,"")</f>
        <v/>
      </c>
      <c r="M72" s="26"/>
      <c r="N72" s="49" t="str">
        <f>IF(ISNUMBER(tblData[Italy]),tblData[Italy]/$N$9,"")</f>
        <v/>
      </c>
      <c r="O72" s="26"/>
      <c r="P72" s="49" t="str">
        <f>IF(ISNUMBER(tblData[US]),tblData[US]/$P$9,"")</f>
        <v/>
      </c>
      <c r="Q72" s="49"/>
      <c r="R72" s="19" t="str">
        <f>IF(ISNUMBER(tblData[SKorea]),tblData[SKorea]/$R$9,"")</f>
        <v/>
      </c>
      <c r="S72" s="49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6"/>
        <v>43</v>
      </c>
      <c r="Y72" s="26">
        <f t="shared" si="2"/>
        <v>61</v>
      </c>
      <c r="Z72" s="26">
        <f>IF(tblData[[#This Row],[Date]]&lt;StartDt2Korea,"",tblData[[#This Row],[Date]]-StartDt2Korea)</f>
        <v>33</v>
      </c>
      <c r="AA72" s="26">
        <f>IF(tblData[[#This Row],[Date]]&lt;UKStart,"",tblData[[#This Row],[Date]]-UKStart)</f>
        <v>53</v>
      </c>
      <c r="AB72">
        <f>IF(tblData[Date]&gt;=StartDt2Au,tblData[Date]-StartDt2Au,"")</f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IF(ISNUMBER(tblData[Au]),tblData[Au]/$AA$9,"")</f>
        <v/>
      </c>
      <c r="AE72" s="19">
        <f>IF(ISNUMBER(tblData[[#This Row],[Day'# Aust]]),betaAu/(deltaAu+betaPodeltaAu*EXP(-betaAu*tblData[[#This Row],[Day'# Aust]])),"")</f>
        <v>1651.027594036294</v>
      </c>
      <c r="AF72" s="72">
        <f>IF(ISNUMBER(tblData[Day'# Aust]),tblData[Au LogiP(t)]/$AD$9,"")</f>
        <v>650.93344663156211</v>
      </c>
      <c r="AG72" s="11" t="str">
        <f>IF(AND(tblData[Date]&gt;=StartDt2Au,ISNUMBER(tblData[NSW])),(tblData[[#This Row],[Au LogiP(t)]]-tblData[[#This Row],[Au]])^2,"")</f>
        <v/>
      </c>
      <c r="AH72">
        <f>IF(tblData[Date]&gt;StartDt2NSW,tblData[Date]-StartDt2NSW,"")</f>
        <v>58</v>
      </c>
      <c r="AI72" t="str">
        <f t="shared" si="8"/>
        <v/>
      </c>
      <c r="AJ72" s="11">
        <f>IF(tblData[Date]&gt;StartDt2NSW,betaNSW/(deltaNSW+betaPodeltaNSW*EXP(-betaNSW*tblData[[#This Row],[Day '# NSW]])),"")</f>
        <v>630.11587986487575</v>
      </c>
      <c r="AK72" s="12" t="str">
        <f>IF(AND(ISNUMBER(tblData[NSW]),tblData[Date]&gt;StartDt2NSW),(tblData[[#This Row],[NSW LogiP(t)]]-tblData[[#This Row],[NSW]])^2,"")</f>
        <v/>
      </c>
      <c r="AL72" s="12">
        <f>IF(AND(tblData[Date]&gt;StartDt2NSW,ISNUMBER(tblData[Day'# Aust])),tblData[NSW LogiP(t)]/$AG$9,"")</f>
        <v>779.84638597138087</v>
      </c>
      <c r="AM72" s="11">
        <f>IF(AND(tblData[Date]&gt;StartDt2Italy,ISNUMBER(tblData[Days'# Italy])),betaItaly/(deltaItaly+betaPodeltaItaly*EXP(-betaItaly*tblData[Days'# Italy])),"")</f>
        <v>52907.387474364317</v>
      </c>
      <c r="AN72" s="11" t="str">
        <f>IF(AND(tblData[Date]&gt;StartDt2Italy,ISNUMBER(tblData[Italy])),(tblData[[#This Row],[Italy LogiP(t)]]-tblData[[#This Row],[Italy]])^2,"")</f>
        <v/>
      </c>
      <c r="AO72" s="44">
        <f>IF(AND(tblData[Date]&gt;StartDt2Italy,ISNUMBER(tblData[Days'# Italy])),tblData[[#This Row],[Italy LogiP(t)]]/$AM$9,"")</f>
        <v>8752.2559924506731</v>
      </c>
      <c r="AP72" s="21">
        <f>IF(ISNUMBER(tblData[[#This Row],[Days'# US]]),betaUS/(deltaUS+betaPodeltaUS*EXP(-betaUS*tblData[Days'# US])),"")</f>
        <v>50539.847783114972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1535.1029309393316</v>
      </c>
      <c r="AS72" s="21">
        <f>IF(tblData[Date]&gt;=StartDt2Korea,betaSKorea/(deltaSKorea+betaPodeltaSKorea*EXP(-betaSKorea*(tblData[Date]-StartDt2Korea))),"")</f>
        <v>8425.883402562642</v>
      </c>
      <c r="AT72" s="21" t="str">
        <f>IF(AND(tblData[Date]&gt;=StartDt2Korea,ISNUMBER(tblData[SKorea])),(tblData[[#This Row],[SKorea LogiP(t)]]-tblData[[#This Row],[SKorea]])^2,"")</f>
        <v/>
      </c>
      <c r="AU72" s="21">
        <f>IF(tblData[Date]&gt;=StartDt2Korea,tblData[[#This Row],[SKorea LogiP(t)]]/$AS$9,"")</f>
        <v>1639.2769265686075</v>
      </c>
      <c r="AV72" s="11">
        <f>IF(ISNUMBER(tblData[Days'# UK]),betaUK/(deltaUK+betaPodeltaUK*EXP(-betaUK*tblData[Days'# UK])),"")</f>
        <v>8001.0388152254627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1204.2502732127427</v>
      </c>
      <c r="AY72" s="11">
        <f>IF(ISNUMBER(tblData[Days'# China]),betaChina/(deltaChina+betaPodeltaChina*EXP(-betaChina*tblData[Days'# China])),"")</f>
        <v>80958.189548913244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562.47378733576375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5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Y72"/>
      <c r="CA72"/>
      <c r="CK72" s="26"/>
      <c r="CL72" s="26"/>
      <c r="DF72" t="s">
        <v>981</v>
      </c>
      <c r="DJ72">
        <v>7</v>
      </c>
      <c r="DK72">
        <v>0.20209478104227763</v>
      </c>
      <c r="DL72">
        <v>1.0000000000000751E-10</v>
      </c>
      <c r="DM72">
        <v>5.7886977342360797E-3</v>
      </c>
      <c r="DN72">
        <v>2020947810.4226243</v>
      </c>
      <c r="DO72" s="19">
        <v>1753.8770216205796</v>
      </c>
      <c r="DP72" s="12">
        <v>34.911959532184611</v>
      </c>
      <c r="DQ72">
        <v>1.0000000000000751E-7</v>
      </c>
      <c r="DS72" s="27">
        <v>43910</v>
      </c>
      <c r="DT72" t="s">
        <v>995</v>
      </c>
      <c r="DV72">
        <v>40298</v>
      </c>
      <c r="DW72" t="s">
        <v>996</v>
      </c>
      <c r="DX72" s="27">
        <v>43910</v>
      </c>
      <c r="DY72">
        <v>15</v>
      </c>
      <c r="DZ72" t="s">
        <v>997</v>
      </c>
      <c r="EB72" t="s">
        <v>1027</v>
      </c>
      <c r="ED72" t="s">
        <v>1319</v>
      </c>
    </row>
    <row r="73" spans="2:175" x14ac:dyDescent="0.25">
      <c r="B73" s="1">
        <f t="shared" si="9"/>
        <v>43914</v>
      </c>
      <c r="D73" s="26"/>
      <c r="L73" s="12" t="str">
        <f>IF(ISNUMBER(tblData[[#This Row],[NSW]]),tblData[[#This Row],[New South Wales]]/$L$9,"")</f>
        <v/>
      </c>
      <c r="M73" s="26"/>
      <c r="N73" s="49" t="str">
        <f>IF(ISNUMBER(tblData[Italy]),tblData[Italy]/$N$9,"")</f>
        <v/>
      </c>
      <c r="O73" s="26"/>
      <c r="P73" s="49" t="str">
        <f>IF(ISNUMBER(tblData[US]),tblData[US]/$P$9,"")</f>
        <v/>
      </c>
      <c r="Q73" s="49"/>
      <c r="R73" s="19" t="str">
        <f>IF(ISNUMBER(tblData[SKorea]),tblData[SKorea]/$R$9,"")</f>
        <v/>
      </c>
      <c r="S73" s="49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6"/>
        <v>44</v>
      </c>
      <c r="Y73" s="26">
        <f t="shared" si="2"/>
        <v>62</v>
      </c>
      <c r="Z73" s="26">
        <f>IF(tblData[[#This Row],[Date]]&lt;StartDt2Korea,"",tblData[[#This Row],[Date]]-StartDt2Korea)</f>
        <v>34</v>
      </c>
      <c r="AA73" s="26">
        <f>IF(tblData[[#This Row],[Date]]&lt;UKStart,"",tblData[[#This Row],[Date]]-UKStart)</f>
        <v>54</v>
      </c>
      <c r="AB73">
        <f>IF(tblData[Date]&gt;=StartDt2Au,tblData[Date]-StartDt2Au,"")</f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IF(ISNUMBER(tblData[Au]),tblData[Au]/$AA$9,"")</f>
        <v/>
      </c>
      <c r="AE73" s="19">
        <f>IF(ISNUMBER(tblData[[#This Row],[Day'# Aust]]),betaAu/(deltaAu+betaPodeltaAu*EXP(-betaAu*tblData[[#This Row],[Day'# Aust]])),"")</f>
        <v>2037.516661150667</v>
      </c>
      <c r="AF73" s="72">
        <f>IF(ISNUMBER(tblData[Day'# Aust]),tblData[Au LogiP(t)]/$AD$9,"")</f>
        <v>803.31046410292822</v>
      </c>
      <c r="AG73" s="11" t="str">
        <f>IF(AND(tblData[Date]&gt;=StartDt2Au,ISNUMBER(tblData[NSW])),(tblData[[#This Row],[Au LogiP(t)]]-tblData[[#This Row],[Au]])^2,"")</f>
        <v/>
      </c>
      <c r="AH73">
        <f>IF(tblData[Date]&gt;StartDt2NSW,tblData[Date]-StartDt2NSW,"")</f>
        <v>59</v>
      </c>
      <c r="AI73" t="str">
        <f t="shared" si="8"/>
        <v/>
      </c>
      <c r="AJ73" s="11">
        <f>IF(tblData[Date]&gt;StartDt2NSW,betaNSW/(deltaNSW+betaPodeltaNSW*EXP(-betaNSW*tblData[[#This Row],[Day '# NSW]])),"")</f>
        <v>742.00229084212549</v>
      </c>
      <c r="AK73" s="12" t="str">
        <f>IF(AND(ISNUMBER(tblData[NSW]),tblData[Date]&gt;StartDt2NSW),(tblData[[#This Row],[NSW LogiP(t)]]-tblData[[#This Row],[NSW]])^2,"")</f>
        <v/>
      </c>
      <c r="AL73" s="12">
        <f>IF(AND(tblData[Date]&gt;StartDt2NSW,ISNUMBER(tblData[Day'# Aust])),tblData[NSW LogiP(t)]/$AG$9,"")</f>
        <v>918.31966688381863</v>
      </c>
      <c r="AM73" s="11">
        <f>IF(AND(tblData[Date]&gt;StartDt2Italy,ISNUMBER(tblData[Days'# Italy])),betaItaly/(deltaItaly+betaPodeltaItaly*EXP(-betaItaly*tblData[Days'# Italy])),"")</f>
        <v>54494.568046815555</v>
      </c>
      <c r="AN73" s="11" t="str">
        <f>IF(AND(tblData[Date]&gt;StartDt2Italy,ISNUMBER(tblData[Italy])),(tblData[[#This Row],[Italy LogiP(t)]]-tblData[[#This Row],[Italy]])^2,"")</f>
        <v/>
      </c>
      <c r="AO73" s="44">
        <f>IF(AND(tblData[Date]&gt;StartDt2Italy,ISNUMBER(tblData[Days'# Italy])),tblData[[#This Row],[Italy LogiP(t)]]/$AM$9,"")</f>
        <v>9014.8168811936412</v>
      </c>
      <c r="AP73" s="21">
        <f>IF(ISNUMBER(tblData[[#This Row],[Days'# US]]),betaUS/(deltaUS+betaPodeltaUS*EXP(-betaUS*tblData[Days'# US])),"")</f>
        <v>70809.237137997538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2150.7676068710666</v>
      </c>
      <c r="AS73" s="21">
        <f>IF(tblData[Date]&gt;=StartDt2Korea,betaSKorea/(deltaSKorea+betaPodeltaSKorea*EXP(-betaSKorea*(tblData[Date]-StartDt2Korea))),"")</f>
        <v>8428.8515857331076</v>
      </c>
      <c r="AT73" s="21" t="str">
        <f>IF(AND(tblData[Date]&gt;=StartDt2Korea,ISNUMBER(tblData[SKorea])),(tblData[[#This Row],[SKorea LogiP(t)]]-tblData[[#This Row],[SKorea]])^2,"")</f>
        <v/>
      </c>
      <c r="AU73" s="21">
        <f>IF(tblData[Date]&gt;=StartDt2Korea,tblData[[#This Row],[SKorea LogiP(t)]]/$AS$9,"")</f>
        <v>1639.8543941114997</v>
      </c>
      <c r="AV73" s="11">
        <f>IF(ISNUMBER(tblData[Days'# UK]),betaUK/(deltaUK+betaPodeltaUK*EXP(-betaUK*tblData[Days'# UK])),"")</f>
        <v>10130.011207298507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1524.685612176175</v>
      </c>
      <c r="AY73" s="11">
        <f>IF(ISNUMBER(tblData[Days'# China]),betaChina/(deltaChina+betaPodeltaChina*EXP(-betaChina*tblData[Days'# China])),"")</f>
        <v>80959.275039454937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562.48132900609392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5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Y73"/>
      <c r="CA73"/>
      <c r="CK73" s="26"/>
      <c r="CL73" s="26"/>
      <c r="DF73" t="s">
        <v>981</v>
      </c>
      <c r="DG73" s="82">
        <v>43911.89398148148</v>
      </c>
      <c r="DI73" s="27">
        <v>43896</v>
      </c>
      <c r="DJ73">
        <v>7</v>
      </c>
      <c r="DK73">
        <v>0.20209478104227763</v>
      </c>
      <c r="DL73">
        <v>1.0000000000000751E-10</v>
      </c>
      <c r="DM73">
        <v>5.7886977342360797E-3</v>
      </c>
      <c r="DN73">
        <v>2020947810.4226243</v>
      </c>
      <c r="DO73">
        <v>2141.4153557262753</v>
      </c>
      <c r="DP73">
        <v>34.911959532184611</v>
      </c>
      <c r="DQ73">
        <v>1.0000000000000751E-7</v>
      </c>
      <c r="DS73" s="27">
        <v>43911</v>
      </c>
      <c r="DT73" t="s">
        <v>995</v>
      </c>
      <c r="DV73">
        <v>46456</v>
      </c>
      <c r="DW73" t="s">
        <v>996</v>
      </c>
      <c r="DX73" s="27">
        <v>43911</v>
      </c>
      <c r="DY73">
        <v>16</v>
      </c>
      <c r="DZ73" t="s">
        <v>997</v>
      </c>
      <c r="EB73" t="s">
        <v>1027</v>
      </c>
      <c r="ED73" t="s">
        <v>1413</v>
      </c>
    </row>
    <row r="74" spans="2:175" x14ac:dyDescent="0.25">
      <c r="B74" s="1">
        <f t="shared" si="9"/>
        <v>43915</v>
      </c>
      <c r="D74" s="26"/>
      <c r="L74" s="12" t="str">
        <f>IF(ISNUMBER(tblData[[#This Row],[NSW]]),tblData[[#This Row],[New South Wales]]/$L$9,"")</f>
        <v/>
      </c>
      <c r="M74" s="26"/>
      <c r="N74" s="49" t="str">
        <f>IF(ISNUMBER(tblData[Italy]),tblData[Italy]/$N$9,"")</f>
        <v/>
      </c>
      <c r="O74" s="26"/>
      <c r="P74" s="49" t="str">
        <f>IF(ISNUMBER(tblData[US]),tblData[US]/$P$9,"")</f>
        <v/>
      </c>
      <c r="Q74" s="49"/>
      <c r="R74" s="19" t="str">
        <f>IF(ISNUMBER(tblData[SKorea]),tblData[SKorea]/$R$9,"")</f>
        <v/>
      </c>
      <c r="S74" s="49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6"/>
        <v>45</v>
      </c>
      <c r="Y74" s="26">
        <f t="shared" si="2"/>
        <v>63</v>
      </c>
      <c r="Z74" s="26">
        <f>IF(tblData[[#This Row],[Date]]&lt;StartDt2Korea,"",tblData[[#This Row],[Date]]-StartDt2Korea)</f>
        <v>35</v>
      </c>
      <c r="AA74" s="26">
        <f>IF(tblData[[#This Row],[Date]]&lt;UKStart,"",tblData[[#This Row],[Date]]-UKStart)</f>
        <v>55</v>
      </c>
      <c r="AB74">
        <f>IF(tblData[Date]&gt;=StartDt2Au,tblData[Date]-StartDt2Au,"")</f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IF(ISNUMBER(tblData[Au]),tblData[Au]/$AA$9,"")</f>
        <v/>
      </c>
      <c r="AE74" s="19">
        <f>IF(ISNUMBER(tblData[[#This Row],[Day'# Aust]]),betaAu/(deltaAu+betaPodeltaAu*EXP(-betaAu*tblData[[#This Row],[Day'# Aust]])),"")</f>
        <v>2514.4788499539636</v>
      </c>
      <c r="AF74" s="72">
        <f>IF(ISNUMBER(tblData[Day'# Aust]),tblData[Au LogiP(t)]/$AD$9,"")</f>
        <v>991.35737657860102</v>
      </c>
      <c r="AG74" s="11" t="str">
        <f>IF(AND(tblData[Date]&gt;=StartDt2Au,ISNUMBER(tblData[NSW])),(tblData[[#This Row],[Au LogiP(t)]]-tblData[[#This Row],[Au]])^2,"")</f>
        <v/>
      </c>
      <c r="AH74">
        <f>IF(tblData[Date]&gt;StartDt2NSW,tblData[Date]-StartDt2NSW,"")</f>
        <v>60</v>
      </c>
      <c r="AI74" t="str">
        <f t="shared" si="8"/>
        <v/>
      </c>
      <c r="AJ74" s="11">
        <f>IF(tblData[Date]&gt;StartDt2NSW,betaNSW/(deltaNSW+betaPodeltaNSW*EXP(-betaNSW*tblData[[#This Row],[Day '# NSW]])),"")</f>
        <v>867.20705753596144</v>
      </c>
      <c r="AK74" s="12" t="str">
        <f>IF(AND(ISNUMBER(tblData[NSW]),tblData[Date]&gt;StartDt2NSW),(tblData[[#This Row],[NSW LogiP(t)]]-tblData[[#This Row],[NSW]])^2,"")</f>
        <v/>
      </c>
      <c r="AL74" s="12">
        <f>IF(AND(tblData[Date]&gt;StartDt2NSW,ISNUMBER(tblData[Day'# Aust])),tblData[NSW LogiP(t)]/$AG$9,"")</f>
        <v>1073.2760613068829</v>
      </c>
      <c r="AM74" s="11">
        <f>IF(AND(tblData[Date]&gt;StartDt2Italy,ISNUMBER(tblData[Days'# Italy])),betaItaly/(deltaItaly+betaPodeltaItaly*EXP(-betaItaly*tblData[Days'# Italy])),"")</f>
        <v>55785.614801915304</v>
      </c>
      <c r="AN74" s="11" t="str">
        <f>IF(AND(tblData[Date]&gt;StartDt2Italy,ISNUMBER(tblData[Italy])),(tblData[[#This Row],[Italy LogiP(t)]]-tblData[[#This Row],[Italy]])^2,"")</f>
        <v/>
      </c>
      <c r="AO74" s="44">
        <f>IF(AND(tblData[Date]&gt;StartDt2Italy,ISNUMBER(tblData[Days'# Italy])),tblData[[#This Row],[Italy LogiP(t)]]/$AM$9,"")</f>
        <v>9228.3895453954192</v>
      </c>
      <c r="AP74" s="21">
        <f>IF(ISNUMBER(tblData[[#This Row],[Days'# US]]),betaUS/(deltaUS+betaPodeltaUS*EXP(-betaUS*tblData[Days'# US])),"")</f>
        <v>99207.579710920792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3013.3420076605817</v>
      </c>
      <c r="AS74" s="21">
        <f>IF(tblData[Date]&gt;=StartDt2Korea,betaSKorea/(deltaSKorea+betaPodeltaSKorea*EXP(-betaSKorea*(tblData[Date]-StartDt2Korea))),"")</f>
        <v>8431.0183841278013</v>
      </c>
      <c r="AT74" s="21" t="str">
        <f>IF(AND(tblData[Date]&gt;=StartDt2Korea,ISNUMBER(tblData[SKorea])),(tblData[[#This Row],[SKorea LogiP(t)]]-tblData[[#This Row],[SKorea]])^2,"")</f>
        <v/>
      </c>
      <c r="AU74" s="21">
        <f>IF(tblData[Date]&gt;=StartDt2Korea,tblData[[#This Row],[SKorea LogiP(t)]]/$AS$9,"")</f>
        <v>1640.2759502194167</v>
      </c>
      <c r="AV74" s="11">
        <f>IF(ISNUMBER(tblData[Days'# UK]),betaUK/(deltaUK+betaPodeltaUK*EXP(-betaUK*tblData[Days'# UK])),"")</f>
        <v>12825.4446751752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1930.3799932533414</v>
      </c>
      <c r="AY74" s="11">
        <f>IF(ISNUMBER(tblData[Days'# China]),betaChina/(deltaChina+betaPodeltaChina*EXP(-betaChina*tblData[Days'# China])),"")</f>
        <v>80960.14432218486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562.48736852787783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5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Y74"/>
      <c r="CA74"/>
      <c r="CK74" s="26"/>
      <c r="CL74" s="26"/>
      <c r="DF74" t="s">
        <v>981</v>
      </c>
      <c r="DG74" s="82">
        <v>43912.78765046296</v>
      </c>
      <c r="DI74" s="27">
        <v>43896</v>
      </c>
      <c r="DJ74">
        <v>7</v>
      </c>
      <c r="DK74">
        <v>0.20209478104227763</v>
      </c>
      <c r="DL74">
        <v>1.0000000000000751E-10</v>
      </c>
      <c r="DM74">
        <v>5.7886977342360797E-3</v>
      </c>
      <c r="DN74">
        <v>2020947810.4226243</v>
      </c>
      <c r="DO74">
        <v>2141.4153557262753</v>
      </c>
      <c r="DP74">
        <v>34.911959532184611</v>
      </c>
      <c r="DQ74">
        <v>1.0000000000000751E-7</v>
      </c>
      <c r="DS74" s="27">
        <v>43911</v>
      </c>
      <c r="DT74" t="s">
        <v>995</v>
      </c>
      <c r="DV74">
        <v>46456</v>
      </c>
      <c r="DW74" t="s">
        <v>996</v>
      </c>
      <c r="DX74" s="27">
        <v>43911</v>
      </c>
      <c r="DY74">
        <v>16</v>
      </c>
      <c r="DZ74" t="s">
        <v>1602</v>
      </c>
      <c r="EB74" t="s">
        <v>1027</v>
      </c>
      <c r="ED74" t="s">
        <v>1603</v>
      </c>
    </row>
    <row r="75" spans="2:175" x14ac:dyDescent="0.25">
      <c r="B75" s="1">
        <f t="shared" si="9"/>
        <v>43916</v>
      </c>
      <c r="D75" s="26"/>
      <c r="L75" s="12" t="str">
        <f>IF(ISNUMBER(tblData[[#This Row],[NSW]]),tblData[[#This Row],[New South Wales]]/$L$9,"")</f>
        <v/>
      </c>
      <c r="M75" s="26"/>
      <c r="N75" s="49" t="str">
        <f>IF(ISNUMBER(tblData[Italy]),tblData[Italy]/$N$9,"")</f>
        <v/>
      </c>
      <c r="O75" s="26"/>
      <c r="P75" s="49" t="str">
        <f>IF(ISNUMBER(tblData[US]),tblData[US]/$P$9,"")</f>
        <v/>
      </c>
      <c r="Q75" s="49"/>
      <c r="R75" s="19" t="str">
        <f>IF(ISNUMBER(tblData[SKorea]),tblData[SKorea]/$R$9,"")</f>
        <v/>
      </c>
      <c r="S75" s="49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6"/>
        <v>46</v>
      </c>
      <c r="Y75" s="26">
        <f t="shared" si="2"/>
        <v>64</v>
      </c>
      <c r="Z75" s="26">
        <f>IF(tblData[[#This Row],[Date]]&lt;StartDt2Korea,"",tblData[[#This Row],[Date]]-StartDt2Korea)</f>
        <v>36</v>
      </c>
      <c r="AA75" s="26">
        <f>IF(tblData[[#This Row],[Date]]&lt;UKStart,"",tblData[[#This Row],[Date]]-UKStart)</f>
        <v>56</v>
      </c>
      <c r="AB75">
        <f>IF(tblData[Date]&gt;=StartDt2Au,tblData[Date]-StartDt2Au,"")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IF(ISNUMBER(tblData[Au]),tblData[Au]/$AA$9,"")</f>
        <v/>
      </c>
      <c r="AE75" s="19">
        <f>IF(ISNUMBER(tblData[[#This Row],[Day'# Aust]]),betaAu/(deltaAu+betaPodeltaAu*EXP(-betaAu*tblData[[#This Row],[Day'# Aust]])),"")</f>
        <v>3103.0929325852881</v>
      </c>
      <c r="AF75" s="72">
        <f>IF(ISNUMBER(tblData[Day'# Aust]),tblData[Au LogiP(t)]/$AD$9,"")</f>
        <v>1223.4241178778143</v>
      </c>
      <c r="AG75" s="11" t="str">
        <f>IF(AND(tblData[Date]&gt;=StartDt2Au,ISNUMBER(tblData[NSW])),(tblData[[#This Row],[Au LogiP(t)]]-tblData[[#This Row],[Au]])^2,"")</f>
        <v/>
      </c>
      <c r="AH75">
        <f>IF(tblData[Date]&gt;StartDt2NSW,tblData[Date]-StartDt2NSW,"")</f>
        <v>61</v>
      </c>
      <c r="AI75" t="str">
        <f t="shared" si="8"/>
        <v/>
      </c>
      <c r="AJ75" s="11">
        <f>IF(tblData[Date]&gt;StartDt2NSW,betaNSW/(deltaNSW+betaPodeltaNSW*EXP(-betaNSW*tblData[[#This Row],[Day '# NSW]])),"")</f>
        <v>1005.1088294677016</v>
      </c>
      <c r="AK75" s="12" t="str">
        <f>IF(AND(ISNUMBER(tblData[NSW]),tblData[Date]&gt;StartDt2NSW),(tblData[[#This Row],[NSW LogiP(t)]]-tblData[[#This Row],[NSW]])^2,"")</f>
        <v/>
      </c>
      <c r="AL75" s="12">
        <f>IF(AND(tblData[Date]&gt;StartDt2NSW,ISNUMBER(tblData[Day'# Aust])),tblData[NSW LogiP(t)]/$AG$9,"")</f>
        <v>1243.9465711233931</v>
      </c>
      <c r="AM75" s="11">
        <f>IF(AND(tblData[Date]&gt;StartDt2Italy,ISNUMBER(tblData[Days'# Italy])),betaItaly/(deltaItaly+betaPodeltaItaly*EXP(-betaItaly*tblData[Days'# Italy])),"")</f>
        <v>56824.174866681169</v>
      </c>
      <c r="AN75" s="11" t="str">
        <f>IF(AND(tblData[Date]&gt;StartDt2Italy,ISNUMBER(tblData[Italy])),(tblData[[#This Row],[Italy LogiP(t)]]-tblData[[#This Row],[Italy]])^2,"")</f>
        <v/>
      </c>
      <c r="AO75" s="44">
        <f>IF(AND(tblData[Date]&gt;StartDt2Italy,ISNUMBER(tblData[Days'# Italy])),tblData[[#This Row],[Italy LogiP(t)]]/$AM$9,"")</f>
        <v>9400.1943534625589</v>
      </c>
      <c r="AP75" s="21">
        <f>IF(ISNUMBER(tblData[[#This Row],[Days'# US]]),betaUS/(deltaUS+betaPodeltaUS*EXP(-betaUS*tblData[Days'# US])),"")</f>
        <v>138994.72766208768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4221.8412436626068</v>
      </c>
      <c r="AS75" s="21">
        <f>IF(tblData[Date]&gt;=StartDt2Korea,betaSKorea/(deltaSKorea+betaPodeltaSKorea*EXP(-betaSKorea*(tblData[Date]-StartDt2Korea))),"")</f>
        <v>8432.599904567116</v>
      </c>
      <c r="AT75" s="21" t="str">
        <f>IF(AND(tblData[Date]&gt;=StartDt2Korea,ISNUMBER(tblData[SKorea])),(tblData[[#This Row],[SKorea LogiP(t)]]-tblData[[#This Row],[SKorea]])^2,"")</f>
        <v/>
      </c>
      <c r="AU75" s="21">
        <f>IF(tblData[Date]&gt;=StartDt2Korea,tblData[[#This Row],[SKorea LogiP(t)]]/$AS$9,"")</f>
        <v>1640.5836390208399</v>
      </c>
      <c r="AV75" s="11">
        <f>IF(ISNUMBER(tblData[Days'# UK]),betaUK/(deltaUK+betaPodeltaUK*EXP(-betaUK*tblData[Days'# UK])),"")</f>
        <v>16238.040383799809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2444.0157109873285</v>
      </c>
      <c r="AY75" s="11">
        <f>IF(ISNUMBER(tblData[Days'# China]),betaChina/(deltaChina+betaPodeltaChina*EXP(-betaChina*tblData[Days'# China])),"")</f>
        <v>80960.84045798819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562.49220507553264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5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Y75"/>
      <c r="CA75"/>
      <c r="CK75" s="26"/>
      <c r="CL75" s="26"/>
      <c r="DF75" s="26" t="s">
        <v>48</v>
      </c>
      <c r="DG75" s="82">
        <v>43912.862291666665</v>
      </c>
      <c r="DH75" s="27">
        <v>43855</v>
      </c>
      <c r="DI75" s="27">
        <v>43855</v>
      </c>
      <c r="DJ75" s="26">
        <v>0</v>
      </c>
      <c r="DK75" s="26">
        <v>0.21033404877431897</v>
      </c>
      <c r="DL75" s="26">
        <v>9.9999999999795755E-11</v>
      </c>
      <c r="DM75" s="26">
        <v>8.3106214738320611E-3</v>
      </c>
      <c r="DN75" s="26">
        <v>2103340487.7474856</v>
      </c>
      <c r="DO75" s="26">
        <v>11.368819454980502</v>
      </c>
      <c r="DP75" s="26">
        <v>25.309063760847966</v>
      </c>
      <c r="DQ75" s="26">
        <v>9.9999999999795755E-8</v>
      </c>
      <c r="DR75" s="26"/>
      <c r="DS75" s="27">
        <v>43912</v>
      </c>
      <c r="DT75" s="26" t="s">
        <v>1574</v>
      </c>
      <c r="DU75" s="26">
        <v>2103340487.7474856</v>
      </c>
      <c r="DV75" s="26">
        <v>1354</v>
      </c>
      <c r="DW75" s="26" t="s">
        <v>1605</v>
      </c>
      <c r="DX75" s="27">
        <v>43912</v>
      </c>
      <c r="DY75" s="26">
        <v>58</v>
      </c>
      <c r="DZ75" s="26" t="s">
        <v>1606</v>
      </c>
      <c r="EA75" s="26"/>
      <c r="EB75" s="26" t="s">
        <v>1607</v>
      </c>
      <c r="EC75" s="26"/>
      <c r="ED75" s="26" t="s">
        <v>1608</v>
      </c>
      <c r="EE75" s="26">
        <v>533.82747200756978</v>
      </c>
      <c r="EG75" s="26"/>
      <c r="EI75" s="26"/>
      <c r="EJ75" t="s">
        <v>1604</v>
      </c>
    </row>
    <row r="76" spans="2:175" x14ac:dyDescent="0.25">
      <c r="B76" s="1">
        <f t="shared" si="9"/>
        <v>43917</v>
      </c>
      <c r="D76" s="26"/>
      <c r="L76" s="12" t="str">
        <f>IF(ISNUMBER(tblData[[#This Row],[NSW]]),tblData[[#This Row],[New South Wales]]/$L$9,"")</f>
        <v/>
      </c>
      <c r="M76" s="26"/>
      <c r="N76" s="49" t="str">
        <f>IF(ISNUMBER(tblData[Italy]),tblData[Italy]/$N$9,"")</f>
        <v/>
      </c>
      <c r="O76" s="26"/>
      <c r="P76" s="49" t="str">
        <f>IF(ISNUMBER(tblData[US]),tblData[US]/$P$9,"")</f>
        <v/>
      </c>
      <c r="Q76" s="49"/>
      <c r="R76" s="19" t="str">
        <f>IF(ISNUMBER(tblData[SKorea]),tblData[SKorea]/$R$9,"")</f>
        <v/>
      </c>
      <c r="S76" s="49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6"/>
        <v>47</v>
      </c>
      <c r="Y76" s="26">
        <f t="shared" si="2"/>
        <v>65</v>
      </c>
      <c r="Z76" s="26">
        <f>IF(tblData[[#This Row],[Date]]&lt;StartDt2Korea,"",tblData[[#This Row],[Date]]-StartDt2Korea)</f>
        <v>37</v>
      </c>
      <c r="AA76" s="26">
        <f>IF(tblData[[#This Row],[Date]]&lt;UKStart,"",tblData[[#This Row],[Date]]-UKStart)</f>
        <v>57</v>
      </c>
      <c r="AB76">
        <f>IF(tblData[Date]&gt;=StartDt2Au,tblData[Date]-StartDt2Au,"")</f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IF(ISNUMBER(tblData[Au]),tblData[Au]/$AA$9,"")</f>
        <v/>
      </c>
      <c r="AE76" s="19">
        <f>IF(ISNUMBER(tblData[[#This Row],[Day'# Aust]]),betaAu/(deltaAu+betaPodeltaAu*EXP(-betaAu*tblData[[#This Row],[Day'# Aust]])),"")</f>
        <v>3829.4953714301446</v>
      </c>
      <c r="AF76" s="72">
        <f>IF(ISNUMBER(tblData[Day'# Aust]),tblData[Au LogiP(t)]/$AD$9,"")</f>
        <v>1509.8152386966349</v>
      </c>
      <c r="AG76" s="11" t="str">
        <f>IF(AND(tblData[Date]&gt;=StartDt2Au,ISNUMBER(tblData[NSW])),(tblData[[#This Row],[Au LogiP(t)]]-tblData[[#This Row],[Au]])^2,"")</f>
        <v/>
      </c>
      <c r="AH76">
        <f>IF(tblData[Date]&gt;StartDt2NSW,tblData[Date]-StartDt2NSW,"")</f>
        <v>62</v>
      </c>
      <c r="AI76" t="str">
        <f t="shared" si="8"/>
        <v/>
      </c>
      <c r="AJ76" s="11">
        <f>IF(tblData[Date]&gt;StartDt2NSW,betaNSW/(deltaNSW+betaPodeltaNSW*EXP(-betaNSW*tblData[[#This Row],[Day '# NSW]])),"")</f>
        <v>1154.3646211255684</v>
      </c>
      <c r="AK76" s="12" t="str">
        <f>IF(AND(ISNUMBER(tblData[NSW]),tblData[Date]&gt;StartDt2NSW),(tblData[[#This Row],[NSW LogiP(t)]]-tblData[[#This Row],[NSW]])^2,"")</f>
        <v/>
      </c>
      <c r="AL76" s="12">
        <f>IF(AND(tblData[Date]&gt;StartDt2NSW,ISNUMBER(tblData[Day'# Aust])),tblData[NSW LogiP(t)]/$AG$9,"")</f>
        <v>1428.669085551446</v>
      </c>
      <c r="AM76" s="11">
        <f>IF(AND(tblData[Date]&gt;StartDt2Italy,ISNUMBER(tblData[Days'# Italy])),betaItaly/(deltaItaly+betaPodeltaItaly*EXP(-betaItaly*tblData[Days'# Italy])),"")</f>
        <v>57652.183529301146</v>
      </c>
      <c r="AN76" s="11" t="str">
        <f>IF(AND(tblData[Date]&gt;StartDt2Italy,ISNUMBER(tblData[Italy])),(tblData[[#This Row],[Italy LogiP(t)]]-tblData[[#This Row],[Italy]])^2,"")</f>
        <v/>
      </c>
      <c r="AO76" s="44">
        <f>IF(AND(tblData[Date]&gt;StartDt2Italy,ISNUMBER(tblData[Days'# Italy])),tblData[[#This Row],[Italy LogiP(t)]]/$AM$9,"")</f>
        <v>9537.1684911995289</v>
      </c>
      <c r="AP76" s="21">
        <f>IF(ISNUMBER(tblData[[#This Row],[Days'# US]]),betaUS/(deltaUS+betaPodeltaUS*EXP(-betaUS*tblData[Days'# US])),"")</f>
        <v>194737.56903582974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5914.9804778552825</v>
      </c>
      <c r="AS76" s="21">
        <f>IF(tblData[Date]&gt;=StartDt2Korea,betaSKorea/(deltaSKorea+betaPodeltaSKorea*EXP(-betaSKorea*(tblData[Date]-StartDt2Korea))),"")</f>
        <v>8433.7540988601486</v>
      </c>
      <c r="AT76" s="21" t="str">
        <f>IF(AND(tblData[Date]&gt;=StartDt2Korea,ISNUMBER(tblData[SKorea])),(tblData[[#This Row],[SKorea LogiP(t)]]-tblData[[#This Row],[SKorea]])^2,"")</f>
        <v/>
      </c>
      <c r="AU76" s="21">
        <f>IF(tblData[Date]&gt;=StartDt2Korea,tblData[[#This Row],[SKorea LogiP(t)]]/$AS$9,"")</f>
        <v>1640.8081904397177</v>
      </c>
      <c r="AV76" s="11">
        <f>IF(ISNUMBER(tblData[Days'# UK]),betaUK/(deltaUK+betaPodeltaUK*EXP(-betaUK*tblData[Days'# UK])),"")</f>
        <v>20558.580803541081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3094.307766938754</v>
      </c>
      <c r="AY76" s="11">
        <f>IF(ISNUMBER(tblData[Days'# China]),betaChina/(deltaChina+betaPodeltaChina*EXP(-betaChina*tblData[Days'# China])),"")</f>
        <v>80961.397932758497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562.49607824694544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5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Y76"/>
      <c r="CA76"/>
      <c r="CK76" s="26"/>
      <c r="CL76" s="26"/>
      <c r="DF76" s="26" t="s">
        <v>202</v>
      </c>
      <c r="DG76" s="82">
        <v>43912.862314814818</v>
      </c>
      <c r="DH76" s="27">
        <v>43855</v>
      </c>
      <c r="DI76" s="27">
        <v>43855</v>
      </c>
      <c r="DJ76" s="26">
        <v>1</v>
      </c>
      <c r="DK76" s="26">
        <v>0.20690766856988288</v>
      </c>
      <c r="DL76" s="26">
        <v>6.344938640416391E-5</v>
      </c>
      <c r="DM76" s="26">
        <v>4.7957380309846401E-3</v>
      </c>
      <c r="DN76" s="26">
        <v>3260.9876989496688</v>
      </c>
      <c r="DO76" s="26">
        <v>4.183094299453777</v>
      </c>
      <c r="DP76" s="26">
        <v>43.144008898410604</v>
      </c>
      <c r="DQ76" s="26">
        <v>6.3449386404163907E-2</v>
      </c>
      <c r="DR76" s="26">
        <v>4.183094299453777</v>
      </c>
      <c r="DS76" s="27">
        <v>43912</v>
      </c>
      <c r="DT76" s="26" t="s">
        <v>1558</v>
      </c>
      <c r="DU76" s="26">
        <v>3260.9876989496688</v>
      </c>
      <c r="DV76" s="26">
        <v>533</v>
      </c>
      <c r="DW76" s="26" t="s">
        <v>1559</v>
      </c>
      <c r="DX76" s="27">
        <v>43912</v>
      </c>
      <c r="DY76" s="26">
        <v>58</v>
      </c>
      <c r="DZ76" s="26" t="s">
        <v>1579</v>
      </c>
      <c r="EA76" s="26"/>
      <c r="EB76" s="26" t="s">
        <v>1561</v>
      </c>
      <c r="EC76" s="26"/>
      <c r="ED76" s="26" t="s">
        <v>1580</v>
      </c>
      <c r="EE76" s="26">
        <v>659.65346534653463</v>
      </c>
      <c r="EG76" s="26"/>
      <c r="EI76" s="26"/>
      <c r="EJ76" t="s">
        <v>1557</v>
      </c>
    </row>
    <row r="77" spans="2:175" s="55" customFormat="1" x14ac:dyDescent="0.25">
      <c r="B77" s="54">
        <f t="shared" si="9"/>
        <v>43918</v>
      </c>
      <c r="L77" s="12" t="str">
        <f>IF(ISNUMBER(tblData[[#This Row],[NSW]]),tblData[[#This Row],[New South Wales]]/$L$9,"")</f>
        <v/>
      </c>
      <c r="N77" s="56" t="str">
        <f>IF(ISNUMBER(tblData[Italy]),tblData[Italy]/$N$9,"")</f>
        <v/>
      </c>
      <c r="P77" s="56" t="str">
        <f>IF(ISNUMBER(tblData[US]),tblData[US]/$P$9,"")</f>
        <v/>
      </c>
      <c r="Q77" s="56"/>
      <c r="R77" s="19" t="str">
        <f>IF(ISNUMBER(tblData[SKorea]),tblData[SKorea]/$R$9,"")</f>
        <v/>
      </c>
      <c r="S77" s="56"/>
      <c r="T77" s="12" t="str">
        <f>IF(ISNUMBER(tblData[UK]),tblData[UK]/$T$9,"")</f>
        <v/>
      </c>
      <c r="V77" s="61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6"/>
        <v>48</v>
      </c>
      <c r="Y77" s="55">
        <f t="shared" ref="Y77:Y107" si="10">Y76+1</f>
        <v>66</v>
      </c>
      <c r="Z77" s="55">
        <f>IF(tblData[[#This Row],[Date]]&lt;StartDt2Korea,"",tblData[[#This Row],[Date]]-StartDt2Korea)</f>
        <v>38</v>
      </c>
      <c r="AA77" s="55">
        <f>IF(tblData[[#This Row],[Date]]&lt;UKStart,"",tblData[[#This Row],[Date]]-UKStart)</f>
        <v>58</v>
      </c>
      <c r="AB77" s="55">
        <f>IF(tblData[Date]&gt;=StartDt2Au,tblData[Date]-StartDt2Au,"")</f>
        <v>63</v>
      </c>
      <c r="AC77" s="55" t="str">
        <f>IF(tblData[New South Wales]&gt;0,SUM(tblData[[#This Row],[Australian Capital Territory]:[Western Australia]]),"")</f>
        <v/>
      </c>
      <c r="AD77" s="57" t="str">
        <f>IF(ISNUMBER(tblData[Au]),tblData[Au]/$AA$9,"")</f>
        <v/>
      </c>
      <c r="AE77" s="58">
        <f>IF(ISNUMBER(tblData[[#This Row],[Day'# Aust]]),betaAu/(deltaAu+betaPodeltaAu*EXP(-betaAu*tblData[[#This Row],[Day'# Aust]])),"")</f>
        <v>4725.9408380008299</v>
      </c>
      <c r="AF77" s="72">
        <f>IF(ISNUMBER(tblData[Day'# Aust]),tblData[Au LogiP(t)]/$AD$9,"")</f>
        <v>1863.247452294918</v>
      </c>
      <c r="AG77" s="59" t="str">
        <f>IF(AND(tblData[Date]&gt;=StartDt2Au,ISNUMBER(tblData[NSW])),(tblData[[#This Row],[Au LogiP(t)]]-tblData[[#This Row],[Au]])^2,"")</f>
        <v/>
      </c>
      <c r="AH77" s="55">
        <f>IF(tblData[Date]&gt;StartDt2NSW,tblData[Date]-StartDt2NSW,"")</f>
        <v>63</v>
      </c>
      <c r="AI77" s="55" t="str">
        <f t="shared" si="8"/>
        <v/>
      </c>
      <c r="AJ77" s="11">
        <f>IF(tblData[Date]&gt;StartDt2NSW,betaNSW/(deltaNSW+betaPodeltaNSW*EXP(-betaNSW*tblData[[#This Row],[Day '# NSW]])),"")</f>
        <v>1312.8853446697772</v>
      </c>
      <c r="AK77" s="12" t="str">
        <f>IF(AND(ISNUMBER(tblData[NSW]),tblData[Date]&gt;StartDt2NSW),(tblData[[#This Row],[NSW LogiP(t)]]-tblData[[#This Row],[NSW]])^2,"")</f>
        <v/>
      </c>
      <c r="AL77" s="57">
        <f>IF(AND(tblData[Date]&gt;StartDt2NSW,ISNUMBER(tblData[Day'# Aust])),tblData[NSW LogiP(t)]/$AG$9,"")</f>
        <v>1624.8580998388329</v>
      </c>
      <c r="AM77" s="59">
        <f>IF(AND(tblData[Date]&gt;StartDt2Italy,ISNUMBER(tblData[Days'# Italy])),betaItaly/(deltaItaly+betaPodeltaItaly*EXP(-betaItaly*tblData[Days'# Italy])),"")</f>
        <v>58307.629430552406</v>
      </c>
      <c r="AN77" s="11" t="str">
        <f>IF(AND(tblData[Date]&gt;StartDt2Italy,ISNUMBER(tblData[Italy])),(tblData[[#This Row],[Italy LogiP(t)]]-tblData[[#This Row],[Italy]])^2,"")</f>
        <v/>
      </c>
      <c r="AO77" s="60">
        <f>IF(AND(tblData[Date]&gt;StartDt2Italy,ISNUMBER(tblData[Days'# Italy])),tblData[[#This Row],[Italy LogiP(t)]]/$AM$9,"")</f>
        <v>9645.5962664271974</v>
      </c>
      <c r="AP77" s="61">
        <f>IF(ISNUMBER(tblData[[#This Row],[Days'# US]]),betaUS/(deltaUS+betaPodeltaUS*EXP(-betaUS*tblData[Days'# US])),"")</f>
        <v>272833.86954801198</v>
      </c>
      <c r="AQ77" s="11" t="str">
        <f>IF(ISNUMBER(tblData[US]),(tblData[[#This Row],[US LogiP(t)]]-tblData[US])^2,"")</f>
        <v/>
      </c>
      <c r="AR77" s="61">
        <f>IF(ISNUMBER(tblData[[#This Row],[Days'# US]]),tblData[[#This Row],[US LogiP(t)]]/$AP$9,"")</f>
        <v>8287.086154276074</v>
      </c>
      <c r="AS77" s="61">
        <f>IF(tblData[Date]&gt;=StartDt2Korea,betaSKorea/(deltaSKorea+betaPodeltaSKorea*EXP(-betaSKorea*(tblData[Date]-StartDt2Korea))),"")</f>
        <v>8434.5963564766826</v>
      </c>
      <c r="AT77" s="61" t="str">
        <f>IF(AND(tblData[Date]&gt;=StartDt2Korea,ISNUMBER(tblData[SKorea])),(tblData[[#This Row],[SKorea LogiP(t)]]-tblData[[#This Row],[SKorea]])^2,"")</f>
        <v/>
      </c>
      <c r="AU77" s="61">
        <f>IF(tblData[Date]&gt;=StartDt2Korea,tblData[[#This Row],[SKorea LogiP(t)]]/$AS$9,"")</f>
        <v>1640.9720537892379</v>
      </c>
      <c r="AV77" s="11">
        <f>IF(ISNUMBER(tblData[Days'# UK]),betaUK/(deltaUK+betaPodeltaUK*EXP(-betaUK*tblData[Days'# UK])),"")</f>
        <v>26028.583203317266</v>
      </c>
      <c r="AW77" s="61" t="str">
        <f>IF(ISNUMBER(tblData[UK]),(tblData[[#This Row],[UK LogiP(t)]]-tblData[[#This Row],[UK]])^2,"")</f>
        <v/>
      </c>
      <c r="AX77" s="61">
        <f>IF(ISNUMBER(tblData[Days'# UK]),tblData[[#This Row],[UK LogiP(t)]]/$AV$9,"")</f>
        <v>3917.6073454721954</v>
      </c>
      <c r="AY77" s="59">
        <f>IF(ISNUMBER(tblData[Days'# China]),betaChina/(deltaChina+betaPodeltaChina*EXP(-betaChina*tblData[Days'# China])),"")</f>
        <v>80961.844364560326</v>
      </c>
      <c r="AZ77" s="59" t="str">
        <f>IF(ISNUMBER(tblData[China]),(tblData[[#This Row],[China LogiP(t)]]-tblData[[#This Row],[China]])^2,"")</f>
        <v/>
      </c>
      <c r="BA77" s="59">
        <f>tblData[[#This Row],[China LogiP(t)]]/$AY$9</f>
        <v>562.49917992433916</v>
      </c>
      <c r="BB77" s="59"/>
      <c r="BC77" s="59"/>
      <c r="BD77" s="59" t="str">
        <f>IF(ISNUMBER(tblData[[#This Row],[NSW Number of Tests]]),tblData[[#This Row],[NSW Number of Tests]]-BB76,"")</f>
        <v/>
      </c>
      <c r="BE77" s="59" t="str">
        <f>IF(ISNUMBER(tblData[[#This Row],[NSW Under Investigation'']]),tblData[[#This Row],[NSW Under Investigation'']]-BC76,"")</f>
        <v/>
      </c>
      <c r="BF77" s="11">
        <f t="shared" si="5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59" t="str">
        <f>IF(ISNUMBER(tblData[[#This Row],[NSW Number of Tests]]),(tblData[[#This Row],[NSW Number of Tests]]-tblData[[#This Row],[NSW Test Logi]])^2,"")</f>
        <v/>
      </c>
      <c r="BK77"/>
      <c r="BL77" s="26"/>
      <c r="BM77"/>
      <c r="BN77" s="26"/>
      <c r="BO77"/>
      <c r="BP77"/>
      <c r="BQ77"/>
      <c r="BR77"/>
      <c r="BS77"/>
      <c r="BT77"/>
      <c r="BU77"/>
      <c r="BV77"/>
      <c r="BW77"/>
      <c r="BX77"/>
      <c r="BY77"/>
      <c r="BZ77" s="26"/>
      <c r="CA77"/>
      <c r="CB77"/>
      <c r="CC77"/>
      <c r="CD77"/>
      <c r="CE77"/>
      <c r="CF77"/>
      <c r="CG77"/>
      <c r="CH77"/>
      <c r="CI77"/>
      <c r="CJ77"/>
      <c r="CK77" s="26"/>
      <c r="CL77" s="26"/>
      <c r="CM77"/>
      <c r="CN77"/>
      <c r="CO77"/>
      <c r="CP77"/>
      <c r="CQ77"/>
      <c r="CR77"/>
      <c r="CS77"/>
      <c r="CT77"/>
      <c r="CU77"/>
      <c r="CV77"/>
      <c r="CW77"/>
      <c r="DF77" s="26" t="s">
        <v>58</v>
      </c>
      <c r="DG77" s="82">
        <v>43912.862326388888</v>
      </c>
      <c r="DH77" s="27">
        <v>43860</v>
      </c>
      <c r="DI77" s="27">
        <v>43860</v>
      </c>
      <c r="DJ77" s="26">
        <v>2</v>
      </c>
      <c r="DK77" s="26">
        <v>0.25947894792637805</v>
      </c>
      <c r="DL77" s="26">
        <v>4.2793930730069226E-6</v>
      </c>
      <c r="DM77" s="26">
        <v>0.44221157817092033</v>
      </c>
      <c r="DN77" s="26">
        <v>60634.520713483966</v>
      </c>
      <c r="DO77" s="26">
        <v>1498.6578455090564</v>
      </c>
      <c r="DP77" s="26">
        <v>0.58677128401401213</v>
      </c>
      <c r="DQ77" s="26">
        <v>4.2793930730069228E-3</v>
      </c>
      <c r="DR77" s="26"/>
      <c r="DS77" s="27">
        <v>43911</v>
      </c>
      <c r="DT77" s="26" t="s">
        <v>1420</v>
      </c>
      <c r="DU77" s="26">
        <v>60634.520713483966</v>
      </c>
      <c r="DV77" s="26">
        <v>53578</v>
      </c>
      <c r="DW77" s="26" t="s">
        <v>769</v>
      </c>
      <c r="DX77" s="27">
        <v>43911</v>
      </c>
      <c r="DY77" s="26">
        <v>52</v>
      </c>
      <c r="DZ77" s="26" t="s">
        <v>1581</v>
      </c>
      <c r="EA77" s="26"/>
      <c r="EB77" s="26" t="s">
        <v>1422</v>
      </c>
      <c r="EC77" s="26"/>
      <c r="ED77" s="26" t="s">
        <v>1582</v>
      </c>
      <c r="EE77" s="26">
        <v>8863.1927212572373</v>
      </c>
      <c r="EF77" s="98">
        <v>43896</v>
      </c>
      <c r="EG77" s="26">
        <v>16</v>
      </c>
      <c r="EH77" s="98">
        <v>43895</v>
      </c>
      <c r="EI77" s="26">
        <v>17</v>
      </c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</row>
    <row r="78" spans="2:175" x14ac:dyDescent="0.25">
      <c r="B78" s="1">
        <f t="shared" si="9"/>
        <v>43919</v>
      </c>
      <c r="D78" s="26"/>
      <c r="L78" s="12" t="str">
        <f>IF(ISNUMBER(tblData[[#This Row],[NSW]]),tblData[[#This Row],[New South Wales]]/$L$9,"")</f>
        <v/>
      </c>
      <c r="M78" s="26"/>
      <c r="N78" s="49" t="str">
        <f>IF(ISNUMBER(tblData[Italy]),tblData[Italy]/$N$9,"")</f>
        <v/>
      </c>
      <c r="O78" s="26"/>
      <c r="P78" s="49" t="str">
        <f>IF(ISNUMBER(tblData[US]),tblData[US]/$P$9,"")</f>
        <v/>
      </c>
      <c r="Q78" s="49"/>
      <c r="R78" s="19" t="str">
        <f>IF(ISNUMBER(tblData[SKorea]),tblData[SKorea]/$R$9,"")</f>
        <v/>
      </c>
      <c r="S78" s="49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6"/>
        <v>49</v>
      </c>
      <c r="Y78" s="26">
        <f t="shared" si="10"/>
        <v>67</v>
      </c>
      <c r="Z78" s="26">
        <f>IF(tblData[[#This Row],[Date]]&lt;StartDt2Korea,"",tblData[[#This Row],[Date]]-StartDt2Korea)</f>
        <v>39</v>
      </c>
      <c r="AA78" s="26">
        <f>IF(tblData[[#This Row],[Date]]&lt;UKStart,"",tblData[[#This Row],[Date]]-UKStart)</f>
        <v>59</v>
      </c>
      <c r="AB78">
        <f>IF(tblData[Date]&gt;=StartDt2Au,tblData[Date]-StartDt2Au,"")</f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IF(ISNUMBER(tblData[Au]),tblData[Au]/$AA$9,"")</f>
        <v/>
      </c>
      <c r="AE78" s="19">
        <f>IF(ISNUMBER(tblData[[#This Row],[Day'# Aust]]),betaAu/(deltaAu+betaPodeltaAu*EXP(-betaAu*tblData[[#This Row],[Day'# Aust]])),"")</f>
        <v>5832.2343833103196</v>
      </c>
      <c r="AF78" s="72">
        <f>IF(ISNUMBER(tblData[Day'# Aust]),tblData[Au LogiP(t)]/$AD$9,"")</f>
        <v>2299.4142813871313</v>
      </c>
      <c r="AG78" s="11" t="str">
        <f>IF(AND(tblData[Date]&gt;=StartDt2Au,ISNUMBER(tblData[NSW])),(tblData[[#This Row],[Au LogiP(t)]]-tblData[[#This Row],[Au]])^2,"")</f>
        <v/>
      </c>
      <c r="AH78">
        <f>IF(tblData[Date]&gt;StartDt2NSW,tblData[Date]-StartDt2NSW,"")</f>
        <v>64</v>
      </c>
      <c r="AI78" t="str">
        <f t="shared" si="8"/>
        <v/>
      </c>
      <c r="AJ78" s="11">
        <f>IF(tblData[Date]&gt;StartDt2NSW,betaNSW/(deltaNSW+betaPodeltaNSW*EXP(-betaNSW*tblData[[#This Row],[Day '# NSW]])),"")</f>
        <v>1477.9028707216244</v>
      </c>
      <c r="AK78" s="12" t="str">
        <f>IF(AND(ISNUMBER(tblData[NSW]),tblData[Date]&gt;StartDt2NSW),(tblData[[#This Row],[NSW LogiP(t)]]-tblData[[#This Row],[NSW]])^2,"")</f>
        <v/>
      </c>
      <c r="AL78" s="12">
        <f>IF(AND(tblData[Date]&gt;StartDt2NSW,ISNUMBER(tblData[Day'# Aust])),tblData[NSW LogiP(t)]/$AG$9,"")</f>
        <v>1829.087711289139</v>
      </c>
      <c r="AM78" s="11">
        <f>IF(AND(tblData[Date]&gt;StartDt2Italy,ISNUMBER(tblData[Days'# Italy])),betaItaly/(deltaItaly+betaPodeltaItaly*EXP(-betaItaly*tblData[Days'# Italy])),"")</f>
        <v>58823.549045545136</v>
      </c>
      <c r="AN78" s="11" t="str">
        <f>IF(AND(tblData[Date]&gt;StartDt2Italy,ISNUMBER(tblData[Italy])),(tblData[[#This Row],[Italy LogiP(t)]]-tblData[[#This Row],[Italy]])^2,"")</f>
        <v/>
      </c>
      <c r="AO78" s="44">
        <f>IF(AND(tblData[Date]&gt;StartDt2Italy,ISNUMBER(tblData[Days'# Italy])),tblData[[#This Row],[Italy LogiP(t)]]/$AM$9,"")</f>
        <v>9730.9427701480781</v>
      </c>
      <c r="AP78" s="21">
        <f>IF(ISNUMBER(tblData[[#This Row],[Days'# US]]),betaUS/(deltaUS+betaPodeltaUS*EXP(-betaUS*tblData[Days'# US])),"")</f>
        <v>382245.85728715797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11610.377980935969</v>
      </c>
      <c r="AS78" s="21">
        <f>IF(tblData[Date]&gt;=StartDt2Korea,betaSKorea/(deltaSKorea+betaPodeltaSKorea*EXP(-betaSKorea*(tblData[Date]-StartDt2Korea))),"")</f>
        <v>8435.21094320271</v>
      </c>
      <c r="AT78" s="21" t="str">
        <f>IF(AND(tblData[Date]&gt;=StartDt2Korea,ISNUMBER(tblData[SKorea])),(tblData[[#This Row],[SKorea LogiP(t)]]-tblData[[#This Row],[SKorea]])^2,"")</f>
        <v/>
      </c>
      <c r="AU78" s="21">
        <f>IF(tblData[Date]&gt;=StartDt2Korea,tblData[[#This Row],[SKorea LogiP(t)]]/$AS$9,"")</f>
        <v>1641.0916231911888</v>
      </c>
      <c r="AV78" s="11">
        <f>IF(ISNUMBER(tblData[Days'# UK]),betaUK/(deltaUK+betaPodeltaUK*EXP(-betaUK*tblData[Days'# UK])),"")</f>
        <v>32953.780741095856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4959.9308761432658</v>
      </c>
      <c r="AY78" s="11">
        <f>IF(ISNUMBER(tblData[Days'# China]),betaChina/(deltaChina+betaPodeltaChina*EXP(-betaChina*tblData[Days'# China])),"")</f>
        <v>80962.201871073688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562.50166377487596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5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Y78"/>
      <c r="CA78"/>
      <c r="CK78" s="26"/>
      <c r="CL78" s="26"/>
      <c r="DF78" s="26" t="s">
        <v>485</v>
      </c>
      <c r="DG78" s="82">
        <v>43912.862337962964</v>
      </c>
      <c r="DH78" s="27">
        <v>43852</v>
      </c>
      <c r="DI78" s="27">
        <v>43870</v>
      </c>
      <c r="DJ78" s="26">
        <v>3</v>
      </c>
      <c r="DK78" s="26">
        <v>0.33723338054496799</v>
      </c>
      <c r="DL78" s="26">
        <v>2.0602986212095161E-6</v>
      </c>
      <c r="DM78" s="26">
        <v>2.5463658144854667E-2</v>
      </c>
      <c r="DN78" s="26">
        <v>163681.79693630635</v>
      </c>
      <c r="DO78" s="26">
        <v>828.39707151439563</v>
      </c>
      <c r="DP78" s="26">
        <v>13.24371094537222</v>
      </c>
      <c r="DQ78" s="26">
        <v>2.060298621209516E-3</v>
      </c>
      <c r="DR78" s="26"/>
      <c r="DS78" s="27">
        <v>43912</v>
      </c>
      <c r="DT78" s="26" t="s">
        <v>1585</v>
      </c>
      <c r="DU78" s="26">
        <v>163681.79693630635</v>
      </c>
      <c r="DV78" s="26">
        <v>26747</v>
      </c>
      <c r="DW78" s="26" t="s">
        <v>1586</v>
      </c>
      <c r="DX78" s="27">
        <v>43911</v>
      </c>
      <c r="DY78" s="26">
        <v>43</v>
      </c>
      <c r="DZ78" s="26" t="s">
        <v>1587</v>
      </c>
      <c r="EA78" s="26"/>
      <c r="EB78" s="26" t="s">
        <v>1588</v>
      </c>
      <c r="EC78" s="26"/>
      <c r="ED78" s="26" t="s">
        <v>1589</v>
      </c>
      <c r="EE78" s="26">
        <v>812.41633868853819</v>
      </c>
      <c r="EF78" s="98">
        <v>43911</v>
      </c>
      <c r="EG78" s="26">
        <v>1</v>
      </c>
      <c r="EH78" s="98">
        <v>43910</v>
      </c>
      <c r="EI78" s="26">
        <v>2</v>
      </c>
    </row>
    <row r="79" spans="2:175" x14ac:dyDescent="0.25">
      <c r="B79" s="1">
        <f t="shared" si="9"/>
        <v>43920</v>
      </c>
      <c r="D79" s="26"/>
      <c r="L79" s="12" t="str">
        <f>IF(ISNUMBER(tblData[[#This Row],[NSW]]),tblData[[#This Row],[New South Wales]]/$L$9,"")</f>
        <v/>
      </c>
      <c r="M79" s="26"/>
      <c r="N79" s="49" t="str">
        <f>IF(ISNUMBER(tblData[Italy]),tblData[Italy]/$N$9,"")</f>
        <v/>
      </c>
      <c r="O79" s="26"/>
      <c r="P79" s="49" t="str">
        <f>IF(ISNUMBER(tblData[US]),tblData[US]/$P$9,"")</f>
        <v/>
      </c>
      <c r="Q79" s="49"/>
      <c r="R79" s="19" t="str">
        <f>IF(ISNUMBER(tblData[SKorea]),tblData[SKorea]/$R$9,"")</f>
        <v/>
      </c>
      <c r="S79" s="49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6"/>
        <v>50</v>
      </c>
      <c r="Y79" s="26">
        <f t="shared" si="10"/>
        <v>68</v>
      </c>
      <c r="Z79" s="26">
        <f>IF(tblData[[#This Row],[Date]]&lt;StartDt2Korea,"",tblData[[#This Row],[Date]]-StartDt2Korea)</f>
        <v>40</v>
      </c>
      <c r="AA79" s="26">
        <f>IF(tblData[[#This Row],[Date]]&lt;UKStart,"",tblData[[#This Row],[Date]]-UKStart)</f>
        <v>60</v>
      </c>
      <c r="AB79">
        <f>IF(tblData[Date]&gt;=StartDt2Au,tblData[Date]-StartDt2Au,"")</f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IF(ISNUMBER(tblData[Au]),tblData[Au]/$AA$9,"")</f>
        <v/>
      </c>
      <c r="AE79" s="19">
        <f>IF(ISNUMBER(tblData[[#This Row],[Day'# Aust]]),betaAu/(deltaAu+betaPodeltaAu*EXP(-betaAu*tblData[[#This Row],[Day'# Aust]])),"")</f>
        <v>7197.4988430426129</v>
      </c>
      <c r="AF79" s="72">
        <f>IF(ISNUMBER(tblData[Day'# Aust]),tblData[Au LogiP(t)]/$AD$9,"")</f>
        <v>2837.682874563402</v>
      </c>
      <c r="AG79" s="11" t="str">
        <f>IF(AND(tblData[Date]&gt;=StartDt2Au,ISNUMBER(tblData[NSW])),(tblData[[#This Row],[Au LogiP(t)]]-tblData[[#This Row],[Au]])^2,"")</f>
        <v/>
      </c>
      <c r="AH79">
        <f>IF(tblData[Date]&gt;StartDt2NSW,tblData[Date]-StartDt2NSW,"")</f>
        <v>65</v>
      </c>
      <c r="AI79" t="str">
        <f t="shared" si="8"/>
        <v/>
      </c>
      <c r="AJ79" s="11">
        <f>IF(tblData[Date]&gt;StartDt2NSW,betaNSW/(deltaNSW+betaPodeltaNSW*EXP(-betaNSW*tblData[[#This Row],[Day '# NSW]])),"")</f>
        <v>1646.1353969057423</v>
      </c>
      <c r="AK79" s="12" t="str">
        <f>IF(AND(ISNUMBER(tblData[NSW]),tblData[Date]&gt;StartDt2NSW),(tblData[[#This Row],[NSW LogiP(t)]]-tblData[[#This Row],[NSW]])^2,"")</f>
        <v/>
      </c>
      <c r="AL79" s="12">
        <f>IF(AND(tblData[Date]&gt;StartDt2NSW,ISNUMBER(tblData[Day'# Aust])),tblData[NSW LogiP(t)]/$AG$9,"")</f>
        <v>2037.2962832991859</v>
      </c>
      <c r="AM79" s="11">
        <f>IF(AND(tblData[Date]&gt;StartDt2Italy,ISNUMBER(tblData[Days'# Italy])),betaItaly/(deltaItaly+betaPodeltaItaly*EXP(-betaItaly*tblData[Days'# Italy])),"")</f>
        <v>59227.838359219662</v>
      </c>
      <c r="AN79" s="11" t="str">
        <f>IF(AND(tblData[Date]&gt;StartDt2Italy,ISNUMBER(tblData[Italy])),(tblData[[#This Row],[Italy LogiP(t)]]-tblData[[#This Row],[Italy]])^2,"")</f>
        <v/>
      </c>
      <c r="AO79" s="44">
        <f>IF(AND(tblData[Date]&gt;StartDt2Italy,ISNUMBER(tblData[Days'# Italy])),tblData[[#This Row],[Italy LogiP(t)]]/$AM$9,"")</f>
        <v>9797.82272278241</v>
      </c>
      <c r="AP79" s="21">
        <f>IF(ISNUMBER(tblData[[#This Row],[Days'# US]]),betaUS/(deltaUS+betaPodeltaUS*EXP(-betaUS*tblData[Days'# US])),"")</f>
        <v>535527.33209684724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16266.166463893578</v>
      </c>
      <c r="AS79" s="21">
        <f>IF(tblData[Date]&gt;=StartDt2Korea,betaSKorea/(deltaSKorea+betaPodeltaSKorea*EXP(-betaSKorea*(tblData[Date]-StartDt2Korea))),"")</f>
        <v>8435.6593798768245</v>
      </c>
      <c r="AT79" s="21" t="str">
        <f>IF(AND(tblData[Date]&gt;=StartDt2Korea,ISNUMBER(tblData[SKorea])),(tblData[[#This Row],[SKorea LogiP(t)]]-tblData[[#This Row],[SKorea]])^2,"")</f>
        <v/>
      </c>
      <c r="AU79" s="21">
        <f>IF(tblData[Date]&gt;=StartDt2Korea,tblData[[#This Row],[SKorea LogiP(t)]]/$AS$9,"")</f>
        <v>1641.1788676803162</v>
      </c>
      <c r="AV79" s="11">
        <f>IF(ISNUMBER(tblData[Days'# UK]),betaUK/(deltaUK+betaPodeltaUK*EXP(-betaUK*tblData[Days'# UK])),"")</f>
        <v>41721.179184350236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6279.5272703717992</v>
      </c>
      <c r="AY79" s="11">
        <f>IF(ISNUMBER(tblData[Days'# China]),betaChina/(deltaChina+betaPodeltaChina*EXP(-betaChina*tblData[Days'# China])),"")</f>
        <v>80962.488164867609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562.50365286029717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5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  <c r="CW79" s="55"/>
      <c r="DF79" t="s">
        <v>225</v>
      </c>
      <c r="DG79" s="82">
        <v>43912.862349537034</v>
      </c>
      <c r="DH79" s="27">
        <v>43852</v>
      </c>
      <c r="DI79" s="27">
        <v>43852</v>
      </c>
      <c r="DJ79">
        <v>4</v>
      </c>
      <c r="DK79">
        <v>0.2221429979133962</v>
      </c>
      <c r="DL79">
        <v>2.7437378104594008E-6</v>
      </c>
      <c r="DM79">
        <v>1537.6493038446686</v>
      </c>
      <c r="DN79">
        <v>80963.639115430429</v>
      </c>
      <c r="DO79">
        <v>2060.6222776666727</v>
      </c>
      <c r="DP79">
        <v>1.4172548372006768E-4</v>
      </c>
      <c r="DQ79">
        <v>2.743737810459401E-3</v>
      </c>
      <c r="DS79" s="27">
        <v>43911</v>
      </c>
      <c r="DT79" t="s">
        <v>1384</v>
      </c>
      <c r="DU79" s="26">
        <v>80963.638867120171</v>
      </c>
      <c r="DV79">
        <v>81349</v>
      </c>
      <c r="DW79" t="s">
        <v>1590</v>
      </c>
      <c r="DX79" s="27">
        <v>43912</v>
      </c>
      <c r="DY79">
        <v>61</v>
      </c>
      <c r="DZ79" t="s">
        <v>1591</v>
      </c>
      <c r="EB79" t="s">
        <v>1592</v>
      </c>
      <c r="ED79" t="s">
        <v>1593</v>
      </c>
      <c r="EE79">
        <v>565.1890238767237</v>
      </c>
      <c r="EF79" s="98">
        <v>43912</v>
      </c>
      <c r="EG79">
        <v>0</v>
      </c>
      <c r="EH79" s="98">
        <v>43883</v>
      </c>
      <c r="EI79">
        <v>29</v>
      </c>
      <c r="EJ79" s="26"/>
    </row>
    <row r="80" spans="2:175" x14ac:dyDescent="0.25">
      <c r="B80" s="1">
        <f t="shared" si="9"/>
        <v>43921</v>
      </c>
      <c r="D80" s="26"/>
      <c r="L80" s="12" t="str">
        <f>IF(ISNUMBER(tblData[[#This Row],[NSW]]),tblData[[#This Row],[New South Wales]]/$L$9,"")</f>
        <v/>
      </c>
      <c r="M80" s="26"/>
      <c r="N80" s="49" t="str">
        <f>IF(ISNUMBER(tblData[Italy]),tblData[Italy]/$N$9,"")</f>
        <v/>
      </c>
      <c r="O80" s="26"/>
      <c r="P80" s="49" t="str">
        <f>IF(ISNUMBER(tblData[US]),tblData[US]/$P$9,"")</f>
        <v/>
      </c>
      <c r="Q80" s="49"/>
      <c r="R80" s="19" t="str">
        <f>IF(ISNUMBER(tblData[SKorea]),tblData[SKorea]/$R$9,"")</f>
        <v/>
      </c>
      <c r="S80" s="49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6"/>
        <v>51</v>
      </c>
      <c r="Y80" s="26">
        <f t="shared" si="10"/>
        <v>69</v>
      </c>
      <c r="Z80" s="26">
        <f>IF(tblData[[#This Row],[Date]]&lt;StartDt2Korea,"",tblData[[#This Row],[Date]]-StartDt2Korea)</f>
        <v>41</v>
      </c>
      <c r="AA80" s="26">
        <f>IF(tblData[[#This Row],[Date]]&lt;UKStart,"",tblData[[#This Row],[Date]]-UKStart)</f>
        <v>61</v>
      </c>
      <c r="AB80">
        <f>IF(tblData[Date]&gt;=StartDt2Au,tblData[Date]-StartDt2Au,"")</f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IF(ISNUMBER(tblData[Au]),tblData[Au]/$AA$9,"")</f>
        <v/>
      </c>
      <c r="AE80" s="19">
        <f>IF(ISNUMBER(tblData[[#This Row],[Day'# Aust]]),betaAu/(deltaAu+betaPodeltaAu*EXP(-betaAu*tblData[[#This Row],[Day'# Aust]])),"")</f>
        <v>8882.3559410469479</v>
      </c>
      <c r="AF80" s="72">
        <f>IF(ISNUMBER(tblData[Day'# Aust]),tblData[Au LogiP(t)]/$AD$9,"")</f>
        <v>3501.9539272381912</v>
      </c>
      <c r="AG80" s="11" t="str">
        <f>IF(AND(tblData[Date]&gt;=StartDt2Au,ISNUMBER(tblData[NSW])),(tblData[[#This Row],[Au LogiP(t)]]-tblData[[#This Row],[Au]])^2,"")</f>
        <v/>
      </c>
      <c r="AH80">
        <f>IF(tblData[Date]&gt;StartDt2NSW,tblData[Date]-StartDt2NSW,"")</f>
        <v>66</v>
      </c>
      <c r="AI80" t="str">
        <f t="shared" si="8"/>
        <v/>
      </c>
      <c r="AJ80" s="11">
        <f>IF(tblData[Date]&gt;StartDt2NSW,betaNSW/(deltaNSW+betaPodeltaNSW*EXP(-betaNSW*tblData[[#This Row],[Day '# NSW]])),"")</f>
        <v>1814.0355144391303</v>
      </c>
      <c r="AK80" s="12" t="str">
        <f>IF(AND(ISNUMBER(tblData[NSW]),tblData[Date]&gt;StartDt2NSW),(tblData[[#This Row],[NSW LogiP(t)]]-tblData[[#This Row],[NSW]])^2,"")</f>
        <v/>
      </c>
      <c r="AL80" s="12">
        <f>IF(AND(tblData[Date]&gt;StartDt2NSW,ISNUMBER(tblData[Day'# Aust])),tblData[NSW LogiP(t)]/$AG$9,"")</f>
        <v>2245.09345846427</v>
      </c>
      <c r="AM80" s="11">
        <f>IF(AND(tblData[Date]&gt;StartDt2Italy,ISNUMBER(tblData[Days'# Italy])),betaItaly/(deltaItaly+betaPodeltaItaly*EXP(-betaItaly*tblData[Days'# Italy])),"")</f>
        <v>59543.54626676035</v>
      </c>
      <c r="AN80" s="11" t="str">
        <f>IF(AND(tblData[Date]&gt;StartDt2Italy,ISNUMBER(tblData[Italy])),(tblData[[#This Row],[Italy LogiP(t)]]-tblData[[#This Row],[Italy]])^2,"")</f>
        <v/>
      </c>
      <c r="AO80" s="44">
        <f>IF(AND(tblData[Date]&gt;StartDt2Italy,ISNUMBER(tblData[Days'# Italy])),tblData[[#This Row],[Italy LogiP(t)]]/$AM$9,"")</f>
        <v>9850.049010216766</v>
      </c>
      <c r="AP80" s="21">
        <f>IF(ISNUMBER(tblData[[#This Row],[Days'# US]]),betaUS/(deltaUS+betaPodeltaUS*EXP(-betaUS*tblData[Days'# US])),"")</f>
        <v>750261.35733397224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22788.521515861921</v>
      </c>
      <c r="AS80" s="21">
        <f>IF(tblData[Date]&gt;=StartDt2Korea,betaSKorea/(deltaSKorea+betaPodeltaSKorea*EXP(-betaSKorea*(tblData[Date]-StartDt2Korea))),"")</f>
        <v>8435.9865730779329</v>
      </c>
      <c r="AT80" s="21" t="str">
        <f>IF(AND(tblData[Date]&gt;=StartDt2Korea,ISNUMBER(tblData[SKorea])),(tblData[[#This Row],[SKorea LogiP(t)]]-tblData[[#This Row],[SKorea]])^2,"")</f>
        <v/>
      </c>
      <c r="AU80" s="21">
        <f>IF(tblData[Date]&gt;=StartDt2Korea,tblData[[#This Row],[SKorea LogiP(t)]]/$AS$9,"")</f>
        <v>1641.2425239451231</v>
      </c>
      <c r="AV80" s="11">
        <f>IF(ISNUMBER(tblData[Days'# UK]),betaUK/(deltaUK+betaPodeltaUK*EXP(-betaUK*tblData[Days'# UK])),"")</f>
        <v>52820.633701757295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7950.1254819020614</v>
      </c>
      <c r="AY80" s="11">
        <f>IF(ISNUMBER(tblData[Days'# China]),betaChina/(deltaChina+betaPodeltaChina*EXP(-betaChina*tblData[Days'# China])),"")</f>
        <v>80962.717430639153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562.50524573172311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5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Y80"/>
      <c r="CA80"/>
      <c r="CK80" s="26"/>
      <c r="CL80" s="26"/>
      <c r="DF80" t="s">
        <v>1276</v>
      </c>
      <c r="DG80" s="82">
        <v>43912.862361111111</v>
      </c>
      <c r="DH80" s="27">
        <v>43852</v>
      </c>
      <c r="DI80" s="27">
        <v>43880</v>
      </c>
      <c r="DJ80">
        <v>5</v>
      </c>
      <c r="DK80">
        <v>0.31530859841320269</v>
      </c>
      <c r="DL80">
        <v>3.7372701209800403E-5</v>
      </c>
      <c r="DM80">
        <v>191.45875124820066</v>
      </c>
      <c r="DN80">
        <v>8436.8693780827907</v>
      </c>
      <c r="DO80">
        <v>180.57430626108624</v>
      </c>
      <c r="DP80">
        <v>1.6095021287865954E-3</v>
      </c>
      <c r="DQ80">
        <v>3.7372701209800401E-2</v>
      </c>
      <c r="DS80" s="27">
        <v>43912</v>
      </c>
      <c r="DT80" t="s">
        <v>1595</v>
      </c>
      <c r="DU80" s="26">
        <v>8436.8693780827907</v>
      </c>
      <c r="DV80">
        <v>8897</v>
      </c>
      <c r="DW80" t="s">
        <v>1596</v>
      </c>
      <c r="DX80" s="27">
        <v>43912</v>
      </c>
      <c r="DY80">
        <v>61</v>
      </c>
      <c r="DZ80" t="s">
        <v>1597</v>
      </c>
      <c r="EB80" t="s">
        <v>1598</v>
      </c>
      <c r="EC80" t="s">
        <v>1594</v>
      </c>
      <c r="ED80" t="s">
        <v>1599</v>
      </c>
      <c r="EE80">
        <v>1730.933852140078</v>
      </c>
      <c r="EF80" s="98">
        <v>43891</v>
      </c>
      <c r="EG80">
        <v>21</v>
      </c>
      <c r="EH80" s="98">
        <v>43890</v>
      </c>
      <c r="EI80">
        <v>22</v>
      </c>
      <c r="EJ80" s="26"/>
    </row>
    <row r="81" spans="2:175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9" t="str">
        <f>IF(ISNUMBER(tblData[Italy]),tblData[Italy]/$N$9,"")</f>
        <v/>
      </c>
      <c r="O81" s="26"/>
      <c r="P81" s="49" t="str">
        <f>IF(ISNUMBER(tblData[US]),tblData[US]/$P$9,"")</f>
        <v/>
      </c>
      <c r="Q81" s="49"/>
      <c r="R81" s="19" t="str">
        <f>IF(ISNUMBER(tblData[SKorea]),tblData[SKorea]/$R$9,"")</f>
        <v/>
      </c>
      <c r="S81" s="49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6"/>
        <v>58</v>
      </c>
      <c r="Y81" s="26">
        <f t="shared" si="10"/>
        <v>70</v>
      </c>
      <c r="Z81" s="26">
        <f>IF(tblData[[#This Row],[Date]]&lt;StartDt2Korea,"",tblData[[#This Row],[Date]]-StartDt2Korea)</f>
        <v>48</v>
      </c>
      <c r="AA81" s="26">
        <f>IF(tblData[[#This Row],[Date]]&lt;UKStart,"",tblData[[#This Row],[Date]]-UKStart)</f>
        <v>68</v>
      </c>
      <c r="AB81">
        <f>IF(tblData[Date]&gt;=StartDt2Au,tblData[Date]-StartDt2Au,"")</f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IF(ISNUMBER(tblData[Au]),tblData[Au]/$AA$9,"")</f>
        <v/>
      </c>
      <c r="AE81" s="19">
        <f>IF(ISNUMBER(tblData[[#This Row],[Day'# Aust]]),betaAu/(deltaAu+betaPodeltaAu*EXP(-betaAu*tblData[[#This Row],[Day'# Aust]])),"")</f>
        <v>38721.344492795353</v>
      </c>
      <c r="AF81" s="72">
        <f>IF(ISNUMBER(tblData[Day'# Aust]),tblData[Au LogiP(t)]/$AD$9,"")</f>
        <v>15266.261036427753</v>
      </c>
      <c r="AG81" s="11" t="str">
        <f>IF(AND(tblData[Date]&gt;=StartDt2Au,ISNUMBER(tblData[NSW])),(tblData[[#This Row],[Au LogiP(t)]]-tblData[[#This Row],[Au]])^2,"")</f>
        <v/>
      </c>
      <c r="AH81">
        <f>IF(tblData[Date]&gt;StartDt2NSW,tblData[Date]-StartDt2NSW,"")</f>
        <v>73</v>
      </c>
      <c r="AI81" t="str">
        <f t="shared" si="8"/>
        <v/>
      </c>
      <c r="AJ81" s="11">
        <f>IF(tblData[Date]&gt;StartDt2NSW,betaNSW/(deltaNSW+betaPodeltaNSW*EXP(-betaNSW*tblData[[#This Row],[Day '# NSW]])),"")</f>
        <v>2746.2994294290202</v>
      </c>
      <c r="AK81" s="12" t="str">
        <f>IF(AND(ISNUMBER(tblData[NSW]),tblData[Date]&gt;StartDt2NSW),(tblData[[#This Row],[NSW LogiP(t)]]-tblData[[#This Row],[NSW]])^2,"")</f>
        <v/>
      </c>
      <c r="AL81" s="12">
        <f>IF(AND(tblData[Date]&gt;StartDt2NSW,ISNUMBER(tblData[Day'# Aust])),tblData[NSW LogiP(t)]/$AG$9,"")</f>
        <v>3398.8854324616582</v>
      </c>
      <c r="AM81" s="11">
        <f>IF(AND(tblData[Date]&gt;StartDt2Italy,ISNUMBER(tblData[Days'# Italy])),betaItaly/(deltaItaly+betaPodeltaItaly*EXP(-betaItaly*tblData[Days'# Italy])),"")</f>
        <v>60454.394950241534</v>
      </c>
      <c r="AN81" s="11" t="str">
        <f>IF(AND(tblData[Date]&gt;StartDt2Italy,ISNUMBER(tblData[Italy])),(tblData[[#This Row],[Italy LogiP(t)]]-tblData[[#This Row],[Italy]])^2,"")</f>
        <v/>
      </c>
      <c r="AO81" s="44">
        <f>IF(AND(tblData[Date]&gt;StartDt2Italy,ISNUMBER(tblData[Days'# Italy])),tblData[[#This Row],[Italy LogiP(t)]]/$AM$9,"")</f>
        <v>10000.72703891506</v>
      </c>
      <c r="AP81" s="21">
        <f>IF(ISNUMBER(tblData[[#This Row],[Days'# US]]),betaUS/(deltaUS+betaPodeltaUS*EXP(-betaUS*tblData[Days'# US])),"")</f>
        <v>7934077.1033582333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240990.5361791176</v>
      </c>
      <c r="AS81" s="21">
        <f>IF(tblData[Date]&gt;=StartDt2Korea,betaSKorea/(deltaSKorea+betaPodeltaSKorea*EXP(-betaSKorea*(tblData[Date]-StartDt2Korea))),"")</f>
        <v>8436.7722493457732</v>
      </c>
      <c r="AT81" s="21" t="str">
        <f>IF(AND(tblData[Date]&gt;=StartDt2Korea,ISNUMBER(tblData[SKorea])),(tblData[[#This Row],[SKorea LogiP(t)]]-tblData[[#This Row],[SKorea]])^2,"")</f>
        <v/>
      </c>
      <c r="AU81" s="21">
        <f>IF(tblData[Date]&gt;=StartDt2Korea,tblData[[#This Row],[SKorea LogiP(t)]]/$AS$9,"")</f>
        <v>1641.3953792501504</v>
      </c>
      <c r="AV81" s="11">
        <f>IF(ISNUMBER(tblData[Days'# UK]),betaUK/(deltaUK+betaPodeltaUK*EXP(-betaUK*tblData[Days'# UK])),"")</f>
        <v>275211.28668746678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41422.529603772848</v>
      </c>
      <c r="AY81" s="11">
        <f>IF(ISNUMBER(tblData[Days'# China]),betaChina/(deltaChina+betaPodeltaChina*EXP(-betaChina*tblData[Days'# China])),"")</f>
        <v>80962.901027798594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562.50652131100901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5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Y81"/>
      <c r="CA81"/>
      <c r="CK81" s="26"/>
      <c r="CL81" s="26"/>
      <c r="DF81" t="s">
        <v>1243</v>
      </c>
      <c r="DG81" s="82">
        <v>43912.862372685187</v>
      </c>
      <c r="DH81" s="27">
        <v>43860</v>
      </c>
      <c r="DI81" s="27">
        <v>43860</v>
      </c>
      <c r="DJ81">
        <v>6</v>
      </c>
      <c r="DK81">
        <v>0.23594006316216126</v>
      </c>
      <c r="DL81">
        <v>9.9999999999999903E-10</v>
      </c>
      <c r="DM81">
        <v>2.9674631046950263E-2</v>
      </c>
      <c r="DN81">
        <v>235940063.1621615</v>
      </c>
      <c r="DO81">
        <v>71.927182904252248</v>
      </c>
      <c r="DP81">
        <v>7.9509013190152125</v>
      </c>
      <c r="DQ81">
        <v>9.9999999999999911E-7</v>
      </c>
      <c r="DS81" s="27">
        <v>43911</v>
      </c>
      <c r="DT81" t="s">
        <v>1435</v>
      </c>
      <c r="DU81" s="26">
        <v>235940063.1621615</v>
      </c>
      <c r="DV81">
        <v>5067</v>
      </c>
      <c r="DW81" t="s">
        <v>1568</v>
      </c>
      <c r="DX81" s="27">
        <v>43911</v>
      </c>
      <c r="DY81">
        <v>52</v>
      </c>
      <c r="DZ81" t="s">
        <v>1600</v>
      </c>
      <c r="EB81" t="s">
        <v>1570</v>
      </c>
      <c r="ED81" t="s">
        <v>1601</v>
      </c>
      <c r="EE81">
        <v>762.64298615291989</v>
      </c>
      <c r="EF81" s="98">
        <v>43911</v>
      </c>
      <c r="EG81">
        <v>1</v>
      </c>
      <c r="EH81" s="98">
        <v>43910</v>
      </c>
      <c r="EI81">
        <v>2</v>
      </c>
      <c r="EJ81" s="26"/>
    </row>
    <row r="82" spans="2:175" x14ac:dyDescent="0.25">
      <c r="B82" s="27">
        <f t="shared" ref="B82:B117" si="11">B81+7</f>
        <v>43935</v>
      </c>
      <c r="D82" s="26"/>
      <c r="L82" s="12" t="str">
        <f>IF(ISNUMBER(tblData[[#This Row],[NSW]]),tblData[[#This Row],[New South Wales]]/$L$9,"")</f>
        <v/>
      </c>
      <c r="M82" s="26"/>
      <c r="N82" s="49" t="str">
        <f>IF(ISNUMBER(tblData[Italy]),tblData[Italy]/$N$9,"")</f>
        <v/>
      </c>
      <c r="O82" s="26"/>
      <c r="P82" s="49" t="str">
        <f>IF(ISNUMBER(tblData[US]),tblData[US]/$P$9,"")</f>
        <v/>
      </c>
      <c r="Q82" s="49"/>
      <c r="R82" s="19" t="str">
        <f>IF(ISNUMBER(tblData[SKorea]),tblData[SKorea]/$R$9,"")</f>
        <v/>
      </c>
      <c r="S82" s="49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6"/>
        <v>65</v>
      </c>
      <c r="Y82" s="26">
        <f t="shared" si="10"/>
        <v>71</v>
      </c>
      <c r="Z82" s="26">
        <f>IF(tblData[[#This Row],[Date]]&lt;StartDt2Korea,"",tblData[[#This Row],[Date]]-StartDt2Korea)</f>
        <v>55</v>
      </c>
      <c r="AA82" s="26">
        <f>IF(tblData[[#This Row],[Date]]&lt;UKStart,"",tblData[[#This Row],[Date]]-UKStart)</f>
        <v>75</v>
      </c>
      <c r="AB82">
        <f>IF(tblData[Date]&gt;=StartDt2Au,tblData[Date]-StartDt2Au,"")</f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IF(ISNUMBER(tblData[Au]),tblData[Au]/$AA$9,"")</f>
        <v/>
      </c>
      <c r="AE82" s="19">
        <f>IF(ISNUMBER(tblData[[#This Row],[Day'# Aust]]),betaAu/(deltaAu+betaPodeltaAu*EXP(-betaAu*tblData[[#This Row],[Day'# Aust]])),"")</f>
        <v>168792.04994733629</v>
      </c>
      <c r="AF82" s="72">
        <f>IF(ISNUMBER(tblData[Day'# Aust]),tblData[Au LogiP(t)]/$AD$9,"")</f>
        <v>66547.882805289497</v>
      </c>
      <c r="AG82" s="11" t="str">
        <f>IF(AND(tblData[Date]&gt;=StartDt2Au,ISNUMBER(tblData[NSW])),(tblData[[#This Row],[Au LogiP(t)]]-tblData[[#This Row],[Au]])^2,"")</f>
        <v/>
      </c>
      <c r="AH82">
        <f>IF(tblData[Date]&gt;StartDt2NSW,tblData[Date]-StartDt2NSW,"")</f>
        <v>80</v>
      </c>
      <c r="AI82" t="str">
        <f t="shared" si="8"/>
        <v/>
      </c>
      <c r="AJ82" s="11">
        <f>IF(tblData[Date]&gt;StartDt2NSW,betaNSW/(deltaNSW+betaPodeltaNSW*EXP(-betaNSW*tblData[[#This Row],[Day '# NSW]])),"")</f>
        <v>3123.450856484365</v>
      </c>
      <c r="AK82" s="12" t="str">
        <f>IF(AND(ISNUMBER(tblData[NSW]),tblData[Date]&gt;StartDt2NSW),(tblData[[#This Row],[NSW LogiP(t)]]-tblData[[#This Row],[NSW]])^2,"")</f>
        <v/>
      </c>
      <c r="AL82" s="12">
        <f>IF(AND(tblData[Date]&gt;StartDt2NSW,ISNUMBER(tblData[Day'# Aust])),tblData[NSW LogiP(t)]/$AG$9,"")</f>
        <v>3865.6570005994613</v>
      </c>
      <c r="AM82" s="11">
        <f>IF(AND(tblData[Date]&gt;StartDt2Italy,ISNUMBER(tblData[Days'# Italy])),betaItaly/(deltaItaly+betaPodeltaItaly*EXP(-betaItaly*tblData[Days'# Italy])),"")</f>
        <v>60605.156011214647</v>
      </c>
      <c r="AN82" s="11" t="str">
        <f>IF(AND(tblData[Date]&gt;StartDt2Italy,ISNUMBER(tblData[Italy])),(tblData[[#This Row],[Italy LogiP(t)]]-tblData[[#This Row],[Italy]])^2,"")</f>
        <v/>
      </c>
      <c r="AO82" s="44">
        <f>IF(AND(tblData[Date]&gt;StartDt2Italy,ISNUMBER(tblData[Days'# Italy])),tblData[[#This Row],[Italy LogiP(t)]]/$AM$9,"")</f>
        <v>10025.666833947833</v>
      </c>
      <c r="AP82" s="21">
        <f>IF(ISNUMBER(tblData[[#This Row],[Days'# US]]),betaUS/(deltaUS+betaPodeltaUS*EXP(-betaUS*tblData[Days'# US])),"")</f>
        <v>82225993.803889245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2497541.4375885939</v>
      </c>
      <c r="AS82" s="21">
        <f>IF(tblData[Date]&gt;=StartDt2Korea,betaSKorea/(deltaSKorea+betaPodeltaSKorea*EXP(-betaSKorea*(tblData[Date]-StartDt2Korea))),"")</f>
        <v>8436.8586925864329</v>
      </c>
      <c r="AT82" s="21" t="str">
        <f>IF(AND(tblData[Date]&gt;=StartDt2Korea,ISNUMBER(tblData[SKorea])),(tblData[[#This Row],[SKorea LogiP(t)]]-tblData[[#This Row],[SKorea]])^2,"")</f>
        <v/>
      </c>
      <c r="AU82" s="21">
        <f>IF(tblData[Date]&gt;=StartDt2Korea,tblData[[#This Row],[SKorea LogiP(t)]]/$AS$9,"")</f>
        <v>1641.4121970012516</v>
      </c>
      <c r="AV82" s="85">
        <f>IF(ISNUMBER(tblData[Days'# UK]),betaUK/(deltaUK+betaPodeltaUK*EXP(-betaUK*tblData[Days'# UK])),"")</f>
        <v>1428263.6970704047</v>
      </c>
      <c r="AW82" s="85" t="str">
        <f>IF(ISNUMBER(tblData[UK]),(tblData[[#This Row],[UK LogiP(t)]]-tblData[[#This Row],[UK]])^2,"")</f>
        <v/>
      </c>
      <c r="AX82" s="85">
        <f>IF(ISNUMBER(tblData[Days'# UK]),tblData[[#This Row],[UK LogiP(t)]]/$AV$9,"")</f>
        <v>214970.45410451604</v>
      </c>
      <c r="AY82" s="11">
        <f>IF(ISNUMBER(tblData[Days'# China]),betaChina/(deltaChina+betaPodeltaChina*EXP(-betaChina*tblData[Days'# China])),"")</f>
        <v>80963.048053159087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562.50754280014814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5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Y82"/>
      <c r="CA82"/>
      <c r="CK82" s="26"/>
      <c r="CL82" s="26"/>
      <c r="DF82" t="s">
        <v>981</v>
      </c>
      <c r="DG82" s="82">
        <v>43912.862384259257</v>
      </c>
      <c r="DI82" s="27">
        <v>43896</v>
      </c>
      <c r="DJ82">
        <v>7</v>
      </c>
      <c r="DK82">
        <v>0.20209478104227763</v>
      </c>
      <c r="DL82">
        <v>1.0000000000000751E-10</v>
      </c>
      <c r="DM82">
        <v>5.7886977342360797E-3</v>
      </c>
      <c r="DN82">
        <v>2020947810.4226243</v>
      </c>
      <c r="DO82">
        <v>2141.4153557262753</v>
      </c>
      <c r="DP82">
        <v>34.911959532184611</v>
      </c>
      <c r="DQ82">
        <v>1.0000000000000751E-7</v>
      </c>
      <c r="DS82" s="27">
        <v>43911</v>
      </c>
      <c r="DT82" t="s">
        <v>995</v>
      </c>
      <c r="DV82">
        <v>46456</v>
      </c>
      <c r="DW82" t="s">
        <v>996</v>
      </c>
      <c r="DX82" s="27">
        <v>43911</v>
      </c>
      <c r="DY82">
        <v>16</v>
      </c>
      <c r="DZ82" t="s">
        <v>1602</v>
      </c>
      <c r="EB82" t="s">
        <v>1027</v>
      </c>
      <c r="ED82" t="s">
        <v>1603</v>
      </c>
      <c r="EJ82" s="26"/>
    </row>
    <row r="83" spans="2:175" x14ac:dyDescent="0.25">
      <c r="B83" s="27">
        <f t="shared" si="11"/>
        <v>43942</v>
      </c>
      <c r="D83" s="26"/>
      <c r="L83" s="12" t="str">
        <f>IF(ISNUMBER(tblData[[#This Row],[NSW]]),tblData[[#This Row],[New South Wales]]/$L$9,"")</f>
        <v/>
      </c>
      <c r="M83" s="26"/>
      <c r="N83" s="49" t="str">
        <f>IF(ISNUMBER(tblData[Italy]),tblData[Italy]/$N$9,"")</f>
        <v/>
      </c>
      <c r="O83" s="26"/>
      <c r="P83" s="49" t="str">
        <f>IF(ISNUMBER(tblData[US]),tblData[US]/$P$9,"")</f>
        <v/>
      </c>
      <c r="Q83" s="49"/>
      <c r="R83" s="19" t="str">
        <f>IF(ISNUMBER(tblData[SKorea]),tblData[SKorea]/$R$9,"")</f>
        <v/>
      </c>
      <c r="S83" s="49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6"/>
        <v>72</v>
      </c>
      <c r="Y83" s="26">
        <f t="shared" si="10"/>
        <v>72</v>
      </c>
      <c r="Z83" s="26">
        <f>IF(tblData[[#This Row],[Date]]&lt;StartDt2Korea,"",tblData[[#This Row],[Date]]-StartDt2Korea)</f>
        <v>62</v>
      </c>
      <c r="AA83" s="26">
        <f>IF(tblData[[#This Row],[Date]]&lt;UKStart,"",tblData[[#This Row],[Date]]-UKStart)</f>
        <v>82</v>
      </c>
      <c r="AB83">
        <f>IF(tblData[Date]&gt;=StartDt2Au,tblData[Date]-StartDt2Au,"")</f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IF(ISNUMBER(tblData[Au]),tblData[Au]/$AA$9,"")</f>
        <v/>
      </c>
      <c r="AE83" s="19">
        <f>IF(ISNUMBER(tblData[[#This Row],[Day'# Aust]]),betaAu/(deltaAu+betaPodeltaAu*EXP(-betaAu*tblData[[#This Row],[Day'# Aust]])),"")</f>
        <v>735636.61689185223</v>
      </c>
      <c r="AF83" s="72">
        <f>IF(ISNUMBER(tblData[Day'# Aust]),tblData[Au LogiP(t)]/$AD$9,"")</f>
        <v>290031.78398196353</v>
      </c>
      <c r="AG83" s="11" t="str">
        <f>IF(AND(tblData[Date]&gt;=StartDt2Au,ISNUMBER(tblData[NSW])),(tblData[[#This Row],[Au LogiP(t)]]-tblData[[#This Row],[Au]])^2,"")</f>
        <v/>
      </c>
      <c r="AH83">
        <f>IF(tblData[Date]&gt;StartDt2NSW,tblData[Date]-StartDt2NSW,"")</f>
        <v>87</v>
      </c>
      <c r="AI83" t="str">
        <f t="shared" si="8"/>
        <v/>
      </c>
      <c r="AJ83" s="11">
        <f>IF(tblData[Date]&gt;StartDt2NSW,betaNSW/(deltaNSW+betaPodeltaNSW*EXP(-betaNSW*tblData[[#This Row],[Day '# NSW]])),"")</f>
        <v>3227.5950096453894</v>
      </c>
      <c r="AK83" s="12" t="str">
        <f>IF(AND(ISNUMBER(tblData[NSW]),tblData[Date]&gt;StartDt2NSW),(tblData[[#This Row],[NSW LogiP(t)]]-tblData[[#This Row],[NSW]])^2,"")</f>
        <v/>
      </c>
      <c r="AL83" s="12">
        <f>IF(AND(tblData[Date]&gt;StartDt2NSW,ISNUMBER(tblData[Day'# Aust])),tblData[NSW LogiP(t)]/$AG$9,"")</f>
        <v>3994.5482792640955</v>
      </c>
      <c r="AM83" s="11">
        <f>IF(AND(tblData[Date]&gt;StartDt2Italy,ISNUMBER(tblData[Days'# Italy])),betaItaly/(deltaItaly+betaPodeltaItaly*EXP(-betaItaly*tblData[Days'# Italy])),"")</f>
        <v>60629.743552982254</v>
      </c>
      <c r="AN83" s="11" t="str">
        <f>IF(AND(tblData[Date]&gt;StartDt2Italy,ISNUMBER(tblData[Italy])),(tblData[[#This Row],[Italy LogiP(t)]]-tblData[[#This Row],[Italy]])^2,"")</f>
        <v/>
      </c>
      <c r="AO83" s="44">
        <f>IF(AND(tblData[Date]&gt;StartDt2Italy,ISNUMBER(tblData[Days'# Italy])),tblData[[#This Row],[Italy LogiP(t)]]/$AM$9,"")</f>
        <v>10029.734251940819</v>
      </c>
      <c r="AP83" s="21">
        <f>IF(ISNUMBER(tblData[[#This Row],[Days'# US]]),betaUS/(deltaUS+betaPodeltaUS*EXP(-betaUS*tblData[Days'# US])),"")</f>
        <v>706152955.44981027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21448768.034569308</v>
      </c>
      <c r="AS83" s="21">
        <f>IF(tblData[Date]&gt;=StartDt2Korea,betaSKorea/(deltaSKorea+betaPodeltaSKorea*EXP(-betaSKorea*(tblData[Date]-StartDt2Korea))),"")</f>
        <v>8436.8682025420112</v>
      </c>
      <c r="AT83" s="21" t="str">
        <f>IF(AND(tblData[Date]&gt;=StartDt2Korea,ISNUMBER(tblData[SKorea])),(tblData[[#This Row],[SKorea LogiP(t)]]-tblData[[#This Row],[SKorea]])^2,"")</f>
        <v/>
      </c>
      <c r="AU83" s="21">
        <f>IF(tblData[Date]&gt;=StartDt2Korea,tblData[[#This Row],[SKorea LogiP(t)]]/$AS$9,"")</f>
        <v>1641.4140471871617</v>
      </c>
      <c r="AV83" s="85">
        <f>IF(ISNUMBER(tblData[Days'# UK]),betaUK/(deltaUK+betaPodeltaUK*EXP(-betaUK*tblData[Days'# UK])),"")</f>
        <v>7263365.2406346081</v>
      </c>
      <c r="AW83" s="85" t="str">
        <f>IF(ISNUMBER(tblData[UK]),(tblData[[#This Row],[UK LogiP(t)]]-tblData[[#This Row],[UK]])^2,"")</f>
        <v/>
      </c>
      <c r="AX83" s="85">
        <f>IF(ISNUMBER(tblData[Days'# UK]),tblData[[#This Row],[UK LogiP(t)]]/$AV$9,"")</f>
        <v>1093221.7400112294</v>
      </c>
      <c r="AY83" s="11">
        <f>IF(ISNUMBER(tblData[Days'# China]),betaChina/(deltaChina+betaPodeltaChina*EXP(-betaChina*tblData[Days'# China])),"")</f>
        <v>80963.165791576772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562.50836081218722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5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Y83"/>
      <c r="CA83"/>
      <c r="CK83" s="26"/>
      <c r="CL83" s="26"/>
      <c r="DF83" t="s">
        <v>485</v>
      </c>
      <c r="DG83" s="82">
        <v>43912.873854166668</v>
      </c>
      <c r="DH83" s="27">
        <v>43852</v>
      </c>
      <c r="DI83" s="27">
        <v>43870</v>
      </c>
      <c r="DJ83">
        <v>3</v>
      </c>
      <c r="DK83">
        <v>0.33723338069623404</v>
      </c>
      <c r="DL83">
        <v>9.9999999999795755E-11</v>
      </c>
      <c r="DM83">
        <v>2.5463658145686113E-2</v>
      </c>
      <c r="DN83">
        <v>3372333806.9692283</v>
      </c>
      <c r="DO83">
        <v>322.06292198158718</v>
      </c>
      <c r="DP83">
        <v>13.243713011078873</v>
      </c>
      <c r="DQ83">
        <v>9.9999999999795755E-8</v>
      </c>
      <c r="DS83" s="27">
        <v>43911</v>
      </c>
      <c r="DT83" t="s">
        <v>1563</v>
      </c>
      <c r="DU83" s="26">
        <v>3372333806.9692283</v>
      </c>
      <c r="DV83">
        <v>25489</v>
      </c>
      <c r="DW83" t="s">
        <v>1564</v>
      </c>
      <c r="DX83" s="27">
        <v>43911</v>
      </c>
      <c r="DY83">
        <v>42</v>
      </c>
      <c r="DZ83" t="s">
        <v>1583</v>
      </c>
      <c r="EB83" t="s">
        <v>1566</v>
      </c>
      <c r="ED83" t="s">
        <v>1584</v>
      </c>
      <c r="EE83">
        <v>774.20570743755002</v>
      </c>
      <c r="EF83" s="98">
        <v>43911</v>
      </c>
      <c r="EG83">
        <v>1</v>
      </c>
      <c r="EH83" s="98">
        <v>43910</v>
      </c>
      <c r="EI83">
        <v>2</v>
      </c>
    </row>
    <row r="84" spans="2:175" x14ac:dyDescent="0.25">
      <c r="B84" s="27">
        <f t="shared" si="11"/>
        <v>43949</v>
      </c>
      <c r="D84" s="26"/>
      <c r="L84" s="12" t="str">
        <f>IF(ISNUMBER(tblData[[#This Row],[NSW]]),tblData[[#This Row],[New South Wales]]/$L$9,"")</f>
        <v/>
      </c>
      <c r="M84" s="26"/>
      <c r="N84" s="49" t="str">
        <f>IF(ISNUMBER(tblData[Italy]),tblData[Italy]/$N$9,"")</f>
        <v/>
      </c>
      <c r="O84" s="26"/>
      <c r="P84" s="49" t="str">
        <f>IF(ISNUMBER(tblData[US]),tblData[US]/$P$9,"")</f>
        <v/>
      </c>
      <c r="Q84" s="49"/>
      <c r="R84" s="19" t="str">
        <f>IF(ISNUMBER(tblData[SKorea]),tblData[SKorea]/$R$9,"")</f>
        <v/>
      </c>
      <c r="S84" s="49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6"/>
        <v>79</v>
      </c>
      <c r="Y84" s="26">
        <f t="shared" si="10"/>
        <v>73</v>
      </c>
      <c r="Z84" s="26">
        <f>IF(tblData[[#This Row],[Date]]&lt;StartDt2Korea,"",tblData[[#This Row],[Date]]-StartDt2Korea)</f>
        <v>69</v>
      </c>
      <c r="AA84" s="26">
        <f>IF(tblData[[#This Row],[Date]]&lt;UKStart,"",tblData[[#This Row],[Date]]-UKStart)</f>
        <v>89</v>
      </c>
      <c r="AB84">
        <f>IF(tblData[Date]&gt;=StartDt2Au,tblData[Date]-StartDt2Au,"")</f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IF(ISNUMBER(tblData[Au]),tblData[Au]/$AA$9,"")</f>
        <v/>
      </c>
      <c r="AE84" s="44">
        <f>IF(ISNUMBER(tblData[[#This Row],[Day'# Aust]]),betaAu/(deltaAu+betaPodeltaAu*EXP(-betaAu*tblData[[#This Row],[Day'# Aust]])),"")</f>
        <v>3203183.2357315472</v>
      </c>
      <c r="AF84" s="73">
        <f>IF(ISNUMBER(tblData[Day'# Aust]),tblData[Au LogiP(t)]/$AD$9,"")</f>
        <v>1262885.6788091576</v>
      </c>
      <c r="AG84" s="11" t="str">
        <f>IF(AND(tblData[Date]&gt;=StartDt2Au,ISNUMBER(tblData[NSW])),(tblData[[#This Row],[Au LogiP(t)]]-tblData[[#This Row],[Au]])^2,"")</f>
        <v/>
      </c>
      <c r="AH84">
        <f>IF(tblData[Date]&gt;StartDt2NSW,tblData[Date]-StartDt2NSW,"")</f>
        <v>94</v>
      </c>
      <c r="AI84" t="str">
        <f t="shared" si="8"/>
        <v/>
      </c>
      <c r="AJ84" s="11">
        <f>IF(tblData[Date]&gt;StartDt2NSW,betaNSW/(deltaNSW+betaPodeltaNSW*EXP(-betaNSW*tblData[[#This Row],[Day '# NSW]])),"")</f>
        <v>3253.0799097826775</v>
      </c>
      <c r="AK84" s="12" t="str">
        <f>IF(AND(ISNUMBER(tblData[NSW]),tblData[Date]&gt;StartDt2NSW),(tblData[[#This Row],[NSW LogiP(t)]]-tblData[[#This Row],[NSW]])^2,"")</f>
        <v/>
      </c>
      <c r="AL84" s="44">
        <f>IF(AND(tblData[Date]&gt;StartDt2NSW,ISNUMBER(tblData[Day'# Aust])),tblData[NSW LogiP(t)]/$AG$9,"")</f>
        <v>4026.0889972557889</v>
      </c>
      <c r="AM84" s="11">
        <f>IF(AND(tblData[Date]&gt;StartDt2Italy,ISNUMBER(tblData[Days'# Italy])),betaItaly/(deltaItaly+betaPodeltaItaly*EXP(-betaItaly*tblData[Days'# Italy])),"")</f>
        <v>60633.743810912012</v>
      </c>
      <c r="AN84" s="11" t="str">
        <f>IF(AND(tblData[Date]&gt;StartDt2Italy,ISNUMBER(tblData[Italy])),(tblData[[#This Row],[Italy LogiP(t)]]-tblData[[#This Row],[Italy]])^2,"")</f>
        <v/>
      </c>
      <c r="AO84" s="44">
        <f>IF(AND(tblData[Date]&gt;StartDt2Italy,ISNUMBER(tblData[Days'# Italy])),tblData[[#This Row],[Italy LogiP(t)]]/$AM$9,"")</f>
        <v>10030.395998496611</v>
      </c>
      <c r="AP84" s="21">
        <f>IF(ISNUMBER(tblData[[#This Row],[Days'# US]]),betaUS/(deltaUS+betaPodeltaUS*EXP(-betaUS*tblData[Days'# US])),"")</f>
        <v>2486474640.0960197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75524455.952021122</v>
      </c>
      <c r="AS84" s="21">
        <f>IF(tblData[Date]&gt;=StartDt2Korea,betaSKorea/(deltaSKorea+betaPodeltaSKorea*EXP(-betaSKorea*(tblData[Date]-StartDt2Korea))),"")</f>
        <v>8436.869248758454</v>
      </c>
      <c r="AT84" s="21" t="str">
        <f>IF(AND(tblData[Date]&gt;=StartDt2Korea,ISNUMBER(tblData[SKorea])),(tblData[[#This Row],[SKorea LogiP(t)]]-tblData[[#This Row],[SKorea]])^2,"")</f>
        <v/>
      </c>
      <c r="AU84" s="21">
        <f>IF(tblData[Date]&gt;=StartDt2Korea,tblData[[#This Row],[SKorea LogiP(t)]]/$AS$9,"")</f>
        <v>1641.4142507312167</v>
      </c>
      <c r="AV84" s="85">
        <f>IF(ISNUMBER(tblData[Days'# UK]),betaUK/(deltaUK+betaPodeltaUK*EXP(-betaUK*tblData[Days'# UK])),"")</f>
        <v>33529125.08448007</v>
      </c>
      <c r="AW84" s="85" t="str">
        <f>IF(ISNUMBER(tblData[UK]),(tblData[[#This Row],[UK LogiP(t)]]-tblData[[#This Row],[UK]])^2,"")</f>
        <v/>
      </c>
      <c r="AX84" s="85">
        <f>IF(ISNUMBER(tblData[Days'# UK]),tblData[[#This Row],[UK LogiP(t)]]/$AV$9,"")</f>
        <v>5046526.9543166868</v>
      </c>
      <c r="AY84" s="11">
        <f>IF(ISNUMBER(tblData[Days'# China]),betaChina/(deltaChina+betaPodeltaChina*EXP(-betaChina*tblData[Days'# China])),"")</f>
        <v>80963.260076847859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562.50901587863348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5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Y84"/>
      <c r="CA84"/>
      <c r="CK84" s="26"/>
      <c r="CL84" s="26"/>
    </row>
    <row r="85" spans="2:175" x14ac:dyDescent="0.25">
      <c r="B85" s="27">
        <f t="shared" si="11"/>
        <v>43956</v>
      </c>
      <c r="D85" s="26"/>
      <c r="L85" s="12" t="str">
        <f>IF(ISNUMBER(tblData[[#This Row],[NSW]]),tblData[[#This Row],[New South Wales]]/$L$9,"")</f>
        <v/>
      </c>
      <c r="M85" s="26"/>
      <c r="N85" s="49" t="str">
        <f>IF(ISNUMBER(tblData[Italy]),tblData[Italy]/$N$9,"")</f>
        <v/>
      </c>
      <c r="O85" s="26"/>
      <c r="P85" s="49" t="str">
        <f>IF(ISNUMBER(tblData[US]),tblData[US]/$P$9,"")</f>
        <v/>
      </c>
      <c r="Q85" s="49"/>
      <c r="R85" s="19" t="str">
        <f>IF(ISNUMBER(tblData[SKorea]),tblData[SKorea]/$R$9,"")</f>
        <v/>
      </c>
      <c r="S85" s="49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6"/>
        <v>86</v>
      </c>
      <c r="Y85" s="26">
        <f t="shared" si="10"/>
        <v>74</v>
      </c>
      <c r="Z85" s="26">
        <f>IF(tblData[[#This Row],[Date]]&lt;StartDt2Korea,"",tblData[[#This Row],[Date]]-StartDt2Korea)</f>
        <v>76</v>
      </c>
      <c r="AA85" s="26">
        <f>IF(tblData[[#This Row],[Date]]&lt;UKStart,"",tblData[[#This Row],[Date]]-UKStart)</f>
        <v>96</v>
      </c>
      <c r="AB85">
        <f>IF(tblData[Date]&gt;=StartDt2Au,tblData[Date]-StartDt2Au,"")</f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IF(ISNUMBER(tblData[Au]),tblData[Au]/$AA$9,"")</f>
        <v/>
      </c>
      <c r="AE85" s="44">
        <f>IF(ISNUMBER(tblData[[#This Row],[Day'# Aust]]),betaAu/(deltaAu+betaPodeltaAu*EXP(-betaAu*tblData[[#This Row],[Day'# Aust]])),"")</f>
        <v>13892934.405421793</v>
      </c>
      <c r="AF85" s="73">
        <f>IF(ISNUMBER(tblData[Day'# Aust]),tblData[Au LogiP(t)]/$AD$9,"")</f>
        <v>5477422.4907040661</v>
      </c>
      <c r="AG85" s="11" t="str">
        <f>IF(AND(tblData[Date]&gt;=StartDt2Au,ISNUMBER(tblData[NSW])),(tblData[[#This Row],[Au LogiP(t)]]-tblData[[#This Row],[Au]])^2,"")</f>
        <v/>
      </c>
      <c r="AH85">
        <f>IF(tblData[Date]&gt;StartDt2NSW,tblData[Date]-StartDt2NSW,"")</f>
        <v>101</v>
      </c>
      <c r="AI85" t="str">
        <f t="shared" si="8"/>
        <v/>
      </c>
      <c r="AJ85" s="11">
        <f>IF(tblData[Date]&gt;StartDt2NSW,betaNSW/(deltaNSW+betaPodeltaNSW*EXP(-betaNSW*tblData[[#This Row],[Day '# NSW]])),"")</f>
        <v>3259.126256882626</v>
      </c>
      <c r="AK85" s="12" t="str">
        <f>IF(AND(ISNUMBER(tblData[NSW]),tblData[Date]&gt;StartDt2NSW),(tblData[[#This Row],[NSW LogiP(t)]]-tblData[[#This Row],[NSW]])^2,"")</f>
        <v/>
      </c>
      <c r="AL85" s="44">
        <f>IF(AND(tblData[Date]&gt;StartDt2NSW,ISNUMBER(tblData[Day'# Aust])),tblData[NSW LogiP(t)]/$AG$9,"")</f>
        <v>4033.5721001022598</v>
      </c>
      <c r="AM85" s="11">
        <f>IF(AND(tblData[Date]&gt;StartDt2Italy,ISNUMBER(tblData[Days'# Italy])),betaItaly/(deltaItaly+betaPodeltaItaly*EXP(-betaItaly*tblData[Days'# Italy])),"")</f>
        <v>60634.394373943731</v>
      </c>
      <c r="AN85" s="11" t="str">
        <f>IF(AND(tblData[Date]&gt;StartDt2Italy,ISNUMBER(tblData[Italy])),(tblData[[#This Row],[Italy LogiP(t)]]-tblData[[#This Row],[Italy]])^2,"")</f>
        <v/>
      </c>
      <c r="AO85" s="44">
        <f>IF(AND(tblData[Date]&gt;StartDt2Italy,ISNUMBER(tblData[Days'# Italy])),tblData[[#This Row],[Italy LogiP(t)]]/$AM$9,"")</f>
        <v>10030.5036185184</v>
      </c>
      <c r="AP85" s="21">
        <f>IF(ISNUMBER(tblData[[#This Row],[Days'# US]]),betaUS/(deltaUS+betaPodeltaUS*EXP(-betaUS*tblData[Days'# US])),"")</f>
        <v>3262650379.54461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99100103.778756559</v>
      </c>
      <c r="AS85" s="21">
        <f>IF(tblData[Date]&gt;=StartDt2Korea,betaSKorea/(deltaSKorea+betaPodeltaSKorea*EXP(-betaSKorea*(tblData[Date]-StartDt2Korea))),"")</f>
        <v>8436.8693638554814</v>
      </c>
      <c r="AT85" s="21" t="str">
        <f>IF(AND(tblData[Date]&gt;=StartDt2Korea,ISNUMBER(tblData[SKorea])),(tblData[[#This Row],[SKorea LogiP(t)]]-tblData[[#This Row],[SKorea]])^2,"")</f>
        <v/>
      </c>
      <c r="AU85" s="21">
        <f>IF(tblData[Date]&gt;=StartDt2Korea,tblData[[#This Row],[SKorea LogiP(t)]]/$AS$9,"")</f>
        <v>1641.4142731236345</v>
      </c>
      <c r="AV85" s="85">
        <f>IF(ISNUMBER(tblData[Days'# UK]),betaUK/(deltaUK+betaPodeltaUK*EXP(-betaUK*tblData[Days'# UK])),"")</f>
        <v>109355585.43471846</v>
      </c>
      <c r="AW85" s="85" t="str">
        <f>IF(ISNUMBER(tblData[UK]),(tblData[[#This Row],[UK LogiP(t)]]-tblData[[#This Row],[UK]])^2,"")</f>
        <v/>
      </c>
      <c r="AX85" s="85">
        <f>IF(ISNUMBER(tblData[Days'# UK]),tblData[[#This Row],[UK LogiP(t)]]/$AV$9,"")</f>
        <v>16459299.433280924</v>
      </c>
      <c r="AY85" s="11">
        <f>IF(ISNUMBER(tblData[Days'# China]),betaChina/(deltaChina+betaPodeltaChina*EXP(-betaChina*tblData[Days'# China])),"")</f>
        <v>80963.335580730796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562.50954045749609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5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Y85"/>
      <c r="CA85"/>
      <c r="CK85" s="26"/>
      <c r="CL85" s="26"/>
      <c r="DF85" s="26"/>
      <c r="DJ85" s="26"/>
      <c r="DK85" s="26"/>
      <c r="DL85" s="26"/>
      <c r="DM85" s="26"/>
      <c r="DN85" s="26"/>
      <c r="DO85" s="26"/>
      <c r="DP85" s="26"/>
      <c r="DQ85" s="26"/>
      <c r="DR85" s="26"/>
      <c r="DT85" s="26"/>
      <c r="DV85" s="26"/>
      <c r="DW85" s="26"/>
      <c r="DY85" s="26"/>
      <c r="DZ85" s="26"/>
      <c r="EA85" s="26"/>
      <c r="EB85" s="26"/>
      <c r="EC85" s="26"/>
      <c r="ED85" s="26"/>
      <c r="EE85" s="26"/>
      <c r="EG85" s="26"/>
      <c r="EI85" s="26"/>
    </row>
    <row r="86" spans="2:175" x14ac:dyDescent="0.25">
      <c r="B86" s="27">
        <f t="shared" si="11"/>
        <v>43963</v>
      </c>
      <c r="D86" s="26"/>
      <c r="L86" s="12" t="str">
        <f>IF(ISNUMBER(tblData[[#This Row],[NSW]]),tblData[[#This Row],[New South Wales]]/$L$9,"")</f>
        <v/>
      </c>
      <c r="M86" s="26"/>
      <c r="N86" s="49" t="str">
        <f>IF(ISNUMBER(tblData[Italy]),tblData[Italy]/$N$9,"")</f>
        <v/>
      </c>
      <c r="O86" s="26"/>
      <c r="P86" s="49" t="str">
        <f>IF(ISNUMBER(tblData[US]),tblData[US]/$P$9,"")</f>
        <v/>
      </c>
      <c r="Q86" s="49"/>
      <c r="R86" s="19" t="str">
        <f>IF(ISNUMBER(tblData[SKorea]),tblData[SKorea]/$R$9,"")</f>
        <v/>
      </c>
      <c r="S86" s="49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6"/>
        <v>93</v>
      </c>
      <c r="Y86" s="26">
        <f t="shared" si="10"/>
        <v>75</v>
      </c>
      <c r="Z86" s="26">
        <f>IF(tblData[[#This Row],[Date]]&lt;StartDt2Korea,"",tblData[[#This Row],[Date]]-StartDt2Korea)</f>
        <v>83</v>
      </c>
      <c r="AA86" s="26">
        <f>IF(tblData[[#This Row],[Date]]&lt;UKStart,"",tblData[[#This Row],[Date]]-UKStart)</f>
        <v>103</v>
      </c>
      <c r="AB86">
        <f>IF(tblData[Date]&gt;=StartDt2Au,tblData[Date]-StartDt2Au,"")</f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IF(ISNUMBER(tblData[Au]),tblData[Au]/$AA$9,"")</f>
        <v/>
      </c>
      <c r="AE86" s="44">
        <f>IF(ISNUMBER(tblData[[#This Row],[Day'# Aust]]),betaAu/(deltaAu+betaPodeltaAu*EXP(-betaAu*tblData[[#This Row],[Day'# Aust]])),"")</f>
        <v>59250356.712427147</v>
      </c>
      <c r="AF86" s="73">
        <f>IF(ISNUMBER(tblData[Day'# Aust]),tblData[Au LogiP(t)]/$AD$9,"")</f>
        <v>23360020.782379415</v>
      </c>
      <c r="AG86" s="11" t="str">
        <f>IF(AND(tblData[Date]&gt;=StartDt2Au,ISNUMBER(tblData[NSW])),(tblData[[#This Row],[Au LogiP(t)]]-tblData[[#This Row],[Au]])^2,"")</f>
        <v/>
      </c>
      <c r="AH86">
        <f>IF(tblData[Date]&gt;StartDt2NSW,tblData[Date]-StartDt2NSW,"")</f>
        <v>108</v>
      </c>
      <c r="AI86" t="str">
        <f t="shared" si="8"/>
        <v/>
      </c>
      <c r="AJ86" s="11">
        <f>IF(tblData[Date]&gt;StartDt2NSW,betaNSW/(deltaNSW+betaPodeltaNSW*EXP(-betaNSW*tblData[[#This Row],[Day '# NSW]])),"")</f>
        <v>3260.5501494288974</v>
      </c>
      <c r="AK86" s="12" t="str">
        <f>IF(AND(ISNUMBER(tblData[NSW]),tblData[Date]&gt;StartDt2NSW),(tblData[[#This Row],[NSW LogiP(t)]]-tblData[[#This Row],[NSW]])^2,"")</f>
        <v/>
      </c>
      <c r="AL86" s="44">
        <f>IF(AND(tblData[Date]&gt;StartDt2NSW,ISNUMBER(tblData[Day'# Aust])),tblData[NSW LogiP(t)]/$AG$9,"")</f>
        <v>4035.3343433525956</v>
      </c>
      <c r="AM86" s="11">
        <f>IF(AND(tblData[Date]&gt;StartDt2Italy,ISNUMBER(tblData[Days'# Italy])),betaItaly/(deltaItaly+betaPodeltaItaly*EXP(-betaItaly*tblData[Days'# Italy])),"")</f>
        <v>60634.500168390412</v>
      </c>
      <c r="AN86" s="11" t="str">
        <f>IF(AND(tblData[Date]&gt;StartDt2Italy,ISNUMBER(tblData[Italy])),(tblData[[#This Row],[Italy LogiP(t)]]-tblData[[#This Row],[Italy]])^2,"")</f>
        <v/>
      </c>
      <c r="AO86" s="44">
        <f>IF(AND(tblData[Date]&gt;StartDt2Italy,ISNUMBER(tblData[Days'# Italy])),tblData[[#This Row],[Italy LogiP(t)]]/$AM$9,"")</f>
        <v>10030.521119667563</v>
      </c>
      <c r="AP86" s="21">
        <f>IF(ISNUMBER(tblData[[#This Row],[Days'# US]]),betaUS/(deltaUS+betaPodeltaUS*EXP(-betaUS*tblData[Days'# US])),"")</f>
        <v>3361669924.0262036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102107734.38354748</v>
      </c>
      <c r="AS86" s="21">
        <f>IF(tblData[Date]&gt;=StartDt2Korea,betaSKorea/(deltaSKorea+betaPodeltaSKorea*EXP(-betaSKorea*(tblData[Date]-StartDt2Korea))),"")</f>
        <v>8436.8693765176067</v>
      </c>
      <c r="AT86" s="21" t="str">
        <f>IF(AND(tblData[Date]&gt;=StartDt2Korea,ISNUMBER(tblData[SKorea])),(tblData[[#This Row],[SKorea LogiP(t)]]-tblData[[#This Row],[SKorea]])^2,"")</f>
        <v/>
      </c>
      <c r="AU86" s="21">
        <f>IF(tblData[Date]&gt;=StartDt2Korea,tblData[[#This Row],[SKorea LogiP(t)]]/$AS$9,"")</f>
        <v>1641.414275587083</v>
      </c>
      <c r="AV86" s="85">
        <f>IF(ISNUMBER(tblData[Days'# UK]),betaUK/(deltaUK+betaPodeltaUK*EXP(-betaUK*tblData[Days'# UK])),"")</f>
        <v>193083901.03025627</v>
      </c>
      <c r="AW86" s="85" t="str">
        <f>IF(ISNUMBER(tblData[UK]),(tblData[[#This Row],[UK LogiP(t)]]-tblData[[#This Row],[UK]])^2,"")</f>
        <v/>
      </c>
      <c r="AX86" s="85">
        <f>IF(ISNUMBER(tblData[Days'# UK]),tblData[[#This Row],[UK LogiP(t)]]/$AV$9,"")</f>
        <v>29061393.893777285</v>
      </c>
      <c r="AY86" s="11">
        <f>IF(ISNUMBER(tblData[Days'# China]),betaChina/(deltaChina+betaPodeltaChina*EXP(-betaChina*tblData[Days'# China])),"")</f>
        <v>80963.396044405483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562.50996054139728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5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Y86"/>
      <c r="CA86"/>
      <c r="CK86" s="26"/>
      <c r="CL86" s="26"/>
      <c r="DF86" s="26"/>
      <c r="DJ86" s="26"/>
      <c r="DK86" s="26"/>
      <c r="DL86" s="26"/>
      <c r="DM86" s="26"/>
      <c r="DN86" s="26"/>
      <c r="DO86" s="26"/>
      <c r="DP86" s="26"/>
      <c r="DQ86" s="26"/>
      <c r="DR86" s="26"/>
      <c r="DT86" s="26"/>
      <c r="DV86" s="26"/>
      <c r="DW86" s="26"/>
      <c r="DY86" s="26"/>
      <c r="DZ86" s="26"/>
      <c r="EA86" s="26"/>
      <c r="EB86" s="26"/>
      <c r="EC86" s="26"/>
      <c r="ED86" s="26"/>
      <c r="EE86" s="26"/>
      <c r="EG86" s="26"/>
      <c r="EI86" s="26"/>
    </row>
    <row r="87" spans="2:175" x14ac:dyDescent="0.25">
      <c r="B87" s="27">
        <f t="shared" si="11"/>
        <v>43970</v>
      </c>
      <c r="D87" s="26"/>
      <c r="L87" s="12" t="str">
        <f>IF(ISNUMBER(tblData[[#This Row],[NSW]]),tblData[[#This Row],[New South Wales]]/$L$9,"")</f>
        <v/>
      </c>
      <c r="M87" s="26"/>
      <c r="N87" s="49" t="str">
        <f>IF(ISNUMBER(tblData[Italy]),tblData[Italy]/$N$9,"")</f>
        <v/>
      </c>
      <c r="O87" s="26"/>
      <c r="P87" s="49" t="str">
        <f>IF(ISNUMBER(tblData[US]),tblData[US]/$P$9,"")</f>
        <v/>
      </c>
      <c r="Q87" s="49"/>
      <c r="R87" s="19" t="str">
        <f>IF(ISNUMBER(tblData[SKorea]),tblData[SKorea]/$R$9,"")</f>
        <v/>
      </c>
      <c r="S87" s="49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6"/>
        <v>100</v>
      </c>
      <c r="Y87" s="26">
        <f t="shared" si="10"/>
        <v>76</v>
      </c>
      <c r="Z87" s="26">
        <f>IF(tblData[[#This Row],[Date]]&lt;StartDt2Korea,"",tblData[[#This Row],[Date]]-StartDt2Korea)</f>
        <v>90</v>
      </c>
      <c r="AA87" s="26">
        <f>IF(tblData[[#This Row],[Date]]&lt;UKStart,"",tblData[[#This Row],[Date]]-UKStart)</f>
        <v>110</v>
      </c>
      <c r="AB87">
        <f>IF(tblData[Date]&gt;=StartDt2Au,tblData[Date]-StartDt2Au,"")</f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IF(ISNUMBER(tblData[Au]),tblData[Au]/$AA$9,"")</f>
        <v/>
      </c>
      <c r="AE87" s="44">
        <f>IF(ISNUMBER(tblData[[#This Row],[Day'# Aust]]),betaAu/(deltaAu+betaPodeltaAu*EXP(-betaAu*tblData[[#This Row],[Day'# Aust]])),"")</f>
        <v>235966644.25841221</v>
      </c>
      <c r="AF87" s="73">
        <f>IF(ISNUMBER(tblData[Day'# Aust]),tblData[Au LogiP(t)]/$AD$9,"")</f>
        <v>93032110.179156363</v>
      </c>
      <c r="AG87" s="11" t="str">
        <f>IF(AND(tblData[Date]&gt;=StartDt2Au,ISNUMBER(tblData[NSW])),(tblData[[#This Row],[Au LogiP(t)]]-tblData[[#This Row],[Au]])^2,"")</f>
        <v/>
      </c>
      <c r="AH87">
        <f>IF(tblData[Date]&gt;StartDt2NSW,tblData[Date]-StartDt2NSW,"")</f>
        <v>115</v>
      </c>
      <c r="AI87" t="str">
        <f t="shared" si="8"/>
        <v/>
      </c>
      <c r="AJ87" s="11">
        <f>IF(tblData[Date]&gt;StartDt2NSW,betaNSW/(deltaNSW+betaPodeltaNSW*EXP(-betaNSW*tblData[[#This Row],[Day '# NSW]])),"")</f>
        <v>3260.8848831673022</v>
      </c>
      <c r="AK87" s="12" t="str">
        <f>IF(AND(ISNUMBER(tblData[NSW]),tblData[Date]&gt;StartDt2NSW),(tblData[[#This Row],[NSW LogiP(t)]]-tblData[[#This Row],[NSW]])^2,"")</f>
        <v/>
      </c>
      <c r="AL87" s="44">
        <f>IF(AND(tblData[Date]&gt;StartDt2NSW,ISNUMBER(tblData[Day'# Aust])),tblData[NSW LogiP(t)]/$AG$9,"")</f>
        <v>4035.7486177813144</v>
      </c>
      <c r="AM87" s="11">
        <f>IF(AND(tblData[Date]&gt;StartDt2Italy,ISNUMBER(tblData[Days'# Italy])),betaItaly/(deltaItaly+betaPodeltaItaly*EXP(-betaItaly*tblData[Days'# Italy])),"")</f>
        <v>60634.517372485163</v>
      </c>
      <c r="AN87" s="11" t="str">
        <f>IF(AND(tblData[Date]&gt;StartDt2Italy,ISNUMBER(tblData[Italy])),(tblData[[#This Row],[Italy LogiP(t)]]-tblData[[#This Row],[Italy]])^2,"")</f>
        <v/>
      </c>
      <c r="AO87" s="44">
        <f>IF(AND(tblData[Date]&gt;StartDt2Italy,ISNUMBER(tblData[Days'# Italy])),tblData[[#This Row],[Italy LogiP(t)]]/$AM$9,"")</f>
        <v>10030.523965671657</v>
      </c>
      <c r="AP87" s="21">
        <f>IF(ISNUMBER(tblData[[#This Row],[Days'# US]]),betaUS/(deltaUS+betaPodeltaUS*EXP(-betaUS*tblData[Days'# US])),"")</f>
        <v>3371324668.634017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102400988.66497168</v>
      </c>
      <c r="AS87" s="21">
        <f>IF(tblData[Date]&gt;=StartDt2Korea,betaSKorea/(deltaSKorea+betaPodeltaSKorea*EXP(-betaSKorea*(tblData[Date]-StartDt2Korea))),"")</f>
        <v>8436.8693779105997</v>
      </c>
      <c r="AT87" s="21" t="str">
        <f>IF(AND(tblData[Date]&gt;=StartDt2Korea,ISNUMBER(tblData[SKorea])),(tblData[[#This Row],[SKorea LogiP(t)]]-tblData[[#This Row],[SKorea]])^2,"")</f>
        <v/>
      </c>
      <c r="AU87" s="21">
        <f>IF(tblData[Date]&gt;=StartDt2Korea,tblData[[#This Row],[SKorea LogiP(t)]]/$AS$9,"")</f>
        <v>1641.4142758580933</v>
      </c>
      <c r="AV87" s="85">
        <f>IF(ISNUMBER(tblData[Days'# UK]),betaUK/(deltaUK+betaPodeltaUK*EXP(-betaUK*tblData[Days'# UK])),"")</f>
        <v>226308520.66872197</v>
      </c>
      <c r="AW87" s="85" t="str">
        <f>IF(ISNUMBER(tblData[UK]),(tblData[[#This Row],[UK LogiP(t)]]-tblData[[#This Row],[UK]])^2,"")</f>
        <v/>
      </c>
      <c r="AX87" s="85">
        <f>IF(ISNUMBER(tblData[Days'# UK]),tblData[[#This Row],[UK LogiP(t)]]/$AV$9,"")</f>
        <v>34062089.203600541</v>
      </c>
      <c r="AY87" s="11">
        <f>IF(ISNUMBER(tblData[Days'# China]),betaChina/(deltaChina+betaPodeltaChina*EXP(-betaChina*tblData[Days'# China])),"")</f>
        <v>80963.444463832246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562.5102969453917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5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Y87"/>
      <c r="CA87"/>
      <c r="CK87" s="26"/>
      <c r="CL87" s="26"/>
      <c r="DF87" s="26"/>
      <c r="DJ87" s="26"/>
      <c r="DK87" s="26"/>
      <c r="DL87" s="26"/>
      <c r="DM87" s="26"/>
      <c r="DN87" s="26"/>
      <c r="DO87" s="26"/>
      <c r="DP87" s="26"/>
      <c r="DQ87" s="26"/>
      <c r="DR87" s="26"/>
      <c r="DT87" s="26"/>
      <c r="DV87" s="26"/>
      <c r="DW87" s="26"/>
      <c r="DY87" s="26"/>
      <c r="DZ87" s="26"/>
      <c r="EA87" s="26"/>
      <c r="EB87" s="26"/>
      <c r="EC87" s="26"/>
      <c r="ED87" s="26"/>
      <c r="EE87" s="26"/>
      <c r="EG87" s="26"/>
      <c r="EI87" s="26"/>
    </row>
    <row r="88" spans="2:175" x14ac:dyDescent="0.25">
      <c r="B88" s="27">
        <f t="shared" si="11"/>
        <v>43977</v>
      </c>
      <c r="D88" s="26"/>
      <c r="L88" s="12" t="str">
        <f>IF(ISNUMBER(tblData[[#This Row],[NSW]]),tblData[[#This Row],[New South Wales]]/$L$9,"")</f>
        <v/>
      </c>
      <c r="M88" s="26"/>
      <c r="N88" s="49" t="str">
        <f>IF(ISNUMBER(tblData[Italy]),tblData[Italy]/$N$9,"")</f>
        <v/>
      </c>
      <c r="O88" s="26"/>
      <c r="P88" s="49" t="str">
        <f>IF(ISNUMBER(tblData[US]),tblData[US]/$P$9,"")</f>
        <v/>
      </c>
      <c r="Q88" s="49"/>
      <c r="R88" s="19" t="str">
        <f>IF(ISNUMBER(tblData[SKorea]),tblData[SKorea]/$R$9,"")</f>
        <v/>
      </c>
      <c r="S88" s="49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6"/>
        <v>107</v>
      </c>
      <c r="Y88" s="26">
        <f t="shared" si="10"/>
        <v>77</v>
      </c>
      <c r="Z88" s="26">
        <f>IF(tblData[[#This Row],[Date]]&lt;StartDt2Korea,"",tblData[[#This Row],[Date]]-StartDt2Korea)</f>
        <v>97</v>
      </c>
      <c r="AA88" s="26">
        <f>IF(tblData[[#This Row],[Date]]&lt;UKStart,"",tblData[[#This Row],[Date]]-UKStart)</f>
        <v>117</v>
      </c>
      <c r="AB88">
        <f>IF(tblData[Date]&gt;=StartDt2Au,tblData[Date]-StartDt2Au,"")</f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IF(ISNUMBER(tblData[Au]),tblData[Au]/$AA$9,"")</f>
        <v/>
      </c>
      <c r="AE88" s="44">
        <f>IF(ISNUMBER(tblData[[#This Row],[Day'# Aust]]),betaAu/(deltaAu+betaPodeltaAu*EXP(-betaAu*tblData[[#This Row],[Day'# Aust]])),"")</f>
        <v>747106357.03520072</v>
      </c>
      <c r="AF88" s="73">
        <f>IF(ISNUMBER(tblData[Day'# Aust]),tblData[Au LogiP(t)]/$AD$9,"")</f>
        <v>294553838.91941363</v>
      </c>
      <c r="AG88" s="11" t="str">
        <f>IF(AND(tblData[Date]&gt;=StartDt2Au,ISNUMBER(tblData[NSW])),(tblData[[#This Row],[Au LogiP(t)]]-tblData[[#This Row],[Au]])^2,"")</f>
        <v/>
      </c>
      <c r="AH88">
        <f>IF(tblData[Date]&gt;StartDt2NSW,tblData[Date]-StartDt2NSW,"")</f>
        <v>122</v>
      </c>
      <c r="AI88" t="str">
        <f t="shared" si="8"/>
        <v/>
      </c>
      <c r="AJ88" s="11">
        <f>IF(tblData[Date]&gt;StartDt2NSW,betaNSW/(deltaNSW+betaPodeltaNSW*EXP(-betaNSW*tblData[[#This Row],[Day '# NSW]])),"")</f>
        <v>3260.9635411013955</v>
      </c>
      <c r="AK88" s="12" t="str">
        <f>IF(AND(ISNUMBER(tblData[NSW]),tblData[Date]&gt;StartDt2NSW),(tblData[[#This Row],[NSW LogiP(t)]]-tblData[[#This Row],[NSW]])^2,"")</f>
        <v/>
      </c>
      <c r="AL88" s="44">
        <f>IF(AND(tblData[Date]&gt;StartDt2NSW,ISNUMBER(tblData[Day'# Aust])),tblData[NSW LogiP(t)]/$AG$9,"")</f>
        <v>4035.8459667096477</v>
      </c>
      <c r="AM88" s="11">
        <f>IF(AND(tblData[Date]&gt;StartDt2Italy,ISNUMBER(tblData[Days'# Italy])),betaItaly/(deltaItaly+betaPodeltaItaly*EXP(-betaItaly*tblData[Days'# Italy])),"")</f>
        <v>60634.520170178082</v>
      </c>
      <c r="AN88" s="11" t="str">
        <f>IF(AND(tblData[Date]&gt;StartDt2Italy,ISNUMBER(tblData[Italy])),(tblData[[#This Row],[Italy LogiP(t)]]-tblData[[#This Row],[Italy]])^2,"")</f>
        <v/>
      </c>
      <c r="AO88" s="44">
        <f>IF(AND(tblData[Date]&gt;StartDt2Italy,ISNUMBER(tblData[Days'# Italy])),tblData[[#This Row],[Italy LogiP(t)]]/$AM$9,"")</f>
        <v>10030.524428482726</v>
      </c>
      <c r="AP88" s="21">
        <f>IF(ISNUMBER(tblData[[#This Row],[Days'# US]]),betaUS/(deltaUS+betaPodeltaUS*EXP(-betaUS*tblData[Days'# US])),"")</f>
        <v>3372238558.4480677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102428747.25534427</v>
      </c>
      <c r="AS88" s="21">
        <f>IF(tblData[Date]&gt;=StartDt2Korea,betaSKorea/(deltaSKorea+betaPodeltaSKorea*EXP(-betaSKorea*(tblData[Date]-StartDt2Korea))),"")</f>
        <v>8436.8693780638478</v>
      </c>
      <c r="AT88" s="21" t="str">
        <f>IF(AND(tblData[Date]&gt;=StartDt2Korea,ISNUMBER(tblData[SKorea])),(tblData[[#This Row],[SKorea LogiP(t)]]-tblData[[#This Row],[SKorea]])^2,"")</f>
        <v/>
      </c>
      <c r="AU88" s="21">
        <f>IF(tblData[Date]&gt;=StartDt2Korea,tblData[[#This Row],[SKorea LogiP(t)]]/$AS$9,"")</f>
        <v>1641.4142758879082</v>
      </c>
      <c r="AV88" s="85">
        <f>IF(ISNUMBER(tblData[Days'# UK]),betaUK/(deltaUK+betaPodeltaUK*EXP(-betaUK*tblData[Days'# UK])),"")</f>
        <v>234030233.50623146</v>
      </c>
      <c r="AW88" s="85" t="str">
        <f>IF(ISNUMBER(tblData[UK]),(tblData[[#This Row],[UK LogiP(t)]]-tblData[[#This Row],[UK]])^2,"")</f>
        <v/>
      </c>
      <c r="AX88" s="85">
        <f>IF(ISNUMBER(tblData[Days'# UK]),tblData[[#This Row],[UK LogiP(t)]]/$AV$9,"")</f>
        <v>35224297.637903593</v>
      </c>
      <c r="AY88" s="11">
        <f>IF(ISNUMBER(tblData[Days'# China]),betaChina/(deltaChina+betaPodeltaChina*EXP(-betaChina*tblData[Days'# China])),"")</f>
        <v>80963.48323819181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562.51056633828443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5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Y88"/>
      <c r="CA88"/>
      <c r="CK88" s="26"/>
      <c r="CL88" s="26"/>
      <c r="DF88" s="26"/>
      <c r="DJ88" s="26"/>
      <c r="DK88" s="26"/>
      <c r="DL88" s="26"/>
      <c r="DM88" s="26"/>
      <c r="DN88" s="26"/>
      <c r="DO88" s="26"/>
      <c r="DP88" s="26"/>
      <c r="DQ88" s="26"/>
      <c r="DR88" s="26"/>
      <c r="DT88" s="26"/>
      <c r="DV88" s="26"/>
      <c r="DW88" s="26"/>
      <c r="DY88" s="26"/>
      <c r="DZ88" s="26"/>
      <c r="EA88" s="26"/>
      <c r="EB88" s="26"/>
      <c r="EC88" s="26"/>
      <c r="ED88" s="26"/>
      <c r="EE88" s="26"/>
      <c r="EG88" s="26"/>
      <c r="EI88" s="26"/>
    </row>
    <row r="89" spans="2:175" x14ac:dyDescent="0.25">
      <c r="B89" s="27">
        <f t="shared" si="11"/>
        <v>43984</v>
      </c>
      <c r="D89" s="26"/>
      <c r="L89" s="12" t="str">
        <f>IF(ISNUMBER(tblData[[#This Row],[NSW]]),tblData[[#This Row],[New South Wales]]/$L$9,"")</f>
        <v/>
      </c>
      <c r="M89" s="26"/>
      <c r="N89" s="49" t="str">
        <f>IF(ISNUMBER(tblData[Italy]),tblData[Italy]/$N$9,"")</f>
        <v/>
      </c>
      <c r="O89" s="26"/>
      <c r="P89" s="49" t="str">
        <f>IF(ISNUMBER(tblData[US]),tblData[US]/$P$9,"")</f>
        <v/>
      </c>
      <c r="Q89" s="49"/>
      <c r="R89" s="19" t="str">
        <f>IF(ISNUMBER(tblData[SKorea]),tblData[SKorea]/$R$9,"")</f>
        <v/>
      </c>
      <c r="S89" s="49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6"/>
        <v>114</v>
      </c>
      <c r="Y89" s="26">
        <f t="shared" si="10"/>
        <v>78</v>
      </c>
      <c r="Z89" s="26">
        <f>IF(tblData[[#This Row],[Date]]&lt;StartDt2Korea,"",tblData[[#This Row],[Date]]-StartDt2Korea)</f>
        <v>104</v>
      </c>
      <c r="AA89" s="26">
        <f>IF(tblData[[#This Row],[Date]]&lt;UKStart,"",tblData[[#This Row],[Date]]-UKStart)</f>
        <v>124</v>
      </c>
      <c r="AB89">
        <f>IF(tblData[Date]&gt;=StartDt2Au,tblData[Date]-StartDt2Au,"")</f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IF(ISNUMBER(tblData[Au]),tblData[Au]/$AA$9,"")</f>
        <v/>
      </c>
      <c r="AE89" s="44">
        <f>IF(ISNUMBER(tblData[[#This Row],[Day'# Aust]]),betaAu/(deltaAu+betaPodeltaAu*EXP(-betaAu*tblData[[#This Row],[Day'# Aust]])),"")</f>
        <v>1484977291.8385789</v>
      </c>
      <c r="AF89" s="73">
        <f>IF(ISNUMBER(tblData[Day'# Aust]),tblData[Au LogiP(t)]/$AD$9,"")</f>
        <v>585466524.14389646</v>
      </c>
      <c r="AG89" s="11" t="str">
        <f>IF(AND(tblData[Date]&gt;=StartDt2Au,ISNUMBER(tblData[NSW])),(tblData[[#This Row],[Au LogiP(t)]]-tblData[[#This Row],[Au]])^2,"")</f>
        <v/>
      </c>
      <c r="AH89">
        <f>IF(tblData[Date]&gt;StartDt2NSW,tblData[Date]-StartDt2NSW,"")</f>
        <v>129</v>
      </c>
      <c r="AI89" t="str">
        <f t="shared" si="8"/>
        <v/>
      </c>
      <c r="AJ89" s="11">
        <f>IF(tblData[Date]&gt;StartDt2NSW,betaNSW/(deltaNSW+betaPodeltaNSW*EXP(-betaNSW*tblData[[#This Row],[Day '# NSW]])),"")</f>
        <v>3260.9820228671633</v>
      </c>
      <c r="AK89" s="12" t="str">
        <f>IF(AND(ISNUMBER(tblData[NSW]),tblData[Date]&gt;StartDt2NSW),(tblData[[#This Row],[NSW LogiP(t)]]-tblData[[#This Row],[NSW]])^2,"")</f>
        <v/>
      </c>
      <c r="AL89" s="44">
        <f>IF(AND(tblData[Date]&gt;StartDt2NSW,ISNUMBER(tblData[Day'# Aust])),tblData[NSW LogiP(t)]/$AG$9,"")</f>
        <v>4035.8688401821328</v>
      </c>
      <c r="AM89" s="11">
        <f>IF(AND(tblData[Date]&gt;StartDt2Italy,ISNUMBER(tblData[Days'# Italy])),betaItaly/(deltaItaly+betaPodeltaItaly*EXP(-betaItaly*tblData[Days'# Italy])),"")</f>
        <v>60634.520625132762</v>
      </c>
      <c r="AN89" s="11" t="str">
        <f>IF(AND(tblData[Date]&gt;StartDt2Italy,ISNUMBER(tblData[Italy])),(tblData[[#This Row],[Italy LogiP(t)]]-tblData[[#This Row],[Italy]])^2,"")</f>
        <v/>
      </c>
      <c r="AO89" s="44">
        <f>IF(AND(tblData[Date]&gt;StartDt2Italy,ISNUMBER(tblData[Days'# Italy])),tblData[[#This Row],[Italy LogiP(t)]]/$AM$9,"")</f>
        <v>10030.524503744047</v>
      </c>
      <c r="AP89" s="21">
        <f>IF(ISNUMBER(tblData[[#This Row],[Days'# US]]),betaUS/(deltaUS+betaPodeltaUS*EXP(-betaUS*tblData[Days'# US])),"")</f>
        <v>3372324819.0496874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102431367.34440626</v>
      </c>
      <c r="AS89" s="21">
        <f>IF(tblData[Date]&gt;=StartDt2Korea,betaSKorea/(deltaSKorea+betaPodeltaSKorea*EXP(-betaSKorea*(tblData[Date]-StartDt2Korea))),"")</f>
        <v>8436.869378080708</v>
      </c>
      <c r="AT89" s="21" t="str">
        <f>IF(AND(tblData[Date]&gt;=StartDt2Korea,ISNUMBER(tblData[SKorea])),(tblData[[#This Row],[SKorea LogiP(t)]]-tblData[[#This Row],[SKorea]])^2,"")</f>
        <v/>
      </c>
      <c r="AU89" s="21">
        <f>IF(tblData[Date]&gt;=StartDt2Korea,tblData[[#This Row],[SKorea LogiP(t)]]/$AS$9,"")</f>
        <v>1641.4142758911885</v>
      </c>
      <c r="AV89" s="85">
        <f>IF(ISNUMBER(tblData[Days'# UK]),betaUK/(deltaUK+betaPodeltaUK*EXP(-betaUK*tblData[Days'# UK])),"")</f>
        <v>235571448.12636569</v>
      </c>
      <c r="AW89" s="85" t="str">
        <f>IF(ISNUMBER(tblData[UK]),(tblData[[#This Row],[UK LogiP(t)]]-tblData[[#This Row],[UK]])^2,"")</f>
        <v/>
      </c>
      <c r="AX89" s="85">
        <f>IF(ISNUMBER(tblData[Days'# UK]),tblData[[#This Row],[UK LogiP(t)]]/$AV$9,"")</f>
        <v>35456268.531963527</v>
      </c>
      <c r="AY89" s="11">
        <f>IF(ISNUMBER(tblData[Days'# China]),betaChina/(deltaChina+betaPodeltaChina*EXP(-betaChina*tblData[Days'# China])),"")</f>
        <v>80963.514288758422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562.51078206852617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5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Y89"/>
      <c r="CA89"/>
      <c r="CK89" s="26"/>
      <c r="CL89" s="26"/>
      <c r="DF89" s="26"/>
      <c r="DJ89" s="26"/>
      <c r="DK89" s="26"/>
      <c r="DL89" s="26"/>
      <c r="DM89" s="26"/>
      <c r="DN89" s="26"/>
      <c r="DO89" s="26"/>
      <c r="DP89" s="26"/>
      <c r="DQ89" s="26"/>
      <c r="DR89" s="26"/>
      <c r="DT89" s="26"/>
      <c r="DV89" s="26"/>
      <c r="DW89" s="26"/>
      <c r="DY89" s="26"/>
      <c r="DZ89" s="26"/>
      <c r="EA89" s="26"/>
      <c r="EB89" s="26"/>
      <c r="EC89" s="26"/>
      <c r="ED89" s="26"/>
      <c r="EE89" s="26"/>
      <c r="EG89" s="26"/>
      <c r="EI89" s="26"/>
      <c r="EJ89" s="26"/>
    </row>
    <row r="90" spans="2:175" x14ac:dyDescent="0.25">
      <c r="B90" s="27">
        <f t="shared" si="11"/>
        <v>43991</v>
      </c>
      <c r="D90" s="26"/>
      <c r="L90" s="12" t="str">
        <f>IF(ISNUMBER(tblData[[#This Row],[NSW]]),tblData[[#This Row],[New South Wales]]/$L$9,"")</f>
        <v/>
      </c>
      <c r="M90" s="26"/>
      <c r="N90" s="49" t="str">
        <f>IF(ISNUMBER(tblData[Italy]),tblData[Italy]/$N$9,"")</f>
        <v/>
      </c>
      <c r="O90" s="26"/>
      <c r="P90" s="49" t="str">
        <f>IF(ISNUMBER(tblData[US]),tblData[US]/$P$9,"")</f>
        <v/>
      </c>
      <c r="Q90" s="49"/>
      <c r="R90" s="19" t="str">
        <f>IF(ISNUMBER(tblData[SKorea]),tblData[SKorea]/$R$9,"")</f>
        <v/>
      </c>
      <c r="S90" s="49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6"/>
        <v>121</v>
      </c>
      <c r="Y90" s="26">
        <f t="shared" si="10"/>
        <v>79</v>
      </c>
      <c r="Z90" s="26">
        <f>IF(tblData[[#This Row],[Date]]&lt;StartDt2Korea,"",tblData[[#This Row],[Date]]-StartDt2Korea)</f>
        <v>111</v>
      </c>
      <c r="AA90" s="26">
        <f>IF(tblData[[#This Row],[Date]]&lt;UKStart,"",tblData[[#This Row],[Date]]-UKStart)</f>
        <v>131</v>
      </c>
      <c r="AB90">
        <f>IF(tblData[Date]&gt;=StartDt2Au,tblData[Date]-StartDt2Au,"")</f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IF(ISNUMBER(tblData[Au]),tblData[Au]/$AA$9,"")</f>
        <v/>
      </c>
      <c r="AE90" s="44">
        <f>IF(ISNUMBER(tblData[[#This Row],[Day'# Aust]]),betaAu/(deltaAu+betaPodeltaAu*EXP(-betaAu*tblData[[#This Row],[Day'# Aust]])),"")</f>
        <v>1919946717.192941</v>
      </c>
      <c r="AF90" s="73">
        <f>IF(ISNUMBER(tblData[Day'# Aust]),tblData[Au LogiP(t)]/$AD$9,"")</f>
        <v>756957387.31782877</v>
      </c>
      <c r="AG90" s="11" t="str">
        <f>IF(AND(tblData[Date]&gt;=StartDt2Au,ISNUMBER(tblData[NSW])),(tblData[[#This Row],[Au LogiP(t)]]-tblData[[#This Row],[Au]])^2,"")</f>
        <v/>
      </c>
      <c r="AH90">
        <f>IF(tblData[Date]&gt;StartDt2NSW,tblData[Date]-StartDt2NSW,"")</f>
        <v>136</v>
      </c>
      <c r="AI90" t="str">
        <f t="shared" si="8"/>
        <v/>
      </c>
      <c r="AJ90" s="11">
        <f>IF(tblData[Date]&gt;StartDt2NSW,betaNSW/(deltaNSW+betaPodeltaNSW*EXP(-betaNSW*tblData[[#This Row],[Day '# NSW]])),"")</f>
        <v>3260.9863653138027</v>
      </c>
      <c r="AK90" s="12" t="str">
        <f>IF(AND(ISNUMBER(tblData[NSW]),tblData[Date]&gt;StartDt2NSW),(tblData[[#This Row],[NSW LogiP(t)]]-tblData[[#This Row],[NSW]])^2,"")</f>
        <v/>
      </c>
      <c r="AL90" s="44">
        <f>IF(AND(tblData[Date]&gt;StartDt2NSW,ISNUMBER(tblData[Day'# Aust])),tblData[NSW LogiP(t)]/$AG$9,"")</f>
        <v>4035.8742144972803</v>
      </c>
      <c r="AM90" s="11">
        <f>IF(AND(tblData[Date]&gt;StartDt2Italy,ISNUMBER(tblData[Days'# Italy])),betaItaly/(deltaItaly+betaPodeltaItaly*EXP(-betaItaly*tblData[Days'# Italy])),"")</f>
        <v>60634.520699116489</v>
      </c>
      <c r="AN90" s="11" t="str">
        <f>IF(AND(tblData[Date]&gt;StartDt2Italy,ISNUMBER(tblData[Italy])),(tblData[[#This Row],[Italy LogiP(t)]]-tblData[[#This Row],[Italy]])^2,"")</f>
        <v/>
      </c>
      <c r="AO90" s="44">
        <f>IF(AND(tblData[Date]&gt;StartDt2Italy,ISNUMBER(tblData[Days'# Italy])),tblData[[#This Row],[Italy LogiP(t)]]/$AM$9,"")</f>
        <v>10030.524515982877</v>
      </c>
      <c r="AP90" s="21">
        <f>IF(ISNUMBER(tblData[[#This Row],[Days'# US]]),betaUS/(deltaUS+betaPodeltaUS*EXP(-betaUS*tblData[Days'# US])),"")</f>
        <v>3372332958.8633962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102431614.58400886</v>
      </c>
      <c r="AS90" s="21">
        <f>IF(tblData[Date]&gt;=StartDt2Korea,betaSKorea/(deltaSKorea+betaPodeltaSKorea*EXP(-betaSKorea*(tblData[Date]-StartDt2Korea))),"")</f>
        <v>8436.8693780825615</v>
      </c>
      <c r="AT90" s="21" t="str">
        <f>IF(AND(tblData[Date]&gt;=StartDt2Korea,ISNUMBER(tblData[SKorea])),(tblData[[#This Row],[SKorea LogiP(t)]]-tblData[[#This Row],[SKorea]])^2,"")</f>
        <v/>
      </c>
      <c r="AU90" s="21">
        <f>IF(tblData[Date]&gt;=StartDt2Korea,tblData[[#This Row],[SKorea LogiP(t)]]/$AS$9,"")</f>
        <v>1641.4142758915491</v>
      </c>
      <c r="AV90" s="85">
        <f>IF(ISNUMBER(tblData[Days'# UK]),betaUK/(deltaUK+betaPodeltaUK*EXP(-betaUK*tblData[Days'# UK])),"")</f>
        <v>235869293.1080837</v>
      </c>
      <c r="AW90" s="85" t="str">
        <f>IF(ISNUMBER(tblData[UK]),(tblData[[#This Row],[UK LogiP(t)]]-tblData[[#This Row],[UK]])^2,"")</f>
        <v/>
      </c>
      <c r="AX90" s="85">
        <f>IF(ISNUMBER(tblData[Days'# UK]),tblData[[#This Row],[UK LogiP(t)]]/$AV$9,"")</f>
        <v>35501097.698387071</v>
      </c>
      <c r="AY90" s="11">
        <f>IF(ISNUMBER(tblData[Days'# China]),betaChina/(deltaChina+betaPodeltaChina*EXP(-betaChina*tblData[Days'# China])),"")</f>
        <v>80963.539154095517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562.51095482560504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5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Y90"/>
      <c r="CA90"/>
      <c r="CK90" s="26"/>
      <c r="CL90" s="26"/>
      <c r="DF90" s="26"/>
      <c r="DJ90" s="26"/>
      <c r="DK90" s="26"/>
      <c r="DL90" s="26"/>
      <c r="DM90" s="26"/>
      <c r="DN90" s="26"/>
      <c r="DO90" s="26"/>
      <c r="DP90" s="26"/>
      <c r="DQ90" s="26"/>
      <c r="DR90" s="26"/>
      <c r="DT90" s="26"/>
      <c r="DV90" s="26"/>
      <c r="DW90" s="26"/>
      <c r="DY90" s="26"/>
      <c r="DZ90" s="26"/>
      <c r="EA90" s="26"/>
      <c r="EB90" s="26"/>
      <c r="EC90" s="26"/>
      <c r="ED90" s="26"/>
      <c r="EE90" s="26"/>
      <c r="EG90" s="26"/>
      <c r="EI90" s="26"/>
      <c r="EJ90" s="26"/>
    </row>
    <row r="91" spans="2:175" x14ac:dyDescent="0.25">
      <c r="B91" s="27">
        <f t="shared" si="11"/>
        <v>43998</v>
      </c>
      <c r="D91" s="26"/>
      <c r="L91" s="12" t="str">
        <f>IF(ISNUMBER(tblData[[#This Row],[NSW]]),tblData[[#This Row],[New South Wales]]/$L$9,"")</f>
        <v/>
      </c>
      <c r="M91" s="26"/>
      <c r="N91" s="49" t="str">
        <f>IF(ISNUMBER(tblData[Italy]),tblData[Italy]/$N$9,"")</f>
        <v/>
      </c>
      <c r="O91" s="26"/>
      <c r="P91" s="49" t="str">
        <f>IF(ISNUMBER(tblData[US]),tblData[US]/$P$9,"")</f>
        <v/>
      </c>
      <c r="Q91" s="49"/>
      <c r="R91" s="19" t="str">
        <f>IF(ISNUMBER(tblData[SKorea]),tblData[SKorea]/$R$9,"")</f>
        <v/>
      </c>
      <c r="S91" s="49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6"/>
        <v>128</v>
      </c>
      <c r="Y91" s="26">
        <f t="shared" si="10"/>
        <v>80</v>
      </c>
      <c r="Z91" s="26">
        <f>IF(tblData[[#This Row],[Date]]&lt;StartDt2Korea,"",tblData[[#This Row],[Date]]-StartDt2Korea)</f>
        <v>118</v>
      </c>
      <c r="AA91" s="26">
        <f>IF(tblData[[#This Row],[Date]]&lt;UKStart,"",tblData[[#This Row],[Date]]-UKStart)</f>
        <v>138</v>
      </c>
      <c r="AB91">
        <f>IF(tblData[Date]&gt;=StartDt2Au,tblData[Date]-StartDt2Au,"")</f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IF(ISNUMBER(tblData[Au]),tblData[Au]/$AA$9,"")</f>
        <v/>
      </c>
      <c r="AE91" s="44">
        <f>IF(ISNUMBER(tblData[[#This Row],[Day'# Aust]]),betaAu/(deltaAu+betaPodeltaAu*EXP(-betaAu*tblData[[#This Row],[Day'# Aust]])),"")</f>
        <v>2058241853.3624854</v>
      </c>
      <c r="AF91" s="73">
        <f>IF(ISNUMBER(tblData[Day'# Aust]),tblData[Au LogiP(t)]/$AD$9,"")</f>
        <v>811481569.69030333</v>
      </c>
      <c r="AG91" s="11" t="str">
        <f>IF(AND(tblData[Date]&gt;=StartDt2Au,ISNUMBER(tblData[NSW])),(tblData[[#This Row],[Au LogiP(t)]]-tblData[[#This Row],[Au]])^2,"")</f>
        <v/>
      </c>
      <c r="AH91">
        <f>IF(tblData[Date]&gt;StartDt2NSW,tblData[Date]-StartDt2NSW,"")</f>
        <v>143</v>
      </c>
      <c r="AI91" t="str">
        <f t="shared" si="8"/>
        <v/>
      </c>
      <c r="AJ91" s="11">
        <f>IF(tblData[Date]&gt;StartDt2NSW,betaNSW/(deltaNSW+betaPodeltaNSW*EXP(-betaNSW*tblData[[#This Row],[Day '# NSW]])),"")</f>
        <v>3260.9873856027766</v>
      </c>
      <c r="AK91" s="12" t="str">
        <f>IF(AND(ISNUMBER(tblData[NSW]),tblData[Date]&gt;StartDt2NSW),(tblData[[#This Row],[NSW LogiP(t)]]-tblData[[#This Row],[NSW]])^2,"")</f>
        <v/>
      </c>
      <c r="AL91" s="44">
        <f>IF(AND(tblData[Date]&gt;StartDt2NSW,ISNUMBER(tblData[Day'# Aust])),tblData[NSW LogiP(t)]/$AG$9,"")</f>
        <v>4035.875477231159</v>
      </c>
      <c r="AM91" s="11">
        <f>IF(AND(tblData[Date]&gt;StartDt2Italy,ISNUMBER(tblData[Days'# Italy])),betaItaly/(deltaItaly+betaPodeltaItaly*EXP(-betaItaly*tblData[Days'# Italy])),"")</f>
        <v>60634.520711147561</v>
      </c>
      <c r="AN91" s="11" t="str">
        <f>IF(AND(tblData[Date]&gt;StartDt2Italy,ISNUMBER(tblData[Italy])),(tblData[[#This Row],[Italy LogiP(t)]]-tblData[[#This Row],[Italy]])^2,"")</f>
        <v/>
      </c>
      <c r="AO91" s="44">
        <f>IF(AND(tblData[Date]&gt;StartDt2Italy,ISNUMBER(tblData[Days'# Italy])),tblData[[#This Row],[Italy LogiP(t)]]/$AM$9,"")</f>
        <v>10030.524517973128</v>
      </c>
      <c r="AP91" s="21">
        <f>IF(ISNUMBER(tblData[[#This Row],[Days'# US]]),betaUS/(deltaUS+betaPodeltaUS*EXP(-betaUS*tblData[Days'# US])),"")</f>
        <v>3372333726.9415951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102431637.9137011</v>
      </c>
      <c r="AS91" s="21">
        <f>IF(tblData[Date]&gt;=StartDt2Korea,betaSKorea/(deltaSKorea+betaPodeltaSKorea*EXP(-betaSKorea*(tblData[Date]-StartDt2Korea))),"")</f>
        <v>8436.8693780827671</v>
      </c>
      <c r="AT91" s="21" t="str">
        <f>IF(AND(tblData[Date]&gt;=StartDt2Korea,ISNUMBER(tblData[SKorea])),(tblData[[#This Row],[SKorea LogiP(t)]]-tblData[[#This Row],[SKorea]])^2,"")</f>
        <v/>
      </c>
      <c r="AU91" s="21">
        <f>IF(tblData[Date]&gt;=StartDt2Korea,tblData[[#This Row],[SKorea LogiP(t)]]/$AS$9,"")</f>
        <v>1641.4142758915891</v>
      </c>
      <c r="AV91" s="85">
        <f>IF(ISNUMBER(tblData[Days'# UK]),betaUK/(deltaUK+betaPodeltaUK*EXP(-betaUK*tblData[Days'# UK])),"")</f>
        <v>235926489.95254946</v>
      </c>
      <c r="AW91" s="85" t="str">
        <f>IF(ISNUMBER(tblData[UK]),(tblData[[#This Row],[UK LogiP(t)]]-tblData[[#This Row],[UK]])^2,"")</f>
        <v/>
      </c>
      <c r="AX91" s="85">
        <f>IF(ISNUMBER(tblData[Days'# UK]),tblData[[#This Row],[UK LogiP(t)]]/$AV$9,"")</f>
        <v>35509706.4949653</v>
      </c>
      <c r="AY91" s="11">
        <f>IF(ISNUMBER(tblData[Days'# China]),betaChina/(deltaChina+betaPodeltaChina*EXP(-betaChina*tblData[Days'# China])),"")</f>
        <v>80963.559066289454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562.51109316969598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5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Y91"/>
      <c r="CA91"/>
      <c r="CK91" s="26"/>
      <c r="CL91" s="26"/>
      <c r="DF91" s="26"/>
      <c r="DJ91" s="26"/>
      <c r="DK91" s="26"/>
      <c r="DL91" s="26"/>
      <c r="DM91" s="26"/>
      <c r="DN91" s="26"/>
      <c r="DO91" s="26"/>
      <c r="DP91" s="26"/>
      <c r="DQ91" s="26"/>
      <c r="DR91" s="26"/>
      <c r="DT91" s="26"/>
      <c r="DV91" s="26"/>
      <c r="DW91" s="26"/>
      <c r="DY91" s="26"/>
      <c r="DZ91" s="26"/>
      <c r="EA91" s="26"/>
      <c r="EB91" s="26"/>
      <c r="EC91" s="26"/>
      <c r="ED91" s="26"/>
      <c r="EE91" s="26"/>
      <c r="EG91" s="26"/>
      <c r="EI91" s="26"/>
      <c r="EJ91" s="26"/>
    </row>
    <row r="92" spans="2:175" x14ac:dyDescent="0.25">
      <c r="B92" s="27">
        <f t="shared" si="11"/>
        <v>44005</v>
      </c>
      <c r="D92" s="26"/>
      <c r="L92" s="12" t="str">
        <f>IF(ISNUMBER(tblData[[#This Row],[NSW]]),tblData[[#This Row],[New South Wales]]/$L$9,"")</f>
        <v/>
      </c>
      <c r="M92" s="26"/>
      <c r="N92" s="49" t="str">
        <f>IF(ISNUMBER(tblData[Italy]),tblData[Italy]/$N$9,"")</f>
        <v/>
      </c>
      <c r="O92" s="26"/>
      <c r="P92" s="49" t="str">
        <f>IF(ISNUMBER(tblData[US]),tblData[US]/$P$9,"")</f>
        <v/>
      </c>
      <c r="Q92" s="49"/>
      <c r="R92" s="19" t="str">
        <f>IF(ISNUMBER(tblData[SKorea]),tblData[SKorea]/$R$9,"")</f>
        <v/>
      </c>
      <c r="S92" s="49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6"/>
        <v>135</v>
      </c>
      <c r="Y92" s="26">
        <f t="shared" si="10"/>
        <v>81</v>
      </c>
      <c r="Z92" s="26">
        <f>IF(tblData[[#This Row],[Date]]&lt;StartDt2Korea,"",tblData[[#This Row],[Date]]-StartDt2Korea)</f>
        <v>125</v>
      </c>
      <c r="AA92" s="26">
        <f>IF(tblData[[#This Row],[Date]]&lt;UKStart,"",tblData[[#This Row],[Date]]-UKStart)</f>
        <v>145</v>
      </c>
      <c r="AB92">
        <f>IF(tblData[Date]&gt;=StartDt2Au,tblData[Date]-StartDt2Au,"")</f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IF(ISNUMBER(tblData[Au]),tblData[Au]/$AA$9,"")</f>
        <v/>
      </c>
      <c r="AE92" s="44">
        <f>IF(ISNUMBER(tblData[[#This Row],[Day'# Aust]]),betaAu/(deltaAu+betaPodeltaAu*EXP(-betaAu*tblData[[#This Row],[Day'# Aust]])),"")</f>
        <v>2092821576.923872</v>
      </c>
      <c r="AF92" s="73">
        <f>IF(ISNUMBER(tblData[Day'# Aust]),tblData[Au LogiP(t)]/$AD$9,"")</f>
        <v>825114956.99569154</v>
      </c>
      <c r="AG92" s="11" t="str">
        <f>IF(AND(tblData[Date]&gt;=StartDt2Au,ISNUMBER(tblData[NSW])),(tblData[[#This Row],[Au LogiP(t)]]-tblData[[#This Row],[Au]])^2,"")</f>
        <v/>
      </c>
      <c r="AH92">
        <f>IF(tblData[Date]&gt;StartDt2NSW,tblData[Date]-StartDt2NSW,"")</f>
        <v>150</v>
      </c>
      <c r="AI92" t="str">
        <f t="shared" si="8"/>
        <v/>
      </c>
      <c r="AJ92" s="11">
        <f>IF(tblData[Date]&gt;StartDt2NSW,betaNSW/(deltaNSW+betaPodeltaNSW*EXP(-betaNSW*tblData[[#This Row],[Day '# NSW]])),"")</f>
        <v>3260.9876253266857</v>
      </c>
      <c r="AK92" s="12" t="str">
        <f>IF(AND(ISNUMBER(tblData[NSW]),tblData[Date]&gt;StartDt2NSW),(tblData[[#This Row],[NSW LogiP(t)]]-tblData[[#This Row],[NSW]])^2,"")</f>
        <v/>
      </c>
      <c r="AL92" s="44">
        <f>IF(AND(tblData[Date]&gt;StartDt2NSW,ISNUMBER(tblData[Day'# Aust])),tblData[NSW LogiP(t)]/$AG$9,"")</f>
        <v>4035.8757739191651</v>
      </c>
      <c r="AM92" s="11">
        <f>IF(AND(tblData[Date]&gt;StartDt2Italy,ISNUMBER(tblData[Days'# Italy])),betaItaly/(deltaItaly+betaPodeltaItaly*EXP(-betaItaly*tblData[Days'# Italy])),"")</f>
        <v>60634.520713104022</v>
      </c>
      <c r="AN92" s="11" t="str">
        <f>IF(AND(tblData[Date]&gt;StartDt2Italy,ISNUMBER(tblData[Italy])),(tblData[[#This Row],[Italy LogiP(t)]]-tblData[[#This Row],[Italy]])^2,"")</f>
        <v/>
      </c>
      <c r="AO92" s="44">
        <f>IF(AND(tblData[Date]&gt;StartDt2Italy,ISNUMBER(tblData[Days'# Italy])),tblData[[#This Row],[Italy LogiP(t)]]/$AM$9,"")</f>
        <v>10030.524518296777</v>
      </c>
      <c r="AP92" s="21">
        <f>IF(ISNUMBER(tblData[[#This Row],[Days'# US]]),betaUS/(deltaUS+betaPodeltaUS*EXP(-betaUS*tblData[Days'# US])),"")</f>
        <v>3372333799.4177876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102431640.11510099</v>
      </c>
      <c r="AS92" s="21">
        <f>IF(tblData[Date]&gt;=StartDt2Korea,betaSKorea/(deltaSKorea+betaPodeltaSKorea*EXP(-betaSKorea*(tblData[Date]-StartDt2Korea))),"")</f>
        <v>8436.8693780827871</v>
      </c>
      <c r="AT92" s="21" t="str">
        <f>IF(AND(tblData[Date]&gt;=StartDt2Korea,ISNUMBER(tblData[SKorea])),(tblData[[#This Row],[SKorea LogiP(t)]]-tblData[[#This Row],[SKorea]])^2,"")</f>
        <v/>
      </c>
      <c r="AU92" s="21">
        <f>IF(tblData[Date]&gt;=StartDt2Korea,tblData[[#This Row],[SKorea LogiP(t)]]/$AS$9,"")</f>
        <v>1641.414275891593</v>
      </c>
      <c r="AV92" s="85">
        <f>IF(ISNUMBER(tblData[Days'# UK]),betaUK/(deltaUK+betaPodeltaUK*EXP(-betaUK*tblData[Days'# UK])),"")</f>
        <v>235937460.4240132</v>
      </c>
      <c r="AW92" s="85" t="str">
        <f>IF(ISNUMBER(tblData[UK]),(tblData[[#This Row],[UK LogiP(t)]]-tblData[[#This Row],[UK]])^2,"")</f>
        <v/>
      </c>
      <c r="AX92" s="85">
        <f>IF(ISNUMBER(tblData[Days'# UK]),tblData[[#This Row],[UK LogiP(t)]]/$AV$9,"")</f>
        <v>35511357.679713003</v>
      </c>
      <c r="AY92" s="11">
        <f>IF(ISNUMBER(tblData[Days'# China]),betaChina/(deltaChina+betaPodeltaChina*EXP(-betaChina*tblData[Days'# China])),"")</f>
        <v>80963.575011998197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562.51120395580961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5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Y92"/>
      <c r="CA92"/>
      <c r="CK92" s="26"/>
      <c r="CL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</row>
    <row r="93" spans="2:175" x14ac:dyDescent="0.25">
      <c r="B93" s="27">
        <f t="shared" si="11"/>
        <v>44012</v>
      </c>
      <c r="D93" s="26"/>
      <c r="L93" s="12" t="str">
        <f>IF(ISNUMBER(tblData[[#This Row],[NSW]]),tblData[[#This Row],[New South Wales]]/$L$9,"")</f>
        <v/>
      </c>
      <c r="M93" s="26"/>
      <c r="N93" s="49" t="str">
        <f>IF(ISNUMBER(tblData[Italy]),tblData[Italy]/$N$9,"")</f>
        <v/>
      </c>
      <c r="O93" s="26"/>
      <c r="P93" s="49" t="str">
        <f>IF(ISNUMBER(tblData[US]),tblData[US]/$P$9,"")</f>
        <v/>
      </c>
      <c r="Q93" s="49"/>
      <c r="R93" s="19" t="str">
        <f>IF(ISNUMBER(tblData[SKorea]),tblData[SKorea]/$R$9,"")</f>
        <v/>
      </c>
      <c r="S93" s="49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2">IF($B93&lt;BM$14+18,"",$B93-BM$14-18)</f>
        <v>142</v>
      </c>
      <c r="Y93" s="26">
        <f t="shared" si="10"/>
        <v>82</v>
      </c>
      <c r="Z93" s="26">
        <f>IF(tblData[[#This Row],[Date]]&lt;StartDt2Korea,"",tblData[[#This Row],[Date]]-StartDt2Korea)</f>
        <v>132</v>
      </c>
      <c r="AA93" s="26">
        <f>IF(tblData[[#This Row],[Date]]&lt;UKStart,"",tblData[[#This Row],[Date]]-UKStart)</f>
        <v>152</v>
      </c>
      <c r="AB93">
        <f>IF(tblData[Date]&gt;=StartDt2Au,tblData[Date]-StartDt2Au,"")</f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IF(ISNUMBER(tblData[Au]),tblData[Au]/$AA$9,"")</f>
        <v/>
      </c>
      <c r="AE93" s="44">
        <f>IF(ISNUMBER(tblData[[#This Row],[Day'# Aust]]),betaAu/(deltaAu+betaPodeltaAu*EXP(-betaAu*tblData[[#This Row],[Day'# Aust]])),"")</f>
        <v>2100918235.8620036</v>
      </c>
      <c r="AF93" s="73">
        <f>IF(ISNUMBER(tblData[Day'# Aust]),tblData[Au LogiP(t)]/$AD$9,"")</f>
        <v>828307142.35215402</v>
      </c>
      <c r="AG93" s="11" t="str">
        <f>IF(AND(tblData[Date]&gt;=StartDt2Au,ISNUMBER(tblData[NSW])),(tblData[[#This Row],[Au LogiP(t)]]-tblData[[#This Row],[Au]])^2,"")</f>
        <v/>
      </c>
      <c r="AH93">
        <f>IF(tblData[Date]&gt;StartDt2NSW,tblData[Date]-StartDt2NSW,"")</f>
        <v>157</v>
      </c>
      <c r="AI93" t="str">
        <f t="shared" si="8"/>
        <v/>
      </c>
      <c r="AJ93" s="11">
        <f>IF(tblData[Date]&gt;StartDt2NSW,betaNSW/(deltaNSW+betaPodeltaNSW*EXP(-betaNSW*tblData[[#This Row],[Day '# NSW]])),"")</f>
        <v>3260.9876816514493</v>
      </c>
      <c r="AK93" s="12" t="str">
        <f>IF(AND(ISNUMBER(tblData[NSW]),tblData[Date]&gt;StartDt2NSW),(tblData[[#This Row],[NSW LogiP(t)]]-tblData[[#This Row],[NSW]])^2,"")</f>
        <v/>
      </c>
      <c r="AL93" s="44">
        <f>IF(AND(tblData[Date]&gt;StartDt2NSW,ISNUMBER(tblData[Day'# Aust])),tblData[NSW LogiP(t)]/$AG$9,"")</f>
        <v>4035.8758436280309</v>
      </c>
      <c r="AM93" s="11">
        <f>IF(AND(tblData[Date]&gt;StartDt2Italy,ISNUMBER(tblData[Days'# Italy])),betaItaly/(deltaItaly+betaPodeltaItaly*EXP(-betaItaly*tblData[Days'# Italy])),"")</f>
        <v>60634.520713422178</v>
      </c>
      <c r="AN93" s="11" t="str">
        <f>IF(AND(tblData[Date]&gt;StartDt2Italy,ISNUMBER(tblData[Italy])),(tblData[[#This Row],[Italy LogiP(t)]]-tblData[[#This Row],[Italy]])^2,"")</f>
        <v/>
      </c>
      <c r="AO93" s="44">
        <f>IF(AND(tblData[Date]&gt;StartDt2Italy,ISNUMBER(tblData[Days'# Italy])),tblData[[#This Row],[Italy LogiP(t)]]/$AM$9,"")</f>
        <v>10030.52451834941</v>
      </c>
      <c r="AP93" s="21">
        <f>IF(ISNUMBER(tblData[[#This Row],[Days'# US]]),betaUS/(deltaUS+betaPodeltaUS*EXP(-betaUS*tblData[Days'# US])),"")</f>
        <v>3372333806.2566714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102431640.322826</v>
      </c>
      <c r="AS93" s="21">
        <f>IF(tblData[Date]&gt;=StartDt2Korea,betaSKorea/(deltaSKorea+betaPodeltaSKorea*EXP(-betaSKorea*(tblData[Date]-StartDt2Korea))),"")</f>
        <v>8436.8693780827907</v>
      </c>
      <c r="AT93" s="21" t="str">
        <f>IF(AND(tblData[Date]&gt;=StartDt2Korea,ISNUMBER(tblData[SKorea])),(tblData[[#This Row],[SKorea LogiP(t)]]-tblData[[#This Row],[SKorea]])^2,"")</f>
        <v/>
      </c>
      <c r="AU93" s="21">
        <f>IF(tblData[Date]&gt;=StartDt2Korea,tblData[[#This Row],[SKorea LogiP(t)]]/$AS$9,"")</f>
        <v>1641.4142758915937</v>
      </c>
      <c r="AV93" s="85">
        <f>IF(ISNUMBER(tblData[Days'# UK]),betaUK/(deltaUK+betaPodeltaUK*EXP(-betaUK*tblData[Days'# UK])),"")</f>
        <v>235939564.09145713</v>
      </c>
      <c r="AW93" s="85" t="str">
        <f>IF(ISNUMBER(tblData[UK]),(tblData[[#This Row],[UK LogiP(t)]]-tblData[[#This Row],[UK]])^2,"")</f>
        <v/>
      </c>
      <c r="AX93" s="85">
        <f>IF(ISNUMBER(tblData[Days'# UK]),tblData[[#This Row],[UK LogiP(t)]]/$AV$9,"")</f>
        <v>35511674.306360193</v>
      </c>
      <c r="AY93" s="11">
        <f>IF(ISNUMBER(tblData[Days'# China]),betaChina/(deltaChina+betaPodeltaChina*EXP(-betaChina*tblData[Days'# China])),"")</f>
        <v>80963.587781339753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562.51129267345448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5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Y93"/>
      <c r="CA93"/>
      <c r="CK93" s="26"/>
      <c r="CL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</row>
    <row r="94" spans="2:175" x14ac:dyDescent="0.25">
      <c r="B94" s="27">
        <f t="shared" si="11"/>
        <v>44019</v>
      </c>
      <c r="D94" s="26"/>
      <c r="L94" s="12" t="str">
        <f>IF(ISNUMBER(tblData[[#This Row],[NSW]]),tblData[[#This Row],[New South Wales]]/$L$9,"")</f>
        <v/>
      </c>
      <c r="M94" s="26"/>
      <c r="N94" s="49" t="str">
        <f>IF(ISNUMBER(tblData[Italy]),tblData[Italy]/$N$9,"")</f>
        <v/>
      </c>
      <c r="O94" s="26"/>
      <c r="P94" s="49" t="str">
        <f>IF(ISNUMBER(tblData[US]),tblData[US]/$P$9,"")</f>
        <v/>
      </c>
      <c r="Q94" s="49"/>
      <c r="R94" s="19" t="str">
        <f>IF(ISNUMBER(tblData[SKorea]),tblData[SKorea]/$R$9,"")</f>
        <v/>
      </c>
      <c r="S94" s="49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2"/>
        <v>149</v>
      </c>
      <c r="Y94" s="26">
        <f t="shared" si="10"/>
        <v>83</v>
      </c>
      <c r="Z94" s="26">
        <f>IF(tblData[[#This Row],[Date]]&lt;StartDt2Korea,"",tblData[[#This Row],[Date]]-StartDt2Korea)</f>
        <v>139</v>
      </c>
      <c r="AA94" s="26">
        <f>IF(tblData[[#This Row],[Date]]&lt;UKStart,"",tblData[[#This Row],[Date]]-UKStart)</f>
        <v>159</v>
      </c>
      <c r="AB94">
        <f>IF(tblData[Date]&gt;=StartDt2Au,tblData[Date]-StartDt2Au,"")</f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IF(ISNUMBER(tblData[Au]),tblData[Au]/$AA$9,"")</f>
        <v/>
      </c>
      <c r="AE94" s="44">
        <f>IF(ISNUMBER(tblData[[#This Row],[Day'# Aust]]),betaAu/(deltaAu+betaPodeltaAu*EXP(-betaAu*tblData[[#This Row],[Day'# Aust]])),"")</f>
        <v>2102784357.5566702</v>
      </c>
      <c r="AF94" s="73">
        <f>IF(ISNUMBER(tblData[Day'# Aust]),tblData[Au LogiP(t)]/$AD$9,"")</f>
        <v>829042878.7086699</v>
      </c>
      <c r="AG94" s="11" t="str">
        <f>IF(AND(tblData[Date]&gt;=StartDt2Au,ISNUMBER(tblData[NSW])),(tblData[[#This Row],[Au LogiP(t)]]-tblData[[#This Row],[Au]])^2,"")</f>
        <v/>
      </c>
      <c r="AH94">
        <f>IF(tblData[Date]&gt;StartDt2NSW,tblData[Date]-StartDt2NSW,"")</f>
        <v>164</v>
      </c>
      <c r="AI94" t="str">
        <f t="shared" si="8"/>
        <v/>
      </c>
      <c r="AJ94" s="11">
        <f>IF(tblData[Date]&gt;StartDt2NSW,betaNSW/(deltaNSW+betaPodeltaNSW*EXP(-betaNSW*tblData[[#This Row],[Day '# NSW]])),"")</f>
        <v>3260.9876948853348</v>
      </c>
      <c r="AK94" s="12" t="str">
        <f>IF(AND(ISNUMBER(tblData[NSW]),tblData[Date]&gt;StartDt2NSW),(tblData[[#This Row],[NSW LogiP(t)]]-tblData[[#This Row],[NSW]])^2,"")</f>
        <v/>
      </c>
      <c r="AL94" s="44">
        <f>IF(AND(tblData[Date]&gt;StartDt2NSW,ISNUMBER(tblData[Day'# Aust])),tblData[NSW LogiP(t)]/$AG$9,"")</f>
        <v>4035.8758600066021</v>
      </c>
      <c r="AM94" s="11">
        <f>IF(AND(tblData[Date]&gt;StartDt2Italy,ISNUMBER(tblData[Days'# Italy])),betaItaly/(deltaItaly+betaPodeltaItaly*EXP(-betaItaly*tblData[Days'# Italy])),"")</f>
        <v>60634.520713473918</v>
      </c>
      <c r="AN94" s="11" t="str">
        <f>IF(AND(tblData[Date]&gt;StartDt2Italy,ISNUMBER(tblData[Italy])),(tblData[[#This Row],[Italy LogiP(t)]]-tblData[[#This Row],[Italy]])^2,"")</f>
        <v/>
      </c>
      <c r="AO94" s="44">
        <f>IF(AND(tblData[Date]&gt;StartDt2Italy,ISNUMBER(tblData[Days'# Italy])),tblData[[#This Row],[Italy LogiP(t)]]/$AM$9,"")</f>
        <v>10030.524518357968</v>
      </c>
      <c r="AP94" s="21">
        <f>IF(ISNUMBER(tblData[[#This Row],[Days'# US]]),betaUS/(deltaUS+betaPodeltaUS*EXP(-betaUS*tblData[Days'# US])),"")</f>
        <v>3372333806.9019909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102431640.34242702</v>
      </c>
      <c r="AS94" s="21">
        <f>IF(tblData[Date]&gt;=StartDt2Korea,betaSKorea/(deltaSKorea+betaPodeltaSKorea*EXP(-betaSKorea*(tblData[Date]-StartDt2Korea))),"")</f>
        <v>8436.8693780827907</v>
      </c>
      <c r="AT94" s="21" t="str">
        <f>IF(AND(tblData[Date]&gt;=StartDt2Korea,ISNUMBER(tblData[SKorea])),(tblData[[#This Row],[SKorea LogiP(t)]]-tblData[[#This Row],[SKorea]])^2,"")</f>
        <v/>
      </c>
      <c r="AU94" s="21">
        <f>IF(tblData[Date]&gt;=StartDt2Korea,tblData[[#This Row],[SKorea LogiP(t)]]/$AS$9,"")</f>
        <v>1641.4142758915937</v>
      </c>
      <c r="AV94" s="85">
        <f>IF(ISNUMBER(tblData[Days'# UK]),betaUK/(deltaUK+betaPodeltaUK*EXP(-betaUK*tblData[Days'# UK])),"")</f>
        <v>235939967.4668749</v>
      </c>
      <c r="AW94" s="85" t="str">
        <f>IF(ISNUMBER(tblData[UK]),(tblData[[#This Row],[UK LogiP(t)]]-tblData[[#This Row],[UK]])^2,"")</f>
        <v/>
      </c>
      <c r="AX94" s="85">
        <f>IF(ISNUMBER(tblData[Days'# UK]),tblData[[#This Row],[UK LogiP(t)]]/$AV$9,"")</f>
        <v>35511735.019096158</v>
      </c>
      <c r="AY94" s="11">
        <f>IF(ISNUMBER(tblData[Days'# China]),betaChina/(deltaChina+betaPodeltaChina*EXP(-betaChina*tblData[Days'# China])),"")</f>
        <v>80963.598007042121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562.51136371863925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5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Y94"/>
      <c r="CA94"/>
      <c r="CK94" s="26"/>
      <c r="CL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</row>
    <row r="95" spans="2:175" x14ac:dyDescent="0.25">
      <c r="B95" s="27">
        <f t="shared" si="11"/>
        <v>44026</v>
      </c>
      <c r="D95" s="26"/>
      <c r="L95" s="12" t="str">
        <f>IF(ISNUMBER(tblData[[#This Row],[NSW]]),tblData[[#This Row],[New South Wales]]/$L$9,"")</f>
        <v/>
      </c>
      <c r="M95" s="26"/>
      <c r="N95" s="49" t="str">
        <f>IF(ISNUMBER(tblData[Italy]),tblData[Italy]/$N$9,"")</f>
        <v/>
      </c>
      <c r="O95" s="26"/>
      <c r="P95" s="49" t="str">
        <f>IF(ISNUMBER(tblData[US]),tblData[US]/$P$9,"")</f>
        <v/>
      </c>
      <c r="Q95" s="49"/>
      <c r="R95" s="19" t="str">
        <f>IF(ISNUMBER(tblData[SKorea]),tblData[SKorea]/$R$9,"")</f>
        <v/>
      </c>
      <c r="S95" s="49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2"/>
        <v>156</v>
      </c>
      <c r="Y95" s="26">
        <f t="shared" si="10"/>
        <v>84</v>
      </c>
      <c r="Z95" s="26">
        <f>IF(tblData[[#This Row],[Date]]&lt;StartDt2Korea,"",tblData[[#This Row],[Date]]-StartDt2Korea)</f>
        <v>146</v>
      </c>
      <c r="AA95" s="26">
        <f>IF(tblData[[#This Row],[Date]]&lt;UKStart,"",tblData[[#This Row],[Date]]-UKStart)</f>
        <v>166</v>
      </c>
      <c r="AB95">
        <f>IF(tblData[Date]&gt;=StartDt2Au,tblData[Date]-StartDt2Au,"")</f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IF(ISNUMBER(tblData[Au]),tblData[Au]/$AA$9,"")</f>
        <v/>
      </c>
      <c r="AE95" s="44">
        <f>IF(ISNUMBER(tblData[[#This Row],[Day'# Aust]]),betaAu/(deltaAu+betaPodeltaAu*EXP(-betaAu*tblData[[#This Row],[Day'# Aust]])),"")</f>
        <v>2103212891.8965039</v>
      </c>
      <c r="AF95" s="73">
        <f>IF(ISNUMBER(tblData[Day'# Aust]),tblData[Au LogiP(t)]/$AD$9,"")</f>
        <v>829211832.47772586</v>
      </c>
      <c r="AG95" s="11" t="str">
        <f>IF(AND(tblData[Date]&gt;=StartDt2Au,ISNUMBER(tblData[NSW])),(tblData[[#This Row],[Au LogiP(t)]]-tblData[[#This Row],[Au]])^2,"")</f>
        <v/>
      </c>
      <c r="AH95">
        <f>IF(tblData[Date]&gt;StartDt2NSW,tblData[Date]-StartDt2NSW,"")</f>
        <v>171</v>
      </c>
      <c r="AI95" t="str">
        <f t="shared" si="8"/>
        <v/>
      </c>
      <c r="AJ95" s="11">
        <f>IF(tblData[Date]&gt;StartDt2NSW,betaNSW/(deltaNSW+betaPodeltaNSW*EXP(-betaNSW*tblData[[#This Row],[Day '# NSW]])),"")</f>
        <v>3260.9876979947262</v>
      </c>
      <c r="AK95" s="12" t="str">
        <f>IF(AND(ISNUMBER(tblData[NSW]),tblData[Date]&gt;StartDt2NSW),(tblData[[#This Row],[NSW LogiP(t)]]-tblData[[#This Row],[NSW]])^2,"")</f>
        <v/>
      </c>
      <c r="AL95" s="44">
        <f>IF(AND(tblData[Date]&gt;StartDt2NSW,ISNUMBER(tblData[Day'# Aust])),tblData[NSW LogiP(t)]/$AG$9,"")</f>
        <v>4035.8758638548588</v>
      </c>
      <c r="AM95" s="11">
        <f>IF(AND(tblData[Date]&gt;StartDt2Italy,ISNUMBER(tblData[Days'# Italy])),betaItaly/(deltaItaly+betaPodeltaItaly*EXP(-betaItaly*tblData[Days'# Italy])),"")</f>
        <v>60634.520713482336</v>
      </c>
      <c r="AN95" s="11" t="str">
        <f>IF(AND(tblData[Date]&gt;StartDt2Italy,ISNUMBER(tblData[Italy])),(tblData[[#This Row],[Italy LogiP(t)]]-tblData[[#This Row],[Italy]])^2,"")</f>
        <v/>
      </c>
      <c r="AO95" s="44">
        <f>IF(AND(tblData[Date]&gt;StartDt2Italy,ISNUMBER(tblData[Days'# Italy])),tblData[[#This Row],[Italy LogiP(t)]]/$AM$9,"")</f>
        <v>10030.524518359362</v>
      </c>
      <c r="AP95" s="21">
        <f>IF(ISNUMBER(tblData[[#This Row],[Days'# US]]),betaUS/(deltaUS+betaPodeltaUS*EXP(-betaUS*tblData[Days'# US])),"")</f>
        <v>3372333806.9628839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102431640.34427658</v>
      </c>
      <c r="AS95" s="21">
        <f>IF(tblData[Date]&gt;=StartDt2Korea,betaSKorea/(deltaSKorea+betaPodeltaSKorea*EXP(-betaSKorea*(tblData[Date]-StartDt2Korea))),"")</f>
        <v>8436.8693780827907</v>
      </c>
      <c r="AT95" s="21" t="str">
        <f>IF(AND(tblData[Date]&gt;=StartDt2Korea,ISNUMBER(tblData[SKorea])),(tblData[[#This Row],[SKorea LogiP(t)]]-tblData[[#This Row],[SKorea]])^2,"")</f>
        <v/>
      </c>
      <c r="AU95" s="21">
        <f>IF(tblData[Date]&gt;=StartDt2Korea,tblData[[#This Row],[SKorea LogiP(t)]]/$AS$9,"")</f>
        <v>1641.4142758915937</v>
      </c>
      <c r="AV95" s="85">
        <f>IF(ISNUMBER(tblData[Days'# UK]),betaUK/(deltaUK+betaPodeltaUK*EXP(-betaUK*tblData[Days'# UK])),"")</f>
        <v>235940044.81290728</v>
      </c>
      <c r="AW95" s="85" t="str">
        <f>IF(ISNUMBER(tblData[UK]),(tblData[[#This Row],[UK LogiP(t)]]-tblData[[#This Row],[UK]])^2,"")</f>
        <v/>
      </c>
      <c r="AX95" s="85">
        <f>IF(ISNUMBER(tblData[Days'# UK]),tblData[[#This Row],[UK LogiP(t)]]/$AV$9,"")</f>
        <v>35511746.660582073</v>
      </c>
      <c r="AY95" s="11">
        <f>IF(ISNUMBER(tblData[Days'# China]),betaChina/(deltaChina+betaPodeltaChina*EXP(-betaChina*tblData[Days'# China])),"")</f>
        <v>80963.606195795073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562.51142061169617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5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Y95"/>
      <c r="CA95"/>
      <c r="CK95" s="26"/>
      <c r="CL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</row>
    <row r="96" spans="2:175" x14ac:dyDescent="0.25">
      <c r="B96" s="27">
        <f t="shared" si="11"/>
        <v>44033</v>
      </c>
      <c r="D96" s="26"/>
      <c r="L96" s="12" t="str">
        <f>IF(ISNUMBER(tblData[[#This Row],[NSW]]),tblData[[#This Row],[New South Wales]]/$L$9,"")</f>
        <v/>
      </c>
      <c r="M96" s="26"/>
      <c r="N96" s="49" t="str">
        <f>IF(ISNUMBER(tblData[Italy]),tblData[Italy]/$N$9,"")</f>
        <v/>
      </c>
      <c r="O96" s="26"/>
      <c r="P96" s="49" t="str">
        <f>IF(ISNUMBER(tblData[US]),tblData[US]/$P$9,"")</f>
        <v/>
      </c>
      <c r="Q96" s="49"/>
      <c r="R96" s="19" t="str">
        <f>IF(ISNUMBER(tblData[SKorea]),tblData[SKorea]/$R$9,"")</f>
        <v/>
      </c>
      <c r="S96" s="49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2"/>
        <v>163</v>
      </c>
      <c r="Y96" s="26">
        <f t="shared" si="10"/>
        <v>85</v>
      </c>
      <c r="Z96" s="26">
        <f>IF(tblData[[#This Row],[Date]]&lt;StartDt2Korea,"",tblData[[#This Row],[Date]]-StartDt2Korea)</f>
        <v>153</v>
      </c>
      <c r="AA96" s="26">
        <f>IF(tblData[[#This Row],[Date]]&lt;UKStart,"",tblData[[#This Row],[Date]]-UKStart)</f>
        <v>173</v>
      </c>
      <c r="AB96">
        <f>IF(tblData[Date]&gt;=StartDt2Au,tblData[Date]-StartDt2Au,"")</f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IF(ISNUMBER(tblData[Au]),tblData[Au]/$AA$9,"")</f>
        <v/>
      </c>
      <c r="AE96" s="44">
        <f>IF(ISNUMBER(tblData[[#This Row],[Day'# Aust]]),betaAu/(deltaAu+betaPodeltaAu*EXP(-betaAu*tblData[[#This Row],[Day'# Aust]])),"")</f>
        <v>2103311217.3622468</v>
      </c>
      <c r="AF96" s="73">
        <f>IF(ISNUMBER(tblData[Day'# Aust]),tblData[Au LogiP(t)]/$AD$9,"")</f>
        <v>829250598.23460293</v>
      </c>
      <c r="AG96" s="11" t="str">
        <f>IF(AND(tblData[Date]&gt;=StartDt2Au,ISNUMBER(tblData[NSW])),(tblData[[#This Row],[Au LogiP(t)]]-tblData[[#This Row],[Au]])^2,"")</f>
        <v/>
      </c>
      <c r="AH96">
        <f>IF(tblData[Date]&gt;StartDt2NSW,tblData[Date]-StartDt2NSW,"")</f>
        <v>178</v>
      </c>
      <c r="AI96" t="str">
        <f t="shared" ref="AI96:AI117" si="13">IF(E96&gt;0,E96,"")</f>
        <v/>
      </c>
      <c r="AJ96" s="11">
        <f>IF(tblData[Date]&gt;StartDt2NSW,betaNSW/(deltaNSW+betaPodeltaNSW*EXP(-betaNSW*tblData[[#This Row],[Day '# NSW]])),"")</f>
        <v>3260.9876987252987</v>
      </c>
      <c r="AK96" s="12" t="str">
        <f>IF(AND(ISNUMBER(tblData[NSW]),tblData[Date]&gt;StartDt2NSW),(tblData[[#This Row],[NSW LogiP(t)]]-tblData[[#This Row],[NSW]])^2,"")</f>
        <v/>
      </c>
      <c r="AL96" s="44">
        <f>IF(AND(tblData[Date]&gt;StartDt2NSW,ISNUMBER(tblData[Day'# Aust])),tblData[NSW LogiP(t)]/$AG$9,"")</f>
        <v>4035.875864759033</v>
      </c>
      <c r="AM96" s="11">
        <f>IF(AND(tblData[Date]&gt;StartDt2Italy,ISNUMBER(tblData[Days'# Italy])),betaItaly/(deltaItaly+betaPodeltaItaly*EXP(-betaItaly*tblData[Days'# Italy])),"")</f>
        <v>60634.520713483704</v>
      </c>
      <c r="AN96" s="11" t="str">
        <f>IF(AND(tblData[Date]&gt;StartDt2Italy,ISNUMBER(tblData[Italy])),(tblData[[#This Row],[Italy LogiP(t)]]-tblData[[#This Row],[Italy]])^2,"")</f>
        <v/>
      </c>
      <c r="AO96" s="44">
        <f>IF(AND(tblData[Date]&gt;StartDt2Italy,ISNUMBER(tblData[Days'# Italy])),tblData[[#This Row],[Italy LogiP(t)]]/$AM$9,"")</f>
        <v>10030.524518359587</v>
      </c>
      <c r="AP96" s="21">
        <f>IF(ISNUMBER(tblData[[#This Row],[Days'# US]]),betaUS/(deltaUS+betaPodeltaUS*EXP(-betaUS*tblData[Days'# US])),"")</f>
        <v>3372333806.9686294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102431640.3444511</v>
      </c>
      <c r="AS96" s="21">
        <f>IF(tblData[Date]&gt;=StartDt2Korea,betaSKorea/(deltaSKorea+betaPodeltaSKorea*EXP(-betaSKorea*(tblData[Date]-StartDt2Korea))),"")</f>
        <v>8436.8693780827907</v>
      </c>
      <c r="AT96" s="21" t="str">
        <f>IF(AND(tblData[Date]&gt;=StartDt2Korea,ISNUMBER(tblData[SKorea])),(tblData[[#This Row],[SKorea LogiP(t)]]-tblData[[#This Row],[SKorea]])^2,"")</f>
        <v/>
      </c>
      <c r="AU96" s="21">
        <f>IF(tblData[Date]&gt;=StartDt2Korea,tblData[[#This Row],[SKorea LogiP(t)]]/$AS$9,"")</f>
        <v>1641.4142758915937</v>
      </c>
      <c r="AV96" s="85">
        <f>IF(ISNUMBER(tblData[Days'# UK]),betaUK/(deltaUK+betaPodeltaUK*EXP(-betaUK*tblData[Days'# UK])),"")</f>
        <v>235940059.64375371</v>
      </c>
      <c r="AW96" s="85" t="str">
        <f>IF(ISNUMBER(tblData[UK]),(tblData[[#This Row],[UK LogiP(t)]]-tblData[[#This Row],[UK]])^2,"")</f>
        <v/>
      </c>
      <c r="AX96" s="85">
        <f>IF(ISNUMBER(tblData[Days'# UK]),tblData[[#This Row],[UK LogiP(t)]]/$AV$9,"")</f>
        <v>35511748.892798573</v>
      </c>
      <c r="AY96" s="11">
        <f>IF(ISNUMBER(tblData[Days'# China]),betaChina/(deltaChina+betaPodeltaChina*EXP(-betaChina*tblData[Days'# China])),"")</f>
        <v>80963.61275335656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562.51146617171264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5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Y96"/>
      <c r="CA96"/>
      <c r="CK96" s="26"/>
      <c r="CL96" s="26"/>
    </row>
    <row r="97" spans="2:175" x14ac:dyDescent="0.25">
      <c r="B97" s="27">
        <f t="shared" si="11"/>
        <v>44040</v>
      </c>
      <c r="D97" s="26"/>
      <c r="L97" s="12" t="str">
        <f>IF(ISNUMBER(tblData[[#This Row],[NSW]]),tblData[[#This Row],[New South Wales]]/$L$9,"")</f>
        <v/>
      </c>
      <c r="M97" s="26"/>
      <c r="N97" s="49" t="str">
        <f>IF(ISNUMBER(tblData[Italy]),tblData[Italy]/$N$9,"")</f>
        <v/>
      </c>
      <c r="O97" s="26"/>
      <c r="P97" s="49" t="str">
        <f>IF(ISNUMBER(tblData[US]),tblData[US]/$P$9,"")</f>
        <v/>
      </c>
      <c r="Q97" s="49"/>
      <c r="R97" s="19" t="str">
        <f>IF(ISNUMBER(tblData[SKorea]),tblData[SKorea]/$R$9,"")</f>
        <v/>
      </c>
      <c r="S97" s="49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2"/>
        <v>170</v>
      </c>
      <c r="Y97" s="26">
        <f t="shared" si="10"/>
        <v>86</v>
      </c>
      <c r="Z97" s="26">
        <f>IF(tblData[[#This Row],[Date]]&lt;StartDt2Korea,"",tblData[[#This Row],[Date]]-StartDt2Korea)</f>
        <v>160</v>
      </c>
      <c r="AA97" s="26">
        <f>IF(tblData[[#This Row],[Date]]&lt;UKStart,"",tblData[[#This Row],[Date]]-UKStart)</f>
        <v>180</v>
      </c>
      <c r="AB97">
        <f>IF(tblData[Date]&gt;=StartDt2Au,tblData[Date]-StartDt2Au,"")</f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IF(ISNUMBER(tblData[Au]),tblData[Au]/$AA$9,"")</f>
        <v/>
      </c>
      <c r="AE97" s="44">
        <f>IF(ISNUMBER(tblData[[#This Row],[Day'# Aust]]),betaAu/(deltaAu+betaPodeltaAu*EXP(-betaAu*tblData[[#This Row],[Day'# Aust]])),"")</f>
        <v>2103333773.3866241</v>
      </c>
      <c r="AF97" s="73">
        <f>IF(ISNUMBER(tblData[Day'# Aust]),tblData[Au LogiP(t)]/$AD$9,"")</f>
        <v>829259491.16331184</v>
      </c>
      <c r="AG97" s="11" t="str">
        <f>IF(AND(tblData[Date]&gt;=StartDt2Au,ISNUMBER(tblData[NSW])),(tblData[[#This Row],[Au LogiP(t)]]-tblData[[#This Row],[Au]])^2,"")</f>
        <v/>
      </c>
      <c r="AH97">
        <f>IF(tblData[Date]&gt;StartDt2NSW,tblData[Date]-StartDt2NSW,"")</f>
        <v>185</v>
      </c>
      <c r="AI97" t="str">
        <f t="shared" si="13"/>
        <v/>
      </c>
      <c r="AJ97" s="11">
        <f>IF(tblData[Date]&gt;StartDt2NSW,betaNSW/(deltaNSW+betaPodeltaNSW*EXP(-betaNSW*tblData[[#This Row],[Day '# NSW]])),"")</f>
        <v>3260.9876988969518</v>
      </c>
      <c r="AK97" s="12" t="str">
        <f>IF(AND(ISNUMBER(tblData[NSW]),tblData[Date]&gt;StartDt2NSW),(tblData[[#This Row],[NSW LogiP(t)]]-tblData[[#This Row],[NSW]])^2,"")</f>
        <v/>
      </c>
      <c r="AL97" s="44">
        <f>IF(AND(tblData[Date]&gt;StartDt2NSW,ISNUMBER(tblData[Day'# Aust])),tblData[NSW LogiP(t)]/$AG$9,"")</f>
        <v>4035.8758649714746</v>
      </c>
      <c r="AM97" s="11">
        <f>IF(AND(tblData[Date]&gt;StartDt2Italy,ISNUMBER(tblData[Days'# Italy])),betaItaly/(deltaItaly+betaPodeltaItaly*EXP(-betaItaly*tblData[Days'# Italy])),"")</f>
        <v>60634.520713483915</v>
      </c>
      <c r="AN97" s="11" t="str">
        <f>IF(AND(tblData[Date]&gt;StartDt2Italy,ISNUMBER(tblData[Italy])),(tblData[[#This Row],[Italy LogiP(t)]]-tblData[[#This Row],[Italy]])^2,"")</f>
        <v/>
      </c>
      <c r="AO97" s="44">
        <f>IF(AND(tblData[Date]&gt;StartDt2Italy,ISNUMBER(tblData[Days'# Italy])),tblData[[#This Row],[Italy LogiP(t)]]/$AM$9,"")</f>
        <v>10030.524518359622</v>
      </c>
      <c r="AP97" s="21">
        <f>IF(ISNUMBER(tblData[[#This Row],[Days'# US]]),betaUS/(deltaUS+betaPodeltaUS*EXP(-betaUS*tblData[Days'# US])),"")</f>
        <v>3372333806.9691715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102431640.34446757</v>
      </c>
      <c r="AS97" s="21">
        <f>IF(tblData[Date]&gt;=StartDt2Korea,betaSKorea/(deltaSKorea+betaPodeltaSKorea*EXP(-betaSKorea*(tblData[Date]-StartDt2Korea))),"")</f>
        <v>8436.8693780827907</v>
      </c>
      <c r="AT97" s="21" t="str">
        <f>IF(AND(tblData[Date]&gt;=StartDt2Korea,ISNUMBER(tblData[SKorea])),(tblData[[#This Row],[SKorea LogiP(t)]]-tblData[[#This Row],[SKorea]])^2,"")</f>
        <v/>
      </c>
      <c r="AU97" s="21">
        <f>IF(tblData[Date]&gt;=StartDt2Korea,tblData[[#This Row],[SKorea LogiP(t)]]/$AS$9,"")</f>
        <v>1641.4142758915937</v>
      </c>
      <c r="AV97" s="85">
        <f>IF(ISNUMBER(tblData[Days'# UK]),betaUK/(deltaUK+betaPodeltaUK*EXP(-betaUK*tblData[Days'# UK])),"")</f>
        <v>235940062.48751867</v>
      </c>
      <c r="AW97" s="85" t="str">
        <f>IF(ISNUMBER(tblData[UK]),(tblData[[#This Row],[UK LogiP(t)]]-tblData[[#This Row],[UK]])^2,"")</f>
        <v/>
      </c>
      <c r="AX97" s="85">
        <f>IF(ISNUMBER(tblData[Days'# UK]),tblData[[#This Row],[UK LogiP(t)]]/$AV$9,"")</f>
        <v>35511749.320818581</v>
      </c>
      <c r="AY97" s="11">
        <f>IF(ISNUMBER(tblData[Days'# China]),betaChina/(deltaChina+betaPodeltaChina*EXP(-betaChina*tblData[Days'# China])),"")</f>
        <v>80963.61800465807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562.51150265621732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Y97"/>
      <c r="CA97"/>
      <c r="CK97" s="26"/>
      <c r="CL97" s="26"/>
    </row>
    <row r="98" spans="2:175" x14ac:dyDescent="0.25">
      <c r="B98" s="27">
        <f t="shared" si="11"/>
        <v>44047</v>
      </c>
      <c r="D98" s="26"/>
      <c r="L98" s="12" t="str">
        <f>IF(ISNUMBER(tblData[[#This Row],[NSW]]),tblData[[#This Row],[New South Wales]]/$L$9,"")</f>
        <v/>
      </c>
      <c r="M98" s="26"/>
      <c r="N98" s="49" t="str">
        <f>IF(ISNUMBER(tblData[Italy]),tblData[Italy]/$N$9,"")</f>
        <v/>
      </c>
      <c r="O98" s="26"/>
      <c r="P98" s="49" t="str">
        <f>IF(ISNUMBER(tblData[US]),tblData[US]/$P$9,"")</f>
        <v/>
      </c>
      <c r="Q98" s="49"/>
      <c r="R98" s="19" t="str">
        <f>IF(ISNUMBER(tblData[SKorea]),tblData[SKorea]/$R$9,"")</f>
        <v/>
      </c>
      <c r="S98" s="49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2"/>
        <v>177</v>
      </c>
      <c r="Y98" s="26">
        <f t="shared" si="10"/>
        <v>87</v>
      </c>
      <c r="Z98" s="26">
        <f>IF(tblData[[#This Row],[Date]]&lt;StartDt2Korea,"",tblData[[#This Row],[Date]]-StartDt2Korea)</f>
        <v>167</v>
      </c>
      <c r="AA98" s="26">
        <f>IF(tblData[[#This Row],[Date]]&lt;UKStart,"",tblData[[#This Row],[Date]]-UKStart)</f>
        <v>187</v>
      </c>
      <c r="AB98">
        <f>IF(tblData[Date]&gt;=StartDt2Au,tblData[Date]-StartDt2Au,"")</f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IF(ISNUMBER(tblData[Au]),tblData[Au]/$AA$9,"")</f>
        <v/>
      </c>
      <c r="AE98" s="44">
        <f>IF(ISNUMBER(tblData[[#This Row],[Day'# Aust]]),betaAu/(deltaAu+betaPodeltaAu*EXP(-betaAu*tblData[[#This Row],[Day'# Aust]])),"")</f>
        <v>2103338947.5467381</v>
      </c>
      <c r="AF98" s="73">
        <f>IF(ISNUMBER(tblData[Day'# Aust]),tblData[Au LogiP(t)]/$AD$9,"")</f>
        <v>829261531.12550783</v>
      </c>
      <c r="AG98" s="11" t="str">
        <f>IF(AND(tblData[Date]&gt;=StartDt2Au,ISNUMBER(tblData[NSW])),(tblData[[#This Row],[Au LogiP(t)]]-tblData[[#This Row],[Au]])^2,"")</f>
        <v/>
      </c>
      <c r="AH98">
        <f>IF(tblData[Date]&gt;StartDt2NSW,tblData[Date]-StartDt2NSW,"")</f>
        <v>192</v>
      </c>
      <c r="AI98" t="str">
        <f t="shared" si="13"/>
        <v/>
      </c>
      <c r="AJ98" s="11">
        <f>IF(tblData[Date]&gt;StartDt2NSW,betaNSW/(deltaNSW+betaPodeltaNSW*EXP(-betaNSW*tblData[[#This Row],[Day '# NSW]])),"")</f>
        <v>3260.9876989372824</v>
      </c>
      <c r="AK98" s="12" t="str">
        <f>IF(AND(ISNUMBER(tblData[NSW]),tblData[Date]&gt;StartDt2NSW),(tblData[[#This Row],[NSW LogiP(t)]]-tblData[[#This Row],[NSW]])^2,"")</f>
        <v/>
      </c>
      <c r="AL98" s="44">
        <f>IF(AND(tblData[Date]&gt;StartDt2NSW,ISNUMBER(tblData[Day'# Aust])),tblData[NSW LogiP(t)]/$AG$9,"")</f>
        <v>4035.875865021389</v>
      </c>
      <c r="AM98" s="11">
        <f>IF(AND(tblData[Date]&gt;StartDt2Italy,ISNUMBER(tblData[Days'# Italy])),betaItaly/(deltaItaly+betaPodeltaItaly*EXP(-betaItaly*tblData[Days'# Italy])),"")</f>
        <v>60634.520713483951</v>
      </c>
      <c r="AN98" s="11" t="str">
        <f>IF(AND(tblData[Date]&gt;StartDt2Italy,ISNUMBER(tblData[Italy])),(tblData[[#This Row],[Italy LogiP(t)]]-tblData[[#This Row],[Italy]])^2,"")</f>
        <v/>
      </c>
      <c r="AO98" s="44">
        <f>IF(AND(tblData[Date]&gt;StartDt2Italy,ISNUMBER(tblData[Days'# Italy])),tblData[[#This Row],[Italy LogiP(t)]]/$AM$9,"")</f>
        <v>10030.524518359629</v>
      </c>
      <c r="AP98" s="21">
        <f>IF(ISNUMBER(tblData[[#This Row],[Days'# US]]),betaUS/(deltaUS+betaPodeltaUS*EXP(-betaUS*tblData[Days'# US])),"")</f>
        <v>3372333806.969223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102431640.34446913</v>
      </c>
      <c r="AS98" s="21">
        <f>IF(tblData[Date]&gt;=StartDt2Korea,betaSKorea/(deltaSKorea+betaPodeltaSKorea*EXP(-betaSKorea*(tblData[Date]-StartDt2Korea))),"")</f>
        <v>8436.8693780827907</v>
      </c>
      <c r="AT98" s="21" t="str">
        <f>IF(AND(tblData[Date]&gt;=StartDt2Korea,ISNUMBER(tblData[SKorea])),(tblData[[#This Row],[SKorea LogiP(t)]]-tblData[[#This Row],[SKorea]])^2,"")</f>
        <v/>
      </c>
      <c r="AU98" s="21">
        <f>IF(tblData[Date]&gt;=StartDt2Korea,tblData[[#This Row],[SKorea LogiP(t)]]/$AS$9,"")</f>
        <v>1641.4142758915937</v>
      </c>
      <c r="AV98" s="85">
        <f>IF(ISNUMBER(tblData[Days'# UK]),betaUK/(deltaUK+betaPodeltaUK*EXP(-betaUK*tblData[Days'# UK])),"")</f>
        <v>235940063.03280103</v>
      </c>
      <c r="AW98" s="85" t="str">
        <f>IF(ISNUMBER(tblData[UK]),(tblData[[#This Row],[UK LogiP(t)]]-tblData[[#This Row],[UK]])^2,"")</f>
        <v/>
      </c>
      <c r="AX98" s="85">
        <f>IF(ISNUMBER(tblData[Days'# UK]),tblData[[#This Row],[UK LogiP(t)]]/$AV$9,"")</f>
        <v>35511749.402889982</v>
      </c>
      <c r="AY98" s="11">
        <f>IF(ISNUMBER(tblData[Days'# China]),betaChina/(deltaChina+betaPodeltaChina*EXP(-betaChina*tblData[Days'# China])),"")</f>
        <v>80963.622209905239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562.51153187304283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Y98"/>
      <c r="CA98"/>
      <c r="CK98" s="26"/>
      <c r="CL98" s="26"/>
    </row>
    <row r="99" spans="2:175" x14ac:dyDescent="0.25">
      <c r="B99" s="27">
        <f t="shared" si="11"/>
        <v>44054</v>
      </c>
      <c r="D99" s="26"/>
      <c r="L99" s="12" t="str">
        <f>IF(ISNUMBER(tblData[[#This Row],[NSW]]),tblData[[#This Row],[New South Wales]]/$L$9,"")</f>
        <v/>
      </c>
      <c r="M99" s="26"/>
      <c r="N99" s="49" t="str">
        <f>IF(ISNUMBER(tblData[Italy]),tblData[Italy]/$N$9,"")</f>
        <v/>
      </c>
      <c r="O99" s="26"/>
      <c r="P99" s="49" t="str">
        <f>IF(ISNUMBER(tblData[US]),tblData[US]/$P$9,"")</f>
        <v/>
      </c>
      <c r="Q99" s="49"/>
      <c r="R99" s="19" t="str">
        <f>IF(ISNUMBER(tblData[SKorea]),tblData[SKorea]/$R$9,"")</f>
        <v/>
      </c>
      <c r="S99" s="49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2"/>
        <v>184</v>
      </c>
      <c r="Y99" s="26">
        <f t="shared" si="10"/>
        <v>88</v>
      </c>
      <c r="Z99" s="26">
        <f>IF(tblData[[#This Row],[Date]]&lt;StartDt2Korea,"",tblData[[#This Row],[Date]]-StartDt2Korea)</f>
        <v>174</v>
      </c>
      <c r="AA99" s="26">
        <f>IF(tblData[[#This Row],[Date]]&lt;UKStart,"",tblData[[#This Row],[Date]]-UKStart)</f>
        <v>194</v>
      </c>
      <c r="AB99">
        <f>IF(tblData[Date]&gt;=StartDt2Au,tblData[Date]-StartDt2Au,"")</f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IF(ISNUMBER(tblData[Au]),tblData[Au]/$AA$9,"")</f>
        <v/>
      </c>
      <c r="AE99" s="44">
        <f>IF(ISNUMBER(tblData[[#This Row],[Day'# Aust]]),betaAu/(deltaAu+betaPodeltaAu*EXP(-betaAu*tblData[[#This Row],[Day'# Aust]])),"")</f>
        <v>2103340134.4429948</v>
      </c>
      <c r="AF99" s="73">
        <f>IF(ISNUMBER(tblData[Day'# Aust]),tblData[Au LogiP(t)]/$AD$9,"")</f>
        <v>829261999.07072818</v>
      </c>
      <c r="AG99" s="11" t="str">
        <f>IF(AND(tblData[Date]&gt;=StartDt2Au,ISNUMBER(tblData[NSW])),(tblData[[#This Row],[Au LogiP(t)]]-tblData[[#This Row],[Au]])^2,"")</f>
        <v/>
      </c>
      <c r="AH99">
        <f>IF(tblData[Date]&gt;StartDt2NSW,tblData[Date]-StartDt2NSW,"")</f>
        <v>199</v>
      </c>
      <c r="AI99" t="str">
        <f t="shared" si="13"/>
        <v/>
      </c>
      <c r="AJ99" s="11">
        <f>IF(tblData[Date]&gt;StartDt2NSW,betaNSW/(deltaNSW+betaPodeltaNSW*EXP(-betaNSW*tblData[[#This Row],[Day '# NSW]])),"")</f>
        <v>3260.9876989467589</v>
      </c>
      <c r="AK99" s="12" t="str">
        <f>IF(AND(ISNUMBER(tblData[NSW]),tblData[Date]&gt;StartDt2NSW),(tblData[[#This Row],[NSW LogiP(t)]]-tblData[[#This Row],[NSW]])^2,"")</f>
        <v/>
      </c>
      <c r="AL99" s="44">
        <f>IF(AND(tblData[Date]&gt;StartDt2NSW,ISNUMBER(tblData[Day'# Aust])),tblData[NSW LogiP(t)]/$AG$9,"")</f>
        <v>4035.875865033117</v>
      </c>
      <c r="AM99" s="11">
        <f>IF(AND(tblData[Date]&gt;StartDt2Italy,ISNUMBER(tblData[Days'# Italy])),betaItaly/(deltaItaly+betaPodeltaItaly*EXP(-betaItaly*tblData[Days'# Italy])),"")</f>
        <v>60634.520713483966</v>
      </c>
      <c r="AN99" s="11" t="str">
        <f>IF(AND(tblData[Date]&gt;StartDt2Italy,ISNUMBER(tblData[Italy])),(tblData[[#This Row],[Italy LogiP(t)]]-tblData[[#This Row],[Italy]])^2,"")</f>
        <v/>
      </c>
      <c r="AO99" s="44">
        <f>IF(AND(tblData[Date]&gt;StartDt2Italy,ISNUMBER(tblData[Days'# Italy])),tblData[[#This Row],[Italy LogiP(t)]]/$AM$9,"")</f>
        <v>10030.524518359631</v>
      </c>
      <c r="AP99" s="21">
        <f>IF(ISNUMBER(tblData[[#This Row],[Days'# US]]),betaUS/(deltaUS+betaPodeltaUS*EXP(-betaUS*tblData[Days'# US])),"")</f>
        <v>3372333806.9692278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102431640.34446926</v>
      </c>
      <c r="AS99" s="21">
        <f>IF(tblData[Date]&gt;=StartDt2Korea,betaSKorea/(deltaSKorea+betaPodeltaSKorea*EXP(-betaSKorea*(tblData[Date]-StartDt2Korea))),"")</f>
        <v>8436.8693780827907</v>
      </c>
      <c r="AT99" s="21" t="str">
        <f>IF(AND(tblData[Date]&gt;=StartDt2Korea,ISNUMBER(tblData[SKorea])),(tblData[[#This Row],[SKorea LogiP(t)]]-tblData[[#This Row],[SKorea]])^2,"")</f>
        <v/>
      </c>
      <c r="AU99" s="21">
        <f>IF(tblData[Date]&gt;=StartDt2Korea,tblData[[#This Row],[SKorea LogiP(t)]]/$AS$9,"")</f>
        <v>1641.4142758915937</v>
      </c>
      <c r="AV99" s="85">
        <f>IF(ISNUMBER(tblData[Days'# UK]),betaUK/(deltaUK+betaPodeltaUK*EXP(-betaUK*tblData[Days'# UK])),"")</f>
        <v>235940063.13735703</v>
      </c>
      <c r="AW99" s="85" t="str">
        <f>IF(ISNUMBER(tblData[UK]),(tblData[[#This Row],[UK LogiP(t)]]-tblData[[#This Row],[UK]])^2,"")</f>
        <v/>
      </c>
      <c r="AX99" s="85">
        <f>IF(ISNUMBER(tblData[Days'# UK]),tblData[[#This Row],[UK LogiP(t)]]/$AV$9,"")</f>
        <v>35511749.418626882</v>
      </c>
      <c r="AY99" s="11">
        <f>IF(ISNUMBER(tblData[Days'# China]),betaChina/(deltaChina+betaPodeltaChina*EXP(-betaChina*tblData[Days'# China])),"")</f>
        <v>80963.62557747103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562.51155526990362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Y99"/>
      <c r="CA99"/>
      <c r="CK99" s="26"/>
      <c r="CL99" s="26"/>
    </row>
    <row r="100" spans="2:175" x14ac:dyDescent="0.25">
      <c r="B100" s="27">
        <f t="shared" si="11"/>
        <v>44061</v>
      </c>
      <c r="D100" s="26"/>
      <c r="L100" s="12" t="str">
        <f>IF(ISNUMBER(tblData[[#This Row],[NSW]]),tblData[[#This Row],[New South Wales]]/$L$9,"")</f>
        <v/>
      </c>
      <c r="M100" s="26"/>
      <c r="N100" s="49" t="str">
        <f>IF(ISNUMBER(tblData[Italy]),tblData[Italy]/$N$9,"")</f>
        <v/>
      </c>
      <c r="O100" s="26"/>
      <c r="P100" s="49" t="str">
        <f>IF(ISNUMBER(tblData[US]),tblData[US]/$P$9,"")</f>
        <v/>
      </c>
      <c r="Q100" s="49"/>
      <c r="R100" s="19" t="str">
        <f>IF(ISNUMBER(tblData[SKorea]),tblData[SKorea]/$R$9,"")</f>
        <v/>
      </c>
      <c r="S100" s="49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2"/>
        <v>191</v>
      </c>
      <c r="Y100" s="26">
        <f t="shared" si="10"/>
        <v>89</v>
      </c>
      <c r="Z100" s="26">
        <f>IF(tblData[[#This Row],[Date]]&lt;StartDt2Korea,"",tblData[[#This Row],[Date]]-StartDt2Korea)</f>
        <v>181</v>
      </c>
      <c r="AA100" s="26">
        <f>IF(tblData[[#This Row],[Date]]&lt;UKStart,"",tblData[[#This Row],[Date]]-UKStart)</f>
        <v>201</v>
      </c>
      <c r="AB100">
        <f>IF(tblData[Date]&gt;=StartDt2Au,tblData[Date]-StartDt2Au,"")</f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IF(ISNUMBER(tblData[Au]),tblData[Au]/$AA$9,"")</f>
        <v/>
      </c>
      <c r="AE100" s="44">
        <f>IF(ISNUMBER(tblData[[#This Row],[Day'# Aust]]),betaAu/(deltaAu+betaPodeltaAu*EXP(-betaAu*tblData[[#This Row],[Day'# Aust]])),"")</f>
        <v>2103340406.7034988</v>
      </c>
      <c r="AF100" s="73">
        <f>IF(ISNUMBER(tblData[Day'# Aust]),tblData[Au LogiP(t)]/$AD$9,"")</f>
        <v>829262106.41204023</v>
      </c>
      <c r="AG100" s="11" t="str">
        <f>IF(AND(tblData[Date]&gt;=StartDt2Au,ISNUMBER(tblData[NSW])),(tblData[[#This Row],[Au LogiP(t)]]-tblData[[#This Row],[Au]])^2,"")</f>
        <v/>
      </c>
      <c r="AH100">
        <f>IF(tblData[Date]&gt;StartDt2NSW,tblData[Date]-StartDt2NSW,"")</f>
        <v>206</v>
      </c>
      <c r="AI100" t="str">
        <f t="shared" si="13"/>
        <v/>
      </c>
      <c r="AJ100" s="11">
        <f>IF(tblData[Date]&gt;StartDt2NSW,betaNSW/(deltaNSW+betaPodeltaNSW*EXP(-betaNSW*tblData[[#This Row],[Day '# NSW]])),"")</f>
        <v>3260.9876989489849</v>
      </c>
      <c r="AK100" s="12" t="str">
        <f>IF(AND(ISNUMBER(tblData[NSW]),tblData[Date]&gt;StartDt2NSW),(tblData[[#This Row],[NSW LogiP(t)]]-tblData[[#This Row],[NSW]])^2,"")</f>
        <v/>
      </c>
      <c r="AL100" s="44">
        <f>IF(AND(tblData[Date]&gt;StartDt2NSW,ISNUMBER(tblData[Day'# Aust])),tblData[NSW LogiP(t)]/$AG$9,"")</f>
        <v>4035.8758650358723</v>
      </c>
      <c r="AM100" s="11">
        <f>IF(AND(tblData[Date]&gt;StartDt2Italy,ISNUMBER(tblData[Days'# Italy])),betaItaly/(deltaItaly+betaPodeltaItaly*EXP(-betaItaly*tblData[Days'# Italy])),"")</f>
        <v>60634.520713483966</v>
      </c>
      <c r="AN100" s="11" t="str">
        <f>IF(AND(tblData[Date]&gt;StartDt2Italy,ISNUMBER(tblData[Italy])),(tblData[[#This Row],[Italy LogiP(t)]]-tblData[[#This Row],[Italy]])^2,"")</f>
        <v/>
      </c>
      <c r="AO100" s="44">
        <f>IF(AND(tblData[Date]&gt;StartDt2Italy,ISNUMBER(tblData[Days'# Italy])),tblData[[#This Row],[Italy LogiP(t)]]/$AM$9,"")</f>
        <v>10030.524518359631</v>
      </c>
      <c r="AP100" s="21">
        <f>IF(ISNUMBER(tblData[[#This Row],[Days'# US]]),betaUS/(deltaUS+betaPodeltaUS*EXP(-betaUS*tblData[Days'# US])),"")</f>
        <v>3372333806.9692283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102431640.34446928</v>
      </c>
      <c r="AS100" s="21">
        <f>IF(tblData[Date]&gt;=StartDt2Korea,betaSKorea/(deltaSKorea+betaPodeltaSKorea*EXP(-betaSKorea*(tblData[Date]-StartDt2Korea))),"")</f>
        <v>8436.8693780827907</v>
      </c>
      <c r="AT100" s="21" t="str">
        <f>IF(AND(tblData[Date]&gt;=StartDt2Korea,ISNUMBER(tblData[SKorea])),(tblData[[#This Row],[SKorea LogiP(t)]]-tblData[[#This Row],[SKorea]])^2,"")</f>
        <v/>
      </c>
      <c r="AU100" s="21">
        <f>IF(tblData[Date]&gt;=StartDt2Korea,tblData[[#This Row],[SKorea LogiP(t)]]/$AS$9,"")</f>
        <v>1641.4142758915937</v>
      </c>
      <c r="AV100" s="85">
        <f>IF(ISNUMBER(tblData[Days'# UK]),betaUK/(deltaUK+betaPodeltaUK*EXP(-betaUK*tblData[Days'# UK])),"")</f>
        <v>235940063.15740532</v>
      </c>
      <c r="AW100" s="85" t="str">
        <f>IF(ISNUMBER(tblData[UK]),(tblData[[#This Row],[UK LogiP(t)]]-tblData[[#This Row],[UK]])^2,"")</f>
        <v/>
      </c>
      <c r="AX100" s="85">
        <f>IF(ISNUMBER(tblData[Days'# UK]),tblData[[#This Row],[UK LogiP(t)]]/$AV$9,"")</f>
        <v>35511749.42164439</v>
      </c>
      <c r="AY100" s="11">
        <f>IF(ISNUMBER(tblData[Days'# China]),betaChina/(deltaChina+betaPodeltaChina*EXP(-betaChina*tblData[Days'# China])),"")</f>
        <v>80963.62827422077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562.5115740061309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Y100"/>
      <c r="CA100"/>
      <c r="CK100" s="26"/>
      <c r="CL100" s="26"/>
    </row>
    <row r="101" spans="2:175" x14ac:dyDescent="0.25">
      <c r="B101" s="27">
        <f t="shared" si="11"/>
        <v>44068</v>
      </c>
      <c r="D101" s="26"/>
      <c r="L101" s="12" t="str">
        <f>IF(ISNUMBER(tblData[[#This Row],[NSW]]),tblData[[#This Row],[New South Wales]]/$L$9,"")</f>
        <v/>
      </c>
      <c r="M101" s="26"/>
      <c r="N101" s="49" t="str">
        <f>IF(ISNUMBER(tblData[Italy]),tblData[Italy]/$N$9,"")</f>
        <v/>
      </c>
      <c r="O101" s="26"/>
      <c r="P101" s="49" t="str">
        <f>IF(ISNUMBER(tblData[US]),tblData[US]/$P$9,"")</f>
        <v/>
      </c>
      <c r="Q101" s="49"/>
      <c r="R101" s="19" t="str">
        <f>IF(ISNUMBER(tblData[SKorea]),tblData[SKorea]/$R$9,"")</f>
        <v/>
      </c>
      <c r="S101" s="49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2"/>
        <v>198</v>
      </c>
      <c r="Y101" s="26">
        <f t="shared" si="10"/>
        <v>90</v>
      </c>
      <c r="Z101" s="26">
        <f>IF(tblData[[#This Row],[Date]]&lt;StartDt2Korea,"",tblData[[#This Row],[Date]]-StartDt2Korea)</f>
        <v>188</v>
      </c>
      <c r="AA101" s="26">
        <f>IF(tblData[[#This Row],[Date]]&lt;UKStart,"",tblData[[#This Row],[Date]]-UKStart)</f>
        <v>208</v>
      </c>
      <c r="AB101">
        <f>IF(tblData[Date]&gt;=StartDt2Au,tblData[Date]-StartDt2Au,"")</f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IF(ISNUMBER(tblData[Au]),tblData[Au]/$AA$9,"")</f>
        <v/>
      </c>
      <c r="AE101" s="44">
        <f>IF(ISNUMBER(tblData[[#This Row],[Day'# Aust]]),betaAu/(deltaAu+betaPodeltaAu*EXP(-betaAu*tblData[[#This Row],[Day'# Aust]])),"")</f>
        <v>2103340469.1569293</v>
      </c>
      <c r="AF101" s="73">
        <f>IF(ISNUMBER(tblData[Day'# Aust]),tblData[Au LogiP(t)]/$AD$9,"")</f>
        <v>829262131.03490353</v>
      </c>
      <c r="AG101" s="11" t="str">
        <f>IF(AND(tblData[Date]&gt;=StartDt2Au,ISNUMBER(tblData[NSW])),(tblData[[#This Row],[Au LogiP(t)]]-tblData[[#This Row],[Au]])^2,"")</f>
        <v/>
      </c>
      <c r="AH101">
        <f>IF(tblData[Date]&gt;StartDt2NSW,tblData[Date]-StartDt2NSW,"")</f>
        <v>213</v>
      </c>
      <c r="AI101" t="str">
        <f t="shared" si="13"/>
        <v/>
      </c>
      <c r="AJ101" s="11">
        <f>IF(tblData[Date]&gt;StartDt2NSW,betaNSW/(deltaNSW+betaPodeltaNSW*EXP(-betaNSW*tblData[[#This Row],[Day '# NSW]])),"")</f>
        <v>3260.9876989495083</v>
      </c>
      <c r="AK101" s="12" t="str">
        <f>IF(AND(ISNUMBER(tblData[NSW]),tblData[Date]&gt;StartDt2NSW),(tblData[[#This Row],[NSW LogiP(t)]]-tblData[[#This Row],[NSW]])^2,"")</f>
        <v/>
      </c>
      <c r="AL101" s="44">
        <f>IF(AND(tblData[Date]&gt;StartDt2NSW,ISNUMBER(tblData[Day'# Aust])),tblData[NSW LogiP(t)]/$AG$9,"")</f>
        <v>4035.8758650365198</v>
      </c>
      <c r="AM101" s="11">
        <f>IF(AND(tblData[Date]&gt;StartDt2Italy,ISNUMBER(tblData[Days'# Italy])),betaItaly/(deltaItaly+betaPodeltaItaly*EXP(-betaItaly*tblData[Days'# Italy])),"")</f>
        <v>60634.520713483966</v>
      </c>
      <c r="AN101" s="11" t="str">
        <f>IF(AND(tblData[Date]&gt;StartDt2Italy,ISNUMBER(tblData[Italy])),(tblData[[#This Row],[Italy LogiP(t)]]-tblData[[#This Row],[Italy]])^2,"")</f>
        <v/>
      </c>
      <c r="AO101" s="44">
        <f>IF(AND(tblData[Date]&gt;StartDt2Italy,ISNUMBER(tblData[Days'# Italy])),tblData[[#This Row],[Italy LogiP(t)]]/$AM$9,"")</f>
        <v>10030.524518359631</v>
      </c>
      <c r="AP101" s="21">
        <f>IF(ISNUMBER(tblData[[#This Row],[Days'# US]]),betaUS/(deltaUS+betaPodeltaUS*EXP(-betaUS*tblData[Days'# US])),"")</f>
        <v>3372333806.9692283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102431640.34446928</v>
      </c>
      <c r="AS101" s="21">
        <f>IF(tblData[Date]&gt;=StartDt2Korea,betaSKorea/(deltaSKorea+betaPodeltaSKorea*EXP(-betaSKorea*(tblData[Date]-StartDt2Korea))),"")</f>
        <v>8436.8693780827907</v>
      </c>
      <c r="AT101" s="21" t="str">
        <f>IF(AND(tblData[Date]&gt;=StartDt2Korea,ISNUMBER(tblData[SKorea])),(tblData[[#This Row],[SKorea LogiP(t)]]-tblData[[#This Row],[SKorea]])^2,"")</f>
        <v/>
      </c>
      <c r="AU101" s="21">
        <f>IF(tblData[Date]&gt;=StartDt2Korea,tblData[[#This Row],[SKorea LogiP(t)]]/$AS$9,"")</f>
        <v>1641.4142758915937</v>
      </c>
      <c r="AV101" s="85">
        <f>IF(ISNUMBER(tblData[Days'# UK]),betaUK/(deltaUK+betaPodeltaUK*EXP(-betaUK*tblData[Days'# UK])),"")</f>
        <v>235940063.16124955</v>
      </c>
      <c r="AW101" s="85" t="str">
        <f>IF(ISNUMBER(tblData[UK]),(tblData[[#This Row],[UK LogiP(t)]]-tblData[[#This Row],[UK]])^2,"")</f>
        <v/>
      </c>
      <c r="AX101" s="85">
        <f>IF(ISNUMBER(tblData[Days'# UK]),tblData[[#This Row],[UK LogiP(t)]]/$AV$9,"")</f>
        <v>35511749.422222987</v>
      </c>
      <c r="AY101" s="11">
        <f>IF(ISNUMBER(tblData[Days'# China]),betaChina/(deltaChina+betaPodeltaChina*EXP(-betaChina*tblData[Days'# China])),"")</f>
        <v>80963.630433780374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562.51158901011843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Y101"/>
      <c r="CA101"/>
      <c r="CK101" s="26"/>
      <c r="CL101" s="26"/>
    </row>
    <row r="102" spans="2:175" x14ac:dyDescent="0.25">
      <c r="B102" s="27">
        <f t="shared" si="11"/>
        <v>44075</v>
      </c>
      <c r="D102" s="26"/>
      <c r="L102" s="12" t="str">
        <f>IF(ISNUMBER(tblData[[#This Row],[NSW]]),tblData[[#This Row],[New South Wales]]/$L$9,"")</f>
        <v/>
      </c>
      <c r="M102" s="26"/>
      <c r="N102" s="49" t="str">
        <f>IF(ISNUMBER(tblData[Italy]),tblData[Italy]/$N$9,"")</f>
        <v/>
      </c>
      <c r="O102" s="26"/>
      <c r="P102" s="49" t="str">
        <f>IF(ISNUMBER(tblData[US]),tblData[US]/$P$9,"")</f>
        <v/>
      </c>
      <c r="Q102" s="49"/>
      <c r="R102" s="19" t="str">
        <f>IF(ISNUMBER(tblData[SKorea]),tblData[SKorea]/$R$9,"")</f>
        <v/>
      </c>
      <c r="S102" s="49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2"/>
        <v>205</v>
      </c>
      <c r="Y102" s="26">
        <f t="shared" si="10"/>
        <v>91</v>
      </c>
      <c r="Z102" s="26">
        <f>IF(tblData[[#This Row],[Date]]&lt;StartDt2Korea,"",tblData[[#This Row],[Date]]-StartDt2Korea)</f>
        <v>195</v>
      </c>
      <c r="AA102" s="26">
        <f>IF(tblData[[#This Row],[Date]]&lt;UKStart,"",tblData[[#This Row],[Date]]-UKStart)</f>
        <v>215</v>
      </c>
      <c r="AB102">
        <f>IF(tblData[Date]&gt;=StartDt2Au,tblData[Date]-StartDt2Au,"")</f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IF(ISNUMBER(tblData[Au]),tblData[Au]/$AA$9,"")</f>
        <v/>
      </c>
      <c r="AE102" s="44">
        <f>IF(ISNUMBER(tblData[[#This Row],[Day'# Aust]]),betaAu/(deltaAu+betaPodeltaAu*EXP(-betaAu*tblData[[#This Row],[Day'# Aust]])),"")</f>
        <v>2103340483.4830263</v>
      </c>
      <c r="AF102" s="73">
        <f>IF(ISNUMBER(tblData[Day'# Aust]),tblData[Au LogiP(t)]/$AD$9,"")</f>
        <v>829262136.68310452</v>
      </c>
      <c r="AG102" s="11" t="str">
        <f>IF(AND(tblData[Date]&gt;=StartDt2Au,ISNUMBER(tblData[NSW])),(tblData[[#This Row],[Au LogiP(t)]]-tblData[[#This Row],[Au]])^2,"")</f>
        <v/>
      </c>
      <c r="AH102">
        <f>IF(tblData[Date]&gt;StartDt2NSW,tblData[Date]-StartDt2NSW,"")</f>
        <v>220</v>
      </c>
      <c r="AI102" t="str">
        <f t="shared" si="13"/>
        <v/>
      </c>
      <c r="AJ102" s="11">
        <f>IF(tblData[Date]&gt;StartDt2NSW,betaNSW/(deltaNSW+betaPodeltaNSW*EXP(-betaNSW*tblData[[#This Row],[Day '# NSW]])),"")</f>
        <v>3260.9876989496315</v>
      </c>
      <c r="AK102" s="12" t="str">
        <f>IF(AND(ISNUMBER(tblData[NSW]),tblData[Date]&gt;StartDt2NSW),(tblData[[#This Row],[NSW LogiP(t)]]-tblData[[#This Row],[NSW]])^2,"")</f>
        <v/>
      </c>
      <c r="AL102" s="44">
        <f>IF(AND(tblData[Date]&gt;StartDt2NSW,ISNUMBER(tblData[Day'# Aust])),tblData[NSW LogiP(t)]/$AG$9,"")</f>
        <v>4035.8758650366726</v>
      </c>
      <c r="AM102" s="11">
        <f>IF(AND(tblData[Date]&gt;StartDt2Italy,ISNUMBER(tblData[Days'# Italy])),betaItaly/(deltaItaly+betaPodeltaItaly*EXP(-betaItaly*tblData[Days'# Italy])),"")</f>
        <v>60634.520713483966</v>
      </c>
      <c r="AN102" s="11" t="str">
        <f>IF(AND(tblData[Date]&gt;StartDt2Italy,ISNUMBER(tblData[Italy])),(tblData[[#This Row],[Italy LogiP(t)]]-tblData[[#This Row],[Italy]])^2,"")</f>
        <v/>
      </c>
      <c r="AO102" s="44">
        <f>IF(AND(tblData[Date]&gt;StartDt2Italy,ISNUMBER(tblData[Days'# Italy])),tblData[[#This Row],[Italy LogiP(t)]]/$AM$9,"")</f>
        <v>10030.524518359631</v>
      </c>
      <c r="AP102" s="21">
        <f>IF(ISNUMBER(tblData[[#This Row],[Days'# US]]),betaUS/(deltaUS+betaPodeltaUS*EXP(-betaUS*tblData[Days'# US])),"")</f>
        <v>3372333806.9692283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102431640.34446928</v>
      </c>
      <c r="AS102" s="21">
        <f>IF(tblData[Date]&gt;=StartDt2Korea,betaSKorea/(deltaSKorea+betaPodeltaSKorea*EXP(-betaSKorea*(tblData[Date]-StartDt2Korea))),"")</f>
        <v>8436.8693780827907</v>
      </c>
      <c r="AT102" s="21" t="str">
        <f>IF(AND(tblData[Date]&gt;=StartDt2Korea,ISNUMBER(tblData[SKorea])),(tblData[[#This Row],[SKorea LogiP(t)]]-tblData[[#This Row],[SKorea]])^2,"")</f>
        <v/>
      </c>
      <c r="AU102" s="21">
        <f>IF(tblData[Date]&gt;=StartDt2Korea,tblData[[#This Row],[SKorea LogiP(t)]]/$AS$9,"")</f>
        <v>1641.4142758915937</v>
      </c>
      <c r="AV102" s="85">
        <f>IF(ISNUMBER(tblData[Days'# UK]),betaUK/(deltaUK+betaPodeltaUK*EXP(-betaUK*tblData[Days'# UK])),"")</f>
        <v>235940063.16198662</v>
      </c>
      <c r="AW102" s="85" t="str">
        <f>IF(ISNUMBER(tblData[UK]),(tblData[[#This Row],[UK LogiP(t)]]-tblData[[#This Row],[UK]])^2,"")</f>
        <v/>
      </c>
      <c r="AX102" s="85">
        <f>IF(ISNUMBER(tblData[Days'# UK]),tblData[[#This Row],[UK LogiP(t)]]/$AV$9,"")</f>
        <v>35511749.422333926</v>
      </c>
      <c r="AY102" s="11">
        <f>IF(ISNUMBER(tblData[Days'# China]),betaChina/(deltaChina+betaPodeltaChina*EXP(-betaChina*tblData[Days'# China])),"")</f>
        <v>80963.632163157599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562.51160102532481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Y102"/>
      <c r="CA102"/>
      <c r="CK102" s="26"/>
      <c r="CL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</row>
    <row r="103" spans="2:175" x14ac:dyDescent="0.25">
      <c r="B103" s="27">
        <f t="shared" si="11"/>
        <v>44082</v>
      </c>
      <c r="D103" s="26"/>
      <c r="L103" s="12" t="str">
        <f>IF(ISNUMBER(tblData[[#This Row],[NSW]]),tblData[[#This Row],[New South Wales]]/$L$9,"")</f>
        <v/>
      </c>
      <c r="M103" s="26"/>
      <c r="N103" s="49" t="str">
        <f>IF(ISNUMBER(tblData[Italy]),tblData[Italy]/$N$9,"")</f>
        <v/>
      </c>
      <c r="O103" s="26"/>
      <c r="P103" s="49" t="str">
        <f>IF(ISNUMBER(tblData[US]),tblData[US]/$P$9,"")</f>
        <v/>
      </c>
      <c r="Q103" s="49"/>
      <c r="R103" s="19" t="str">
        <f>IF(ISNUMBER(tblData[SKorea]),tblData[SKorea]/$R$9,"")</f>
        <v/>
      </c>
      <c r="S103" s="49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2"/>
        <v>212</v>
      </c>
      <c r="Y103" s="26">
        <f t="shared" si="10"/>
        <v>92</v>
      </c>
      <c r="Z103" s="26">
        <f>IF(tblData[[#This Row],[Date]]&lt;StartDt2Korea,"",tblData[[#This Row],[Date]]-StartDt2Korea)</f>
        <v>202</v>
      </c>
      <c r="AA103" s="26">
        <f>IF(tblData[[#This Row],[Date]]&lt;UKStart,"",tblData[[#This Row],[Date]]-UKStart)</f>
        <v>222</v>
      </c>
      <c r="AB103">
        <f>IF(tblData[Date]&gt;=StartDt2Au,tblData[Date]-StartDt2Au,"")</f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IF(ISNUMBER(tblData[Au]),tblData[Au]/$AA$9,"")</f>
        <v/>
      </c>
      <c r="AE103" s="44">
        <f>IF(ISNUMBER(tblData[[#This Row],[Day'# Aust]]),betaAu/(deltaAu+betaPodeltaAu*EXP(-betaAu*tblData[[#This Row],[Day'# Aust]])),"")</f>
        <v>2103340486.7692678</v>
      </c>
      <c r="AF103" s="73">
        <f>IF(ISNUMBER(tblData[Day'# Aust]),tblData[Au LogiP(t)]/$AD$9,"")</f>
        <v>829262137.97873676</v>
      </c>
      <c r="AG103" s="11" t="str">
        <f>IF(AND(tblData[Date]&gt;=StartDt2Au,ISNUMBER(tblData[NSW])),(tblData[[#This Row],[Au LogiP(t)]]-tblData[[#This Row],[Au]])^2,"")</f>
        <v/>
      </c>
      <c r="AH103">
        <f>IF(tblData[Date]&gt;StartDt2NSW,tblData[Date]-StartDt2NSW,"")</f>
        <v>227</v>
      </c>
      <c r="AI103" t="str">
        <f t="shared" si="13"/>
        <v/>
      </c>
      <c r="AJ103" s="11">
        <f>IF(tblData[Date]&gt;StartDt2NSW,betaNSW/(deltaNSW+betaPodeltaNSW*EXP(-betaNSW*tblData[[#This Row],[Day '# NSW]])),"")</f>
        <v>3260.9876989496597</v>
      </c>
      <c r="AK103" s="12" t="str">
        <f>IF(AND(ISNUMBER(tblData[NSW]),tblData[Date]&gt;StartDt2NSW),(tblData[[#This Row],[NSW LogiP(t)]]-tblData[[#This Row],[NSW]])^2,"")</f>
        <v/>
      </c>
      <c r="AL103" s="44">
        <f>IF(AND(tblData[Date]&gt;StartDt2NSW,ISNUMBER(tblData[Day'# Aust])),tblData[NSW LogiP(t)]/$AG$9,"")</f>
        <v>4035.8758650367072</v>
      </c>
      <c r="AM103" s="11">
        <f>IF(AND(tblData[Date]&gt;StartDt2Italy,ISNUMBER(tblData[Days'# Italy])),betaItaly/(deltaItaly+betaPodeltaItaly*EXP(-betaItaly*tblData[Days'# Italy])),"")</f>
        <v>60634.520713483966</v>
      </c>
      <c r="AN103" s="11" t="str">
        <f>IF(AND(tblData[Date]&gt;StartDt2Italy,ISNUMBER(tblData[Italy])),(tblData[[#This Row],[Italy LogiP(t)]]-tblData[[#This Row],[Italy]])^2,"")</f>
        <v/>
      </c>
      <c r="AO103" s="44">
        <f>IF(AND(tblData[Date]&gt;StartDt2Italy,ISNUMBER(tblData[Days'# Italy])),tblData[[#This Row],[Italy LogiP(t)]]/$AM$9,"")</f>
        <v>10030.524518359631</v>
      </c>
      <c r="AP103" s="21">
        <f>IF(ISNUMBER(tblData[[#This Row],[Days'# US]]),betaUS/(deltaUS+betaPodeltaUS*EXP(-betaUS*tblData[Days'# US])),"")</f>
        <v>3372333806.9692283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102431640.34446928</v>
      </c>
      <c r="AS103" s="21">
        <f>IF(tblData[Date]&gt;=StartDt2Korea,betaSKorea/(deltaSKorea+betaPodeltaSKorea*EXP(-betaSKorea*(tblData[Date]-StartDt2Korea))),"")</f>
        <v>8436.8693780827907</v>
      </c>
      <c r="AT103" s="21" t="str">
        <f>IF(AND(tblData[Date]&gt;=StartDt2Korea,ISNUMBER(tblData[SKorea])),(tblData[[#This Row],[SKorea LogiP(t)]]-tblData[[#This Row],[SKorea]])^2,"")</f>
        <v/>
      </c>
      <c r="AU103" s="21">
        <f>IF(tblData[Date]&gt;=StartDt2Korea,tblData[[#This Row],[SKorea LogiP(t)]]/$AS$9,"")</f>
        <v>1641.4142758915937</v>
      </c>
      <c r="AV103" s="85">
        <f>IF(ISNUMBER(tblData[Days'# UK]),betaUK/(deltaUK+betaPodeltaUK*EXP(-betaUK*tblData[Days'# UK])),"")</f>
        <v>235940063.16212797</v>
      </c>
      <c r="AW103" s="85" t="str">
        <f>IF(ISNUMBER(tblData[UK]),(tblData[[#This Row],[UK LogiP(t)]]-tblData[[#This Row],[UK]])^2,"")</f>
        <v/>
      </c>
      <c r="AX103" s="85">
        <f>IF(ISNUMBER(tblData[Days'# UK]),tblData[[#This Row],[UK LogiP(t)]]/$AV$9,"")</f>
        <v>35511749.422355205</v>
      </c>
      <c r="AY103" s="11">
        <f>IF(ISNUMBER(tblData[Days'# China]),betaChina/(deltaChina+betaPodeltaChina*EXP(-betaChina*tblData[Days'# China])),"")</f>
        <v>80963.633548044381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562.51161064711255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Y103"/>
      <c r="CA103"/>
      <c r="CK103" s="26"/>
      <c r="CL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</row>
    <row r="104" spans="2:175" x14ac:dyDescent="0.25">
      <c r="B104" s="27">
        <f t="shared" si="11"/>
        <v>44089</v>
      </c>
      <c r="D104" s="26"/>
      <c r="L104" s="12" t="str">
        <f>IF(ISNUMBER(tblData[[#This Row],[NSW]]),tblData[[#This Row],[New South Wales]]/$L$9,"")</f>
        <v/>
      </c>
      <c r="M104" s="26"/>
      <c r="N104" s="49" t="str">
        <f>IF(ISNUMBER(tblData[Italy]),tblData[Italy]/$N$9,"")</f>
        <v/>
      </c>
      <c r="O104" s="26"/>
      <c r="P104" s="49" t="str">
        <f>IF(ISNUMBER(tblData[US]),tblData[US]/$P$9,"")</f>
        <v/>
      </c>
      <c r="Q104" s="49"/>
      <c r="R104" s="19" t="str">
        <f>IF(ISNUMBER(tblData[SKorea]),tblData[SKorea]/$R$9,"")</f>
        <v/>
      </c>
      <c r="S104" s="49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2"/>
        <v>219</v>
      </c>
      <c r="Y104" s="26">
        <f t="shared" si="10"/>
        <v>93</v>
      </c>
      <c r="Z104" s="26">
        <f>IF(tblData[[#This Row],[Date]]&lt;StartDt2Korea,"",tblData[[#This Row],[Date]]-StartDt2Korea)</f>
        <v>209</v>
      </c>
      <c r="AA104" s="26">
        <f>IF(tblData[[#This Row],[Date]]&lt;UKStart,"",tblData[[#This Row],[Date]]-UKStart)</f>
        <v>229</v>
      </c>
      <c r="AB104">
        <f>IF(tblData[Date]&gt;=StartDt2Au,tblData[Date]-StartDt2Au,"")</f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IF(ISNUMBER(tblData[Au]),tblData[Au]/$AA$9,"")</f>
        <v/>
      </c>
      <c r="AE104" s="44">
        <f>IF(ISNUMBER(tblData[[#This Row],[Day'# Aust]]),betaAu/(deltaAu+betaPodeltaAu*EXP(-betaAu*tblData[[#This Row],[Day'# Aust]])),"")</f>
        <v>2103340487.5230937</v>
      </c>
      <c r="AF104" s="73">
        <f>IF(ISNUMBER(tblData[Day'# Aust]),tblData[Au LogiP(t)]/$AD$9,"")</f>
        <v>829262138.27593982</v>
      </c>
      <c r="AG104" s="11" t="str">
        <f>IF(AND(tblData[Date]&gt;=StartDt2Au,ISNUMBER(tblData[NSW])),(tblData[[#This Row],[Au LogiP(t)]]-tblData[[#This Row],[Au]])^2,"")</f>
        <v/>
      </c>
      <c r="AH104">
        <f>IF(tblData[Date]&gt;StartDt2NSW,tblData[Date]-StartDt2NSW,"")</f>
        <v>234</v>
      </c>
      <c r="AI104" t="str">
        <f t="shared" si="13"/>
        <v/>
      </c>
      <c r="AJ104" s="11">
        <f>IF(tblData[Date]&gt;StartDt2NSW,betaNSW/(deltaNSW+betaPodeltaNSW*EXP(-betaNSW*tblData[[#This Row],[Day '# NSW]])),"")</f>
        <v>3260.987698949667</v>
      </c>
      <c r="AK104" s="12" t="str">
        <f>IF(AND(ISNUMBER(tblData[NSW]),tblData[Date]&gt;StartDt2NSW),(tblData[[#This Row],[NSW LogiP(t)]]-tblData[[#This Row],[NSW]])^2,"")</f>
        <v/>
      </c>
      <c r="AL104" s="44">
        <f>IF(AND(tblData[Date]&gt;StartDt2NSW,ISNUMBER(tblData[Day'# Aust])),tblData[NSW LogiP(t)]/$AG$9,"")</f>
        <v>4035.8758650367163</v>
      </c>
      <c r="AM104" s="11">
        <f>IF(AND(tblData[Date]&gt;StartDt2Italy,ISNUMBER(tblData[Days'# Italy])),betaItaly/(deltaItaly+betaPodeltaItaly*EXP(-betaItaly*tblData[Days'# Italy])),"")</f>
        <v>60634.520713483966</v>
      </c>
      <c r="AN104" s="11" t="str">
        <f>IF(AND(tblData[Date]&gt;StartDt2Italy,ISNUMBER(tblData[Italy])),(tblData[[#This Row],[Italy LogiP(t)]]-tblData[[#This Row],[Italy]])^2,"")</f>
        <v/>
      </c>
      <c r="AO104" s="44">
        <f>IF(AND(tblData[Date]&gt;StartDt2Italy,ISNUMBER(tblData[Days'# Italy])),tblData[[#This Row],[Italy LogiP(t)]]/$AM$9,"")</f>
        <v>10030.524518359631</v>
      </c>
      <c r="AP104" s="21">
        <f>IF(ISNUMBER(tblData[[#This Row],[Days'# US]]),betaUS/(deltaUS+betaPodeltaUS*EXP(-betaUS*tblData[Days'# US])),"")</f>
        <v>3372333806.9692283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102431640.34446928</v>
      </c>
      <c r="AS104" s="21">
        <f>IF(tblData[Date]&gt;=StartDt2Korea,betaSKorea/(deltaSKorea+betaPodeltaSKorea*EXP(-betaSKorea*(tblData[Date]-StartDt2Korea))),"")</f>
        <v>8436.8693780827907</v>
      </c>
      <c r="AT104" s="21" t="str">
        <f>IF(AND(tblData[Date]&gt;=StartDt2Korea,ISNUMBER(tblData[SKorea])),(tblData[[#This Row],[SKorea LogiP(t)]]-tblData[[#This Row],[SKorea]])^2,"")</f>
        <v/>
      </c>
      <c r="AU104" s="21">
        <f>IF(tblData[Date]&gt;=StartDt2Korea,tblData[[#This Row],[SKorea LogiP(t)]]/$AS$9,"")</f>
        <v>1641.4142758915937</v>
      </c>
      <c r="AV104" s="85">
        <f>IF(ISNUMBER(tblData[Days'# UK]),betaUK/(deltaUK+betaPodeltaUK*EXP(-betaUK*tblData[Days'# UK])),"")</f>
        <v>235940063.16215506</v>
      </c>
      <c r="AW104" s="85" t="str">
        <f>IF(ISNUMBER(tblData[UK]),(tblData[[#This Row],[UK LogiP(t)]]-tblData[[#This Row],[UK]])^2,"")</f>
        <v/>
      </c>
      <c r="AX104" s="85">
        <f>IF(ISNUMBER(tblData[Days'# UK]),tblData[[#This Row],[UK LogiP(t)]]/$AV$9,"")</f>
        <v>35511749.42235928</v>
      </c>
      <c r="AY104" s="11">
        <f>IF(ISNUMBER(tblData[Days'# China]),betaChina/(deltaChina+betaPodeltaChina*EXP(-betaChina*tblData[Days'# China])),"")</f>
        <v>80963.634657062925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562.51161835224855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Y104"/>
      <c r="CA104"/>
      <c r="CK104" s="26"/>
      <c r="CL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</row>
    <row r="105" spans="2:175" x14ac:dyDescent="0.25">
      <c r="B105" s="27">
        <f t="shared" si="11"/>
        <v>44096</v>
      </c>
      <c r="D105" s="26"/>
      <c r="L105" s="12" t="str">
        <f>IF(ISNUMBER(tblData[[#This Row],[NSW]]),tblData[[#This Row],[New South Wales]]/$L$9,"")</f>
        <v/>
      </c>
      <c r="M105" s="26"/>
      <c r="N105" s="49" t="str">
        <f>IF(ISNUMBER(tblData[Italy]),tblData[Italy]/$N$9,"")</f>
        <v/>
      </c>
      <c r="O105" s="26"/>
      <c r="P105" s="49" t="str">
        <f>IF(ISNUMBER(tblData[US]),tblData[US]/$P$9,"")</f>
        <v/>
      </c>
      <c r="Q105" s="49"/>
      <c r="R105" s="19" t="str">
        <f>IF(ISNUMBER(tblData[SKorea]),tblData[SKorea]/$R$9,"")</f>
        <v/>
      </c>
      <c r="S105" s="49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2"/>
        <v>226</v>
      </c>
      <c r="Y105" s="26">
        <f t="shared" si="10"/>
        <v>94</v>
      </c>
      <c r="Z105" s="26">
        <f>IF(tblData[[#This Row],[Date]]&lt;StartDt2Korea,"",tblData[[#This Row],[Date]]-StartDt2Korea)</f>
        <v>216</v>
      </c>
      <c r="AA105" s="26">
        <f>IF(tblData[[#This Row],[Date]]&lt;UKStart,"",tblData[[#This Row],[Date]]-UKStart)</f>
        <v>236</v>
      </c>
      <c r="AB105">
        <f>IF(tblData[Date]&gt;=StartDt2Au,tblData[Date]-StartDt2Au,"")</f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IF(ISNUMBER(tblData[Au]),tblData[Au]/$AA$9,"")</f>
        <v/>
      </c>
      <c r="AE105" s="44">
        <f>IF(ISNUMBER(tblData[[#This Row],[Day'# Aust]]),betaAu/(deltaAu+betaPodeltaAu*EXP(-betaAu*tblData[[#This Row],[Day'# Aust]])),"")</f>
        <v>2103340487.6960127</v>
      </c>
      <c r="AF105" s="73">
        <f>IF(ISNUMBER(tblData[Day'# Aust]),tblData[Au LogiP(t)]/$AD$9,"")</f>
        <v>829262138.34411478</v>
      </c>
      <c r="AG105" s="11" t="str">
        <f>IF(AND(tblData[Date]&gt;=StartDt2Au,ISNUMBER(tblData[NSW])),(tblData[[#This Row],[Au LogiP(t)]]-tblData[[#This Row],[Au]])^2,"")</f>
        <v/>
      </c>
      <c r="AH105">
        <f>IF(tblData[Date]&gt;StartDt2NSW,tblData[Date]-StartDt2NSW,"")</f>
        <v>241</v>
      </c>
      <c r="AI105" t="str">
        <f t="shared" si="13"/>
        <v/>
      </c>
      <c r="AJ105" s="11">
        <f>IF(tblData[Date]&gt;StartDt2NSW,betaNSW/(deltaNSW+betaPodeltaNSW*EXP(-betaNSW*tblData[[#This Row],[Day '# NSW]])),"")</f>
        <v>3260.9876989496684</v>
      </c>
      <c r="AK105" s="12" t="str">
        <f>IF(AND(ISNUMBER(tblData[NSW]),tblData[Date]&gt;StartDt2NSW),(tblData[[#This Row],[NSW LogiP(t)]]-tblData[[#This Row],[NSW]])^2,"")</f>
        <v/>
      </c>
      <c r="AL105" s="44">
        <f>IF(AND(tblData[Date]&gt;StartDt2NSW,ISNUMBER(tblData[Day'# Aust])),tblData[NSW LogiP(t)]/$AG$9,"")</f>
        <v>4035.8758650367181</v>
      </c>
      <c r="AM105" s="11">
        <f>IF(AND(tblData[Date]&gt;StartDt2Italy,ISNUMBER(tblData[Days'# Italy])),betaItaly/(deltaItaly+betaPodeltaItaly*EXP(-betaItaly*tblData[Days'# Italy])),"")</f>
        <v>60634.520713483966</v>
      </c>
      <c r="AN105" s="11" t="str">
        <f>IF(AND(tblData[Date]&gt;StartDt2Italy,ISNUMBER(tblData[Italy])),(tblData[[#This Row],[Italy LogiP(t)]]-tblData[[#This Row],[Italy]])^2,"")</f>
        <v/>
      </c>
      <c r="AO105" s="44">
        <f>IF(AND(tblData[Date]&gt;StartDt2Italy,ISNUMBER(tblData[Days'# Italy])),tblData[[#This Row],[Italy LogiP(t)]]/$AM$9,"")</f>
        <v>10030.524518359631</v>
      </c>
      <c r="AP105" s="21">
        <f>IF(ISNUMBER(tblData[[#This Row],[Days'# US]]),betaUS/(deltaUS+betaPodeltaUS*EXP(-betaUS*tblData[Days'# US])),"")</f>
        <v>3372333806.9692283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102431640.34446928</v>
      </c>
      <c r="AS105" s="21">
        <f>IF(tblData[Date]&gt;=StartDt2Korea,betaSKorea/(deltaSKorea+betaPodeltaSKorea*EXP(-betaSKorea*(tblData[Date]-StartDt2Korea))),"")</f>
        <v>8436.8693780827907</v>
      </c>
      <c r="AT105" s="21" t="str">
        <f>IF(AND(tblData[Date]&gt;=StartDt2Korea,ISNUMBER(tblData[SKorea])),(tblData[[#This Row],[SKorea LogiP(t)]]-tblData[[#This Row],[SKorea]])^2,"")</f>
        <v/>
      </c>
      <c r="AU105" s="21">
        <f>IF(tblData[Date]&gt;=StartDt2Korea,tblData[[#This Row],[SKorea LogiP(t)]]/$AS$9,"")</f>
        <v>1641.4142758915937</v>
      </c>
      <c r="AV105" s="85">
        <f>IF(ISNUMBER(tblData[Days'# UK]),betaUK/(deltaUK+betaPodeltaUK*EXP(-betaUK*tblData[Days'# UK])),"")</f>
        <v>235940063.16216028</v>
      </c>
      <c r="AW105" s="85" t="str">
        <f>IF(ISNUMBER(tblData[UK]),(tblData[[#This Row],[UK LogiP(t)]]-tblData[[#This Row],[UK]])^2,"")</f>
        <v/>
      </c>
      <c r="AX105" s="85">
        <f>IF(ISNUMBER(tblData[Days'# UK]),tblData[[#This Row],[UK LogiP(t)]]/$AV$9,"")</f>
        <v>35511749.422360063</v>
      </c>
      <c r="AY105" s="11">
        <f>IF(ISNUMBER(tblData[Days'# China]),betaChina/(deltaChina+betaPodeltaChina*EXP(-betaChina*tblData[Days'# China])),"")</f>
        <v>80963.635545165933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562.51162452252811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Y105"/>
      <c r="CA105"/>
      <c r="CK105" s="26"/>
      <c r="CL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</row>
    <row r="106" spans="2:175" x14ac:dyDescent="0.25">
      <c r="B106" s="27">
        <f t="shared" si="11"/>
        <v>44103</v>
      </c>
      <c r="D106" s="26"/>
      <c r="L106" s="12" t="str">
        <f>IF(ISNUMBER(tblData[[#This Row],[NSW]]),tblData[[#This Row],[New South Wales]]/$L$9,"")</f>
        <v/>
      </c>
      <c r="M106" s="26"/>
      <c r="N106" s="49" t="str">
        <f>IF(ISNUMBER(tblData[Italy]),tblData[Italy]/$N$9,"")</f>
        <v/>
      </c>
      <c r="O106" s="26"/>
      <c r="P106" s="49" t="str">
        <f>IF(ISNUMBER(tblData[US]),tblData[US]/$P$9,"")</f>
        <v/>
      </c>
      <c r="Q106" s="49"/>
      <c r="R106" s="19" t="str">
        <f>IF(ISNUMBER(tblData[SKorea]),tblData[SKorea]/$R$9,"")</f>
        <v/>
      </c>
      <c r="S106" s="49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2"/>
        <v>233</v>
      </c>
      <c r="Y106" s="26">
        <f t="shared" si="10"/>
        <v>95</v>
      </c>
      <c r="Z106" s="26">
        <f>IF(tblData[[#This Row],[Date]]&lt;StartDt2Korea,"",tblData[[#This Row],[Date]]-StartDt2Korea)</f>
        <v>223</v>
      </c>
      <c r="AA106" s="26">
        <f>IF(tblData[[#This Row],[Date]]&lt;UKStart,"",tblData[[#This Row],[Date]]-UKStart)</f>
        <v>243</v>
      </c>
      <c r="AB106">
        <f>IF(tblData[Date]&gt;=StartDt2Au,tblData[Date]-StartDt2Au,"")</f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IF(ISNUMBER(tblData[Au]),tblData[Au]/$AA$9,"")</f>
        <v/>
      </c>
      <c r="AE106" s="44">
        <f>IF(ISNUMBER(tblData[[#This Row],[Day'# Aust]]),betaAu/(deltaAu+betaPodeltaAu*EXP(-betaAu*tblData[[#This Row],[Day'# Aust]])),"")</f>
        <v>2103340487.7356784</v>
      </c>
      <c r="AF106" s="73">
        <f>IF(ISNUMBER(tblData[Day'# Aust]),tblData[Au LogiP(t)]/$AD$9,"")</f>
        <v>829262138.35975337</v>
      </c>
      <c r="AG106" s="11" t="str">
        <f>IF(AND(tblData[Date]&gt;=StartDt2Au,ISNUMBER(tblData[NSW])),(tblData[[#This Row],[Au LogiP(t)]]-tblData[[#This Row],[Au]])^2,"")</f>
        <v/>
      </c>
      <c r="AH106">
        <f>IF(tblData[Date]&gt;StartDt2NSW,tblData[Date]-StartDt2NSW,"")</f>
        <v>248</v>
      </c>
      <c r="AI106" t="str">
        <f t="shared" si="13"/>
        <v/>
      </c>
      <c r="AJ106" s="11">
        <f>IF(tblData[Date]&gt;StartDt2NSW,betaNSW/(deltaNSW+betaPodeltaNSW*EXP(-betaNSW*tblData[[#This Row],[Day '# NSW]])),"")</f>
        <v>3260.9876989496688</v>
      </c>
      <c r="AK106" s="12" t="str">
        <f>IF(AND(ISNUMBER(tblData[NSW]),tblData[Date]&gt;StartDt2NSW),(tblData[[#This Row],[NSW LogiP(t)]]-tblData[[#This Row],[NSW]])^2,"")</f>
        <v/>
      </c>
      <c r="AL106" s="44">
        <f>IF(AND(tblData[Date]&gt;StartDt2NSW,ISNUMBER(tblData[Day'# Aust])),tblData[NSW LogiP(t)]/$AG$9,"")</f>
        <v>4035.8758650367186</v>
      </c>
      <c r="AM106" s="11">
        <f>IF(AND(tblData[Date]&gt;StartDt2Italy,ISNUMBER(tblData[Days'# Italy])),betaItaly/(deltaItaly+betaPodeltaItaly*EXP(-betaItaly*tblData[Days'# Italy])),"")</f>
        <v>60634.520713483966</v>
      </c>
      <c r="AN106" s="11" t="str">
        <f>IF(AND(tblData[Date]&gt;StartDt2Italy,ISNUMBER(tblData[Italy])),(tblData[[#This Row],[Italy LogiP(t)]]-tblData[[#This Row],[Italy]])^2,"")</f>
        <v/>
      </c>
      <c r="AO106" s="44">
        <f>IF(AND(tblData[Date]&gt;StartDt2Italy,ISNUMBER(tblData[Days'# Italy])),tblData[[#This Row],[Italy LogiP(t)]]/$AM$9,"")</f>
        <v>10030.524518359631</v>
      </c>
      <c r="AP106" s="21">
        <f>IF(ISNUMBER(tblData[[#This Row],[Days'# US]]),betaUS/(deltaUS+betaPodeltaUS*EXP(-betaUS*tblData[Days'# US])),"")</f>
        <v>3372333806.9692283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102431640.34446928</v>
      </c>
      <c r="AS106" s="21">
        <f>IF(tblData[Date]&gt;=StartDt2Korea,betaSKorea/(deltaSKorea+betaPodeltaSKorea*EXP(-betaSKorea*(tblData[Date]-StartDt2Korea))),"")</f>
        <v>8436.8693780827907</v>
      </c>
      <c r="AT106" s="21" t="str">
        <f>IF(AND(tblData[Date]&gt;=StartDt2Korea,ISNUMBER(tblData[SKorea])),(tblData[[#This Row],[SKorea LogiP(t)]]-tblData[[#This Row],[SKorea]])^2,"")</f>
        <v/>
      </c>
      <c r="AU106" s="21">
        <f>IF(tblData[Date]&gt;=StartDt2Korea,tblData[[#This Row],[SKorea LogiP(t)]]/$AS$9,"")</f>
        <v>1641.4142758915937</v>
      </c>
      <c r="AV106" s="85">
        <f>IF(ISNUMBER(tblData[Days'# UK]),betaUK/(deltaUK+betaPodeltaUK*EXP(-betaUK*tblData[Days'# UK])),"")</f>
        <v>235940063.16216126</v>
      </c>
      <c r="AW106" s="85" t="str">
        <f>IF(ISNUMBER(tblData[UK]),(tblData[[#This Row],[UK LogiP(t)]]-tblData[[#This Row],[UK]])^2,"")</f>
        <v/>
      </c>
      <c r="AX106" s="85">
        <f>IF(ISNUMBER(tblData[Days'# UK]),tblData[[#This Row],[UK LogiP(t)]]/$AV$9,"")</f>
        <v>35511749.422360212</v>
      </c>
      <c r="AY106" s="11">
        <f>IF(ISNUMBER(tblData[Days'# China]),betaChina/(deltaChina+betaPodeltaChina*EXP(-betaChina*tblData[Days'# China])),"")</f>
        <v>80963.63625635959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562.51162946369334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Y106"/>
      <c r="CA106"/>
      <c r="CK106" s="26"/>
      <c r="CL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</row>
    <row r="107" spans="2:175" x14ac:dyDescent="0.25">
      <c r="B107" s="27">
        <f t="shared" si="11"/>
        <v>44110</v>
      </c>
      <c r="D107" s="26"/>
      <c r="L107" s="12" t="str">
        <f>IF(ISNUMBER(tblData[[#This Row],[NSW]]),tblData[[#This Row],[New South Wales]]/$L$9,"")</f>
        <v/>
      </c>
      <c r="M107" s="26"/>
      <c r="N107" s="49" t="str">
        <f>IF(ISNUMBER(tblData[Italy]),tblData[Italy]/$N$9,"")</f>
        <v/>
      </c>
      <c r="O107" s="26"/>
      <c r="P107" s="49" t="str">
        <f>IF(ISNUMBER(tblData[US]),tblData[US]/$P$9,"")</f>
        <v/>
      </c>
      <c r="Q107" s="49"/>
      <c r="R107" s="19" t="str">
        <f>IF(ISNUMBER(tblData[SKorea]),tblData[SKorea]/$R$9,"")</f>
        <v/>
      </c>
      <c r="S107" s="49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2"/>
        <v>240</v>
      </c>
      <c r="Y107" s="26">
        <f t="shared" si="10"/>
        <v>96</v>
      </c>
      <c r="Z107" s="26">
        <f>IF(tblData[[#This Row],[Date]]&lt;StartDt2Korea,"",tblData[[#This Row],[Date]]-StartDt2Korea)</f>
        <v>230</v>
      </c>
      <c r="AA107" s="26">
        <f>IF(tblData[[#This Row],[Date]]&lt;UKStart,"",tblData[[#This Row],[Date]]-UKStart)</f>
        <v>250</v>
      </c>
      <c r="AB107">
        <f>IF(tblData[Date]&gt;=StartDt2Au,tblData[Date]-StartDt2Au,"")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IF(ISNUMBER(tblData[Au]),tblData[Au]/$AA$9,"")</f>
        <v/>
      </c>
      <c r="AE107" s="44">
        <f>IF(ISNUMBER(tblData[[#This Row],[Day'# Aust]]),betaAu/(deltaAu+betaPodeltaAu*EXP(-betaAu*tblData[[#This Row],[Day'# Aust]])),"")</f>
        <v>2103340487.7447772</v>
      </c>
      <c r="AF107" s="73">
        <f>IF(ISNUMBER(tblData[Day'# Aust]),tblData[Au LogiP(t)]/$AD$9,"")</f>
        <v>829262138.36334062</v>
      </c>
      <c r="AG107" s="11" t="str">
        <f>IF(AND(tblData[Date]&gt;=StartDt2Au,ISNUMBER(tblData[NSW])),(tblData[[#This Row],[Au LogiP(t)]]-tblData[[#This Row],[Au]])^2,"")</f>
        <v/>
      </c>
      <c r="AH107">
        <f>IF(tblData[Date]&gt;StartDt2NSW,tblData[Date]-StartDt2NSW,"")</f>
        <v>255</v>
      </c>
      <c r="AI107" s="26" t="str">
        <f t="shared" si="13"/>
        <v/>
      </c>
      <c r="AJ107" s="11">
        <f>IF(tblData[Date]&gt;StartDt2NSW,betaNSW/(deltaNSW+betaPodeltaNSW*EXP(-betaNSW*tblData[[#This Row],[Day '# NSW]])),"")</f>
        <v>3260.9876989496688</v>
      </c>
      <c r="AK107" s="12" t="str">
        <f>IF(AND(ISNUMBER(tblData[NSW]),tblData[Date]&gt;StartDt2NSW),(tblData[[#This Row],[NSW LogiP(t)]]-tblData[[#This Row],[NSW]])^2,"")</f>
        <v/>
      </c>
      <c r="AL107" s="44">
        <f>IF(AND(tblData[Date]&gt;StartDt2NSW,ISNUMBER(tblData[Day'# Aust])),tblData[NSW LogiP(t)]/$AG$9,"")</f>
        <v>4035.8758650367186</v>
      </c>
      <c r="AM107" s="11">
        <f>IF(AND(tblData[Date]&gt;StartDt2Italy,ISNUMBER(tblData[Days'# Italy])),betaItaly/(deltaItaly+betaPodeltaItaly*EXP(-betaItaly*tblData[Days'# Italy])),"")</f>
        <v>60634.520713483966</v>
      </c>
      <c r="AN107" s="11" t="str">
        <f>IF(AND(tblData[Date]&gt;StartDt2Italy,ISNUMBER(tblData[Italy])),(tblData[[#This Row],[Italy LogiP(t)]]-tblData[[#This Row],[Italy]])^2,"")</f>
        <v/>
      </c>
      <c r="AO107" s="44">
        <f>IF(AND(tblData[Date]&gt;StartDt2Italy,ISNUMBER(tblData[Days'# Italy])),tblData[[#This Row],[Italy LogiP(t)]]/$AM$9,"")</f>
        <v>10030.524518359631</v>
      </c>
      <c r="AP107" s="21">
        <f>IF(ISNUMBER(tblData[[#This Row],[Days'# US]]),betaUS/(deltaUS+betaPodeltaUS*EXP(-betaUS*tblData[Days'# US])),"")</f>
        <v>3372333806.9692283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102431640.34446928</v>
      </c>
      <c r="AS107" s="21">
        <f>IF(tblData[Date]&gt;=StartDt2Korea,betaSKorea/(deltaSKorea+betaPodeltaSKorea*EXP(-betaSKorea*(tblData[Date]-StartDt2Korea))),"")</f>
        <v>8436.8693780827907</v>
      </c>
      <c r="AT107" s="21" t="str">
        <f>IF(AND(tblData[Date]&gt;=StartDt2Korea,ISNUMBER(tblData[SKorea])),(tblData[[#This Row],[SKorea LogiP(t)]]-tblData[[#This Row],[SKorea]])^2,"")</f>
        <v/>
      </c>
      <c r="AU107" s="21">
        <f>IF(tblData[Date]&gt;=StartDt2Korea,tblData[[#This Row],[SKorea LogiP(t)]]/$AS$9,"")</f>
        <v>1641.4142758915937</v>
      </c>
      <c r="AV107" s="85">
        <f>IF(ISNUMBER(tblData[Days'# UK]),betaUK/(deltaUK+betaPodeltaUK*EXP(-betaUK*tblData[Days'# UK])),"")</f>
        <v>235940063.16216144</v>
      </c>
      <c r="AW107" s="85" t="str">
        <f>IF(ISNUMBER(tblData[UK]),(tblData[[#This Row],[UK LogiP(t)]]-tblData[[#This Row],[UK]])^2,"")</f>
        <v/>
      </c>
      <c r="AX107" s="85">
        <f>IF(ISNUMBER(tblData[Days'# UK]),tblData[[#This Row],[UK LogiP(t)]]/$AV$9,"")</f>
        <v>35511749.422360241</v>
      </c>
      <c r="AY107" s="11">
        <f>IF(ISNUMBER(tblData[Days'# China]),betaChina/(deltaChina+betaPodeltaChina*EXP(-betaChina*tblData[Days'# China])),"")</f>
        <v>80963.636825884067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562.5116334205826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Y107"/>
      <c r="CA107"/>
      <c r="CK107" s="26"/>
      <c r="CL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</row>
    <row r="108" spans="2:175" s="26" customFormat="1" x14ac:dyDescent="0.25">
      <c r="B108" s="27">
        <f t="shared" si="11"/>
        <v>44117</v>
      </c>
      <c r="L108" s="12" t="str">
        <f>IF(ISNUMBER(tblData[[#This Row],[NSW]]),tblData[[#This Row],[New South Wales]]/$L$9,"")</f>
        <v/>
      </c>
      <c r="N108" s="49" t="str">
        <f>IF(ISNUMBER(tblData[Italy]),tblData[Italy]/$N$9,"")</f>
        <v/>
      </c>
      <c r="P108" s="49" t="str">
        <f>IF(ISNUMBER(tblData[US]),tblData[US]/$P$9,"")</f>
        <v/>
      </c>
      <c r="Q108" s="49"/>
      <c r="R108" s="19" t="str">
        <f>IF(ISNUMBER(tblData[SKorea]),tblData[SKorea]/$R$9,"")</f>
        <v/>
      </c>
      <c r="S108" s="49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2"/>
        <v>247</v>
      </c>
      <c r="Y108" s="26">
        <f t="shared" ref="Y108" si="14">Y107+1</f>
        <v>97</v>
      </c>
      <c r="Z108" s="26">
        <f>IF(tblData[[#This Row],[Date]]&lt;StartDt2Korea,"",tblData[[#This Row],[Date]]-StartDt2Korea)</f>
        <v>237</v>
      </c>
      <c r="AA108" s="26">
        <f>IF(tblData[[#This Row],[Date]]&lt;UKStart,"",tblData[[#This Row],[Date]]-UKStart)</f>
        <v>257</v>
      </c>
      <c r="AB108" s="26">
        <f>IF(tblData[Date]&gt;=StartDt2Au,tblData[Date]-StartDt2Au,"")</f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IF(ISNUMBER(tblData[Au]),tblData[Au]/$AA$9,"")</f>
        <v/>
      </c>
      <c r="AE108" s="44">
        <f>IF(ISNUMBER(tblData[[#This Row],[Day'# Aust]]),betaAu/(deltaAu+betaPodeltaAu*EXP(-betaAu*tblData[[#This Row],[Day'# Aust]])),"")</f>
        <v>2103340487.7468646</v>
      </c>
      <c r="AF108" s="73">
        <f>IF(ISNUMBER(tblData[Day'# Aust]),tblData[Au LogiP(t)]/$AD$9,"")</f>
        <v>829262138.36416364</v>
      </c>
      <c r="AG108" s="11" t="str">
        <f>IF(AND(tblData[Date]&gt;=StartDt2Au,ISNUMBER(tblData[NSW])),(tblData[[#This Row],[Au LogiP(t)]]-tblData[[#This Row],[Au]])^2,"")</f>
        <v/>
      </c>
      <c r="AH108" s="26">
        <f>IF(tblData[Date]&gt;StartDt2NSW,tblData[Date]-StartDt2NSW,"")</f>
        <v>262</v>
      </c>
      <c r="AI108" s="26" t="str">
        <f t="shared" si="13"/>
        <v/>
      </c>
      <c r="AJ108" s="11">
        <f>IF(tblData[Date]&gt;StartDt2NSW,betaNSW/(deltaNSW+betaPodeltaNSW*EXP(-betaNSW*tblData[[#This Row],[Day '# NSW]])),"")</f>
        <v>3260.9876989496688</v>
      </c>
      <c r="AK108" s="12" t="str">
        <f>IF(AND(ISNUMBER(tblData[NSW]),tblData[Date]&gt;StartDt2NSW),(tblData[[#This Row],[NSW LogiP(t)]]-tblData[[#This Row],[NSW]])^2,"")</f>
        <v/>
      </c>
      <c r="AL108" s="44">
        <f>IF(AND(tblData[Date]&gt;StartDt2NSW,ISNUMBER(tblData[Day'# Aust])),tblData[NSW LogiP(t)]/$AG$9,"")</f>
        <v>4035.8758650367186</v>
      </c>
      <c r="AM108" s="11">
        <f>IF(AND(tblData[Date]&gt;StartDt2Italy,ISNUMBER(tblData[Days'# Italy])),betaItaly/(deltaItaly+betaPodeltaItaly*EXP(-betaItaly*tblData[Days'# Italy])),"")</f>
        <v>60634.520713483966</v>
      </c>
      <c r="AN108" s="11" t="str">
        <f>IF(AND(tblData[Date]&gt;StartDt2Italy,ISNUMBER(tblData[Italy])),(tblData[[#This Row],[Italy LogiP(t)]]-tblData[[#This Row],[Italy]])^2,"")</f>
        <v/>
      </c>
      <c r="AO108" s="44">
        <f>IF(AND(tblData[Date]&gt;StartDt2Italy,ISNUMBER(tblData[Days'# Italy])),tblData[[#This Row],[Italy LogiP(t)]]/$AM$9,"")</f>
        <v>10030.524518359631</v>
      </c>
      <c r="AP108" s="21">
        <f>IF(ISNUMBER(tblData[[#This Row],[Days'# US]]),betaUS/(deltaUS+betaPodeltaUS*EXP(-betaUS*tblData[Days'# US])),"")</f>
        <v>3372333806.9692283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102431640.34446928</v>
      </c>
      <c r="AS108" s="21">
        <f>IF(tblData[Date]&gt;=StartDt2Korea,betaSKorea/(deltaSKorea+betaPodeltaSKorea*EXP(-betaSKorea*(tblData[Date]-StartDt2Korea))),"")</f>
        <v>8436.8693780827907</v>
      </c>
      <c r="AT108" s="21" t="str">
        <f>IF(AND(tblData[Date]&gt;=StartDt2Korea,ISNUMBER(tblData[SKorea])),(tblData[[#This Row],[SKorea LogiP(t)]]-tblData[[#This Row],[SKorea]])^2,"")</f>
        <v/>
      </c>
      <c r="AU108" s="21">
        <f>IF(tblData[Date]&gt;=StartDt2Korea,tblData[[#This Row],[SKorea LogiP(t)]]/$AS$9,"")</f>
        <v>1641.4142758915937</v>
      </c>
      <c r="AV108" s="85">
        <f>IF(ISNUMBER(tblData[Days'# UK]),betaUK/(deltaUK+betaPodeltaUK*EXP(-betaUK*tblData[Days'# UK])),"")</f>
        <v>235940063.1621615</v>
      </c>
      <c r="AW108" s="85" t="str">
        <f>IF(ISNUMBER(tblData[UK]),(tblData[[#This Row],[UK LogiP(t)]]-tblData[[#This Row],[UK]])^2,"")</f>
        <v/>
      </c>
      <c r="AX108" s="85">
        <f>IF(ISNUMBER(tblData[Days'# UK]),tblData[[#This Row],[UK LogiP(t)]]/$AV$9,"")</f>
        <v>35511749.422360249</v>
      </c>
      <c r="AY108" s="11">
        <f>IF(ISNUMBER(tblData[Days'# China]),betaChina/(deltaChina+betaPodeltaChina*EXP(-betaChina*tblData[Days'# China])),"")</f>
        <v>80963.63728195976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562.51163658926293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M108"/>
      <c r="BO108"/>
      <c r="BP108"/>
      <c r="BQ108"/>
      <c r="BR108"/>
      <c r="BS108"/>
      <c r="BT108"/>
      <c r="BU108"/>
      <c r="BV108"/>
      <c r="BW108"/>
      <c r="BX108"/>
      <c r="BY108"/>
      <c r="CA108"/>
      <c r="CB108"/>
      <c r="CC108"/>
      <c r="CD108"/>
      <c r="CE108"/>
      <c r="CF108"/>
      <c r="CG108"/>
      <c r="CH108"/>
      <c r="CI108"/>
      <c r="CJ108"/>
      <c r="CM108"/>
      <c r="CN108"/>
      <c r="CO108"/>
      <c r="CP108"/>
      <c r="CQ108"/>
      <c r="CR108"/>
      <c r="CS108"/>
      <c r="CT108"/>
      <c r="CU108"/>
      <c r="CV108"/>
      <c r="CW108"/>
      <c r="DF108"/>
      <c r="DG108" s="82"/>
      <c r="DH108" s="27"/>
      <c r="DI108" s="27"/>
      <c r="DJ108"/>
      <c r="DK108"/>
      <c r="DL108"/>
      <c r="DM108"/>
      <c r="DN108"/>
      <c r="DO108"/>
      <c r="DP108"/>
      <c r="DQ108"/>
      <c r="DR108"/>
      <c r="DS108" s="27"/>
      <c r="DT108"/>
      <c r="DV108"/>
      <c r="DW108"/>
      <c r="DX108" s="27"/>
      <c r="DY108"/>
      <c r="DZ108"/>
      <c r="EA108"/>
      <c r="EB108"/>
      <c r="EC108"/>
      <c r="ED108"/>
      <c r="EE108"/>
      <c r="EF108" s="98"/>
      <c r="EG108"/>
      <c r="EH108" s="98"/>
      <c r="EI108"/>
      <c r="EJ108"/>
    </row>
    <row r="109" spans="2:175" s="26" customFormat="1" x14ac:dyDescent="0.25">
      <c r="B109" s="27">
        <f t="shared" si="11"/>
        <v>44124</v>
      </c>
      <c r="L109" s="12" t="str">
        <f>IF(ISNUMBER(tblData[[#This Row],[NSW]]),tblData[[#This Row],[New South Wales]]/$L$9,"")</f>
        <v/>
      </c>
      <c r="N109" s="49" t="str">
        <f>IF(ISNUMBER(tblData[Italy]),tblData[Italy]/$N$9,"")</f>
        <v/>
      </c>
      <c r="P109" s="49" t="str">
        <f>IF(ISNUMBER(tblData[US]),tblData[US]/$P$9,"")</f>
        <v/>
      </c>
      <c r="Q109" s="49"/>
      <c r="R109" s="19" t="str">
        <f>IF(ISNUMBER(tblData[SKorea]),tblData[SKorea]/$R$9,"")</f>
        <v/>
      </c>
      <c r="S109" s="49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2"/>
        <v>254</v>
      </c>
      <c r="Y109" s="26">
        <f t="shared" ref="Y109" si="15">Y108+1</f>
        <v>98</v>
      </c>
      <c r="Z109" s="26">
        <f>IF(tblData[[#This Row],[Date]]&lt;StartDt2Korea,"",tblData[[#This Row],[Date]]-StartDt2Korea)</f>
        <v>244</v>
      </c>
      <c r="AA109" s="26">
        <f>IF(tblData[[#This Row],[Date]]&lt;UKStart,"",tblData[[#This Row],[Date]]-UKStart)</f>
        <v>264</v>
      </c>
      <c r="AB109" s="26">
        <f>IF(tblData[Date]&gt;=StartDt2Au,tblData[Date]-StartDt2Au,"")</f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IF(ISNUMBER(tblData[Au]),tblData[Au]/$AA$9,"")</f>
        <v/>
      </c>
      <c r="AE109" s="44">
        <f>IF(ISNUMBER(tblData[[#This Row],[Day'# Aust]]),betaAu/(deltaAu+betaPodeltaAu*EXP(-betaAu*tblData[[#This Row],[Day'# Aust]])),"")</f>
        <v>2103340487.7473433</v>
      </c>
      <c r="AF109" s="73">
        <f>IF(ISNUMBER(tblData[Day'# Aust]),tblData[Au LogiP(t)]/$AD$9,"")</f>
        <v>829262138.36435235</v>
      </c>
      <c r="AG109" s="11" t="str">
        <f>IF(AND(tblData[Date]&gt;=StartDt2Au,ISNUMBER(tblData[NSW])),(tblData[[#This Row],[Au LogiP(t)]]-tblData[[#This Row],[Au]])^2,"")</f>
        <v/>
      </c>
      <c r="AH109" s="26">
        <f>IF(tblData[Date]&gt;StartDt2NSW,tblData[Date]-StartDt2NSW,"")</f>
        <v>269</v>
      </c>
      <c r="AI109" s="26" t="str">
        <f t="shared" si="13"/>
        <v/>
      </c>
      <c r="AJ109" s="11">
        <f>IF(tblData[Date]&gt;StartDt2NSW,betaNSW/(deltaNSW+betaPodeltaNSW*EXP(-betaNSW*tblData[[#This Row],[Day '# NSW]])),"")</f>
        <v>3260.9876989496688</v>
      </c>
      <c r="AK109" s="12" t="str">
        <f>IF(AND(ISNUMBER(tblData[NSW]),tblData[Date]&gt;StartDt2NSW),(tblData[[#This Row],[NSW LogiP(t)]]-tblData[[#This Row],[NSW]])^2,"")</f>
        <v/>
      </c>
      <c r="AL109" s="44">
        <f>IF(AND(tblData[Date]&gt;StartDt2NSW,ISNUMBER(tblData[Day'# Aust])),tblData[NSW LogiP(t)]/$AG$9,"")</f>
        <v>4035.8758650367186</v>
      </c>
      <c r="AM109" s="11">
        <f>IF(AND(tblData[Date]&gt;StartDt2Italy,ISNUMBER(tblData[Days'# Italy])),betaItaly/(deltaItaly+betaPodeltaItaly*EXP(-betaItaly*tblData[Days'# Italy])),"")</f>
        <v>60634.520713483966</v>
      </c>
      <c r="AN109" s="11" t="str">
        <f>IF(AND(tblData[Date]&gt;StartDt2Italy,ISNUMBER(tblData[Italy])),(tblData[[#This Row],[Italy LogiP(t)]]-tblData[[#This Row],[Italy]])^2,"")</f>
        <v/>
      </c>
      <c r="AO109" s="44">
        <f>IF(AND(tblData[Date]&gt;StartDt2Italy,ISNUMBER(tblData[Days'# Italy])),tblData[[#This Row],[Italy LogiP(t)]]/$AM$9,"")</f>
        <v>10030.524518359631</v>
      </c>
      <c r="AP109" s="21">
        <f>IF(ISNUMBER(tblData[[#This Row],[Days'# US]]),betaUS/(deltaUS+betaPodeltaUS*EXP(-betaUS*tblData[Days'# US])),"")</f>
        <v>3372333806.9692283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102431640.34446928</v>
      </c>
      <c r="AS109" s="21">
        <f>IF(tblData[Date]&gt;=StartDt2Korea,betaSKorea/(deltaSKorea+betaPodeltaSKorea*EXP(-betaSKorea*(tblData[Date]-StartDt2Korea))),"")</f>
        <v>8436.8693780827907</v>
      </c>
      <c r="AT109" s="21" t="str">
        <f>IF(AND(tblData[Date]&gt;=StartDt2Korea,ISNUMBER(tblData[SKorea])),(tblData[[#This Row],[SKorea LogiP(t)]]-tblData[[#This Row],[SKorea]])^2,"")</f>
        <v/>
      </c>
      <c r="AU109" s="21">
        <f>IF(tblData[Date]&gt;=StartDt2Korea,tblData[[#This Row],[SKorea LogiP(t)]]/$AS$9,"")</f>
        <v>1641.4142758915937</v>
      </c>
      <c r="AV109" s="85">
        <f>IF(ISNUMBER(tblData[Days'# UK]),betaUK/(deltaUK+betaPodeltaUK*EXP(-betaUK*tblData[Days'# UK])),"")</f>
        <v>235940063.1621615</v>
      </c>
      <c r="AW109" s="85" t="str">
        <f>IF(ISNUMBER(tblData[UK]),(tblData[[#This Row],[UK LogiP(t)]]-tblData[[#This Row],[UK]])^2,"")</f>
        <v/>
      </c>
      <c r="AX109" s="85">
        <f>IF(ISNUMBER(tblData[Days'# UK]),tblData[[#This Row],[UK LogiP(t)]]/$AV$9,"")</f>
        <v>35511749.422360249</v>
      </c>
      <c r="AY109" s="11">
        <f>IF(ISNUMBER(tblData[Days'# China]),betaChina/(deltaChina+betaPodeltaChina*EXP(-betaChina*tblData[Days'# China])),"")</f>
        <v>80963.637647185576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562.51163912674485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M109"/>
      <c r="BO109"/>
      <c r="BP109"/>
      <c r="BQ109"/>
      <c r="BR109"/>
      <c r="BS109"/>
      <c r="BT109"/>
      <c r="BU109"/>
      <c r="BV109"/>
      <c r="BW109"/>
      <c r="BX109"/>
      <c r="BY109"/>
      <c r="CA109"/>
      <c r="CB109"/>
      <c r="CC109"/>
      <c r="CD109"/>
      <c r="CE109"/>
      <c r="CF109"/>
      <c r="CG109"/>
      <c r="CH109"/>
      <c r="CI109"/>
      <c r="CJ109"/>
      <c r="CM109"/>
      <c r="CN109"/>
      <c r="CO109"/>
      <c r="CP109"/>
      <c r="CQ109"/>
      <c r="CR109"/>
      <c r="CS109"/>
      <c r="CT109"/>
      <c r="CU109"/>
      <c r="CV109"/>
      <c r="CW109"/>
      <c r="DF109"/>
      <c r="DG109" s="82"/>
      <c r="DH109" s="27"/>
      <c r="DI109" s="27"/>
      <c r="DJ109"/>
      <c r="DK109"/>
      <c r="DL109"/>
      <c r="DM109"/>
      <c r="DN109"/>
      <c r="DO109"/>
      <c r="DP109"/>
      <c r="DQ109"/>
      <c r="DR109"/>
      <c r="DS109" s="27"/>
      <c r="DT109"/>
      <c r="DV109"/>
      <c r="DW109"/>
      <c r="DX109" s="27"/>
      <c r="DY109"/>
      <c r="DZ109"/>
      <c r="EA109"/>
      <c r="EB109"/>
      <c r="EC109"/>
      <c r="ED109"/>
      <c r="EE109"/>
      <c r="EF109" s="98"/>
      <c r="EG109"/>
      <c r="EH109" s="98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</row>
    <row r="110" spans="2:175" s="26" customFormat="1" x14ac:dyDescent="0.25">
      <c r="B110" s="27">
        <f t="shared" si="11"/>
        <v>44131</v>
      </c>
      <c r="L110" s="12" t="str">
        <f>IF(ISNUMBER(tblData[[#This Row],[NSW]]),tblData[[#This Row],[New South Wales]]/$L$9,"")</f>
        <v/>
      </c>
      <c r="N110" s="49" t="str">
        <f>IF(ISNUMBER(tblData[Italy]),tblData[Italy]/$N$9,"")</f>
        <v/>
      </c>
      <c r="P110" s="49" t="str">
        <f>IF(ISNUMBER(tblData[US]),tblData[US]/$P$9,"")</f>
        <v/>
      </c>
      <c r="Q110" s="49"/>
      <c r="R110" s="19" t="str">
        <f>IF(ISNUMBER(tblData[SKorea]),tblData[SKorea]/$R$9,"")</f>
        <v/>
      </c>
      <c r="S110" s="49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2"/>
        <v>261</v>
      </c>
      <c r="Y110" s="26">
        <f t="shared" ref="Y110" si="16">Y109+1</f>
        <v>99</v>
      </c>
      <c r="Z110" s="26">
        <f>IF(tblData[[#This Row],[Date]]&lt;StartDt2Korea,"",tblData[[#This Row],[Date]]-StartDt2Korea)</f>
        <v>251</v>
      </c>
      <c r="AA110" s="26">
        <f>IF(tblData[[#This Row],[Date]]&lt;UKStart,"",tblData[[#This Row],[Date]]-UKStart)</f>
        <v>271</v>
      </c>
      <c r="AB110" s="26">
        <f>IF(tblData[Date]&gt;=StartDt2Au,tblData[Date]-StartDt2Au,"")</f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IF(ISNUMBER(tblData[Au]),tblData[Au]/$AA$9,"")</f>
        <v/>
      </c>
      <c r="AE110" s="44">
        <f>IF(ISNUMBER(tblData[[#This Row],[Day'# Aust]]),betaAu/(deltaAu+betaPodeltaAu*EXP(-betaAu*tblData[[#This Row],[Day'# Aust]])),"")</f>
        <v>2103340487.747453</v>
      </c>
      <c r="AF110" s="73">
        <f>IF(ISNUMBER(tblData[Day'# Aust]),tblData[Au LogiP(t)]/$AD$9,"")</f>
        <v>829262138.36439562</v>
      </c>
      <c r="AG110" s="11" t="str">
        <f>IF(AND(tblData[Date]&gt;=StartDt2Au,ISNUMBER(tblData[NSW])),(tblData[[#This Row],[Au LogiP(t)]]-tblData[[#This Row],[Au]])^2,"")</f>
        <v/>
      </c>
      <c r="AH110" s="26">
        <f>IF(tblData[Date]&gt;StartDt2NSW,tblData[Date]-StartDt2NSW,"")</f>
        <v>276</v>
      </c>
      <c r="AI110" s="26" t="str">
        <f t="shared" si="13"/>
        <v/>
      </c>
      <c r="AJ110" s="11">
        <f>IF(tblData[Date]&gt;StartDt2NSW,betaNSW/(deltaNSW+betaPodeltaNSW*EXP(-betaNSW*tblData[[#This Row],[Day '# NSW]])),"")</f>
        <v>3260.9876989496688</v>
      </c>
      <c r="AK110" s="12" t="str">
        <f>IF(AND(ISNUMBER(tblData[NSW]),tblData[Date]&gt;StartDt2NSW),(tblData[[#This Row],[NSW LogiP(t)]]-tblData[[#This Row],[NSW]])^2,"")</f>
        <v/>
      </c>
      <c r="AL110" s="44">
        <f>IF(AND(tblData[Date]&gt;StartDt2NSW,ISNUMBER(tblData[Day'# Aust])),tblData[NSW LogiP(t)]/$AG$9,"")</f>
        <v>4035.8758650367186</v>
      </c>
      <c r="AM110" s="11">
        <f>IF(AND(tblData[Date]&gt;StartDt2Italy,ISNUMBER(tblData[Days'# Italy])),betaItaly/(deltaItaly+betaPodeltaItaly*EXP(-betaItaly*tblData[Days'# Italy])),"")</f>
        <v>60634.520713483966</v>
      </c>
      <c r="AN110" s="11" t="str">
        <f>IF(AND(tblData[Date]&gt;StartDt2Italy,ISNUMBER(tblData[Italy])),(tblData[[#This Row],[Italy LogiP(t)]]-tblData[[#This Row],[Italy]])^2,"")</f>
        <v/>
      </c>
      <c r="AO110" s="44">
        <f>IF(AND(tblData[Date]&gt;StartDt2Italy,ISNUMBER(tblData[Days'# Italy])),tblData[[#This Row],[Italy LogiP(t)]]/$AM$9,"")</f>
        <v>10030.524518359631</v>
      </c>
      <c r="AP110" s="21">
        <f>IF(ISNUMBER(tblData[[#This Row],[Days'# US]]),betaUS/(deltaUS+betaPodeltaUS*EXP(-betaUS*tblData[Days'# US])),"")</f>
        <v>3372333806.9692283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102431640.34446928</v>
      </c>
      <c r="AS110" s="21">
        <f>IF(tblData[Date]&gt;=StartDt2Korea,betaSKorea/(deltaSKorea+betaPodeltaSKorea*EXP(-betaSKorea*(tblData[Date]-StartDt2Korea))),"")</f>
        <v>8436.8693780827907</v>
      </c>
      <c r="AT110" s="21" t="str">
        <f>IF(AND(tblData[Date]&gt;=StartDt2Korea,ISNUMBER(tblData[SKorea])),(tblData[[#This Row],[SKorea LogiP(t)]]-tblData[[#This Row],[SKorea]])^2,"")</f>
        <v/>
      </c>
      <c r="AU110" s="21">
        <f>IF(tblData[Date]&gt;=StartDt2Korea,tblData[[#This Row],[SKorea LogiP(t)]]/$AS$9,"")</f>
        <v>1641.4142758915937</v>
      </c>
      <c r="AV110" s="85">
        <f>IF(ISNUMBER(tblData[Days'# UK]),betaUK/(deltaUK+betaPodeltaUK*EXP(-betaUK*tblData[Days'# UK])),"")</f>
        <v>235940063.1621615</v>
      </c>
      <c r="AW110" s="85" t="str">
        <f>IF(ISNUMBER(tblData[UK]),(tblData[[#This Row],[UK LogiP(t)]]-tblData[[#This Row],[UK]])^2,"")</f>
        <v/>
      </c>
      <c r="AX110" s="85">
        <f>IF(ISNUMBER(tblData[Days'# UK]),tblData[[#This Row],[UK LogiP(t)]]/$AV$9,"")</f>
        <v>35511749.422360249</v>
      </c>
      <c r="AY110" s="11">
        <f>IF(ISNUMBER(tblData[Days'# China]),betaChina/(deltaChina+betaPodeltaChina*EXP(-betaChina*tblData[Days'# China])),"")</f>
        <v>80963.6379396587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562.51164115876247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  <c r="DF110"/>
      <c r="DG110" s="82"/>
      <c r="DH110" s="27"/>
      <c r="DI110" s="27"/>
      <c r="DJ110"/>
      <c r="DK110"/>
      <c r="DL110"/>
      <c r="DM110"/>
      <c r="DN110"/>
      <c r="DO110"/>
      <c r="DP110"/>
      <c r="DQ110"/>
      <c r="DR110"/>
      <c r="DS110" s="27"/>
      <c r="DT110"/>
      <c r="DV110"/>
      <c r="DW110"/>
      <c r="DX110" s="27"/>
      <c r="DY110"/>
      <c r="DZ110"/>
      <c r="EA110"/>
      <c r="EB110"/>
      <c r="EC110"/>
      <c r="ED110"/>
      <c r="EE110"/>
      <c r="EF110" s="98"/>
      <c r="EG110"/>
      <c r="EH110" s="98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</row>
    <row r="111" spans="2:175" s="26" customFormat="1" x14ac:dyDescent="0.25">
      <c r="B111" s="27">
        <f t="shared" si="11"/>
        <v>44138</v>
      </c>
      <c r="L111" s="12" t="str">
        <f>IF(ISNUMBER(tblData[[#This Row],[NSW]]),tblData[[#This Row],[New South Wales]]/$L$9,"")</f>
        <v/>
      </c>
      <c r="N111" s="49" t="str">
        <f>IF(ISNUMBER(tblData[Italy]),tblData[Italy]/$N$9,"")</f>
        <v/>
      </c>
      <c r="P111" s="49" t="str">
        <f>IF(ISNUMBER(tblData[US]),tblData[US]/$P$9,"")</f>
        <v/>
      </c>
      <c r="Q111" s="49"/>
      <c r="R111" s="19" t="str">
        <f>IF(ISNUMBER(tblData[SKorea]),tblData[SKorea]/$R$9,"")</f>
        <v/>
      </c>
      <c r="S111" s="49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2"/>
        <v>268</v>
      </c>
      <c r="Y111" s="26">
        <f t="shared" ref="Y111" si="17">Y110+1</f>
        <v>100</v>
      </c>
      <c r="Z111" s="26">
        <f>IF(tblData[[#This Row],[Date]]&lt;StartDt2Korea,"",tblData[[#This Row],[Date]]-StartDt2Korea)</f>
        <v>258</v>
      </c>
      <c r="AA111" s="26">
        <f>IF(tblData[[#This Row],[Date]]&lt;UKStart,"",tblData[[#This Row],[Date]]-UKStart)</f>
        <v>278</v>
      </c>
      <c r="AB111" s="26">
        <f>IF(tblData[Date]&gt;=StartDt2Au,tblData[Date]-StartDt2Au,"")</f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IF(ISNUMBER(tblData[Au]),tblData[Au]/$AA$9,"")</f>
        <v/>
      </c>
      <c r="AE111" s="44">
        <f>IF(ISNUMBER(tblData[[#This Row],[Day'# Aust]]),betaAu/(deltaAu+betaPodeltaAu*EXP(-betaAu*tblData[[#This Row],[Day'# Aust]])),"")</f>
        <v>2103340487.747478</v>
      </c>
      <c r="AF111" s="73">
        <f>IF(ISNUMBER(tblData[Day'# Aust]),tblData[Au LogiP(t)]/$AD$9,"")</f>
        <v>829262138.36440551</v>
      </c>
      <c r="AG111" s="11" t="str">
        <f>IF(AND(tblData[Date]&gt;=StartDt2Au,ISNUMBER(tblData[NSW])),(tblData[[#This Row],[Au LogiP(t)]]-tblData[[#This Row],[Au]])^2,"")</f>
        <v/>
      </c>
      <c r="AH111" s="26">
        <f>IF(tblData[Date]&gt;StartDt2NSW,tblData[Date]-StartDt2NSW,"")</f>
        <v>283</v>
      </c>
      <c r="AI111" s="26" t="str">
        <f t="shared" si="13"/>
        <v/>
      </c>
      <c r="AJ111" s="11">
        <f>IF(tblData[Date]&gt;StartDt2NSW,betaNSW/(deltaNSW+betaPodeltaNSW*EXP(-betaNSW*tblData[[#This Row],[Day '# NSW]])),"")</f>
        <v>3260.9876989496688</v>
      </c>
      <c r="AK111" s="12" t="str">
        <f>IF(AND(ISNUMBER(tblData[NSW]),tblData[Date]&gt;StartDt2NSW),(tblData[[#This Row],[NSW LogiP(t)]]-tblData[[#This Row],[NSW]])^2,"")</f>
        <v/>
      </c>
      <c r="AL111" s="44">
        <f>IF(AND(tblData[Date]&gt;StartDt2NSW,ISNUMBER(tblData[Day'# Aust])),tblData[NSW LogiP(t)]/$AG$9,"")</f>
        <v>4035.8758650367186</v>
      </c>
      <c r="AM111" s="11">
        <f>IF(AND(tblData[Date]&gt;StartDt2Italy,ISNUMBER(tblData[Days'# Italy])),betaItaly/(deltaItaly+betaPodeltaItaly*EXP(-betaItaly*tblData[Days'# Italy])),"")</f>
        <v>60634.520713483966</v>
      </c>
      <c r="AN111" s="11" t="str">
        <f>IF(AND(tblData[Date]&gt;StartDt2Italy,ISNUMBER(tblData[Italy])),(tblData[[#This Row],[Italy LogiP(t)]]-tblData[[#This Row],[Italy]])^2,"")</f>
        <v/>
      </c>
      <c r="AO111" s="44">
        <f>IF(AND(tblData[Date]&gt;StartDt2Italy,ISNUMBER(tblData[Days'# Italy])),tblData[[#This Row],[Italy LogiP(t)]]/$AM$9,"")</f>
        <v>10030.524518359631</v>
      </c>
      <c r="AP111" s="21">
        <f>IF(ISNUMBER(tblData[[#This Row],[Days'# US]]),betaUS/(deltaUS+betaPodeltaUS*EXP(-betaUS*tblData[Days'# US])),"")</f>
        <v>3372333806.9692283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102431640.34446928</v>
      </c>
      <c r="AS111" s="21">
        <f>IF(tblData[Date]&gt;=StartDt2Korea,betaSKorea/(deltaSKorea+betaPodeltaSKorea*EXP(-betaSKorea*(tblData[Date]-StartDt2Korea))),"")</f>
        <v>8436.8693780827907</v>
      </c>
      <c r="AT111" s="21" t="str">
        <f>IF(AND(tblData[Date]&gt;=StartDt2Korea,ISNUMBER(tblData[SKorea])),(tblData[[#This Row],[SKorea LogiP(t)]]-tblData[[#This Row],[SKorea]])^2,"")</f>
        <v/>
      </c>
      <c r="AU111" s="21">
        <f>IF(tblData[Date]&gt;=StartDt2Korea,tblData[[#This Row],[SKorea LogiP(t)]]/$AS$9,"")</f>
        <v>1641.4142758915937</v>
      </c>
      <c r="AV111" s="85">
        <f>IF(ISNUMBER(tblData[Days'# UK]),betaUK/(deltaUK+betaPodeltaUK*EXP(-betaUK*tblData[Days'# UK])),"")</f>
        <v>235940063.1621615</v>
      </c>
      <c r="AW111" s="85" t="str">
        <f>IF(ISNUMBER(tblData[UK]),(tblData[[#This Row],[UK LogiP(t)]]-tblData[[#This Row],[UK]])^2,"")</f>
        <v/>
      </c>
      <c r="AX111" s="85">
        <f>IF(ISNUMBER(tblData[Days'# UK]),tblData[[#This Row],[UK LogiP(t)]]/$AV$9,"")</f>
        <v>35511749.422360249</v>
      </c>
      <c r="AY111" s="11">
        <f>IF(ISNUMBER(tblData[Days'# China]),betaChina/(deltaChina+betaPodeltaChina*EXP(-betaChina*tblData[Days'# China])),"")</f>
        <v>80963.638173871441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562.51164278600402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  <c r="DF111"/>
      <c r="DG111" s="82"/>
      <c r="DH111" s="27"/>
      <c r="DI111" s="27"/>
      <c r="DJ111"/>
      <c r="DK111"/>
      <c r="DL111"/>
      <c r="DM111"/>
      <c r="DN111"/>
      <c r="DO111"/>
      <c r="DP111"/>
      <c r="DQ111"/>
      <c r="DR111"/>
      <c r="DS111" s="27"/>
      <c r="DT111"/>
      <c r="DV111"/>
      <c r="DW111"/>
      <c r="DX111" s="27"/>
      <c r="DY111"/>
      <c r="DZ111"/>
      <c r="EA111"/>
      <c r="EB111"/>
      <c r="EC111"/>
      <c r="ED111"/>
      <c r="EE111"/>
      <c r="EF111" s="98"/>
      <c r="EG111"/>
      <c r="EH111" s="98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</row>
    <row r="112" spans="2:175" x14ac:dyDescent="0.25">
      <c r="B112" s="27">
        <f t="shared" si="11"/>
        <v>44145</v>
      </c>
      <c r="L112" s="12" t="str">
        <f>IF(ISNUMBER(tblData[[#This Row],[NSW]]),tblData[[#This Row],[New South Wales]]/$L$9,"")</f>
        <v/>
      </c>
      <c r="N112" s="49" t="str">
        <f>IF(ISNUMBER(tblData[Italy]),tblData[Italy]/$N$9,"")</f>
        <v/>
      </c>
      <c r="P112" s="49" t="str">
        <f>IF(ISNUMBER(tblData[US]),tblData[US]/$P$9,"")</f>
        <v/>
      </c>
      <c r="Q112" s="49"/>
      <c r="R112" s="19" t="str">
        <f>IF(ISNUMBER(tblData[SKorea]),tblData[SKorea]/$R$9,"")</f>
        <v/>
      </c>
      <c r="S112" s="49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2"/>
        <v>275</v>
      </c>
      <c r="Y112" s="26">
        <f t="shared" ref="Y112" si="18">Y111+1</f>
        <v>101</v>
      </c>
      <c r="Z112" s="26">
        <f>IF(tblData[[#This Row],[Date]]&lt;StartDt2Korea,"",tblData[[#This Row],[Date]]-StartDt2Korea)</f>
        <v>265</v>
      </c>
      <c r="AA112" s="26">
        <f>IF(tblData[[#This Row],[Date]]&lt;UKStart,"",tblData[[#This Row],[Date]]-UKStart)</f>
        <v>285</v>
      </c>
      <c r="AB112">
        <f>IF(tblData[Date]&gt;=StartDt2Au,tblData[Date]-StartDt2Au,"")</f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IF(ISNUMBER(tblData[Au]),tblData[Au]/$AA$9,"")</f>
        <v/>
      </c>
      <c r="AE112" s="44">
        <f>IF(ISNUMBER(tblData[[#This Row],[Day'# Aust]]),betaAu/(deltaAu+betaPodeltaAu*EXP(-betaAu*tblData[[#This Row],[Day'# Aust]])),"")</f>
        <v>2103340487.747484</v>
      </c>
      <c r="AF112" s="73">
        <f>IF(ISNUMBER(tblData[Day'# Aust]),tblData[Au LogiP(t)]/$AD$9,"")</f>
        <v>829262138.36440778</v>
      </c>
      <c r="AG112" s="11" t="str">
        <f>IF(AND(tblData[Date]&gt;=StartDt2Au,ISNUMBER(tblData[NSW])),(tblData[[#This Row],[Au LogiP(t)]]-tblData[[#This Row],[Au]])^2,"")</f>
        <v/>
      </c>
      <c r="AH112">
        <f>IF(tblData[Date]&gt;StartDt2NSW,tblData[Date]-StartDt2NSW,"")</f>
        <v>290</v>
      </c>
      <c r="AI112" s="26" t="str">
        <f t="shared" si="13"/>
        <v/>
      </c>
      <c r="AJ112" s="11">
        <f>IF(tblData[Date]&gt;StartDt2NSW,betaNSW/(deltaNSW+betaPodeltaNSW*EXP(-betaNSW*tblData[[#This Row],[Day '# NSW]])),"")</f>
        <v>3260.9876989496688</v>
      </c>
      <c r="AK112" s="12" t="str">
        <f>IF(AND(ISNUMBER(tblData[NSW]),tblData[Date]&gt;StartDt2NSW),(tblData[[#This Row],[NSW LogiP(t)]]-tblData[[#This Row],[NSW]])^2,"")</f>
        <v/>
      </c>
      <c r="AL112" s="44">
        <f>IF(AND(tblData[Date]&gt;StartDt2NSW,ISNUMBER(tblData[Day'# Aust])),tblData[NSW LogiP(t)]/$AG$9,"")</f>
        <v>4035.8758650367186</v>
      </c>
      <c r="AM112" s="11">
        <f>IF(AND(tblData[Date]&gt;StartDt2Italy,ISNUMBER(tblData[Days'# Italy])),betaItaly/(deltaItaly+betaPodeltaItaly*EXP(-betaItaly*tblData[Days'# Italy])),"")</f>
        <v>60634.520713483966</v>
      </c>
      <c r="AN112" s="11" t="str">
        <f>IF(AND(tblData[Date]&gt;StartDt2Italy,ISNUMBER(tblData[Italy])),(tblData[[#This Row],[Italy LogiP(t)]]-tblData[[#This Row],[Italy]])^2,"")</f>
        <v/>
      </c>
      <c r="AO112" s="44">
        <f>IF(AND(tblData[Date]&gt;StartDt2Italy,ISNUMBER(tblData[Days'# Italy])),tblData[[#This Row],[Italy LogiP(t)]]/$AM$9,"")</f>
        <v>10030.524518359631</v>
      </c>
      <c r="AP112" s="21">
        <f>IF(ISNUMBER(tblData[[#This Row],[Days'# US]]),betaUS/(deltaUS+betaPodeltaUS*EXP(-betaUS*tblData[Days'# US])),"")</f>
        <v>3372333806.9692283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102431640.34446928</v>
      </c>
      <c r="AS112" s="21">
        <f>IF(tblData[Date]&gt;=StartDt2Korea,betaSKorea/(deltaSKorea+betaPodeltaSKorea*EXP(-betaSKorea*(tblData[Date]-StartDt2Korea))),"")</f>
        <v>8436.8693780827907</v>
      </c>
      <c r="AT112" s="21" t="str">
        <f>IF(AND(tblData[Date]&gt;=StartDt2Korea,ISNUMBER(tblData[SKorea])),(tblData[[#This Row],[SKorea LogiP(t)]]-tblData[[#This Row],[SKorea]])^2,"")</f>
        <v/>
      </c>
      <c r="AU112" s="21">
        <f>IF(tblData[Date]&gt;=StartDt2Korea,tblData[[#This Row],[SKorea LogiP(t)]]/$AS$9,"")</f>
        <v>1641.4142758915937</v>
      </c>
      <c r="AV112" s="85">
        <f>IF(ISNUMBER(tblData[Days'# UK]),betaUK/(deltaUK+betaPodeltaUK*EXP(-betaUK*tblData[Days'# UK])),"")</f>
        <v>235940063.1621615</v>
      </c>
      <c r="AW112" s="85" t="str">
        <f>IF(ISNUMBER(tblData[UK]),(tblData[[#This Row],[UK LogiP(t)]]-tblData[[#This Row],[UK]])^2,"")</f>
        <v/>
      </c>
      <c r="AX112" s="85">
        <f>IF(ISNUMBER(tblData[Days'# UK]),tblData[[#This Row],[UK LogiP(t)]]/$AV$9,"")</f>
        <v>35511749.422360249</v>
      </c>
      <c r="AY112" s="11">
        <f>IF(ISNUMBER(tblData[Days'# China]),betaChina/(deltaChina+betaPodeltaChina*EXP(-betaChina*tblData[Days'# China])),"")</f>
        <v>80963.638361429199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562.5116440891004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M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</row>
    <row r="113" spans="2:175" x14ac:dyDescent="0.25">
      <c r="B113" s="27">
        <f t="shared" si="11"/>
        <v>44152</v>
      </c>
      <c r="L113" s="12" t="str">
        <f>IF(ISNUMBER(tblData[[#This Row],[NSW]]),tblData[[#This Row],[New South Wales]]/$L$9,"")</f>
        <v/>
      </c>
      <c r="N113" s="49" t="str">
        <f>IF(ISNUMBER(tblData[Italy]),tblData[Italy]/$N$9,"")</f>
        <v/>
      </c>
      <c r="P113" s="49" t="str">
        <f>IF(ISNUMBER(tblData[US]),tblData[US]/$P$9,"")</f>
        <v/>
      </c>
      <c r="Q113" s="49"/>
      <c r="R113" s="19" t="str">
        <f>IF(ISNUMBER(tblData[SKorea]),tblData[SKorea]/$R$9,"")</f>
        <v/>
      </c>
      <c r="S113" s="49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2"/>
        <v>282</v>
      </c>
      <c r="Y113" s="26">
        <f t="shared" ref="Y113" si="19">Y112+1</f>
        <v>102</v>
      </c>
      <c r="Z113" s="26">
        <f>IF(tblData[[#This Row],[Date]]&lt;StartDt2Korea,"",tblData[[#This Row],[Date]]-StartDt2Korea)</f>
        <v>272</v>
      </c>
      <c r="AA113" s="26">
        <f>IF(tblData[[#This Row],[Date]]&lt;UKStart,"",tblData[[#This Row],[Date]]-UKStart)</f>
        <v>292</v>
      </c>
      <c r="AB113">
        <f>IF(tblData[Date]&gt;=StartDt2Au,tblData[Date]-StartDt2Au,"")</f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IF(ISNUMBER(tblData[Au]),tblData[Au]/$AA$9,"")</f>
        <v/>
      </c>
      <c r="AE113" s="44">
        <f>IF(ISNUMBER(tblData[[#This Row],[Day'# Aust]]),betaAu/(deltaAu+betaPodeltaAu*EXP(-betaAu*tblData[[#This Row],[Day'# Aust]])),"")</f>
        <v>2103340487.7474854</v>
      </c>
      <c r="AF113" s="73">
        <f>IF(ISNUMBER(tblData[Day'# Aust]),tblData[Au LogiP(t)]/$AD$9,"")</f>
        <v>829262138.36440837</v>
      </c>
      <c r="AG113" s="11" t="str">
        <f>IF(AND(tblData[Date]&gt;=StartDt2Au,ISNUMBER(tblData[NSW])),(tblData[[#This Row],[Au LogiP(t)]]-tblData[[#This Row],[Au]])^2,"")</f>
        <v/>
      </c>
      <c r="AH113">
        <f>IF(tblData[Date]&gt;StartDt2NSW,tblData[Date]-StartDt2NSW,"")</f>
        <v>297</v>
      </c>
      <c r="AI113" s="26" t="str">
        <f t="shared" si="13"/>
        <v/>
      </c>
      <c r="AJ113" s="11">
        <f>IF(tblData[Date]&gt;StartDt2NSW,betaNSW/(deltaNSW+betaPodeltaNSW*EXP(-betaNSW*tblData[[#This Row],[Day '# NSW]])),"")</f>
        <v>3260.9876989496688</v>
      </c>
      <c r="AK113" s="12" t="str">
        <f>IF(AND(ISNUMBER(tblData[NSW]),tblData[Date]&gt;StartDt2NSW),(tblData[[#This Row],[NSW LogiP(t)]]-tblData[[#This Row],[NSW]])^2,"")</f>
        <v/>
      </c>
      <c r="AL113" s="44">
        <f>IF(AND(tblData[Date]&gt;StartDt2NSW,ISNUMBER(tblData[Day'# Aust])),tblData[NSW LogiP(t)]/$AG$9,"")</f>
        <v>4035.8758650367186</v>
      </c>
      <c r="AM113" s="11">
        <f>IF(AND(tblData[Date]&gt;StartDt2Italy,ISNUMBER(tblData[Days'# Italy])),betaItaly/(deltaItaly+betaPodeltaItaly*EXP(-betaItaly*tblData[Days'# Italy])),"")</f>
        <v>60634.520713483966</v>
      </c>
      <c r="AN113" s="11" t="str">
        <f>IF(AND(tblData[Date]&gt;StartDt2Italy,ISNUMBER(tblData[Italy])),(tblData[[#This Row],[Italy LogiP(t)]]-tblData[[#This Row],[Italy]])^2,"")</f>
        <v/>
      </c>
      <c r="AO113" s="44">
        <f>IF(AND(tblData[Date]&gt;StartDt2Italy,ISNUMBER(tblData[Days'# Italy])),tblData[[#This Row],[Italy LogiP(t)]]/$AM$9,"")</f>
        <v>10030.524518359631</v>
      </c>
      <c r="AP113" s="21">
        <f>IF(ISNUMBER(tblData[[#This Row],[Days'# US]]),betaUS/(deltaUS+betaPodeltaUS*EXP(-betaUS*tblData[Days'# US])),"")</f>
        <v>3372333806.9692283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102431640.34446928</v>
      </c>
      <c r="AS113" s="21">
        <f>IF(tblData[Date]&gt;=StartDt2Korea,betaSKorea/(deltaSKorea+betaPodeltaSKorea*EXP(-betaSKorea*(tblData[Date]-StartDt2Korea))),"")</f>
        <v>8436.8693780827907</v>
      </c>
      <c r="AT113" s="21" t="str">
        <f>IF(AND(tblData[Date]&gt;=StartDt2Korea,ISNUMBER(tblData[SKorea])),(tblData[[#This Row],[SKorea LogiP(t)]]-tblData[[#This Row],[SKorea]])^2,"")</f>
        <v/>
      </c>
      <c r="AU113" s="21">
        <f>IF(tblData[Date]&gt;=StartDt2Korea,tblData[[#This Row],[SKorea LogiP(t)]]/$AS$9,"")</f>
        <v>1641.4142758915937</v>
      </c>
      <c r="AV113" s="85">
        <f>IF(ISNUMBER(tblData[Days'# UK]),betaUK/(deltaUK+betaPodeltaUK*EXP(-betaUK*tblData[Days'# UK])),"")</f>
        <v>235940063.1621615</v>
      </c>
      <c r="AW113" s="85" t="str">
        <f>IF(ISNUMBER(tblData[UK]),(tblData[[#This Row],[UK LogiP(t)]]-tblData[[#This Row],[UK]])^2,"")</f>
        <v/>
      </c>
      <c r="AX113" s="85">
        <f>IF(ISNUMBER(tblData[Days'# UK]),tblData[[#This Row],[UK LogiP(t)]]/$AV$9,"")</f>
        <v>35511749.422360249</v>
      </c>
      <c r="AY113" s="11">
        <f>IF(ISNUMBER(tblData[Days'# China]),betaChina/(deltaChina+betaPodeltaChina*EXP(-betaChina*tblData[Days'# China])),"")</f>
        <v>80963.638511625599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562.51164513262097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M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</row>
    <row r="114" spans="2:175" x14ac:dyDescent="0.25">
      <c r="B114" s="27">
        <f t="shared" si="11"/>
        <v>44159</v>
      </c>
      <c r="L114" s="12" t="str">
        <f>IF(ISNUMBER(tblData[[#This Row],[NSW]]),tblData[[#This Row],[New South Wales]]/$L$9,"")</f>
        <v/>
      </c>
      <c r="N114" s="49" t="str">
        <f>IF(ISNUMBER(tblData[Italy]),tblData[Italy]/$N$9,"")</f>
        <v/>
      </c>
      <c r="P114" s="49" t="str">
        <f>IF(ISNUMBER(tblData[US]),tblData[US]/$P$9,"")</f>
        <v/>
      </c>
      <c r="Q114" s="49"/>
      <c r="R114" s="19" t="str">
        <f>IF(ISNUMBER(tblData[SKorea]),tblData[SKorea]/$R$9,"")</f>
        <v/>
      </c>
      <c r="S114" s="49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2"/>
        <v>289</v>
      </c>
      <c r="Y114" s="26">
        <f t="shared" ref="Y114" si="20">Y113+1</f>
        <v>103</v>
      </c>
      <c r="Z114" s="26">
        <f>IF(tblData[[#This Row],[Date]]&lt;StartDt2Korea,"",tblData[[#This Row],[Date]]-StartDt2Korea)</f>
        <v>279</v>
      </c>
      <c r="AA114" s="26">
        <f>IF(tblData[[#This Row],[Date]]&lt;UKStart,"",tblData[[#This Row],[Date]]-UKStart)</f>
        <v>299</v>
      </c>
      <c r="AB114">
        <f>IF(tblData[Date]&gt;=StartDt2Au,tblData[Date]-StartDt2Au,"")</f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IF(ISNUMBER(tblData[Au]),tblData[Au]/$AA$9,"")</f>
        <v/>
      </c>
      <c r="AE114" s="44">
        <f>IF(ISNUMBER(tblData[[#This Row],[Day'# Aust]]),betaAu/(deltaAu+betaPodeltaAu*EXP(-betaAu*tblData[[#This Row],[Day'# Aust]])),"")</f>
        <v>2103340487.7474856</v>
      </c>
      <c r="AF114" s="73">
        <f>IF(ISNUMBER(tblData[Day'# Aust]),tblData[Au LogiP(t)]/$AD$9,"")</f>
        <v>829262138.36440849</v>
      </c>
      <c r="AG114" s="11" t="str">
        <f>IF(AND(tblData[Date]&gt;=StartDt2Au,ISNUMBER(tblData[NSW])),(tblData[[#This Row],[Au LogiP(t)]]-tblData[[#This Row],[Au]])^2,"")</f>
        <v/>
      </c>
      <c r="AH114">
        <f>IF(tblData[Date]&gt;StartDt2NSW,tblData[Date]-StartDt2NSW,"")</f>
        <v>304</v>
      </c>
      <c r="AI114" s="26" t="str">
        <f t="shared" si="13"/>
        <v/>
      </c>
      <c r="AJ114" s="11">
        <f>IF(tblData[Date]&gt;StartDt2NSW,betaNSW/(deltaNSW+betaPodeltaNSW*EXP(-betaNSW*tblData[[#This Row],[Day '# NSW]])),"")</f>
        <v>3260.9876989496688</v>
      </c>
      <c r="AK114" s="12" t="str">
        <f>IF(AND(ISNUMBER(tblData[NSW]),tblData[Date]&gt;StartDt2NSW),(tblData[[#This Row],[NSW LogiP(t)]]-tblData[[#This Row],[NSW]])^2,"")</f>
        <v/>
      </c>
      <c r="AL114" s="44">
        <f>IF(AND(tblData[Date]&gt;StartDt2NSW,ISNUMBER(tblData[Day'# Aust])),tblData[NSW LogiP(t)]/$AG$9,"")</f>
        <v>4035.8758650367186</v>
      </c>
      <c r="AM114" s="11">
        <f>IF(AND(tblData[Date]&gt;StartDt2Italy,ISNUMBER(tblData[Days'# Italy])),betaItaly/(deltaItaly+betaPodeltaItaly*EXP(-betaItaly*tblData[Days'# Italy])),"")</f>
        <v>60634.520713483966</v>
      </c>
      <c r="AN114" s="11" t="str">
        <f>IF(AND(tblData[Date]&gt;StartDt2Italy,ISNUMBER(tblData[Italy])),(tblData[[#This Row],[Italy LogiP(t)]]-tblData[[#This Row],[Italy]])^2,"")</f>
        <v/>
      </c>
      <c r="AO114" s="44">
        <f>IF(AND(tblData[Date]&gt;StartDt2Italy,ISNUMBER(tblData[Days'# Italy])),tblData[[#This Row],[Italy LogiP(t)]]/$AM$9,"")</f>
        <v>10030.524518359631</v>
      </c>
      <c r="AP114" s="21">
        <f>IF(ISNUMBER(tblData[[#This Row],[Days'# US]]),betaUS/(deltaUS+betaPodeltaUS*EXP(-betaUS*tblData[Days'# US])),"")</f>
        <v>3372333806.9692283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102431640.34446928</v>
      </c>
      <c r="AS114" s="21">
        <f>IF(tblData[Date]&gt;=StartDt2Korea,betaSKorea/(deltaSKorea+betaPodeltaSKorea*EXP(-betaSKorea*(tblData[Date]-StartDt2Korea))),"")</f>
        <v>8436.8693780827907</v>
      </c>
      <c r="AT114" s="21" t="str">
        <f>IF(AND(tblData[Date]&gt;=StartDt2Korea,ISNUMBER(tblData[SKorea])),(tblData[[#This Row],[SKorea LogiP(t)]]-tblData[[#This Row],[SKorea]])^2,"")</f>
        <v/>
      </c>
      <c r="AU114" s="21">
        <f>IF(tblData[Date]&gt;=StartDt2Korea,tblData[[#This Row],[SKorea LogiP(t)]]/$AS$9,"")</f>
        <v>1641.4142758915937</v>
      </c>
      <c r="AV114" s="85">
        <f>IF(ISNUMBER(tblData[Days'# UK]),betaUK/(deltaUK+betaPodeltaUK*EXP(-betaUK*tblData[Days'# UK])),"")</f>
        <v>235940063.1621615</v>
      </c>
      <c r="AW114" s="85" t="str">
        <f>IF(ISNUMBER(tblData[UK]),(tblData[[#This Row],[UK LogiP(t)]]-tblData[[#This Row],[UK]])^2,"")</f>
        <v/>
      </c>
      <c r="AX114" s="85">
        <f>IF(ISNUMBER(tblData[Days'# UK]),tblData[[#This Row],[UK LogiP(t)]]/$AV$9,"")</f>
        <v>35511749.422360249</v>
      </c>
      <c r="AY114" s="11">
        <f>IF(ISNUMBER(tblData[Days'# China]),betaChina/(deltaChina+betaPodeltaChina*EXP(-betaChina*tblData[Days'# China])),"")</f>
        <v>80963.638631903013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562.51164596827323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Y114"/>
      <c r="CA114"/>
      <c r="CK114" s="26"/>
      <c r="CL114" s="26"/>
    </row>
    <row r="115" spans="2:175" x14ac:dyDescent="0.25">
      <c r="B115" s="27">
        <f t="shared" si="11"/>
        <v>44166</v>
      </c>
      <c r="L115" s="12" t="str">
        <f>IF(ISNUMBER(tblData[[#This Row],[NSW]]),tblData[[#This Row],[New South Wales]]/$L$9,"")</f>
        <v/>
      </c>
      <c r="N115" s="49" t="str">
        <f>IF(ISNUMBER(tblData[Italy]),tblData[Italy]/$N$9,"")</f>
        <v/>
      </c>
      <c r="P115" s="49" t="str">
        <f>IF(ISNUMBER(tblData[US]),tblData[US]/$P$9,"")</f>
        <v/>
      </c>
      <c r="Q115" s="49"/>
      <c r="R115" s="19" t="str">
        <f>IF(ISNUMBER(tblData[SKorea]),tblData[SKorea]/$R$9,"")</f>
        <v/>
      </c>
      <c r="S115" s="49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2"/>
        <v>296</v>
      </c>
      <c r="Y115" s="26">
        <f t="shared" ref="Y115" si="21">Y114+1</f>
        <v>104</v>
      </c>
      <c r="Z115" s="26">
        <f>IF(tblData[[#This Row],[Date]]&lt;StartDt2Korea,"",tblData[[#This Row],[Date]]-StartDt2Korea)</f>
        <v>286</v>
      </c>
      <c r="AA115" s="26">
        <f>IF(tblData[[#This Row],[Date]]&lt;UKStart,"",tblData[[#This Row],[Date]]-UKStart)</f>
        <v>306</v>
      </c>
      <c r="AB115" s="26">
        <f>IF(tblData[Date]&gt;=StartDt2Au,tblData[Date]-StartDt2Au,"")</f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IF(ISNUMBER(tblData[Au]),tblData[Au]/$AA$9,"")</f>
        <v/>
      </c>
      <c r="AE115" s="44">
        <f>IF(ISNUMBER(tblData[[#This Row],[Day'# Aust]]),betaAu/(deltaAu+betaPodeltaAu*EXP(-betaAu*tblData[[#This Row],[Day'# Aust]])),"")</f>
        <v>2103340487.7474856</v>
      </c>
      <c r="AF115" s="73">
        <f>IF(ISNUMBER(tblData[Day'# Aust]),tblData[Au LogiP(t)]/$AD$9,"")</f>
        <v>829262138.36440849</v>
      </c>
      <c r="AG115" s="11" t="str">
        <f>IF(AND(tblData[Date]&gt;=StartDt2Au,ISNUMBER(tblData[NSW])),(tblData[[#This Row],[Au LogiP(t)]]-tblData[[#This Row],[Au]])^2,"")</f>
        <v/>
      </c>
      <c r="AH115" s="26">
        <f>IF(tblData[Date]&gt;StartDt2NSW,tblData[Date]-StartDt2NSW,"")</f>
        <v>311</v>
      </c>
      <c r="AI115" s="26" t="str">
        <f t="shared" si="13"/>
        <v/>
      </c>
      <c r="AJ115" s="11">
        <f>IF(tblData[Date]&gt;StartDt2NSW,betaNSW/(deltaNSW+betaPodeltaNSW*EXP(-betaNSW*tblData[[#This Row],[Day '# NSW]])),"")</f>
        <v>3260.9876989496688</v>
      </c>
      <c r="AK115" s="12" t="str">
        <f>IF(AND(ISNUMBER(tblData[NSW]),tblData[Date]&gt;StartDt2NSW),(tblData[[#This Row],[NSW LogiP(t)]]-tblData[[#This Row],[NSW]])^2,"")</f>
        <v/>
      </c>
      <c r="AL115" s="44">
        <f>IF(AND(tblData[Date]&gt;StartDt2NSW,ISNUMBER(tblData[Day'# Aust])),tblData[NSW LogiP(t)]/$AG$9,"")</f>
        <v>4035.8758650367186</v>
      </c>
      <c r="AM115" s="11">
        <f>IF(AND(tblData[Date]&gt;StartDt2Italy,ISNUMBER(tblData[Days'# Italy])),betaItaly/(deltaItaly+betaPodeltaItaly*EXP(-betaItaly*tblData[Days'# Italy])),"")</f>
        <v>60634.520713483966</v>
      </c>
      <c r="AN115" s="11" t="str">
        <f>IF(AND(tblData[Date]&gt;StartDt2Italy,ISNUMBER(tblData[Italy])),(tblData[[#This Row],[Italy LogiP(t)]]-tblData[[#This Row],[Italy]])^2,"")</f>
        <v/>
      </c>
      <c r="AO115" s="44">
        <f>IF(AND(tblData[Date]&gt;StartDt2Italy,ISNUMBER(tblData[Days'# Italy])),tblData[[#This Row],[Italy LogiP(t)]]/$AM$9,"")</f>
        <v>10030.524518359631</v>
      </c>
      <c r="AP115" s="21">
        <f>IF(ISNUMBER(tblData[[#This Row],[Days'# US]]),betaUS/(deltaUS+betaPodeltaUS*EXP(-betaUS*tblData[Days'# US])),"")</f>
        <v>3372333806.9692283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102431640.34446928</v>
      </c>
      <c r="AS115" s="21">
        <f>IF(tblData[Date]&gt;=StartDt2Korea,betaSKorea/(deltaSKorea+betaPodeltaSKorea*EXP(-betaSKorea*(tblData[Date]-StartDt2Korea))),"")</f>
        <v>8436.8693780827907</v>
      </c>
      <c r="AT115" s="21" t="str">
        <f>IF(AND(tblData[Date]&gt;=StartDt2Korea,ISNUMBER(tblData[SKorea])),(tblData[[#This Row],[SKorea LogiP(t)]]-tblData[[#This Row],[SKorea]])^2,"")</f>
        <v/>
      </c>
      <c r="AU115" s="21">
        <f>IF(tblData[Date]&gt;=StartDt2Korea,tblData[[#This Row],[SKorea LogiP(t)]]/$AS$9,"")</f>
        <v>1641.4142758915937</v>
      </c>
      <c r="AV115" s="85">
        <f>IF(ISNUMBER(tblData[Days'# UK]),betaUK/(deltaUK+betaPodeltaUK*EXP(-betaUK*tblData[Days'# UK])),"")</f>
        <v>235940063.1621615</v>
      </c>
      <c r="AW115" s="85" t="str">
        <f>IF(ISNUMBER(tblData[UK]),(tblData[[#This Row],[UK LogiP(t)]]-tblData[[#This Row],[UK]])^2,"")</f>
        <v/>
      </c>
      <c r="AX115" s="85">
        <f>IF(ISNUMBER(tblData[Days'# UK]),tblData[[#This Row],[UK LogiP(t)]]/$AV$9,"")</f>
        <v>35511749.422360249</v>
      </c>
      <c r="AY115" s="11">
        <f>IF(ISNUMBER(tblData[Days'# China]),betaChina/(deltaChina+betaPodeltaChina*EXP(-betaChina*tblData[Days'# China])),"")</f>
        <v>80963.638728221267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562.5116466374642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Y115"/>
      <c r="CA115"/>
      <c r="CK115" s="26"/>
      <c r="CL115" s="26"/>
    </row>
    <row r="116" spans="2:175" x14ac:dyDescent="0.25">
      <c r="B116" s="27">
        <f t="shared" si="11"/>
        <v>44173</v>
      </c>
      <c r="L116" s="12" t="str">
        <f>IF(ISNUMBER(tblData[[#This Row],[NSW]]),tblData[[#This Row],[New South Wales]]/$L$9,"")</f>
        <v/>
      </c>
      <c r="N116" s="49" t="str">
        <f>IF(ISNUMBER(tblData[Italy]),tblData[Italy]/$N$9,"")</f>
        <v/>
      </c>
      <c r="P116" s="49" t="str">
        <f>IF(ISNUMBER(tblData[US]),tblData[US]/$P$9,"")</f>
        <v/>
      </c>
      <c r="Q116" s="49"/>
      <c r="R116" s="19" t="str">
        <f>IF(ISNUMBER(tblData[SKorea]),tblData[SKorea]/$R$9,"")</f>
        <v/>
      </c>
      <c r="S116" s="49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2"/>
        <v>303</v>
      </c>
      <c r="Y116" s="26">
        <f t="shared" ref="Y116" si="22">Y115+1</f>
        <v>105</v>
      </c>
      <c r="Z116" s="26">
        <f>IF(tblData[[#This Row],[Date]]&lt;StartDt2Korea,"",tblData[[#This Row],[Date]]-StartDt2Korea)</f>
        <v>293</v>
      </c>
      <c r="AA116" s="26">
        <f>IF(tblData[[#This Row],[Date]]&lt;UKStart,"",tblData[[#This Row],[Date]]-UKStart)</f>
        <v>313</v>
      </c>
      <c r="AB116" s="26">
        <f>IF(tblData[Date]&gt;=StartDt2Au,tblData[Date]-StartDt2Au,"")</f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IF(ISNUMBER(tblData[Au]),tblData[Au]/$AA$9,"")</f>
        <v/>
      </c>
      <c r="AE116" s="44">
        <f>IF(ISNUMBER(tblData[[#This Row],[Day'# Aust]]),betaAu/(deltaAu+betaPodeltaAu*EXP(-betaAu*tblData[[#This Row],[Day'# Aust]])),"")</f>
        <v>2103340487.7474856</v>
      </c>
      <c r="AF116" s="73">
        <f>IF(ISNUMBER(tblData[Day'# Aust]),tblData[Au LogiP(t)]/$AD$9,"")</f>
        <v>829262138.36440849</v>
      </c>
      <c r="AG116" s="11" t="str">
        <f>IF(AND(tblData[Date]&gt;=StartDt2Au,ISNUMBER(tblData[NSW])),(tblData[[#This Row],[Au LogiP(t)]]-tblData[[#This Row],[Au]])^2,"")</f>
        <v/>
      </c>
      <c r="AH116" s="26">
        <f>IF(tblData[Date]&gt;StartDt2NSW,tblData[Date]-StartDt2NSW,"")</f>
        <v>318</v>
      </c>
      <c r="AI116" s="26" t="str">
        <f t="shared" si="13"/>
        <v/>
      </c>
      <c r="AJ116" s="11">
        <f>IF(tblData[Date]&gt;StartDt2NSW,betaNSW/(deltaNSW+betaPodeltaNSW*EXP(-betaNSW*tblData[[#This Row],[Day '# NSW]])),"")</f>
        <v>3260.9876989496688</v>
      </c>
      <c r="AK116" s="12" t="str">
        <f>IF(AND(ISNUMBER(tblData[NSW]),tblData[Date]&gt;StartDt2NSW),(tblData[[#This Row],[NSW LogiP(t)]]-tblData[[#This Row],[NSW]])^2,"")</f>
        <v/>
      </c>
      <c r="AL116" s="44">
        <f>IF(AND(tblData[Date]&gt;StartDt2NSW,ISNUMBER(tblData[Day'# Aust])),tblData[NSW LogiP(t)]/$AG$9,"")</f>
        <v>4035.8758650367186</v>
      </c>
      <c r="AM116" s="11">
        <f>IF(AND(tblData[Date]&gt;StartDt2Italy,ISNUMBER(tblData[Days'# Italy])),betaItaly/(deltaItaly+betaPodeltaItaly*EXP(-betaItaly*tblData[Days'# Italy])),"")</f>
        <v>60634.520713483966</v>
      </c>
      <c r="AN116" s="11" t="str">
        <f>IF(AND(tblData[Date]&gt;StartDt2Italy,ISNUMBER(tblData[Italy])),(tblData[[#This Row],[Italy LogiP(t)]]-tblData[[#This Row],[Italy]])^2,"")</f>
        <v/>
      </c>
      <c r="AO116" s="44">
        <f>IF(AND(tblData[Date]&gt;StartDt2Italy,ISNUMBER(tblData[Days'# Italy])),tblData[[#This Row],[Italy LogiP(t)]]/$AM$9,"")</f>
        <v>10030.524518359631</v>
      </c>
      <c r="AP116" s="21">
        <f>IF(ISNUMBER(tblData[[#This Row],[Days'# US]]),betaUS/(deltaUS+betaPodeltaUS*EXP(-betaUS*tblData[Days'# US])),"")</f>
        <v>3372333806.9692283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102431640.34446928</v>
      </c>
      <c r="AS116" s="21">
        <f>IF(tblData[Date]&gt;=StartDt2Korea,betaSKorea/(deltaSKorea+betaPodeltaSKorea*EXP(-betaSKorea*(tblData[Date]-StartDt2Korea))),"")</f>
        <v>8436.8693780827907</v>
      </c>
      <c r="AT116" s="21" t="str">
        <f>IF(AND(tblData[Date]&gt;=StartDt2Korea,ISNUMBER(tblData[SKorea])),(tblData[[#This Row],[SKorea LogiP(t)]]-tblData[[#This Row],[SKorea]])^2,"")</f>
        <v/>
      </c>
      <c r="AU116" s="21">
        <f>IF(tblData[Date]&gt;=StartDt2Korea,tblData[[#This Row],[SKorea LogiP(t)]]/$AS$9,"")</f>
        <v>1641.4142758915937</v>
      </c>
      <c r="AV116" s="85">
        <f>IF(ISNUMBER(tblData[Days'# UK]),betaUK/(deltaUK+betaPodeltaUK*EXP(-betaUK*tblData[Days'# UK])),"")</f>
        <v>235940063.1621615</v>
      </c>
      <c r="AW116" s="85" t="str">
        <f>IF(ISNUMBER(tblData[UK]),(tblData[[#This Row],[UK LogiP(t)]]-tblData[[#This Row],[UK]])^2,"")</f>
        <v/>
      </c>
      <c r="AX116" s="85">
        <f>IF(ISNUMBER(tblData[Days'# UK]),tblData[[#This Row],[UK LogiP(t)]]/$AV$9,"")</f>
        <v>35511749.422360249</v>
      </c>
      <c r="AY116" s="11">
        <f>IF(ISNUMBER(tblData[Days'# China]),betaChina/(deltaChina+betaPodeltaChina*EXP(-betaChina*tblData[Days'# China])),"")</f>
        <v>80963.63880535301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562.51164717335303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Y116"/>
      <c r="CA116"/>
      <c r="CK116" s="26"/>
      <c r="CL116" s="26"/>
    </row>
    <row r="117" spans="2:175" x14ac:dyDescent="0.25">
      <c r="B117" s="27">
        <f t="shared" si="11"/>
        <v>44180</v>
      </c>
      <c r="L117" s="12" t="str">
        <f>IF(ISNUMBER(tblData[[#This Row],[NSW]]),tblData[[#This Row],[New South Wales]]/$L$9,"")</f>
        <v/>
      </c>
      <c r="N117" s="49" t="str">
        <f>IF(ISNUMBER(tblData[Italy]),tblData[Italy]/$N$9,"")</f>
        <v/>
      </c>
      <c r="P117" s="49" t="str">
        <f>IF(ISNUMBER(tblData[US]),tblData[US]/$P$9,"")</f>
        <v/>
      </c>
      <c r="Q117" s="49"/>
      <c r="R117" s="19" t="str">
        <f>IF(ISNUMBER(tblData[SKorea]),tblData[SKorea]/$R$9,"")</f>
        <v/>
      </c>
      <c r="S117" s="49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2"/>
        <v>310</v>
      </c>
      <c r="Y117" s="26">
        <f t="shared" ref="Y117" si="23">Y116+1</f>
        <v>106</v>
      </c>
      <c r="Z117" s="26">
        <f>IF(tblData[[#This Row],[Date]]&lt;StartDt2Korea,"",tblData[[#This Row],[Date]]-StartDt2Korea)</f>
        <v>300</v>
      </c>
      <c r="AA117" s="26">
        <f>IF(tblData[[#This Row],[Date]]&lt;UKStart,"",tblData[[#This Row],[Date]]-UKStart)</f>
        <v>320</v>
      </c>
      <c r="AB117" s="26">
        <f>IF(tblData[Date]&gt;=StartDt2Au,tblData[Date]-StartDt2Au,"")</f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IF(ISNUMBER(tblData[Au]),tblData[Au]/$AA$9,"")</f>
        <v/>
      </c>
      <c r="AE117" s="44">
        <f>IF(ISNUMBER(tblData[[#This Row],[Day'# Aust]]),betaAu/(deltaAu+betaPodeltaAu*EXP(-betaAu*tblData[[#This Row],[Day'# Aust]])),"")</f>
        <v>2103340487.7474856</v>
      </c>
      <c r="AF117" s="73">
        <f>IF(ISNUMBER(tblData[Day'# Aust]),tblData[Au LogiP(t)]/$AD$9,"")</f>
        <v>829262138.36440849</v>
      </c>
      <c r="AG117" s="11" t="str">
        <f>IF(AND(tblData[Date]&gt;=StartDt2Au,ISNUMBER(tblData[NSW])),(tblData[[#This Row],[Au LogiP(t)]]-tblData[[#This Row],[Au]])^2,"")</f>
        <v/>
      </c>
      <c r="AH117" s="26">
        <f>IF(tblData[Date]&gt;StartDt2NSW,tblData[Date]-StartDt2NSW,"")</f>
        <v>325</v>
      </c>
      <c r="AI117" s="26" t="str">
        <f t="shared" si="13"/>
        <v/>
      </c>
      <c r="AJ117" s="11">
        <f>IF(tblData[Date]&gt;StartDt2NSW,betaNSW/(deltaNSW+betaPodeltaNSW*EXP(-betaNSW*tblData[[#This Row],[Day '# NSW]])),"")</f>
        <v>3260.9876989496688</v>
      </c>
      <c r="AK117" s="12" t="str">
        <f>IF(AND(ISNUMBER(tblData[NSW]),tblData[Date]&gt;StartDt2NSW),(tblData[[#This Row],[NSW LogiP(t)]]-tblData[[#This Row],[NSW]])^2,"")</f>
        <v/>
      </c>
      <c r="AL117" s="44">
        <f>IF(AND(tblData[Date]&gt;StartDt2NSW,ISNUMBER(tblData[Day'# Aust])),tblData[NSW LogiP(t)]/$AG$9,"")</f>
        <v>4035.8758650367186</v>
      </c>
      <c r="AM117" s="11">
        <f>IF(AND(tblData[Date]&gt;StartDt2Italy,ISNUMBER(tblData[Days'# Italy])),betaItaly/(deltaItaly+betaPodeltaItaly*EXP(-betaItaly*tblData[Days'# Italy])),"")</f>
        <v>60634.520713483966</v>
      </c>
      <c r="AN117" s="11" t="str">
        <f>IF(AND(tblData[Date]&gt;StartDt2Italy,ISNUMBER(tblData[Italy])),(tblData[[#This Row],[Italy LogiP(t)]]-tblData[[#This Row],[Italy]])^2,"")</f>
        <v/>
      </c>
      <c r="AO117" s="44">
        <f>IF(AND(tblData[Date]&gt;StartDt2Italy,ISNUMBER(tblData[Days'# Italy])),tblData[[#This Row],[Italy LogiP(t)]]/$AM$9,"")</f>
        <v>10030.524518359631</v>
      </c>
      <c r="AP117" s="21">
        <f>IF(ISNUMBER(tblData[[#This Row],[Days'# US]]),betaUS/(deltaUS+betaPodeltaUS*EXP(-betaUS*tblData[Days'# US])),"")</f>
        <v>3372333806.9692283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102431640.34446928</v>
      </c>
      <c r="AS117" s="21">
        <f>IF(tblData[Date]&gt;=StartDt2Korea,betaSKorea/(deltaSKorea+betaPodeltaSKorea*EXP(-betaSKorea*(tblData[Date]-StartDt2Korea))),"")</f>
        <v>8436.8693780827907</v>
      </c>
      <c r="AT117" s="21" t="str">
        <f>IF(AND(tblData[Date]&gt;=StartDt2Korea,ISNUMBER(tblData[SKorea])),(tblData[[#This Row],[SKorea LogiP(t)]]-tblData[[#This Row],[SKorea]])^2,"")</f>
        <v/>
      </c>
      <c r="AU117" s="21">
        <f>IF(tblData[Date]&gt;=StartDt2Korea,tblData[[#This Row],[SKorea LogiP(t)]]/$AS$9,"")</f>
        <v>1641.4142758915937</v>
      </c>
      <c r="AV117" s="85">
        <f>IF(ISNUMBER(tblData[Days'# UK]),betaUK/(deltaUK+betaPodeltaUK*EXP(-betaUK*tblData[Days'# UK])),"")</f>
        <v>235940063.1621615</v>
      </c>
      <c r="AW117" s="85" t="str">
        <f>IF(ISNUMBER(tblData[UK]),(tblData[[#This Row],[UK LogiP(t)]]-tblData[[#This Row],[UK]])^2,"")</f>
        <v/>
      </c>
      <c r="AX117" s="85">
        <f>IF(ISNUMBER(tblData[Days'# UK]),tblData[[#This Row],[UK LogiP(t)]]/$AV$9,"")</f>
        <v>35511749.422360249</v>
      </c>
      <c r="AY117" s="11">
        <f>IF(ISNUMBER(tblData[Days'# China]),betaChina/(deltaChina+betaPodeltaChina*EXP(-betaChina*tblData[Days'# China])),"")</f>
        <v>80963.638867120171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562.5116476024931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Y117"/>
      <c r="CA117"/>
      <c r="CK117" s="26"/>
      <c r="CL117" s="26"/>
    </row>
    <row r="118" spans="2:175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M118"/>
      <c r="BO118"/>
      <c r="BP118"/>
      <c r="BQ118"/>
      <c r="BR118"/>
      <c r="BS118"/>
      <c r="BT118"/>
      <c r="BU118"/>
      <c r="BV118"/>
      <c r="BW118"/>
      <c r="BX118"/>
      <c r="BY118"/>
      <c r="CA118"/>
      <c r="CB118"/>
      <c r="CC118"/>
      <c r="CD118"/>
      <c r="CG118"/>
      <c r="CH118"/>
      <c r="CI118"/>
      <c r="CJ118"/>
      <c r="CK118"/>
      <c r="CL118"/>
      <c r="CM118"/>
      <c r="CN118"/>
      <c r="CO118"/>
      <c r="CP118"/>
      <c r="CQ118"/>
      <c r="DF118"/>
      <c r="DG118" s="82"/>
      <c r="DH118" s="27"/>
      <c r="DI118" s="27"/>
      <c r="DJ118"/>
      <c r="DK118"/>
      <c r="DL118"/>
      <c r="DM118"/>
      <c r="DN118"/>
      <c r="DO118"/>
      <c r="DP118"/>
      <c r="DQ118"/>
      <c r="DR118"/>
      <c r="DS118" s="27"/>
      <c r="DT118"/>
      <c r="DV118"/>
      <c r="DW118"/>
      <c r="DX118" s="27"/>
      <c r="DY118"/>
      <c r="DZ118"/>
      <c r="EA118"/>
      <c r="EB118"/>
      <c r="EC118"/>
      <c r="ED118"/>
      <c r="EE118"/>
      <c r="EF118" s="98"/>
      <c r="EG118"/>
      <c r="EH118" s="9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</row>
    <row r="119" spans="2:175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3.37 G</v>
      </c>
      <c r="AH119" s="11"/>
      <c r="BE119"/>
      <c r="BF119"/>
      <c r="BG119"/>
      <c r="BH119"/>
      <c r="BI119"/>
      <c r="BJ119"/>
      <c r="BK119"/>
      <c r="BM119"/>
      <c r="BO119"/>
      <c r="BP119"/>
      <c r="BQ119"/>
      <c r="BR119"/>
      <c r="BS119"/>
      <c r="BT119"/>
      <c r="BU119"/>
      <c r="BV119"/>
      <c r="BW119"/>
      <c r="BX119"/>
      <c r="BY119"/>
      <c r="CA119"/>
      <c r="CB119"/>
      <c r="CC119"/>
      <c r="CD119"/>
      <c r="CG119"/>
      <c r="CH119"/>
      <c r="CI119"/>
      <c r="CJ119"/>
      <c r="CK119"/>
      <c r="CL119"/>
      <c r="CM119"/>
      <c r="CN119"/>
      <c r="CO119"/>
      <c r="CP119"/>
      <c r="CQ119"/>
      <c r="DF119"/>
      <c r="DG119" s="82"/>
      <c r="DH119" s="27"/>
      <c r="DI119" s="27"/>
      <c r="DJ119"/>
      <c r="DK119"/>
      <c r="DL119"/>
      <c r="DM119"/>
      <c r="DN119"/>
      <c r="DO119"/>
      <c r="DP119"/>
      <c r="DQ119"/>
      <c r="DR119"/>
      <c r="DS119" s="27"/>
      <c r="DT119"/>
      <c r="DV119"/>
      <c r="DW119"/>
      <c r="DX119" s="27"/>
      <c r="DY119"/>
      <c r="DZ119"/>
      <c r="EA119"/>
      <c r="EB119"/>
      <c r="EC119"/>
      <c r="ED119"/>
      <c r="EE119"/>
      <c r="EF119" s="98"/>
      <c r="EG119"/>
      <c r="EH119" s="98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</row>
    <row r="120" spans="2:175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  <c r="DF120"/>
      <c r="DG120" s="82"/>
      <c r="DH120" s="27"/>
      <c r="DI120" s="27"/>
      <c r="DJ120"/>
      <c r="DK120"/>
      <c r="DL120"/>
      <c r="DM120"/>
      <c r="DN120"/>
      <c r="DO120"/>
      <c r="DP120"/>
      <c r="DQ120"/>
      <c r="DR120"/>
      <c r="DS120" s="27"/>
      <c r="DT120"/>
      <c r="DV120"/>
      <c r="DW120"/>
      <c r="DX120" s="27"/>
      <c r="DY120"/>
      <c r="DZ120"/>
      <c r="EA120"/>
      <c r="EB120"/>
      <c r="EC120"/>
      <c r="ED120"/>
      <c r="EE120"/>
      <c r="EF120" s="98"/>
      <c r="EG120"/>
      <c r="EH120" s="98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</row>
    <row r="121" spans="2:175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  <c r="DF121"/>
      <c r="DG121" s="82"/>
      <c r="DH121" s="27"/>
      <c r="DI121" s="27"/>
      <c r="DJ121"/>
      <c r="DK121"/>
      <c r="DL121"/>
      <c r="DM121"/>
      <c r="DN121"/>
      <c r="DO121"/>
      <c r="DP121"/>
      <c r="DQ121"/>
      <c r="DR121"/>
      <c r="DS121" s="27"/>
      <c r="DT121"/>
      <c r="DV121"/>
      <c r="DW121"/>
      <c r="DX121" s="27"/>
      <c r="DY121"/>
      <c r="DZ121"/>
      <c r="EA121"/>
      <c r="EB121"/>
      <c r="EC121"/>
      <c r="ED121"/>
      <c r="EE121"/>
      <c r="EF121" s="98"/>
      <c r="EG121"/>
      <c r="EH121" s="98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</row>
    <row r="122" spans="2:175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  <c r="DF122"/>
      <c r="DG122" s="82"/>
      <c r="DH122" s="27"/>
      <c r="DI122" s="27"/>
      <c r="DJ122"/>
      <c r="DK122"/>
      <c r="DL122"/>
      <c r="DM122"/>
      <c r="DN122"/>
      <c r="DO122"/>
      <c r="DP122"/>
      <c r="DQ122"/>
      <c r="DR122"/>
      <c r="DS122" s="27"/>
      <c r="DT122"/>
      <c r="DV122"/>
      <c r="DW122"/>
      <c r="DX122" s="27"/>
      <c r="DY122"/>
      <c r="DZ122"/>
      <c r="EA122"/>
      <c r="EB122"/>
      <c r="EC122"/>
      <c r="ED122"/>
      <c r="EE122"/>
      <c r="EF122" s="98"/>
      <c r="EG122"/>
      <c r="EH122" s="98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</row>
    <row r="123" spans="2:175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  <c r="DF123"/>
      <c r="DG123" s="82"/>
      <c r="DH123" s="27"/>
      <c r="DI123" s="27"/>
      <c r="DJ123"/>
      <c r="DK123"/>
      <c r="DL123"/>
      <c r="DM123"/>
      <c r="DN123"/>
      <c r="DO123"/>
      <c r="DP123"/>
      <c r="DQ123"/>
      <c r="DR123"/>
      <c r="DS123" s="27"/>
      <c r="DT123"/>
      <c r="DV123"/>
      <c r="DW123"/>
      <c r="DX123" s="27"/>
      <c r="DY123"/>
      <c r="DZ123"/>
      <c r="EA123"/>
      <c r="EB123"/>
      <c r="EC123"/>
      <c r="ED123"/>
      <c r="EE123"/>
      <c r="EF123" s="98"/>
      <c r="EG123"/>
      <c r="EH123" s="98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</row>
    <row r="124" spans="2:175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  <c r="DF124"/>
      <c r="DG124" s="82"/>
      <c r="DH124" s="27"/>
      <c r="DI124" s="27"/>
      <c r="DJ124"/>
      <c r="DK124"/>
      <c r="DL124"/>
      <c r="DM124"/>
      <c r="DN124"/>
      <c r="DO124"/>
      <c r="DP124"/>
      <c r="DQ124"/>
      <c r="DR124"/>
      <c r="DS124" s="27"/>
      <c r="DT124"/>
      <c r="DV124"/>
      <c r="DW124"/>
      <c r="DX124" s="27"/>
      <c r="DY124"/>
      <c r="DZ124"/>
      <c r="EA124"/>
      <c r="EB124"/>
      <c r="EC124"/>
      <c r="ED124"/>
      <c r="EE124"/>
      <c r="EF124" s="98"/>
      <c r="EG124"/>
      <c r="EH124" s="98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</row>
    <row r="125" spans="2:175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M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</row>
    <row r="126" spans="2:175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M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</row>
    <row r="129" spans="2:4" x14ac:dyDescent="0.25">
      <c r="B129" s="13" t="s">
        <v>218</v>
      </c>
      <c r="C129" s="16" t="s">
        <v>219</v>
      </c>
      <c r="D129" s="36"/>
    </row>
  </sheetData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493</v>
      </c>
      <c r="B7" s="32" t="s">
        <v>494</v>
      </c>
      <c r="C7" s="32" t="s">
        <v>495</v>
      </c>
      <c r="D7" s="32" t="s">
        <v>496</v>
      </c>
    </row>
    <row r="8" spans="1:7" ht="30" x14ac:dyDescent="0.25">
      <c r="C8" t="s">
        <v>824</v>
      </c>
      <c r="D8" t="s">
        <v>825</v>
      </c>
      <c r="E8" s="14" t="s">
        <v>810</v>
      </c>
      <c r="F8" t="s">
        <v>498</v>
      </c>
      <c r="G8" s="33" t="s">
        <v>811</v>
      </c>
    </row>
    <row r="9" spans="1:7" ht="30" x14ac:dyDescent="0.25">
      <c r="E9" s="14" t="s">
        <v>810</v>
      </c>
      <c r="F9" t="s">
        <v>812</v>
      </c>
      <c r="G9" s="33" t="s">
        <v>813</v>
      </c>
    </row>
    <row r="10" spans="1:7" ht="30" x14ac:dyDescent="0.25">
      <c r="E10" s="14" t="s">
        <v>810</v>
      </c>
      <c r="F10" t="s">
        <v>503</v>
      </c>
      <c r="G10" s="33" t="s">
        <v>814</v>
      </c>
    </row>
    <row r="11" spans="1:7" ht="30" x14ac:dyDescent="0.25">
      <c r="E11" s="14" t="s">
        <v>810</v>
      </c>
      <c r="F11" t="s">
        <v>815</v>
      </c>
      <c r="G11" s="33" t="s">
        <v>816</v>
      </c>
    </row>
    <row r="12" spans="1:7" ht="30" x14ac:dyDescent="0.25">
      <c r="E12" s="14" t="s">
        <v>810</v>
      </c>
      <c r="F12" t="s">
        <v>501</v>
      </c>
      <c r="G12" s="33" t="s">
        <v>817</v>
      </c>
    </row>
    <row r="13" spans="1:7" ht="30" x14ac:dyDescent="0.25">
      <c r="E13" s="14" t="s">
        <v>810</v>
      </c>
      <c r="F13" t="s">
        <v>818</v>
      </c>
      <c r="G13" s="33" t="s">
        <v>819</v>
      </c>
    </row>
    <row r="14" spans="1:7" ht="30" x14ac:dyDescent="0.25">
      <c r="E14" s="14" t="s">
        <v>810</v>
      </c>
      <c r="F14" t="s">
        <v>820</v>
      </c>
      <c r="G14" s="33" t="s">
        <v>821</v>
      </c>
    </row>
    <row r="15" spans="1:7" ht="30" x14ac:dyDescent="0.25">
      <c r="E15" s="14" t="s">
        <v>810</v>
      </c>
      <c r="F15" t="s">
        <v>822</v>
      </c>
      <c r="G15" s="33" t="s">
        <v>823</v>
      </c>
    </row>
    <row r="17" spans="3:7" ht="75" x14ac:dyDescent="0.25">
      <c r="C17" s="14" t="s">
        <v>828</v>
      </c>
      <c r="D17" t="s">
        <v>505</v>
      </c>
      <c r="E17" s="14" t="s">
        <v>511</v>
      </c>
      <c r="F17" t="s">
        <v>503</v>
      </c>
      <c r="G17" s="33" t="s">
        <v>826</v>
      </c>
    </row>
    <row r="18" spans="3:7" ht="45" x14ac:dyDescent="0.25">
      <c r="E18" s="14" t="s">
        <v>511</v>
      </c>
      <c r="F18" t="s">
        <v>504</v>
      </c>
      <c r="G18" s="33" t="s">
        <v>827</v>
      </c>
    </row>
    <row r="20" spans="3:7" ht="75" x14ac:dyDescent="0.25">
      <c r="C20" s="14" t="s">
        <v>828</v>
      </c>
      <c r="D20" t="s">
        <v>507</v>
      </c>
      <c r="E20" s="14" t="s">
        <v>512</v>
      </c>
      <c r="F20" t="s">
        <v>503</v>
      </c>
      <c r="G20" s="33" t="s">
        <v>826</v>
      </c>
    </row>
    <row r="21" spans="3:7" ht="30" x14ac:dyDescent="0.25">
      <c r="E21" s="14" t="s">
        <v>512</v>
      </c>
      <c r="F21" t="s">
        <v>506</v>
      </c>
      <c r="G21" s="33" t="s">
        <v>829</v>
      </c>
    </row>
    <row r="23" spans="3:7" ht="75" x14ac:dyDescent="0.25">
      <c r="C23" s="14" t="s">
        <v>832</v>
      </c>
      <c r="D23" t="s">
        <v>497</v>
      </c>
      <c r="E23" s="14" t="s">
        <v>513</v>
      </c>
      <c r="F23" t="s">
        <v>501</v>
      </c>
      <c r="G23" s="33" t="s">
        <v>830</v>
      </c>
    </row>
    <row r="24" spans="3:7" ht="30" x14ac:dyDescent="0.25">
      <c r="E24" s="14" t="s">
        <v>513</v>
      </c>
      <c r="F24" t="s">
        <v>502</v>
      </c>
      <c r="G24" s="33" t="s">
        <v>831</v>
      </c>
    </row>
    <row r="26" spans="3:7" ht="75" x14ac:dyDescent="0.25">
      <c r="C26" s="14" t="s">
        <v>832</v>
      </c>
      <c r="D26" t="s">
        <v>497</v>
      </c>
      <c r="E26" s="14" t="s">
        <v>514</v>
      </c>
      <c r="F26" t="s">
        <v>501</v>
      </c>
      <c r="G26" s="33" t="s">
        <v>830</v>
      </c>
    </row>
    <row r="27" spans="3:7" ht="30" x14ac:dyDescent="0.25">
      <c r="E27" s="14" t="s">
        <v>514</v>
      </c>
      <c r="F27" t="s">
        <v>502</v>
      </c>
      <c r="G27" s="33" t="s">
        <v>831</v>
      </c>
    </row>
    <row r="29" spans="3:7" ht="75" x14ac:dyDescent="0.25">
      <c r="C29" s="14" t="s">
        <v>834</v>
      </c>
      <c r="D29" t="s">
        <v>500</v>
      </c>
      <c r="E29" s="14" t="s">
        <v>515</v>
      </c>
      <c r="F29" t="s">
        <v>498</v>
      </c>
      <c r="G29" s="33" t="s">
        <v>811</v>
      </c>
    </row>
    <row r="30" spans="3:7" ht="45" x14ac:dyDescent="0.25">
      <c r="E30" s="14" t="s">
        <v>515</v>
      </c>
      <c r="F30" t="s">
        <v>499</v>
      </c>
      <c r="G30" s="33" t="s">
        <v>833</v>
      </c>
    </row>
    <row r="32" spans="3:7" ht="75" x14ac:dyDescent="0.25">
      <c r="C32" s="14" t="s">
        <v>834</v>
      </c>
      <c r="D32" t="s">
        <v>500</v>
      </c>
      <c r="E32" s="14" t="s">
        <v>516</v>
      </c>
      <c r="F32" t="s">
        <v>498</v>
      </c>
      <c r="G32" s="33" t="s">
        <v>811</v>
      </c>
    </row>
    <row r="33" spans="3:7" ht="30" x14ac:dyDescent="0.25">
      <c r="E33" s="14" t="s">
        <v>516</v>
      </c>
      <c r="F33" t="s">
        <v>499</v>
      </c>
      <c r="G33" s="33" t="s">
        <v>833</v>
      </c>
    </row>
    <row r="35" spans="3:7" ht="75" x14ac:dyDescent="0.25">
      <c r="C35" s="14" t="s">
        <v>840</v>
      </c>
      <c r="D35" t="s">
        <v>841</v>
      </c>
      <c r="E35" s="14" t="s">
        <v>835</v>
      </c>
      <c r="F35" t="s">
        <v>836</v>
      </c>
      <c r="G35" s="33" t="s">
        <v>837</v>
      </c>
    </row>
    <row r="36" spans="3:7" ht="30" x14ac:dyDescent="0.25">
      <c r="E36" s="14" t="s">
        <v>835</v>
      </c>
      <c r="F36" t="s">
        <v>838</v>
      </c>
      <c r="G36" s="33" t="s">
        <v>839</v>
      </c>
    </row>
    <row r="38" spans="3:7" ht="45" x14ac:dyDescent="0.25">
      <c r="C38" t="s">
        <v>509</v>
      </c>
      <c r="D38" t="s">
        <v>510</v>
      </c>
      <c r="E38" s="14" t="s">
        <v>517</v>
      </c>
      <c r="F38" t="s">
        <v>498</v>
      </c>
      <c r="G38" s="33" t="s">
        <v>811</v>
      </c>
    </row>
    <row r="39" spans="3:7" ht="45" x14ac:dyDescent="0.25">
      <c r="E39" s="14" t="s">
        <v>517</v>
      </c>
      <c r="F39" t="s">
        <v>508</v>
      </c>
      <c r="G39" s="33" t="s">
        <v>842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518</v>
      </c>
      <c r="B1" s="26" t="s">
        <v>519</v>
      </c>
      <c r="C1" s="26" t="s">
        <v>520</v>
      </c>
      <c r="D1" s="26" t="s">
        <v>521</v>
      </c>
      <c r="E1" s="26" t="s">
        <v>522</v>
      </c>
      <c r="F1" s="26" t="s">
        <v>523</v>
      </c>
      <c r="G1" s="26"/>
      <c r="H1" s="26"/>
      <c r="I1" s="26"/>
      <c r="J1" s="26"/>
      <c r="K1" s="26"/>
      <c r="L1" s="26"/>
    </row>
    <row r="2" spans="1:12" x14ac:dyDescent="0.25">
      <c r="A2" s="26" t="s">
        <v>524</v>
      </c>
      <c r="B2" s="26" t="s">
        <v>525</v>
      </c>
      <c r="C2" s="26" t="s">
        <v>526</v>
      </c>
      <c r="D2" s="26" t="s">
        <v>527</v>
      </c>
      <c r="E2" s="26" t="s">
        <v>528</v>
      </c>
      <c r="F2" s="26" t="s">
        <v>529</v>
      </c>
      <c r="G2" s="26"/>
      <c r="H2" s="26"/>
      <c r="I2" s="26"/>
      <c r="J2" s="26"/>
      <c r="K2" s="26"/>
      <c r="L2" s="26"/>
    </row>
    <row r="3" spans="1:12" x14ac:dyDescent="0.25">
      <c r="A3" s="26" t="s">
        <v>530</v>
      </c>
      <c r="B3" s="26" t="s">
        <v>531</v>
      </c>
      <c r="C3" s="26" t="s">
        <v>526</v>
      </c>
      <c r="D3" s="26" t="s">
        <v>532</v>
      </c>
      <c r="E3" s="26" t="s">
        <v>533</v>
      </c>
      <c r="F3" s="26" t="s">
        <v>534</v>
      </c>
      <c r="G3" s="26" t="s">
        <v>535</v>
      </c>
      <c r="H3" s="26"/>
      <c r="I3" s="26"/>
      <c r="J3" s="26"/>
      <c r="K3" s="26"/>
      <c r="L3" s="26"/>
    </row>
    <row r="4" spans="1:12" x14ac:dyDescent="0.25">
      <c r="A4" s="26" t="s">
        <v>536</v>
      </c>
      <c r="B4" s="26" t="s">
        <v>537</v>
      </c>
      <c r="C4" s="26" t="s">
        <v>538</v>
      </c>
      <c r="D4" s="26" t="s">
        <v>539</v>
      </c>
      <c r="E4" s="26" t="s">
        <v>540</v>
      </c>
      <c r="F4" s="26" t="s">
        <v>537</v>
      </c>
      <c r="G4" s="26"/>
      <c r="H4" s="26"/>
      <c r="I4" s="26"/>
      <c r="J4" s="26"/>
      <c r="K4" s="26"/>
      <c r="L4" s="26"/>
    </row>
    <row r="5" spans="1:12" x14ac:dyDescent="0.25">
      <c r="A5" s="26" t="s">
        <v>541</v>
      </c>
      <c r="B5" s="26" t="s">
        <v>542</v>
      </c>
      <c r="C5" s="26" t="s">
        <v>543</v>
      </c>
      <c r="D5" s="26" t="s">
        <v>544</v>
      </c>
      <c r="E5" s="26" t="s">
        <v>545</v>
      </c>
      <c r="F5" s="26" t="s">
        <v>546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547</v>
      </c>
      <c r="B6" s="26" t="s">
        <v>548</v>
      </c>
      <c r="C6" s="26" t="s">
        <v>549</v>
      </c>
      <c r="D6" s="26" t="s">
        <v>550</v>
      </c>
      <c r="E6" s="26" t="s">
        <v>551</v>
      </c>
      <c r="F6" s="26" t="s">
        <v>552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553</v>
      </c>
      <c r="B7" s="26" t="s">
        <v>554</v>
      </c>
      <c r="C7" s="26" t="s">
        <v>555</v>
      </c>
      <c r="D7" s="26" t="s">
        <v>556</v>
      </c>
      <c r="E7" s="26" t="s">
        <v>557</v>
      </c>
      <c r="F7" s="26" t="s">
        <v>558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559</v>
      </c>
      <c r="B8" s="26" t="s">
        <v>560</v>
      </c>
      <c r="C8" s="26" t="s">
        <v>561</v>
      </c>
      <c r="D8" s="26" t="s">
        <v>562</v>
      </c>
      <c r="E8" s="26" t="s">
        <v>563</v>
      </c>
      <c r="F8" s="26" t="s">
        <v>564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565</v>
      </c>
      <c r="B9" s="26" t="s">
        <v>566</v>
      </c>
      <c r="C9" s="26" t="s">
        <v>567</v>
      </c>
      <c r="D9" s="26" t="s">
        <v>568</v>
      </c>
      <c r="E9" s="26" t="s">
        <v>569</v>
      </c>
      <c r="F9" s="26" t="s">
        <v>570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571</v>
      </c>
      <c r="B10" s="26" t="s">
        <v>572</v>
      </c>
      <c r="C10" s="26" t="s">
        <v>573</v>
      </c>
      <c r="D10" s="26" t="s">
        <v>574</v>
      </c>
      <c r="E10" s="26" t="s">
        <v>575</v>
      </c>
      <c r="F10" s="26" t="s">
        <v>576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577</v>
      </c>
      <c r="B11" s="26" t="s">
        <v>578</v>
      </c>
      <c r="C11" s="26" t="s">
        <v>579</v>
      </c>
      <c r="D11" s="26" t="s">
        <v>580</v>
      </c>
      <c r="E11" s="26" t="s">
        <v>581</v>
      </c>
      <c r="F11" s="26" t="s">
        <v>582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583</v>
      </c>
      <c r="B12" s="26" t="s">
        <v>584</v>
      </c>
      <c r="C12" s="26" t="s">
        <v>585</v>
      </c>
      <c r="D12" s="26" t="s">
        <v>586</v>
      </c>
      <c r="E12" s="26" t="s">
        <v>587</v>
      </c>
      <c r="F12" s="26" t="s">
        <v>588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589</v>
      </c>
      <c r="B13" s="26" t="s">
        <v>590</v>
      </c>
      <c r="C13" s="26" t="s">
        <v>591</v>
      </c>
      <c r="D13" s="26" t="s">
        <v>592</v>
      </c>
      <c r="E13" s="26" t="s">
        <v>593</v>
      </c>
      <c r="F13" s="26" t="s">
        <v>594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595</v>
      </c>
      <c r="B16" s="26" t="s">
        <v>596</v>
      </c>
      <c r="C16" s="26" t="s">
        <v>597</v>
      </c>
      <c r="D16" s="26" t="s">
        <v>598</v>
      </c>
      <c r="E16" s="26" t="s">
        <v>599</v>
      </c>
      <c r="F16" s="26" t="s">
        <v>600</v>
      </c>
      <c r="G16" s="26"/>
      <c r="H16" s="26"/>
      <c r="I16" s="26"/>
      <c r="J16" s="26"/>
      <c r="K16" s="26"/>
      <c r="L16" s="26"/>
    </row>
    <row r="17" spans="1:12" x14ac:dyDescent="0.25">
      <c r="A17" s="26" t="s">
        <v>601</v>
      </c>
      <c r="B17" s="26" t="s">
        <v>602</v>
      </c>
      <c r="C17" s="26" t="s">
        <v>603</v>
      </c>
      <c r="D17" s="26" t="s">
        <v>604</v>
      </c>
      <c r="E17" s="26" t="s">
        <v>605</v>
      </c>
      <c r="F17" s="26" t="s">
        <v>606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607</v>
      </c>
      <c r="B18" s="26" t="s">
        <v>590</v>
      </c>
      <c r="C18" s="26" t="s">
        <v>608</v>
      </c>
      <c r="D18" s="26" t="s">
        <v>609</v>
      </c>
      <c r="E18" s="26" t="s">
        <v>610</v>
      </c>
      <c r="F18" s="26" t="s">
        <v>611</v>
      </c>
      <c r="G18" s="26"/>
      <c r="H18" s="26"/>
      <c r="I18" s="26"/>
      <c r="J18" s="26"/>
      <c r="K18" s="26"/>
      <c r="L18" s="26"/>
    </row>
    <row r="19" spans="1:12" x14ac:dyDescent="0.25">
      <c r="A19" s="26" t="s">
        <v>612</v>
      </c>
      <c r="B19" s="26" t="s">
        <v>613</v>
      </c>
      <c r="C19" s="26" t="s">
        <v>614</v>
      </c>
      <c r="D19" s="26" t="s">
        <v>615</v>
      </c>
      <c r="E19" s="26" t="s">
        <v>616</v>
      </c>
      <c r="F19" s="26" t="s">
        <v>617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618</v>
      </c>
      <c r="B20" s="26" t="s">
        <v>619</v>
      </c>
      <c r="C20" s="26" t="s">
        <v>620</v>
      </c>
      <c r="D20" s="26" t="s">
        <v>621</v>
      </c>
      <c r="E20" s="26" t="s">
        <v>622</v>
      </c>
      <c r="F20" s="26" t="s">
        <v>623</v>
      </c>
      <c r="G20" s="26"/>
      <c r="H20" s="26"/>
      <c r="I20" s="26"/>
      <c r="J20" s="26"/>
      <c r="K20" s="26"/>
      <c r="L20" s="26"/>
    </row>
    <row r="21" spans="1:12" x14ac:dyDescent="0.25">
      <c r="A21" s="26" t="s">
        <v>624</v>
      </c>
      <c r="B21" s="26" t="s">
        <v>625</v>
      </c>
      <c r="C21" s="26" t="s">
        <v>626</v>
      </c>
      <c r="D21" s="26" t="s">
        <v>627</v>
      </c>
      <c r="E21" s="26" t="s">
        <v>628</v>
      </c>
      <c r="F21" s="26" t="s">
        <v>629</v>
      </c>
      <c r="G21" s="26"/>
      <c r="H21" s="26"/>
      <c r="I21" s="26"/>
      <c r="J21" s="26"/>
      <c r="K21" s="26"/>
      <c r="L21" s="26"/>
    </row>
    <row r="22" spans="1:12" x14ac:dyDescent="0.25">
      <c r="A22" s="26" t="s">
        <v>630</v>
      </c>
      <c r="B22" s="26" t="s">
        <v>631</v>
      </c>
      <c r="C22" s="26" t="s">
        <v>632</v>
      </c>
      <c r="D22" s="26" t="s">
        <v>633</v>
      </c>
      <c r="E22" s="26" t="s">
        <v>634</v>
      </c>
      <c r="F22" s="26" t="s">
        <v>635</v>
      </c>
      <c r="G22" s="26"/>
      <c r="H22" s="26"/>
      <c r="I22" s="26"/>
      <c r="J22" s="26" t="s">
        <v>636</v>
      </c>
      <c r="K22" s="26">
        <v>13500</v>
      </c>
      <c r="L22" s="26"/>
    </row>
    <row r="23" spans="1:12" x14ac:dyDescent="0.25">
      <c r="A23" s="26" t="s">
        <v>637</v>
      </c>
      <c r="B23" s="26" t="s">
        <v>638</v>
      </c>
      <c r="C23" s="26" t="s">
        <v>639</v>
      </c>
      <c r="D23" s="26" t="s">
        <v>640</v>
      </c>
      <c r="E23" s="26" t="s">
        <v>641</v>
      </c>
      <c r="F23" s="26" t="s">
        <v>642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643</v>
      </c>
      <c r="B24" s="26" t="s">
        <v>644</v>
      </c>
      <c r="C24" s="26" t="s">
        <v>645</v>
      </c>
      <c r="D24" s="26" t="s">
        <v>646</v>
      </c>
      <c r="E24" s="26" t="s">
        <v>647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6" customFormat="1" x14ac:dyDescent="0.25">
      <c r="A1" s="78" t="s">
        <v>917</v>
      </c>
      <c r="B1" s="76" t="s">
        <v>918</v>
      </c>
      <c r="C1" s="76" t="s">
        <v>919</v>
      </c>
      <c r="D1" s="78" t="s">
        <v>920</v>
      </c>
      <c r="E1" s="79" t="s">
        <v>921</v>
      </c>
      <c r="F1" s="76" t="s">
        <v>853</v>
      </c>
      <c r="G1" s="76" t="s">
        <v>915</v>
      </c>
      <c r="H1" s="76" t="s">
        <v>916</v>
      </c>
      <c r="I1" s="78"/>
      <c r="M1" s="78"/>
      <c r="P1" s="78"/>
    </row>
    <row r="2" spans="1:16" x14ac:dyDescent="0.25">
      <c r="A2" s="33" t="s">
        <v>719</v>
      </c>
      <c r="B2" t="s">
        <v>490</v>
      </c>
      <c r="C2" t="s">
        <v>854</v>
      </c>
      <c r="D2" s="33" t="s">
        <v>855</v>
      </c>
      <c r="E2" s="50" t="s">
        <v>855</v>
      </c>
      <c r="I2" s="33"/>
      <c r="M2" s="33"/>
      <c r="P2" s="33"/>
    </row>
    <row r="3" spans="1:16" x14ac:dyDescent="0.25">
      <c r="A3" s="33" t="s">
        <v>719</v>
      </c>
      <c r="B3" t="s">
        <v>668</v>
      </c>
      <c r="C3" t="s">
        <v>720</v>
      </c>
      <c r="D3" s="33" t="s">
        <v>721</v>
      </c>
      <c r="E3" s="50" t="s">
        <v>721</v>
      </c>
      <c r="I3" s="33"/>
      <c r="M3" s="33"/>
      <c r="P3" s="33"/>
    </row>
    <row r="4" spans="1:16" x14ac:dyDescent="0.25">
      <c r="A4" s="33" t="s">
        <v>719</v>
      </c>
      <c r="B4" t="s">
        <v>669</v>
      </c>
      <c r="C4" t="s">
        <v>722</v>
      </c>
      <c r="D4" s="33" t="s">
        <v>856</v>
      </c>
      <c r="E4" s="50" t="s">
        <v>856</v>
      </c>
      <c r="I4" s="33"/>
      <c r="M4" s="33"/>
      <c r="P4" s="33"/>
    </row>
    <row r="5" spans="1:16" x14ac:dyDescent="0.25">
      <c r="A5" s="33" t="s">
        <v>719</v>
      </c>
      <c r="B5" t="s">
        <v>670</v>
      </c>
      <c r="C5" t="s">
        <v>723</v>
      </c>
      <c r="D5" s="33" t="s">
        <v>857</v>
      </c>
      <c r="E5" s="50" t="s">
        <v>857</v>
      </c>
      <c r="I5" s="33"/>
      <c r="M5" s="33"/>
      <c r="P5" s="33"/>
    </row>
    <row r="6" spans="1:16" x14ac:dyDescent="0.25">
      <c r="A6" s="33" t="s">
        <v>719</v>
      </c>
      <c r="B6" t="s">
        <v>671</v>
      </c>
      <c r="C6" t="s">
        <v>724</v>
      </c>
      <c r="D6" s="33" t="s">
        <v>858</v>
      </c>
      <c r="E6" s="50" t="s">
        <v>858</v>
      </c>
      <c r="I6" s="33"/>
      <c r="M6" s="33"/>
      <c r="P6" s="33"/>
    </row>
    <row r="7" spans="1:16" x14ac:dyDescent="0.25">
      <c r="A7" s="33" t="s">
        <v>719</v>
      </c>
      <c r="B7" t="s">
        <v>672</v>
      </c>
      <c r="C7" t="s">
        <v>725</v>
      </c>
      <c r="D7" s="33" t="s">
        <v>726</v>
      </c>
      <c r="E7" s="50" t="s">
        <v>726</v>
      </c>
      <c r="I7" s="33"/>
      <c r="M7" s="33"/>
      <c r="P7" s="33"/>
    </row>
    <row r="8" spans="1:16" x14ac:dyDescent="0.25">
      <c r="A8" s="33" t="s">
        <v>719</v>
      </c>
      <c r="B8" t="s">
        <v>673</v>
      </c>
      <c r="C8" t="s">
        <v>727</v>
      </c>
      <c r="D8" s="33" t="s">
        <v>859</v>
      </c>
      <c r="E8" s="50" t="s">
        <v>859</v>
      </c>
      <c r="I8" s="33"/>
      <c r="M8" s="33"/>
      <c r="P8" s="33"/>
    </row>
    <row r="9" spans="1:16" x14ac:dyDescent="0.25">
      <c r="A9" s="33" t="s">
        <v>719</v>
      </c>
      <c r="B9" t="s">
        <v>674</v>
      </c>
      <c r="C9" t="s">
        <v>728</v>
      </c>
      <c r="D9" s="33" t="s">
        <v>860</v>
      </c>
      <c r="E9" s="50" t="s">
        <v>860</v>
      </c>
      <c r="I9" s="33"/>
      <c r="M9" s="33"/>
      <c r="P9" s="33"/>
    </row>
    <row r="10" spans="1:16" x14ac:dyDescent="0.25">
      <c r="A10" s="33" t="s">
        <v>719</v>
      </c>
      <c r="B10" t="s">
        <v>675</v>
      </c>
      <c r="C10" t="s">
        <v>729</v>
      </c>
      <c r="D10" s="33" t="s">
        <v>861</v>
      </c>
      <c r="E10" s="50" t="s">
        <v>861</v>
      </c>
      <c r="I10" s="33"/>
      <c r="M10" s="33"/>
      <c r="P10" s="33"/>
    </row>
    <row r="11" spans="1:16" x14ac:dyDescent="0.25">
      <c r="A11" s="33" t="s">
        <v>719</v>
      </c>
      <c r="B11" t="s">
        <v>862</v>
      </c>
      <c r="C11" t="s">
        <v>863</v>
      </c>
      <c r="D11" s="33" t="s">
        <v>864</v>
      </c>
      <c r="E11" s="50" t="s">
        <v>864</v>
      </c>
      <c r="I11" s="33"/>
      <c r="M11" s="33"/>
      <c r="P11" s="33"/>
    </row>
    <row r="12" spans="1:16" x14ac:dyDescent="0.25">
      <c r="A12" s="33" t="s">
        <v>719</v>
      </c>
      <c r="B12" t="s">
        <v>676</v>
      </c>
      <c r="C12" t="s">
        <v>730</v>
      </c>
      <c r="D12" s="33" t="s">
        <v>865</v>
      </c>
      <c r="E12" s="50" t="s">
        <v>865</v>
      </c>
      <c r="I12" s="33"/>
      <c r="M12" s="33"/>
      <c r="P12" s="33"/>
    </row>
    <row r="13" spans="1:16" x14ac:dyDescent="0.25">
      <c r="A13" s="33" t="s">
        <v>719</v>
      </c>
      <c r="B13" t="s">
        <v>866</v>
      </c>
      <c r="C13" t="s">
        <v>867</v>
      </c>
      <c r="D13" s="33" t="s">
        <v>868</v>
      </c>
      <c r="E13" s="50" t="s">
        <v>868</v>
      </c>
      <c r="I13" s="33"/>
      <c r="M13" s="33"/>
      <c r="P13" s="33"/>
    </row>
    <row r="14" spans="1:16" x14ac:dyDescent="0.25">
      <c r="A14" s="33" t="s">
        <v>719</v>
      </c>
      <c r="B14" t="s">
        <v>677</v>
      </c>
      <c r="C14" t="s">
        <v>731</v>
      </c>
      <c r="D14" s="33" t="s">
        <v>869</v>
      </c>
      <c r="E14" s="50" t="s">
        <v>869</v>
      </c>
      <c r="I14" s="33"/>
      <c r="M14" s="33"/>
      <c r="P14" s="33"/>
    </row>
    <row r="15" spans="1:16" x14ac:dyDescent="0.25">
      <c r="A15" s="33" t="s">
        <v>719</v>
      </c>
      <c r="B15" t="s">
        <v>678</v>
      </c>
      <c r="C15" t="s">
        <v>732</v>
      </c>
      <c r="D15" s="33" t="s">
        <v>679</v>
      </c>
      <c r="E15" s="50" t="s">
        <v>679</v>
      </c>
      <c r="G15" s="33" t="s">
        <v>942</v>
      </c>
      <c r="H15" s="33" t="s">
        <v>922</v>
      </c>
      <c r="I15" s="33" t="s">
        <v>679</v>
      </c>
      <c r="J15" s="33" t="s">
        <v>943</v>
      </c>
      <c r="M15" s="33"/>
      <c r="P15" s="33"/>
    </row>
    <row r="16" spans="1:16" x14ac:dyDescent="0.25">
      <c r="A16" s="33" t="s">
        <v>719</v>
      </c>
      <c r="B16" t="s">
        <v>680</v>
      </c>
      <c r="C16" t="s">
        <v>733</v>
      </c>
      <c r="D16" s="33" t="s">
        <v>681</v>
      </c>
      <c r="E16" s="50" t="s">
        <v>681</v>
      </c>
      <c r="I16" s="33"/>
      <c r="M16" s="33"/>
      <c r="P16" s="33"/>
    </row>
    <row r="17" spans="1:16" x14ac:dyDescent="0.25">
      <c r="A17" s="33" t="s">
        <v>719</v>
      </c>
      <c r="B17" t="s">
        <v>682</v>
      </c>
      <c r="C17" t="s">
        <v>734</v>
      </c>
      <c r="D17" s="33" t="s">
        <v>683</v>
      </c>
      <c r="E17" s="50" t="s">
        <v>683</v>
      </c>
      <c r="G17" s="33" t="s">
        <v>924</v>
      </c>
      <c r="H17" s="33" t="s">
        <v>923</v>
      </c>
      <c r="I17" s="33" t="s">
        <v>683</v>
      </c>
      <c r="J17" s="33" t="s">
        <v>947</v>
      </c>
      <c r="M17" s="33"/>
      <c r="P17" s="33"/>
    </row>
    <row r="18" spans="1:16" x14ac:dyDescent="0.25">
      <c r="A18" s="33" t="s">
        <v>719</v>
      </c>
      <c r="B18" t="s">
        <v>870</v>
      </c>
      <c r="C18" t="s">
        <v>871</v>
      </c>
      <c r="D18" s="33" t="s">
        <v>684</v>
      </c>
      <c r="E18" s="50" t="s">
        <v>684</v>
      </c>
      <c r="I18" s="33"/>
      <c r="M18" s="33"/>
      <c r="P18" s="33"/>
    </row>
    <row r="19" spans="1:16" x14ac:dyDescent="0.25">
      <c r="A19" s="33" t="s">
        <v>719</v>
      </c>
      <c r="B19" t="s">
        <v>872</v>
      </c>
      <c r="C19" t="s">
        <v>873</v>
      </c>
      <c r="D19" s="33" t="s">
        <v>874</v>
      </c>
      <c r="E19" s="50" t="s">
        <v>874</v>
      </c>
      <c r="I19" s="33"/>
      <c r="M19" s="33"/>
      <c r="P19" s="33"/>
    </row>
    <row r="20" spans="1:16" x14ac:dyDescent="0.25">
      <c r="A20" s="33"/>
      <c r="B20" t="s">
        <v>875</v>
      </c>
      <c r="C20" t="s">
        <v>875</v>
      </c>
      <c r="D20" s="33" t="s">
        <v>876</v>
      </c>
      <c r="E20" s="50" t="s">
        <v>876</v>
      </c>
      <c r="I20" s="33"/>
      <c r="M20" s="33"/>
      <c r="P20" s="33"/>
    </row>
    <row r="21" spans="1:16" x14ac:dyDescent="0.25">
      <c r="A21" s="33" t="s">
        <v>719</v>
      </c>
      <c r="B21" t="s">
        <v>685</v>
      </c>
      <c r="C21" t="s">
        <v>735</v>
      </c>
      <c r="D21" s="33" t="s">
        <v>736</v>
      </c>
      <c r="E21" s="50" t="s">
        <v>736</v>
      </c>
      <c r="I21" s="33"/>
      <c r="M21" s="33"/>
      <c r="P21" s="33"/>
    </row>
    <row r="22" spans="1:16" x14ac:dyDescent="0.25">
      <c r="A22" s="33" t="s">
        <v>719</v>
      </c>
      <c r="B22" t="s">
        <v>686</v>
      </c>
      <c r="C22" t="s">
        <v>737</v>
      </c>
      <c r="D22" s="33" t="s">
        <v>877</v>
      </c>
      <c r="E22" s="50" t="s">
        <v>877</v>
      </c>
      <c r="I22" s="33"/>
      <c r="M22" s="33"/>
      <c r="P22" s="33"/>
    </row>
    <row r="23" spans="1:16" x14ac:dyDescent="0.25">
      <c r="A23" s="33" t="s">
        <v>719</v>
      </c>
      <c r="B23" t="s">
        <v>687</v>
      </c>
      <c r="C23" t="s">
        <v>738</v>
      </c>
      <c r="D23" s="33" t="s">
        <v>878</v>
      </c>
      <c r="E23" s="50" t="s">
        <v>878</v>
      </c>
      <c r="I23" s="33"/>
      <c r="M23" s="33"/>
      <c r="P23" s="33"/>
    </row>
    <row r="24" spans="1:16" x14ac:dyDescent="0.25">
      <c r="A24" s="33" t="s">
        <v>719</v>
      </c>
      <c r="B24" t="s">
        <v>688</v>
      </c>
      <c r="C24" t="s">
        <v>739</v>
      </c>
      <c r="D24" s="33" t="s">
        <v>879</v>
      </c>
      <c r="E24" s="50" t="s">
        <v>879</v>
      </c>
      <c r="I24" s="33"/>
      <c r="M24" s="33"/>
      <c r="P24" s="33"/>
    </row>
    <row r="25" spans="1:16" x14ac:dyDescent="0.25">
      <c r="A25" s="33" t="s">
        <v>719</v>
      </c>
      <c r="B25" t="s">
        <v>880</v>
      </c>
      <c r="C25" t="s">
        <v>881</v>
      </c>
      <c r="D25" s="33" t="s">
        <v>882</v>
      </c>
      <c r="E25" s="50" t="s">
        <v>882</v>
      </c>
      <c r="I25" s="33"/>
      <c r="M25" s="33"/>
      <c r="P25" s="33"/>
    </row>
    <row r="26" spans="1:16" x14ac:dyDescent="0.25">
      <c r="A26" s="33" t="s">
        <v>719</v>
      </c>
      <c r="B26" t="s">
        <v>689</v>
      </c>
      <c r="C26" t="s">
        <v>740</v>
      </c>
      <c r="D26" s="33" t="s">
        <v>883</v>
      </c>
      <c r="E26" s="50" t="s">
        <v>883</v>
      </c>
      <c r="I26" s="33"/>
      <c r="M26" s="33"/>
      <c r="P26" s="33"/>
    </row>
    <row r="27" spans="1:16" x14ac:dyDescent="0.25">
      <c r="A27" s="33" t="s">
        <v>719</v>
      </c>
      <c r="B27" t="s">
        <v>690</v>
      </c>
      <c r="C27" t="s">
        <v>741</v>
      </c>
      <c r="D27" s="33" t="s">
        <v>691</v>
      </c>
      <c r="E27" s="50" t="s">
        <v>691</v>
      </c>
      <c r="G27" s="33" t="s">
        <v>948</v>
      </c>
      <c r="H27" s="33" t="s">
        <v>936</v>
      </c>
      <c r="I27" s="33" t="s">
        <v>691</v>
      </c>
      <c r="J27" s="33" t="s">
        <v>950</v>
      </c>
      <c r="M27" s="33"/>
      <c r="P27" s="33"/>
    </row>
    <row r="28" spans="1:16" x14ac:dyDescent="0.25">
      <c r="A28" s="33" t="s">
        <v>719</v>
      </c>
      <c r="B28" t="s">
        <v>692</v>
      </c>
      <c r="C28" t="s">
        <v>742</v>
      </c>
      <c r="D28" s="33" t="s">
        <v>693</v>
      </c>
      <c r="E28" s="50" t="s">
        <v>693</v>
      </c>
      <c r="I28" s="33"/>
      <c r="M28" s="33"/>
      <c r="P28" s="33"/>
    </row>
    <row r="29" spans="1:16" x14ac:dyDescent="0.25">
      <c r="A29" s="33" t="s">
        <v>719</v>
      </c>
      <c r="B29" t="s">
        <v>694</v>
      </c>
      <c r="C29" t="s">
        <v>743</v>
      </c>
      <c r="D29" s="33" t="s">
        <v>695</v>
      </c>
      <c r="E29" s="50" t="s">
        <v>695</v>
      </c>
      <c r="G29" t="s">
        <v>937</v>
      </c>
      <c r="H29" t="s">
        <v>938</v>
      </c>
      <c r="I29" s="33"/>
      <c r="M29" s="33"/>
      <c r="P29" s="33"/>
    </row>
    <row r="30" spans="1:16" x14ac:dyDescent="0.25">
      <c r="A30" s="33" t="s">
        <v>719</v>
      </c>
      <c r="B30" t="s">
        <v>696</v>
      </c>
      <c r="C30" t="s">
        <v>744</v>
      </c>
      <c r="D30" s="33" t="s">
        <v>697</v>
      </c>
      <c r="E30" s="50" t="s">
        <v>697</v>
      </c>
      <c r="I30" s="33"/>
      <c r="M30" s="33"/>
      <c r="P30" s="33"/>
    </row>
    <row r="31" spans="1:16" x14ac:dyDescent="0.25">
      <c r="A31" s="33" t="s">
        <v>719</v>
      </c>
      <c r="B31" t="s">
        <v>884</v>
      </c>
      <c r="C31" t="s">
        <v>885</v>
      </c>
      <c r="D31" s="33" t="s">
        <v>886</v>
      </c>
      <c r="E31" s="50" t="s">
        <v>886</v>
      </c>
      <c r="I31" s="33"/>
      <c r="M31" s="33"/>
      <c r="P31" s="33"/>
    </row>
    <row r="32" spans="1:16" x14ac:dyDescent="0.25">
      <c r="A32" s="33" t="s">
        <v>719</v>
      </c>
      <c r="B32" t="s">
        <v>698</v>
      </c>
      <c r="C32" t="s">
        <v>745</v>
      </c>
      <c r="D32" s="33" t="s">
        <v>887</v>
      </c>
      <c r="E32" s="50" t="s">
        <v>887</v>
      </c>
      <c r="I32" s="33"/>
      <c r="M32" s="33"/>
      <c r="P32" s="33"/>
    </row>
    <row r="33" spans="1:16" x14ac:dyDescent="0.25">
      <c r="A33" s="33" t="s">
        <v>719</v>
      </c>
      <c r="B33" t="s">
        <v>699</v>
      </c>
      <c r="C33" t="s">
        <v>746</v>
      </c>
      <c r="D33" s="33" t="s">
        <v>888</v>
      </c>
      <c r="E33" s="50" t="s">
        <v>888</v>
      </c>
      <c r="I33" s="33"/>
      <c r="M33" s="33"/>
      <c r="P33" s="33"/>
    </row>
    <row r="34" spans="1:16" x14ac:dyDescent="0.25">
      <c r="A34" s="33" t="s">
        <v>719</v>
      </c>
      <c r="B34" t="s">
        <v>700</v>
      </c>
      <c r="C34" t="s">
        <v>747</v>
      </c>
      <c r="D34" s="33" t="s">
        <v>889</v>
      </c>
      <c r="E34" s="50" t="s">
        <v>889</v>
      </c>
      <c r="I34" s="33"/>
      <c r="M34" s="33"/>
      <c r="P34" s="33"/>
    </row>
    <row r="35" spans="1:16" x14ac:dyDescent="0.25">
      <c r="A35" s="33" t="s">
        <v>719</v>
      </c>
      <c r="B35" t="s">
        <v>890</v>
      </c>
      <c r="C35" t="s">
        <v>891</v>
      </c>
      <c r="D35" s="33" t="s">
        <v>892</v>
      </c>
      <c r="E35" s="50" t="s">
        <v>892</v>
      </c>
      <c r="I35" s="33"/>
      <c r="M35" s="33"/>
      <c r="P35" s="33"/>
    </row>
    <row r="36" spans="1:16" x14ac:dyDescent="0.25">
      <c r="A36" s="33" t="s">
        <v>719</v>
      </c>
      <c r="B36" t="s">
        <v>701</v>
      </c>
      <c r="C36" t="s">
        <v>748</v>
      </c>
      <c r="D36" s="33" t="s">
        <v>893</v>
      </c>
      <c r="E36" s="50" t="s">
        <v>893</v>
      </c>
      <c r="I36" s="33"/>
      <c r="M36" s="33"/>
      <c r="P36" s="33"/>
    </row>
    <row r="37" spans="1:16" x14ac:dyDescent="0.25">
      <c r="A37" s="33" t="s">
        <v>719</v>
      </c>
      <c r="B37" t="s">
        <v>894</v>
      </c>
      <c r="C37" t="s">
        <v>895</v>
      </c>
      <c r="D37" s="33" t="s">
        <v>896</v>
      </c>
      <c r="E37" s="50" t="s">
        <v>896</v>
      </c>
      <c r="I37" s="33"/>
      <c r="M37" s="33"/>
      <c r="P37" s="33"/>
    </row>
    <row r="38" spans="1:16" x14ac:dyDescent="0.25">
      <c r="A38" s="33" t="s">
        <v>719</v>
      </c>
      <c r="B38" t="s">
        <v>702</v>
      </c>
      <c r="C38" t="s">
        <v>749</v>
      </c>
      <c r="D38" s="33" t="s">
        <v>703</v>
      </c>
      <c r="E38" s="50" t="s">
        <v>703</v>
      </c>
      <c r="G38" s="33" t="s">
        <v>949</v>
      </c>
      <c r="H38" s="33" t="s">
        <v>939</v>
      </c>
      <c r="I38" s="33" t="s">
        <v>703</v>
      </c>
      <c r="J38" s="33" t="s">
        <v>951</v>
      </c>
      <c r="M38" s="33"/>
      <c r="P38" s="33"/>
    </row>
    <row r="39" spans="1:16" x14ac:dyDescent="0.25">
      <c r="A39" s="33" t="s">
        <v>719</v>
      </c>
      <c r="B39" t="s">
        <v>704</v>
      </c>
      <c r="C39" t="s">
        <v>750</v>
      </c>
      <c r="D39" s="33" t="s">
        <v>705</v>
      </c>
      <c r="E39" s="50" t="s">
        <v>705</v>
      </c>
      <c r="I39" s="33"/>
      <c r="M39" s="33"/>
      <c r="P39" s="33"/>
    </row>
    <row r="40" spans="1:16" x14ac:dyDescent="0.25">
      <c r="A40" s="33" t="s">
        <v>719</v>
      </c>
      <c r="B40" t="s">
        <v>706</v>
      </c>
      <c r="C40" t="s">
        <v>751</v>
      </c>
      <c r="D40" s="33" t="s">
        <v>707</v>
      </c>
      <c r="E40" s="50" t="s">
        <v>707</v>
      </c>
      <c r="G40" t="s">
        <v>940</v>
      </c>
      <c r="H40" t="s">
        <v>941</v>
      </c>
      <c r="I40" s="33"/>
      <c r="M40" s="33"/>
      <c r="P40" s="33"/>
    </row>
    <row r="41" spans="1:16" x14ac:dyDescent="0.25">
      <c r="A41" s="33" t="s">
        <v>719</v>
      </c>
      <c r="B41" t="s">
        <v>708</v>
      </c>
      <c r="C41" t="s">
        <v>752</v>
      </c>
      <c r="D41" s="33" t="s">
        <v>709</v>
      </c>
      <c r="E41" s="50" t="s">
        <v>709</v>
      </c>
      <c r="I41" s="33"/>
      <c r="M41" s="33"/>
      <c r="P41" s="33"/>
    </row>
    <row r="42" spans="1:16" x14ac:dyDescent="0.25">
      <c r="A42" s="33" t="s">
        <v>719</v>
      </c>
      <c r="B42" t="s">
        <v>897</v>
      </c>
      <c r="C42" t="s">
        <v>898</v>
      </c>
      <c r="D42" s="33" t="s">
        <v>899</v>
      </c>
      <c r="E42" s="50" t="s">
        <v>899</v>
      </c>
      <c r="I42" s="33"/>
      <c r="M42" s="33"/>
      <c r="P42" s="33"/>
    </row>
    <row r="43" spans="1:16" x14ac:dyDescent="0.25">
      <c r="A43" s="33" t="s">
        <v>719</v>
      </c>
      <c r="B43" t="s">
        <v>207</v>
      </c>
      <c r="C43" t="s">
        <v>753</v>
      </c>
      <c r="D43" s="33" t="s">
        <v>754</v>
      </c>
      <c r="E43" s="50" t="s">
        <v>754</v>
      </c>
      <c r="I43" s="33"/>
      <c r="M43" s="33"/>
      <c r="P43" s="33"/>
    </row>
    <row r="44" spans="1:16" x14ac:dyDescent="0.25">
      <c r="A44" s="33" t="s">
        <v>719</v>
      </c>
      <c r="B44" t="s">
        <v>710</v>
      </c>
      <c r="C44" t="s">
        <v>755</v>
      </c>
      <c r="D44" s="33" t="s">
        <v>900</v>
      </c>
      <c r="E44" s="50" t="s">
        <v>900</v>
      </c>
      <c r="I44" s="33"/>
      <c r="M44" s="33"/>
      <c r="P44" s="33"/>
    </row>
    <row r="45" spans="1:16" x14ac:dyDescent="0.25">
      <c r="A45" s="33" t="s">
        <v>719</v>
      </c>
      <c r="B45" t="s">
        <v>711</v>
      </c>
      <c r="C45" t="s">
        <v>756</v>
      </c>
      <c r="D45" s="33" t="s">
        <v>901</v>
      </c>
      <c r="E45" s="50" t="s">
        <v>901</v>
      </c>
      <c r="I45" s="33"/>
      <c r="M45" s="33"/>
      <c r="P45" s="33"/>
    </row>
    <row r="46" spans="1:16" x14ac:dyDescent="0.25">
      <c r="A46" s="33" t="s">
        <v>719</v>
      </c>
      <c r="B46" t="s">
        <v>712</v>
      </c>
      <c r="C46" t="s">
        <v>757</v>
      </c>
      <c r="D46" s="33" t="s">
        <v>902</v>
      </c>
      <c r="E46" s="50" t="s">
        <v>902</v>
      </c>
      <c r="I46" s="33"/>
      <c r="M46" s="33"/>
      <c r="P46" s="33"/>
    </row>
    <row r="47" spans="1:16" x14ac:dyDescent="0.25">
      <c r="A47" s="33" t="s">
        <v>719</v>
      </c>
      <c r="B47" t="s">
        <v>903</v>
      </c>
      <c r="C47" t="s">
        <v>904</v>
      </c>
      <c r="D47" s="33" t="s">
        <v>905</v>
      </c>
      <c r="E47" s="50" t="s">
        <v>905</v>
      </c>
      <c r="I47" s="33"/>
      <c r="M47" s="33"/>
      <c r="P47" s="33"/>
    </row>
    <row r="48" spans="1:16" x14ac:dyDescent="0.25">
      <c r="A48" s="33" t="s">
        <v>719</v>
      </c>
      <c r="B48" t="s">
        <v>906</v>
      </c>
      <c r="C48" t="s">
        <v>907</v>
      </c>
      <c r="D48" s="33" t="s">
        <v>908</v>
      </c>
      <c r="E48" s="50" t="s">
        <v>908</v>
      </c>
      <c r="I48" s="33"/>
      <c r="M48" s="33"/>
      <c r="P48" s="33"/>
    </row>
    <row r="49" spans="1:16" x14ac:dyDescent="0.25">
      <c r="A49" s="33" t="s">
        <v>719</v>
      </c>
      <c r="B49" t="s">
        <v>713</v>
      </c>
      <c r="C49" t="s">
        <v>758</v>
      </c>
      <c r="D49" s="33" t="s">
        <v>909</v>
      </c>
      <c r="E49" s="50" t="s">
        <v>909</v>
      </c>
      <c r="I49" s="33"/>
      <c r="M49" s="33"/>
      <c r="P49" s="33"/>
    </row>
    <row r="50" spans="1:16" x14ac:dyDescent="0.25">
      <c r="B50" t="s">
        <v>910</v>
      </c>
      <c r="C50" t="s">
        <v>910</v>
      </c>
      <c r="D50" s="33" t="s">
        <v>911</v>
      </c>
      <c r="E50" s="50" t="s">
        <v>911</v>
      </c>
      <c r="I50" s="33"/>
      <c r="M50" s="33"/>
      <c r="P50" s="33"/>
    </row>
    <row r="51" spans="1:16" x14ac:dyDescent="0.25">
      <c r="A51" s="33" t="s">
        <v>719</v>
      </c>
      <c r="B51" t="s">
        <v>714</v>
      </c>
      <c r="C51" t="s">
        <v>759</v>
      </c>
      <c r="D51" s="33" t="s">
        <v>927</v>
      </c>
      <c r="E51" s="50" t="s">
        <v>927</v>
      </c>
      <c r="G51" s="33" t="s">
        <v>933</v>
      </c>
      <c r="H51" s="33" t="s">
        <v>932</v>
      </c>
      <c r="I51" s="33" t="s">
        <v>927</v>
      </c>
      <c r="J51" s="33" t="s">
        <v>952</v>
      </c>
      <c r="M51" s="33"/>
      <c r="P51" s="33"/>
    </row>
    <row r="52" spans="1:16" x14ac:dyDescent="0.25">
      <c r="A52" s="33" t="s">
        <v>719</v>
      </c>
      <c r="B52" t="s">
        <v>715</v>
      </c>
      <c r="C52" t="s">
        <v>760</v>
      </c>
      <c r="D52" s="33" t="s">
        <v>928</v>
      </c>
      <c r="E52" s="50" t="s">
        <v>928</v>
      </c>
      <c r="G52" s="26"/>
      <c r="H52" s="26"/>
      <c r="I52" s="33"/>
      <c r="M52" s="33"/>
      <c r="P52" s="33"/>
    </row>
    <row r="53" spans="1:16" x14ac:dyDescent="0.25">
      <c r="A53" s="33" t="s">
        <v>719</v>
      </c>
      <c r="B53" t="s">
        <v>716</v>
      </c>
      <c r="C53" t="s">
        <v>761</v>
      </c>
      <c r="D53" s="33" t="s">
        <v>929</v>
      </c>
      <c r="E53" s="50" t="s">
        <v>929</v>
      </c>
      <c r="G53" s="26"/>
      <c r="H53" s="26"/>
      <c r="I53" s="33"/>
      <c r="M53" s="33"/>
      <c r="P53" s="33"/>
    </row>
    <row r="54" spans="1:16" s="26" customFormat="1" x14ac:dyDescent="0.25">
      <c r="A54" s="33" t="s">
        <v>719</v>
      </c>
      <c r="B54" s="26" t="s">
        <v>717</v>
      </c>
      <c r="C54" s="26" t="s">
        <v>762</v>
      </c>
      <c r="D54" s="33" t="s">
        <v>930</v>
      </c>
      <c r="E54" s="50"/>
      <c r="G54" s="26" t="s">
        <v>934</v>
      </c>
      <c r="H54" s="26" t="s">
        <v>935</v>
      </c>
      <c r="I54" s="33"/>
      <c r="M54" s="33"/>
      <c r="P54" s="33"/>
    </row>
    <row r="55" spans="1:16" x14ac:dyDescent="0.25">
      <c r="A55" s="33" t="s">
        <v>719</v>
      </c>
      <c r="B55" t="s">
        <v>718</v>
      </c>
      <c r="C55" t="s">
        <v>763</v>
      </c>
      <c r="D55" s="33" t="s">
        <v>931</v>
      </c>
      <c r="E55" s="50" t="s">
        <v>931</v>
      </c>
      <c r="G55" s="26"/>
      <c r="H55" s="26"/>
      <c r="I55" s="33"/>
      <c r="M55" s="33"/>
      <c r="P55" s="33"/>
    </row>
    <row r="56" spans="1:16" x14ac:dyDescent="0.25">
      <c r="A56" s="33" t="s">
        <v>719</v>
      </c>
      <c r="B56" t="s">
        <v>912</v>
      </c>
      <c r="C56" t="s">
        <v>913</v>
      </c>
      <c r="D56" s="33" t="s">
        <v>914</v>
      </c>
      <c r="E56" s="50" t="s">
        <v>914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6" customFormat="1" x14ac:dyDescent="0.25">
      <c r="A59" s="76" t="s">
        <v>1033</v>
      </c>
      <c r="B59" s="76" t="s">
        <v>1032</v>
      </c>
      <c r="C59" s="77" t="s">
        <v>919</v>
      </c>
      <c r="D59" s="78" t="s">
        <v>920</v>
      </c>
      <c r="E59" s="78" t="s">
        <v>921</v>
      </c>
      <c r="H59" s="78"/>
    </row>
    <row r="60" spans="1:16" x14ac:dyDescent="0.25">
      <c r="A60" s="33" t="s">
        <v>1036</v>
      </c>
      <c r="B60" t="s">
        <v>1032</v>
      </c>
      <c r="C60" s="28" t="s">
        <v>1034</v>
      </c>
      <c r="D60" s="33" t="s">
        <v>1035</v>
      </c>
      <c r="E60" s="33" t="s">
        <v>1035</v>
      </c>
      <c r="H60" s="33"/>
    </row>
    <row r="61" spans="1:16" x14ac:dyDescent="0.25">
      <c r="A61" t="s">
        <v>719</v>
      </c>
      <c r="B61" t="s">
        <v>490</v>
      </c>
      <c r="C61" s="50" t="s">
        <v>1037</v>
      </c>
      <c r="D61" s="33" t="s">
        <v>1038</v>
      </c>
      <c r="E61" s="33" t="s">
        <v>1038</v>
      </c>
      <c r="H61" s="33"/>
    </row>
    <row r="62" spans="1:16" x14ac:dyDescent="0.25">
      <c r="A62" t="s">
        <v>719</v>
      </c>
      <c r="B62" t="s">
        <v>1039</v>
      </c>
      <c r="C62" s="28" t="s">
        <v>854</v>
      </c>
      <c r="D62" s="33" t="s">
        <v>855</v>
      </c>
      <c r="E62" s="33" t="s">
        <v>855</v>
      </c>
      <c r="H62" s="33"/>
    </row>
    <row r="63" spans="1:16" x14ac:dyDescent="0.25">
      <c r="A63" t="s">
        <v>719</v>
      </c>
      <c r="B63" t="s">
        <v>1042</v>
      </c>
      <c r="C63" s="28" t="s">
        <v>1040</v>
      </c>
      <c r="D63" s="33" t="s">
        <v>1041</v>
      </c>
      <c r="E63" s="33" t="s">
        <v>1041</v>
      </c>
      <c r="H63" s="33"/>
    </row>
    <row r="64" spans="1:16" x14ac:dyDescent="0.25">
      <c r="A64" t="s">
        <v>719</v>
      </c>
      <c r="B64" t="s">
        <v>1045</v>
      </c>
      <c r="C64" s="28" t="s">
        <v>1043</v>
      </c>
      <c r="D64" s="33" t="s">
        <v>1044</v>
      </c>
      <c r="E64" s="33" t="s">
        <v>1044</v>
      </c>
      <c r="H64" s="33"/>
    </row>
    <row r="65" spans="1:8" x14ac:dyDescent="0.25">
      <c r="A65" t="s">
        <v>719</v>
      </c>
      <c r="B65" t="s">
        <v>1048</v>
      </c>
      <c r="C65" s="28" t="s">
        <v>1046</v>
      </c>
      <c r="D65" s="33" t="s">
        <v>1047</v>
      </c>
      <c r="E65" s="33" t="s">
        <v>1047</v>
      </c>
      <c r="H65" s="33"/>
    </row>
    <row r="66" spans="1:8" x14ac:dyDescent="0.25">
      <c r="A66" t="s">
        <v>719</v>
      </c>
      <c r="B66" t="s">
        <v>1050</v>
      </c>
      <c r="C66" s="28" t="s">
        <v>1049</v>
      </c>
      <c r="D66" s="33" t="s">
        <v>709</v>
      </c>
      <c r="E66" s="33" t="s">
        <v>709</v>
      </c>
      <c r="H66" s="33"/>
    </row>
    <row r="67" spans="1:8" x14ac:dyDescent="0.25">
      <c r="A67" t="s">
        <v>719</v>
      </c>
      <c r="B67" t="s">
        <v>1053</v>
      </c>
      <c r="C67" s="28" t="s">
        <v>1051</v>
      </c>
      <c r="D67" s="33" t="s">
        <v>1052</v>
      </c>
      <c r="E67" s="33" t="s">
        <v>1052</v>
      </c>
    </row>
    <row r="68" spans="1:8" x14ac:dyDescent="0.25">
      <c r="A68" t="s">
        <v>719</v>
      </c>
      <c r="B68" t="s">
        <v>1056</v>
      </c>
      <c r="C68" s="28" t="s">
        <v>1054</v>
      </c>
      <c r="D68" s="33" t="s">
        <v>1055</v>
      </c>
      <c r="E68" s="33" t="s">
        <v>1055</v>
      </c>
    </row>
    <row r="69" spans="1:8" x14ac:dyDescent="0.25">
      <c r="A69" t="s">
        <v>719</v>
      </c>
      <c r="B69" t="s">
        <v>668</v>
      </c>
      <c r="C69" s="28" t="s">
        <v>1057</v>
      </c>
      <c r="D69" s="33" t="s">
        <v>1058</v>
      </c>
      <c r="E69" s="33" t="s">
        <v>1058</v>
      </c>
    </row>
    <row r="70" spans="1:8" x14ac:dyDescent="0.25">
      <c r="A70" t="s">
        <v>719</v>
      </c>
      <c r="B70" t="s">
        <v>1059</v>
      </c>
      <c r="C70" s="28" t="s">
        <v>720</v>
      </c>
      <c r="D70" s="33" t="s">
        <v>721</v>
      </c>
      <c r="E70" s="33" t="s">
        <v>721</v>
      </c>
    </row>
    <row r="71" spans="1:8" x14ac:dyDescent="0.25">
      <c r="A71" t="s">
        <v>719</v>
      </c>
      <c r="B71" t="s">
        <v>669</v>
      </c>
      <c r="C71" s="28" t="s">
        <v>1060</v>
      </c>
      <c r="D71" s="33" t="s">
        <v>1061</v>
      </c>
      <c r="E71" s="33" t="s">
        <v>1061</v>
      </c>
    </row>
    <row r="72" spans="1:8" x14ac:dyDescent="0.25">
      <c r="A72" t="s">
        <v>719</v>
      </c>
      <c r="B72" t="s">
        <v>670</v>
      </c>
      <c r="C72" s="28" t="s">
        <v>722</v>
      </c>
      <c r="D72" s="33" t="s">
        <v>1062</v>
      </c>
      <c r="E72" s="33" t="s">
        <v>1062</v>
      </c>
    </row>
    <row r="73" spans="1:8" x14ac:dyDescent="0.25">
      <c r="A73" t="s">
        <v>719</v>
      </c>
      <c r="B73" t="s">
        <v>671</v>
      </c>
      <c r="C73" s="28" t="s">
        <v>723</v>
      </c>
      <c r="D73" s="33" t="s">
        <v>1063</v>
      </c>
      <c r="E73" s="33" t="s">
        <v>1063</v>
      </c>
    </row>
    <row r="74" spans="1:8" x14ac:dyDescent="0.25">
      <c r="A74" t="s">
        <v>719</v>
      </c>
      <c r="B74" t="s">
        <v>672</v>
      </c>
      <c r="C74" s="28" t="s">
        <v>724</v>
      </c>
      <c r="D74" s="33" t="s">
        <v>1064</v>
      </c>
      <c r="E74" s="33" t="s">
        <v>1064</v>
      </c>
    </row>
    <row r="75" spans="1:8" x14ac:dyDescent="0.25">
      <c r="A75" t="s">
        <v>719</v>
      </c>
      <c r="B75" t="s">
        <v>1065</v>
      </c>
      <c r="C75" s="50" t="s">
        <v>725</v>
      </c>
      <c r="D75" s="33" t="s">
        <v>726</v>
      </c>
      <c r="E75" s="33" t="s">
        <v>726</v>
      </c>
    </row>
    <row r="76" spans="1:8" x14ac:dyDescent="0.25">
      <c r="A76" s="33" t="s">
        <v>719</v>
      </c>
      <c r="B76" t="s">
        <v>673</v>
      </c>
      <c r="C76" s="50" t="s">
        <v>1066</v>
      </c>
      <c r="D76" s="33" t="s">
        <v>1067</v>
      </c>
      <c r="E76" s="33" t="s">
        <v>1067</v>
      </c>
    </row>
    <row r="77" spans="1:8" x14ac:dyDescent="0.25">
      <c r="A77" s="33" t="s">
        <v>719</v>
      </c>
      <c r="B77" t="s">
        <v>674</v>
      </c>
      <c r="C77" s="50" t="s">
        <v>727</v>
      </c>
      <c r="D77" s="33" t="s">
        <v>1068</v>
      </c>
      <c r="E77" s="33" t="s">
        <v>1068</v>
      </c>
    </row>
    <row r="78" spans="1:8" x14ac:dyDescent="0.25">
      <c r="A78" s="33" t="s">
        <v>719</v>
      </c>
      <c r="B78" t="s">
        <v>675</v>
      </c>
      <c r="C78" s="50" t="s">
        <v>728</v>
      </c>
      <c r="D78" s="33" t="s">
        <v>1069</v>
      </c>
      <c r="E78" s="33" t="s">
        <v>1069</v>
      </c>
    </row>
    <row r="79" spans="1:8" x14ac:dyDescent="0.25">
      <c r="A79" s="33" t="s">
        <v>719</v>
      </c>
      <c r="B79" t="s">
        <v>862</v>
      </c>
      <c r="C79" s="50" t="s">
        <v>729</v>
      </c>
      <c r="D79" s="33" t="s">
        <v>1070</v>
      </c>
      <c r="E79" s="33" t="s">
        <v>1070</v>
      </c>
    </row>
    <row r="80" spans="1:8" x14ac:dyDescent="0.25">
      <c r="A80" s="33" t="s">
        <v>719</v>
      </c>
      <c r="B80" t="s">
        <v>676</v>
      </c>
      <c r="C80" s="50" t="s">
        <v>863</v>
      </c>
      <c r="D80" s="33" t="s">
        <v>864</v>
      </c>
      <c r="E80" s="33" t="s">
        <v>864</v>
      </c>
    </row>
    <row r="81" spans="1:5" x14ac:dyDescent="0.25">
      <c r="A81" s="33" t="s">
        <v>719</v>
      </c>
      <c r="B81" t="s">
        <v>866</v>
      </c>
      <c r="C81" s="50" t="s">
        <v>730</v>
      </c>
      <c r="D81" s="33" t="s">
        <v>1071</v>
      </c>
      <c r="E81" s="33" t="s">
        <v>1071</v>
      </c>
    </row>
    <row r="82" spans="1:5" x14ac:dyDescent="0.25">
      <c r="A82" s="33" t="s">
        <v>719</v>
      </c>
      <c r="B82" t="s">
        <v>1072</v>
      </c>
      <c r="C82" s="50" t="s">
        <v>867</v>
      </c>
      <c r="D82" s="33" t="s">
        <v>868</v>
      </c>
      <c r="E82" s="33" t="s">
        <v>868</v>
      </c>
    </row>
    <row r="83" spans="1:5" x14ac:dyDescent="0.25">
      <c r="A83" t="s">
        <v>719</v>
      </c>
      <c r="B83" t="s">
        <v>677</v>
      </c>
      <c r="C83" s="28" t="s">
        <v>1073</v>
      </c>
      <c r="D83" s="33" t="s">
        <v>1074</v>
      </c>
      <c r="E83" s="33" t="s">
        <v>1074</v>
      </c>
    </row>
    <row r="84" spans="1:5" x14ac:dyDescent="0.25">
      <c r="A84" t="s">
        <v>719</v>
      </c>
      <c r="B84" t="s">
        <v>678</v>
      </c>
      <c r="C84" s="28" t="s">
        <v>731</v>
      </c>
      <c r="D84" s="33" t="s">
        <v>1075</v>
      </c>
      <c r="E84" s="33" t="s">
        <v>1075</v>
      </c>
    </row>
    <row r="85" spans="1:5" x14ac:dyDescent="0.25">
      <c r="A85" t="s">
        <v>719</v>
      </c>
      <c r="B85" t="s">
        <v>680</v>
      </c>
      <c r="C85" s="28" t="s">
        <v>732</v>
      </c>
      <c r="D85" s="33" t="s">
        <v>943</v>
      </c>
      <c r="E85" s="33" t="s">
        <v>943</v>
      </c>
    </row>
    <row r="86" spans="1:5" x14ac:dyDescent="0.25">
      <c r="A86" t="s">
        <v>719</v>
      </c>
      <c r="B86" t="s">
        <v>682</v>
      </c>
      <c r="C86" s="28" t="s">
        <v>733</v>
      </c>
      <c r="D86" s="33" t="s">
        <v>681</v>
      </c>
      <c r="E86" s="33" t="s">
        <v>681</v>
      </c>
    </row>
    <row r="87" spans="1:5" x14ac:dyDescent="0.25">
      <c r="A87" t="s">
        <v>719</v>
      </c>
      <c r="B87" t="s">
        <v>870</v>
      </c>
      <c r="C87" s="28" t="s">
        <v>734</v>
      </c>
      <c r="D87" s="33" t="s">
        <v>947</v>
      </c>
      <c r="E87" s="33" t="s">
        <v>947</v>
      </c>
    </row>
    <row r="88" spans="1:5" x14ac:dyDescent="0.25">
      <c r="A88" t="s">
        <v>719</v>
      </c>
      <c r="B88" t="s">
        <v>1076</v>
      </c>
      <c r="C88" s="28" t="s">
        <v>871</v>
      </c>
      <c r="D88" s="33" t="s">
        <v>684</v>
      </c>
      <c r="E88" s="33" t="s">
        <v>684</v>
      </c>
    </row>
    <row r="89" spans="1:5" x14ac:dyDescent="0.25">
      <c r="A89" t="s">
        <v>719</v>
      </c>
      <c r="B89" t="s">
        <v>872</v>
      </c>
      <c r="C89" s="28" t="s">
        <v>1077</v>
      </c>
      <c r="D89" s="33" t="s">
        <v>1078</v>
      </c>
      <c r="E89" s="33" t="s">
        <v>1078</v>
      </c>
    </row>
    <row r="90" spans="1:5" x14ac:dyDescent="0.25">
      <c r="B90" t="s">
        <v>875</v>
      </c>
      <c r="C90" s="28" t="s">
        <v>873</v>
      </c>
      <c r="D90" s="33" t="s">
        <v>1079</v>
      </c>
      <c r="E90" s="33" t="s">
        <v>1079</v>
      </c>
    </row>
    <row r="91" spans="1:5" x14ac:dyDescent="0.25">
      <c r="A91" t="s">
        <v>719</v>
      </c>
      <c r="B91" t="s">
        <v>685</v>
      </c>
      <c r="C91" s="28" t="s">
        <v>875</v>
      </c>
      <c r="D91" s="33" t="s">
        <v>1080</v>
      </c>
      <c r="E91" s="33" t="s">
        <v>1080</v>
      </c>
    </row>
    <row r="92" spans="1:5" x14ac:dyDescent="0.25">
      <c r="A92" t="s">
        <v>719</v>
      </c>
      <c r="B92" t="s">
        <v>1081</v>
      </c>
      <c r="C92" s="28" t="s">
        <v>735</v>
      </c>
      <c r="D92" s="33" t="s">
        <v>736</v>
      </c>
      <c r="E92" s="33" t="s">
        <v>736</v>
      </c>
    </row>
    <row r="93" spans="1:5" x14ac:dyDescent="0.25">
      <c r="A93" t="s">
        <v>719</v>
      </c>
      <c r="B93" t="s">
        <v>686</v>
      </c>
      <c r="C93" s="28" t="s">
        <v>1082</v>
      </c>
      <c r="D93" s="33" t="s">
        <v>1083</v>
      </c>
      <c r="E93" s="33" t="s">
        <v>1083</v>
      </c>
    </row>
    <row r="94" spans="1:5" x14ac:dyDescent="0.25">
      <c r="A94" t="s">
        <v>719</v>
      </c>
      <c r="B94" t="s">
        <v>687</v>
      </c>
      <c r="C94" s="28" t="s">
        <v>737</v>
      </c>
      <c r="D94" s="33" t="s">
        <v>1084</v>
      </c>
      <c r="E94" s="33" t="s">
        <v>1084</v>
      </c>
    </row>
    <row r="95" spans="1:5" x14ac:dyDescent="0.25">
      <c r="A95" t="s">
        <v>719</v>
      </c>
      <c r="B95" t="s">
        <v>688</v>
      </c>
      <c r="C95" s="28" t="s">
        <v>738</v>
      </c>
      <c r="D95" s="33" t="s">
        <v>1085</v>
      </c>
      <c r="E95" s="33" t="s">
        <v>1085</v>
      </c>
    </row>
    <row r="96" spans="1:5" x14ac:dyDescent="0.25">
      <c r="A96" t="s">
        <v>719</v>
      </c>
      <c r="B96" t="s">
        <v>880</v>
      </c>
      <c r="C96" s="28" t="s">
        <v>739</v>
      </c>
      <c r="D96" s="33" t="s">
        <v>1086</v>
      </c>
      <c r="E96" s="33" t="s">
        <v>1086</v>
      </c>
    </row>
    <row r="97" spans="1:5" x14ac:dyDescent="0.25">
      <c r="A97" t="s">
        <v>719</v>
      </c>
      <c r="B97" t="s">
        <v>1087</v>
      </c>
      <c r="C97" s="28" t="s">
        <v>881</v>
      </c>
      <c r="D97" s="33" t="s">
        <v>882</v>
      </c>
      <c r="E97" s="33" t="s">
        <v>882</v>
      </c>
    </row>
    <row r="98" spans="1:5" x14ac:dyDescent="0.25">
      <c r="A98" t="s">
        <v>719</v>
      </c>
      <c r="B98" t="s">
        <v>689</v>
      </c>
      <c r="C98" s="28" t="s">
        <v>1088</v>
      </c>
      <c r="D98" s="33" t="s">
        <v>1089</v>
      </c>
      <c r="E98" s="33" t="s">
        <v>1089</v>
      </c>
    </row>
    <row r="99" spans="1:5" x14ac:dyDescent="0.25">
      <c r="A99" t="s">
        <v>719</v>
      </c>
      <c r="B99" t="s">
        <v>690</v>
      </c>
      <c r="C99" s="28" t="s">
        <v>740</v>
      </c>
      <c r="D99" s="33" t="s">
        <v>1090</v>
      </c>
      <c r="E99" s="33" t="s">
        <v>1090</v>
      </c>
    </row>
    <row r="100" spans="1:5" x14ac:dyDescent="0.25">
      <c r="A100" t="s">
        <v>719</v>
      </c>
      <c r="B100" t="s">
        <v>692</v>
      </c>
      <c r="C100" s="28" t="s">
        <v>741</v>
      </c>
      <c r="D100" s="33" t="s">
        <v>1091</v>
      </c>
      <c r="E100" s="33" t="s">
        <v>1091</v>
      </c>
    </row>
    <row r="101" spans="1:5" x14ac:dyDescent="0.25">
      <c r="A101" t="s">
        <v>719</v>
      </c>
      <c r="B101" t="s">
        <v>694</v>
      </c>
      <c r="C101" s="28" t="s">
        <v>742</v>
      </c>
      <c r="D101" s="33" t="s">
        <v>693</v>
      </c>
      <c r="E101" s="33" t="s">
        <v>693</v>
      </c>
    </row>
    <row r="102" spans="1:5" x14ac:dyDescent="0.25">
      <c r="A102" t="s">
        <v>719</v>
      </c>
      <c r="B102" t="s">
        <v>696</v>
      </c>
      <c r="C102" s="28" t="s">
        <v>743</v>
      </c>
      <c r="D102" s="33" t="s">
        <v>1092</v>
      </c>
      <c r="E102" s="33" t="s">
        <v>1092</v>
      </c>
    </row>
    <row r="103" spans="1:5" x14ac:dyDescent="0.25">
      <c r="A103" t="s">
        <v>719</v>
      </c>
      <c r="B103" t="s">
        <v>1093</v>
      </c>
      <c r="C103" s="28" t="s">
        <v>744</v>
      </c>
      <c r="D103" s="33" t="s">
        <v>697</v>
      </c>
      <c r="E103" s="33" t="s">
        <v>697</v>
      </c>
    </row>
    <row r="104" spans="1:5" x14ac:dyDescent="0.25">
      <c r="A104" t="s">
        <v>719</v>
      </c>
      <c r="B104" t="s">
        <v>884</v>
      </c>
      <c r="C104" s="28" t="s">
        <v>1094</v>
      </c>
      <c r="D104" s="33" t="s">
        <v>1095</v>
      </c>
      <c r="E104" s="33" t="s">
        <v>1095</v>
      </c>
    </row>
    <row r="105" spans="1:5" x14ac:dyDescent="0.25">
      <c r="A105" t="s">
        <v>719</v>
      </c>
      <c r="B105" t="s">
        <v>1097</v>
      </c>
      <c r="C105" s="28" t="s">
        <v>885</v>
      </c>
      <c r="D105" s="33" t="s">
        <v>1096</v>
      </c>
      <c r="E105" s="33" t="s">
        <v>1096</v>
      </c>
    </row>
    <row r="106" spans="1:5" x14ac:dyDescent="0.25">
      <c r="A106" t="s">
        <v>719</v>
      </c>
      <c r="B106" t="s">
        <v>1100</v>
      </c>
      <c r="C106" s="28" t="s">
        <v>1098</v>
      </c>
      <c r="D106" s="33" t="s">
        <v>1099</v>
      </c>
      <c r="E106" s="33" t="s">
        <v>1099</v>
      </c>
    </row>
    <row r="107" spans="1:5" x14ac:dyDescent="0.25">
      <c r="A107" t="s">
        <v>719</v>
      </c>
      <c r="B107" t="s">
        <v>1103</v>
      </c>
      <c r="C107" s="28" t="s">
        <v>1101</v>
      </c>
      <c r="D107" s="33" t="s">
        <v>1102</v>
      </c>
      <c r="E107" s="33" t="s">
        <v>1102</v>
      </c>
    </row>
    <row r="108" spans="1:5" x14ac:dyDescent="0.25">
      <c r="A108" t="s">
        <v>719</v>
      </c>
      <c r="B108" t="s">
        <v>698</v>
      </c>
      <c r="C108" s="28" t="s">
        <v>1104</v>
      </c>
      <c r="D108" s="33" t="s">
        <v>1105</v>
      </c>
      <c r="E108" s="33" t="s">
        <v>1105</v>
      </c>
    </row>
    <row r="109" spans="1:5" x14ac:dyDescent="0.25">
      <c r="A109" t="s">
        <v>719</v>
      </c>
      <c r="B109" t="s">
        <v>699</v>
      </c>
      <c r="C109" s="28" t="s">
        <v>745</v>
      </c>
      <c r="D109" s="33" t="s">
        <v>1106</v>
      </c>
      <c r="E109" s="33" t="s">
        <v>1106</v>
      </c>
    </row>
    <row r="110" spans="1:5" x14ac:dyDescent="0.25">
      <c r="A110" t="s">
        <v>719</v>
      </c>
      <c r="B110" t="s">
        <v>700</v>
      </c>
      <c r="C110" s="28" t="s">
        <v>746</v>
      </c>
      <c r="D110" s="33" t="s">
        <v>1107</v>
      </c>
      <c r="E110" s="33" t="s">
        <v>1107</v>
      </c>
    </row>
    <row r="111" spans="1:5" x14ac:dyDescent="0.25">
      <c r="A111" t="s">
        <v>719</v>
      </c>
      <c r="B111" t="s">
        <v>890</v>
      </c>
      <c r="C111" s="28" t="s">
        <v>747</v>
      </c>
      <c r="D111" s="33" t="s">
        <v>1108</v>
      </c>
      <c r="E111" s="33" t="s">
        <v>1108</v>
      </c>
    </row>
    <row r="112" spans="1:5" x14ac:dyDescent="0.25">
      <c r="A112" t="s">
        <v>719</v>
      </c>
      <c r="B112" t="s">
        <v>1109</v>
      </c>
      <c r="C112" s="28" t="s">
        <v>891</v>
      </c>
      <c r="D112" s="33" t="s">
        <v>892</v>
      </c>
      <c r="E112" s="33" t="s">
        <v>892</v>
      </c>
    </row>
    <row r="113" spans="1:5" x14ac:dyDescent="0.25">
      <c r="A113" t="s">
        <v>719</v>
      </c>
      <c r="B113" t="s">
        <v>701</v>
      </c>
      <c r="C113" s="28" t="s">
        <v>1110</v>
      </c>
      <c r="D113" s="33" t="s">
        <v>1111</v>
      </c>
      <c r="E113" s="33" t="s">
        <v>1111</v>
      </c>
    </row>
    <row r="114" spans="1:5" x14ac:dyDescent="0.25">
      <c r="A114" t="s">
        <v>719</v>
      </c>
      <c r="B114" t="s">
        <v>894</v>
      </c>
      <c r="C114" s="28" t="s">
        <v>748</v>
      </c>
      <c r="D114" s="33" t="s">
        <v>1112</v>
      </c>
      <c r="E114" s="33" t="s">
        <v>1112</v>
      </c>
    </row>
    <row r="115" spans="1:5" x14ac:dyDescent="0.25">
      <c r="A115" t="s">
        <v>719</v>
      </c>
      <c r="B115" t="s">
        <v>702</v>
      </c>
      <c r="C115" s="28" t="s">
        <v>895</v>
      </c>
      <c r="D115" s="33" t="s">
        <v>896</v>
      </c>
      <c r="E115" s="33" t="s">
        <v>896</v>
      </c>
    </row>
    <row r="116" spans="1:5" x14ac:dyDescent="0.25">
      <c r="A116" t="s">
        <v>719</v>
      </c>
      <c r="B116" t="s">
        <v>704</v>
      </c>
      <c r="C116" s="28" t="s">
        <v>749</v>
      </c>
      <c r="D116" s="33" t="s">
        <v>1113</v>
      </c>
      <c r="E116" s="33" t="s">
        <v>1113</v>
      </c>
    </row>
    <row r="117" spans="1:5" x14ac:dyDescent="0.25">
      <c r="A117" t="s">
        <v>719</v>
      </c>
      <c r="B117" t="s">
        <v>706</v>
      </c>
      <c r="C117" s="28" t="s">
        <v>750</v>
      </c>
      <c r="D117" s="33" t="s">
        <v>705</v>
      </c>
      <c r="E117" s="33" t="s">
        <v>705</v>
      </c>
    </row>
    <row r="118" spans="1:5" x14ac:dyDescent="0.25">
      <c r="A118" t="s">
        <v>719</v>
      </c>
      <c r="B118" t="s">
        <v>708</v>
      </c>
      <c r="C118" s="28" t="s">
        <v>751</v>
      </c>
      <c r="D118" s="33" t="s">
        <v>1114</v>
      </c>
      <c r="E118" s="33" t="s">
        <v>1114</v>
      </c>
    </row>
    <row r="119" spans="1:5" x14ac:dyDescent="0.25">
      <c r="A119" t="s">
        <v>719</v>
      </c>
      <c r="B119" t="s">
        <v>1115</v>
      </c>
      <c r="C119" s="28" t="s">
        <v>752</v>
      </c>
      <c r="D119" s="33" t="s">
        <v>709</v>
      </c>
      <c r="E119" s="33" t="s">
        <v>709</v>
      </c>
    </row>
    <row r="120" spans="1:5" x14ac:dyDescent="0.25">
      <c r="A120" t="s">
        <v>719</v>
      </c>
      <c r="B120" t="s">
        <v>1118</v>
      </c>
      <c r="C120" s="28" t="s">
        <v>1116</v>
      </c>
      <c r="D120" s="33" t="s">
        <v>1117</v>
      </c>
      <c r="E120" s="33" t="s">
        <v>1117</v>
      </c>
    </row>
    <row r="121" spans="1:5" x14ac:dyDescent="0.25">
      <c r="A121" t="s">
        <v>719</v>
      </c>
      <c r="B121" t="s">
        <v>897</v>
      </c>
      <c r="C121" s="28" t="s">
        <v>1119</v>
      </c>
      <c r="D121" s="33" t="s">
        <v>1120</v>
      </c>
      <c r="E121" s="33" t="s">
        <v>1120</v>
      </c>
    </row>
    <row r="122" spans="1:5" x14ac:dyDescent="0.25">
      <c r="A122" t="s">
        <v>719</v>
      </c>
      <c r="B122" t="s">
        <v>954</v>
      </c>
      <c r="C122" s="28" t="s">
        <v>898</v>
      </c>
      <c r="D122" s="33" t="s">
        <v>1121</v>
      </c>
      <c r="E122" s="33" t="s">
        <v>1121</v>
      </c>
    </row>
    <row r="123" spans="1:5" x14ac:dyDescent="0.25">
      <c r="B123" t="s">
        <v>1124</v>
      </c>
      <c r="C123" s="28" t="s">
        <v>1122</v>
      </c>
      <c r="D123" s="33" t="s">
        <v>1123</v>
      </c>
      <c r="E123" s="33" t="s">
        <v>1123</v>
      </c>
    </row>
    <row r="124" spans="1:5" x14ac:dyDescent="0.25">
      <c r="A124" t="s">
        <v>719</v>
      </c>
      <c r="B124" t="s">
        <v>207</v>
      </c>
      <c r="C124" s="28" t="s">
        <v>1124</v>
      </c>
      <c r="D124" s="33" t="s">
        <v>1125</v>
      </c>
      <c r="E124" s="33" t="s">
        <v>1125</v>
      </c>
    </row>
    <row r="125" spans="1:5" x14ac:dyDescent="0.25">
      <c r="A125" t="s">
        <v>719</v>
      </c>
      <c r="B125" t="s">
        <v>1126</v>
      </c>
      <c r="C125" s="28" t="s">
        <v>753</v>
      </c>
      <c r="D125" s="33" t="s">
        <v>754</v>
      </c>
      <c r="E125" s="33" t="s">
        <v>754</v>
      </c>
    </row>
    <row r="126" spans="1:5" x14ac:dyDescent="0.25">
      <c r="A126" t="s">
        <v>719</v>
      </c>
      <c r="B126" t="s">
        <v>710</v>
      </c>
      <c r="C126" s="28" t="s">
        <v>1127</v>
      </c>
      <c r="D126" s="33" t="s">
        <v>1128</v>
      </c>
      <c r="E126" s="33" t="s">
        <v>1128</v>
      </c>
    </row>
    <row r="127" spans="1:5" x14ac:dyDescent="0.25">
      <c r="A127" t="s">
        <v>719</v>
      </c>
      <c r="B127" t="s">
        <v>711</v>
      </c>
      <c r="C127" s="28" t="s">
        <v>755</v>
      </c>
      <c r="D127" s="33" t="s">
        <v>1129</v>
      </c>
      <c r="E127" s="33" t="s">
        <v>1129</v>
      </c>
    </row>
    <row r="128" spans="1:5" x14ac:dyDescent="0.25">
      <c r="A128" t="s">
        <v>719</v>
      </c>
      <c r="B128" t="s">
        <v>712</v>
      </c>
      <c r="C128" s="28" t="s">
        <v>756</v>
      </c>
      <c r="D128" s="33" t="s">
        <v>1130</v>
      </c>
      <c r="E128" s="33" t="s">
        <v>1130</v>
      </c>
    </row>
    <row r="129" spans="1:5" x14ac:dyDescent="0.25">
      <c r="A129" t="s">
        <v>719</v>
      </c>
      <c r="B129" t="s">
        <v>903</v>
      </c>
      <c r="C129" s="28" t="s">
        <v>757</v>
      </c>
      <c r="D129" s="33" t="s">
        <v>1131</v>
      </c>
      <c r="E129" s="33" t="s">
        <v>1131</v>
      </c>
    </row>
    <row r="130" spans="1:5" x14ac:dyDescent="0.25">
      <c r="A130" t="s">
        <v>719</v>
      </c>
      <c r="B130" t="s">
        <v>906</v>
      </c>
      <c r="C130" s="28" t="s">
        <v>904</v>
      </c>
      <c r="D130" s="33" t="s">
        <v>905</v>
      </c>
      <c r="E130" s="33" t="s">
        <v>905</v>
      </c>
    </row>
    <row r="131" spans="1:5" x14ac:dyDescent="0.25">
      <c r="A131" t="s">
        <v>719</v>
      </c>
      <c r="B131" t="s">
        <v>1132</v>
      </c>
      <c r="C131" s="28" t="s">
        <v>907</v>
      </c>
      <c r="D131" s="33" t="s">
        <v>908</v>
      </c>
      <c r="E131" s="33" t="s">
        <v>908</v>
      </c>
    </row>
    <row r="132" spans="1:5" x14ac:dyDescent="0.25">
      <c r="A132" t="s">
        <v>719</v>
      </c>
      <c r="B132" t="s">
        <v>713</v>
      </c>
      <c r="C132" s="28" t="s">
        <v>1133</v>
      </c>
      <c r="D132" s="33" t="s">
        <v>1134</v>
      </c>
      <c r="E132" s="33" t="s">
        <v>1134</v>
      </c>
    </row>
    <row r="133" spans="1:5" x14ac:dyDescent="0.25">
      <c r="A133" t="s">
        <v>719</v>
      </c>
      <c r="B133" t="s">
        <v>1136</v>
      </c>
      <c r="C133" s="28" t="s">
        <v>758</v>
      </c>
      <c r="D133" s="33" t="s">
        <v>1135</v>
      </c>
      <c r="E133" s="33" t="s">
        <v>1135</v>
      </c>
    </row>
    <row r="134" spans="1:5" x14ac:dyDescent="0.25">
      <c r="A134" t="s">
        <v>719</v>
      </c>
      <c r="B134" t="s">
        <v>1139</v>
      </c>
      <c r="C134" s="28" t="s">
        <v>1137</v>
      </c>
      <c r="D134" s="33" t="s">
        <v>1138</v>
      </c>
      <c r="E134" s="33" t="s">
        <v>1138</v>
      </c>
    </row>
    <row r="135" spans="1:5" x14ac:dyDescent="0.25">
      <c r="A135" t="s">
        <v>719</v>
      </c>
      <c r="B135" t="s">
        <v>1142</v>
      </c>
      <c r="C135" s="28" t="s">
        <v>1140</v>
      </c>
      <c r="D135" s="33" t="s">
        <v>1141</v>
      </c>
      <c r="E135" s="33" t="s">
        <v>1141</v>
      </c>
    </row>
    <row r="136" spans="1:5" x14ac:dyDescent="0.25">
      <c r="A136" t="s">
        <v>719</v>
      </c>
      <c r="B136" t="s">
        <v>1145</v>
      </c>
      <c r="C136" s="28" t="s">
        <v>1143</v>
      </c>
      <c r="D136" s="33" t="s">
        <v>1144</v>
      </c>
      <c r="E136" s="33" t="s">
        <v>1144</v>
      </c>
    </row>
    <row r="137" spans="1:5" x14ac:dyDescent="0.25">
      <c r="A137" t="s">
        <v>719</v>
      </c>
      <c r="B137" t="s">
        <v>1147</v>
      </c>
      <c r="C137" s="28" t="s">
        <v>1146</v>
      </c>
      <c r="D137" s="33" t="s">
        <v>1144</v>
      </c>
      <c r="E137" s="33" t="s">
        <v>1144</v>
      </c>
    </row>
    <row r="138" spans="1:5" x14ac:dyDescent="0.25">
      <c r="A138" t="s">
        <v>719</v>
      </c>
      <c r="B138" t="s">
        <v>1149</v>
      </c>
      <c r="C138" s="28" t="s">
        <v>1148</v>
      </c>
      <c r="D138" s="33" t="s">
        <v>1144</v>
      </c>
      <c r="E138" s="33" t="s">
        <v>1144</v>
      </c>
    </row>
    <row r="139" spans="1:5" x14ac:dyDescent="0.25">
      <c r="A139" t="s">
        <v>719</v>
      </c>
      <c r="B139" t="s">
        <v>1152</v>
      </c>
      <c r="C139" s="28" t="s">
        <v>1150</v>
      </c>
      <c r="D139" s="33" t="s">
        <v>1151</v>
      </c>
      <c r="E139" s="33" t="s">
        <v>1151</v>
      </c>
    </row>
    <row r="140" spans="1:5" x14ac:dyDescent="0.25">
      <c r="A140" t="s">
        <v>719</v>
      </c>
      <c r="B140" t="s">
        <v>1154</v>
      </c>
      <c r="C140" s="28" t="s">
        <v>1153</v>
      </c>
      <c r="D140" s="33" t="s">
        <v>721</v>
      </c>
      <c r="E140" s="33" t="s">
        <v>721</v>
      </c>
    </row>
    <row r="141" spans="1:5" x14ac:dyDescent="0.25">
      <c r="A141" t="s">
        <v>719</v>
      </c>
      <c r="B141" t="s">
        <v>1156</v>
      </c>
      <c r="C141" s="28" t="s">
        <v>1155</v>
      </c>
      <c r="D141" s="33" t="s">
        <v>726</v>
      </c>
      <c r="E141" s="33" t="s">
        <v>726</v>
      </c>
    </row>
    <row r="142" spans="1:5" x14ac:dyDescent="0.25">
      <c r="A142" t="s">
        <v>719</v>
      </c>
      <c r="B142" t="s">
        <v>1158</v>
      </c>
      <c r="C142" s="28" t="s">
        <v>1157</v>
      </c>
      <c r="D142" s="33" t="s">
        <v>736</v>
      </c>
      <c r="E142" s="33" t="s">
        <v>736</v>
      </c>
    </row>
    <row r="143" spans="1:5" x14ac:dyDescent="0.25">
      <c r="A143" t="s">
        <v>719</v>
      </c>
      <c r="B143" t="s">
        <v>1160</v>
      </c>
      <c r="C143" s="28" t="s">
        <v>1159</v>
      </c>
      <c r="D143" s="33" t="s">
        <v>736</v>
      </c>
      <c r="E143" s="33" t="s">
        <v>736</v>
      </c>
    </row>
    <row r="144" spans="1:5" x14ac:dyDescent="0.25">
      <c r="A144" t="s">
        <v>719</v>
      </c>
      <c r="B144" t="s">
        <v>1162</v>
      </c>
      <c r="C144" s="28" t="s">
        <v>1161</v>
      </c>
      <c r="D144" s="33" t="s">
        <v>882</v>
      </c>
      <c r="E144" s="33" t="s">
        <v>882</v>
      </c>
    </row>
    <row r="145" spans="1:5" x14ac:dyDescent="0.25">
      <c r="A145" t="s">
        <v>719</v>
      </c>
      <c r="B145" t="s">
        <v>1164</v>
      </c>
      <c r="C145" s="28" t="s">
        <v>1163</v>
      </c>
      <c r="D145" s="33" t="s">
        <v>1151</v>
      </c>
      <c r="E145" s="33" t="s">
        <v>1151</v>
      </c>
    </row>
    <row r="146" spans="1:5" x14ac:dyDescent="0.25">
      <c r="A146" t="s">
        <v>719</v>
      </c>
      <c r="B146" t="s">
        <v>1167</v>
      </c>
      <c r="C146" s="28" t="s">
        <v>1165</v>
      </c>
      <c r="D146" s="33" t="s">
        <v>1166</v>
      </c>
      <c r="E146" s="33" t="s">
        <v>1166</v>
      </c>
    </row>
    <row r="147" spans="1:5" x14ac:dyDescent="0.25">
      <c r="A147" t="s">
        <v>719</v>
      </c>
      <c r="B147" t="s">
        <v>1170</v>
      </c>
      <c r="C147" s="28" t="s">
        <v>1168</v>
      </c>
      <c r="D147" s="33" t="s">
        <v>1169</v>
      </c>
      <c r="E147" s="33" t="s">
        <v>1169</v>
      </c>
    </row>
    <row r="148" spans="1:5" x14ac:dyDescent="0.25">
      <c r="A148" t="s">
        <v>719</v>
      </c>
      <c r="B148" t="s">
        <v>1173</v>
      </c>
      <c r="C148" s="28" t="s">
        <v>1171</v>
      </c>
      <c r="D148" s="33" t="s">
        <v>1172</v>
      </c>
      <c r="E148" s="33" t="s">
        <v>1172</v>
      </c>
    </row>
    <row r="149" spans="1:5" x14ac:dyDescent="0.25">
      <c r="A149" t="s">
        <v>719</v>
      </c>
      <c r="B149" t="s">
        <v>1175</v>
      </c>
      <c r="C149" s="28" t="s">
        <v>1174</v>
      </c>
      <c r="D149" s="33" t="s">
        <v>1144</v>
      </c>
      <c r="E149" s="33" t="s">
        <v>1144</v>
      </c>
    </row>
    <row r="150" spans="1:5" x14ac:dyDescent="0.25">
      <c r="A150" t="s">
        <v>719</v>
      </c>
      <c r="B150" t="s">
        <v>1177</v>
      </c>
      <c r="C150" s="28" t="s">
        <v>1176</v>
      </c>
      <c r="D150" s="33" t="s">
        <v>1151</v>
      </c>
      <c r="E150" s="33" t="s">
        <v>1151</v>
      </c>
    </row>
    <row r="151" spans="1:5" x14ac:dyDescent="0.25">
      <c r="A151" t="s">
        <v>719</v>
      </c>
      <c r="B151" t="s">
        <v>1180</v>
      </c>
      <c r="C151" s="28" t="s">
        <v>1178</v>
      </c>
      <c r="D151" s="33" t="s">
        <v>1179</v>
      </c>
      <c r="E151" s="33" t="s">
        <v>1179</v>
      </c>
    </row>
    <row r="152" spans="1:5" x14ac:dyDescent="0.25">
      <c r="A152" t="s">
        <v>719</v>
      </c>
      <c r="B152" t="s">
        <v>1182</v>
      </c>
      <c r="C152" s="28" t="s">
        <v>1181</v>
      </c>
      <c r="D152" s="33" t="s">
        <v>1144</v>
      </c>
      <c r="E152" s="33" t="s">
        <v>1144</v>
      </c>
    </row>
    <row r="153" spans="1:5" x14ac:dyDescent="0.25">
      <c r="A153" t="s">
        <v>719</v>
      </c>
      <c r="B153" t="s">
        <v>1184</v>
      </c>
      <c r="C153" s="28" t="s">
        <v>1183</v>
      </c>
      <c r="D153" s="33" t="s">
        <v>892</v>
      </c>
      <c r="E153" s="33" t="s">
        <v>892</v>
      </c>
    </row>
    <row r="154" spans="1:5" x14ac:dyDescent="0.25">
      <c r="A154" t="s">
        <v>719</v>
      </c>
      <c r="B154" t="s">
        <v>1187</v>
      </c>
      <c r="C154" s="28" t="s">
        <v>1185</v>
      </c>
      <c r="D154" s="33" t="s">
        <v>1186</v>
      </c>
      <c r="E154" s="33" t="s">
        <v>1186</v>
      </c>
    </row>
    <row r="155" spans="1:5" x14ac:dyDescent="0.25">
      <c r="A155" t="s">
        <v>719</v>
      </c>
      <c r="B155" t="s">
        <v>1189</v>
      </c>
      <c r="C155" s="28" t="s">
        <v>1188</v>
      </c>
      <c r="D155" s="33" t="s">
        <v>1144</v>
      </c>
      <c r="E155" s="33" t="s">
        <v>1144</v>
      </c>
    </row>
    <row r="156" spans="1:5" x14ac:dyDescent="0.25">
      <c r="A156" t="s">
        <v>719</v>
      </c>
      <c r="B156" t="s">
        <v>1191</v>
      </c>
      <c r="C156" s="28" t="s">
        <v>1190</v>
      </c>
      <c r="D156" s="33" t="s">
        <v>1179</v>
      </c>
      <c r="E156" s="33" t="s">
        <v>1179</v>
      </c>
    </row>
    <row r="157" spans="1:5" x14ac:dyDescent="0.25">
      <c r="A157" t="s">
        <v>719</v>
      </c>
      <c r="B157" t="s">
        <v>1193</v>
      </c>
      <c r="C157" s="28" t="s">
        <v>1192</v>
      </c>
      <c r="D157" s="33" t="s">
        <v>1179</v>
      </c>
      <c r="E157" s="33" t="s">
        <v>1179</v>
      </c>
    </row>
    <row r="158" spans="1:5" x14ac:dyDescent="0.25">
      <c r="A158" t="s">
        <v>719</v>
      </c>
      <c r="B158" t="s">
        <v>1195</v>
      </c>
      <c r="C158" s="28" t="s">
        <v>1194</v>
      </c>
      <c r="D158" s="33" t="s">
        <v>1179</v>
      </c>
      <c r="E158" s="33" t="s">
        <v>1179</v>
      </c>
    </row>
    <row r="159" spans="1:5" x14ac:dyDescent="0.25">
      <c r="A159" t="s">
        <v>719</v>
      </c>
      <c r="B159" t="s">
        <v>1197</v>
      </c>
      <c r="C159" s="28" t="s">
        <v>1196</v>
      </c>
      <c r="D159" s="33" t="s">
        <v>1179</v>
      </c>
      <c r="E159" s="33" t="s">
        <v>1179</v>
      </c>
    </row>
    <row r="160" spans="1:5" x14ac:dyDescent="0.25">
      <c r="A160" t="s">
        <v>719</v>
      </c>
      <c r="B160" t="s">
        <v>1199</v>
      </c>
      <c r="C160" s="28" t="s">
        <v>1198</v>
      </c>
      <c r="D160" s="33" t="s">
        <v>1179</v>
      </c>
      <c r="E160" s="33" t="s">
        <v>1179</v>
      </c>
    </row>
    <row r="161" spans="1:5" x14ac:dyDescent="0.25">
      <c r="A161" t="s">
        <v>719</v>
      </c>
      <c r="B161" t="s">
        <v>1202</v>
      </c>
      <c r="C161" s="28" t="s">
        <v>1200</v>
      </c>
      <c r="D161" s="33" t="s">
        <v>1201</v>
      </c>
      <c r="E161" s="33" t="s">
        <v>1201</v>
      </c>
    </row>
    <row r="162" spans="1:5" x14ac:dyDescent="0.25">
      <c r="A162" t="s">
        <v>719</v>
      </c>
      <c r="B162" t="s">
        <v>1205</v>
      </c>
      <c r="C162" s="28" t="s">
        <v>1203</v>
      </c>
      <c r="D162" s="33" t="s">
        <v>1204</v>
      </c>
      <c r="E162" s="33" t="s">
        <v>1204</v>
      </c>
    </row>
    <row r="163" spans="1:5" x14ac:dyDescent="0.25">
      <c r="A163" t="s">
        <v>719</v>
      </c>
      <c r="B163" t="s">
        <v>1207</v>
      </c>
      <c r="C163" s="28" t="s">
        <v>1206</v>
      </c>
      <c r="D163" s="33" t="s">
        <v>1201</v>
      </c>
      <c r="E163" s="33" t="s">
        <v>1201</v>
      </c>
    </row>
    <row r="164" spans="1:5" x14ac:dyDescent="0.25">
      <c r="A164" t="s">
        <v>719</v>
      </c>
      <c r="B164" t="s">
        <v>1210</v>
      </c>
      <c r="C164" s="28" t="s">
        <v>1208</v>
      </c>
      <c r="D164" s="33" t="s">
        <v>1209</v>
      </c>
      <c r="E164" s="33" t="s">
        <v>1209</v>
      </c>
    </row>
    <row r="165" spans="1:5" x14ac:dyDescent="0.25">
      <c r="A165" t="s">
        <v>719</v>
      </c>
      <c r="B165" t="s">
        <v>1212</v>
      </c>
      <c r="C165" s="28" t="s">
        <v>1211</v>
      </c>
      <c r="D165" s="33" t="s">
        <v>1204</v>
      </c>
      <c r="E165" s="33" t="s">
        <v>1204</v>
      </c>
    </row>
    <row r="166" spans="1:5" x14ac:dyDescent="0.25">
      <c r="A166" t="s">
        <v>719</v>
      </c>
      <c r="B166" t="s">
        <v>1214</v>
      </c>
      <c r="C166" s="28" t="s">
        <v>1213</v>
      </c>
      <c r="D166" s="33" t="s">
        <v>1172</v>
      </c>
      <c r="E166" s="33" t="s">
        <v>1172</v>
      </c>
    </row>
    <row r="167" spans="1:5" x14ac:dyDescent="0.25">
      <c r="A167" t="s">
        <v>719</v>
      </c>
      <c r="B167" t="s">
        <v>1216</v>
      </c>
      <c r="C167" s="28" t="s">
        <v>1215</v>
      </c>
      <c r="D167" s="33" t="s">
        <v>1204</v>
      </c>
      <c r="E167" s="33" t="s">
        <v>1204</v>
      </c>
    </row>
    <row r="168" spans="1:5" x14ac:dyDescent="0.25">
      <c r="A168" t="s">
        <v>719</v>
      </c>
      <c r="B168" t="s">
        <v>1218</v>
      </c>
      <c r="C168" s="28" t="s">
        <v>1217</v>
      </c>
      <c r="D168" s="33" t="s">
        <v>1144</v>
      </c>
      <c r="E168" s="33" t="s">
        <v>1144</v>
      </c>
    </row>
    <row r="169" spans="1:5" x14ac:dyDescent="0.25">
      <c r="A169" t="s">
        <v>719</v>
      </c>
      <c r="B169" t="s">
        <v>1220</v>
      </c>
      <c r="C169" s="28" t="s">
        <v>1219</v>
      </c>
      <c r="D169" s="33" t="s">
        <v>1172</v>
      </c>
      <c r="E169" s="33" t="s">
        <v>1172</v>
      </c>
    </row>
    <row r="170" spans="1:5" x14ac:dyDescent="0.25">
      <c r="A170" t="s">
        <v>719</v>
      </c>
      <c r="B170" t="s">
        <v>1223</v>
      </c>
      <c r="C170" s="28" t="s">
        <v>1221</v>
      </c>
      <c r="D170" s="33" t="s">
        <v>1222</v>
      </c>
      <c r="E170" s="33" t="s">
        <v>1222</v>
      </c>
    </row>
    <row r="171" spans="1:5" x14ac:dyDescent="0.25">
      <c r="A171" t="s">
        <v>719</v>
      </c>
      <c r="B171" t="s">
        <v>1225</v>
      </c>
      <c r="C171" s="28" t="s">
        <v>1224</v>
      </c>
      <c r="D171" s="33" t="s">
        <v>1151</v>
      </c>
      <c r="E171" s="33" t="s">
        <v>1151</v>
      </c>
    </row>
    <row r="172" spans="1:5" x14ac:dyDescent="0.25">
      <c r="A172" t="s">
        <v>719</v>
      </c>
      <c r="B172" t="s">
        <v>1228</v>
      </c>
      <c r="C172" s="28" t="s">
        <v>1226</v>
      </c>
      <c r="D172" s="33" t="s">
        <v>1227</v>
      </c>
      <c r="E172" s="33" t="s">
        <v>1227</v>
      </c>
    </row>
    <row r="173" spans="1:5" x14ac:dyDescent="0.25">
      <c r="A173" t="s">
        <v>719</v>
      </c>
      <c r="B173" t="s">
        <v>1230</v>
      </c>
      <c r="C173" s="28" t="s">
        <v>1229</v>
      </c>
      <c r="D173" s="33" t="s">
        <v>1172</v>
      </c>
      <c r="E173" s="33" t="s">
        <v>1172</v>
      </c>
    </row>
    <row r="174" spans="1:5" x14ac:dyDescent="0.25">
      <c r="A174" t="s">
        <v>719</v>
      </c>
      <c r="B174" t="s">
        <v>1232</v>
      </c>
      <c r="C174" s="28" t="s">
        <v>1231</v>
      </c>
      <c r="D174" s="33" t="s">
        <v>1204</v>
      </c>
      <c r="E174" s="33" t="s">
        <v>1204</v>
      </c>
    </row>
    <row r="175" spans="1:5" x14ac:dyDescent="0.25">
      <c r="B175" t="s">
        <v>910</v>
      </c>
      <c r="C175" s="28" t="s">
        <v>1233</v>
      </c>
      <c r="D175" s="33" t="s">
        <v>1179</v>
      </c>
      <c r="E175" s="33" t="s">
        <v>1179</v>
      </c>
    </row>
    <row r="176" spans="1:5" x14ac:dyDescent="0.25">
      <c r="A176" t="s">
        <v>719</v>
      </c>
      <c r="B176" t="s">
        <v>714</v>
      </c>
      <c r="C176" s="28" t="s">
        <v>910</v>
      </c>
      <c r="D176" s="33" t="s">
        <v>911</v>
      </c>
      <c r="E176" s="33" t="s">
        <v>911</v>
      </c>
    </row>
    <row r="177" spans="1:5" x14ac:dyDescent="0.25">
      <c r="A177" t="s">
        <v>719</v>
      </c>
      <c r="B177" t="s">
        <v>715</v>
      </c>
      <c r="C177" s="28" t="s">
        <v>759</v>
      </c>
      <c r="D177" s="33" t="s">
        <v>1234</v>
      </c>
      <c r="E177" s="33" t="s">
        <v>1234</v>
      </c>
    </row>
    <row r="178" spans="1:5" x14ac:dyDescent="0.25">
      <c r="A178" t="s">
        <v>719</v>
      </c>
      <c r="B178" t="s">
        <v>716</v>
      </c>
      <c r="C178" s="28" t="s">
        <v>760</v>
      </c>
      <c r="D178" s="33" t="s">
        <v>1235</v>
      </c>
      <c r="E178" s="33" t="s">
        <v>1235</v>
      </c>
    </row>
    <row r="179" spans="1:5" x14ac:dyDescent="0.25">
      <c r="A179" t="s">
        <v>719</v>
      </c>
      <c r="B179" t="s">
        <v>717</v>
      </c>
      <c r="C179" s="28" t="s">
        <v>761</v>
      </c>
      <c r="D179" s="33" t="s">
        <v>1236</v>
      </c>
      <c r="E179" s="33" t="s">
        <v>1236</v>
      </c>
    </row>
    <row r="180" spans="1:5" x14ac:dyDescent="0.25">
      <c r="A180" t="s">
        <v>719</v>
      </c>
      <c r="B180" t="s">
        <v>718</v>
      </c>
      <c r="C180" s="28" t="s">
        <v>762</v>
      </c>
      <c r="D180" s="33" t="s">
        <v>1237</v>
      </c>
      <c r="E180" s="33" t="s">
        <v>1237</v>
      </c>
    </row>
    <row r="181" spans="1:5" x14ac:dyDescent="0.25">
      <c r="A181" t="s">
        <v>719</v>
      </c>
      <c r="B181" t="s">
        <v>1239</v>
      </c>
      <c r="C181" s="28" t="s">
        <v>763</v>
      </c>
      <c r="D181" s="33" t="s">
        <v>1238</v>
      </c>
      <c r="E181" s="33" t="s">
        <v>1238</v>
      </c>
    </row>
    <row r="182" spans="1:5" x14ac:dyDescent="0.25">
      <c r="A182" t="s">
        <v>719</v>
      </c>
      <c r="B182" t="s">
        <v>912</v>
      </c>
      <c r="C182" s="28" t="s">
        <v>1240</v>
      </c>
      <c r="D182" s="33" t="s">
        <v>1241</v>
      </c>
      <c r="E182" s="33" t="s">
        <v>1241</v>
      </c>
    </row>
    <row r="183" spans="1:5" x14ac:dyDescent="0.25">
      <c r="C183" s="28" t="s">
        <v>913</v>
      </c>
      <c r="D183" s="33" t="s">
        <v>1242</v>
      </c>
      <c r="E183" s="33" t="s">
        <v>1242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83"/>
  <sheetViews>
    <sheetView topLeftCell="BK1" workbookViewId="0">
      <selection activeCell="BP6" sqref="BP6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L1" s="27">
        <v>43911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 t="s">
        <v>1440</v>
      </c>
      <c r="BM2" s="1"/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 t="s">
        <v>1441</v>
      </c>
      <c r="BM3" s="1"/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 t="s">
        <v>1442</v>
      </c>
      <c r="BM4" s="1"/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 t="s">
        <v>441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 t="s">
        <v>1443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 t="s">
        <v>1444</v>
      </c>
      <c r="BM7" s="1"/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 s="1" t="s">
        <v>1445</v>
      </c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 s="1" t="s">
        <v>1446</v>
      </c>
      <c r="BM9" s="26"/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 s="1" t="s">
        <v>1447</v>
      </c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 s="1" t="s">
        <v>1352</v>
      </c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 s="1" t="s">
        <v>1252</v>
      </c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 s="1" t="s">
        <v>1448</v>
      </c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 s="1" t="s">
        <v>1449</v>
      </c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 s="1" t="s">
        <v>1450</v>
      </c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 s="1" t="s">
        <v>1451</v>
      </c>
    </row>
    <row r="17" spans="1:64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 s="1" t="s">
        <v>1452</v>
      </c>
    </row>
    <row r="18" spans="1:64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 s="1" t="s">
        <v>1453</v>
      </c>
    </row>
    <row r="19" spans="1:64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 s="1" t="s">
        <v>1454</v>
      </c>
    </row>
    <row r="20" spans="1:64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 s="1" t="s">
        <v>1455</v>
      </c>
    </row>
    <row r="21" spans="1:64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 s="1" t="s">
        <v>1337</v>
      </c>
    </row>
    <row r="22" spans="1:64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 s="1" t="s">
        <v>1456</v>
      </c>
    </row>
    <row r="23" spans="1:64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 s="1" t="s">
        <v>1457</v>
      </c>
    </row>
    <row r="24" spans="1:64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 s="1" t="s">
        <v>445</v>
      </c>
    </row>
    <row r="25" spans="1:64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 s="1" t="s">
        <v>1458</v>
      </c>
    </row>
    <row r="26" spans="1:64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 s="1" t="s">
        <v>1459</v>
      </c>
    </row>
    <row r="27" spans="1:64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 s="1" t="s">
        <v>1460</v>
      </c>
    </row>
    <row r="28" spans="1:64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 s="1" t="s">
        <v>448</v>
      </c>
    </row>
    <row r="29" spans="1:64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 s="1" t="s">
        <v>1461</v>
      </c>
    </row>
    <row r="30" spans="1:64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 s="1" t="s">
        <v>1256</v>
      </c>
    </row>
    <row r="31" spans="1:64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 s="1" t="s">
        <v>1344</v>
      </c>
    </row>
    <row r="32" spans="1:64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 s="1" t="s">
        <v>1462</v>
      </c>
    </row>
    <row r="33" spans="1:64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 s="1" t="s">
        <v>1463</v>
      </c>
    </row>
    <row r="34" spans="1:64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 s="1" t="s">
        <v>1464</v>
      </c>
    </row>
    <row r="35" spans="1:64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 s="1" t="s">
        <v>1465</v>
      </c>
    </row>
    <row r="36" spans="1:64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 s="1" t="s">
        <v>1466</v>
      </c>
    </row>
    <row r="37" spans="1:64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 s="1" t="s">
        <v>1467</v>
      </c>
    </row>
    <row r="38" spans="1:64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 s="1" t="s">
        <v>449</v>
      </c>
    </row>
    <row r="39" spans="1:64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 s="1" t="s">
        <v>1468</v>
      </c>
    </row>
    <row r="40" spans="1:64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 s="1" t="s">
        <v>1250</v>
      </c>
    </row>
    <row r="41" spans="1:64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 s="1" t="s">
        <v>1469</v>
      </c>
    </row>
    <row r="42" spans="1:64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 s="1" t="s">
        <v>1341</v>
      </c>
    </row>
    <row r="43" spans="1:64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 s="1" t="s">
        <v>1470</v>
      </c>
    </row>
    <row r="44" spans="1:64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 s="1" t="s">
        <v>1338</v>
      </c>
    </row>
    <row r="45" spans="1:64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 s="1" t="s">
        <v>468</v>
      </c>
    </row>
    <row r="46" spans="1:64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 s="1" t="s">
        <v>1471</v>
      </c>
    </row>
    <row r="47" spans="1:64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 s="1" t="s">
        <v>1247</v>
      </c>
    </row>
    <row r="48" spans="1:64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 s="1" t="s">
        <v>1472</v>
      </c>
    </row>
    <row r="49" spans="1:64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 s="1" t="s">
        <v>1460</v>
      </c>
    </row>
    <row r="50" spans="1:64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 s="1" t="s">
        <v>1473</v>
      </c>
    </row>
    <row r="51" spans="1:64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 s="1" t="s">
        <v>1334</v>
      </c>
    </row>
    <row r="52" spans="1:64" x14ac:dyDescent="0.25">
      <c r="A52" s="26"/>
      <c r="B52" s="26" t="s">
        <v>1245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 s="1" t="s">
        <v>1474</v>
      </c>
    </row>
    <row r="53" spans="1:64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 s="1" t="s">
        <v>1475</v>
      </c>
    </row>
    <row r="54" spans="1:64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 s="1" t="s">
        <v>451</v>
      </c>
    </row>
    <row r="55" spans="1:64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 s="1" t="s">
        <v>1476</v>
      </c>
    </row>
    <row r="56" spans="1:64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 s="1" t="s">
        <v>1477</v>
      </c>
    </row>
    <row r="57" spans="1:64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 t="s">
        <v>1352</v>
      </c>
    </row>
    <row r="58" spans="1:64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 t="s">
        <v>1478</v>
      </c>
    </row>
    <row r="59" spans="1:64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 t="s">
        <v>1479</v>
      </c>
    </row>
    <row r="60" spans="1:64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 t="s">
        <v>1331</v>
      </c>
    </row>
    <row r="61" spans="1:64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 t="s">
        <v>1480</v>
      </c>
    </row>
    <row r="62" spans="1:64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 t="s">
        <v>1481</v>
      </c>
    </row>
    <row r="63" spans="1:64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 t="s">
        <v>1361</v>
      </c>
    </row>
    <row r="64" spans="1:64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 t="s">
        <v>1482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 t="s">
        <v>1353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 t="s">
        <v>1483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 t="s">
        <v>1249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 t="s">
        <v>1484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 t="s">
        <v>1485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 t="s">
        <v>1250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 t="s">
        <v>1249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 t="s">
        <v>1486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 t="s">
        <v>847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 t="s">
        <v>1487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 t="s">
        <v>1488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 t="s">
        <v>467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 t="s">
        <v>1489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 t="s">
        <v>1490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 t="s">
        <v>1491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 t="s">
        <v>1492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 t="s">
        <v>1493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 t="s">
        <v>462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 t="s">
        <v>1494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 t="s">
        <v>1495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 t="s">
        <v>1361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 t="s">
        <v>1330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 t="s">
        <v>1343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 t="s">
        <v>1333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 t="s">
        <v>806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 t="s">
        <v>1496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 t="s">
        <v>446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 t="s">
        <v>1497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 t="s">
        <v>1498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 t="s">
        <v>1499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 t="s">
        <v>468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 t="s">
        <v>1500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 t="s">
        <v>1247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 t="s">
        <v>1501</v>
      </c>
      <c r="BN100" s="19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 t="s">
        <v>1502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 t="s">
        <v>1503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 t="s">
        <v>1504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 t="s">
        <v>449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 t="s">
        <v>805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 t="s">
        <v>1505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 t="s">
        <v>1506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 t="s">
        <v>1507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 t="s">
        <v>1508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 t="s">
        <v>1345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 t="s">
        <v>1509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 t="s">
        <v>1510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 t="s">
        <v>1511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 t="s">
        <v>1512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 t="s">
        <v>1513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 t="s">
        <v>848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 t="s">
        <v>1494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 t="s">
        <v>1355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 t="s">
        <v>1514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 t="s">
        <v>1515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 t="s">
        <v>1335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 t="s">
        <v>1516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 t="s">
        <v>1252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 t="s">
        <v>1517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 t="s">
        <v>1518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 t="s">
        <v>1519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 t="s">
        <v>1244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 t="s">
        <v>1520</v>
      </c>
    </row>
    <row r="129" spans="1:64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 t="s">
        <v>1359</v>
      </c>
    </row>
    <row r="130" spans="1:64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 t="s">
        <v>1521</v>
      </c>
    </row>
    <row r="131" spans="1:64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 t="s">
        <v>1351</v>
      </c>
    </row>
    <row r="132" spans="1:64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 t="s">
        <v>847</v>
      </c>
    </row>
    <row r="133" spans="1:64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 t="s">
        <v>1352</v>
      </c>
    </row>
    <row r="134" spans="1:64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 t="s">
        <v>465</v>
      </c>
    </row>
    <row r="135" spans="1:64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 t="s">
        <v>1339</v>
      </c>
    </row>
    <row r="136" spans="1:64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 t="s">
        <v>441</v>
      </c>
    </row>
    <row r="137" spans="1:64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 t="s">
        <v>453</v>
      </c>
    </row>
    <row r="138" spans="1:64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 t="s">
        <v>1522</v>
      </c>
    </row>
    <row r="139" spans="1:64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 t="s">
        <v>1523</v>
      </c>
    </row>
    <row r="140" spans="1:64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 t="s">
        <v>1346</v>
      </c>
    </row>
    <row r="141" spans="1:64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 t="s">
        <v>1524</v>
      </c>
    </row>
    <row r="142" spans="1:64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 t="s">
        <v>1246</v>
      </c>
    </row>
    <row r="143" spans="1:64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 t="s">
        <v>1253</v>
      </c>
    </row>
    <row r="144" spans="1:64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 t="s">
        <v>1350</v>
      </c>
    </row>
    <row r="145" spans="1:64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 t="s">
        <v>1348</v>
      </c>
    </row>
    <row r="146" spans="1:64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 t="s">
        <v>1525</v>
      </c>
    </row>
    <row r="147" spans="1:64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 t="s">
        <v>1251</v>
      </c>
    </row>
    <row r="148" spans="1:64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 t="s">
        <v>1526</v>
      </c>
    </row>
    <row r="149" spans="1:64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 t="s">
        <v>1332</v>
      </c>
    </row>
    <row r="150" spans="1:64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 t="s">
        <v>1527</v>
      </c>
    </row>
    <row r="151" spans="1:64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 t="s">
        <v>1336</v>
      </c>
    </row>
    <row r="152" spans="1:64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 t="s">
        <v>470</v>
      </c>
    </row>
    <row r="153" spans="1:64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 t="s">
        <v>455</v>
      </c>
    </row>
    <row r="154" spans="1:64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 t="s">
        <v>1528</v>
      </c>
    </row>
    <row r="155" spans="1:64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 t="s">
        <v>805</v>
      </c>
    </row>
    <row r="156" spans="1:64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 t="s">
        <v>1254</v>
      </c>
    </row>
    <row r="157" spans="1:64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 t="s">
        <v>1529</v>
      </c>
    </row>
    <row r="158" spans="1:64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 t="s">
        <v>1530</v>
      </c>
    </row>
    <row r="159" spans="1:64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 t="s">
        <v>1531</v>
      </c>
    </row>
    <row r="160" spans="1:64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 t="s">
        <v>1532</v>
      </c>
    </row>
    <row r="161" spans="1:64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 t="s">
        <v>456</v>
      </c>
    </row>
    <row r="162" spans="1:64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 t="s">
        <v>1533</v>
      </c>
    </row>
    <row r="163" spans="1:64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 t="s">
        <v>457</v>
      </c>
    </row>
    <row r="164" spans="1:64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 t="s">
        <v>458</v>
      </c>
    </row>
    <row r="165" spans="1:64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 t="s">
        <v>459</v>
      </c>
    </row>
    <row r="166" spans="1:64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 t="s">
        <v>1534</v>
      </c>
    </row>
    <row r="167" spans="1:64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 t="s">
        <v>1255</v>
      </c>
    </row>
    <row r="168" spans="1:64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 t="s">
        <v>460</v>
      </c>
    </row>
    <row r="169" spans="1:64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 t="s">
        <v>461</v>
      </c>
    </row>
    <row r="170" spans="1:64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 t="s">
        <v>1535</v>
      </c>
    </row>
    <row r="171" spans="1:64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 t="s">
        <v>1340</v>
      </c>
    </row>
    <row r="172" spans="1:64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 t="s">
        <v>1536</v>
      </c>
    </row>
    <row r="173" spans="1:64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 t="s">
        <v>1537</v>
      </c>
    </row>
    <row r="174" spans="1:64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 t="s">
        <v>1538</v>
      </c>
    </row>
    <row r="175" spans="1:64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 t="s">
        <v>462</v>
      </c>
    </row>
    <row r="176" spans="1:64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 t="s">
        <v>1347</v>
      </c>
    </row>
    <row r="177" spans="1:64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 t="s">
        <v>1356</v>
      </c>
    </row>
    <row r="178" spans="1:64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 t="s">
        <v>1520</v>
      </c>
    </row>
    <row r="179" spans="1:64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 t="s">
        <v>1256</v>
      </c>
    </row>
    <row r="180" spans="1:64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 t="s">
        <v>463</v>
      </c>
    </row>
    <row r="181" spans="1:64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 t="s">
        <v>464</v>
      </c>
    </row>
    <row r="182" spans="1:64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 t="s">
        <v>1342</v>
      </c>
    </row>
    <row r="183" spans="1:64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 t="s">
        <v>466</v>
      </c>
    </row>
    <row r="184" spans="1:64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 t="s">
        <v>1357</v>
      </c>
    </row>
    <row r="185" spans="1:64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 t="s">
        <v>1539</v>
      </c>
    </row>
    <row r="186" spans="1:64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 t="s">
        <v>1349</v>
      </c>
    </row>
    <row r="187" spans="1:64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 t="s">
        <v>467</v>
      </c>
    </row>
    <row r="188" spans="1:64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 t="s">
        <v>1540</v>
      </c>
    </row>
    <row r="189" spans="1:64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 t="s">
        <v>468</v>
      </c>
    </row>
    <row r="190" spans="1:64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 t="s">
        <v>469</v>
      </c>
    </row>
    <row r="191" spans="1:64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 t="s">
        <v>469</v>
      </c>
    </row>
    <row r="192" spans="1:64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 t="s">
        <v>1450</v>
      </c>
    </row>
    <row r="193" spans="1:64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 t="s">
        <v>1031</v>
      </c>
    </row>
    <row r="194" spans="1:64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 t="s">
        <v>1470</v>
      </c>
    </row>
    <row r="195" spans="1:64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 t="s">
        <v>446</v>
      </c>
    </row>
    <row r="196" spans="1:64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 t="s">
        <v>446</v>
      </c>
    </row>
    <row r="197" spans="1:64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 t="s">
        <v>1354</v>
      </c>
    </row>
    <row r="198" spans="1:64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 t="s">
        <v>1248</v>
      </c>
    </row>
    <row r="199" spans="1:64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 t="s">
        <v>1541</v>
      </c>
    </row>
    <row r="200" spans="1:64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 t="s">
        <v>452</v>
      </c>
    </row>
    <row r="201" spans="1:64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 t="s">
        <v>448</v>
      </c>
    </row>
    <row r="202" spans="1:64" x14ac:dyDescent="0.25">
      <c r="A202" s="26" t="s">
        <v>1360</v>
      </c>
      <c r="B202" s="26" t="s">
        <v>1030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>
        <v>14</v>
      </c>
      <c r="BL202" t="s">
        <v>1343</v>
      </c>
    </row>
    <row r="203" spans="1:64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 t="s">
        <v>1358</v>
      </c>
    </row>
    <row r="204" spans="1:64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 t="s">
        <v>441</v>
      </c>
    </row>
    <row r="205" spans="1:64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 t="s">
        <v>805</v>
      </c>
    </row>
    <row r="206" spans="1:64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 t="s">
        <v>455</v>
      </c>
    </row>
    <row r="207" spans="1:64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 t="s">
        <v>442</v>
      </c>
    </row>
    <row r="208" spans="1:64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 t="s">
        <v>1361</v>
      </c>
    </row>
    <row r="209" spans="1:64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 t="s">
        <v>1475</v>
      </c>
    </row>
    <row r="210" spans="1:64" x14ac:dyDescent="0.25">
      <c r="A210" s="26" t="s">
        <v>1362</v>
      </c>
      <c r="B210" s="26" t="s">
        <v>1030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 t="s">
        <v>453</v>
      </c>
    </row>
    <row r="211" spans="1:64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 t="s">
        <v>445</v>
      </c>
    </row>
    <row r="212" spans="1:64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 t="s">
        <v>445</v>
      </c>
    </row>
    <row r="213" spans="1:64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 t="s">
        <v>445</v>
      </c>
    </row>
    <row r="214" spans="1:64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 t="s">
        <v>445</v>
      </c>
    </row>
    <row r="215" spans="1:64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 t="s">
        <v>445</v>
      </c>
    </row>
    <row r="216" spans="1:64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 t="s">
        <v>445</v>
      </c>
    </row>
    <row r="217" spans="1:64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 t="s">
        <v>445</v>
      </c>
    </row>
    <row r="218" spans="1:64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 t="s">
        <v>445</v>
      </c>
    </row>
    <row r="219" spans="1:64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 t="s">
        <v>445</v>
      </c>
    </row>
    <row r="220" spans="1:64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 t="s">
        <v>445</v>
      </c>
    </row>
    <row r="221" spans="1:64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 t="s">
        <v>445</v>
      </c>
    </row>
    <row r="222" spans="1:64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 t="s">
        <v>445</v>
      </c>
    </row>
    <row r="223" spans="1:64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 t="s">
        <v>445</v>
      </c>
    </row>
    <row r="224" spans="1:64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 t="s">
        <v>445</v>
      </c>
    </row>
    <row r="225" spans="1:64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 t="s">
        <v>445</v>
      </c>
    </row>
    <row r="226" spans="1:64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 t="s">
        <v>445</v>
      </c>
    </row>
    <row r="227" spans="1:64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 t="s">
        <v>445</v>
      </c>
    </row>
    <row r="228" spans="1:64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 t="s">
        <v>445</v>
      </c>
    </row>
    <row r="229" spans="1:64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 t="s">
        <v>445</v>
      </c>
    </row>
    <row r="230" spans="1:64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 t="s">
        <v>445</v>
      </c>
    </row>
    <row r="231" spans="1:64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 t="s">
        <v>445</v>
      </c>
    </row>
    <row r="232" spans="1:64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 t="s">
        <v>445</v>
      </c>
    </row>
    <row r="233" spans="1:64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 t="s">
        <v>445</v>
      </c>
    </row>
    <row r="234" spans="1:64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 t="s">
        <v>445</v>
      </c>
    </row>
    <row r="235" spans="1:64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 t="s">
        <v>445</v>
      </c>
    </row>
    <row r="236" spans="1:64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 t="s">
        <v>445</v>
      </c>
    </row>
    <row r="237" spans="1:64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 t="s">
        <v>445</v>
      </c>
    </row>
    <row r="238" spans="1:64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 t="s">
        <v>445</v>
      </c>
    </row>
    <row r="239" spans="1:64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 t="s">
        <v>445</v>
      </c>
    </row>
    <row r="240" spans="1:64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 t="s">
        <v>445</v>
      </c>
    </row>
    <row r="241" spans="1:67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 t="s">
        <v>445</v>
      </c>
    </row>
    <row r="242" spans="1:67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 t="s">
        <v>445</v>
      </c>
    </row>
    <row r="243" spans="1:67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 t="s">
        <v>445</v>
      </c>
    </row>
    <row r="244" spans="1:67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 t="s">
        <v>445</v>
      </c>
    </row>
    <row r="245" spans="1:67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 t="s">
        <v>445</v>
      </c>
    </row>
    <row r="246" spans="1:67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 t="s">
        <v>445</v>
      </c>
    </row>
    <row r="247" spans="1:67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 t="s">
        <v>445</v>
      </c>
      <c r="BO247" s="19"/>
    </row>
    <row r="248" spans="1:67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 t="s">
        <v>445</v>
      </c>
    </row>
    <row r="249" spans="1:67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 t="s">
        <v>445</v>
      </c>
    </row>
    <row r="250" spans="1:67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 t="s">
        <v>445</v>
      </c>
    </row>
    <row r="251" spans="1:67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 t="s">
        <v>445</v>
      </c>
    </row>
    <row r="252" spans="1:67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 t="s">
        <v>445</v>
      </c>
    </row>
    <row r="253" spans="1:67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 t="s">
        <v>445</v>
      </c>
    </row>
    <row r="254" spans="1:67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 t="s">
        <v>445</v>
      </c>
    </row>
    <row r="255" spans="1:67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 t="s">
        <v>445</v>
      </c>
    </row>
    <row r="256" spans="1:67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 t="s">
        <v>445</v>
      </c>
    </row>
    <row r="257" spans="1:64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 t="s">
        <v>445</v>
      </c>
    </row>
    <row r="258" spans="1:64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 t="s">
        <v>445</v>
      </c>
    </row>
    <row r="259" spans="1:64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 t="s">
        <v>445</v>
      </c>
    </row>
    <row r="260" spans="1:64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 t="s">
        <v>445</v>
      </c>
    </row>
    <row r="261" spans="1:64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 t="s">
        <v>445</v>
      </c>
    </row>
    <row r="262" spans="1:64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 t="s">
        <v>445</v>
      </c>
    </row>
    <row r="263" spans="1:64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 t="s">
        <v>445</v>
      </c>
    </row>
    <row r="264" spans="1:64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 t="s">
        <v>445</v>
      </c>
    </row>
    <row r="265" spans="1:64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 t="s">
        <v>445</v>
      </c>
    </row>
    <row r="266" spans="1:64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 t="s">
        <v>445</v>
      </c>
    </row>
    <row r="267" spans="1:64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 t="s">
        <v>445</v>
      </c>
    </row>
    <row r="268" spans="1:64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 t="s">
        <v>445</v>
      </c>
    </row>
    <row r="269" spans="1:64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 t="s">
        <v>445</v>
      </c>
    </row>
    <row r="270" spans="1:64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 t="s">
        <v>445</v>
      </c>
    </row>
    <row r="271" spans="1:64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 t="s">
        <v>445</v>
      </c>
    </row>
    <row r="272" spans="1:64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 t="s">
        <v>445</v>
      </c>
    </row>
    <row r="273" spans="1:64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 t="s">
        <v>445</v>
      </c>
    </row>
    <row r="274" spans="1:64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 t="s">
        <v>445</v>
      </c>
    </row>
    <row r="275" spans="1:64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 t="s">
        <v>445</v>
      </c>
    </row>
    <row r="276" spans="1:64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 t="s">
        <v>445</v>
      </c>
    </row>
    <row r="277" spans="1:64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 t="s">
        <v>445</v>
      </c>
    </row>
    <row r="278" spans="1:64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 t="s">
        <v>445</v>
      </c>
    </row>
    <row r="279" spans="1:64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 t="s">
        <v>445</v>
      </c>
    </row>
    <row r="280" spans="1:64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 t="s">
        <v>445</v>
      </c>
    </row>
    <row r="281" spans="1:64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 t="s">
        <v>445</v>
      </c>
    </row>
    <row r="283" spans="1:64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 t="s">
        <v>445</v>
      </c>
    </row>
    <row r="284" spans="1:64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 t="s">
        <v>445</v>
      </c>
    </row>
    <row r="285" spans="1:64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 t="s">
        <v>445</v>
      </c>
    </row>
    <row r="286" spans="1:64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 t="s">
        <v>445</v>
      </c>
    </row>
    <row r="287" spans="1:64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 t="s">
        <v>445</v>
      </c>
    </row>
    <row r="288" spans="1:64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 t="s">
        <v>445</v>
      </c>
    </row>
    <row r="289" spans="1:64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 t="s">
        <v>445</v>
      </c>
    </row>
    <row r="290" spans="1:64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 t="s">
        <v>445</v>
      </c>
    </row>
    <row r="291" spans="1:64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 t="s">
        <v>445</v>
      </c>
    </row>
    <row r="292" spans="1:64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 t="s">
        <v>445</v>
      </c>
    </row>
    <row r="293" spans="1:64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 t="s">
        <v>445</v>
      </c>
    </row>
    <row r="294" spans="1:64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 t="s">
        <v>445</v>
      </c>
    </row>
    <row r="295" spans="1:64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 t="s">
        <v>445</v>
      </c>
    </row>
    <row r="297" spans="1:64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 t="s">
        <v>445</v>
      </c>
    </row>
    <row r="298" spans="1:64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 t="s">
        <v>445</v>
      </c>
    </row>
    <row r="299" spans="1:64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 t="s">
        <v>445</v>
      </c>
    </row>
    <row r="300" spans="1:64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 t="s">
        <v>445</v>
      </c>
    </row>
    <row r="301" spans="1:64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 t="s">
        <v>445</v>
      </c>
    </row>
    <row r="302" spans="1:64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 t="s">
        <v>445</v>
      </c>
    </row>
    <row r="303" spans="1:64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 t="s">
        <v>445</v>
      </c>
    </row>
    <row r="304" spans="1:64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 t="s">
        <v>445</v>
      </c>
    </row>
    <row r="305" spans="1:64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 t="s">
        <v>445</v>
      </c>
    </row>
    <row r="306" spans="1:64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 t="s">
        <v>445</v>
      </c>
    </row>
    <row r="307" spans="1:64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 t="s">
        <v>445</v>
      </c>
    </row>
    <row r="308" spans="1:64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 t="s">
        <v>445</v>
      </c>
    </row>
    <row r="309" spans="1:64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 t="s">
        <v>445</v>
      </c>
    </row>
    <row r="310" spans="1:64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 t="s">
        <v>445</v>
      </c>
    </row>
    <row r="311" spans="1:64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 t="s">
        <v>445</v>
      </c>
    </row>
    <row r="312" spans="1:64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 t="s">
        <v>445</v>
      </c>
    </row>
    <row r="313" spans="1:64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 t="s">
        <v>445</v>
      </c>
    </row>
    <row r="314" spans="1:64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 t="s">
        <v>445</v>
      </c>
    </row>
    <row r="315" spans="1:64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 t="s">
        <v>445</v>
      </c>
    </row>
    <row r="316" spans="1:64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 t="s">
        <v>445</v>
      </c>
    </row>
    <row r="317" spans="1:64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 t="s">
        <v>445</v>
      </c>
    </row>
    <row r="318" spans="1:64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 t="s">
        <v>445</v>
      </c>
    </row>
    <row r="319" spans="1:64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 t="s">
        <v>445</v>
      </c>
    </row>
    <row r="320" spans="1:64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 t="s">
        <v>445</v>
      </c>
    </row>
    <row r="321" spans="1:64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 t="s">
        <v>445</v>
      </c>
    </row>
    <row r="322" spans="1:64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 t="s">
        <v>445</v>
      </c>
    </row>
    <row r="323" spans="1:64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 t="s">
        <v>445</v>
      </c>
    </row>
    <row r="324" spans="1:64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 t="s">
        <v>445</v>
      </c>
    </row>
    <row r="325" spans="1:64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 t="s">
        <v>445</v>
      </c>
    </row>
    <row r="326" spans="1:64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 t="s">
        <v>445</v>
      </c>
    </row>
    <row r="327" spans="1:64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 t="s">
        <v>445</v>
      </c>
    </row>
    <row r="328" spans="1:64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 t="s">
        <v>445</v>
      </c>
    </row>
    <row r="329" spans="1:64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 t="s">
        <v>445</v>
      </c>
    </row>
    <row r="330" spans="1:64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 t="s">
        <v>445</v>
      </c>
    </row>
    <row r="331" spans="1:64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 t="s">
        <v>445</v>
      </c>
    </row>
    <row r="332" spans="1:64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 t="s">
        <v>445</v>
      </c>
    </row>
    <row r="333" spans="1:64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 t="s">
        <v>445</v>
      </c>
    </row>
    <row r="334" spans="1:64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 t="s">
        <v>445</v>
      </c>
    </row>
    <row r="335" spans="1:64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 t="s">
        <v>445</v>
      </c>
    </row>
    <row r="336" spans="1:64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 t="s">
        <v>445</v>
      </c>
    </row>
    <row r="337" spans="1:64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 t="s">
        <v>445</v>
      </c>
    </row>
    <row r="338" spans="1:64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 t="s">
        <v>445</v>
      </c>
    </row>
    <row r="339" spans="1:64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 t="s">
        <v>445</v>
      </c>
    </row>
    <row r="340" spans="1:64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 t="s">
        <v>445</v>
      </c>
    </row>
    <row r="341" spans="1:64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 t="s">
        <v>445</v>
      </c>
    </row>
    <row r="342" spans="1:64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 t="s">
        <v>445</v>
      </c>
    </row>
    <row r="343" spans="1:64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 t="s">
        <v>445</v>
      </c>
    </row>
    <row r="344" spans="1:64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 t="s">
        <v>445</v>
      </c>
    </row>
    <row r="345" spans="1:64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 t="s">
        <v>445</v>
      </c>
    </row>
    <row r="346" spans="1:64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 t="s">
        <v>445</v>
      </c>
    </row>
    <row r="347" spans="1:64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 t="s">
        <v>445</v>
      </c>
    </row>
    <row r="348" spans="1:64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 t="s">
        <v>445</v>
      </c>
    </row>
    <row r="349" spans="1:64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 t="s">
        <v>445</v>
      </c>
    </row>
    <row r="350" spans="1:64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 t="s">
        <v>445</v>
      </c>
    </row>
    <row r="351" spans="1:64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 t="s">
        <v>445</v>
      </c>
    </row>
    <row r="352" spans="1:64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 t="s">
        <v>445</v>
      </c>
    </row>
    <row r="353" spans="1:64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 t="s">
        <v>445</v>
      </c>
    </row>
    <row r="354" spans="1:64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 t="s">
        <v>445</v>
      </c>
    </row>
    <row r="355" spans="1:64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 t="s">
        <v>445</v>
      </c>
    </row>
    <row r="356" spans="1:64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 t="s">
        <v>445</v>
      </c>
    </row>
    <row r="357" spans="1:64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 t="s">
        <v>445</v>
      </c>
    </row>
    <row r="358" spans="1:64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 t="s">
        <v>445</v>
      </c>
    </row>
    <row r="359" spans="1:64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 t="s">
        <v>445</v>
      </c>
    </row>
    <row r="360" spans="1:64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 t="s">
        <v>445</v>
      </c>
    </row>
    <row r="361" spans="1:64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 t="s">
        <v>445</v>
      </c>
    </row>
    <row r="362" spans="1:64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 t="s">
        <v>445</v>
      </c>
    </row>
    <row r="363" spans="1:64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 t="s">
        <v>445</v>
      </c>
    </row>
    <row r="364" spans="1:64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 t="s">
        <v>445</v>
      </c>
    </row>
    <row r="365" spans="1:64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 t="s">
        <v>445</v>
      </c>
    </row>
    <row r="366" spans="1:64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 t="s">
        <v>445</v>
      </c>
    </row>
    <row r="367" spans="1:64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 t="s">
        <v>445</v>
      </c>
    </row>
    <row r="368" spans="1:64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 t="s">
        <v>445</v>
      </c>
    </row>
    <row r="369" spans="1:64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 t="s">
        <v>445</v>
      </c>
    </row>
    <row r="370" spans="1:64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 t="s">
        <v>445</v>
      </c>
    </row>
    <row r="371" spans="1:64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 t="s">
        <v>445</v>
      </c>
    </row>
    <row r="372" spans="1:64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 t="s">
        <v>445</v>
      </c>
    </row>
    <row r="373" spans="1:64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 t="s">
        <v>445</v>
      </c>
    </row>
    <row r="374" spans="1:64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 t="s">
        <v>445</v>
      </c>
    </row>
    <row r="375" spans="1:64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 t="s">
        <v>445</v>
      </c>
    </row>
    <row r="376" spans="1:64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 t="s">
        <v>445</v>
      </c>
    </row>
    <row r="377" spans="1:64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 t="s">
        <v>445</v>
      </c>
    </row>
    <row r="378" spans="1:64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 t="s">
        <v>445</v>
      </c>
    </row>
    <row r="379" spans="1:64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 t="s">
        <v>445</v>
      </c>
    </row>
    <row r="380" spans="1:64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 t="s">
        <v>445</v>
      </c>
    </row>
    <row r="381" spans="1:64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 t="s">
        <v>445</v>
      </c>
    </row>
    <row r="382" spans="1:64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 t="s">
        <v>445</v>
      </c>
    </row>
    <row r="383" spans="1:64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 t="s">
        <v>445</v>
      </c>
    </row>
    <row r="384" spans="1:64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 t="s">
        <v>445</v>
      </c>
    </row>
    <row r="385" spans="1:64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 t="s">
        <v>445</v>
      </c>
    </row>
    <row r="386" spans="1:64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 t="s">
        <v>445</v>
      </c>
    </row>
    <row r="387" spans="1:64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 t="s">
        <v>445</v>
      </c>
    </row>
    <row r="388" spans="1:64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 t="s">
        <v>445</v>
      </c>
    </row>
    <row r="389" spans="1:64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 t="s">
        <v>445</v>
      </c>
    </row>
    <row r="390" spans="1:64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 t="s">
        <v>445</v>
      </c>
    </row>
    <row r="391" spans="1:64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 t="s">
        <v>445</v>
      </c>
    </row>
    <row r="392" spans="1:64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 t="s">
        <v>445</v>
      </c>
    </row>
    <row r="393" spans="1:64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 t="s">
        <v>445</v>
      </c>
    </row>
    <row r="394" spans="1:64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 t="s">
        <v>445</v>
      </c>
    </row>
    <row r="395" spans="1:64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 t="s">
        <v>445</v>
      </c>
    </row>
    <row r="396" spans="1:64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 t="s">
        <v>445</v>
      </c>
    </row>
    <row r="397" spans="1:64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 t="s">
        <v>445</v>
      </c>
    </row>
    <row r="398" spans="1:64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 t="s">
        <v>445</v>
      </c>
    </row>
    <row r="399" spans="1:64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 t="s">
        <v>445</v>
      </c>
    </row>
    <row r="400" spans="1:64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 t="s">
        <v>445</v>
      </c>
    </row>
    <row r="401" spans="1:64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 t="s">
        <v>445</v>
      </c>
    </row>
    <row r="402" spans="1:64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 t="s">
        <v>1527</v>
      </c>
    </row>
    <row r="403" spans="1:64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 t="s">
        <v>447</v>
      </c>
    </row>
    <row r="404" spans="1:64" x14ac:dyDescent="0.25">
      <c r="A404" s="26" t="s">
        <v>472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 t="s">
        <v>444</v>
      </c>
    </row>
    <row r="405" spans="1:64" x14ac:dyDescent="0.25">
      <c r="A405" s="26" t="s">
        <v>1030</v>
      </c>
      <c r="B405" s="26" t="s">
        <v>1030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>
        <v>3983</v>
      </c>
      <c r="BL405" t="s">
        <v>1542</v>
      </c>
    </row>
    <row r="406" spans="1:64" x14ac:dyDescent="0.25">
      <c r="A406" s="26"/>
      <c r="B406" s="26" t="s">
        <v>473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 t="s">
        <v>1352</v>
      </c>
    </row>
    <row r="407" spans="1:64" x14ac:dyDescent="0.25">
      <c r="A407" s="26" t="s">
        <v>474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 t="s">
        <v>1253</v>
      </c>
    </row>
    <row r="408" spans="1:64" x14ac:dyDescent="0.25">
      <c r="A408" s="26" t="s">
        <v>476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 t="s">
        <v>446</v>
      </c>
    </row>
    <row r="409" spans="1:64" x14ac:dyDescent="0.25">
      <c r="A409" s="26" t="s">
        <v>477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 t="s">
        <v>471</v>
      </c>
    </row>
    <row r="410" spans="1:64" x14ac:dyDescent="0.25">
      <c r="A410" s="26"/>
      <c r="B410" s="26" t="s">
        <v>478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 t="s">
        <v>444</v>
      </c>
    </row>
    <row r="411" spans="1:64" x14ac:dyDescent="0.25">
      <c r="A411" s="26"/>
      <c r="B411" s="26" t="s">
        <v>479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 t="s">
        <v>443</v>
      </c>
    </row>
    <row r="412" spans="1:64" x14ac:dyDescent="0.25">
      <c r="A412" s="26"/>
      <c r="B412" s="26" t="s">
        <v>480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 t="s">
        <v>443</v>
      </c>
    </row>
    <row r="413" spans="1:64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 t="s">
        <v>453</v>
      </c>
    </row>
    <row r="414" spans="1:64" x14ac:dyDescent="0.25">
      <c r="A414" s="26"/>
      <c r="B414" s="26" t="s">
        <v>482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 t="s">
        <v>447</v>
      </c>
    </row>
    <row r="415" spans="1:64" x14ac:dyDescent="0.25">
      <c r="A415" s="26"/>
      <c r="B415" s="26" t="s">
        <v>483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 t="s">
        <v>441</v>
      </c>
    </row>
    <row r="416" spans="1:64" x14ac:dyDescent="0.25">
      <c r="A416" s="26" t="s">
        <v>484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 t="s">
        <v>1543</v>
      </c>
    </row>
    <row r="417" spans="1:64" x14ac:dyDescent="0.25">
      <c r="A417" s="26"/>
      <c r="B417" s="26" t="s">
        <v>649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 t="s">
        <v>1544</v>
      </c>
    </row>
    <row r="418" spans="1:64" x14ac:dyDescent="0.25">
      <c r="A418" s="26"/>
      <c r="B418" s="26" t="s">
        <v>650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 t="s">
        <v>1248</v>
      </c>
    </row>
    <row r="419" spans="1:64" x14ac:dyDescent="0.25">
      <c r="A419" s="26" t="s">
        <v>651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 t="s">
        <v>1527</v>
      </c>
    </row>
    <row r="420" spans="1:64" x14ac:dyDescent="0.25">
      <c r="A420" s="26"/>
      <c r="B420" s="26" t="s">
        <v>652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 t="s">
        <v>442</v>
      </c>
    </row>
    <row r="421" spans="1:64" x14ac:dyDescent="0.25">
      <c r="A421" s="26"/>
      <c r="B421" s="26" t="s">
        <v>653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 t="s">
        <v>447</v>
      </c>
    </row>
    <row r="422" spans="1:64" x14ac:dyDescent="0.25">
      <c r="A422" s="26"/>
      <c r="B422" s="26" t="s">
        <v>654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 t="s">
        <v>449</v>
      </c>
    </row>
    <row r="423" spans="1:64" x14ac:dyDescent="0.25">
      <c r="B423" t="s">
        <v>655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 t="s">
        <v>1251</v>
      </c>
    </row>
    <row r="424" spans="1:64" x14ac:dyDescent="0.25">
      <c r="B424" t="s">
        <v>657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 t="s">
        <v>441</v>
      </c>
    </row>
    <row r="425" spans="1:64" x14ac:dyDescent="0.25">
      <c r="B425" t="s">
        <v>658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 t="s">
        <v>452</v>
      </c>
    </row>
    <row r="426" spans="1:64" x14ac:dyDescent="0.25">
      <c r="B426" t="s">
        <v>659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 t="s">
        <v>1358</v>
      </c>
    </row>
    <row r="427" spans="1:64" x14ac:dyDescent="0.25">
      <c r="B427" t="s">
        <v>660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 t="s">
        <v>443</v>
      </c>
    </row>
    <row r="428" spans="1:64" x14ac:dyDescent="0.25">
      <c r="B428" t="s">
        <v>661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 t="s">
        <v>1358</v>
      </c>
    </row>
    <row r="429" spans="1:64" x14ac:dyDescent="0.25">
      <c r="B429" t="s">
        <v>662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 t="s">
        <v>443</v>
      </c>
    </row>
    <row r="430" spans="1:64" x14ac:dyDescent="0.25">
      <c r="B430" t="s">
        <v>663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 t="s">
        <v>441</v>
      </c>
    </row>
    <row r="431" spans="1:64" x14ac:dyDescent="0.25">
      <c r="B431" t="s">
        <v>664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 t="s">
        <v>452</v>
      </c>
    </row>
    <row r="432" spans="1:64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 t="s">
        <v>446</v>
      </c>
    </row>
    <row r="433" spans="1:64" x14ac:dyDescent="0.25">
      <c r="A433" t="s">
        <v>796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 t="s">
        <v>1253</v>
      </c>
    </row>
    <row r="434" spans="1:64" x14ac:dyDescent="0.25">
      <c r="B434" t="s">
        <v>797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 t="s">
        <v>443</v>
      </c>
    </row>
    <row r="435" spans="1:64" x14ac:dyDescent="0.25">
      <c r="A435" t="s">
        <v>798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 t="s">
        <v>454</v>
      </c>
    </row>
    <row r="436" spans="1:64" x14ac:dyDescent="0.25">
      <c r="A436" t="s">
        <v>799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 t="s">
        <v>443</v>
      </c>
    </row>
    <row r="437" spans="1:64" x14ac:dyDescent="0.25">
      <c r="B437" t="s">
        <v>800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 t="s">
        <v>442</v>
      </c>
    </row>
    <row r="438" spans="1:64" x14ac:dyDescent="0.25">
      <c r="B438" t="s">
        <v>801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 t="s">
        <v>442</v>
      </c>
    </row>
    <row r="439" spans="1:64" x14ac:dyDescent="0.25">
      <c r="B439" t="s">
        <v>802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 t="s">
        <v>454</v>
      </c>
    </row>
    <row r="440" spans="1:64" x14ac:dyDescent="0.25">
      <c r="A440" t="s">
        <v>803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 t="s">
        <v>447</v>
      </c>
    </row>
    <row r="441" spans="1:64" x14ac:dyDescent="0.25">
      <c r="B441" t="s">
        <v>804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 t="s">
        <v>1336</v>
      </c>
    </row>
    <row r="442" spans="1:64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 t="s">
        <v>1545</v>
      </c>
    </row>
    <row r="443" spans="1:64" x14ac:dyDescent="0.25">
      <c r="A443" t="s">
        <v>1257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 t="s">
        <v>1527</v>
      </c>
    </row>
    <row r="444" spans="1:64" x14ac:dyDescent="0.25">
      <c r="A444" t="s">
        <v>475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 t="s">
        <v>1352</v>
      </c>
    </row>
    <row r="445" spans="1:64" x14ac:dyDescent="0.25">
      <c r="B445" t="s">
        <v>1258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 t="s">
        <v>443</v>
      </c>
    </row>
    <row r="446" spans="1:64" x14ac:dyDescent="0.25">
      <c r="B446" t="s">
        <v>1260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 t="s">
        <v>442</v>
      </c>
    </row>
    <row r="447" spans="1:64" x14ac:dyDescent="0.25">
      <c r="A447" t="s">
        <v>656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 t="s">
        <v>442</v>
      </c>
    </row>
    <row r="448" spans="1:64" x14ac:dyDescent="0.25">
      <c r="B448" t="s">
        <v>1261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 t="s">
        <v>441</v>
      </c>
    </row>
    <row r="449" spans="1:64" x14ac:dyDescent="0.25">
      <c r="B449" t="s">
        <v>1262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 t="s">
        <v>454</v>
      </c>
    </row>
    <row r="450" spans="1:64" x14ac:dyDescent="0.25">
      <c r="A450" t="s">
        <v>665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 t="s">
        <v>442</v>
      </c>
    </row>
    <row r="451" spans="1:64" x14ac:dyDescent="0.25">
      <c r="A451" t="s">
        <v>1363</v>
      </c>
      <c r="B451" t="s">
        <v>1030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 t="s">
        <v>442</v>
      </c>
    </row>
    <row r="452" spans="1:64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 t="s">
        <v>1348</v>
      </c>
    </row>
    <row r="453" spans="1:64" x14ac:dyDescent="0.25">
      <c r="B453" t="s">
        <v>1263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 t="s">
        <v>454</v>
      </c>
    </row>
    <row r="454" spans="1:64" x14ac:dyDescent="0.25">
      <c r="B454" t="s">
        <v>1264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>
        <v>14</v>
      </c>
      <c r="BL454" t="s">
        <v>455</v>
      </c>
    </row>
    <row r="455" spans="1:64" x14ac:dyDescent="0.25">
      <c r="B455" t="s">
        <v>1265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 t="s">
        <v>455</v>
      </c>
    </row>
    <row r="456" spans="1:64" x14ac:dyDescent="0.25">
      <c r="B456" t="s">
        <v>1266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 t="s">
        <v>455</v>
      </c>
    </row>
    <row r="457" spans="1:64" x14ac:dyDescent="0.25">
      <c r="A457" t="s">
        <v>481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 t="s">
        <v>450</v>
      </c>
    </row>
    <row r="458" spans="1:64" x14ac:dyDescent="0.25">
      <c r="B458" t="s">
        <v>1267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 t="s">
        <v>443</v>
      </c>
    </row>
    <row r="459" spans="1:64" x14ac:dyDescent="0.25">
      <c r="B459" t="s">
        <v>1268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 t="s">
        <v>441</v>
      </c>
    </row>
    <row r="460" spans="1:64" x14ac:dyDescent="0.25">
      <c r="B460" t="s">
        <v>1269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 t="s">
        <v>441</v>
      </c>
    </row>
    <row r="461" spans="1:64" x14ac:dyDescent="0.25">
      <c r="A461" t="s">
        <v>1364</v>
      </c>
      <c r="B461" t="s">
        <v>1030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 t="s">
        <v>441</v>
      </c>
    </row>
    <row r="462" spans="1:64" x14ac:dyDescent="0.25">
      <c r="B462" t="s">
        <v>1365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 t="s">
        <v>452</v>
      </c>
    </row>
    <row r="463" spans="1:64" x14ac:dyDescent="0.25">
      <c r="A463" t="s">
        <v>1259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>
        <v>2</v>
      </c>
      <c r="BL463" t="s">
        <v>443</v>
      </c>
    </row>
    <row r="464" spans="1:64" x14ac:dyDescent="0.25">
      <c r="A464" t="s">
        <v>1366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 t="s">
        <v>452</v>
      </c>
    </row>
    <row r="465" spans="1:64" x14ac:dyDescent="0.25">
      <c r="A465" t="s">
        <v>1367</v>
      </c>
      <c r="B465" t="s">
        <v>1030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 t="s">
        <v>443</v>
      </c>
    </row>
    <row r="466" spans="1:64" x14ac:dyDescent="0.25">
      <c r="B466" t="s">
        <v>1368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 t="s">
        <v>441</v>
      </c>
    </row>
    <row r="467" spans="1:64" x14ac:dyDescent="0.25">
      <c r="B467" t="s">
        <v>1369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 t="s">
        <v>442</v>
      </c>
    </row>
    <row r="468" spans="1:64" x14ac:dyDescent="0.25">
      <c r="B468" t="s">
        <v>1370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 t="s">
        <v>441</v>
      </c>
    </row>
    <row r="469" spans="1:64" x14ac:dyDescent="0.25">
      <c r="B469" t="s">
        <v>1371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 t="s">
        <v>443</v>
      </c>
    </row>
    <row r="470" spans="1:64" x14ac:dyDescent="0.25">
      <c r="B470" t="s">
        <v>1372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 t="s">
        <v>442</v>
      </c>
    </row>
    <row r="471" spans="1:64" x14ac:dyDescent="0.25">
      <c r="B471" t="s">
        <v>1373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 t="s">
        <v>443</v>
      </c>
    </row>
    <row r="472" spans="1:64" x14ac:dyDescent="0.25">
      <c r="B472" t="s">
        <v>1374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 t="s">
        <v>443</v>
      </c>
    </row>
    <row r="473" spans="1:64" x14ac:dyDescent="0.25">
      <c r="B473" t="s">
        <v>1375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 t="s">
        <v>442</v>
      </c>
    </row>
    <row r="474" spans="1:64" x14ac:dyDescent="0.25">
      <c r="A474" t="s">
        <v>1376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 t="s">
        <v>441</v>
      </c>
    </row>
    <row r="475" spans="1:64" x14ac:dyDescent="0.25">
      <c r="B475" t="s">
        <v>1377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 t="s">
        <v>441</v>
      </c>
    </row>
    <row r="476" spans="1:64" x14ac:dyDescent="0.25">
      <c r="B476" t="s">
        <v>1378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 t="s">
        <v>441</v>
      </c>
    </row>
    <row r="477" spans="1:64" x14ac:dyDescent="0.25">
      <c r="A477" t="s">
        <v>1379</v>
      </c>
      <c r="B477" t="s">
        <v>1030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 t="s">
        <v>441</v>
      </c>
    </row>
    <row r="478" spans="1:64" x14ac:dyDescent="0.25">
      <c r="B478" t="s">
        <v>1380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 t="s">
        <v>442</v>
      </c>
    </row>
    <row r="479" spans="1:64" x14ac:dyDescent="0.25">
      <c r="A479" t="s">
        <v>1546</v>
      </c>
      <c r="B479" t="s">
        <v>46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 t="s">
        <v>441</v>
      </c>
    </row>
    <row r="480" spans="1:64" x14ac:dyDescent="0.25">
      <c r="B480" t="s">
        <v>1547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 t="s">
        <v>441</v>
      </c>
    </row>
    <row r="481" spans="2:64" x14ac:dyDescent="0.25">
      <c r="B481" t="s">
        <v>1548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 t="s">
        <v>441</v>
      </c>
    </row>
    <row r="482" spans="2:64" x14ac:dyDescent="0.25">
      <c r="B482" t="s">
        <v>1549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 t="s">
        <v>441</v>
      </c>
    </row>
    <row r="483" spans="2:64" x14ac:dyDescent="0.25">
      <c r="B483" t="s">
        <v>1550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</row>
  </sheetData>
  <autoFilter ref="A1:DP483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794</v>
      </c>
      <c r="B1" s="40" t="s">
        <v>773</v>
      </c>
      <c r="E1" t="s">
        <v>795</v>
      </c>
      <c r="F1" t="s">
        <v>1271</v>
      </c>
      <c r="G1" t="s">
        <v>1270</v>
      </c>
      <c r="H1" t="s">
        <v>1272</v>
      </c>
    </row>
    <row r="2" spans="1:8" ht="33.75" thickBot="1" x14ac:dyDescent="0.3">
      <c r="A2" s="41">
        <v>0</v>
      </c>
      <c r="B2" s="41" t="s">
        <v>774</v>
      </c>
      <c r="E2" s="26" t="s">
        <v>984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775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776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777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778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779</v>
      </c>
      <c r="E7" s="26" t="s">
        <v>1277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780</v>
      </c>
      <c r="E8" s="26" t="s">
        <v>1243</v>
      </c>
      <c r="F8" t="s">
        <v>1030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781</v>
      </c>
      <c r="E9" t="s">
        <v>989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782</v>
      </c>
    </row>
    <row r="11" spans="1:8" ht="17.25" thickBot="1" x14ac:dyDescent="0.3">
      <c r="A11" s="41">
        <v>9</v>
      </c>
      <c r="B11" s="41" t="s">
        <v>783</v>
      </c>
    </row>
    <row r="12" spans="1:8" ht="17.25" thickBot="1" x14ac:dyDescent="0.3">
      <c r="A12" s="41">
        <v>10</v>
      </c>
      <c r="B12" s="41" t="s">
        <v>784</v>
      </c>
    </row>
    <row r="13" spans="1:8" ht="17.25" thickBot="1" x14ac:dyDescent="0.3">
      <c r="A13" s="41">
        <v>11</v>
      </c>
      <c r="B13" s="41" t="s">
        <v>785</v>
      </c>
    </row>
    <row r="14" spans="1:8" ht="17.25" thickBot="1" x14ac:dyDescent="0.3">
      <c r="A14" s="41">
        <v>13</v>
      </c>
      <c r="B14" s="41" t="s">
        <v>786</v>
      </c>
    </row>
    <row r="15" spans="1:8" ht="33.75" thickBot="1" x14ac:dyDescent="0.3">
      <c r="A15" s="41">
        <v>14</v>
      </c>
      <c r="B15" s="41" t="s">
        <v>787</v>
      </c>
    </row>
    <row r="16" spans="1:8" ht="33.75" thickBot="1" x14ac:dyDescent="0.3">
      <c r="A16" s="41">
        <v>15</v>
      </c>
      <c r="B16" s="41" t="s">
        <v>788</v>
      </c>
    </row>
    <row r="17" spans="1:2" ht="33.75" thickBot="1" x14ac:dyDescent="0.3">
      <c r="A17" s="41">
        <v>16</v>
      </c>
      <c r="B17" s="41" t="s">
        <v>789</v>
      </c>
    </row>
    <row r="18" spans="1:2" ht="17.25" thickBot="1" x14ac:dyDescent="0.3">
      <c r="A18" s="41">
        <v>17</v>
      </c>
      <c r="B18" s="41" t="s">
        <v>790</v>
      </c>
    </row>
    <row r="19" spans="1:2" ht="17.25" thickBot="1" x14ac:dyDescent="0.3">
      <c r="A19" s="41">
        <v>18</v>
      </c>
      <c r="B19" s="41" t="s">
        <v>791</v>
      </c>
    </row>
    <row r="20" spans="1:2" ht="17.25" thickBot="1" x14ac:dyDescent="0.3">
      <c r="A20" s="41">
        <v>19</v>
      </c>
      <c r="B20" s="41" t="s">
        <v>792</v>
      </c>
    </row>
    <row r="21" spans="1:2" ht="16.5" x14ac:dyDescent="0.25">
      <c r="A21" s="41">
        <v>20</v>
      </c>
      <c r="B21" s="41" t="s">
        <v>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16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chtAsymptoteNSW</vt:lpstr>
      <vt:lpstr>chtFutureAllSK2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myData!StartDt2Tests</vt:lpstr>
      <vt:lpstr>myData!StartDt2UK</vt:lpstr>
      <vt:lpstr>myData!StartDt2US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2020-03-22T09:58:43Z</dcterms:modified>
</cp:coreProperties>
</file>