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3.xml" ContentType="application/vnd.ms-excel.controlproperti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firstSheet="12" activeTab="17"/>
  </bookViews>
  <sheets>
    <sheet name="myData" sheetId="4" r:id="rId1"/>
    <sheet name="chtAsymptoteNSW" sheetId="32" r:id="rId2"/>
    <sheet name="chtFutureAllSK2" sheetId="33" r:id="rId3"/>
    <sheet name="chtFutureUK" sheetId="30" r:id="rId4"/>
    <sheet name="chtFutureSKorea" sheetId="26" r:id="rId5"/>
    <sheet name="chtFutureNSWUS" sheetId="25" r:id="rId6"/>
    <sheet name="chtFutureAll" sheetId="15" r:id="rId7"/>
    <sheet name="Chart Index" sheetId="14" r:id="rId8"/>
    <sheet name="chtFutureNSWEarly" sheetId="8" r:id="rId9"/>
    <sheet name="chtFutureNSW" sheetId="5" r:id="rId10"/>
    <sheet name="chtFutureItalyEarly" sheetId="7" r:id="rId11"/>
    <sheet name="chtFutureItaly" sheetId="6" r:id="rId12"/>
    <sheet name="chtFutureUSEarly" sheetId="10" r:id="rId13"/>
    <sheet name="chtFutureUS" sheetId="11" r:id="rId14"/>
    <sheet name="chtFutureChina" sheetId="19" r:id="rId15"/>
    <sheet name="chtTests" sheetId="22" r:id="rId16"/>
    <sheet name="chtFutureAU" sheetId="24" r:id="rId17"/>
    <sheet name="chtFutureAllAU" sheetId="23" r:id="rId18"/>
    <sheet name="BedOccupancy" sheetId="16" state="hidden" r:id="rId19"/>
    <sheet name="Names" sheetId="20" state="hidden" r:id="rId20"/>
    <sheet name="time_series_19-covid-Confirmed" sheetId="1" r:id="rId21"/>
    <sheet name="solvMsgs" sheetId="21" r:id="rId22"/>
  </sheets>
  <functionGroups builtInGroupCount="18"/>
  <externalReferences>
    <externalReference r:id="rId23"/>
  </externalReferences>
  <definedNames>
    <definedName name="_xlnm._FilterDatabase" localSheetId="19" hidden="1">Names!$A$1:$P$56</definedName>
    <definedName name="_xlnm._FilterDatabase" localSheetId="20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myData!$CI$11</definedName>
    <definedName name="AuPop" localSheetId="0">myData!$AA$8</definedName>
    <definedName name="AuSeries" localSheetId="0">myData!$CF$11</definedName>
    <definedName name="beta" localSheetId="0">myData!$A$2</definedName>
    <definedName name="betaAu" localSheetId="0">myData!$BP$11</definedName>
    <definedName name="betaChina" localSheetId="0">myData!$BP$15</definedName>
    <definedName name="betaItaly" localSheetId="0">myData!$BP$13</definedName>
    <definedName name="betaNSW" localSheetId="0">myData!$BP$12</definedName>
    <definedName name="betaPodelta" localSheetId="0">myData!$F$2</definedName>
    <definedName name="betaPodeltaAu" localSheetId="0">myData!$BU$11</definedName>
    <definedName name="betaPodeltaChina" localSheetId="0">myData!$BU$15</definedName>
    <definedName name="betaPodeltaItaly" localSheetId="0">myData!$BU$13</definedName>
    <definedName name="betaPodeltaNSW" localSheetId="0">myData!$BU$12</definedName>
    <definedName name="betaPodeltaSKorea" localSheetId="0">myData!$BU$16</definedName>
    <definedName name="betaPodeltaTest" localSheetId="0">myData!$AH$2</definedName>
    <definedName name="betaPodeltaUK" localSheetId="0">myData!$BU$17</definedName>
    <definedName name="betaPodeltaUS" localSheetId="0">myData!$BU$14</definedName>
    <definedName name="betaSKorea" localSheetId="0">myData!$BP$16</definedName>
    <definedName name="betaTest" localSheetId="0">myData!$AC$2</definedName>
    <definedName name="betaTests" localSheetId="0">myData!$BP$18</definedName>
    <definedName name="betaUK" localSheetId="0">myData!$BP$17</definedName>
    <definedName name="betaUS" localSheetId="0">myData!$BP$14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myData!$CF$15</definedName>
    <definedName name="Countries" comment="List of Countries for running solver">solvMsgs!$E$1:$G$9</definedName>
    <definedName name="delta" localSheetId="0">myData!$B$2</definedName>
    <definedName name="deltaAu" localSheetId="0">myData!$BQ$11</definedName>
    <definedName name="deltaChina" localSheetId="0">myData!$BQ$15</definedName>
    <definedName name="deltaconstraint" localSheetId="0">myData!$B$3</definedName>
    <definedName name="deltaItaly" localSheetId="0">myData!$BQ$13</definedName>
    <definedName name="deltaNSW" localSheetId="0">myData!$BQ$12</definedName>
    <definedName name="deltaSKorea" localSheetId="0">myData!$BQ$16</definedName>
    <definedName name="deltaTest" localSheetId="0">myData!$AD$2</definedName>
    <definedName name="deltaTests" localSheetId="0">myData!$BQ$18</definedName>
    <definedName name="deltaUK" localSheetId="0">myData!$BQ$17</definedName>
    <definedName name="deltaUS" localSheetId="0">myData!$BQ$14</definedName>
    <definedName name="HisTableBL" localSheetId="0">OFFSET(myData!HisTableTL,0,COUNTA(myData!$DE:$DE)+1,1,1)</definedName>
    <definedName name="HisTableTL" localSheetId="0">myData!$DE$10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myData!$CF$13</definedName>
    <definedName name="ItalyStart" localSheetId="0">myData!$BM$13</definedName>
    <definedName name="LogFormula" localSheetId="0">myData!$DX$6</definedName>
    <definedName name="MaxAusCases" localSheetId="0">myData!$BZ$11</definedName>
    <definedName name="MaxNSWCases" localSheetId="0">myData!$BZ$12</definedName>
    <definedName name="msqAu" localSheetId="0">myData!$BT$11</definedName>
    <definedName name="msqChina" localSheetId="0">myData!$BT$15</definedName>
    <definedName name="msqItaly" localSheetId="0">myData!$BT$13</definedName>
    <definedName name="msqNSW" localSheetId="0">myData!$BT$12</definedName>
    <definedName name="msqSKorea" localSheetId="0">myData!$BT$16</definedName>
    <definedName name="msqTest" localSheetId="0">myData!$AG$2</definedName>
    <definedName name="msqTests" localSheetId="0">myData!$BT$18</definedName>
    <definedName name="msqUK" localSheetId="0">myData!$BT$17</definedName>
    <definedName name="msqUS" localSheetId="0">myData!$BT$14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myData!$CI$12</definedName>
    <definedName name="NSWpop" comment="NSW population" localSheetId="0">myData!$L$8</definedName>
    <definedName name="NSWSeries" localSheetId="0">myData!$CF$12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myData!$BR$11</definedName>
    <definedName name="PoChina" localSheetId="0">myData!$BR$15</definedName>
    <definedName name="PoItaly" localSheetId="0">myData!$BR$13</definedName>
    <definedName name="PoNSW" localSheetId="0">myData!$BR$12</definedName>
    <definedName name="PopScaling" comment="Value of 1 applies population scaling so result is per 10m people" localSheetId="0">myData!$J$2</definedName>
    <definedName name="PoSKorea" localSheetId="0">myData!$BR$16</definedName>
    <definedName name="PoTest" localSheetId="0">myData!$AE$2</definedName>
    <definedName name="PoTests" localSheetId="0">myData!$BR$18</definedName>
    <definedName name="PoUK" localSheetId="0">myData!$BR$17</definedName>
    <definedName name="PoUS" localSheetId="0">myData!$BR$14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myData!$CM$10</definedName>
    <definedName name="RunTimeAu" localSheetId="0">myData!$BL$11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myData!$CF$16</definedName>
    <definedName name="SKoreaStart" localSheetId="0">myData!$BM$16</definedName>
    <definedName name="solver_adj" localSheetId="0" hidden="1">myData!$AC$2:$AE$2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myData!$AG$2</definedName>
    <definedName name="solver_pre" localSheetId="0" hidden="1">0.000000001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myData!$BN$11</definedName>
    <definedName name="StartDt2China" localSheetId="0">myData!$BN$15</definedName>
    <definedName name="StartDt2Italy" localSheetId="0">myData!$BN$13</definedName>
    <definedName name="StartDt2Korea" localSheetId="0">myData!$BN$16</definedName>
    <definedName name="StartDt2NSW" localSheetId="0">myData!$BN$12</definedName>
    <definedName name="StartDt2Tests" localSheetId="0">myData!$BN$18</definedName>
    <definedName name="StartDt2UK" localSheetId="0">myData!$BN$17</definedName>
    <definedName name="StartDt2US" localSheetId="0">myData!$BN$14</definedName>
    <definedName name="TitleAll" localSheetId="0">myData!$CN$8</definedName>
    <definedName name="TitleAllSK" localSheetId="0">myData!$CN$9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myData!$CF$17</definedName>
    <definedName name="UKStart" localSheetId="0">myData!$BM$17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myData!$CF$14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D2" i="4" s="1"/>
  <c r="AC14" i="4" l="1"/>
  <c r="AC11" i="4"/>
  <c r="AC12" i="4"/>
  <c r="AC13" i="4"/>
  <c r="AI71" i="4"/>
  <c r="L71" i="4" s="1"/>
  <c r="AN11" i="4" l="1"/>
  <c r="AN12" i="4"/>
  <c r="AN13" i="4"/>
  <c r="AN14" i="4"/>
  <c r="AN15" i="4"/>
  <c r="AN16" i="4"/>
  <c r="AN17" i="4"/>
  <c r="AN18" i="4"/>
  <c r="W11" i="4"/>
  <c r="AB11" i="4"/>
  <c r="AL11" i="4" s="1"/>
  <c r="AB12" i="4"/>
  <c r="AL12" i="4" s="1"/>
  <c r="AB13" i="4"/>
  <c r="AL13" i="4" s="1"/>
  <c r="AB14" i="4"/>
  <c r="AL14" i="4" s="1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K14" i="4"/>
  <c r="AJ11" i="4"/>
  <c r="AJ12" i="4"/>
  <c r="AJ13" i="4"/>
  <c r="AJ14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V8" i="4" l="1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Z17" i="4"/>
  <c r="BZ16" i="4"/>
  <c r="BV17" i="4"/>
  <c r="BV16" i="4"/>
  <c r="BU17" i="4"/>
  <c r="BU16" i="4"/>
  <c r="BS17" i="4"/>
  <c r="BS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Y17" i="4"/>
  <c r="BY16" i="4"/>
  <c r="CA16" i="4"/>
  <c r="CA17" i="4"/>
  <c r="AV23" i="4" l="1"/>
  <c r="AW23" i="4" s="1"/>
  <c r="AV47" i="4"/>
  <c r="AW47" i="4" s="1"/>
  <c r="AV39" i="4"/>
  <c r="AW39" i="4" s="1"/>
  <c r="AV31" i="4"/>
  <c r="AW31" i="4" s="1"/>
  <c r="AO15" i="4"/>
  <c r="AM15" i="4"/>
  <c r="AM14" i="4"/>
  <c r="AO14" i="4"/>
  <c r="AO13" i="4"/>
  <c r="AM13" i="4"/>
  <c r="AO12" i="4"/>
  <c r="AM12" i="4"/>
  <c r="AO16" i="4"/>
  <c r="AM16" i="4"/>
  <c r="AO18" i="4"/>
  <c r="AM18" i="4"/>
  <c r="AO17" i="4"/>
  <c r="AM17" i="4"/>
  <c r="AS43" i="4"/>
  <c r="AS51" i="4"/>
  <c r="AS59" i="4"/>
  <c r="AS44" i="4"/>
  <c r="AS52" i="4"/>
  <c r="AS60" i="4"/>
  <c r="AS50" i="4"/>
  <c r="AS45" i="4"/>
  <c r="AS53" i="4"/>
  <c r="AS61" i="4"/>
  <c r="AS58" i="4"/>
  <c r="AS46" i="4"/>
  <c r="AS54" i="4"/>
  <c r="AS39" i="4"/>
  <c r="AS47" i="4"/>
  <c r="AS55" i="4"/>
  <c r="AS42" i="4"/>
  <c r="AS40" i="4"/>
  <c r="AS48" i="4"/>
  <c r="AS56" i="4"/>
  <c r="AS41" i="4"/>
  <c r="AS49" i="4"/>
  <c r="AS57" i="4"/>
  <c r="T70" i="4"/>
  <c r="R68" i="4"/>
  <c r="R69" i="4"/>
  <c r="T69" i="4"/>
  <c r="T68" i="4"/>
  <c r="CF16" i="4"/>
  <c r="CF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23" i="4"/>
  <c r="AX15" i="4"/>
  <c r="AX14" i="4"/>
  <c r="AX13" i="4"/>
  <c r="AX12" i="4"/>
  <c r="CD16" i="4"/>
  <c r="CD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X39" i="4" l="1"/>
  <c r="AX31" i="4"/>
  <c r="AT42" i="4"/>
  <c r="AU42" i="4"/>
  <c r="AU55" i="4"/>
  <c r="AT55" i="4"/>
  <c r="AU45" i="4"/>
  <c r="AT45" i="4"/>
  <c r="AT57" i="4"/>
  <c r="AU57" i="4"/>
  <c r="AU47" i="4"/>
  <c r="AT47" i="4"/>
  <c r="AT49" i="4"/>
  <c r="AU49" i="4"/>
  <c r="AU39" i="4"/>
  <c r="AT39" i="4"/>
  <c r="AT50" i="4"/>
  <c r="AU50" i="4"/>
  <c r="AU60" i="4"/>
  <c r="AT60" i="4"/>
  <c r="AT41" i="4"/>
  <c r="AU41" i="4"/>
  <c r="AU54" i="4"/>
  <c r="AT54" i="4"/>
  <c r="AU52" i="4"/>
  <c r="AT52" i="4"/>
  <c r="AT56" i="4"/>
  <c r="AU56" i="4"/>
  <c r="AU46" i="4"/>
  <c r="AT46" i="4"/>
  <c r="AU44" i="4"/>
  <c r="AT44" i="4"/>
  <c r="AT48" i="4"/>
  <c r="AU48" i="4"/>
  <c r="AU59" i="4"/>
  <c r="AT59" i="4"/>
  <c r="AT40" i="4"/>
  <c r="AU40" i="4"/>
  <c r="AT58" i="4"/>
  <c r="AU58" i="4"/>
  <c r="AU61" i="4"/>
  <c r="AT61" i="4"/>
  <c r="AU51" i="4"/>
  <c r="AT51" i="4"/>
  <c r="AU53" i="4"/>
  <c r="AT53" i="4"/>
  <c r="AU43" i="4"/>
  <c r="AT43" i="4"/>
  <c r="AX30" i="4"/>
  <c r="AX59" i="4"/>
  <c r="AX29" i="4"/>
  <c r="AX46" i="4"/>
  <c r="AX37" i="4"/>
  <c r="AX54" i="4"/>
  <c r="AX20" i="4"/>
  <c r="AX50" i="4"/>
  <c r="AX51" i="4"/>
  <c r="AX25" i="4"/>
  <c r="AX19" i="4"/>
  <c r="AX56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I17" i="4"/>
  <c r="CI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Z18" i="4"/>
  <c r="BV18" i="4"/>
  <c r="BU18" i="4"/>
  <c r="AY9" i="4"/>
  <c r="BS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BY18" i="4"/>
  <c r="CA18" i="4"/>
  <c r="CF18" i="4" l="1"/>
  <c r="CD18" i="4"/>
  <c r="AM8" i="4" l="1"/>
  <c r="AD9" i="4"/>
  <c r="AD8" i="4"/>
  <c r="BV11" i="4"/>
  <c r="BU11" i="4"/>
  <c r="AA9" i="4"/>
  <c r="BS11" i="4"/>
  <c r="DM31" i="4"/>
  <c r="DO31" i="4"/>
  <c r="DP31" i="4"/>
  <c r="BY11" i="4"/>
  <c r="DS31" i="4"/>
  <c r="CA11" i="4"/>
  <c r="AD14" i="4" l="1"/>
  <c r="AD11" i="4"/>
  <c r="AD13" i="4"/>
  <c r="AD12" i="4"/>
  <c r="CD11" i="4"/>
  <c r="CF11" i="4"/>
  <c r="DA12" i="4"/>
  <c r="DA11" i="4"/>
  <c r="CZ11" i="4"/>
  <c r="CZ12" i="4" s="1"/>
  <c r="V9" i="4"/>
  <c r="P9" i="4"/>
  <c r="N9" i="4"/>
  <c r="L9" i="4"/>
  <c r="L3" i="4"/>
  <c r="K8" i="4" l="1"/>
  <c r="L63" i="4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I13" i="4" l="1"/>
  <c r="CI15" i="4"/>
  <c r="CI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Z15" i="4"/>
  <c r="BZ14" i="4"/>
  <c r="BZ13" i="4"/>
  <c r="AL2" i="4"/>
  <c r="BG59" i="4" l="1"/>
  <c r="BH59" i="4" s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H70" i="4" s="1"/>
  <c r="BG78" i="4"/>
  <c r="BG86" i="4"/>
  <c r="BG94" i="4"/>
  <c r="BG63" i="4"/>
  <c r="BH63" i="4" s="1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S12" i="4"/>
  <c r="BY12" i="4"/>
  <c r="CA12" i="4"/>
  <c r="BT18" i="4" l="1"/>
  <c r="CF12" i="4"/>
  <c r="CD12" i="4"/>
  <c r="AI107" i="4"/>
  <c r="L107" i="4" s="1"/>
  <c r="AI108" i="4"/>
  <c r="L108" i="4" s="1"/>
  <c r="AI109" i="4"/>
  <c r="L109" i="4" s="1"/>
  <c r="AI110" i="4"/>
  <c r="L110" i="4" s="1"/>
  <c r="AI111" i="4"/>
  <c r="L111" i="4" s="1"/>
  <c r="AI112" i="4"/>
  <c r="L112" i="4" s="1"/>
  <c r="AI113" i="4"/>
  <c r="L113" i="4" s="1"/>
  <c r="AI114" i="4"/>
  <c r="L114" i="4" s="1"/>
  <c r="AI115" i="4"/>
  <c r="L115" i="4" s="1"/>
  <c r="AI116" i="4"/>
  <c r="L116" i="4" s="1"/>
  <c r="AI117" i="4"/>
  <c r="L117" i="4" s="1"/>
  <c r="AC105" i="4"/>
  <c r="AD105" i="4" s="1"/>
  <c r="AC106" i="4"/>
  <c r="AD106" i="4" s="1"/>
  <c r="AC107" i="4"/>
  <c r="AD107" i="4" s="1"/>
  <c r="AC108" i="4"/>
  <c r="AD108" i="4" s="1"/>
  <c r="AC109" i="4"/>
  <c r="AD109" i="4" s="1"/>
  <c r="AC110" i="4"/>
  <c r="AD110" i="4" s="1"/>
  <c r="AC111" i="4"/>
  <c r="AD111" i="4" s="1"/>
  <c r="AC112" i="4"/>
  <c r="AD112" i="4" s="1"/>
  <c r="AC113" i="4"/>
  <c r="AD113" i="4" s="1"/>
  <c r="AC114" i="4"/>
  <c r="AD114" i="4" s="1"/>
  <c r="AC115" i="4"/>
  <c r="AD115" i="4" s="1"/>
  <c r="AC116" i="4"/>
  <c r="AD116" i="4" s="1"/>
  <c r="AC117" i="4"/>
  <c r="AD117" i="4" s="1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64" i="4" l="1"/>
  <c r="AP27" i="4"/>
  <c r="AP28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V15" i="4"/>
  <c r="BU15" i="4"/>
  <c r="BS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BY15" i="4"/>
  <c r="CA15" i="4"/>
  <c r="CD15" i="4" l="1"/>
  <c r="CF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70" i="4" l="1"/>
  <c r="AZ70" i="4"/>
  <c r="BA69" i="4"/>
  <c r="AZ69" i="4"/>
  <c r="BA68" i="4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T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D71" i="4" s="1"/>
  <c r="AC72" i="4"/>
  <c r="AD72" i="4" s="1"/>
  <c r="AC73" i="4"/>
  <c r="AD73" i="4" s="1"/>
  <c r="AC74" i="4"/>
  <c r="AD74" i="4" s="1"/>
  <c r="AC75" i="4"/>
  <c r="AD75" i="4" s="1"/>
  <c r="AC76" i="4"/>
  <c r="AD76" i="4" s="1"/>
  <c r="AC77" i="4"/>
  <c r="AD77" i="4" s="1"/>
  <c r="AC78" i="4"/>
  <c r="AD78" i="4" s="1"/>
  <c r="AC79" i="4"/>
  <c r="AD79" i="4" s="1"/>
  <c r="AC80" i="4"/>
  <c r="AD80" i="4" s="1"/>
  <c r="AC81" i="4"/>
  <c r="AD81" i="4" s="1"/>
  <c r="AC82" i="4"/>
  <c r="AD82" i="4" s="1"/>
  <c r="AC83" i="4"/>
  <c r="AD83" i="4" s="1"/>
  <c r="AC84" i="4"/>
  <c r="AD84" i="4" s="1"/>
  <c r="AC85" i="4"/>
  <c r="AD85" i="4" s="1"/>
  <c r="AC86" i="4"/>
  <c r="AD86" i="4" s="1"/>
  <c r="AC87" i="4"/>
  <c r="AD87" i="4" s="1"/>
  <c r="AC88" i="4"/>
  <c r="AD88" i="4" s="1"/>
  <c r="AC89" i="4"/>
  <c r="AD89" i="4" s="1"/>
  <c r="AC90" i="4"/>
  <c r="AD90" i="4" s="1"/>
  <c r="AC91" i="4"/>
  <c r="AD91" i="4" s="1"/>
  <c r="AC92" i="4"/>
  <c r="AD92" i="4" s="1"/>
  <c r="AC93" i="4"/>
  <c r="AD93" i="4" s="1"/>
  <c r="AC94" i="4"/>
  <c r="AD94" i="4" s="1"/>
  <c r="AC95" i="4"/>
  <c r="AD95" i="4" s="1"/>
  <c r="AC96" i="4"/>
  <c r="AD96" i="4" s="1"/>
  <c r="AC97" i="4"/>
  <c r="AD97" i="4" s="1"/>
  <c r="AC98" i="4"/>
  <c r="AD98" i="4" s="1"/>
  <c r="AC99" i="4"/>
  <c r="AD99" i="4" s="1"/>
  <c r="AC100" i="4"/>
  <c r="AD100" i="4" s="1"/>
  <c r="AC101" i="4"/>
  <c r="AD101" i="4" s="1"/>
  <c r="AC102" i="4"/>
  <c r="AD102" i="4" s="1"/>
  <c r="AC103" i="4"/>
  <c r="AD103" i="4" s="1"/>
  <c r="AC104" i="4"/>
  <c r="AD104" i="4" s="1"/>
  <c r="AC15" i="4"/>
  <c r="AD69" i="4" l="1"/>
  <c r="AD44" i="4"/>
  <c r="AD20" i="4"/>
  <c r="AD68" i="4"/>
  <c r="AD43" i="4"/>
  <c r="AD35" i="4"/>
  <c r="AD27" i="4"/>
  <c r="AD19" i="4"/>
  <c r="AD67" i="4"/>
  <c r="AD58" i="4"/>
  <c r="AD50" i="4"/>
  <c r="AD42" i="4"/>
  <c r="AD34" i="4"/>
  <c r="AD26" i="4"/>
  <c r="AD18" i="4"/>
  <c r="AD52" i="4"/>
  <c r="AD41" i="4"/>
  <c r="AD59" i="4"/>
  <c r="AD49" i="4"/>
  <c r="AD17" i="4"/>
  <c r="AD65" i="4"/>
  <c r="AD56" i="4"/>
  <c r="AD48" i="4"/>
  <c r="AD40" i="4"/>
  <c r="AD32" i="4"/>
  <c r="AD24" i="4"/>
  <c r="AD16" i="4"/>
  <c r="AD28" i="4"/>
  <c r="AD66" i="4"/>
  <c r="AD33" i="4"/>
  <c r="AD15" i="4"/>
  <c r="AD63" i="4"/>
  <c r="AD55" i="4"/>
  <c r="AD47" i="4"/>
  <c r="AD39" i="4"/>
  <c r="AD31" i="4"/>
  <c r="AD23" i="4"/>
  <c r="AD62" i="4"/>
  <c r="AD54" i="4"/>
  <c r="AD46" i="4"/>
  <c r="AD38" i="4"/>
  <c r="AD30" i="4"/>
  <c r="AD22" i="4"/>
  <c r="AD60" i="4"/>
  <c r="AD36" i="4"/>
  <c r="AD51" i="4"/>
  <c r="AD57" i="4"/>
  <c r="AD25" i="4"/>
  <c r="AD70" i="4"/>
  <c r="AD61" i="4"/>
  <c r="AD53" i="4"/>
  <c r="AD45" i="4"/>
  <c r="AD37" i="4"/>
  <c r="AD29" i="4"/>
  <c r="AD21" i="4"/>
  <c r="BZ11" i="4"/>
  <c r="AY111" i="4"/>
  <c r="BA111" i="4" s="1"/>
  <c r="Y112" i="4"/>
  <c r="DB12" i="4"/>
  <c r="BV14" i="4"/>
  <c r="BD62" i="4"/>
  <c r="BS14" i="4"/>
  <c r="BU14" i="4"/>
  <c r="AI62" i="4"/>
  <c r="AI60" i="4"/>
  <c r="AI61" i="4"/>
  <c r="BY14" i="4"/>
  <c r="CA14" i="4"/>
  <c r="AP29" i="4" l="1"/>
  <c r="AQ29" i="4" s="1"/>
  <c r="CD14" i="4"/>
  <c r="CF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V13" i="4"/>
  <c r="BV12" i="4"/>
  <c r="BU13" i="4"/>
  <c r="BU12" i="4"/>
  <c r="AJ15" i="4" s="1"/>
  <c r="AL15" i="4" s="1"/>
  <c r="BS13" i="4"/>
  <c r="CA13" i="4"/>
  <c r="BY13" i="4"/>
  <c r="AJ19" i="4" l="1"/>
  <c r="AL19" i="4" s="1"/>
  <c r="AJ27" i="4"/>
  <c r="AL27" i="4" s="1"/>
  <c r="AJ35" i="4"/>
  <c r="AL35" i="4" s="1"/>
  <c r="AJ43" i="4"/>
  <c r="AL43" i="4" s="1"/>
  <c r="AJ44" i="4"/>
  <c r="AL44" i="4" s="1"/>
  <c r="AJ41" i="4"/>
  <c r="AL41" i="4" s="1"/>
  <c r="AJ16" i="4"/>
  <c r="AL16" i="4" s="1"/>
  <c r="AJ30" i="4"/>
  <c r="AL30" i="4" s="1"/>
  <c r="AJ36" i="4"/>
  <c r="AL36" i="4" s="1"/>
  <c r="AJ33" i="4"/>
  <c r="AL33" i="4" s="1"/>
  <c r="AJ47" i="4"/>
  <c r="AL47" i="4" s="1"/>
  <c r="AJ22" i="4"/>
  <c r="AL22" i="4" s="1"/>
  <c r="AJ28" i="4"/>
  <c r="AL28" i="4" s="1"/>
  <c r="AJ25" i="4"/>
  <c r="AL25" i="4" s="1"/>
  <c r="AJ39" i="4"/>
  <c r="AL39" i="4" s="1"/>
  <c r="AJ45" i="4"/>
  <c r="AL45" i="4" s="1"/>
  <c r="AJ20" i="4"/>
  <c r="AL20" i="4" s="1"/>
  <c r="AJ17" i="4"/>
  <c r="AL17" i="4" s="1"/>
  <c r="AJ31" i="4"/>
  <c r="AL31" i="4" s="1"/>
  <c r="AJ37" i="4"/>
  <c r="AL37" i="4" s="1"/>
  <c r="AJ42" i="4"/>
  <c r="AL42" i="4" s="1"/>
  <c r="AJ48" i="4"/>
  <c r="AL48" i="4" s="1"/>
  <c r="AJ23" i="4"/>
  <c r="AL23" i="4" s="1"/>
  <c r="AJ29" i="4"/>
  <c r="AL29" i="4" s="1"/>
  <c r="AJ34" i="4"/>
  <c r="AL34" i="4" s="1"/>
  <c r="AJ40" i="4"/>
  <c r="AL40" i="4" s="1"/>
  <c r="AJ21" i="4"/>
  <c r="AL21" i="4" s="1"/>
  <c r="AJ26" i="4"/>
  <c r="AL26" i="4" s="1"/>
  <c r="AJ32" i="4"/>
  <c r="AL32" i="4" s="1"/>
  <c r="AJ46" i="4"/>
  <c r="AL46" i="4" s="1"/>
  <c r="AJ18" i="4"/>
  <c r="AL18" i="4" s="1"/>
  <c r="AJ24" i="4"/>
  <c r="AL24" i="4" s="1"/>
  <c r="AJ38" i="4"/>
  <c r="AL38" i="4" s="1"/>
  <c r="AM26" i="4"/>
  <c r="AO26" i="4" s="1"/>
  <c r="AM34" i="4"/>
  <c r="AO34" i="4" s="1"/>
  <c r="AM19" i="4"/>
  <c r="AO19" i="4" s="1"/>
  <c r="AM27" i="4"/>
  <c r="AO27" i="4" s="1"/>
  <c r="AM35" i="4"/>
  <c r="AO35" i="4" s="1"/>
  <c r="AM20" i="4"/>
  <c r="AO20" i="4" s="1"/>
  <c r="AM28" i="4"/>
  <c r="AO28" i="4" s="1"/>
  <c r="AM36" i="4"/>
  <c r="AO36" i="4" s="1"/>
  <c r="AM21" i="4"/>
  <c r="AO21" i="4" s="1"/>
  <c r="AM29" i="4"/>
  <c r="AO29" i="4" s="1"/>
  <c r="AM37" i="4"/>
  <c r="AO37" i="4" s="1"/>
  <c r="AM22" i="4"/>
  <c r="AO22" i="4" s="1"/>
  <c r="AM30" i="4"/>
  <c r="AO30" i="4" s="1"/>
  <c r="AM38" i="4"/>
  <c r="AO38" i="4" s="1"/>
  <c r="AM23" i="4"/>
  <c r="AO23" i="4" s="1"/>
  <c r="AM31" i="4"/>
  <c r="AO31" i="4" s="1"/>
  <c r="AM39" i="4"/>
  <c r="AO39" i="4" s="1"/>
  <c r="AM24" i="4"/>
  <c r="AO24" i="4" s="1"/>
  <c r="AM32" i="4"/>
  <c r="AO32" i="4" s="1"/>
  <c r="AM25" i="4"/>
  <c r="AO25" i="4" s="1"/>
  <c r="AM33" i="4"/>
  <c r="AO33" i="4" s="1"/>
  <c r="AM11" i="4"/>
  <c r="AO11" i="4" s="1"/>
  <c r="AM47" i="4"/>
  <c r="AO47" i="4" s="1"/>
  <c r="AM55" i="4"/>
  <c r="AO55" i="4" s="1"/>
  <c r="AM40" i="4"/>
  <c r="AO40" i="4" s="1"/>
  <c r="AM48" i="4"/>
  <c r="AO48" i="4" s="1"/>
  <c r="AM56" i="4"/>
  <c r="AO56" i="4" s="1"/>
  <c r="AM41" i="4"/>
  <c r="AO41" i="4" s="1"/>
  <c r="AM49" i="4"/>
  <c r="AO49" i="4" s="1"/>
  <c r="AM57" i="4"/>
  <c r="AO57" i="4" s="1"/>
  <c r="AM42" i="4"/>
  <c r="AO42" i="4" s="1"/>
  <c r="AM50" i="4"/>
  <c r="AO50" i="4" s="1"/>
  <c r="AM58" i="4"/>
  <c r="AO58" i="4" s="1"/>
  <c r="AM43" i="4"/>
  <c r="AO43" i="4" s="1"/>
  <c r="AM51" i="4"/>
  <c r="AO51" i="4" s="1"/>
  <c r="AM59" i="4"/>
  <c r="AO59" i="4" s="1"/>
  <c r="AM44" i="4"/>
  <c r="AO44" i="4" s="1"/>
  <c r="AM52" i="4"/>
  <c r="AO52" i="4" s="1"/>
  <c r="AM60" i="4"/>
  <c r="AO60" i="4" s="1"/>
  <c r="AM45" i="4"/>
  <c r="AO45" i="4" s="1"/>
  <c r="AM53" i="4"/>
  <c r="AO53" i="4" s="1"/>
  <c r="AM61" i="4"/>
  <c r="AO61" i="4" s="1"/>
  <c r="AM46" i="4"/>
  <c r="AO46" i="4" s="1"/>
  <c r="AM54" i="4"/>
  <c r="AO54" i="4" s="1"/>
  <c r="AJ51" i="4"/>
  <c r="AJ52" i="4"/>
  <c r="AJ60" i="4"/>
  <c r="AJ53" i="4"/>
  <c r="AJ61" i="4"/>
  <c r="AJ54" i="4"/>
  <c r="AJ55" i="4"/>
  <c r="AJ56" i="4"/>
  <c r="AJ49" i="4"/>
  <c r="AJ57" i="4"/>
  <c r="AJ50" i="4"/>
  <c r="AJ58" i="4"/>
  <c r="AJ59" i="4"/>
  <c r="CD13" i="4"/>
  <c r="CF13" i="4"/>
  <c r="AY114" i="4"/>
  <c r="BA114" i="4" s="1"/>
  <c r="Y115" i="4"/>
  <c r="EJ11" i="4"/>
  <c r="AI64" i="4"/>
  <c r="AI65" i="4"/>
  <c r="AI66" i="4"/>
  <c r="AI67" i="4"/>
  <c r="AI68" i="4"/>
  <c r="AI69" i="4"/>
  <c r="AI70" i="4"/>
  <c r="L70" i="4" s="1"/>
  <c r="AI72" i="4"/>
  <c r="L72" i="4" s="1"/>
  <c r="AI73" i="4"/>
  <c r="L73" i="4" s="1"/>
  <c r="AI74" i="4"/>
  <c r="L74" i="4" s="1"/>
  <c r="AI75" i="4"/>
  <c r="L75" i="4" s="1"/>
  <c r="AI76" i="4"/>
  <c r="L76" i="4" s="1"/>
  <c r="AI77" i="4"/>
  <c r="L77" i="4" s="1"/>
  <c r="AI78" i="4"/>
  <c r="L78" i="4" s="1"/>
  <c r="AI79" i="4"/>
  <c r="L79" i="4" s="1"/>
  <c r="AI80" i="4"/>
  <c r="L80" i="4" s="1"/>
  <c r="AI81" i="4"/>
  <c r="L81" i="4" s="1"/>
  <c r="AI82" i="4"/>
  <c r="L82" i="4" s="1"/>
  <c r="AI83" i="4"/>
  <c r="L83" i="4" s="1"/>
  <c r="AI84" i="4"/>
  <c r="L84" i="4" s="1"/>
  <c r="AI85" i="4"/>
  <c r="L85" i="4" s="1"/>
  <c r="AI86" i="4"/>
  <c r="L86" i="4" s="1"/>
  <c r="AI87" i="4"/>
  <c r="L87" i="4" s="1"/>
  <c r="AI88" i="4"/>
  <c r="L88" i="4" s="1"/>
  <c r="AI89" i="4"/>
  <c r="L89" i="4" s="1"/>
  <c r="AI90" i="4"/>
  <c r="L90" i="4" s="1"/>
  <c r="AI91" i="4"/>
  <c r="L91" i="4" s="1"/>
  <c r="AI92" i="4"/>
  <c r="L92" i="4" s="1"/>
  <c r="AI93" i="4"/>
  <c r="L93" i="4" s="1"/>
  <c r="AI94" i="4"/>
  <c r="L94" i="4" s="1"/>
  <c r="AI95" i="4"/>
  <c r="L95" i="4" s="1"/>
  <c r="AI96" i="4"/>
  <c r="L96" i="4" s="1"/>
  <c r="AI97" i="4"/>
  <c r="L97" i="4" s="1"/>
  <c r="AI98" i="4"/>
  <c r="L98" i="4" s="1"/>
  <c r="AI99" i="4"/>
  <c r="L99" i="4" s="1"/>
  <c r="AI100" i="4"/>
  <c r="L100" i="4" s="1"/>
  <c r="AI101" i="4"/>
  <c r="L101" i="4" s="1"/>
  <c r="AI102" i="4"/>
  <c r="L102" i="4" s="1"/>
  <c r="AI103" i="4"/>
  <c r="L103" i="4" s="1"/>
  <c r="AI104" i="4"/>
  <c r="L104" i="4" s="1"/>
  <c r="AI105" i="4"/>
  <c r="L105" i="4" s="1"/>
  <c r="AI106" i="4"/>
  <c r="L106" i="4" s="1"/>
  <c r="AI12" i="4"/>
  <c r="AG12" i="4" s="1"/>
  <c r="AI13" i="4"/>
  <c r="AG13" i="4" s="1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E60" i="4"/>
  <c r="AG60" i="4" s="1"/>
  <c r="AE61" i="4"/>
  <c r="AG61" i="4" s="1"/>
  <c r="AK43" i="4" l="1"/>
  <c r="AK35" i="4"/>
  <c r="AK27" i="4"/>
  <c r="AK19" i="4"/>
  <c r="AK37" i="4"/>
  <c r="AK42" i="4"/>
  <c r="AK34" i="4"/>
  <c r="AK26" i="4"/>
  <c r="AK18" i="4"/>
  <c r="AK41" i="4"/>
  <c r="AK33" i="4"/>
  <c r="AK25" i="4"/>
  <c r="AK17" i="4"/>
  <c r="AK45" i="4"/>
  <c r="AK21" i="4"/>
  <c r="AK48" i="4"/>
  <c r="AK40" i="4"/>
  <c r="AK32" i="4"/>
  <c r="AK24" i="4"/>
  <c r="AK16" i="4"/>
  <c r="AK39" i="4"/>
  <c r="AK31" i="4"/>
  <c r="AK23" i="4"/>
  <c r="AK15" i="4"/>
  <c r="AK47" i="4"/>
  <c r="AK46" i="4"/>
  <c r="AK38" i="4"/>
  <c r="AK30" i="4"/>
  <c r="AK22" i="4"/>
  <c r="Z62" i="4"/>
  <c r="AH62" i="4"/>
  <c r="AJ62" i="4" s="1"/>
  <c r="AB62" i="4"/>
  <c r="AE62" i="4" s="1"/>
  <c r="AG62" i="4" s="1"/>
  <c r="AS62" i="4"/>
  <c r="AU62" i="4" s="1"/>
  <c r="AK29" i="4"/>
  <c r="AK44" i="4"/>
  <c r="AK36" i="4"/>
  <c r="AK28" i="4"/>
  <c r="AK20" i="4"/>
  <c r="AK13" i="4"/>
  <c r="AK12" i="4"/>
  <c r="AK11" i="4"/>
  <c r="AK51" i="4"/>
  <c r="AL51" i="4"/>
  <c r="AK59" i="4"/>
  <c r="AL59" i="4"/>
  <c r="AK58" i="4"/>
  <c r="AL58" i="4"/>
  <c r="AK56" i="4"/>
  <c r="AL56" i="4"/>
  <c r="AK60" i="4"/>
  <c r="AL60" i="4"/>
  <c r="AK50" i="4"/>
  <c r="AL50" i="4"/>
  <c r="AK57" i="4"/>
  <c r="AL57" i="4"/>
  <c r="AK61" i="4"/>
  <c r="AL61" i="4"/>
  <c r="AK52" i="4"/>
  <c r="AL52" i="4"/>
  <c r="AK49" i="4"/>
  <c r="AL49" i="4"/>
  <c r="AK55" i="4"/>
  <c r="AL55" i="4"/>
  <c r="AK54" i="4"/>
  <c r="AL54" i="4"/>
  <c r="AK53" i="4"/>
  <c r="AL53" i="4"/>
  <c r="AN31" i="4"/>
  <c r="AN36" i="4"/>
  <c r="AN23" i="4"/>
  <c r="AN28" i="4"/>
  <c r="AN38" i="4"/>
  <c r="AN20" i="4"/>
  <c r="AN33" i="4"/>
  <c r="AN30" i="4"/>
  <c r="AN35" i="4"/>
  <c r="AN25" i="4"/>
  <c r="AN22" i="4"/>
  <c r="AN27" i="4"/>
  <c r="AN32" i="4"/>
  <c r="AN37" i="4"/>
  <c r="AN19" i="4"/>
  <c r="AN24" i="4"/>
  <c r="AN29" i="4"/>
  <c r="AN34" i="4"/>
  <c r="AN39" i="4"/>
  <c r="AN21" i="4"/>
  <c r="AN26" i="4"/>
  <c r="AN43" i="4"/>
  <c r="AN58" i="4"/>
  <c r="AN54" i="4"/>
  <c r="AN50" i="4"/>
  <c r="AN46" i="4"/>
  <c r="AN61" i="4"/>
  <c r="AN42" i="4"/>
  <c r="AN57" i="4"/>
  <c r="AN53" i="4"/>
  <c r="AN49" i="4"/>
  <c r="AN45" i="4"/>
  <c r="AN60" i="4"/>
  <c r="AN41" i="4"/>
  <c r="AN56" i="4"/>
  <c r="AN52" i="4"/>
  <c r="AN48" i="4"/>
  <c r="AN44" i="4"/>
  <c r="AN59" i="4"/>
  <c r="AN40" i="4"/>
  <c r="AN55" i="4"/>
  <c r="AN51" i="4"/>
  <c r="AN47" i="4"/>
  <c r="W62" i="4"/>
  <c r="AM62" i="4" s="1"/>
  <c r="AO62" i="4" s="1"/>
  <c r="AA62" i="4"/>
  <c r="X62" i="4"/>
  <c r="AF61" i="4"/>
  <c r="AF60" i="4"/>
  <c r="L11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12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L13" i="4"/>
  <c r="BZ12" i="4"/>
  <c r="Y116" i="4"/>
  <c r="AY115" i="4"/>
  <c r="BA115" i="4" s="1"/>
  <c r="B63" i="4"/>
  <c r="G2" i="4"/>
  <c r="F2" i="4"/>
  <c r="AE23" i="4"/>
  <c r="AG23" i="4" s="1"/>
  <c r="AE24" i="4"/>
  <c r="AG24" i="4" s="1"/>
  <c r="AE25" i="4"/>
  <c r="AG25" i="4" s="1"/>
  <c r="AE26" i="4"/>
  <c r="AG26" i="4" s="1"/>
  <c r="AE27" i="4"/>
  <c r="AG27" i="4" s="1"/>
  <c r="AE28" i="4"/>
  <c r="AG28" i="4" s="1"/>
  <c r="AE29" i="4"/>
  <c r="AG29" i="4" s="1"/>
  <c r="AE30" i="4"/>
  <c r="AG30" i="4" s="1"/>
  <c r="AE31" i="4"/>
  <c r="AG31" i="4" s="1"/>
  <c r="AE32" i="4"/>
  <c r="AG32" i="4" s="1"/>
  <c r="AE33" i="4"/>
  <c r="AG33" i="4" s="1"/>
  <c r="AE34" i="4"/>
  <c r="AG34" i="4" s="1"/>
  <c r="AE35" i="4"/>
  <c r="AG35" i="4" s="1"/>
  <c r="AE36" i="4"/>
  <c r="AG36" i="4" s="1"/>
  <c r="AE37" i="4"/>
  <c r="AG37" i="4" s="1"/>
  <c r="AE38" i="4"/>
  <c r="AG38" i="4" s="1"/>
  <c r="AE39" i="4"/>
  <c r="AG39" i="4" s="1"/>
  <c r="AE40" i="4"/>
  <c r="AG40" i="4" s="1"/>
  <c r="AE41" i="4"/>
  <c r="AG41" i="4" s="1"/>
  <c r="AE42" i="4"/>
  <c r="AG42" i="4" s="1"/>
  <c r="AE43" i="4"/>
  <c r="AG43" i="4" s="1"/>
  <c r="AE44" i="4"/>
  <c r="AG44" i="4" s="1"/>
  <c r="AE45" i="4"/>
  <c r="AG45" i="4" s="1"/>
  <c r="AE46" i="4"/>
  <c r="AG46" i="4" s="1"/>
  <c r="AE47" i="4"/>
  <c r="AG47" i="4" s="1"/>
  <c r="AE48" i="4"/>
  <c r="AG48" i="4" s="1"/>
  <c r="AE49" i="4"/>
  <c r="AG49" i="4" s="1"/>
  <c r="AE50" i="4"/>
  <c r="AG50" i="4" s="1"/>
  <c r="AE51" i="4"/>
  <c r="AG51" i="4" s="1"/>
  <c r="AE52" i="4"/>
  <c r="AG52" i="4" s="1"/>
  <c r="AE53" i="4"/>
  <c r="AG53" i="4" s="1"/>
  <c r="AE54" i="4"/>
  <c r="AG54" i="4" s="1"/>
  <c r="AE55" i="4"/>
  <c r="AG55" i="4" s="1"/>
  <c r="AE56" i="4"/>
  <c r="AG56" i="4" s="1"/>
  <c r="AE57" i="4"/>
  <c r="AG57" i="4" s="1"/>
  <c r="AE58" i="4"/>
  <c r="AG58" i="4" s="1"/>
  <c r="AE59" i="4"/>
  <c r="AG59" i="4" s="1"/>
  <c r="AE15" i="4"/>
  <c r="AG15" i="4" s="1"/>
  <c r="AE16" i="4"/>
  <c r="AG16" i="4" s="1"/>
  <c r="AE17" i="4"/>
  <c r="AG17" i="4" s="1"/>
  <c r="AE18" i="4"/>
  <c r="AG18" i="4" s="1"/>
  <c r="AE19" i="4"/>
  <c r="AG19" i="4" s="1"/>
  <c r="AE20" i="4"/>
  <c r="AG20" i="4" s="1"/>
  <c r="AE21" i="4"/>
  <c r="AG21" i="4" s="1"/>
  <c r="AE22" i="4"/>
  <c r="AG22" i="4" s="1"/>
  <c r="AE14" i="4"/>
  <c r="AG14" i="4" s="1"/>
  <c r="AT62" i="4" l="1"/>
  <c r="AK62" i="4"/>
  <c r="AL62" i="4"/>
  <c r="AB63" i="4"/>
  <c r="Z63" i="4"/>
  <c r="AH63" i="4"/>
  <c r="AJ63" i="4" s="1"/>
  <c r="AS63" i="4"/>
  <c r="AU63" i="4" s="1"/>
  <c r="AN62" i="4"/>
  <c r="AV62" i="4"/>
  <c r="AW62" i="4" s="1"/>
  <c r="AA63" i="4"/>
  <c r="X63" i="4"/>
  <c r="W63" i="4"/>
  <c r="AM63" i="4" s="1"/>
  <c r="CI11" i="4"/>
  <c r="CI12" i="4"/>
  <c r="AF53" i="4"/>
  <c r="AF15" i="4"/>
  <c r="AF52" i="4"/>
  <c r="AF44" i="4"/>
  <c r="AF36" i="4"/>
  <c r="AF28" i="4"/>
  <c r="AF16" i="4"/>
  <c r="AF22" i="4"/>
  <c r="AF59" i="4"/>
  <c r="AF51" i="4"/>
  <c r="AF43" i="4"/>
  <c r="AF35" i="4"/>
  <c r="AF27" i="4"/>
  <c r="AF14" i="4"/>
  <c r="AF50" i="4"/>
  <c r="AF34" i="4"/>
  <c r="AF26" i="4"/>
  <c r="AF42" i="4"/>
  <c r="AF20" i="4"/>
  <c r="AF57" i="4"/>
  <c r="AF49" i="4"/>
  <c r="AF41" i="4"/>
  <c r="AF33" i="4"/>
  <c r="AF25" i="4"/>
  <c r="AF37" i="4"/>
  <c r="AF21" i="4"/>
  <c r="AF56" i="4"/>
  <c r="AF48" i="4"/>
  <c r="AF40" i="4"/>
  <c r="AF32" i="4"/>
  <c r="AF24" i="4"/>
  <c r="AF62" i="4"/>
  <c r="AF45" i="4"/>
  <c r="AF19" i="4"/>
  <c r="AF55" i="4"/>
  <c r="AF47" i="4"/>
  <c r="AF31" i="4"/>
  <c r="AF23" i="4"/>
  <c r="AF29" i="4"/>
  <c r="AF58" i="4"/>
  <c r="AF18" i="4"/>
  <c r="AF39" i="4"/>
  <c r="AF17" i="4"/>
  <c r="AF54" i="4"/>
  <c r="AF46" i="4"/>
  <c r="AF38" i="4"/>
  <c r="AF30" i="4"/>
  <c r="AF12" i="4"/>
  <c r="AE12" i="4"/>
  <c r="AF11" i="4"/>
  <c r="AE11" i="4"/>
  <c r="AE13" i="4"/>
  <c r="AF13" i="4"/>
  <c r="AP62" i="4"/>
  <c r="Y117" i="4"/>
  <c r="AY117" i="4" s="1"/>
  <c r="BA117" i="4" s="1"/>
  <c r="AY116" i="4"/>
  <c r="BA116" i="4" s="1"/>
  <c r="AE63" i="4"/>
  <c r="AG63" i="4" s="1"/>
  <c r="B64" i="4"/>
  <c r="AT63" i="4" l="1"/>
  <c r="AL63" i="4"/>
  <c r="AK63" i="4"/>
  <c r="AB64" i="4"/>
  <c r="AE64" i="4" s="1"/>
  <c r="AG64" i="4" s="1"/>
  <c r="Z64" i="4"/>
  <c r="AH64" i="4"/>
  <c r="AJ64" i="4" s="1"/>
  <c r="AS64" i="4"/>
  <c r="AU64" i="4" s="1"/>
  <c r="AO63" i="4"/>
  <c r="AN63" i="4"/>
  <c r="CJ16" i="4"/>
  <c r="CL16" i="4"/>
  <c r="AX62" i="4"/>
  <c r="AV63" i="4"/>
  <c r="AW63" i="4" s="1"/>
  <c r="AA64" i="4"/>
  <c r="X64" i="4"/>
  <c r="W64" i="4"/>
  <c r="AM64" i="4" s="1"/>
  <c r="CJ13" i="4"/>
  <c r="CL13" i="4"/>
  <c r="CL15" i="4"/>
  <c r="CJ15" i="4"/>
  <c r="AR62" i="4"/>
  <c r="AQ62" i="4"/>
  <c r="AF63" i="4"/>
  <c r="AP63" i="4"/>
  <c r="B65" i="4"/>
  <c r="AG2" i="4"/>
  <c r="E2" i="4" s="1"/>
  <c r="AT64" i="4" l="1"/>
  <c r="AK64" i="4"/>
  <c r="AL64" i="4"/>
  <c r="AH65" i="4"/>
  <c r="AJ65" i="4" s="1"/>
  <c r="AK65" i="4" s="1"/>
  <c r="AB65" i="4"/>
  <c r="AE65" i="4" s="1"/>
  <c r="AG65" i="4" s="1"/>
  <c r="Z65" i="4"/>
  <c r="AS65" i="4"/>
  <c r="AT65" i="4" s="1"/>
  <c r="AO64" i="4"/>
  <c r="AN64" i="4"/>
  <c r="AX63" i="4"/>
  <c r="AV64" i="4"/>
  <c r="AW64" i="4" s="1"/>
  <c r="AA65" i="4"/>
  <c r="X65" i="4"/>
  <c r="W65" i="4"/>
  <c r="AM65" i="4" s="1"/>
  <c r="AR63" i="4"/>
  <c r="AQ63" i="4"/>
  <c r="AF64" i="4"/>
  <c r="AP64" i="4"/>
  <c r="B66" i="4"/>
  <c r="AU65" i="4" l="1"/>
  <c r="AL65" i="4"/>
  <c r="AH66" i="4"/>
  <c r="AB66" i="4"/>
  <c r="AE66" i="4" s="1"/>
  <c r="AG66" i="4" s="1"/>
  <c r="Z66" i="4"/>
  <c r="AS66" i="4"/>
  <c r="AU66" i="4" s="1"/>
  <c r="AJ66" i="4"/>
  <c r="AK66" i="4" s="1"/>
  <c r="AO65" i="4"/>
  <c r="AN65" i="4"/>
  <c r="AX64" i="4"/>
  <c r="AV65" i="4"/>
  <c r="AW65" i="4" s="1"/>
  <c r="AA66" i="4"/>
  <c r="X66" i="4"/>
  <c r="W66" i="4"/>
  <c r="AM66" i="4" s="1"/>
  <c r="AR64" i="4"/>
  <c r="AQ64" i="4"/>
  <c r="AF65" i="4"/>
  <c r="AP65" i="4"/>
  <c r="B67" i="4"/>
  <c r="AT66" i="4" l="1"/>
  <c r="AL66" i="4"/>
  <c r="AH67" i="4"/>
  <c r="AJ67" i="4" s="1"/>
  <c r="AK67" i="4" s="1"/>
  <c r="AB67" i="4"/>
  <c r="AE67" i="4" s="1"/>
  <c r="AG67" i="4" s="1"/>
  <c r="Z67" i="4"/>
  <c r="AS67" i="4"/>
  <c r="AU67" i="4" s="1"/>
  <c r="AO66" i="4"/>
  <c r="AN66" i="4"/>
  <c r="AX65" i="4"/>
  <c r="AV66" i="4"/>
  <c r="AW66" i="4" s="1"/>
  <c r="AA67" i="4"/>
  <c r="W67" i="4"/>
  <c r="AM67" i="4" s="1"/>
  <c r="AR65" i="4"/>
  <c r="AQ65" i="4"/>
  <c r="X67" i="4"/>
  <c r="AF66" i="4"/>
  <c r="AP66" i="4"/>
  <c r="B68" i="4"/>
  <c r="AT67" i="4" l="1"/>
  <c r="AL67" i="4"/>
  <c r="AH68" i="4"/>
  <c r="AB68" i="4"/>
  <c r="AE68" i="4" s="1"/>
  <c r="AG68" i="4" s="1"/>
  <c r="Z68" i="4"/>
  <c r="AS68" i="4"/>
  <c r="AU68" i="4" s="1"/>
  <c r="AJ68" i="4"/>
  <c r="AK68" i="4" s="1"/>
  <c r="AO67" i="4"/>
  <c r="AN67" i="4"/>
  <c r="AX66" i="4"/>
  <c r="AV67" i="4"/>
  <c r="AW67" i="4" s="1"/>
  <c r="W68" i="4"/>
  <c r="AM68" i="4" s="1"/>
  <c r="AA68" i="4"/>
  <c r="X68" i="4"/>
  <c r="CL14" i="4"/>
  <c r="AR66" i="4"/>
  <c r="AQ66" i="4"/>
  <c r="AF67" i="4"/>
  <c r="AP67" i="4"/>
  <c r="B69" i="4"/>
  <c r="CL17" i="4" s="1"/>
  <c r="AT68" i="4" l="1"/>
  <c r="AL68" i="4"/>
  <c r="Z69" i="4"/>
  <c r="AH69" i="4"/>
  <c r="AB69" i="4"/>
  <c r="AE69" i="4" s="1"/>
  <c r="AG69" i="4" s="1"/>
  <c r="AS69" i="4"/>
  <c r="AU69" i="4" s="1"/>
  <c r="AJ69" i="4"/>
  <c r="AK69" i="4" s="1"/>
  <c r="AO68" i="4"/>
  <c r="AN68" i="4"/>
  <c r="CJ17" i="4"/>
  <c r="AX67" i="4"/>
  <c r="AV68" i="4"/>
  <c r="W69" i="4"/>
  <c r="AM69" i="4" s="1"/>
  <c r="AA69" i="4"/>
  <c r="AF68" i="4"/>
  <c r="AR67" i="4"/>
  <c r="AQ67" i="4"/>
  <c r="X69" i="4"/>
  <c r="AP68" i="4"/>
  <c r="B70" i="4"/>
  <c r="AT69" i="4" l="1"/>
  <c r="AL69" i="4"/>
  <c r="CJ14" i="4"/>
  <c r="Z70" i="4"/>
  <c r="AH70" i="4"/>
  <c r="AJ70" i="4" s="1"/>
  <c r="AB70" i="4"/>
  <c r="AE70" i="4" s="1"/>
  <c r="AS70" i="4"/>
  <c r="AU70" i="4" s="1"/>
  <c r="AO69" i="4"/>
  <c r="AN69" i="4"/>
  <c r="AF69" i="4"/>
  <c r="AX68" i="4"/>
  <c r="AW68" i="4"/>
  <c r="AV69" i="4"/>
  <c r="AA70" i="4"/>
  <c r="X70" i="4"/>
  <c r="W70" i="4"/>
  <c r="AM70" i="4" s="1"/>
  <c r="AO70" i="4" s="1"/>
  <c r="AR68" i="4"/>
  <c r="AQ68" i="4"/>
  <c r="AP69" i="4"/>
  <c r="B71" i="4"/>
  <c r="AG71" i="4" s="1"/>
  <c r="AT70" i="4" l="1"/>
  <c r="AN70" i="4"/>
  <c r="AF70" i="4"/>
  <c r="AG70" i="4"/>
  <c r="AL70" i="4"/>
  <c r="AK70" i="4"/>
  <c r="Z71" i="4"/>
  <c r="AT71" i="4"/>
  <c r="AN71" i="4"/>
  <c r="AB71" i="4"/>
  <c r="AE71" i="4" s="1"/>
  <c r="AF71" i="4" s="1"/>
  <c r="AH71" i="4"/>
  <c r="AJ71" i="4" s="1"/>
  <c r="AS71" i="4"/>
  <c r="AU71" i="4" s="1"/>
  <c r="AK71" i="4"/>
  <c r="AR69" i="4"/>
  <c r="AQ69" i="4"/>
  <c r="AX69" i="4"/>
  <c r="AW69" i="4"/>
  <c r="AV70" i="4"/>
  <c r="AA71" i="4"/>
  <c r="X71" i="4"/>
  <c r="W71" i="4"/>
  <c r="AM71" i="4" s="1"/>
  <c r="AO71" i="4" s="1"/>
  <c r="AP70" i="4"/>
  <c r="B72" i="4"/>
  <c r="AG72" i="4" s="1"/>
  <c r="AL71" i="4" l="1"/>
  <c r="AB72" i="4"/>
  <c r="AT72" i="4"/>
  <c r="AH72" i="4"/>
  <c r="AJ72" i="4" s="1"/>
  <c r="AL72" i="4" s="1"/>
  <c r="Z72" i="4"/>
  <c r="AN72" i="4"/>
  <c r="AS72" i="4"/>
  <c r="AU72" i="4" s="1"/>
  <c r="AK72" i="4"/>
  <c r="AX70" i="4"/>
  <c r="AW70" i="4"/>
  <c r="BT17" i="4" s="1"/>
  <c r="AR70" i="4"/>
  <c r="AQ70" i="4"/>
  <c r="AV71" i="4"/>
  <c r="AX71" i="4" s="1"/>
  <c r="W72" i="4"/>
  <c r="AM72" i="4" s="1"/>
  <c r="AO72" i="4" s="1"/>
  <c r="AA72" i="4"/>
  <c r="X72" i="4"/>
  <c r="AP71" i="4"/>
  <c r="AR71" i="4" s="1"/>
  <c r="AE72" i="4"/>
  <c r="AF72" i="4" s="1"/>
  <c r="B73" i="4"/>
  <c r="AG73" i="4" s="1"/>
  <c r="AH73" i="4" l="1"/>
  <c r="AT73" i="4"/>
  <c r="AB73" i="4"/>
  <c r="Z73" i="4"/>
  <c r="AN73" i="4"/>
  <c r="AS73" i="4"/>
  <c r="AU73" i="4" s="1"/>
  <c r="AJ73" i="4"/>
  <c r="AL73" i="4" s="1"/>
  <c r="AK73" i="4"/>
  <c r="AV72" i="4"/>
  <c r="AX72" i="4" s="1"/>
  <c r="AA73" i="4"/>
  <c r="X73" i="4"/>
  <c r="W73" i="4"/>
  <c r="AM73" i="4" s="1"/>
  <c r="AO73" i="4" s="1"/>
  <c r="AP72" i="4"/>
  <c r="AR72" i="4" s="1"/>
  <c r="B74" i="4"/>
  <c r="AG74" i="4" s="1"/>
  <c r="AE73" i="4"/>
  <c r="AF73" i="4" s="1"/>
  <c r="AH74" i="4" l="1"/>
  <c r="AB74" i="4"/>
  <c r="Z74" i="4"/>
  <c r="AT74" i="4"/>
  <c r="AN74" i="4"/>
  <c r="AS74" i="4"/>
  <c r="AU74" i="4" s="1"/>
  <c r="AJ74" i="4"/>
  <c r="AL74" i="4" s="1"/>
  <c r="AK74" i="4"/>
  <c r="AV73" i="4"/>
  <c r="AX73" i="4" s="1"/>
  <c r="W74" i="4"/>
  <c r="AM74" i="4" s="1"/>
  <c r="AO74" i="4" s="1"/>
  <c r="AA74" i="4"/>
  <c r="X74" i="4"/>
  <c r="AP73" i="4"/>
  <c r="AR73" i="4" s="1"/>
  <c r="B75" i="4"/>
  <c r="AG75" i="4" s="1"/>
  <c r="AE74" i="4"/>
  <c r="AF74" i="4" s="1"/>
  <c r="AH75" i="4" l="1"/>
  <c r="AB75" i="4"/>
  <c r="Z75" i="4"/>
  <c r="AT75" i="4"/>
  <c r="AN75" i="4"/>
  <c r="AS75" i="4"/>
  <c r="AU75" i="4" s="1"/>
  <c r="AJ75" i="4"/>
  <c r="AL75" i="4" s="1"/>
  <c r="AK75" i="4"/>
  <c r="AV74" i="4"/>
  <c r="AX74" i="4" s="1"/>
  <c r="AA75" i="4"/>
  <c r="X75" i="4"/>
  <c r="W75" i="4"/>
  <c r="AM75" i="4" s="1"/>
  <c r="AO75" i="4" s="1"/>
  <c r="AP74" i="4"/>
  <c r="AR74" i="4" s="1"/>
  <c r="AE75" i="4"/>
  <c r="AF75" i="4" s="1"/>
  <c r="B76" i="4"/>
  <c r="AG76" i="4" s="1"/>
  <c r="AN76" i="4" l="1"/>
  <c r="AH76" i="4"/>
  <c r="AB76" i="4"/>
  <c r="Z76" i="4"/>
  <c r="AT76" i="4"/>
  <c r="AS76" i="4"/>
  <c r="AU76" i="4" s="1"/>
  <c r="AJ76" i="4"/>
  <c r="AL76" i="4" s="1"/>
  <c r="AK76" i="4"/>
  <c r="AV75" i="4"/>
  <c r="AX75" i="4" s="1"/>
  <c r="W76" i="4"/>
  <c r="AM76" i="4" s="1"/>
  <c r="AO76" i="4" s="1"/>
  <c r="AA76" i="4"/>
  <c r="X76" i="4"/>
  <c r="AP75" i="4"/>
  <c r="AR75" i="4" s="1"/>
  <c r="B77" i="4"/>
  <c r="AG77" i="4" s="1"/>
  <c r="AE76" i="4"/>
  <c r="AF76" i="4" s="1"/>
  <c r="AN77" i="4" l="1"/>
  <c r="AH77" i="4"/>
  <c r="AB77" i="4"/>
  <c r="AE77" i="4" s="1"/>
  <c r="AF77" i="4" s="1"/>
  <c r="Z77" i="4"/>
  <c r="AT77" i="4"/>
  <c r="AS77" i="4"/>
  <c r="AU77" i="4" s="1"/>
  <c r="AJ77" i="4"/>
  <c r="AL77" i="4" s="1"/>
  <c r="AK77" i="4"/>
  <c r="AV76" i="4"/>
  <c r="AX76" i="4" s="1"/>
  <c r="AA77" i="4"/>
  <c r="X77" i="4"/>
  <c r="W77" i="4"/>
  <c r="AM77" i="4" s="1"/>
  <c r="AO77" i="4" s="1"/>
  <c r="AP76" i="4"/>
  <c r="AR76" i="4" s="1"/>
  <c r="B78" i="4"/>
  <c r="AG78" i="4" s="1"/>
  <c r="Z78" i="4" l="1"/>
  <c r="AT78" i="4"/>
  <c r="AN78" i="4"/>
  <c r="AH78" i="4"/>
  <c r="AB78" i="4"/>
  <c r="AE78" i="4" s="1"/>
  <c r="AF78" i="4" s="1"/>
  <c r="AS78" i="4"/>
  <c r="AU78" i="4" s="1"/>
  <c r="AJ78" i="4"/>
  <c r="AL78" i="4" s="1"/>
  <c r="AK78" i="4"/>
  <c r="AV77" i="4"/>
  <c r="AX77" i="4" s="1"/>
  <c r="W78" i="4"/>
  <c r="AM78" i="4" s="1"/>
  <c r="AO78" i="4" s="1"/>
  <c r="AA78" i="4"/>
  <c r="X78" i="4"/>
  <c r="AP77" i="4"/>
  <c r="AR77" i="4" s="1"/>
  <c r="B79" i="4"/>
  <c r="AG79" i="4" s="1"/>
  <c r="AB79" i="4" l="1"/>
  <c r="Z79" i="4"/>
  <c r="AT79" i="4"/>
  <c r="AN79" i="4"/>
  <c r="AH79" i="4"/>
  <c r="AS79" i="4"/>
  <c r="AU79" i="4" s="1"/>
  <c r="AJ79" i="4"/>
  <c r="AL79" i="4" s="1"/>
  <c r="AK79" i="4"/>
  <c r="AV78" i="4"/>
  <c r="AX78" i="4" s="1"/>
  <c r="AA79" i="4"/>
  <c r="X79" i="4"/>
  <c r="W79" i="4"/>
  <c r="AM79" i="4" s="1"/>
  <c r="AO79" i="4" s="1"/>
  <c r="AP78" i="4"/>
  <c r="AR78" i="4" s="1"/>
  <c r="AE79" i="4"/>
  <c r="AF79" i="4" s="1"/>
  <c r="B80" i="4"/>
  <c r="AG80" i="4" s="1"/>
  <c r="AB80" i="4" l="1"/>
  <c r="Z80" i="4"/>
  <c r="AT80" i="4"/>
  <c r="AH80" i="4"/>
  <c r="AN80" i="4"/>
  <c r="AS80" i="4"/>
  <c r="AU80" i="4" s="1"/>
  <c r="AJ80" i="4"/>
  <c r="AL80" i="4" s="1"/>
  <c r="AK80" i="4"/>
  <c r="AV79" i="4"/>
  <c r="AX79" i="4" s="1"/>
  <c r="W80" i="4"/>
  <c r="AM80" i="4" s="1"/>
  <c r="AO80" i="4" s="1"/>
  <c r="AA80" i="4"/>
  <c r="X80" i="4"/>
  <c r="AP79" i="4"/>
  <c r="AR79" i="4" s="1"/>
  <c r="B81" i="4"/>
  <c r="AG81" i="4" s="1"/>
  <c r="AE80" i="4"/>
  <c r="AF80" i="4" s="1"/>
  <c r="AH81" i="4" l="1"/>
  <c r="AT81" i="4"/>
  <c r="AB81" i="4"/>
  <c r="Z81" i="4"/>
  <c r="AN81" i="4"/>
  <c r="AS81" i="4"/>
  <c r="AU81" i="4" s="1"/>
  <c r="AJ81" i="4"/>
  <c r="AL81" i="4" s="1"/>
  <c r="AK81" i="4"/>
  <c r="AV80" i="4"/>
  <c r="AX80" i="4" s="1"/>
  <c r="AA81" i="4"/>
  <c r="X81" i="4"/>
  <c r="W81" i="4"/>
  <c r="AM81" i="4" s="1"/>
  <c r="AO81" i="4" s="1"/>
  <c r="AP80" i="4"/>
  <c r="AR80" i="4" s="1"/>
  <c r="B82" i="4"/>
  <c r="AG82" i="4" s="1"/>
  <c r="AE81" i="4"/>
  <c r="AF81" i="4" s="1"/>
  <c r="AH82" i="4" l="1"/>
  <c r="AB82" i="4"/>
  <c r="Z82" i="4"/>
  <c r="AT82" i="4"/>
  <c r="AN82" i="4"/>
  <c r="AS82" i="4"/>
  <c r="AU82" i="4" s="1"/>
  <c r="AJ82" i="4"/>
  <c r="AL82" i="4" s="1"/>
  <c r="AK82" i="4"/>
  <c r="AV81" i="4"/>
  <c r="AX81" i="4" s="1"/>
  <c r="W82" i="4"/>
  <c r="AM82" i="4" s="1"/>
  <c r="AO82" i="4" s="1"/>
  <c r="AA82" i="4"/>
  <c r="X82" i="4"/>
  <c r="AP82" i="4" s="1"/>
  <c r="AP81" i="4"/>
  <c r="AR81" i="4" s="1"/>
  <c r="B83" i="4"/>
  <c r="AG83" i="4" s="1"/>
  <c r="AE82" i="4"/>
  <c r="AF82" i="4" s="1"/>
  <c r="AH83" i="4" l="1"/>
  <c r="AB83" i="4"/>
  <c r="AN83" i="4"/>
  <c r="Z83" i="4"/>
  <c r="AT83" i="4"/>
  <c r="AS83" i="4"/>
  <c r="AU83" i="4" s="1"/>
  <c r="AJ83" i="4"/>
  <c r="AL83" i="4" s="1"/>
  <c r="AK83" i="4"/>
  <c r="AV82" i="4"/>
  <c r="AX82" i="4" s="1"/>
  <c r="AA83" i="4"/>
  <c r="X83" i="4"/>
  <c r="W83" i="4"/>
  <c r="AM83" i="4" s="1"/>
  <c r="AO83" i="4" s="1"/>
  <c r="AR82" i="4"/>
  <c r="B84" i="4"/>
  <c r="AG84" i="4" s="1"/>
  <c r="AE83" i="4"/>
  <c r="AF83" i="4" s="1"/>
  <c r="AN84" i="4" l="1"/>
  <c r="AH84" i="4"/>
  <c r="AB84" i="4"/>
  <c r="Z84" i="4"/>
  <c r="AT84" i="4"/>
  <c r="AS84" i="4"/>
  <c r="AU84" i="4" s="1"/>
  <c r="AJ84" i="4"/>
  <c r="AL84" i="4" s="1"/>
  <c r="AK84" i="4"/>
  <c r="AV83" i="4"/>
  <c r="AX83" i="4" s="1"/>
  <c r="W84" i="4"/>
  <c r="AM84" i="4" s="1"/>
  <c r="AO84" i="4" s="1"/>
  <c r="AA84" i="4"/>
  <c r="X84" i="4"/>
  <c r="AP83" i="4"/>
  <c r="AR83" i="4" s="1"/>
  <c r="B85" i="4"/>
  <c r="AG85" i="4" s="1"/>
  <c r="AE84" i="4"/>
  <c r="AF84" i="4" s="1"/>
  <c r="AN85" i="4" l="1"/>
  <c r="AT85" i="4"/>
  <c r="AH85" i="4"/>
  <c r="AB85" i="4"/>
  <c r="Z85" i="4"/>
  <c r="AS85" i="4"/>
  <c r="AU85" i="4" s="1"/>
  <c r="AJ85" i="4"/>
  <c r="AL85" i="4" s="1"/>
  <c r="AK85" i="4"/>
  <c r="AV84" i="4"/>
  <c r="AX84" i="4" s="1"/>
  <c r="AA85" i="4"/>
  <c r="X85" i="4"/>
  <c r="W85" i="4"/>
  <c r="AM85" i="4" s="1"/>
  <c r="AO85" i="4" s="1"/>
  <c r="AP84" i="4"/>
  <c r="AR84" i="4" s="1"/>
  <c r="B86" i="4"/>
  <c r="AG86" i="4" s="1"/>
  <c r="AE85" i="4"/>
  <c r="AF85" i="4" s="1"/>
  <c r="Z86" i="4" l="1"/>
  <c r="AT86" i="4"/>
  <c r="AN86" i="4"/>
  <c r="AH86" i="4"/>
  <c r="AB86" i="4"/>
  <c r="AE86" i="4" s="1"/>
  <c r="AF86" i="4" s="1"/>
  <c r="AS86" i="4"/>
  <c r="AU86" i="4" s="1"/>
  <c r="AJ86" i="4"/>
  <c r="AL86" i="4" s="1"/>
  <c r="AK86" i="4"/>
  <c r="AV85" i="4"/>
  <c r="AX85" i="4" s="1"/>
  <c r="W86" i="4"/>
  <c r="AM86" i="4" s="1"/>
  <c r="AO86" i="4" s="1"/>
  <c r="AA86" i="4"/>
  <c r="X86" i="4"/>
  <c r="AP85" i="4"/>
  <c r="AR85" i="4" s="1"/>
  <c r="B87" i="4"/>
  <c r="AG87" i="4" s="1"/>
  <c r="Z87" i="4" l="1"/>
  <c r="AT87" i="4"/>
  <c r="AN87" i="4"/>
  <c r="AB87" i="4"/>
  <c r="AE87" i="4" s="1"/>
  <c r="AF87" i="4" s="1"/>
  <c r="AH87" i="4"/>
  <c r="AJ87" i="4" s="1"/>
  <c r="AL87" i="4" s="1"/>
  <c r="AS87" i="4"/>
  <c r="AU87" i="4" s="1"/>
  <c r="AK87" i="4"/>
  <c r="AV86" i="4"/>
  <c r="AX86" i="4" s="1"/>
  <c r="AA87" i="4"/>
  <c r="X87" i="4"/>
  <c r="W87" i="4"/>
  <c r="AM87" i="4" s="1"/>
  <c r="AO87" i="4" s="1"/>
  <c r="AP86" i="4"/>
  <c r="AR86" i="4" s="1"/>
  <c r="B88" i="4"/>
  <c r="AG88" i="4" s="1"/>
  <c r="AB88" i="4" l="1"/>
  <c r="AT88" i="4"/>
  <c r="Z88" i="4"/>
  <c r="AN88" i="4"/>
  <c r="AH88" i="4"/>
  <c r="AJ88" i="4" s="1"/>
  <c r="AL88" i="4" s="1"/>
  <c r="AS88" i="4"/>
  <c r="AU88" i="4" s="1"/>
  <c r="AK88" i="4"/>
  <c r="AV87" i="4"/>
  <c r="AX87" i="4" s="1"/>
  <c r="W88" i="4"/>
  <c r="AM88" i="4" s="1"/>
  <c r="AO88" i="4" s="1"/>
  <c r="AA88" i="4"/>
  <c r="X88" i="4"/>
  <c r="AP87" i="4"/>
  <c r="AR87" i="4" s="1"/>
  <c r="B89" i="4"/>
  <c r="AG89" i="4" s="1"/>
  <c r="AE88" i="4"/>
  <c r="AF88" i="4" s="1"/>
  <c r="AH89" i="4" l="1"/>
  <c r="AB89" i="4"/>
  <c r="AT89" i="4"/>
  <c r="Z89" i="4"/>
  <c r="AN89" i="4"/>
  <c r="AS89" i="4"/>
  <c r="AU89" i="4" s="1"/>
  <c r="AJ89" i="4"/>
  <c r="AL89" i="4" s="1"/>
  <c r="AK89" i="4"/>
  <c r="AV88" i="4"/>
  <c r="AX88" i="4" s="1"/>
  <c r="AA89" i="4"/>
  <c r="X89" i="4"/>
  <c r="W89" i="4"/>
  <c r="AM89" i="4" s="1"/>
  <c r="AO89" i="4" s="1"/>
  <c r="AP88" i="4"/>
  <c r="AR88" i="4" s="1"/>
  <c r="B90" i="4"/>
  <c r="AG90" i="4" s="1"/>
  <c r="AE89" i="4"/>
  <c r="AF89" i="4" s="1"/>
  <c r="AH90" i="4" l="1"/>
  <c r="AB90" i="4"/>
  <c r="Z90" i="4"/>
  <c r="AT90" i="4"/>
  <c r="AN90" i="4"/>
  <c r="AS90" i="4"/>
  <c r="AU90" i="4" s="1"/>
  <c r="AJ90" i="4"/>
  <c r="AL90" i="4" s="1"/>
  <c r="AK90" i="4"/>
  <c r="AV89" i="4"/>
  <c r="AX89" i="4" s="1"/>
  <c r="W90" i="4"/>
  <c r="AM90" i="4" s="1"/>
  <c r="AO90" i="4" s="1"/>
  <c r="AA90" i="4"/>
  <c r="X90" i="4"/>
  <c r="AP89" i="4"/>
  <c r="AR89" i="4" s="1"/>
  <c r="B91" i="4"/>
  <c r="AG91" i="4" s="1"/>
  <c r="AE90" i="4"/>
  <c r="AF90" i="4" s="1"/>
  <c r="AH91" i="4" l="1"/>
  <c r="AB91" i="4"/>
  <c r="AN91" i="4"/>
  <c r="Z91" i="4"/>
  <c r="AT91" i="4"/>
  <c r="AS91" i="4"/>
  <c r="AU91" i="4" s="1"/>
  <c r="AJ91" i="4"/>
  <c r="AL91" i="4" s="1"/>
  <c r="AK91" i="4"/>
  <c r="AV90" i="4"/>
  <c r="AX90" i="4" s="1"/>
  <c r="AA91" i="4"/>
  <c r="X91" i="4"/>
  <c r="W91" i="4"/>
  <c r="AM91" i="4" s="1"/>
  <c r="AO91" i="4" s="1"/>
  <c r="AP90" i="4"/>
  <c r="AR90" i="4" s="1"/>
  <c r="B92" i="4"/>
  <c r="AG92" i="4" s="1"/>
  <c r="AE91" i="4"/>
  <c r="AF91" i="4" s="1"/>
  <c r="AN92" i="4" l="1"/>
  <c r="AH92" i="4"/>
  <c r="AB92" i="4"/>
  <c r="Z92" i="4"/>
  <c r="AT92" i="4"/>
  <c r="AS92" i="4"/>
  <c r="AU92" i="4" s="1"/>
  <c r="AJ92" i="4"/>
  <c r="AL92" i="4" s="1"/>
  <c r="AK92" i="4"/>
  <c r="AV91" i="4"/>
  <c r="AX91" i="4" s="1"/>
  <c r="W92" i="4"/>
  <c r="AM92" i="4" s="1"/>
  <c r="AO92" i="4" s="1"/>
  <c r="AA92" i="4"/>
  <c r="X92" i="4"/>
  <c r="AP91" i="4"/>
  <c r="AR91" i="4" s="1"/>
  <c r="B93" i="4"/>
  <c r="AG93" i="4" s="1"/>
  <c r="AE92" i="4"/>
  <c r="AF92" i="4" s="1"/>
  <c r="AN93" i="4" l="1"/>
  <c r="Z93" i="4"/>
  <c r="AH93" i="4"/>
  <c r="AB93" i="4"/>
  <c r="AE93" i="4" s="1"/>
  <c r="AF93" i="4" s="1"/>
  <c r="AT93" i="4"/>
  <c r="AS93" i="4"/>
  <c r="AU93" i="4" s="1"/>
  <c r="AJ93" i="4"/>
  <c r="AL93" i="4" s="1"/>
  <c r="AK93" i="4"/>
  <c r="AV92" i="4"/>
  <c r="AX92" i="4" s="1"/>
  <c r="AA93" i="4"/>
  <c r="X93" i="4"/>
  <c r="W93" i="4"/>
  <c r="AM93" i="4" s="1"/>
  <c r="AO93" i="4" s="1"/>
  <c r="AP92" i="4"/>
  <c r="AR92" i="4" s="1"/>
  <c r="B94" i="4"/>
  <c r="AG94" i="4" s="1"/>
  <c r="Z94" i="4" l="1"/>
  <c r="AT94" i="4"/>
  <c r="AN94" i="4"/>
  <c r="AH94" i="4"/>
  <c r="AJ94" i="4" s="1"/>
  <c r="AB94" i="4"/>
  <c r="AE94" i="4" s="1"/>
  <c r="AF94" i="4" s="1"/>
  <c r="AS94" i="4"/>
  <c r="AU94" i="4" s="1"/>
  <c r="AK94" i="4"/>
  <c r="AV93" i="4"/>
  <c r="AX93" i="4" s="1"/>
  <c r="W94" i="4"/>
  <c r="AM94" i="4" s="1"/>
  <c r="AO94" i="4" s="1"/>
  <c r="AA94" i="4"/>
  <c r="X94" i="4"/>
  <c r="AP93" i="4"/>
  <c r="AR93" i="4" s="1"/>
  <c r="B95" i="4"/>
  <c r="AG95" i="4" s="1"/>
  <c r="AL94" i="4" l="1"/>
  <c r="Z95" i="4"/>
  <c r="AT95" i="4"/>
  <c r="AN95" i="4"/>
  <c r="AB95" i="4"/>
  <c r="AH95" i="4"/>
  <c r="AJ95" i="4" s="1"/>
  <c r="AL95" i="4" s="1"/>
  <c r="AS95" i="4"/>
  <c r="AU95" i="4" s="1"/>
  <c r="AK95" i="4"/>
  <c r="AV94" i="4"/>
  <c r="AX94" i="4" s="1"/>
  <c r="AA95" i="4"/>
  <c r="X95" i="4"/>
  <c r="W95" i="4"/>
  <c r="AM95" i="4" s="1"/>
  <c r="AO95" i="4" s="1"/>
  <c r="AP94" i="4"/>
  <c r="AR94" i="4" s="1"/>
  <c r="B96" i="4"/>
  <c r="AG96" i="4" s="1"/>
  <c r="AE95" i="4"/>
  <c r="AF95" i="4" s="1"/>
  <c r="AB96" i="4" l="1"/>
  <c r="AT96" i="4"/>
  <c r="Z96" i="4"/>
  <c r="AN96" i="4"/>
  <c r="AH96" i="4"/>
  <c r="AJ96" i="4" s="1"/>
  <c r="AL96" i="4" s="1"/>
  <c r="AS96" i="4"/>
  <c r="AU96" i="4" s="1"/>
  <c r="AK96" i="4"/>
  <c r="AV95" i="4"/>
  <c r="AX95" i="4" s="1"/>
  <c r="W96" i="4"/>
  <c r="AM96" i="4" s="1"/>
  <c r="AO96" i="4" s="1"/>
  <c r="AA96" i="4"/>
  <c r="X96" i="4"/>
  <c r="AP95" i="4"/>
  <c r="AR95" i="4" s="1"/>
  <c r="B97" i="4"/>
  <c r="AG97" i="4" s="1"/>
  <c r="AE96" i="4"/>
  <c r="AF96" i="4" s="1"/>
  <c r="AH97" i="4" l="1"/>
  <c r="AT97" i="4"/>
  <c r="AB97" i="4"/>
  <c r="Z97" i="4"/>
  <c r="AN97" i="4"/>
  <c r="AS97" i="4"/>
  <c r="AU97" i="4" s="1"/>
  <c r="AJ97" i="4"/>
  <c r="AL97" i="4" s="1"/>
  <c r="AK97" i="4"/>
  <c r="AV96" i="4"/>
  <c r="AX96" i="4" s="1"/>
  <c r="AA97" i="4"/>
  <c r="X97" i="4"/>
  <c r="W97" i="4"/>
  <c r="AM97" i="4" s="1"/>
  <c r="AO97" i="4" s="1"/>
  <c r="AP96" i="4"/>
  <c r="AR96" i="4" s="1"/>
  <c r="B98" i="4"/>
  <c r="AG98" i="4" s="1"/>
  <c r="AE97" i="4"/>
  <c r="AF97" i="4" s="1"/>
  <c r="AH98" i="4" l="1"/>
  <c r="AB98" i="4"/>
  <c r="Z98" i="4"/>
  <c r="AT98" i="4"/>
  <c r="AN98" i="4"/>
  <c r="AS98" i="4"/>
  <c r="AU98" i="4" s="1"/>
  <c r="AJ98" i="4"/>
  <c r="AL98" i="4" s="1"/>
  <c r="AK98" i="4"/>
  <c r="AV97" i="4"/>
  <c r="AX97" i="4" s="1"/>
  <c r="W98" i="4"/>
  <c r="AM98" i="4" s="1"/>
  <c r="AO98" i="4" s="1"/>
  <c r="AA98" i="4"/>
  <c r="X98" i="4"/>
  <c r="AP97" i="4"/>
  <c r="AR97" i="4" s="1"/>
  <c r="B99" i="4"/>
  <c r="AG99" i="4" s="1"/>
  <c r="AE98" i="4"/>
  <c r="AF98" i="4" s="1"/>
  <c r="AH99" i="4" l="1"/>
  <c r="AN99" i="4"/>
  <c r="AB99" i="4"/>
  <c r="Z99" i="4"/>
  <c r="AT99" i="4"/>
  <c r="AS99" i="4"/>
  <c r="AU99" i="4" s="1"/>
  <c r="AJ99" i="4"/>
  <c r="AL99" i="4" s="1"/>
  <c r="AK99" i="4"/>
  <c r="AV98" i="4"/>
  <c r="AX98" i="4" s="1"/>
  <c r="AA99" i="4"/>
  <c r="X99" i="4"/>
  <c r="W99" i="4"/>
  <c r="AM99" i="4" s="1"/>
  <c r="AO99" i="4" s="1"/>
  <c r="AP98" i="4"/>
  <c r="AR98" i="4" s="1"/>
  <c r="B100" i="4"/>
  <c r="AG100" i="4" s="1"/>
  <c r="AE99" i="4"/>
  <c r="AF99" i="4" s="1"/>
  <c r="AN100" i="4" l="1"/>
  <c r="AH100" i="4"/>
  <c r="AB100" i="4"/>
  <c r="Z100" i="4"/>
  <c r="AT100" i="4"/>
  <c r="AS100" i="4"/>
  <c r="AU100" i="4" s="1"/>
  <c r="AJ100" i="4"/>
  <c r="AL100" i="4" s="1"/>
  <c r="AK100" i="4"/>
  <c r="AV99" i="4"/>
  <c r="AX99" i="4" s="1"/>
  <c r="W100" i="4"/>
  <c r="AM100" i="4" s="1"/>
  <c r="AO100" i="4" s="1"/>
  <c r="AA100" i="4"/>
  <c r="X100" i="4"/>
  <c r="AP99" i="4"/>
  <c r="AR99" i="4" s="1"/>
  <c r="B101" i="4"/>
  <c r="AG101" i="4" s="1"/>
  <c r="AE100" i="4"/>
  <c r="AF100" i="4" s="1"/>
  <c r="AN101" i="4" l="1"/>
  <c r="AH101" i="4"/>
  <c r="Z101" i="4"/>
  <c r="AT101" i="4"/>
  <c r="AB101" i="4"/>
  <c r="AE101" i="4" s="1"/>
  <c r="AF101" i="4" s="1"/>
  <c r="AS101" i="4"/>
  <c r="AU101" i="4" s="1"/>
  <c r="AJ101" i="4"/>
  <c r="AL101" i="4" s="1"/>
  <c r="AK101" i="4"/>
  <c r="AV100" i="4"/>
  <c r="AX100" i="4" s="1"/>
  <c r="AA101" i="4"/>
  <c r="X101" i="4"/>
  <c r="W101" i="4"/>
  <c r="AM101" i="4" s="1"/>
  <c r="AO101" i="4" s="1"/>
  <c r="AP100" i="4"/>
  <c r="AR100" i="4" s="1"/>
  <c r="B102" i="4"/>
  <c r="AG102" i="4" s="1"/>
  <c r="Z102" i="4" l="1"/>
  <c r="AT102" i="4"/>
  <c r="AN102" i="4"/>
  <c r="AH102" i="4"/>
  <c r="AJ102" i="4" s="1"/>
  <c r="AB102" i="4"/>
  <c r="AE102" i="4" s="1"/>
  <c r="AF102" i="4" s="1"/>
  <c r="AS102" i="4"/>
  <c r="AU102" i="4" s="1"/>
  <c r="AK102" i="4"/>
  <c r="AV101" i="4"/>
  <c r="AX101" i="4" s="1"/>
  <c r="W102" i="4"/>
  <c r="AM102" i="4" s="1"/>
  <c r="AO102" i="4" s="1"/>
  <c r="AA102" i="4"/>
  <c r="X102" i="4"/>
  <c r="AP101" i="4"/>
  <c r="AR101" i="4" s="1"/>
  <c r="B103" i="4"/>
  <c r="AG103" i="4" s="1"/>
  <c r="AL102" i="4" l="1"/>
  <c r="Z103" i="4"/>
  <c r="AT103" i="4"/>
  <c r="AN103" i="4"/>
  <c r="AB103" i="4"/>
  <c r="AH103" i="4"/>
  <c r="AJ103" i="4" s="1"/>
  <c r="AL103" i="4" s="1"/>
  <c r="AS103" i="4"/>
  <c r="AU103" i="4" s="1"/>
  <c r="AK103" i="4"/>
  <c r="AV102" i="4"/>
  <c r="AX102" i="4" s="1"/>
  <c r="AA103" i="4"/>
  <c r="X103" i="4"/>
  <c r="W103" i="4"/>
  <c r="AM103" i="4" s="1"/>
  <c r="AO103" i="4" s="1"/>
  <c r="AP102" i="4"/>
  <c r="AR102" i="4" s="1"/>
  <c r="B104" i="4"/>
  <c r="AG104" i="4" s="1"/>
  <c r="AE103" i="4"/>
  <c r="AF103" i="4" s="1"/>
  <c r="AB104" i="4" l="1"/>
  <c r="AT104" i="4"/>
  <c r="AH104" i="4"/>
  <c r="Z104" i="4"/>
  <c r="AN104" i="4"/>
  <c r="AS104" i="4"/>
  <c r="AU104" i="4" s="1"/>
  <c r="AJ104" i="4"/>
  <c r="AL104" i="4" s="1"/>
  <c r="AK104" i="4"/>
  <c r="AV103" i="4"/>
  <c r="AX103" i="4" s="1"/>
  <c r="W104" i="4"/>
  <c r="AM104" i="4" s="1"/>
  <c r="AO104" i="4" s="1"/>
  <c r="AA104" i="4"/>
  <c r="X104" i="4"/>
  <c r="AP103" i="4"/>
  <c r="AR103" i="4" s="1"/>
  <c r="B105" i="4"/>
  <c r="AG105" i="4" s="1"/>
  <c r="AE104" i="4"/>
  <c r="AF104" i="4" s="1"/>
  <c r="AH105" i="4" l="1"/>
  <c r="AB105" i="4"/>
  <c r="AT105" i="4"/>
  <c r="Z105" i="4"/>
  <c r="AN105" i="4"/>
  <c r="AS105" i="4"/>
  <c r="AU105" i="4" s="1"/>
  <c r="AJ105" i="4"/>
  <c r="AL105" i="4" s="1"/>
  <c r="AK105" i="4"/>
  <c r="AV104" i="4"/>
  <c r="AX104" i="4" s="1"/>
  <c r="AA105" i="4"/>
  <c r="X105" i="4"/>
  <c r="W105" i="4"/>
  <c r="AM105" i="4" s="1"/>
  <c r="AO105" i="4" s="1"/>
  <c r="AP104" i="4"/>
  <c r="AR104" i="4" s="1"/>
  <c r="B106" i="4"/>
  <c r="AG106" i="4" s="1"/>
  <c r="AE105" i="4"/>
  <c r="AF105" i="4" s="1"/>
  <c r="AH106" i="4" l="1"/>
  <c r="AB106" i="4"/>
  <c r="Z106" i="4"/>
  <c r="AT106" i="4"/>
  <c r="AN106" i="4"/>
  <c r="AS106" i="4"/>
  <c r="AU106" i="4" s="1"/>
  <c r="AJ106" i="4"/>
  <c r="AL106" i="4" s="1"/>
  <c r="AK106" i="4"/>
  <c r="AV105" i="4"/>
  <c r="AX105" i="4" s="1"/>
  <c r="W106" i="4"/>
  <c r="AM106" i="4" s="1"/>
  <c r="AO106" i="4" s="1"/>
  <c r="AA106" i="4"/>
  <c r="X106" i="4"/>
  <c r="AP105" i="4"/>
  <c r="AR105" i="4" s="1"/>
  <c r="B107" i="4"/>
  <c r="AG107" i="4" s="1"/>
  <c r="AE106" i="4"/>
  <c r="AF106" i="4" s="1"/>
  <c r="AN107" i="4" l="1"/>
  <c r="AH107" i="4"/>
  <c r="AJ107" i="4" s="1"/>
  <c r="AB107" i="4"/>
  <c r="Z107" i="4"/>
  <c r="AT107" i="4"/>
  <c r="AS107" i="4"/>
  <c r="AU107" i="4" s="1"/>
  <c r="AK107" i="4"/>
  <c r="AV106" i="4"/>
  <c r="AX106" i="4" s="1"/>
  <c r="AA107" i="4"/>
  <c r="X107" i="4"/>
  <c r="W107" i="4"/>
  <c r="AM107" i="4" s="1"/>
  <c r="AO107" i="4" s="1"/>
  <c r="AP106" i="4"/>
  <c r="AR106" i="4" s="1"/>
  <c r="B108" i="4"/>
  <c r="AG108" i="4" s="1"/>
  <c r="AE107" i="4"/>
  <c r="AF107" i="4" s="1"/>
  <c r="AL107" i="4" l="1"/>
  <c r="AN108" i="4"/>
  <c r="AH108" i="4"/>
  <c r="AJ108" i="4" s="1"/>
  <c r="AB108" i="4"/>
  <c r="Z108" i="4"/>
  <c r="AT108" i="4"/>
  <c r="AS108" i="4"/>
  <c r="AU108" i="4" s="1"/>
  <c r="AK108" i="4"/>
  <c r="AV107" i="4"/>
  <c r="AX107" i="4" s="1"/>
  <c r="W108" i="4"/>
  <c r="AM108" i="4" s="1"/>
  <c r="AO108" i="4" s="1"/>
  <c r="AA108" i="4"/>
  <c r="X108" i="4"/>
  <c r="AP107" i="4"/>
  <c r="AR107" i="4" s="1"/>
  <c r="B109" i="4"/>
  <c r="AG109" i="4" s="1"/>
  <c r="AE108" i="4"/>
  <c r="AF108" i="4" s="1"/>
  <c r="AN109" i="4" l="1"/>
  <c r="Z109" i="4"/>
  <c r="AT109" i="4"/>
  <c r="AH109" i="4"/>
  <c r="AJ109" i="4" s="1"/>
  <c r="AB109" i="4"/>
  <c r="AE109" i="4" s="1"/>
  <c r="AF109" i="4" s="1"/>
  <c r="AS109" i="4"/>
  <c r="AU109" i="4" s="1"/>
  <c r="AK109" i="4"/>
  <c r="AL108" i="4"/>
  <c r="AV108" i="4"/>
  <c r="AX108" i="4" s="1"/>
  <c r="AA109" i="4"/>
  <c r="X109" i="4"/>
  <c r="W109" i="4"/>
  <c r="AM109" i="4" s="1"/>
  <c r="AO109" i="4" s="1"/>
  <c r="AP108" i="4"/>
  <c r="AR108" i="4" s="1"/>
  <c r="B110" i="4"/>
  <c r="AG110" i="4" s="1"/>
  <c r="BT14" i="4"/>
  <c r="AL109" i="4" l="1"/>
  <c r="Z110" i="4"/>
  <c r="AT110" i="4"/>
  <c r="AN110" i="4"/>
  <c r="AH110" i="4"/>
  <c r="AJ110" i="4" s="1"/>
  <c r="AL110" i="4" s="1"/>
  <c r="AB110" i="4"/>
  <c r="AE110" i="4" s="1"/>
  <c r="AF110" i="4" s="1"/>
  <c r="AS110" i="4"/>
  <c r="AU110" i="4" s="1"/>
  <c r="AK110" i="4"/>
  <c r="AV109" i="4"/>
  <c r="AX109" i="4" s="1"/>
  <c r="W110" i="4"/>
  <c r="AM110" i="4" s="1"/>
  <c r="AO110" i="4" s="1"/>
  <c r="AA110" i="4"/>
  <c r="X110" i="4"/>
  <c r="AP109" i="4"/>
  <c r="AR109" i="4" s="1"/>
  <c r="B111" i="4"/>
  <c r="AG111" i="4" s="1"/>
  <c r="AT111" i="4" l="1"/>
  <c r="Z111" i="4"/>
  <c r="AB111" i="4"/>
  <c r="AN111" i="4"/>
  <c r="AH111" i="4"/>
  <c r="AJ111" i="4" s="1"/>
  <c r="AL111" i="4" s="1"/>
  <c r="AS111" i="4"/>
  <c r="AU111" i="4" s="1"/>
  <c r="AK111" i="4"/>
  <c r="AV110" i="4"/>
  <c r="AX110" i="4" s="1"/>
  <c r="AA111" i="4"/>
  <c r="X111" i="4"/>
  <c r="W111" i="4"/>
  <c r="AM111" i="4" s="1"/>
  <c r="AO111" i="4" s="1"/>
  <c r="AP110" i="4"/>
  <c r="AR110" i="4" s="1"/>
  <c r="B112" i="4"/>
  <c r="AG112" i="4" s="1"/>
  <c r="AE111" i="4"/>
  <c r="AF111" i="4" s="1"/>
  <c r="AB112" i="4" l="1"/>
  <c r="AT112" i="4"/>
  <c r="AH112" i="4"/>
  <c r="AJ112" i="4" s="1"/>
  <c r="AL112" i="4" s="1"/>
  <c r="Z112" i="4"/>
  <c r="AN112" i="4"/>
  <c r="AS112" i="4"/>
  <c r="AU112" i="4" s="1"/>
  <c r="AK112" i="4"/>
  <c r="AV111" i="4"/>
  <c r="AX111" i="4" s="1"/>
  <c r="W112" i="4"/>
  <c r="AM112" i="4" s="1"/>
  <c r="AO112" i="4" s="1"/>
  <c r="AA112" i="4"/>
  <c r="X112" i="4"/>
  <c r="AP111" i="4"/>
  <c r="AR111" i="4" s="1"/>
  <c r="B113" i="4"/>
  <c r="AG113" i="4" s="1"/>
  <c r="AE112" i="4"/>
  <c r="AF112" i="4" s="1"/>
  <c r="AH113" i="4" l="1"/>
  <c r="AB113" i="4"/>
  <c r="Z113" i="4"/>
  <c r="AT113" i="4"/>
  <c r="AN113" i="4"/>
  <c r="AS113" i="4"/>
  <c r="AU113" i="4" s="1"/>
  <c r="AK113" i="4"/>
  <c r="AJ113" i="4"/>
  <c r="AV112" i="4"/>
  <c r="AX112" i="4" s="1"/>
  <c r="AA113" i="4"/>
  <c r="X113" i="4"/>
  <c r="W113" i="4"/>
  <c r="AM113" i="4" s="1"/>
  <c r="AO113" i="4" s="1"/>
  <c r="AP112" i="4"/>
  <c r="AR112" i="4" s="1"/>
  <c r="B114" i="4"/>
  <c r="AG114" i="4" s="1"/>
  <c r="AE113" i="4"/>
  <c r="AF113" i="4" s="1"/>
  <c r="AL113" i="4" l="1"/>
  <c r="AH114" i="4"/>
  <c r="AB114" i="4"/>
  <c r="AE114" i="4" s="1"/>
  <c r="AF114" i="4" s="1"/>
  <c r="Z114" i="4"/>
  <c r="AT114" i="4"/>
  <c r="AN114" i="4"/>
  <c r="AS114" i="4"/>
  <c r="AU114" i="4" s="1"/>
  <c r="AK114" i="4"/>
  <c r="AJ114" i="4"/>
  <c r="AV113" i="4"/>
  <c r="AX113" i="4" s="1"/>
  <c r="W114" i="4"/>
  <c r="AM114" i="4" s="1"/>
  <c r="AO114" i="4" s="1"/>
  <c r="AA114" i="4"/>
  <c r="X114" i="4"/>
  <c r="AP113" i="4"/>
  <c r="AR113" i="4" s="1"/>
  <c r="B115" i="4"/>
  <c r="AG115" i="4" s="1"/>
  <c r="AL114" i="4" l="1"/>
  <c r="AN115" i="4"/>
  <c r="AH115" i="4"/>
  <c r="AJ115" i="4" s="1"/>
  <c r="AB115" i="4"/>
  <c r="Z115" i="4"/>
  <c r="AT115" i="4"/>
  <c r="AS115" i="4"/>
  <c r="AU115" i="4" s="1"/>
  <c r="AK115" i="4"/>
  <c r="AV114" i="4"/>
  <c r="AX114" i="4" s="1"/>
  <c r="AA115" i="4"/>
  <c r="X115" i="4"/>
  <c r="W115" i="4"/>
  <c r="AM115" i="4" s="1"/>
  <c r="AO115" i="4" s="1"/>
  <c r="AP114" i="4"/>
  <c r="AR114" i="4" s="1"/>
  <c r="B116" i="4"/>
  <c r="AG116" i="4" s="1"/>
  <c r="AE115" i="4"/>
  <c r="AF115" i="4" s="1"/>
  <c r="AL115" i="4" l="1"/>
  <c r="AN116" i="4"/>
  <c r="AH116" i="4"/>
  <c r="AJ116" i="4" s="1"/>
  <c r="AB116" i="4"/>
  <c r="AE116" i="4" s="1"/>
  <c r="AF116" i="4" s="1"/>
  <c r="Z116" i="4"/>
  <c r="AT116" i="4"/>
  <c r="AS116" i="4"/>
  <c r="AU116" i="4" s="1"/>
  <c r="AK116" i="4"/>
  <c r="AV115" i="4"/>
  <c r="AX115" i="4" s="1"/>
  <c r="W116" i="4"/>
  <c r="AM116" i="4" s="1"/>
  <c r="AO116" i="4" s="1"/>
  <c r="AA116" i="4"/>
  <c r="X116" i="4"/>
  <c r="BX18" i="4" a="1"/>
  <c r="BX18" i="4" s="1"/>
  <c r="BX11" i="4" a="1"/>
  <c r="BX11" i="4" s="1"/>
  <c r="AP115" i="4"/>
  <c r="AR115" i="4" s="1"/>
  <c r="B117" i="4"/>
  <c r="BX14" i="4" a="1"/>
  <c r="BX14" i="4" s="1"/>
  <c r="CC12" i="4" a="1"/>
  <c r="CC12" i="4" s="1"/>
  <c r="CC18" i="4" l="1" a="1"/>
  <c r="CC18" i="4" s="1"/>
  <c r="AG117" i="4"/>
  <c r="BT11" i="4" s="1"/>
  <c r="AL116" i="4"/>
  <c r="BX16" i="4" a="1"/>
  <c r="BX16" i="4" s="1"/>
  <c r="CC11" i="4" a="1"/>
  <c r="CC11" i="4" s="1"/>
  <c r="CC16" i="4" a="1"/>
  <c r="CC16" i="4" s="1"/>
  <c r="BX17" i="4" a="1"/>
  <c r="BX17" i="4" s="1"/>
  <c r="CB18" i="4" a="1"/>
  <c r="CB18" i="4" s="1"/>
  <c r="CH18" i="4" s="1"/>
  <c r="BX12" i="4" a="1"/>
  <c r="BX12" i="4" s="1"/>
  <c r="CK13" i="4" s="1"/>
  <c r="Z117" i="4"/>
  <c r="AN117" i="4"/>
  <c r="AH117" i="4"/>
  <c r="AJ117" i="4" s="1"/>
  <c r="AB117" i="4"/>
  <c r="AT117" i="4"/>
  <c r="BT16" i="4" s="1" a="1"/>
  <c r="AS117" i="4"/>
  <c r="AU117" i="4" s="1"/>
  <c r="AK117" i="4"/>
  <c r="BT12" i="4" s="1"/>
  <c r="CB16" i="4" a="1"/>
  <c r="CB16" i="4" s="1"/>
  <c r="CH16" i="4" s="1"/>
  <c r="CB17" i="4" a="1"/>
  <c r="CB17" i="4" s="1"/>
  <c r="CH17" i="4" s="1"/>
  <c r="AV116" i="4"/>
  <c r="AX116" i="4" s="1"/>
  <c r="W117" i="4"/>
  <c r="AM117" i="4" s="1"/>
  <c r="AO117" i="4" s="1"/>
  <c r="AA117" i="4"/>
  <c r="CC17" i="4" a="1"/>
  <c r="CC17" i="4" s="1"/>
  <c r="DR31" i="4" a="1"/>
  <c r="DR31" i="4" s="1"/>
  <c r="X117" i="4"/>
  <c r="CB11" i="4" a="1"/>
  <c r="CB11" i="4" s="1"/>
  <c r="CH11" i="4" s="1"/>
  <c r="CB14" i="4" a="1"/>
  <c r="CB14" i="4" s="1"/>
  <c r="CH14" i="4" s="1"/>
  <c r="CC15" i="4" a="1"/>
  <c r="CC15" i="4" s="1"/>
  <c r="BX15" i="4" a="1"/>
  <c r="BX15" i="4" s="1"/>
  <c r="CB12" i="4" a="1"/>
  <c r="CB12" i="4" s="1"/>
  <c r="CH12" i="4" s="1"/>
  <c r="AJ2" i="4" a="1"/>
  <c r="AJ2" i="4" s="1"/>
  <c r="AK2" i="4" s="1"/>
  <c r="AP116" i="4"/>
  <c r="AR116" i="4" s="1"/>
  <c r="AE117" i="4"/>
  <c r="AF117" i="4" s="1"/>
  <c r="CB13" i="4" a="1"/>
  <c r="CB13" i="4" s="1"/>
  <c r="CH13" i="4" s="1"/>
  <c r="CC13" i="4" a="1"/>
  <c r="CC13" i="4" s="1"/>
  <c r="CC14" i="4" a="1"/>
  <c r="CC14" i="4" s="1"/>
  <c r="BX13" i="4" a="1"/>
  <c r="BX13" i="4" s="1"/>
  <c r="CB15" i="4" a="1"/>
  <c r="CB15" i="4" s="1"/>
  <c r="CH15" i="4" s="1"/>
  <c r="AL117" i="4" l="1"/>
  <c r="CK15" i="4"/>
  <c r="CK14" i="4"/>
  <c r="CK17" i="4"/>
  <c r="CK16" i="4"/>
  <c r="CN12" i="4" s="1"/>
  <c r="BT13" i="4"/>
  <c r="DN31" i="4"/>
  <c r="BW12" i="4"/>
  <c r="CN9" i="4"/>
  <c r="CM16" i="4"/>
  <c r="CM17" i="4"/>
  <c r="AV117" i="4"/>
  <c r="AX117" i="4" s="1"/>
  <c r="CM15" i="4"/>
  <c r="CM14" i="4"/>
  <c r="CM13" i="4"/>
  <c r="CN11" i="4" s="1"/>
  <c r="CN8" i="4"/>
  <c r="AP117" i="4"/>
  <c r="AR117" i="4" s="1"/>
  <c r="AG119" i="4"/>
  <c r="BT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<sst xmlns="http://schemas.openxmlformats.org/spreadsheetml/2006/main" count="2910" uniqueCount="1534">
  <si>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</si>
  <si>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</si>
  <si>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</si>
  <si>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</si>
  <si>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</si>
  <si>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</si>
  <si>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</si>
  <si>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</si>
  <si>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</si>
  <si>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</si>
  <si>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</si>
  <si>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</si>
  <si>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</si>
  <si>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</si>
  <si>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</si>
  <si>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</si>
  <si>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</si>
  <si>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</si>
  <si>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</si>
  <si>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</si>
  <si>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</si>
  <si>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</si>
  <si>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</si>
  <si>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</si>
  <si>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</si>
  <si>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</si>
  <si>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</si>
  <si>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</si>
  <si>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</si>
  <si>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</si>
  <si>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</si>
  <si>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</si>
  <si>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</si>
  <si>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</si>
  <si>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</si>
  <si>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</si>
  <si>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</si>
  <si>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</si>
  <si>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</si>
  <si>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</si>
  <si>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</si>
  <si>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</si>
  <si>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</si>
  <si>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</si>
  <si>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</si>
  <si>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</si>
  <si>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</si>
  <si>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</si>
  <si>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</si>
  <si>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</si>
  <si>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</si>
  <si>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</si>
  <si>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</si>
  <si>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</si>
  <si>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</si>
  <si>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</si>
  <si>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</si>
  <si>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</si>
  <si>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</si>
  <si>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</si>
  <si>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</si>
  <si>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</si>
  <si>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</si>
  <si>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</si>
  <si>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</si>
  <si>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</si>
  <si>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</si>
  <si>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</si>
  <si>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</si>
  <si>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</si>
  <si>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</si>
  <si>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</si>
  <si>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</si>
  <si>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</si>
  <si>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</si>
  <si>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</si>
  <si>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</si>
  <si>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</si>
  <si>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</si>
  <si>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</si>
  <si>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</si>
  <si>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</si>
  <si>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</si>
  <si>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</si>
  <si>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</si>
  <si>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</si>
  <si>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</si>
  <si>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</si>
  <si>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</si>
  <si>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</si>
  <si>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</si>
  <si>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</si>
  <si>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</si>
  <si>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</si>
  <si>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</si>
  <si>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</si>
  <si>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</si>
  <si>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</si>
  <si>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</si>
  <si>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</si>
  <si>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</si>
  <si>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</si>
  <si>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</si>
  <si>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</si>
  <si>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</si>
  <si>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</si>
  <si>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</si>
  <si>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</si>
  <si>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</si>
  <si>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</si>
  <si>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</si>
  <si>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</si>
  <si>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</si>
  <si>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</si>
  <si>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</si>
  <si>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</si>
  <si>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</si>
  <si>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</si>
  <si>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</si>
  <si>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</si>
  <si>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</si>
  <si>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</si>
  <si>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</si>
  <si>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</si>
  <si>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</si>
  <si>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</si>
  <si>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</si>
  <si>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</si>
  <si>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</si>
  <si>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</si>
  <si>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</si>
  <si>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</si>
  <si>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</si>
  <si>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</si>
  <si>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</si>
  <si>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</si>
  <si>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</si>
  <si>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</si>
  <si>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</si>
  <si>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</si>
  <si>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</si>
  <si>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</si>
  <si>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</si>
  <si>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</si>
  <si>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</si>
  <si>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</si>
  <si>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</si>
  <si>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</si>
  <si>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</si>
  <si>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</si>
  <si>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</si>
  <si>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</si>
  <si>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</si>
  <si>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</si>
  <si>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</si>
  <si>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</si>
  <si>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</si>
  <si>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</si>
  <si>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</si>
  <si>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</si>
  <si>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</si>
  <si>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</si>
  <si>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</si>
  <si>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</si>
  <si>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</si>
  <si>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</si>
  <si>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</si>
  <si>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</si>
  <si>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</si>
  <si>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</si>
  <si>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</si>
  <si>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</si>
  <si>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</si>
  <si>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</si>
  <si>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</si>
  <si>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</si>
  <si>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</si>
  <si>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</si>
  <si>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</si>
  <si>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</si>
  <si>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</si>
  <si>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</si>
  <si>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</si>
  <si>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</si>
  <si>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</si>
  <si>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</si>
  <si>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</si>
  <si>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</si>
  <si>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</si>
  <si>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</si>
  <si>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</si>
  <si>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</si>
  <si>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</si>
  <si>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</si>
  <si>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</si>
  <si>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</si>
  <si>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</si>
  <si>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</si>
  <si>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</si>
  <si>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</si>
  <si>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</si>
  <si>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</si>
  <si>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</si>
  <si>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</si>
  <si>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</si>
  <si>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</si>
  <si>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</si>
  <si>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</si>
  <si>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</si>
  <si>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</si>
  <si>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</si>
  <si>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</si>
  <si>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</si>
  <si>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</si>
  <si>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</si>
  <si>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</si>
  <si>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</si>
  <si>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</si>
  <si>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</si>
  <si>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</si>
  <si>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</si>
  <si>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</si>
  <si>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</si>
  <si>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</si>
  <si>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</si>
  <si>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</si>
  <si>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</si>
  <si>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</si>
  <si>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</si>
  <si>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</si>
  <si>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</si>
  <si>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</si>
  <si>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</si>
  <si>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</si>
  <si>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</si>
  <si>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</si>
  <si>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</si>
  <si>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</si>
  <si>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</si>
  <si>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</si>
  <si>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</si>
  <si>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</si>
  <si>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</si>
  <si>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</si>
  <si>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</si>
  <si>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</si>
  <si>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</si>
  <si>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</si>
  <si>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</si>
  <si>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</si>
  <si>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</si>
  <si>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</si>
  <si>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</si>
  <si>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</si>
  <si>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</si>
  <si>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</si>
  <si>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</si>
  <si>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</si>
  <si>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</si>
  <si>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</si>
  <si>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</si>
  <si>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</si>
  <si>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</si>
  <si>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</si>
  <si>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</si>
  <si>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</si>
  <si>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</si>
  <si>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</si>
  <si>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</si>
  <si>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</si>
  <si>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</si>
  <si>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</si>
  <si>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</si>
  <si>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</si>
  <si>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</si>
  <si>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</si>
  <si>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</si>
  <si>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</si>
  <si>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</si>
  <si>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</si>
  <si>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</si>
  <si>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</si>
  <si>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</si>
  <si>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</si>
  <si>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</si>
  <si>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</si>
  <si>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</si>
  <si>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</si>
  <si>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</si>
  <si>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</si>
  <si>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</si>
  <si>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</si>
  <si>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</si>
  <si>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</si>
  <si>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</si>
  <si>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</si>
  <si>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</si>
  <si>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</si>
  <si>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</si>
  <si>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</si>
  <si>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</si>
  <si>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</si>
  <si>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</si>
  <si>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</si>
  <si>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</si>
  <si>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</si>
  <si>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</si>
  <si>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</si>
  <si>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</si>
  <si>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</si>
  <si>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</si>
  <si>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</si>
  <si>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</si>
  <si>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</si>
  <si>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</si>
  <si>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</si>
  <si>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</si>
  <si>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</si>
  <si>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</si>
  <si>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</si>
  <si>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</si>
  <si>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</si>
  <si>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</si>
  <si>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</si>
  <si>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</si>
  <si>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</si>
  <si>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</si>
  <si>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</si>
  <si>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</si>
  <si>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</si>
  <si>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</si>
  <si>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</si>
  <si>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</si>
  <si>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</si>
  <si>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</si>
  <si>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</si>
  <si>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</si>
  <si>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</si>
  <si>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</si>
  <si>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</si>
  <si>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</si>
  <si>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</si>
  <si>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</si>
  <si>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</si>
  <si>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</si>
  <si>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</si>
  <si>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</si>
  <si>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</si>
  <si>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</si>
  <si>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</si>
  <si>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</si>
  <si>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</si>
  <si>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</si>
  <si>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</si>
  <si>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</si>
  <si>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</si>
  <si>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</si>
  <si>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</si>
  <si>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</si>
  <si>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</si>
  <si>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</si>
  <si>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</si>
  <si>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</si>
  <si>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</si>
  <si>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</si>
  <si>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</si>
  <si>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</si>
  <si>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</si>
  <si>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</si>
  <si>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</si>
  <si>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</si>
  <si>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</si>
  <si>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</si>
  <si>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</si>
  <si>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</si>
  <si>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</si>
  <si>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</si>
  <si>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</si>
  <si>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</si>
  <si>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</si>
  <si>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</si>
  <si>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</si>
  <si>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</si>
  <si>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</si>
  <si>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</si>
  <si>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</si>
  <si>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</si>
  <si>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</si>
  <si>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</si>
  <si>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</si>
  <si>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</si>
  <si>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</si>
  <si>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</si>
  <si>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</si>
  <si>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</si>
  <si>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</si>
  <si>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</si>
  <si>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</si>
  <si>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</si>
  <si>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</si>
  <si>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</si>
  <si>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</si>
  <si>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</si>
  <si>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</si>
  <si>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</si>
  <si>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</si>
  <si>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</si>
  <si>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</si>
  <si>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</si>
  <si>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</si>
  <si>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</si>
  <si>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</si>
  <si>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</si>
  <si>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</si>
  <si>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</si>
  <si>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</si>
  <si>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</si>
  <si>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</si>
  <si>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</si>
  <si>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</si>
  <si>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</si>
  <si>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</si>
  <si>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</si>
  <si>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</si>
  <si>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</si>
  <si>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</si>
  <si>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</si>
  <si>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</si>
  <si>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</si>
  <si>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</si>
  <si>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</si>
  <si>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</si>
  <si>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</si>
  <si>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</si>
  <si>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</si>
  <si>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</si>
  <si>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</si>
  <si>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</si>
  <si>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</si>
  <si>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</si>
  <si>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</si>
  <si>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</si>
  <si>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</si>
  <si>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</si>
  <si>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</si>
  <si>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</si>
  <si>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</si>
  <si>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</si>
  <si>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</si>
  <si>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</si>
  <si>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</si>
  <si>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</si>
  <si>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</si>
  <si>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</si>
  <si>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10_x000D_</t>
  </si>
  <si>
    <t>6_x000D_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</si>
  <si>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</si>
  <si>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</si>
  <si>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</si>
  <si>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</si>
  <si>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</si>
  <si>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</si>
  <si>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</si>
  <si>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318_x000D_</t>
  </si>
  <si>
    <t>168_x000D_</t>
  </si>
  <si>
    <t>146_x000D_</t>
  </si>
  <si>
    <t>136_x000D_</t>
  </si>
  <si>
    <t>133_x000D_</t>
  </si>
  <si>
    <t>93_x000D_</t>
  </si>
  <si>
    <t>76_x000D_</t>
  </si>
  <si>
    <t>75_x000D_</t>
  </si>
  <si>
    <t>28_x000D_</t>
  </si>
  <si>
    <t>26_x000D_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</si>
  <si>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</si>
  <si>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</si>
  <si>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</si>
  <si>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</si>
  <si>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</si>
  <si>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</si>
  <si>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</si>
  <si>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</si>
  <si>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</si>
  <si>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</si>
  <si>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</si>
  <si>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</si>
  <si>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</si>
  <si>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</si>
  <si>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</si>
  <si>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</si>
  <si>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</si>
  <si>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</si>
  <si>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</si>
  <si>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</si>
  <si>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</si>
  <si>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</si>
  <si>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</si>
  <si>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</si>
  <si>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</si>
  <si>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</si>
  <si>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</si>
  <si>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</si>
  <si>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</si>
  <si>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</si>
  <si>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</si>
  <si>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</si>
  <si>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</si>
  <si>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</si>
  <si>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</si>
  <si>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</si>
  <si>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</si>
  <si>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</si>
  <si>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</si>
  <si>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</si>
  <si>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</si>
  <si>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</si>
  <si>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</si>
  <si>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</si>
  <si>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</si>
  <si>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</si>
  <si>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</si>
  <si>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</si>
  <si>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</si>
  <si>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</si>
  <si>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</si>
  <si>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</si>
  <si>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</si>
  <si>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</si>
  <si>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</si>
  <si>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</si>
  <si>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</si>
  <si>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</si>
  <si>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</si>
  <si>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</si>
  <si>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</si>
  <si>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</si>
  <si>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</si>
  <si>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</si>
  <si>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</si>
  <si>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</si>
  <si>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</si>
  <si>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</si>
  <si>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</si>
  <si>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</si>
  <si>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</si>
  <si>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</si>
  <si>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</si>
  <si>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</si>
  <si>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</si>
  <si>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</si>
  <si>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</si>
  <si>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</si>
  <si>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</si>
  <si>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</si>
  <si>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</si>
  <si>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</si>
  <si>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</si>
  <si>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</si>
  <si>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</si>
  <si>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</si>
  <si>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</si>
  <si>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</si>
  <si>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</si>
  <si>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</si>
  <si>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</si>
  <si>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</si>
  <si>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</si>
  <si>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</si>
  <si>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</si>
  <si>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</si>
  <si>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</si>
  <si>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</si>
  <si>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</si>
  <si>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</si>
  <si>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</si>
  <si>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</si>
  <si>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</si>
  <si>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</si>
  <si>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</si>
  <si>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</si>
  <si>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</si>
  <si>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</si>
  <si>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</si>
  <si>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</si>
  <si>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</si>
  <si>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</si>
  <si>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</si>
  <si>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</si>
  <si>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</si>
  <si>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</si>
  <si>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</si>
  <si>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</si>
  <si>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</si>
  <si>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</si>
  <si>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</si>
  <si>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</si>
  <si>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</si>
  <si>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</si>
  <si>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</si>
  <si>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</si>
  <si>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</si>
  <si>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</si>
  <si>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</si>
  <si>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</si>
  <si>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</si>
  <si>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</si>
  <si>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</si>
  <si>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</si>
  <si>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</si>
  <si>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</si>
  <si>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</si>
  <si>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</si>
  <si>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</si>
  <si>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</si>
  <si>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</si>
  <si>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</si>
  <si>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</si>
  <si>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</si>
  <si>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</si>
  <si>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</si>
  <si>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</si>
  <si>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</si>
  <si>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</si>
  <si>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</si>
  <si>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</si>
  <si>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</si>
  <si>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</si>
  <si>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</si>
  <si>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</si>
  <si>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</si>
  <si>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</si>
  <si>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</si>
  <si>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</si>
  <si>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</si>
  <si>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</si>
  <si>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</si>
  <si>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</si>
  <si>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</si>
  <si>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</si>
  <si>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</si>
  <si>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</si>
  <si>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</si>
  <si>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</si>
  <si>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</si>
  <si>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</si>
  <si>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</si>
  <si>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</si>
  <si>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</si>
  <si>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</si>
  <si>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</si>
  <si>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</si>
  <si>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</si>
  <si>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</si>
  <si>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</si>
  <si>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</si>
  <si>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</si>
  <si>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</si>
  <si>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</si>
  <si>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</si>
  <si>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</si>
  <si>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</si>
  <si>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</si>
  <si>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</si>
  <si>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</si>
  <si>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</si>
  <si>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</si>
  <si>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</si>
  <si>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</si>
  <si>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</si>
  <si>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</si>
  <si>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</si>
  <si>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</si>
  <si>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</si>
  <si>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</si>
  <si>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</si>
  <si>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</si>
  <si>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</si>
  <si>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</si>
  <si>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</si>
  <si>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</si>
  <si>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</si>
  <si>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</si>
  <si>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</si>
  <si>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</si>
  <si>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</si>
  <si>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</si>
  <si>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</si>
  <si>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</si>
  <si>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</si>
  <si>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</si>
  <si>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</si>
  <si>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</si>
  <si>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</si>
  <si>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</si>
  <si>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</si>
  <si>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</si>
  <si>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</si>
  <si>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</si>
  <si>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</si>
  <si>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</si>
  <si>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</si>
  <si>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</si>
  <si>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</si>
  <si>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</si>
  <si>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</si>
  <si>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</si>
  <si>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</si>
  <si>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</si>
  <si>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</si>
  <si>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</si>
  <si>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</si>
  <si>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</si>
  <si>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</si>
  <si>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</si>
  <si>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</si>
  <si>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</si>
  <si>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</si>
  <si>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</si>
  <si>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</si>
  <si>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</si>
  <si>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</si>
  <si>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</si>
  <si>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</si>
  <si>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</si>
  <si>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</si>
  <si>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</si>
  <si>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</si>
  <si>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</si>
  <si>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</si>
  <si>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</si>
  <si>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</si>
  <si>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</si>
  <si>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</si>
  <si>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</si>
  <si>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</si>
  <si>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</si>
  <si>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</si>
  <si>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</si>
  <si>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</si>
  <si>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</si>
  <si>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</si>
  <si>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</si>
  <si>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</si>
  <si>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</si>
  <si>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</si>
  <si>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</si>
  <si>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</si>
  <si>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</si>
  <si>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</si>
  <si>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</si>
  <si>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</si>
  <si>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</si>
  <si>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</si>
  <si>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</si>
  <si>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</si>
  <si>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</si>
  <si>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</si>
  <si>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</si>
  <si>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</si>
  <si>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</si>
  <si>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</si>
  <si>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</si>
  <si>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</si>
  <si>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</si>
  <si>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</si>
  <si>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</si>
  <si>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</si>
  <si>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</si>
  <si>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</si>
  <si>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</si>
  <si>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</si>
  <si>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</si>
  <si>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</si>
  <si>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</si>
  <si>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</si>
  <si>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</si>
  <si>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</si>
  <si>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</si>
  <si>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</si>
  <si>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</si>
  <si>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</si>
  <si>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</si>
  <si>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</si>
  <si>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</si>
  <si>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</si>
  <si>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</si>
  <si>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</si>
  <si>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</si>
  <si>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</si>
  <si>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</si>
  <si>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</si>
  <si>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</si>
  <si>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</si>
  <si>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</si>
  <si>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</si>
  <si>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</si>
  <si>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</si>
  <si>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</si>
  <si>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</si>
  <si>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</si>
  <si>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</si>
  <si>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</si>
  <si>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</si>
  <si>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</si>
  <si>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</si>
  <si>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</si>
  <si>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</si>
  <si>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</si>
  <si>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</si>
  <si>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23_x000D_</t>
  </si>
  <si>
    <t>13_x000D_</t>
  </si>
  <si>
    <t>39_x000D_</t>
  </si>
  <si>
    <t>42_x000D_</t>
  </si>
  <si>
    <t>50_x000D_</t>
  </si>
  <si>
    <t>33_x000D_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</si>
  <si>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</si>
  <si>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</si>
  <si>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</si>
  <si>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</si>
  <si>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</si>
  <si>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</si>
  <si>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</si>
  <si>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</si>
  <si>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</si>
  <si>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</si>
  <si>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</si>
  <si>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</si>
  <si>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</si>
  <si>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</si>
  <si>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</si>
  <si>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</si>
  <si>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</si>
  <si>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</si>
  <si>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</si>
  <si>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</si>
  <si>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</si>
  <si>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</si>
  <si>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</si>
  <si>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</si>
  <si>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</si>
  <si>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</si>
  <si>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</si>
  <si>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</si>
  <si>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</si>
  <si>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</si>
  <si>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</si>
  <si>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</si>
  <si>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</si>
  <si>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</si>
  <si>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</si>
  <si>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</si>
  <si>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</si>
  <si>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</si>
  <si>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</si>
  <si>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</si>
  <si>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</si>
  <si>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</si>
  <si>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</si>
  <si>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</si>
  <si>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</si>
  <si>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</si>
  <si>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</si>
  <si>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</si>
  <si>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</si>
  <si>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</si>
  <si>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</si>
  <si>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</si>
  <si>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</si>
  <si>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</si>
  <si>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</si>
  <si>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</si>
  <si>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</si>
  <si>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</si>
  <si>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</si>
  <si>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</si>
  <si>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</si>
  <si>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</si>
  <si>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</si>
  <si>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</si>
  <si>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</si>
  <si>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</si>
  <si>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</si>
  <si>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</si>
  <si>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</si>
  <si>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</si>
  <si>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</si>
  <si>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</si>
  <si>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</si>
  <si>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</si>
  <si>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</si>
  <si>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</si>
  <si>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</si>
  <si>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</si>
  <si>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</si>
  <si>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</si>
  <si>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</si>
  <si>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</si>
  <si>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</si>
  <si>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</si>
  <si>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</si>
  <si>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</si>
  <si>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</si>
  <si>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</si>
  <si>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</si>
  <si>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</si>
  <si>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</si>
  <si>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</si>
  <si>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</si>
  <si>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</si>
  <si>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</si>
  <si>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</si>
  <si>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</si>
  <si>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</si>
  <si>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</si>
  <si>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</si>
  <si>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</si>
  <si>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</si>
  <si>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</si>
  <si>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</si>
  <si>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</si>
  <si>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</si>
  <si>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</si>
  <si>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</si>
  <si>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</si>
  <si>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</si>
  <si>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</si>
  <si>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</si>
  <si>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</si>
  <si>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</si>
  <si>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</si>
  <si>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</si>
  <si>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</si>
  <si>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</si>
  <si>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</si>
  <si>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</si>
  <si>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</si>
  <si>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</si>
  <si>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</si>
  <si>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</si>
  <si>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</si>
  <si>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</si>
  <si>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</si>
  <si>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</si>
  <si>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</si>
  <si>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</si>
  <si>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</si>
  <si>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</si>
  <si>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</si>
  <si>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</si>
  <si>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</si>
  <si>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</si>
  <si>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</si>
  <si>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</si>
  <si>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</si>
  <si>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</si>
  <si>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</si>
  <si>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</si>
  <si>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</si>
  <si>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</si>
  <si>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</si>
  <si>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</si>
  <si>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</si>
  <si>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</si>
  <si>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</si>
  <si>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</si>
  <si>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</si>
  <si>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</si>
  <si>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</si>
  <si>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</si>
  <si>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</si>
  <si>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</si>
  <si>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</si>
  <si>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</si>
  <si>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</si>
  <si>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</si>
  <si>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</si>
  <si>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</si>
  <si>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</si>
  <si>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</si>
  <si>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</si>
  <si>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</si>
  <si>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</si>
  <si>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</si>
  <si>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</si>
  <si>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</si>
  <si>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</si>
  <si>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</si>
  <si>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</si>
  <si>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</si>
  <si>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</si>
  <si>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</si>
  <si>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</si>
  <si>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</si>
  <si>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</si>
  <si>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</si>
  <si>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</si>
  <si>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</si>
  <si>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</si>
  <si>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</si>
  <si>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</si>
  <si>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</si>
  <si>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</si>
  <si>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</si>
  <si>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</si>
  <si>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</si>
  <si>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</si>
  <si>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</si>
  <si>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</si>
  <si>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</si>
  <si>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</si>
  <si>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</si>
  <si>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</si>
  <si>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</si>
  <si>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</si>
  <si>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</si>
  <si>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</si>
  <si>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</si>
  <si>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</si>
  <si>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</si>
  <si>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</si>
  <si>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</si>
  <si>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</si>
  <si>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</si>
  <si>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</si>
  <si>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</si>
  <si>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</si>
  <si>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</si>
  <si>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</si>
  <si>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</si>
  <si>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</si>
  <si>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</si>
  <si>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</si>
  <si>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</si>
  <si>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</si>
  <si>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</si>
  <si>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</si>
  <si>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</si>
  <si>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</si>
  <si>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</si>
  <si>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</si>
  <si>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</si>
  <si>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</si>
  <si>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</si>
  <si>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</si>
  <si>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</si>
  <si>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</si>
  <si>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</si>
  <si>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</si>
  <si>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</si>
  <si>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</si>
  <si>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</si>
  <si>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</si>
  <si>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</si>
  <si>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</si>
  <si>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</si>
  <si>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</si>
  <si>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</si>
  <si>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</si>
  <si>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</si>
  <si>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</si>
  <si>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</si>
  <si>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</si>
  <si>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</si>
  <si>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</si>
  <si>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</si>
  <si>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</si>
  <si>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</si>
  <si>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</si>
  <si>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</si>
  <si>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</si>
  <si>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</si>
  <si>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</si>
  <si>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</si>
  <si>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</si>
  <si>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</si>
  <si>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</si>
  <si>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</si>
  <si>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</si>
  <si>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</si>
  <si>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</si>
  <si>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</si>
  <si>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</si>
  <si>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</si>
  <si>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</si>
  <si>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</si>
  <si>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</si>
  <si>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</si>
  <si>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</si>
  <si>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</si>
  <si>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</si>
  <si>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</si>
  <si>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</si>
  <si>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</si>
  <si>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</si>
  <si>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</si>
  <si>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</si>
  <si>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</si>
  <si>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</si>
  <si>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</si>
  <si>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</si>
  <si>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</si>
  <si>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</si>
  <si>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</si>
  <si>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</si>
  <si>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</si>
  <si>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</si>
  <si>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</si>
  <si>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</si>
  <si>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</si>
  <si>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</si>
  <si>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</si>
  <si>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</si>
  <si>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</si>
  <si>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</si>
  <si>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</si>
  <si>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</si>
  <si>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</si>
  <si>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</si>
  <si>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</si>
  <si>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</si>
  <si>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</si>
  <si>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</si>
  <si>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</si>
  <si>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</si>
  <si>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</si>
  <si>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</si>
  <si>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</si>
  <si>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</si>
  <si>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</si>
  <si>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</si>
  <si>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</si>
  <si>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</si>
  <si>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</si>
  <si>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</si>
  <si>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</si>
  <si>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</si>
  <si>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</si>
  <si>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</si>
  <si>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</si>
  <si>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</si>
  <si>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</si>
  <si>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</si>
  <si>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</si>
  <si>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</si>
  <si>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</si>
  <si>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</si>
  <si>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</si>
  <si>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</si>
  <si>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</si>
  <si>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</si>
  <si>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</si>
  <si>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</si>
  <si>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</si>
  <si>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</si>
  <si>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</si>
  <si>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</si>
  <si>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</si>
  <si>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</si>
  <si>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</si>
  <si>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</si>
  <si>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</si>
  <si>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</si>
  <si>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</si>
  <si>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</si>
  <si>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</si>
  <si>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</si>
  <si>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</si>
  <si>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</si>
  <si>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</si>
  <si>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</si>
  <si>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</si>
  <si>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</si>
  <si>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</si>
  <si>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</si>
  <si>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</si>
  <si>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</si>
  <si>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</si>
  <si>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</si>
  <si>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</si>
  <si>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</si>
  <si>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</si>
  <si>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</si>
  <si>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</si>
  <si>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</si>
  <si>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</si>
  <si>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</si>
  <si>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</si>
  <si>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</si>
  <si>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</si>
  <si>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</si>
  <si>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</si>
  <si>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</si>
  <si>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</si>
  <si>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</si>
  <si>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</si>
  <si>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</si>
  <si>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</si>
  <si>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</si>
  <si>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</si>
  <si>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</si>
  <si>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</si>
  <si>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</si>
  <si>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</si>
  <si>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</si>
  <si>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</si>
  <si>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</si>
  <si>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</si>
  <si>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</si>
  <si>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</si>
  <si>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</si>
  <si>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</si>
  <si>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</si>
  <si>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</si>
  <si>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</si>
  <si>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</si>
  <si>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</si>
  <si>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</si>
  <si>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</si>
  <si>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</si>
  <si>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</si>
  <si>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</si>
  <si>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</si>
  <si>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</si>
  <si>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</si>
  <si>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</si>
  <si>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</si>
  <si>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</si>
  <si>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</si>
  <si>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</si>
  <si>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</si>
  <si>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</si>
  <si>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</si>
  <si>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</si>
  <si>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</si>
  <si>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</si>
  <si>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</si>
  <si>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</si>
  <si>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</si>
  <si>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</si>
  <si>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</si>
  <si>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</si>
  <si>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</si>
  <si>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</si>
  <si>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</si>
  <si>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</si>
  <si>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</si>
  <si>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</si>
  <si>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</si>
  <si>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</si>
  <si>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</si>
  <si>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</si>
  <si>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</si>
  <si>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</si>
  <si>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</si>
  <si>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202_x000D_</t>
  </si>
  <si>
    <t>256_x000D_</t>
  </si>
  <si>
    <t>299_x000D_</t>
  </si>
  <si>
    <t>38_x000D_</t>
  </si>
  <si>
    <t>Ireland</t>
  </si>
  <si>
    <t>111_x000D_</t>
  </si>
  <si>
    <t>71_x000D_</t>
  </si>
  <si>
    <t>29_x000D_</t>
  </si>
  <si>
    <t>83_x000D_</t>
  </si>
  <si>
    <t>19_x000D_</t>
  </si>
  <si>
    <t>47_x000D_</t>
  </si>
  <si>
    <t>184_x000D_</t>
  </si>
  <si>
    <t>173_x000D_</t>
  </si>
  <si>
    <t>85_x000D_</t>
  </si>
  <si>
    <t>70_x000D_</t>
  </si>
  <si>
    <t>77_x000D_</t>
  </si>
  <si>
    <t>86_x000D_</t>
  </si>
  <si>
    <t>15_x000D_</t>
  </si>
  <si>
    <t>67800_x000D_</t>
  </si>
  <si>
    <t>712_x000D_</t>
  </si>
  <si>
    <t>176_x000D_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</si>
  <si>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</si>
  <si>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</si>
  <si>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</si>
  <si>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</si>
  <si>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</si>
  <si>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</si>
  <si>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</si>
  <si>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</si>
  <si>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</si>
  <si>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</si>
  <si>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</si>
  <si>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</si>
  <si>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</si>
  <si>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</si>
  <si>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</si>
  <si>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</si>
  <si>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</si>
  <si>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</si>
  <si>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</si>
  <si>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</si>
  <si>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</si>
  <si>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</si>
  <si>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</si>
  <si>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</si>
  <si>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</si>
  <si>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</si>
  <si>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</si>
  <si>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</si>
  <si>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</si>
  <si>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</si>
  <si>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</si>
  <si>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</si>
  <si>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</si>
  <si>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</si>
  <si>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</si>
  <si>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</si>
  <si>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</si>
  <si>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</si>
  <si>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</si>
  <si>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</si>
  <si>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</si>
  <si>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</si>
  <si>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</si>
  <si>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</si>
  <si>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</si>
  <si>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</si>
  <si>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</si>
  <si>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</si>
  <si>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</si>
  <si>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</si>
  <si>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</si>
  <si>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</si>
  <si>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</si>
  <si>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</si>
  <si>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</si>
  <si>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</si>
  <si>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</si>
  <si>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</si>
  <si>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</si>
  <si>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</si>
  <si>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</si>
  <si>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</si>
  <si>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</si>
  <si>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</si>
  <si>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</si>
  <si>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</si>
  <si>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</si>
  <si>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</si>
  <si>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</si>
  <si>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</si>
  <si>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</si>
  <si>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</si>
  <si>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</si>
  <si>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322_x000D_</t>
  </si>
  <si>
    <t>963_x000D_</t>
  </si>
  <si>
    <t>385_x000D_</t>
  </si>
  <si>
    <t>1030_x000D_</t>
  </si>
  <si>
    <t>271_x000D_</t>
  </si>
  <si>
    <t>353_x000D_</t>
  </si>
  <si>
    <t>73_x000D_</t>
  </si>
  <si>
    <t>19848_x000D_</t>
  </si>
  <si>
    <t>450_x000D_</t>
  </si>
  <si>
    <t>140_x000D_</t>
  </si>
  <si>
    <t>230_x000D_</t>
  </si>
  <si>
    <t>244_x000D_</t>
  </si>
  <si>
    <t>47021_x000D_</t>
  </si>
  <si>
    <t>1639_x000D_</t>
  </si>
  <si>
    <t>20410_x000D_</t>
  </si>
  <si>
    <t>2257_x000D_</t>
  </si>
  <si>
    <t>285_x000D_</t>
  </si>
  <si>
    <t>163_x000D_</t>
  </si>
  <si>
    <t>208_x000D_</t>
  </si>
  <si>
    <t>48_x000D_</t>
  </si>
  <si>
    <t>159_x000D_</t>
  </si>
  <si>
    <t>90_x000D_</t>
  </si>
  <si>
    <t>128_x000D_</t>
  </si>
  <si>
    <t>5294_x000D_</t>
  </si>
  <si>
    <t>2388_x000D_</t>
  </si>
  <si>
    <t>705_x000D_</t>
  </si>
  <si>
    <t>501_x000D_</t>
  </si>
  <si>
    <t>793_x000D_</t>
  </si>
  <si>
    <t>43_x000D_</t>
  </si>
  <si>
    <t>495_x000D_</t>
  </si>
  <si>
    <t>67_x000D_</t>
  </si>
  <si>
    <t>1914_x000D_</t>
  </si>
  <si>
    <t>308_x000D_</t>
  </si>
  <si>
    <t>283_x000D_</t>
  </si>
  <si>
    <t>144_x000D_</t>
  </si>
  <si>
    <t>69_x000D_</t>
  </si>
  <si>
    <t>409_x000D_</t>
  </si>
  <si>
    <t>64_x000D_</t>
  </si>
  <si>
    <t>683_x000D_</t>
  </si>
  <si>
    <t>484_x000D_</t>
  </si>
  <si>
    <t>470_x000D_</t>
  </si>
  <si>
    <t>367_x000D_</t>
  </si>
  <si>
    <t>44_x000D_</t>
  </si>
  <si>
    <t>72_x000D_</t>
  </si>
  <si>
    <t>369_x000D_</t>
  </si>
  <si>
    <t>1020_x000D_</t>
  </si>
  <si>
    <t>344_x000D_</t>
  </si>
  <si>
    <t>434_x000D_</t>
  </si>
  <si>
    <t>425_x000D_</t>
  </si>
  <si>
    <t>54_x000D_</t>
  </si>
  <si>
    <t>89_x000D_</t>
  </si>
  <si>
    <t>341_x000D_</t>
  </si>
  <si>
    <t>234_x000D_</t>
  </si>
  <si>
    <t>135_x000D_</t>
  </si>
  <si>
    <t>137_x000D_</t>
  </si>
  <si>
    <t>32_x000D_</t>
  </si>
  <si>
    <t>127_x000D_</t>
  </si>
  <si>
    <t>139_x000D_</t>
  </si>
  <si>
    <t>78_x000D_</t>
  </si>
  <si>
    <t>1524_x000D_</t>
  </si>
  <si>
    <t>8310_x000D_</t>
  </si>
  <si>
    <t>1177_x000D_</t>
  </si>
  <si>
    <t>413_x000D_</t>
  </si>
  <si>
    <t>420_x000D_</t>
  </si>
  <si>
    <t>363_x000D_</t>
  </si>
  <si>
    <t>563_x000D_</t>
  </si>
  <si>
    <t>890_x000D_</t>
  </si>
  <si>
    <t>114_x000D_</t>
  </si>
  <si>
    <t>394_x000D_</t>
  </si>
  <si>
    <t>585_x000D_</t>
  </si>
  <si>
    <t>303_x000D_</t>
  </si>
  <si>
    <t>45_x000D_</t>
  </si>
  <si>
    <t>149_x000D_</t>
  </si>
  <si>
    <t>172_x000D_</t>
  </si>
  <si>
    <t>126_x000D_</t>
  </si>
  <si>
    <t>233_x000D_</t>
  </si>
  <si>
    <t>122_x000D_</t>
  </si>
  <si>
    <t>115_x000D_</t>
  </si>
  <si>
    <t>207_x000D_</t>
  </si>
  <si>
    <t>194_x000D_</t>
  </si>
  <si>
    <t>40_x000D_</t>
  </si>
  <si>
    <t>538_x000D_</t>
  </si>
  <si>
    <t>53_x000D_</t>
  </si>
  <si>
    <t>96_x000D_</t>
  </si>
  <si>
    <t>56_x000D_</t>
  </si>
  <si>
    <t>552_x000D_</t>
  </si>
  <si>
    <t>80_x000D_</t>
  </si>
  <si>
    <t>19644_x000D_</t>
  </si>
  <si>
    <t>8652_x000D_</t>
  </si>
  <si>
    <t>12612_x000D_</t>
  </si>
  <si>
    <t>1395_x000D_</t>
  </si>
  <si>
    <t>1234_x000D_</t>
  </si>
  <si>
    <t>762_x000D_</t>
  </si>
  <si>
    <t>541_x000D_</t>
  </si>
  <si>
    <t>1255_x000D_</t>
  </si>
  <si>
    <t>491_x000D_</t>
  </si>
  <si>
    <t>371_x000D_</t>
  </si>
  <si>
    <t>254_x000D_</t>
  </si>
  <si>
    <t>247_x000D_</t>
  </si>
  <si>
    <t>134_x000D_</t>
  </si>
  <si>
    <t>833_x000D_</t>
  </si>
  <si>
    <t>91_x000D_</t>
  </si>
  <si>
    <t>17_x000D_</t>
  </si>
  <si>
    <t>66_x000D_</t>
  </si>
  <si>
    <t>Channel Islands</t>
  </si>
  <si>
    <t>16_x000D_</t>
  </si>
  <si>
    <t>359_x000D_</t>
  </si>
  <si>
    <t>Gibraltar</t>
  </si>
  <si>
    <t>3983_x000D_</t>
  </si>
  <si>
    <t>2994_x000D_</t>
  </si>
  <si>
    <t>Cayman Islands</t>
  </si>
  <si>
    <t>Montserrat</t>
  </si>
  <si>
    <t>Bahamas The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</si>
  <si>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</si>
  <si>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</si>
  <si>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</si>
  <si>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</si>
  <si>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</si>
  <si>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</si>
  <si>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</si>
  <si>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</si>
  <si>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</si>
  <si>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</si>
  <si>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</si>
  <si>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</si>
  <si>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</si>
  <si>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</si>
  <si>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</si>
  <si>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</si>
  <si>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</si>
  <si>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</si>
  <si>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</si>
  <si>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</si>
  <si>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</si>
  <si>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</si>
  <si>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</si>
  <si>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</si>
  <si>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</si>
  <si>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</si>
  <si>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</si>
  <si>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</si>
  <si>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</si>
  <si>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</si>
  <si>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</si>
  <si>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</si>
  <si>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</si>
  <si>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</si>
  <si>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</si>
  <si>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</si>
  <si>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</si>
  <si>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</si>
  <si>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</si>
  <si>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</si>
  <si>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</si>
  <si>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</si>
  <si>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</si>
  <si>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</si>
  <si>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</si>
  <si>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</si>
  <si>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</si>
  <si>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</si>
  <si>
    <t>At Sat 21-Mar Australia 423 cases per 10M was 18 days behind Italy, 2 days behind USA &amp; 37 days behind China, 23 days behind South Korea, 2 days behind UK</t>
  </si>
  <si>
    <t>207 M</t>
  </si>
  <si>
    <t>81.6 M</t>
  </si>
  <si>
    <t>b=0.207, d=1.00E-09, P0=.0099 Limit=81.6 M</t>
  </si>
  <si>
    <t>Australia Limit 81.6 M</t>
  </si>
  <si>
    <t>COVID19 Australia P(t) = b / {d+[( b/Po - d ) ]* exp(-b*t)}
b=0.207, d=1.00E-09, P0=.0099 Limit=81.6 M
 21-Mar, Cases per 10 M population</t>
  </si>
  <si>
    <t>60.6 k</t>
  </si>
  <si>
    <t>b=0.259, d=4.28E-06, P0=.4422 Limit=10.0 k</t>
  </si>
  <si>
    <t>Italy Limit 10.0 k</t>
  </si>
  <si>
    <t>COVID19 Italy P(t) = b / {d+[( b/Po - d ) ]* exp(-b*t)}
b=0.259, d=4.28E-06, P0=.4422 Limit=10.0 k
 21-Mar, Cases per 10 M population</t>
  </si>
  <si>
    <t>385 k</t>
  </si>
  <si>
    <t>11.7 k</t>
  </si>
  <si>
    <t>b=0.348, d=9.04E-07, P0=.0171 Limit=11.7 k</t>
  </si>
  <si>
    <t>USA Limit 11.7 k</t>
  </si>
  <si>
    <t>COVID19 USA P(t) = b / {d+[( b/Po - d ) ]* exp(-b*t)}
b=0.348, d=9.04E-07, P0=.0171 Limit=11.7 k
 21-Mar, Cases per 10 M population
 - Prediction without last day</t>
  </si>
  <si>
    <t xml:space="preserve">COVID19 China P(t) = b / {d+[( b/Po - d ) ]* exp(-b*t)}
b=0.222, d=2.74E-06, P0=1537.6493 Limit=562  
 21-Mar, Cases per 10 M population
</t>
  </si>
  <si>
    <t>8.38 k</t>
  </si>
  <si>
    <t>1.63 k</t>
  </si>
  <si>
    <t>b=0.321, d=3.83E-05, P0=182.7881 Limit=1.63 k</t>
  </si>
  <si>
    <t>Skorea Limit 1.63 k fr 19th Feb</t>
  </si>
  <si>
    <t xml:space="preserve">COVID19 Skorea P(t) = b / {d+[( b/Po - d ) ]* exp(-b*t)}
b=0.321, d=3.83E-05, P0=182.7881 Limit=1.63 k
 21-Mar, Cases per 10 M population
log fit from 19th Feb </t>
  </si>
  <si>
    <t>236 M</t>
  </si>
  <si>
    <t>35.4 M</t>
  </si>
  <si>
    <t>b=0.236, d=1.00E-09, P0=.0303 Limit=35.4 M</t>
  </si>
  <si>
    <t>UK Limit 35.4 M</t>
  </si>
  <si>
    <t xml:space="preserve">COVID19 UK P(t) = b / {d+[( b/Po - d ) ]* exp(-b*t)}
b=0.236, d=1.00E-09, P0=.0303 Limit=35.4 M
 21-Mar, Cases per 10 M population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</si>
</sst>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00000E+00"/>
    <numFmt numFmtId="172" formatCode="ddd\ dd/mm/yyyy"/>
    <numFmt numFmtId="173" formatCode="dd/mm/yyyy\ hh:mm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1" fontId="0" fillId="0" borderId="0" xfId="0" applyNumberFormat="1"/>
    <xf numFmtId="172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3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6.xml"/><Relationship Id="rId26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5.xml"/><Relationship Id="rId7" Type="http://schemas.openxmlformats.org/officeDocument/2006/relationships/chartsheet" Target="chartsheets/sheet6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3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worksheet" Target="worksheets/sheet6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20056"/>
        <c:axId val="747420448"/>
      </c:scatterChart>
      <c:valAx>
        <c:axId val="74742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0448"/>
        <c:crosses val="autoZero"/>
        <c:crossBetween val="midCat"/>
      </c:valAx>
      <c:valAx>
        <c:axId val="7474204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0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myData!$DR$15:$DR$23</c:f>
              <c:numCache>
                <c:formatCode>m/d/yyyy</c:formatCode>
                <c:ptCount val="9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43908</c:v>
                </c:pt>
                <c:pt idx="7">
                  <c:v>43910</c:v>
                </c:pt>
                <c:pt idx="8">
                  <c:v>43911</c:v>
                </c:pt>
              </c:numCache>
            </c:numRef>
          </c:xVal>
          <c:yVal>
            <c:numRef>
              <c:f>myData!$DM$15:$DM$23</c:f>
              <c:numCache>
                <c:formatCode>General</c:formatCode>
                <c:ptCount val="9"/>
                <c:pt idx="0">
                  <c:v>698.45143014252619</c:v>
                </c:pt>
                <c:pt idx="1">
                  <c:v>542.39562937001722</c:v>
                </c:pt>
                <c:pt idx="2">
                  <c:v>149466.80778825187</c:v>
                </c:pt>
                <c:pt idx="3">
                  <c:v>1903695418.3668838</c:v>
                </c:pt>
                <c:pt idx="4">
                  <c:v>1906532495.6548798</c:v>
                </c:pt>
                <c:pt idx="5">
                  <c:v>2020947810.4226243</c:v>
                </c:pt>
                <c:pt idx="6">
                  <c:v>2020947810.4226243</c:v>
                </c:pt>
                <c:pt idx="7">
                  <c:v>19837162.818940759</c:v>
                </c:pt>
                <c:pt idx="8">
                  <c:v>2724.7105763852951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myData!$DR$24:$DR$31</c:f>
              <c:numCache>
                <c:formatCode>m/d/yyyy</c:formatCode>
                <c:ptCount val="8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43911</c:v>
                </c:pt>
              </c:numCache>
            </c:numRef>
          </c:xVal>
          <c:yVal>
            <c:numRef>
              <c:f>myData!$DM$24:$DM$31</c:f>
              <c:numCache>
                <c:formatCode>General</c:formatCode>
                <c:ptCount val="8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60634.520713483966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17312"/>
        <c:axId val="747422800"/>
      </c:scatterChart>
      <c:valAx>
        <c:axId val="7474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2800"/>
        <c:crosses val="autoZero"/>
        <c:crossBetween val="midCat"/>
      </c:valAx>
      <c:valAx>
        <c:axId val="7474228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Sat 21-Mar-2020,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0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1.63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35.56187880500358</c:v>
                </c:pt>
                <c:pt idx="29" formatCode="0.0">
                  <c:v>48.597317451390118</c:v>
                </c:pt>
                <c:pt idx="30" formatCode="0.0">
                  <c:v>66.21255094000918</c:v>
                </c:pt>
                <c:pt idx="31" formatCode="0.0">
                  <c:v>89.850052751350518</c:v>
                </c:pt>
                <c:pt idx="32" formatCode="0.0">
                  <c:v>121.27159293379358</c:v>
                </c:pt>
                <c:pt idx="33" formatCode="0.0">
                  <c:v>162.52202338785148</c:v>
                </c:pt>
                <c:pt idx="34" formatCode="0.0">
                  <c:v>215.79678328078049</c:v>
                </c:pt>
                <c:pt idx="35" formatCode="0.0">
                  <c:v>283.16518990325443</c:v>
                </c:pt>
                <c:pt idx="36" formatCode="0.0">
                  <c:v>366.12007925173617</c:v>
                </c:pt>
                <c:pt idx="37" formatCode="0.0">
                  <c:v>464.98672809968576</c:v>
                </c:pt>
                <c:pt idx="38" formatCode="0.0">
                  <c:v>578.33434115485807</c:v>
                </c:pt>
                <c:pt idx="39" formatCode="0.0">
                  <c:v>702.64727624973023</c:v>
                </c:pt>
                <c:pt idx="40" formatCode="0.0">
                  <c:v>832.52751092920232</c:v>
                </c:pt>
                <c:pt idx="41" formatCode="0.0">
                  <c:v>961.52230809120499</c:v>
                </c:pt>
                <c:pt idx="42" formatCode="0.0">
                  <c:v>1083.3511072465767</c:v>
                </c:pt>
                <c:pt idx="43" formatCode="0.0">
                  <c:v>1193.0650587897615</c:v>
                </c:pt>
                <c:pt idx="44" formatCode="0.0">
                  <c:v>1287.7148032209047</c:v>
                </c:pt>
                <c:pt idx="45" formatCode="0.0">
                  <c:v>1366.3898630813228</c:v>
                </c:pt>
                <c:pt idx="46" formatCode="0.0">
                  <c:v>1429.7910059103297</c:v>
                </c:pt>
                <c:pt idx="47" formatCode="0.0">
                  <c:v>1479.6197221058505</c:v>
                </c:pt>
                <c:pt idx="48" formatCode="0.0">
                  <c:v>1518.0161353072315</c:v>
                </c:pt>
                <c:pt idx="49" formatCode="0.0">
                  <c:v>1547.155606921461</c:v>
                </c:pt>
                <c:pt idx="50" formatCode="0.0">
                  <c:v>1569.0150720840952</c:v>
                </c:pt>
                <c:pt idx="51" formatCode="0.0">
                  <c:v>1585.271167087775</c:v>
                </c:pt>
                <c:pt idx="52" formatCode="0.0">
                  <c:v>1597.282131445935</c:v>
                </c:pt>
                <c:pt idx="53" formatCode="0.0">
                  <c:v>1606.1141067448821</c:v>
                </c:pt>
                <c:pt idx="54" formatCode="0.0">
                  <c:v>1612.5856242165689</c:v>
                </c:pt>
                <c:pt idx="55" formatCode="0.0">
                  <c:v>1617.3153020429343</c:v>
                </c:pt>
                <c:pt idx="56" formatCode="0.0">
                  <c:v>1620.7654369188961</c:v>
                </c:pt>
                <c:pt idx="57" formatCode="0.0">
                  <c:v>1623.2787211423577</c:v>
                </c:pt>
                <c:pt idx="58" formatCode="0.0">
                  <c:v>1625.107708570953</c:v>
                </c:pt>
                <c:pt idx="59" formatCode="0.0">
                  <c:v>1626.4377409070364</c:v>
                </c:pt>
                <c:pt idx="60" formatCode="0.0">
                  <c:v>1627.4044207714981</c:v>
                </c:pt>
                <c:pt idx="61" formatCode="0.0">
                  <c:v>1628.1067410937494</c:v>
                </c:pt>
                <c:pt idx="62" formatCode="0.0">
                  <c:v>1628.6168533993286</c:v>
                </c:pt>
                <c:pt idx="63" formatCode="0.0">
                  <c:v>1628.9872847642528</c:v>
                </c:pt>
                <c:pt idx="64" formatCode="0.0">
                  <c:v>1629.2562433130222</c:v>
                </c:pt>
                <c:pt idx="65" formatCode="0.0">
                  <c:v>1629.4515046369763</c:v>
                </c:pt>
                <c:pt idx="66" formatCode="0.0">
                  <c:v>1629.5932514114131</c:v>
                </c:pt>
                <c:pt idx="67" formatCode="0.0">
                  <c:v>1629.6961443368239</c:v>
                </c:pt>
                <c:pt idx="68" formatCode="0.0">
                  <c:v>1629.7708304691669</c:v>
                </c:pt>
                <c:pt idx="69" formatCode="0.0">
                  <c:v>1629.8250407240903</c:v>
                </c:pt>
                <c:pt idx="70" formatCode="0.0">
                  <c:v>1629.9533152558311</c:v>
                </c:pt>
                <c:pt idx="71" formatCode="0.0">
                  <c:v>1629.966924316979</c:v>
                </c:pt>
                <c:pt idx="72" formatCode="0.0">
                  <c:v>1629.9683680340706</c:v>
                </c:pt>
                <c:pt idx="73" formatCode="0.0">
                  <c:v>1629.9685211895171</c:v>
                </c:pt>
                <c:pt idx="74" formatCode="0.0">
                  <c:v>1629.9685374368628</c:v>
                </c:pt>
                <c:pt idx="75" formatCode="0.0">
                  <c:v>1629.9685391604462</c:v>
                </c:pt>
                <c:pt idx="76" formatCode="0.0">
                  <c:v>1629.9685393432906</c:v>
                </c:pt>
                <c:pt idx="77" formatCode="0.0">
                  <c:v>1629.9685393626876</c:v>
                </c:pt>
                <c:pt idx="78" formatCode="0.0">
                  <c:v>1629.9685393647451</c:v>
                </c:pt>
                <c:pt idx="79" formatCode="0.0">
                  <c:v>1629.9685393649636</c:v>
                </c:pt>
                <c:pt idx="80" formatCode="0.0">
                  <c:v>1629.9685393649866</c:v>
                </c:pt>
                <c:pt idx="81" formatCode="0.0">
                  <c:v>1629.9685393649893</c:v>
                </c:pt>
                <c:pt idx="82" formatCode="0.0">
                  <c:v>1629.9685393649897</c:v>
                </c:pt>
                <c:pt idx="83" formatCode="0.0">
                  <c:v>1629.9685393649897</c:v>
                </c:pt>
                <c:pt idx="84" formatCode="0.0">
                  <c:v>1629.9685393649897</c:v>
                </c:pt>
                <c:pt idx="85" formatCode="0.0">
                  <c:v>1629.9685393649897</c:v>
                </c:pt>
                <c:pt idx="86" formatCode="0.0">
                  <c:v>1629.9685393649897</c:v>
                </c:pt>
                <c:pt idx="87" formatCode="0.0">
                  <c:v>1629.9685393649897</c:v>
                </c:pt>
                <c:pt idx="88" formatCode="0.0">
                  <c:v>1629.9685393649897</c:v>
                </c:pt>
                <c:pt idx="89" formatCode="0.0">
                  <c:v>1629.9685393649897</c:v>
                </c:pt>
                <c:pt idx="90" formatCode="0.0">
                  <c:v>1629.9685393649897</c:v>
                </c:pt>
                <c:pt idx="91" formatCode="0.0">
                  <c:v>1629.9685393649897</c:v>
                </c:pt>
                <c:pt idx="92" formatCode="0.0">
                  <c:v>1629.9685393649897</c:v>
                </c:pt>
                <c:pt idx="93" formatCode="0.0">
                  <c:v>1629.9685393649897</c:v>
                </c:pt>
                <c:pt idx="94" formatCode="0.0">
                  <c:v>1629.9685393649897</c:v>
                </c:pt>
                <c:pt idx="95" formatCode="0.0">
                  <c:v>1629.9685393649897</c:v>
                </c:pt>
                <c:pt idx="96" formatCode="0.0">
                  <c:v>1629.9685393649897</c:v>
                </c:pt>
                <c:pt idx="97" formatCode="0.0">
                  <c:v>1629.9685393649897</c:v>
                </c:pt>
                <c:pt idx="98" formatCode="0.0">
                  <c:v>1629.9685393649897</c:v>
                </c:pt>
                <c:pt idx="99" formatCode="0.0">
                  <c:v>1629.9685393649897</c:v>
                </c:pt>
                <c:pt idx="100" formatCode="0.0">
                  <c:v>1629.9685393649897</c:v>
                </c:pt>
                <c:pt idx="101" formatCode="0.0">
                  <c:v>1629.9685393649897</c:v>
                </c:pt>
                <c:pt idx="102" formatCode="0.0">
                  <c:v>1629.9685393649897</c:v>
                </c:pt>
                <c:pt idx="103" formatCode="0.0">
                  <c:v>1629.9685393649897</c:v>
                </c:pt>
                <c:pt idx="104" formatCode="0.0">
                  <c:v>1629.9685393649897</c:v>
                </c:pt>
                <c:pt idx="105" formatCode="0.0">
                  <c:v>1629.9685393649897</c:v>
                </c:pt>
                <c:pt idx="106" formatCode="0.0">
                  <c:v>1629.9685393649897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81.6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3.8987237587796053E-3</c:v>
                </c:pt>
                <c:pt idx="1">
                  <c:v>4.7953703840275062E-3</c:v>
                </c:pt>
                <c:pt idx="2">
                  <c:v>5.8982319709535332E-3</c:v>
                </c:pt>
                <c:pt idx="3">
                  <c:v>7.2547347956575985E-3</c:v>
                </c:pt>
                <c:pt idx="4">
                  <c:v>8.9232124498174522E-3</c:v>
                </c:pt>
                <c:pt idx="5">
                  <c:v>1.0975414355857981E-2</c:v>
                </c:pt>
                <c:pt idx="6">
                  <c:v>1.3499591202105822E-2</c:v>
                </c:pt>
                <c:pt idx="7">
                  <c:v>1.6604289980670206E-2</c:v>
                </c:pt>
                <c:pt idx="8">
                  <c:v>2.0423021825784291E-2</c:v>
                </c:pt>
                <c:pt idx="9">
                  <c:v>2.5120003383314642E-2</c:v>
                </c:pt>
                <c:pt idx="10">
                  <c:v>3.0897218607127186E-2</c:v>
                </c:pt>
                <c:pt idx="11">
                  <c:v>3.8003104660215135E-2</c:v>
                </c:pt>
                <c:pt idx="12">
                  <c:v>4.6743235439749183E-2</c:v>
                </c:pt>
                <c:pt idx="13">
                  <c:v>5.7493462148880133E-2</c:v>
                </c:pt>
                <c:pt idx="14">
                  <c:v>7.0716075998318029E-2</c:v>
                </c:pt>
                <c:pt idx="15">
                  <c:v>8.6979688081124898E-2</c:v>
                </c:pt>
                <c:pt idx="16">
                  <c:v>0.10698368131346811</c:v>
                </c:pt>
                <c:pt idx="17">
                  <c:v>0.13158828594627081</c:v>
                </c:pt>
                <c:pt idx="18">
                  <c:v>0.16185157198266195</c:v>
                </c:pt>
                <c:pt idx="19">
                  <c:v>0.1990749492832582</c:v>
                </c:pt>
                <c:pt idx="20">
                  <c:v>0.24485913199669199</c:v>
                </c:pt>
                <c:pt idx="21">
                  <c:v>0.30117297394926462</c:v>
                </c:pt>
                <c:pt idx="22">
                  <c:v>0.37043813511629847</c:v>
                </c:pt>
                <c:pt idx="23">
                  <c:v>0.4556332200802749</c:v>
                </c:pt>
                <c:pt idx="24">
                  <c:v>0.56042186673276184</c:v>
                </c:pt>
                <c:pt idx="25">
                  <c:v>0.68931029340695338</c:v>
                </c:pt>
                <c:pt idx="26">
                  <c:v>0.84784107942522025</c:v>
                </c:pt>
                <c:pt idx="27">
                  <c:v>1.04283151218722</c:v>
                </c:pt>
                <c:pt idx="28">
                  <c:v>1.2826667504131448</c:v>
                </c:pt>
                <c:pt idx="29">
                  <c:v>1.5776604104077951</c:v>
                </c:pt>
                <c:pt idx="30">
                  <c:v>1.9404980815923405</c:v>
                </c:pt>
                <c:pt idx="31">
                  <c:v>2.3867828437426852</c:v>
                </c:pt>
                <c:pt idx="32">
                  <c:v>2.9357062447314362</c:v>
                </c:pt>
                <c:pt idx="33">
                  <c:v>3.6108735927183351</c:v>
                </c:pt>
                <c:pt idx="34">
                  <c:v>4.4413190526752233</c:v>
                </c:pt>
                <c:pt idx="35">
                  <c:v>5.4627541992255342</c:v>
                </c:pt>
                <c:pt idx="36">
                  <c:v>6.7191037170104515</c:v>
                </c:pt>
                <c:pt idx="37">
                  <c:v>8.2643942878681429</c:v>
                </c:pt>
                <c:pt idx="38">
                  <c:v>10.165077892012851</c:v>
                </c:pt>
                <c:pt idx="39">
                  <c:v>12.502889431222746</c:v>
                </c:pt>
                <c:pt idx="40">
                  <c:v>15.378361559074994</c:v>
                </c:pt>
                <c:pt idx="41">
                  <c:v>18.91514786451804</c:v>
                </c:pt>
                <c:pt idx="42">
                  <c:v>23.265340315759079</c:v>
                </c:pt>
                <c:pt idx="43">
                  <c:v>28.616009626231527</c:v>
                </c:pt>
                <c:pt idx="44">
                  <c:v>35.19724979164328</c:v>
                </c:pt>
                <c:pt idx="45">
                  <c:v>43.292072727850325</c:v>
                </c:pt>
                <c:pt idx="46">
                  <c:v>53.248578494489408</c:v>
                </c:pt>
                <c:pt idx="47">
                  <c:v>65.494924439251562</c:v>
                </c:pt>
                <c:pt idx="48">
                  <c:v>80.557736949018704</c:v>
                </c:pt>
                <c:pt idx="49">
                  <c:v>99.084757520463867</c:v>
                </c:pt>
                <c:pt idx="50">
                  <c:v>121.87269692695214</c:v>
                </c:pt>
                <c:pt idx="51">
                  <c:v>149.90149518581879</c:v>
                </c:pt>
                <c:pt idx="52">
                  <c:v>184.37646044358451</c:v>
                </c:pt>
                <c:pt idx="53">
                  <c:v>226.78009863046995</c:v>
                </c:pt>
                <c:pt idx="54">
                  <c:v>278.93586234186051</c:v>
                </c:pt>
                <c:pt idx="55">
                  <c:v>343.08655977668008</c:v>
                </c:pt>
                <c:pt idx="56">
                  <c:v>421.99079470155039</c:v>
                </c:pt>
                <c:pt idx="57">
                  <c:v>519.04158336315777</c:v>
                </c:pt>
                <c:pt idx="58">
                  <c:v>638.41224728936572</c:v>
                </c:pt>
                <c:pt idx="59">
                  <c:v>785.23585287091305</c:v>
                </c:pt>
                <c:pt idx="60">
                  <c:v>965.82590972495893</c:v>
                </c:pt>
                <c:pt idx="61">
                  <c:v>1187.9478118204017</c:v>
                </c:pt>
                <c:pt idx="62">
                  <c:v>1461.1526839985629</c:v>
                </c:pt>
                <c:pt idx="63">
                  <c:v>1797.1879749432444</c:v>
                </c:pt>
                <c:pt idx="64">
                  <c:v>2210.5024301185022</c:v>
                </c:pt>
                <c:pt idx="65">
                  <c:v>2718.8671249208801</c:v>
                </c:pt>
                <c:pt idx="66">
                  <c:v>3344.1392112411654</c:v>
                </c:pt>
                <c:pt idx="67">
                  <c:v>14240.466046837735</c:v>
                </c:pt>
                <c:pt idx="68">
                  <c:v>60614.309080377287</c:v>
                </c:pt>
                <c:pt idx="69">
                  <c:v>257527.19611388104</c:v>
                </c:pt>
                <c:pt idx="70" formatCode="0.00E+00">
                  <c:v>1085619.683345228</c:v>
                </c:pt>
                <c:pt idx="71" formatCode="0.00E+00">
                  <c:v>4431445.029071982</c:v>
                </c:pt>
                <c:pt idx="72" formatCode="0.00E+00">
                  <c:v>16035542.708068937</c:v>
                </c:pt>
                <c:pt idx="73" formatCode="0.00E+00">
                  <c:v>41634384.055826865</c:v>
                </c:pt>
                <c:pt idx="74" formatCode="0.00E+00">
                  <c:v>66597310.029582888</c:v>
                </c:pt>
                <c:pt idx="75" formatCode="0.00E+00">
                  <c:v>77509164.215956718</c:v>
                </c:pt>
                <c:pt idx="76" formatCode="0.00E+00">
                  <c:v>80610402.310814738</c:v>
                </c:pt>
                <c:pt idx="77" formatCode="0.00E+00">
                  <c:v>81374897.338505015</c:v>
                </c:pt>
                <c:pt idx="78" formatCode="0.00E+00">
                  <c:v>81556509.263075352</c:v>
                </c:pt>
                <c:pt idx="79" formatCode="0.00E+00">
                  <c:v>81599269.719703421</c:v>
                </c:pt>
                <c:pt idx="80" formatCode="0.00E+00">
                  <c:v>81609316.469824836</c:v>
                </c:pt>
                <c:pt idx="81" formatCode="0.00E+00">
                  <c:v>81611675.827475786</c:v>
                </c:pt>
                <c:pt idx="82" formatCode="0.00E+00">
                  <c:v>81612229.829611018</c:v>
                </c:pt>
                <c:pt idx="83" formatCode="0.00E+00">
                  <c:v>81612359.911619559</c:v>
                </c:pt>
                <c:pt idx="84" formatCode="0.00E+00">
                  <c:v>81612390.455221012</c:v>
                </c:pt>
                <c:pt idx="85" formatCode="0.00E+00">
                  <c:v>81612397.626929045</c:v>
                </c:pt>
                <c:pt idx="86" formatCode="0.00E+00">
                  <c:v>81612399.31086202</c:v>
                </c:pt>
                <c:pt idx="87" formatCode="0.00E+00">
                  <c:v>81612399.706253171</c:v>
                </c:pt>
                <c:pt idx="88" formatCode="0.00E+00">
                  <c:v>81612399.799091905</c:v>
                </c:pt>
                <c:pt idx="89" formatCode="0.00E+00">
                  <c:v>81612399.820890635</c:v>
                </c:pt>
                <c:pt idx="90" formatCode="0.00E+00">
                  <c:v>81612399.826009035</c:v>
                </c:pt>
                <c:pt idx="91" formatCode="0.00E+00">
                  <c:v>81612399.827210829</c:v>
                </c:pt>
                <c:pt idx="92" formatCode="0.00E+00">
                  <c:v>81612399.827493012</c:v>
                </c:pt>
                <c:pt idx="93" formatCode="0.00E+00">
                  <c:v>81612399.827559277</c:v>
                </c:pt>
                <c:pt idx="94" formatCode="0.00E+00">
                  <c:v>81612399.827574849</c:v>
                </c:pt>
                <c:pt idx="95" formatCode="0.00E+00">
                  <c:v>81612399.8275785</c:v>
                </c:pt>
                <c:pt idx="96" formatCode="0.00E+00">
                  <c:v>81612399.827579349</c:v>
                </c:pt>
                <c:pt idx="97" formatCode="0.00E+00">
                  <c:v>81612399.827579558</c:v>
                </c:pt>
                <c:pt idx="98" formatCode="0.00E+00">
                  <c:v>81612399.827579603</c:v>
                </c:pt>
                <c:pt idx="99" formatCode="0.00E+00">
                  <c:v>81612399.827579618</c:v>
                </c:pt>
                <c:pt idx="100" formatCode="0.00E+00">
                  <c:v>81612399.827579618</c:v>
                </c:pt>
                <c:pt idx="101" formatCode="0.00E+00">
                  <c:v>81612399.827579618</c:v>
                </c:pt>
                <c:pt idx="102" formatCode="0.00E+00">
                  <c:v>81612399.827579618</c:v>
                </c:pt>
                <c:pt idx="103" formatCode="0.00E+00">
                  <c:v>81612399.827579618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759.93377483443703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35.4 M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4.5535531766999577E-3</c:v>
                </c:pt>
                <c:pt idx="1">
                  <c:v>5.7628421170536383E-3</c:v>
                </c:pt>
                <c:pt idx="2">
                  <c:v>7.293282405423567E-3</c:v>
                </c:pt>
                <c:pt idx="3">
                  <c:v>9.2301623338323369E-3</c:v>
                </c:pt>
                <c:pt idx="4">
                  <c:v>1.1681420240124809E-2</c:v>
                </c:pt>
                <c:pt idx="5">
                  <c:v>1.4783659689681284E-2</c:v>
                </c:pt>
                <c:pt idx="6">
                  <c:v>1.8709762111331484E-2</c:v>
                </c:pt>
                <c:pt idx="7">
                  <c:v>2.3678521124011736E-2</c:v>
                </c:pt>
                <c:pt idx="8">
                  <c:v>2.99668354553707E-2</c:v>
                </c:pt>
                <c:pt idx="9">
                  <c:v>3.7925139938587996E-2</c:v>
                </c:pt>
                <c:pt idx="10">
                  <c:v>4.7996934525095222E-2</c:v>
                </c:pt>
                <c:pt idx="11" formatCode="0.0">
                  <c:v>6.0743499624861835E-2</c:v>
                </c:pt>
                <c:pt idx="12" formatCode="0.0">
                  <c:v>7.6875175109236291E-2</c:v>
                </c:pt>
                <c:pt idx="13" formatCode="0.0">
                  <c:v>9.7290946090677677E-2</c:v>
                </c:pt>
                <c:pt idx="14" formatCode="0.0">
                  <c:v>0.1231285415131909</c:v>
                </c:pt>
                <c:pt idx="15" formatCode="0.0">
                  <c:v>0.15582783744441023</c:v>
                </c:pt>
                <c:pt idx="16" formatCode="0.0">
                  <c:v>0.19721109840362788</c:v>
                </c:pt>
                <c:pt idx="17" formatCode="0.0">
                  <c:v>0.24958452840868098</c:v>
                </c:pt>
                <c:pt idx="18" formatCode="0.0">
                  <c:v>0.31586679097060671</c:v>
                </c:pt>
                <c:pt idx="19" formatCode="0.0">
                  <c:v>0.39975166018766706</c:v>
                </c:pt>
                <c:pt idx="20" formatCode="0.0">
                  <c:v>0.50591386714420916</c:v>
                </c:pt>
                <c:pt idx="21" formatCode="0.0">
                  <c:v>0.64026961300195195</c:v>
                </c:pt>
                <c:pt idx="22" formatCode="0.0">
                  <c:v>0.81030626662816563</c:v>
                </c:pt>
                <c:pt idx="23" formatCode="0.0">
                  <c:v>1.0254996201084248</c:v>
                </c:pt>
                <c:pt idx="24" formatCode="0.0">
                  <c:v>1.2978419548983833</c:v>
                </c:pt>
                <c:pt idx="25" formatCode="0.0">
                  <c:v>1.6425103465954702</c:v>
                </c:pt>
                <c:pt idx="26" formatCode="0.0">
                  <c:v>2.0787124514850777</c:v>
                </c:pt>
                <c:pt idx="27" formatCode="0.0">
                  <c:v>2.6307569086520561</c:v>
                </c:pt>
                <c:pt idx="28" formatCode="0.0">
                  <c:v>3.3294080087187283</c:v>
                </c:pt>
                <c:pt idx="29" formatCode="0.0">
                  <c:v>4.2136001217159489</c:v>
                </c:pt>
                <c:pt idx="30" formatCode="0.0">
                  <c:v>5.332607424991215</c:v>
                </c:pt>
                <c:pt idx="31" formatCode="0.0">
                  <c:v>6.7487898446093473</c:v>
                </c:pt>
                <c:pt idx="32" formatCode="0.0">
                  <c:v>8.5410682342803188</c:v>
                </c:pt>
                <c:pt idx="33" formatCode="0.0">
                  <c:v>10.809322453772698</c:v>
                </c:pt>
                <c:pt idx="34" formatCode="0.0">
                  <c:v>13.679957438485848</c:v>
                </c:pt>
                <c:pt idx="35" formatCode="0.0">
                  <c:v>17.312947439074733</c:v>
                </c:pt>
                <c:pt idx="36" formatCode="0.0">
                  <c:v>21.910750981354443</c:v>
                </c:pt>
                <c:pt idx="37" formatCode="0.0">
                  <c:v>27.729593341628213</c:v>
                </c:pt>
                <c:pt idx="38" formatCode="0.0">
                  <c:v>35.09374525897146</c:v>
                </c:pt>
                <c:pt idx="39" formatCode="0.0">
                  <c:v>44.413593563509593</c:v>
                </c:pt>
                <c:pt idx="40" formatCode="0.0">
                  <c:v>56.208510688785282</c:v>
                </c:pt>
                <c:pt idx="41" formatCode="0.0">
                  <c:v>71.135797425612097</c:v>
                </c:pt>
                <c:pt idx="42" formatCode="0.0">
                  <c:v>90.027311655775421</c:v>
                </c:pt>
                <c:pt idx="43" formatCode="0.0">
                  <c:v>113.93582401839741</c:v>
                </c:pt>
                <c:pt idx="44" formatCode="0.0">
                  <c:v>144.19368334853152</c:v>
                </c:pt>
                <c:pt idx="45" formatCode="0.0">
                  <c:v>182.48706044521339</c:v>
                </c:pt>
                <c:pt idx="46" formatCode="0.0">
                  <c:v>230.94990642498297</c:v>
                </c:pt>
                <c:pt idx="47" formatCode="0.0">
                  <c:v>292.28285985031437</c:v>
                </c:pt>
                <c:pt idx="48" formatCode="0.0">
                  <c:v>369.90372601327908</c:v>
                </c:pt>
                <c:pt idx="49" formatCode="0.0">
                  <c:v>468.13790935938806</c:v>
                </c:pt>
                <c:pt idx="50" formatCode="0.0">
                  <c:v>592.45940358520988</c:v>
                </c:pt>
                <c:pt idx="51" formatCode="0.0">
                  <c:v>749.79575668163716</c:v>
                </c:pt>
                <c:pt idx="52" formatCode="0.0">
                  <c:v>948.91398580034615</c:v>
                </c:pt>
                <c:pt idx="53" formatCode="0.0">
                  <c:v>1200.9089158382224</c:v>
                </c:pt>
                <c:pt idx="54" formatCode="0.0">
                  <c:v>1519.8211040398267</c:v>
                </c:pt>
                <c:pt idx="55" formatCode="0.0">
                  <c:v>1923.418703319609</c:v>
                </c:pt>
                <c:pt idx="56" formatCode="0.0">
                  <c:v>2434.1867030737376</c:v>
                </c:pt>
                <c:pt idx="57" formatCode="0.0">
                  <c:v>3080.5784630685416</c:v>
                </c:pt>
                <c:pt idx="58" formatCode="0.0">
                  <c:v>3898.5989451050768</c:v>
                </c:pt>
                <c:pt idx="59" formatCode="0.0">
                  <c:v>4933.8073271525964</c:v>
                </c:pt>
                <c:pt idx="60" formatCode="0.0">
                  <c:v>6243.8497280346301</c:v>
                </c:pt>
                <c:pt idx="61" formatCode="0.0">
                  <c:v>7901.6617878041752</c:v>
                </c:pt>
                <c:pt idx="62" formatCode="0.0">
                  <c:v>41050.287748443683</c:v>
                </c:pt>
                <c:pt idx="63" formatCode="0.000E+00">
                  <c:v>212428.71810554634</c:v>
                </c:pt>
                <c:pt idx="64" formatCode="0.000E+00">
                  <c:v>1077511.8934844835</c:v>
                </c:pt>
                <c:pt idx="65" formatCode="0.000E+00">
                  <c:v>4968742.3585834075</c:v>
                </c:pt>
                <c:pt idx="66" formatCode="0.000E+00">
                  <c:v>16263314.128525075</c:v>
                </c:pt>
                <c:pt idx="67" formatCode="0.000E+00">
                  <c:v>28893992.949266303</c:v>
                </c:pt>
                <c:pt idx="68" formatCode="0.000E+00">
                  <c:v>33967071.469589993</c:v>
                </c:pt>
                <c:pt idx="69" formatCode="0.000E+00">
                  <c:v>35154028.395889007</c:v>
                </c:pt>
                <c:pt idx="70" formatCode="0.000E+00">
                  <c:v>35391863.591573209</c:v>
                </c:pt>
                <c:pt idx="71" formatCode="0.000E+00">
                  <c:v>35437970.468299642</c:v>
                </c:pt>
                <c:pt idx="72" formatCode="0.000E+00">
                  <c:v>35446850.934582099</c:v>
                </c:pt>
                <c:pt idx="73" formatCode="0.000E+00">
                  <c:v>35448559.223620474</c:v>
                </c:pt>
                <c:pt idx="74" formatCode="0.000E+00">
                  <c:v>35448887.759001203</c:v>
                </c:pt>
                <c:pt idx="75" formatCode="0.000E+00">
                  <c:v>35448950.939461224</c:v>
                </c:pt>
                <c:pt idx="76" formatCode="0.000E+00">
                  <c:v>35448963.089552611</c:v>
                </c:pt>
                <c:pt idx="77" formatCode="0.000E+00">
                  <c:v>35448965.426105201</c:v>
                </c:pt>
                <c:pt idx="78" formatCode="0.000E+00">
                  <c:v>35448965.875441425</c:v>
                </c:pt>
                <c:pt idx="79" formatCode="0.000E+00">
                  <c:v>35448965.961852074</c:v>
                </c:pt>
                <c:pt idx="80" formatCode="0.000E+00">
                  <c:v>35448965.978469484</c:v>
                </c:pt>
                <c:pt idx="81" formatCode="0.000E+00">
                  <c:v>35448965.981665127</c:v>
                </c:pt>
                <c:pt idx="82" formatCode="0.000E+00">
                  <c:v>35448965.982279673</c:v>
                </c:pt>
                <c:pt idx="83" formatCode="0.000E+00">
                  <c:v>35448965.982397854</c:v>
                </c:pt>
                <c:pt idx="84" formatCode="0.000E+00">
                  <c:v>35448965.982420579</c:v>
                </c:pt>
                <c:pt idx="85" formatCode="0.000E+00">
                  <c:v>35448965.982424952</c:v>
                </c:pt>
                <c:pt idx="86" formatCode="0.000E+00">
                  <c:v>35448965.982425794</c:v>
                </c:pt>
                <c:pt idx="87" formatCode="0.000E+00">
                  <c:v>35448965.982425958</c:v>
                </c:pt>
                <c:pt idx="88" formatCode="0.000E+00">
                  <c:v>35448965.98242598</c:v>
                </c:pt>
                <c:pt idx="89" formatCode="0.000E+00">
                  <c:v>35448965.982425988</c:v>
                </c:pt>
                <c:pt idx="90" formatCode="0.000E+00">
                  <c:v>35448965.982425988</c:v>
                </c:pt>
                <c:pt idx="91" formatCode="0.000E+00">
                  <c:v>35448965.982425988</c:v>
                </c:pt>
                <c:pt idx="92" formatCode="0.000E+00">
                  <c:v>35448965.982425988</c:v>
                </c:pt>
                <c:pt idx="93" formatCode="0.000E+00">
                  <c:v>35448965.982425988</c:v>
                </c:pt>
                <c:pt idx="94" formatCode="0.000E+00">
                  <c:v>35448965.982425988</c:v>
                </c:pt>
                <c:pt idx="95" formatCode="0.000E+00">
                  <c:v>35448965.982425988</c:v>
                </c:pt>
                <c:pt idx="96" formatCode="0.000E+00">
                  <c:v>35448965.982425988</c:v>
                </c:pt>
                <c:pt idx="97" formatCode="0.000E+00">
                  <c:v>35448965.982425988</c:v>
                </c:pt>
                <c:pt idx="98" formatCode="0.000E+00">
                  <c:v>35448965.982425988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16136"/>
        <c:axId val="747417704"/>
      </c:scatterChart>
      <c:valAx>
        <c:axId val="747416136"/>
        <c:scaling>
          <c:orientation val="minMax"/>
          <c:max val="4395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7704"/>
        <c:crossesAt val="1.0000000000000002E-2"/>
        <c:crossBetween val="midCat"/>
        <c:majorUnit val="7"/>
        <c:minorUnit val="3.5"/>
      </c:valAx>
      <c:valAx>
        <c:axId val="74741770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6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myData!$CH$17</c:f>
          <c:strCache>
            <c:ptCount val="1"/>
            <c:pt idx="0">
              <c:v>COVID19 UK P(t) = b / {d+[( b/Po - d ) ]* exp(-b*t)}
b=0.236, d=1.00E-09, P0=.0303 Limit=35.4 M
 21-Mar, Cases per 10 M population
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759.93377483443703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35.4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4.5535531766999577E-3</c:v>
                </c:pt>
                <c:pt idx="1">
                  <c:v>5.7628421170536383E-3</c:v>
                </c:pt>
                <c:pt idx="2">
                  <c:v>7.293282405423567E-3</c:v>
                </c:pt>
                <c:pt idx="3">
                  <c:v>9.2301623338323369E-3</c:v>
                </c:pt>
                <c:pt idx="4">
                  <c:v>1.1681420240124809E-2</c:v>
                </c:pt>
                <c:pt idx="5">
                  <c:v>1.4783659689681284E-2</c:v>
                </c:pt>
                <c:pt idx="6">
                  <c:v>1.8709762111331484E-2</c:v>
                </c:pt>
                <c:pt idx="7">
                  <c:v>2.3678521124011736E-2</c:v>
                </c:pt>
                <c:pt idx="8">
                  <c:v>2.99668354553707E-2</c:v>
                </c:pt>
                <c:pt idx="9">
                  <c:v>3.7925139938587996E-2</c:v>
                </c:pt>
                <c:pt idx="10">
                  <c:v>4.7996934525095222E-2</c:v>
                </c:pt>
                <c:pt idx="11" formatCode="0.0">
                  <c:v>6.0743499624861835E-2</c:v>
                </c:pt>
                <c:pt idx="12" formatCode="0.0">
                  <c:v>7.6875175109236291E-2</c:v>
                </c:pt>
                <c:pt idx="13" formatCode="0.0">
                  <c:v>9.7290946090677677E-2</c:v>
                </c:pt>
                <c:pt idx="14" formatCode="0.0">
                  <c:v>0.1231285415131909</c:v>
                </c:pt>
                <c:pt idx="15" formatCode="0.0">
                  <c:v>0.15582783744441023</c:v>
                </c:pt>
                <c:pt idx="16" formatCode="0.0">
                  <c:v>0.19721109840362788</c:v>
                </c:pt>
                <c:pt idx="17" formatCode="0.0">
                  <c:v>0.24958452840868098</c:v>
                </c:pt>
                <c:pt idx="18" formatCode="0.0">
                  <c:v>0.31586679097060671</c:v>
                </c:pt>
                <c:pt idx="19" formatCode="0.0">
                  <c:v>0.39975166018766706</c:v>
                </c:pt>
                <c:pt idx="20" formatCode="0.0">
                  <c:v>0.50591386714420916</c:v>
                </c:pt>
                <c:pt idx="21" formatCode="0.0">
                  <c:v>0.64026961300195195</c:v>
                </c:pt>
                <c:pt idx="22" formatCode="0.0">
                  <c:v>0.81030626662816563</c:v>
                </c:pt>
                <c:pt idx="23" formatCode="0.0">
                  <c:v>1.0254996201084248</c:v>
                </c:pt>
                <c:pt idx="24" formatCode="0.0">
                  <c:v>1.2978419548983833</c:v>
                </c:pt>
                <c:pt idx="25" formatCode="0.0">
                  <c:v>1.6425103465954702</c:v>
                </c:pt>
                <c:pt idx="26" formatCode="0.0">
                  <c:v>2.0787124514850777</c:v>
                </c:pt>
                <c:pt idx="27" formatCode="0.0">
                  <c:v>2.6307569086520561</c:v>
                </c:pt>
                <c:pt idx="28" formatCode="0.0">
                  <c:v>3.3294080087187283</c:v>
                </c:pt>
                <c:pt idx="29" formatCode="0.0">
                  <c:v>4.2136001217159489</c:v>
                </c:pt>
                <c:pt idx="30" formatCode="0.0">
                  <c:v>5.332607424991215</c:v>
                </c:pt>
                <c:pt idx="31" formatCode="0.0">
                  <c:v>6.7487898446093473</c:v>
                </c:pt>
                <c:pt idx="32" formatCode="0.0">
                  <c:v>8.5410682342803188</c:v>
                </c:pt>
                <c:pt idx="33" formatCode="0.0">
                  <c:v>10.809322453772698</c:v>
                </c:pt>
                <c:pt idx="34" formatCode="0.0">
                  <c:v>13.679957438485848</c:v>
                </c:pt>
                <c:pt idx="35" formatCode="0.0">
                  <c:v>17.312947439074733</c:v>
                </c:pt>
                <c:pt idx="36" formatCode="0.0">
                  <c:v>21.910750981354443</c:v>
                </c:pt>
                <c:pt idx="37" formatCode="0.0">
                  <c:v>27.729593341628213</c:v>
                </c:pt>
                <c:pt idx="38" formatCode="0.0">
                  <c:v>35.09374525897146</c:v>
                </c:pt>
                <c:pt idx="39" formatCode="0.0">
                  <c:v>44.413593563509593</c:v>
                </c:pt>
                <c:pt idx="40" formatCode="0.0">
                  <c:v>56.208510688785282</c:v>
                </c:pt>
                <c:pt idx="41" formatCode="0.0">
                  <c:v>71.135797425612097</c:v>
                </c:pt>
                <c:pt idx="42" formatCode="0.0">
                  <c:v>90.027311655775421</c:v>
                </c:pt>
                <c:pt idx="43" formatCode="0.0">
                  <c:v>113.93582401839741</c:v>
                </c:pt>
                <c:pt idx="44" formatCode="0.0">
                  <c:v>144.19368334853152</c:v>
                </c:pt>
                <c:pt idx="45" formatCode="0.0">
                  <c:v>182.48706044521339</c:v>
                </c:pt>
                <c:pt idx="46" formatCode="0.0">
                  <c:v>230.94990642498297</c:v>
                </c:pt>
                <c:pt idx="47" formatCode="0.0">
                  <c:v>292.28285985031437</c:v>
                </c:pt>
                <c:pt idx="48" formatCode="0.0">
                  <c:v>369.90372601327908</c:v>
                </c:pt>
                <c:pt idx="49" formatCode="0.0">
                  <c:v>468.13790935938806</c:v>
                </c:pt>
                <c:pt idx="50" formatCode="0.0">
                  <c:v>592.45940358520988</c:v>
                </c:pt>
                <c:pt idx="51" formatCode="0.0">
                  <c:v>749.79575668163716</c:v>
                </c:pt>
                <c:pt idx="52" formatCode="0.0">
                  <c:v>948.91398580034615</c:v>
                </c:pt>
                <c:pt idx="53" formatCode="0.0">
                  <c:v>1200.9089158382224</c:v>
                </c:pt>
                <c:pt idx="54" formatCode="0.0">
                  <c:v>1519.8211040398267</c:v>
                </c:pt>
                <c:pt idx="55" formatCode="0.0">
                  <c:v>1923.418703319609</c:v>
                </c:pt>
                <c:pt idx="56" formatCode="0.0">
                  <c:v>2434.1867030737376</c:v>
                </c:pt>
                <c:pt idx="57" formatCode="0.0">
                  <c:v>3080.5784630685416</c:v>
                </c:pt>
                <c:pt idx="58" formatCode="0.0">
                  <c:v>3898.5989451050768</c:v>
                </c:pt>
                <c:pt idx="59" formatCode="0.0">
                  <c:v>4933.8073271525964</c:v>
                </c:pt>
                <c:pt idx="60" formatCode="0.0">
                  <c:v>6243.8497280346301</c:v>
                </c:pt>
                <c:pt idx="61" formatCode="0.0">
                  <c:v>7901.6617878041752</c:v>
                </c:pt>
                <c:pt idx="62" formatCode="0.0">
                  <c:v>41050.287748443683</c:v>
                </c:pt>
                <c:pt idx="63" formatCode="0.000E+00">
                  <c:v>212428.71810554634</c:v>
                </c:pt>
                <c:pt idx="64" formatCode="0.000E+00">
                  <c:v>1077511.8934844835</c:v>
                </c:pt>
                <c:pt idx="65" formatCode="0.000E+00">
                  <c:v>4968742.3585834075</c:v>
                </c:pt>
                <c:pt idx="66" formatCode="0.000E+00">
                  <c:v>16263314.128525075</c:v>
                </c:pt>
                <c:pt idx="67" formatCode="0.000E+00">
                  <c:v>28893992.949266303</c:v>
                </c:pt>
                <c:pt idx="68" formatCode="0.000E+00">
                  <c:v>33967071.469589993</c:v>
                </c:pt>
                <c:pt idx="69" formatCode="0.000E+00">
                  <c:v>35154028.395889007</c:v>
                </c:pt>
                <c:pt idx="70" formatCode="0.000E+00">
                  <c:v>35391863.591573209</c:v>
                </c:pt>
                <c:pt idx="71" formatCode="0.000E+00">
                  <c:v>35437970.468299642</c:v>
                </c:pt>
                <c:pt idx="72" formatCode="0.000E+00">
                  <c:v>35446850.934582099</c:v>
                </c:pt>
                <c:pt idx="73" formatCode="0.000E+00">
                  <c:v>35448559.223620474</c:v>
                </c:pt>
                <c:pt idx="74" formatCode="0.000E+00">
                  <c:v>35448887.759001203</c:v>
                </c:pt>
                <c:pt idx="75" formatCode="0.000E+00">
                  <c:v>35448950.939461224</c:v>
                </c:pt>
                <c:pt idx="76" formatCode="0.000E+00">
                  <c:v>35448963.089552611</c:v>
                </c:pt>
                <c:pt idx="77" formatCode="0.000E+00">
                  <c:v>35448965.426105201</c:v>
                </c:pt>
                <c:pt idx="78" formatCode="0.000E+00">
                  <c:v>35448965.875441425</c:v>
                </c:pt>
                <c:pt idx="79" formatCode="0.000E+00">
                  <c:v>35448965.961852074</c:v>
                </c:pt>
                <c:pt idx="80" formatCode="0.000E+00">
                  <c:v>35448965.978469484</c:v>
                </c:pt>
                <c:pt idx="81" formatCode="0.000E+00">
                  <c:v>35448965.981665127</c:v>
                </c:pt>
                <c:pt idx="82" formatCode="0.000E+00">
                  <c:v>35448965.982279673</c:v>
                </c:pt>
                <c:pt idx="83" formatCode="0.000E+00">
                  <c:v>35448965.982397854</c:v>
                </c:pt>
                <c:pt idx="84" formatCode="0.000E+00">
                  <c:v>35448965.982420579</c:v>
                </c:pt>
                <c:pt idx="85" formatCode="0.000E+00">
                  <c:v>35448965.982424952</c:v>
                </c:pt>
                <c:pt idx="86" formatCode="0.000E+00">
                  <c:v>35448965.982425794</c:v>
                </c:pt>
                <c:pt idx="87" formatCode="0.000E+00">
                  <c:v>35448965.982425958</c:v>
                </c:pt>
                <c:pt idx="88" formatCode="0.000E+00">
                  <c:v>35448965.98242598</c:v>
                </c:pt>
                <c:pt idx="89" formatCode="0.000E+00">
                  <c:v>35448965.982425988</c:v>
                </c:pt>
                <c:pt idx="90" formatCode="0.000E+00">
                  <c:v>35448965.982425988</c:v>
                </c:pt>
                <c:pt idx="91" formatCode="0.000E+00">
                  <c:v>35448965.982425988</c:v>
                </c:pt>
                <c:pt idx="92" formatCode="0.000E+00">
                  <c:v>35448965.982425988</c:v>
                </c:pt>
                <c:pt idx="93" formatCode="0.000E+00">
                  <c:v>35448965.982425988</c:v>
                </c:pt>
                <c:pt idx="94" formatCode="0.000E+00">
                  <c:v>35448965.982425988</c:v>
                </c:pt>
                <c:pt idx="95" formatCode="0.000E+00">
                  <c:v>35448965.982425988</c:v>
                </c:pt>
                <c:pt idx="96" formatCode="0.000E+00">
                  <c:v>35448965.982425988</c:v>
                </c:pt>
                <c:pt idx="97" formatCode="0.000E+00">
                  <c:v>35448965.982425988</c:v>
                </c:pt>
                <c:pt idx="98" formatCode="0.000E+00">
                  <c:v>35448965.982425988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19272"/>
        <c:axId val="747401240"/>
      </c:scatterChart>
      <c:valAx>
        <c:axId val="74741927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1240"/>
        <c:crossesAt val="0.1"/>
        <c:crossBetween val="midCat"/>
        <c:majorUnit val="14"/>
        <c:minorUnit val="7"/>
      </c:valAx>
      <c:valAx>
        <c:axId val="74740124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19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myData!$CH$16</c:f>
          <c:strCache>
            <c:ptCount val="1"/>
            <c:pt idx="0">
              <c:v>COVID19 Skorea P(t) = b / {d+[( b/Po - d ) ]* exp(-b*t)}
b=0.321, d=3.83E-05, P0=182.7881 Limit=1.63 k
 21-Mar, Cases per 10 M population
log fit from 19th Feb 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60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  <c:pt idx="59">
                  <c:v>1711.8677042801557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1.63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35.56187880500358</c:v>
                </c:pt>
                <c:pt idx="29" formatCode="0.0">
                  <c:v>48.597317451390118</c:v>
                </c:pt>
                <c:pt idx="30" formatCode="0.0">
                  <c:v>66.21255094000918</c:v>
                </c:pt>
                <c:pt idx="31" formatCode="0.0">
                  <c:v>89.850052751350518</c:v>
                </c:pt>
                <c:pt idx="32" formatCode="0.0">
                  <c:v>121.27159293379358</c:v>
                </c:pt>
                <c:pt idx="33" formatCode="0.0">
                  <c:v>162.52202338785148</c:v>
                </c:pt>
                <c:pt idx="34" formatCode="0.0">
                  <c:v>215.79678328078049</c:v>
                </c:pt>
                <c:pt idx="35" formatCode="0.0">
                  <c:v>283.16518990325443</c:v>
                </c:pt>
                <c:pt idx="36" formatCode="0.0">
                  <c:v>366.12007925173617</c:v>
                </c:pt>
                <c:pt idx="37" formatCode="0.0">
                  <c:v>464.98672809968576</c:v>
                </c:pt>
                <c:pt idx="38" formatCode="0.0">
                  <c:v>578.33434115485807</c:v>
                </c:pt>
                <c:pt idx="39" formatCode="0.0">
                  <c:v>702.64727624973023</c:v>
                </c:pt>
                <c:pt idx="40" formatCode="0.0">
                  <c:v>832.52751092920232</c:v>
                </c:pt>
                <c:pt idx="41" formatCode="0.0">
                  <c:v>961.52230809120499</c:v>
                </c:pt>
                <c:pt idx="42" formatCode="0.0">
                  <c:v>1083.3511072465767</c:v>
                </c:pt>
                <c:pt idx="43" formatCode="0.0">
                  <c:v>1193.0650587897615</c:v>
                </c:pt>
                <c:pt idx="44" formatCode="0.0">
                  <c:v>1287.7148032209047</c:v>
                </c:pt>
                <c:pt idx="45" formatCode="0.0">
                  <c:v>1366.3898630813228</c:v>
                </c:pt>
                <c:pt idx="46" formatCode="0.0">
                  <c:v>1429.7910059103297</c:v>
                </c:pt>
                <c:pt idx="47" formatCode="0.0">
                  <c:v>1479.6197221058505</c:v>
                </c:pt>
                <c:pt idx="48" formatCode="0.0">
                  <c:v>1518.0161353072315</c:v>
                </c:pt>
                <c:pt idx="49" formatCode="0.0">
                  <c:v>1547.155606921461</c:v>
                </c:pt>
                <c:pt idx="50" formatCode="0.0">
                  <c:v>1569.0150720840952</c:v>
                </c:pt>
                <c:pt idx="51" formatCode="0.0">
                  <c:v>1585.271167087775</c:v>
                </c:pt>
                <c:pt idx="52" formatCode="0.0">
                  <c:v>1597.282131445935</c:v>
                </c:pt>
                <c:pt idx="53" formatCode="0.0">
                  <c:v>1606.1141067448821</c:v>
                </c:pt>
                <c:pt idx="54" formatCode="0.0">
                  <c:v>1612.5856242165689</c:v>
                </c:pt>
                <c:pt idx="55" formatCode="0.0">
                  <c:v>1617.3153020429343</c:v>
                </c:pt>
                <c:pt idx="56" formatCode="0.0">
                  <c:v>1620.7654369188961</c:v>
                </c:pt>
                <c:pt idx="57" formatCode="0.0">
                  <c:v>1623.2787211423577</c:v>
                </c:pt>
                <c:pt idx="58" formatCode="0.0">
                  <c:v>1625.107708570953</c:v>
                </c:pt>
                <c:pt idx="59" formatCode="0.0">
                  <c:v>1626.4377409070364</c:v>
                </c:pt>
                <c:pt idx="60" formatCode="0.0">
                  <c:v>1627.4044207714981</c:v>
                </c:pt>
                <c:pt idx="61" formatCode="0.0">
                  <c:v>1628.1067410937494</c:v>
                </c:pt>
                <c:pt idx="62" formatCode="0.0">
                  <c:v>1628.6168533993286</c:v>
                </c:pt>
                <c:pt idx="63" formatCode="0.0">
                  <c:v>1628.9872847642528</c:v>
                </c:pt>
                <c:pt idx="64" formatCode="0.0">
                  <c:v>1629.2562433130222</c:v>
                </c:pt>
                <c:pt idx="65" formatCode="0.0">
                  <c:v>1629.4515046369763</c:v>
                </c:pt>
                <c:pt idx="66" formatCode="0.0">
                  <c:v>1629.5932514114131</c:v>
                </c:pt>
                <c:pt idx="67" formatCode="0.0">
                  <c:v>1629.6961443368239</c:v>
                </c:pt>
                <c:pt idx="68" formatCode="0.0">
                  <c:v>1629.7708304691669</c:v>
                </c:pt>
                <c:pt idx="69" formatCode="0.0">
                  <c:v>1629.8250407240903</c:v>
                </c:pt>
                <c:pt idx="70" formatCode="0.0">
                  <c:v>1629.9533152558311</c:v>
                </c:pt>
                <c:pt idx="71" formatCode="0.0">
                  <c:v>1629.966924316979</c:v>
                </c:pt>
                <c:pt idx="72" formatCode="0.0">
                  <c:v>1629.9683680340706</c:v>
                </c:pt>
                <c:pt idx="73" formatCode="0.0">
                  <c:v>1629.9685211895171</c:v>
                </c:pt>
                <c:pt idx="74" formatCode="0.0">
                  <c:v>1629.9685374368628</c:v>
                </c:pt>
                <c:pt idx="75" formatCode="0.0">
                  <c:v>1629.9685391604462</c:v>
                </c:pt>
                <c:pt idx="76" formatCode="0.0">
                  <c:v>1629.9685393432906</c:v>
                </c:pt>
                <c:pt idx="77" formatCode="0.0">
                  <c:v>1629.9685393626876</c:v>
                </c:pt>
                <c:pt idx="78" formatCode="0.0">
                  <c:v>1629.9685393647451</c:v>
                </c:pt>
                <c:pt idx="79" formatCode="0.0">
                  <c:v>1629.9685393649636</c:v>
                </c:pt>
                <c:pt idx="80" formatCode="0.0">
                  <c:v>1629.9685393649866</c:v>
                </c:pt>
                <c:pt idx="81" formatCode="0.0">
                  <c:v>1629.9685393649893</c:v>
                </c:pt>
                <c:pt idx="82" formatCode="0.0">
                  <c:v>1629.9685393649897</c:v>
                </c:pt>
                <c:pt idx="83" formatCode="0.0">
                  <c:v>1629.9685393649897</c:v>
                </c:pt>
                <c:pt idx="84" formatCode="0.0">
                  <c:v>1629.9685393649897</c:v>
                </c:pt>
                <c:pt idx="85" formatCode="0.0">
                  <c:v>1629.9685393649897</c:v>
                </c:pt>
                <c:pt idx="86" formatCode="0.0">
                  <c:v>1629.9685393649897</c:v>
                </c:pt>
                <c:pt idx="87" formatCode="0.0">
                  <c:v>1629.9685393649897</c:v>
                </c:pt>
                <c:pt idx="88" formatCode="0.0">
                  <c:v>1629.9685393649897</c:v>
                </c:pt>
                <c:pt idx="89" formatCode="0.0">
                  <c:v>1629.9685393649897</c:v>
                </c:pt>
                <c:pt idx="90" formatCode="0.0">
                  <c:v>1629.9685393649897</c:v>
                </c:pt>
                <c:pt idx="91" formatCode="0.0">
                  <c:v>1629.9685393649897</c:v>
                </c:pt>
                <c:pt idx="92" formatCode="0.0">
                  <c:v>1629.9685393649897</c:v>
                </c:pt>
                <c:pt idx="93" formatCode="0.0">
                  <c:v>1629.9685393649897</c:v>
                </c:pt>
                <c:pt idx="94" formatCode="0.0">
                  <c:v>1629.9685393649897</c:v>
                </c:pt>
                <c:pt idx="95" formatCode="0.0">
                  <c:v>1629.9685393649897</c:v>
                </c:pt>
                <c:pt idx="96" formatCode="0.0">
                  <c:v>1629.9685393649897</c:v>
                </c:pt>
                <c:pt idx="97" formatCode="0.0">
                  <c:v>1629.9685393649897</c:v>
                </c:pt>
                <c:pt idx="98" formatCode="0.0">
                  <c:v>1629.9685393649897</c:v>
                </c:pt>
                <c:pt idx="99" formatCode="0.0">
                  <c:v>1629.9685393649897</c:v>
                </c:pt>
                <c:pt idx="100" formatCode="0.0">
                  <c:v>1629.9685393649897</c:v>
                </c:pt>
                <c:pt idx="101" formatCode="0.0">
                  <c:v>1629.9685393649897</c:v>
                </c:pt>
                <c:pt idx="102" formatCode="0.0">
                  <c:v>1629.9685393649897</c:v>
                </c:pt>
                <c:pt idx="103" formatCode="0.0">
                  <c:v>1629.9685393649897</c:v>
                </c:pt>
                <c:pt idx="104" formatCode="0.0">
                  <c:v>1629.9685393649897</c:v>
                </c:pt>
                <c:pt idx="105" formatCode="0.0">
                  <c:v>1629.9685393649897</c:v>
                </c:pt>
                <c:pt idx="106" formatCode="0.0">
                  <c:v>1629.9685393649897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1440"/>
        <c:axId val="747399672"/>
      </c:scatterChart>
      <c:valAx>
        <c:axId val="74739144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9672"/>
        <c:crossesAt val="0.1"/>
        <c:crossBetween val="midCat"/>
        <c:majorUnit val="14"/>
        <c:minorUnit val="7"/>
      </c:valAx>
      <c:valAx>
        <c:axId val="74739967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myData!$DZ$13</c:f>
          <c:strCache>
            <c:ptCount val="1"/>
            <c:pt idx="0">
              <c:v>Australia Limit 80.2 k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11.7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5.1939309706575023E-4</c:v>
                </c:pt>
                <c:pt idx="1">
                  <c:v>7.3535713729447002E-4</c:v>
                </c:pt>
                <c:pt idx="2">
                  <c:v>1.0411191798039557E-3</c:v>
                </c:pt>
                <c:pt idx="3">
                  <c:v>1.4740172900834167E-3</c:v>
                </c:pt>
                <c:pt idx="4">
                  <c:v>2.0869147165202746E-3</c:v>
                </c:pt>
                <c:pt idx="5">
                  <c:v>2.9546552596857178E-3</c:v>
                </c:pt>
                <c:pt idx="6">
                  <c:v>4.1832027752876106E-3</c:v>
                </c:pt>
                <c:pt idx="7">
                  <c:v>5.9225808616917537E-3</c:v>
                </c:pt>
                <c:pt idx="8">
                  <c:v>8.3851928237167576E-3</c:v>
                </c:pt>
                <c:pt idx="9">
                  <c:v>1.1871758979647684E-2</c:v>
                </c:pt>
                <c:pt idx="10">
                  <c:v>1.6808038496223157E-2</c:v>
                </c:pt>
                <c:pt idx="11">
                  <c:v>2.379681974124977E-2</c:v>
                </c:pt>
                <c:pt idx="12">
                  <c:v>3.3691527363406748E-2</c:v>
                </c:pt>
                <c:pt idx="13">
                  <c:v>4.7700433445312898E-2</c:v>
                </c:pt>
                <c:pt idx="14">
                  <c:v>6.7534196111460928E-2</c:v>
                </c:pt>
                <c:pt idx="15">
                  <c:v>9.5614737540640676E-2</c:v>
                </c:pt>
                <c:pt idx="16">
                  <c:v>0.13537095905916757</c:v>
                </c:pt>
                <c:pt idx="17">
                  <c:v>0.19165738561687881</c:v>
                </c:pt>
                <c:pt idx="18">
                  <c:v>0.27134682446720604</c:v>
                </c:pt>
                <c:pt idx="19">
                  <c:v>0.38416933454224367</c:v>
                </c:pt>
                <c:pt idx="20">
                  <c:v>0.54389980494929346</c:v>
                </c:pt>
                <c:pt idx="21">
                  <c:v>0.77003885853597409</c:v>
                </c:pt>
                <c:pt idx="22">
                  <c:v>1.090191732520575</c:v>
                </c:pt>
                <c:pt idx="23">
                  <c:v>1.5434344078612714</c:v>
                </c:pt>
                <c:pt idx="24">
                  <c:v>2.1850755872644734</c:v>
                </c:pt>
                <c:pt idx="25">
                  <c:v>3.0933911128204263</c:v>
                </c:pt>
                <c:pt idx="26">
                  <c:v>4.3791433468644643</c:v>
                </c:pt>
                <c:pt idx="27">
                  <c:v>6.1990282539877812</c:v>
                </c:pt>
                <c:pt idx="28">
                  <c:v>8.7746528066509235</c:v>
                </c:pt>
                <c:pt idx="29">
                  <c:v>12.419281204754858</c:v>
                </c:pt>
                <c:pt idx="30">
                  <c:v>17.575458299482364</c:v>
                </c:pt>
                <c:pt idx="31">
                  <c:v>24.867789864480415</c:v>
                </c:pt>
                <c:pt idx="32">
                  <c:v>35.176698076893459</c:v>
                </c:pt>
                <c:pt idx="33">
                  <c:v>49.740913505960641</c:v>
                </c:pt>
                <c:pt idx="34">
                  <c:v>70.298754790207354</c:v>
                </c:pt>
                <c:pt idx="35">
                  <c:v>99.280596774584296</c:v>
                </c:pt>
                <c:pt idx="36">
                  <c:v>140.06655265133503</c:v>
                </c:pt>
                <c:pt idx="37">
                  <c:v>197.3225229807837</c:v>
                </c:pt>
                <c:pt idx="38">
                  <c:v>277.4208099355933</c:v>
                </c:pt>
                <c:pt idx="39">
                  <c:v>388.93187322978514</c:v>
                </c:pt>
                <c:pt idx="40">
                  <c:v>543.13072838735138</c:v>
                </c:pt>
                <c:pt idx="41">
                  <c:v>754.38027911257598</c:v>
                </c:pt>
                <c:pt idx="42">
                  <c:v>1040.1219088204857</c:v>
                </c:pt>
                <c:pt idx="43">
                  <c:v>1420.0300244852715</c:v>
                </c:pt>
                <c:pt idx="44">
                  <c:v>1913.7449213134591</c:v>
                </c:pt>
                <c:pt idx="45">
                  <c:v>2536.6789637973052</c:v>
                </c:pt>
                <c:pt idx="46">
                  <c:v>3293.9987357745918</c:v>
                </c:pt>
                <c:pt idx="47">
                  <c:v>4174.2074665624359</c:v>
                </c:pt>
                <c:pt idx="48">
                  <c:v>5145.3280696729407</c:v>
                </c:pt>
                <c:pt idx="49">
                  <c:v>6157.0737157801932</c:v>
                </c:pt>
                <c:pt idx="50">
                  <c:v>7150.1199110869984</c:v>
                </c:pt>
                <c:pt idx="51">
                  <c:v>8069.3673742177816</c:v>
                </c:pt>
                <c:pt idx="52">
                  <c:v>11239.931709842973</c:v>
                </c:pt>
                <c:pt idx="53">
                  <c:v>11641.051669124874</c:v>
                </c:pt>
                <c:pt idx="54">
                  <c:v>11677.598448443943</c:v>
                </c:pt>
                <c:pt idx="55">
                  <c:v>11680.814440685926</c:v>
                </c:pt>
                <c:pt idx="56">
                  <c:v>11681.096558196285</c:v>
                </c:pt>
                <c:pt idx="57">
                  <c:v>11681.121299719023</c:v>
                </c:pt>
                <c:pt idx="58">
                  <c:v>11681.123469482523</c:v>
                </c:pt>
                <c:pt idx="59">
                  <c:v>11681.123659764415</c:v>
                </c:pt>
                <c:pt idx="60">
                  <c:v>11681.123676451576</c:v>
                </c:pt>
                <c:pt idx="61">
                  <c:v>11681.123677914991</c:v>
                </c:pt>
                <c:pt idx="62">
                  <c:v>11681.123678043328</c:v>
                </c:pt>
                <c:pt idx="63">
                  <c:v>11681.123678054582</c:v>
                </c:pt>
                <c:pt idx="64">
                  <c:v>11681.12367805557</c:v>
                </c:pt>
                <c:pt idx="65">
                  <c:v>11681.123678055657</c:v>
                </c:pt>
                <c:pt idx="66">
                  <c:v>11681.123678055663</c:v>
                </c:pt>
                <c:pt idx="67">
                  <c:v>11681.123678055663</c:v>
                </c:pt>
                <c:pt idx="68">
                  <c:v>11681.123678055663</c:v>
                </c:pt>
                <c:pt idx="69">
                  <c:v>11681.123678055663</c:v>
                </c:pt>
                <c:pt idx="70">
                  <c:v>11681.123678055663</c:v>
                </c:pt>
                <c:pt idx="71">
                  <c:v>11681.123678055663</c:v>
                </c:pt>
                <c:pt idx="72">
                  <c:v>11681.123678055663</c:v>
                </c:pt>
                <c:pt idx="73">
                  <c:v>11681.123678055663</c:v>
                </c:pt>
                <c:pt idx="74">
                  <c:v>11681.123678055663</c:v>
                </c:pt>
                <c:pt idx="75">
                  <c:v>11681.123678055663</c:v>
                </c:pt>
                <c:pt idx="76">
                  <c:v>11681.123678055663</c:v>
                </c:pt>
                <c:pt idx="77">
                  <c:v>11681.123678055663</c:v>
                </c:pt>
                <c:pt idx="78">
                  <c:v>11681.123678055663</c:v>
                </c:pt>
                <c:pt idx="79">
                  <c:v>11681.123678055663</c:v>
                </c:pt>
                <c:pt idx="80">
                  <c:v>11681.123678055663</c:v>
                </c:pt>
                <c:pt idx="81">
                  <c:v>11681.123678055663</c:v>
                </c:pt>
                <c:pt idx="82">
                  <c:v>11681.123678055663</c:v>
                </c:pt>
                <c:pt idx="83">
                  <c:v>11681.123678055663</c:v>
                </c:pt>
                <c:pt idx="84">
                  <c:v>11681.123678055663</c:v>
                </c:pt>
                <c:pt idx="85">
                  <c:v>11681.123678055663</c:v>
                </c:pt>
                <c:pt idx="86">
                  <c:v>11681.123678055663</c:v>
                </c:pt>
                <c:pt idx="87">
                  <c:v>11681.123678055663</c:v>
                </c:pt>
                <c:pt idx="88">
                  <c:v>11681.123678055663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02808"/>
        <c:axId val="747398104"/>
      </c:scatterChart>
      <c:valAx>
        <c:axId val="747402808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8104"/>
        <c:crossesAt val="1.0000000000000002E-2"/>
        <c:crossBetween val="midCat"/>
        <c:majorUnit val="14"/>
        <c:minorUnit val="7"/>
      </c:valAx>
      <c:valAx>
        <c:axId val="747398104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2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myData!$DZ$12</c:f>
          <c:strCache>
            <c:ptCount val="1"/>
            <c:pt idx="0">
              <c:v>Australia Limit 782 M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11.7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5.1939309706575023E-4</c:v>
                </c:pt>
                <c:pt idx="1">
                  <c:v>7.3535713729447002E-4</c:v>
                </c:pt>
                <c:pt idx="2">
                  <c:v>1.0411191798039557E-3</c:v>
                </c:pt>
                <c:pt idx="3">
                  <c:v>1.4740172900834167E-3</c:v>
                </c:pt>
                <c:pt idx="4">
                  <c:v>2.0869147165202746E-3</c:v>
                </c:pt>
                <c:pt idx="5">
                  <c:v>2.9546552596857178E-3</c:v>
                </c:pt>
                <c:pt idx="6">
                  <c:v>4.1832027752876106E-3</c:v>
                </c:pt>
                <c:pt idx="7">
                  <c:v>5.9225808616917537E-3</c:v>
                </c:pt>
                <c:pt idx="8">
                  <c:v>8.3851928237167576E-3</c:v>
                </c:pt>
                <c:pt idx="9">
                  <c:v>1.1871758979647684E-2</c:v>
                </c:pt>
                <c:pt idx="10">
                  <c:v>1.6808038496223157E-2</c:v>
                </c:pt>
                <c:pt idx="11">
                  <c:v>2.379681974124977E-2</c:v>
                </c:pt>
                <c:pt idx="12">
                  <c:v>3.3691527363406748E-2</c:v>
                </c:pt>
                <c:pt idx="13">
                  <c:v>4.7700433445312898E-2</c:v>
                </c:pt>
                <c:pt idx="14">
                  <c:v>6.7534196111460928E-2</c:v>
                </c:pt>
                <c:pt idx="15">
                  <c:v>9.5614737540640676E-2</c:v>
                </c:pt>
                <c:pt idx="16">
                  <c:v>0.13537095905916757</c:v>
                </c:pt>
                <c:pt idx="17">
                  <c:v>0.19165738561687881</c:v>
                </c:pt>
                <c:pt idx="18">
                  <c:v>0.27134682446720604</c:v>
                </c:pt>
                <c:pt idx="19">
                  <c:v>0.38416933454224367</c:v>
                </c:pt>
                <c:pt idx="20">
                  <c:v>0.54389980494929346</c:v>
                </c:pt>
                <c:pt idx="21">
                  <c:v>0.77003885853597409</c:v>
                </c:pt>
                <c:pt idx="22">
                  <c:v>1.090191732520575</c:v>
                </c:pt>
                <c:pt idx="23">
                  <c:v>1.5434344078612714</c:v>
                </c:pt>
                <c:pt idx="24">
                  <c:v>2.1850755872644734</c:v>
                </c:pt>
                <c:pt idx="25">
                  <c:v>3.0933911128204263</c:v>
                </c:pt>
                <c:pt idx="26">
                  <c:v>4.3791433468644643</c:v>
                </c:pt>
                <c:pt idx="27">
                  <c:v>6.1990282539877812</c:v>
                </c:pt>
                <c:pt idx="28">
                  <c:v>8.7746528066509235</c:v>
                </c:pt>
                <c:pt idx="29">
                  <c:v>12.419281204754858</c:v>
                </c:pt>
                <c:pt idx="30">
                  <c:v>17.575458299482364</c:v>
                </c:pt>
                <c:pt idx="31">
                  <c:v>24.867789864480415</c:v>
                </c:pt>
                <c:pt idx="32">
                  <c:v>35.176698076893459</c:v>
                </c:pt>
                <c:pt idx="33">
                  <c:v>49.740913505960641</c:v>
                </c:pt>
                <c:pt idx="34">
                  <c:v>70.298754790207354</c:v>
                </c:pt>
                <c:pt idx="35">
                  <c:v>99.280596774584296</c:v>
                </c:pt>
                <c:pt idx="36">
                  <c:v>140.06655265133503</c:v>
                </c:pt>
                <c:pt idx="37">
                  <c:v>197.3225229807837</c:v>
                </c:pt>
                <c:pt idx="38">
                  <c:v>277.4208099355933</c:v>
                </c:pt>
                <c:pt idx="39">
                  <c:v>388.93187322978514</c:v>
                </c:pt>
                <c:pt idx="40">
                  <c:v>543.13072838735138</c:v>
                </c:pt>
                <c:pt idx="41">
                  <c:v>754.38027911257598</c:v>
                </c:pt>
                <c:pt idx="42">
                  <c:v>1040.1219088204857</c:v>
                </c:pt>
                <c:pt idx="43">
                  <c:v>1420.0300244852715</c:v>
                </c:pt>
                <c:pt idx="44">
                  <c:v>1913.7449213134591</c:v>
                </c:pt>
                <c:pt idx="45">
                  <c:v>2536.6789637973052</c:v>
                </c:pt>
                <c:pt idx="46">
                  <c:v>3293.9987357745918</c:v>
                </c:pt>
                <c:pt idx="47">
                  <c:v>4174.2074665624359</c:v>
                </c:pt>
                <c:pt idx="48">
                  <c:v>5145.3280696729407</c:v>
                </c:pt>
                <c:pt idx="49">
                  <c:v>6157.0737157801932</c:v>
                </c:pt>
                <c:pt idx="50">
                  <c:v>7150.1199110869984</c:v>
                </c:pt>
                <c:pt idx="51">
                  <c:v>8069.3673742177816</c:v>
                </c:pt>
                <c:pt idx="52">
                  <c:v>11239.931709842973</c:v>
                </c:pt>
                <c:pt idx="53">
                  <c:v>11641.051669124874</c:v>
                </c:pt>
                <c:pt idx="54">
                  <c:v>11677.598448443943</c:v>
                </c:pt>
                <c:pt idx="55">
                  <c:v>11680.814440685926</c:v>
                </c:pt>
                <c:pt idx="56">
                  <c:v>11681.096558196285</c:v>
                </c:pt>
                <c:pt idx="57">
                  <c:v>11681.121299719023</c:v>
                </c:pt>
                <c:pt idx="58">
                  <c:v>11681.123469482523</c:v>
                </c:pt>
                <c:pt idx="59">
                  <c:v>11681.123659764415</c:v>
                </c:pt>
                <c:pt idx="60">
                  <c:v>11681.123676451576</c:v>
                </c:pt>
                <c:pt idx="61">
                  <c:v>11681.123677914991</c:v>
                </c:pt>
                <c:pt idx="62">
                  <c:v>11681.123678043328</c:v>
                </c:pt>
                <c:pt idx="63">
                  <c:v>11681.123678054582</c:v>
                </c:pt>
                <c:pt idx="64">
                  <c:v>11681.12367805557</c:v>
                </c:pt>
                <c:pt idx="65">
                  <c:v>11681.123678055657</c:v>
                </c:pt>
                <c:pt idx="66">
                  <c:v>11681.123678055663</c:v>
                </c:pt>
                <c:pt idx="67">
                  <c:v>11681.123678055663</c:v>
                </c:pt>
                <c:pt idx="68">
                  <c:v>11681.123678055663</c:v>
                </c:pt>
                <c:pt idx="69">
                  <c:v>11681.123678055663</c:v>
                </c:pt>
                <c:pt idx="70">
                  <c:v>11681.123678055663</c:v>
                </c:pt>
                <c:pt idx="71">
                  <c:v>11681.123678055663</c:v>
                </c:pt>
                <c:pt idx="72">
                  <c:v>11681.123678055663</c:v>
                </c:pt>
                <c:pt idx="73">
                  <c:v>11681.123678055663</c:v>
                </c:pt>
                <c:pt idx="74">
                  <c:v>11681.123678055663</c:v>
                </c:pt>
                <c:pt idx="75">
                  <c:v>11681.123678055663</c:v>
                </c:pt>
                <c:pt idx="76">
                  <c:v>11681.123678055663</c:v>
                </c:pt>
                <c:pt idx="77">
                  <c:v>11681.123678055663</c:v>
                </c:pt>
                <c:pt idx="78">
                  <c:v>11681.123678055663</c:v>
                </c:pt>
                <c:pt idx="79">
                  <c:v>11681.123678055663</c:v>
                </c:pt>
                <c:pt idx="80">
                  <c:v>11681.123678055663</c:v>
                </c:pt>
                <c:pt idx="81">
                  <c:v>11681.123678055663</c:v>
                </c:pt>
                <c:pt idx="82">
                  <c:v>11681.123678055663</c:v>
                </c:pt>
                <c:pt idx="83">
                  <c:v>11681.123678055663</c:v>
                </c:pt>
                <c:pt idx="84">
                  <c:v>11681.123678055663</c:v>
                </c:pt>
                <c:pt idx="85">
                  <c:v>11681.123678055663</c:v>
                </c:pt>
                <c:pt idx="86">
                  <c:v>11681.123678055663</c:v>
                </c:pt>
                <c:pt idx="87">
                  <c:v>11681.123678055663</c:v>
                </c:pt>
                <c:pt idx="88">
                  <c:v>11681.123678055663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13.277830057441607</c:v>
                </c:pt>
                <c:pt idx="2">
                  <c:v>16.483888080260357</c:v>
                </c:pt>
                <c:pt idx="3">
                  <c:v>20.435271869423019</c:v>
                </c:pt>
                <c:pt idx="4">
                  <c:v>25.289972245877919</c:v>
                </c:pt>
                <c:pt idx="5">
                  <c:v>31.231521053825659</c:v>
                </c:pt>
                <c:pt idx="6">
                  <c:v>38.468988130558394</c:v>
                </c:pt>
                <c:pt idx="7">
                  <c:v>47.234500676591018</c:v>
                </c:pt>
                <c:pt idx="8">
                  <c:v>57.777073656276656</c:v>
                </c:pt>
                <c:pt idx="9">
                  <c:v>70.351393866357611</c:v>
                </c:pt>
                <c:pt idx="10">
                  <c:v>85.200306541839723</c:v>
                </c:pt>
                <c:pt idx="11">
                  <c:v>102.53031430408942</c:v>
                </c:pt>
                <c:pt idx="12">
                  <c:v>122.48061687917807</c:v>
                </c:pt>
                <c:pt idx="13">
                  <c:v>145.08818004469765</c:v>
                </c:pt>
                <c:pt idx="14">
                  <c:v>170.2538061178914</c:v>
                </c:pt>
                <c:pt idx="15">
                  <c:v>197.71650044091419</c:v>
                </c:pt>
                <c:pt idx="16">
                  <c:v>227.04445191847131</c:v>
                </c:pt>
                <c:pt idx="17">
                  <c:v>257.64946592291841</c:v>
                </c:pt>
                <c:pt idx="18">
                  <c:v>288.82718004244305</c:v>
                </c:pt>
                <c:pt idx="19">
                  <c:v>319.8187413234424</c:v>
                </c:pt>
                <c:pt idx="20">
                  <c:v>349.88317111341462</c:v>
                </c:pt>
                <c:pt idx="21">
                  <c:v>378.36618201245415</c:v>
                </c:pt>
                <c:pt idx="22">
                  <c:v>404.75237728018698</c:v>
                </c:pt>
                <c:pt idx="23">
                  <c:v>428.69299595118815</c:v>
                </c:pt>
                <c:pt idx="24">
                  <c:v>450.00827294468093</c:v>
                </c:pt>
                <c:pt idx="25">
                  <c:v>468.66930349724061</c:v>
                </c:pt>
                <c:pt idx="26">
                  <c:v>484.76734355094118</c:v>
                </c:pt>
                <c:pt idx="27">
                  <c:v>498.47860911574111</c:v>
                </c:pt>
                <c:pt idx="28">
                  <c:v>510.0308205585485</c:v>
                </c:pt>
                <c:pt idx="29">
                  <c:v>519.67521873301723</c:v>
                </c:pt>
                <c:pt idx="30">
                  <c:v>527.66549749426781</c:v>
                </c:pt>
                <c:pt idx="31">
                  <c:v>534.24349475046688</c:v>
                </c:pt>
                <c:pt idx="32">
                  <c:v>539.63060776746522</c:v>
                </c:pt>
                <c:pt idx="33">
                  <c:v>544.02358644296771</c:v>
                </c:pt>
                <c:pt idx="34">
                  <c:v>547.59339762241996</c:v>
                </c:pt>
                <c:pt idx="35">
                  <c:v>550.48606412831487</c:v>
                </c:pt>
                <c:pt idx="36">
                  <c:v>552.82464331398376</c:v>
                </c:pt>
                <c:pt idx="37">
                  <c:v>554.7117551652774</c:v>
                </c:pt>
                <c:pt idx="38">
                  <c:v>556.23227101405985</c:v>
                </c:pt>
                <c:pt idx="39">
                  <c:v>557.45592502920249</c:v>
                </c:pt>
                <c:pt idx="40">
                  <c:v>558.43971700949703</c:v>
                </c:pt>
                <c:pt idx="41">
                  <c:v>559.23004572302773</c:v>
                </c:pt>
                <c:pt idx="42">
                  <c:v>559.86455643508066</c:v>
                </c:pt>
                <c:pt idx="43">
                  <c:v>560.37371228441202</c:v>
                </c:pt>
                <c:pt idx="44">
                  <c:v>560.78211294659877</c:v>
                </c:pt>
                <c:pt idx="45">
                  <c:v>561.10959001724893</c:v>
                </c:pt>
                <c:pt idx="46">
                  <c:v>561.37210983748696</c:v>
                </c:pt>
                <c:pt idx="47">
                  <c:v>561.58251311693709</c:v>
                </c:pt>
                <c:pt idx="48">
                  <c:v>561.75111799666877</c:v>
                </c:pt>
                <c:pt idx="49">
                  <c:v>561.8862099430969</c:v>
                </c:pt>
                <c:pt idx="50">
                  <c:v>561.99443854626702</c:v>
                </c:pt>
                <c:pt idx="51">
                  <c:v>562.08113817015067</c:v>
                </c:pt>
                <c:pt idx="52">
                  <c:v>562.15058659269425</c:v>
                </c:pt>
                <c:pt idx="53">
                  <c:v>562.20621332342409</c:v>
                </c:pt>
                <c:pt idx="54">
                  <c:v>562.25076719481297</c:v>
                </c:pt>
                <c:pt idx="55">
                  <c:v>562.28645106464751</c:v>
                </c:pt>
                <c:pt idx="56">
                  <c:v>562.31503000377802</c:v>
                </c:pt>
                <c:pt idx="57">
                  <c:v>562.33791813713367</c:v>
                </c:pt>
                <c:pt idx="58">
                  <c:v>562.35624831715029</c:v>
                </c:pt>
                <c:pt idx="59">
                  <c:v>562.37092800242885</c:v>
                </c:pt>
                <c:pt idx="60">
                  <c:v>562.38268405939243</c:v>
                </c:pt>
                <c:pt idx="61">
                  <c:v>562.39209867412626</c:v>
                </c:pt>
                <c:pt idx="62">
                  <c:v>562.3996381328285</c:v>
                </c:pt>
                <c:pt idx="63">
                  <c:v>562.40567588347449</c:v>
                </c:pt>
                <c:pt idx="64">
                  <c:v>562.41051101275934</c:v>
                </c:pt>
                <c:pt idx="65">
                  <c:v>562.41438304831388</c:v>
                </c:pt>
                <c:pt idx="66">
                  <c:v>562.41748381609432</c:v>
                </c:pt>
                <c:pt idx="67">
                  <c:v>562.41996693820101</c:v>
                </c:pt>
                <c:pt idx="68">
                  <c:v>562.421955440288</c:v>
                </c:pt>
                <c:pt idx="69">
                  <c:v>562.42354784457495</c:v>
                </c:pt>
                <c:pt idx="70">
                  <c:v>562.4248230497725</c:v>
                </c:pt>
                <c:pt idx="71">
                  <c:v>562.42584423933965</c:v>
                </c:pt>
                <c:pt idx="72">
                  <c:v>562.42666201148006</c:v>
                </c:pt>
                <c:pt idx="73">
                  <c:v>562.42731688581432</c:v>
                </c:pt>
                <c:pt idx="74">
                  <c:v>562.42784131083329</c:v>
                </c:pt>
                <c:pt idx="75">
                  <c:v>562.42826127153569</c:v>
                </c:pt>
                <c:pt idx="76">
                  <c:v>562.42859757687279</c:v>
                </c:pt>
                <c:pt idx="77">
                  <c:v>562.4288668907601</c:v>
                </c:pt>
                <c:pt idx="78">
                  <c:v>562.4290825577342</c:v>
                </c:pt>
                <c:pt idx="79">
                  <c:v>562.4292552641482</c:v>
                </c:pt>
                <c:pt idx="80">
                  <c:v>562.42939356766669</c:v>
                </c:pt>
                <c:pt idx="81">
                  <c:v>562.42950432128987</c:v>
                </c:pt>
                <c:pt idx="82">
                  <c:v>562.42959301291626</c:v>
                </c:pt>
                <c:pt idx="83">
                  <c:v>562.42966403726564</c:v>
                </c:pt>
                <c:pt idx="84">
                  <c:v>562.42972091363731</c:v>
                </c:pt>
                <c:pt idx="85">
                  <c:v>562.42976646029217</c:v>
                </c:pt>
                <c:pt idx="86">
                  <c:v>562.4298029340971</c:v>
                </c:pt>
                <c:pt idx="87">
                  <c:v>562.42983214235414</c:v>
                </c:pt>
                <c:pt idx="88">
                  <c:v>562.42985553235326</c:v>
                </c:pt>
                <c:pt idx="89">
                  <c:v>562.42987426308571</c:v>
                </c:pt>
                <c:pt idx="90">
                  <c:v>562.42988926267287</c:v>
                </c:pt>
                <c:pt idx="91">
                  <c:v>562.42990127435553</c:v>
                </c:pt>
                <c:pt idx="92">
                  <c:v>562.42991089332156</c:v>
                </c:pt>
                <c:pt idx="93">
                  <c:v>562.42991859619781</c:v>
                </c:pt>
                <c:pt idx="94">
                  <c:v>562.42992476466782</c:v>
                </c:pt>
                <c:pt idx="95">
                  <c:v>562.42992970438388</c:v>
                </c:pt>
                <c:pt idx="96">
                  <c:v>562.42993366011274</c:v>
                </c:pt>
                <c:pt idx="97">
                  <c:v>562.42993682786391</c:v>
                </c:pt>
                <c:pt idx="98">
                  <c:v>562.42993936460152</c:v>
                </c:pt>
                <c:pt idx="99">
                  <c:v>562.42994139602331</c:v>
                </c:pt>
                <c:pt idx="100">
                  <c:v>562.4299430227876</c:v>
                </c:pt>
                <c:pt idx="101">
                  <c:v>562.42994432550176</c:v>
                </c:pt>
                <c:pt idx="102">
                  <c:v>562.4299453687164</c:v>
                </c:pt>
                <c:pt idx="103">
                  <c:v>562.42994620412344</c:v>
                </c:pt>
                <c:pt idx="104">
                  <c:v>562.4299468731183</c:v>
                </c:pt>
                <c:pt idx="105">
                  <c:v>562.42994740884978</c:v>
                </c:pt>
                <c:pt idx="106">
                  <c:v>562.42994783786412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564.87637705777752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4184"/>
        <c:axId val="747391048"/>
      </c:scatterChart>
      <c:valAx>
        <c:axId val="74739418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1048"/>
        <c:crossesAt val="1.0000000000000002E-2"/>
        <c:crossBetween val="midCat"/>
        <c:majorUnit val="14"/>
        <c:minorUnit val="7"/>
      </c:valAx>
      <c:valAx>
        <c:axId val="747391048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4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myData!$CF$12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6536"/>
        <c:axId val="747397712"/>
      </c:scatterChart>
      <c:valAx>
        <c:axId val="747396536"/>
        <c:scaling>
          <c:orientation val="minMax"/>
          <c:max val="43920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7712"/>
        <c:crosses val="autoZero"/>
        <c:crossBetween val="midCat"/>
        <c:majorUnit val="7"/>
        <c:minorUnit val="1"/>
      </c:valAx>
      <c:valAx>
        <c:axId val="747397712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6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45048715175372056"/>
          <c:h val="3.52212416722735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81.6 M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3.8987237587796053E-3</c:v>
                </c:pt>
                <c:pt idx="1">
                  <c:v>4.7953703840275062E-3</c:v>
                </c:pt>
                <c:pt idx="2">
                  <c:v>5.8982319709535332E-3</c:v>
                </c:pt>
                <c:pt idx="3">
                  <c:v>7.2547347956575985E-3</c:v>
                </c:pt>
                <c:pt idx="4">
                  <c:v>8.9232124498174522E-3</c:v>
                </c:pt>
                <c:pt idx="5">
                  <c:v>1.0975414355857981E-2</c:v>
                </c:pt>
                <c:pt idx="6">
                  <c:v>1.3499591202105822E-2</c:v>
                </c:pt>
                <c:pt idx="7">
                  <c:v>1.6604289980670206E-2</c:v>
                </c:pt>
                <c:pt idx="8">
                  <c:v>2.0423021825784291E-2</c:v>
                </c:pt>
                <c:pt idx="9">
                  <c:v>2.5120003383314642E-2</c:v>
                </c:pt>
                <c:pt idx="10">
                  <c:v>3.0897218607127186E-2</c:v>
                </c:pt>
                <c:pt idx="11">
                  <c:v>3.8003104660215135E-2</c:v>
                </c:pt>
                <c:pt idx="12">
                  <c:v>4.6743235439749183E-2</c:v>
                </c:pt>
                <c:pt idx="13">
                  <c:v>5.7493462148880133E-2</c:v>
                </c:pt>
                <c:pt idx="14">
                  <c:v>7.0716075998318029E-2</c:v>
                </c:pt>
                <c:pt idx="15">
                  <c:v>8.6979688081124898E-2</c:v>
                </c:pt>
                <c:pt idx="16">
                  <c:v>0.10698368131346811</c:v>
                </c:pt>
                <c:pt idx="17">
                  <c:v>0.13158828594627081</c:v>
                </c:pt>
                <c:pt idx="18">
                  <c:v>0.16185157198266195</c:v>
                </c:pt>
                <c:pt idx="19">
                  <c:v>0.1990749492832582</c:v>
                </c:pt>
                <c:pt idx="20">
                  <c:v>0.24485913199669199</c:v>
                </c:pt>
                <c:pt idx="21">
                  <c:v>0.30117297394926462</c:v>
                </c:pt>
                <c:pt idx="22">
                  <c:v>0.37043813511629847</c:v>
                </c:pt>
                <c:pt idx="23">
                  <c:v>0.4556332200802749</c:v>
                </c:pt>
                <c:pt idx="24">
                  <c:v>0.56042186673276184</c:v>
                </c:pt>
                <c:pt idx="25">
                  <c:v>0.68931029340695338</c:v>
                </c:pt>
                <c:pt idx="26">
                  <c:v>0.84784107942522025</c:v>
                </c:pt>
                <c:pt idx="27">
                  <c:v>1.04283151218722</c:v>
                </c:pt>
                <c:pt idx="28">
                  <c:v>1.2826667504131448</c:v>
                </c:pt>
                <c:pt idx="29">
                  <c:v>1.5776604104077951</c:v>
                </c:pt>
                <c:pt idx="30">
                  <c:v>1.9404980815923405</c:v>
                </c:pt>
                <c:pt idx="31">
                  <c:v>2.3867828437426852</c:v>
                </c:pt>
                <c:pt idx="32">
                  <c:v>2.9357062447314362</c:v>
                </c:pt>
                <c:pt idx="33">
                  <c:v>3.6108735927183351</c:v>
                </c:pt>
                <c:pt idx="34">
                  <c:v>4.4413190526752233</c:v>
                </c:pt>
                <c:pt idx="35">
                  <c:v>5.4627541992255342</c:v>
                </c:pt>
                <c:pt idx="36">
                  <c:v>6.7191037170104515</c:v>
                </c:pt>
                <c:pt idx="37">
                  <c:v>8.2643942878681429</c:v>
                </c:pt>
                <c:pt idx="38">
                  <c:v>10.165077892012851</c:v>
                </c:pt>
                <c:pt idx="39">
                  <c:v>12.502889431222746</c:v>
                </c:pt>
                <c:pt idx="40">
                  <c:v>15.378361559074994</c:v>
                </c:pt>
                <c:pt idx="41">
                  <c:v>18.91514786451804</c:v>
                </c:pt>
                <c:pt idx="42">
                  <c:v>23.265340315759079</c:v>
                </c:pt>
                <c:pt idx="43">
                  <c:v>28.616009626231527</c:v>
                </c:pt>
                <c:pt idx="44">
                  <c:v>35.19724979164328</c:v>
                </c:pt>
                <c:pt idx="45">
                  <c:v>43.292072727850325</c:v>
                </c:pt>
                <c:pt idx="46">
                  <c:v>53.248578494489408</c:v>
                </c:pt>
                <c:pt idx="47">
                  <c:v>65.494924439251562</c:v>
                </c:pt>
                <c:pt idx="48">
                  <c:v>80.557736949018704</c:v>
                </c:pt>
                <c:pt idx="49">
                  <c:v>99.084757520463867</c:v>
                </c:pt>
                <c:pt idx="50">
                  <c:v>121.87269692695214</c:v>
                </c:pt>
                <c:pt idx="51">
                  <c:v>149.90149518581879</c:v>
                </c:pt>
                <c:pt idx="52">
                  <c:v>184.37646044358451</c:v>
                </c:pt>
                <c:pt idx="53">
                  <c:v>226.78009863046995</c:v>
                </c:pt>
                <c:pt idx="54">
                  <c:v>278.93586234186051</c:v>
                </c:pt>
                <c:pt idx="55">
                  <c:v>343.08655977668008</c:v>
                </c:pt>
                <c:pt idx="56">
                  <c:v>421.99079470155039</c:v>
                </c:pt>
                <c:pt idx="57">
                  <c:v>519.04158336315777</c:v>
                </c:pt>
                <c:pt idx="58">
                  <c:v>638.41224728936572</c:v>
                </c:pt>
                <c:pt idx="59">
                  <c:v>785.23585287091305</c:v>
                </c:pt>
                <c:pt idx="60">
                  <c:v>965.82590972495893</c:v>
                </c:pt>
                <c:pt idx="61">
                  <c:v>1187.9478118204017</c:v>
                </c:pt>
                <c:pt idx="62">
                  <c:v>1461.1526839985629</c:v>
                </c:pt>
                <c:pt idx="63">
                  <c:v>1797.1879749432444</c:v>
                </c:pt>
                <c:pt idx="64">
                  <c:v>2210.5024301185022</c:v>
                </c:pt>
                <c:pt idx="65">
                  <c:v>2718.8671249208801</c:v>
                </c:pt>
                <c:pt idx="66">
                  <c:v>3344.1392112411654</c:v>
                </c:pt>
                <c:pt idx="67">
                  <c:v>14240.466046837735</c:v>
                </c:pt>
                <c:pt idx="68">
                  <c:v>60614.309080377287</c:v>
                </c:pt>
                <c:pt idx="69">
                  <c:v>257527.19611388104</c:v>
                </c:pt>
                <c:pt idx="70" formatCode="0.00E+00">
                  <c:v>1085619.683345228</c:v>
                </c:pt>
                <c:pt idx="71" formatCode="0.00E+00">
                  <c:v>4431445.029071982</c:v>
                </c:pt>
                <c:pt idx="72" formatCode="0.00E+00">
                  <c:v>16035542.708068937</c:v>
                </c:pt>
                <c:pt idx="73" formatCode="0.00E+00">
                  <c:v>41634384.055826865</c:v>
                </c:pt>
                <c:pt idx="74" formatCode="0.00E+00">
                  <c:v>66597310.029582888</c:v>
                </c:pt>
                <c:pt idx="75" formatCode="0.00E+00">
                  <c:v>77509164.215956718</c:v>
                </c:pt>
                <c:pt idx="76" formatCode="0.00E+00">
                  <c:v>80610402.310814738</c:v>
                </c:pt>
                <c:pt idx="77" formatCode="0.00E+00">
                  <c:v>81374897.338505015</c:v>
                </c:pt>
                <c:pt idx="78" formatCode="0.00E+00">
                  <c:v>81556509.263075352</c:v>
                </c:pt>
                <c:pt idx="79" formatCode="0.00E+00">
                  <c:v>81599269.719703421</c:v>
                </c:pt>
                <c:pt idx="80" formatCode="0.00E+00">
                  <c:v>81609316.469824836</c:v>
                </c:pt>
                <c:pt idx="81" formatCode="0.00E+00">
                  <c:v>81611675.827475786</c:v>
                </c:pt>
                <c:pt idx="82" formatCode="0.00E+00">
                  <c:v>81612229.829611018</c:v>
                </c:pt>
                <c:pt idx="83" formatCode="0.00E+00">
                  <c:v>81612359.911619559</c:v>
                </c:pt>
                <c:pt idx="84" formatCode="0.00E+00">
                  <c:v>81612390.455221012</c:v>
                </c:pt>
                <c:pt idx="85" formatCode="0.00E+00">
                  <c:v>81612397.626929045</c:v>
                </c:pt>
                <c:pt idx="86" formatCode="0.00E+00">
                  <c:v>81612399.31086202</c:v>
                </c:pt>
                <c:pt idx="87" formatCode="0.00E+00">
                  <c:v>81612399.706253171</c:v>
                </c:pt>
                <c:pt idx="88" formatCode="0.00E+00">
                  <c:v>81612399.799091905</c:v>
                </c:pt>
                <c:pt idx="89" formatCode="0.00E+00">
                  <c:v>81612399.820890635</c:v>
                </c:pt>
                <c:pt idx="90" formatCode="0.00E+00">
                  <c:v>81612399.826009035</c:v>
                </c:pt>
                <c:pt idx="91" formatCode="0.00E+00">
                  <c:v>81612399.827210829</c:v>
                </c:pt>
                <c:pt idx="92" formatCode="0.00E+00">
                  <c:v>81612399.827493012</c:v>
                </c:pt>
                <c:pt idx="93" formatCode="0.00E+00">
                  <c:v>81612399.827559277</c:v>
                </c:pt>
                <c:pt idx="94" formatCode="0.00E+00">
                  <c:v>81612399.827574849</c:v>
                </c:pt>
                <c:pt idx="95" formatCode="0.00E+00">
                  <c:v>81612399.8275785</c:v>
                </c:pt>
                <c:pt idx="96" formatCode="0.00E+00">
                  <c:v>81612399.827579349</c:v>
                </c:pt>
                <c:pt idx="97" formatCode="0.00E+00">
                  <c:v>81612399.827579558</c:v>
                </c:pt>
                <c:pt idx="98" formatCode="0.00E+00">
                  <c:v>81612399.827579603</c:v>
                </c:pt>
                <c:pt idx="99" formatCode="0.00E+00">
                  <c:v>81612399.827579618</c:v>
                </c:pt>
                <c:pt idx="100" formatCode="0.00E+00">
                  <c:v>81612399.827579618</c:v>
                </c:pt>
                <c:pt idx="101" formatCode="0.00E+00">
                  <c:v>81612399.827579618</c:v>
                </c:pt>
                <c:pt idx="102" formatCode="0.00E+00">
                  <c:v>81612399.827579618</c:v>
                </c:pt>
                <c:pt idx="103" formatCode="0.00E+00">
                  <c:v>81612399.827579618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2224"/>
        <c:axId val="747398496"/>
      </c:scatterChar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2700" cap="rnd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8888"/>
        <c:axId val="747396928"/>
      </c:scatterChart>
      <c:valAx>
        <c:axId val="747392224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8496"/>
        <c:crossesAt val="0.1"/>
        <c:crossBetween val="midCat"/>
        <c:majorUnit val="14"/>
        <c:minorUnit val="7"/>
      </c:valAx>
      <c:valAx>
        <c:axId val="747398496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2224"/>
        <c:crosses val="autoZero"/>
        <c:crossBetween val="midCat"/>
      </c:valAx>
      <c:valAx>
        <c:axId val="747396928"/>
        <c:scaling>
          <c:logBase val="10"/>
          <c:orientation val="minMax"/>
          <c:max val="10000000"/>
          <c:min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NSW Cases Per 10M Pop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8888"/>
        <c:crosses val="max"/>
        <c:crossBetween val="midCat"/>
      </c:valAx>
      <c:valAx>
        <c:axId val="7473988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4739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581813659836555"/>
          <c:y val="0.69945145225951777"/>
          <c:w val="0.23547747830561738"/>
          <c:h val="0.13749257575523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b=0.259, d=4.28E-06, P0=.4422 Limit=10.0 k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00848"/>
        <c:axId val="747401632"/>
      </c:scatterChart>
      <c:valAx>
        <c:axId val="747400848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1632"/>
        <c:crossesAt val="0.1"/>
        <c:crossBetween val="midCat"/>
        <c:majorUnit val="7"/>
        <c:minorUnit val="3.5"/>
      </c:valAx>
      <c:valAx>
        <c:axId val="74740163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0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b=0.259, d=4.28E-06, P0=.4422 Limit=10.0 k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03200"/>
        <c:axId val="747391832"/>
      </c:scatterChart>
      <c:valAx>
        <c:axId val="74740320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1832"/>
        <c:crossesAt val="0.1"/>
        <c:crossBetween val="midCat"/>
        <c:majorUnit val="14"/>
        <c:minorUnit val="7"/>
      </c:valAx>
      <c:valAx>
        <c:axId val="747391832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03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d=9.04E-07, P0=.0171 Limit=11.7 k
 21-Mar,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5.1939309706575023E-4</c:v>
                </c:pt>
                <c:pt idx="1">
                  <c:v>7.3535713729447002E-4</c:v>
                </c:pt>
                <c:pt idx="2">
                  <c:v>1.0411191798039557E-3</c:v>
                </c:pt>
                <c:pt idx="3">
                  <c:v>1.4740172900834167E-3</c:v>
                </c:pt>
                <c:pt idx="4">
                  <c:v>2.0869147165202746E-3</c:v>
                </c:pt>
                <c:pt idx="5">
                  <c:v>2.9546552596857178E-3</c:v>
                </c:pt>
                <c:pt idx="6">
                  <c:v>4.1832027752876106E-3</c:v>
                </c:pt>
                <c:pt idx="7">
                  <c:v>5.9225808616917537E-3</c:v>
                </c:pt>
                <c:pt idx="8">
                  <c:v>8.3851928237167576E-3</c:v>
                </c:pt>
                <c:pt idx="9">
                  <c:v>1.1871758979647684E-2</c:v>
                </c:pt>
                <c:pt idx="10">
                  <c:v>1.6808038496223157E-2</c:v>
                </c:pt>
                <c:pt idx="11">
                  <c:v>2.379681974124977E-2</c:v>
                </c:pt>
                <c:pt idx="12">
                  <c:v>3.3691527363406748E-2</c:v>
                </c:pt>
                <c:pt idx="13">
                  <c:v>4.7700433445312898E-2</c:v>
                </c:pt>
                <c:pt idx="14">
                  <c:v>6.7534196111460928E-2</c:v>
                </c:pt>
                <c:pt idx="15">
                  <c:v>9.5614737540640676E-2</c:v>
                </c:pt>
                <c:pt idx="16">
                  <c:v>0.13537095905916757</c:v>
                </c:pt>
                <c:pt idx="17">
                  <c:v>0.19165738561687881</c:v>
                </c:pt>
                <c:pt idx="18">
                  <c:v>0.27134682446720604</c:v>
                </c:pt>
                <c:pt idx="19">
                  <c:v>0.38416933454224367</c:v>
                </c:pt>
                <c:pt idx="20">
                  <c:v>0.54389980494929346</c:v>
                </c:pt>
                <c:pt idx="21">
                  <c:v>0.77003885853597409</c:v>
                </c:pt>
                <c:pt idx="22">
                  <c:v>1.090191732520575</c:v>
                </c:pt>
                <c:pt idx="23">
                  <c:v>1.5434344078612714</c:v>
                </c:pt>
                <c:pt idx="24">
                  <c:v>2.1850755872644734</c:v>
                </c:pt>
                <c:pt idx="25">
                  <c:v>3.0933911128204263</c:v>
                </c:pt>
                <c:pt idx="26">
                  <c:v>4.3791433468644643</c:v>
                </c:pt>
                <c:pt idx="27">
                  <c:v>6.1990282539877812</c:v>
                </c:pt>
                <c:pt idx="28">
                  <c:v>8.7746528066509235</c:v>
                </c:pt>
                <c:pt idx="29">
                  <c:v>12.419281204754858</c:v>
                </c:pt>
                <c:pt idx="30">
                  <c:v>17.575458299482364</c:v>
                </c:pt>
                <c:pt idx="31">
                  <c:v>24.867789864480415</c:v>
                </c:pt>
                <c:pt idx="32">
                  <c:v>35.176698076893459</c:v>
                </c:pt>
                <c:pt idx="33">
                  <c:v>49.740913505960641</c:v>
                </c:pt>
                <c:pt idx="34">
                  <c:v>70.298754790207354</c:v>
                </c:pt>
                <c:pt idx="35">
                  <c:v>99.280596774584296</c:v>
                </c:pt>
                <c:pt idx="36">
                  <c:v>140.06655265133503</c:v>
                </c:pt>
                <c:pt idx="37">
                  <c:v>197.3225229807837</c:v>
                </c:pt>
                <c:pt idx="38">
                  <c:v>277.4208099355933</c:v>
                </c:pt>
                <c:pt idx="39">
                  <c:v>388.93187322978514</c:v>
                </c:pt>
                <c:pt idx="40">
                  <c:v>543.13072838735138</c:v>
                </c:pt>
                <c:pt idx="41">
                  <c:v>754.38027911257598</c:v>
                </c:pt>
                <c:pt idx="42">
                  <c:v>1040.1219088204857</c:v>
                </c:pt>
                <c:pt idx="43">
                  <c:v>1420.0300244852715</c:v>
                </c:pt>
                <c:pt idx="44">
                  <c:v>1913.7449213134591</c:v>
                </c:pt>
                <c:pt idx="45">
                  <c:v>2536.6789637973052</c:v>
                </c:pt>
                <c:pt idx="46">
                  <c:v>3293.9987357745918</c:v>
                </c:pt>
                <c:pt idx="47">
                  <c:v>4174.2074665624359</c:v>
                </c:pt>
                <c:pt idx="48">
                  <c:v>5145.3280696729407</c:v>
                </c:pt>
                <c:pt idx="49">
                  <c:v>6157.0737157801932</c:v>
                </c:pt>
                <c:pt idx="50">
                  <c:v>7150.1199110869984</c:v>
                </c:pt>
                <c:pt idx="51">
                  <c:v>8069.3673742177816</c:v>
                </c:pt>
                <c:pt idx="52">
                  <c:v>11239.931709842973</c:v>
                </c:pt>
                <c:pt idx="53">
                  <c:v>11641.051669124874</c:v>
                </c:pt>
                <c:pt idx="54">
                  <c:v>11677.598448443943</c:v>
                </c:pt>
                <c:pt idx="55">
                  <c:v>11680.814440685926</c:v>
                </c:pt>
                <c:pt idx="56">
                  <c:v>11681.096558196285</c:v>
                </c:pt>
                <c:pt idx="57">
                  <c:v>11681.121299719023</c:v>
                </c:pt>
                <c:pt idx="58">
                  <c:v>11681.123469482523</c:v>
                </c:pt>
                <c:pt idx="59">
                  <c:v>11681.123659764415</c:v>
                </c:pt>
                <c:pt idx="60">
                  <c:v>11681.123676451576</c:v>
                </c:pt>
                <c:pt idx="61">
                  <c:v>11681.123677914991</c:v>
                </c:pt>
                <c:pt idx="62">
                  <c:v>11681.123678043328</c:v>
                </c:pt>
                <c:pt idx="63">
                  <c:v>11681.123678054582</c:v>
                </c:pt>
                <c:pt idx="64">
                  <c:v>11681.12367805557</c:v>
                </c:pt>
                <c:pt idx="65">
                  <c:v>11681.123678055657</c:v>
                </c:pt>
                <c:pt idx="66">
                  <c:v>11681.123678055663</c:v>
                </c:pt>
                <c:pt idx="67">
                  <c:v>11681.123678055663</c:v>
                </c:pt>
                <c:pt idx="68">
                  <c:v>11681.123678055663</c:v>
                </c:pt>
                <c:pt idx="69">
                  <c:v>11681.123678055663</c:v>
                </c:pt>
                <c:pt idx="70">
                  <c:v>11681.123678055663</c:v>
                </c:pt>
                <c:pt idx="71">
                  <c:v>11681.123678055663</c:v>
                </c:pt>
                <c:pt idx="72">
                  <c:v>11681.123678055663</c:v>
                </c:pt>
                <c:pt idx="73">
                  <c:v>11681.123678055663</c:v>
                </c:pt>
                <c:pt idx="74">
                  <c:v>11681.123678055663</c:v>
                </c:pt>
                <c:pt idx="75">
                  <c:v>11681.123678055663</c:v>
                </c:pt>
                <c:pt idx="76">
                  <c:v>11681.123678055663</c:v>
                </c:pt>
                <c:pt idx="77">
                  <c:v>11681.123678055663</c:v>
                </c:pt>
                <c:pt idx="78">
                  <c:v>11681.123678055663</c:v>
                </c:pt>
                <c:pt idx="79">
                  <c:v>11681.123678055663</c:v>
                </c:pt>
                <c:pt idx="80">
                  <c:v>11681.123678055663</c:v>
                </c:pt>
                <c:pt idx="81">
                  <c:v>11681.123678055663</c:v>
                </c:pt>
                <c:pt idx="82">
                  <c:v>11681.123678055663</c:v>
                </c:pt>
                <c:pt idx="83">
                  <c:v>11681.123678055663</c:v>
                </c:pt>
                <c:pt idx="84">
                  <c:v>11681.123678055663</c:v>
                </c:pt>
                <c:pt idx="85">
                  <c:v>11681.123678055663</c:v>
                </c:pt>
                <c:pt idx="86">
                  <c:v>11681.123678055663</c:v>
                </c:pt>
                <c:pt idx="87">
                  <c:v>11681.123678055663</c:v>
                </c:pt>
                <c:pt idx="88">
                  <c:v>11681.123678055663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4968"/>
        <c:axId val="747393008"/>
      </c:scatterChart>
      <c:valAx>
        <c:axId val="747394968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3008"/>
        <c:crosses val="autoZero"/>
        <c:crossBetween val="midCat"/>
        <c:majorUnit val="7"/>
        <c:minorUnit val="3.5"/>
      </c:valAx>
      <c:valAx>
        <c:axId val="747393008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4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d=9.04E-07, P0=.0171 Limit=11.7 k
 21-Mar,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myData!$CF$14</c:f>
              <c:strCache>
                <c:ptCount val="1"/>
                <c:pt idx="0">
                  <c:v>USA Limit 11.7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5.1939309706575023E-4</c:v>
                </c:pt>
                <c:pt idx="1">
                  <c:v>7.3535713729447002E-4</c:v>
                </c:pt>
                <c:pt idx="2">
                  <c:v>1.0411191798039557E-3</c:v>
                </c:pt>
                <c:pt idx="3">
                  <c:v>1.4740172900834167E-3</c:v>
                </c:pt>
                <c:pt idx="4">
                  <c:v>2.0869147165202746E-3</c:v>
                </c:pt>
                <c:pt idx="5">
                  <c:v>2.9546552596857178E-3</c:v>
                </c:pt>
                <c:pt idx="6">
                  <c:v>4.1832027752876106E-3</c:v>
                </c:pt>
                <c:pt idx="7">
                  <c:v>5.9225808616917537E-3</c:v>
                </c:pt>
                <c:pt idx="8">
                  <c:v>8.3851928237167576E-3</c:v>
                </c:pt>
                <c:pt idx="9">
                  <c:v>1.1871758979647684E-2</c:v>
                </c:pt>
                <c:pt idx="10">
                  <c:v>1.6808038496223157E-2</c:v>
                </c:pt>
                <c:pt idx="11">
                  <c:v>2.379681974124977E-2</c:v>
                </c:pt>
                <c:pt idx="12">
                  <c:v>3.3691527363406748E-2</c:v>
                </c:pt>
                <c:pt idx="13">
                  <c:v>4.7700433445312898E-2</c:v>
                </c:pt>
                <c:pt idx="14">
                  <c:v>6.7534196111460928E-2</c:v>
                </c:pt>
                <c:pt idx="15">
                  <c:v>9.5614737540640676E-2</c:v>
                </c:pt>
                <c:pt idx="16">
                  <c:v>0.13537095905916757</c:v>
                </c:pt>
                <c:pt idx="17">
                  <c:v>0.19165738561687881</c:v>
                </c:pt>
                <c:pt idx="18">
                  <c:v>0.27134682446720604</c:v>
                </c:pt>
                <c:pt idx="19">
                  <c:v>0.38416933454224367</c:v>
                </c:pt>
                <c:pt idx="20">
                  <c:v>0.54389980494929346</c:v>
                </c:pt>
                <c:pt idx="21">
                  <c:v>0.77003885853597409</c:v>
                </c:pt>
                <c:pt idx="22">
                  <c:v>1.090191732520575</c:v>
                </c:pt>
                <c:pt idx="23">
                  <c:v>1.5434344078612714</c:v>
                </c:pt>
                <c:pt idx="24">
                  <c:v>2.1850755872644734</c:v>
                </c:pt>
                <c:pt idx="25">
                  <c:v>3.0933911128204263</c:v>
                </c:pt>
                <c:pt idx="26">
                  <c:v>4.3791433468644643</c:v>
                </c:pt>
                <c:pt idx="27">
                  <c:v>6.1990282539877812</c:v>
                </c:pt>
                <c:pt idx="28">
                  <c:v>8.7746528066509235</c:v>
                </c:pt>
                <c:pt idx="29">
                  <c:v>12.419281204754858</c:v>
                </c:pt>
                <c:pt idx="30">
                  <c:v>17.575458299482364</c:v>
                </c:pt>
                <c:pt idx="31">
                  <c:v>24.867789864480415</c:v>
                </c:pt>
                <c:pt idx="32">
                  <c:v>35.176698076893459</c:v>
                </c:pt>
                <c:pt idx="33">
                  <c:v>49.740913505960641</c:v>
                </c:pt>
                <c:pt idx="34">
                  <c:v>70.298754790207354</c:v>
                </c:pt>
                <c:pt idx="35">
                  <c:v>99.280596774584296</c:v>
                </c:pt>
                <c:pt idx="36">
                  <c:v>140.06655265133503</c:v>
                </c:pt>
                <c:pt idx="37">
                  <c:v>197.3225229807837</c:v>
                </c:pt>
                <c:pt idx="38">
                  <c:v>277.4208099355933</c:v>
                </c:pt>
                <c:pt idx="39">
                  <c:v>388.93187322978514</c:v>
                </c:pt>
                <c:pt idx="40">
                  <c:v>543.13072838735138</c:v>
                </c:pt>
                <c:pt idx="41">
                  <c:v>754.38027911257598</c:v>
                </c:pt>
                <c:pt idx="42">
                  <c:v>1040.1219088204857</c:v>
                </c:pt>
                <c:pt idx="43">
                  <c:v>1420.0300244852715</c:v>
                </c:pt>
                <c:pt idx="44">
                  <c:v>1913.7449213134591</c:v>
                </c:pt>
                <c:pt idx="45">
                  <c:v>2536.6789637973052</c:v>
                </c:pt>
                <c:pt idx="46">
                  <c:v>3293.9987357745918</c:v>
                </c:pt>
                <c:pt idx="47">
                  <c:v>4174.2074665624359</c:v>
                </c:pt>
                <c:pt idx="48">
                  <c:v>5145.3280696729407</c:v>
                </c:pt>
                <c:pt idx="49">
                  <c:v>6157.0737157801932</c:v>
                </c:pt>
                <c:pt idx="50">
                  <c:v>7150.1199110869984</c:v>
                </c:pt>
                <c:pt idx="51">
                  <c:v>8069.3673742177816</c:v>
                </c:pt>
                <c:pt idx="52">
                  <c:v>11239.931709842973</c:v>
                </c:pt>
                <c:pt idx="53">
                  <c:v>11641.051669124874</c:v>
                </c:pt>
                <c:pt idx="54">
                  <c:v>11677.598448443943</c:v>
                </c:pt>
                <c:pt idx="55">
                  <c:v>11680.814440685926</c:v>
                </c:pt>
                <c:pt idx="56">
                  <c:v>11681.096558196285</c:v>
                </c:pt>
                <c:pt idx="57">
                  <c:v>11681.121299719023</c:v>
                </c:pt>
                <c:pt idx="58">
                  <c:v>11681.123469482523</c:v>
                </c:pt>
                <c:pt idx="59">
                  <c:v>11681.123659764415</c:v>
                </c:pt>
                <c:pt idx="60">
                  <c:v>11681.123676451576</c:v>
                </c:pt>
                <c:pt idx="61">
                  <c:v>11681.123677914991</c:v>
                </c:pt>
                <c:pt idx="62">
                  <c:v>11681.123678043328</c:v>
                </c:pt>
                <c:pt idx="63">
                  <c:v>11681.123678054582</c:v>
                </c:pt>
                <c:pt idx="64">
                  <c:v>11681.12367805557</c:v>
                </c:pt>
                <c:pt idx="65">
                  <c:v>11681.123678055657</c:v>
                </c:pt>
                <c:pt idx="66">
                  <c:v>11681.123678055663</c:v>
                </c:pt>
                <c:pt idx="67">
                  <c:v>11681.123678055663</c:v>
                </c:pt>
                <c:pt idx="68">
                  <c:v>11681.123678055663</c:v>
                </c:pt>
                <c:pt idx="69">
                  <c:v>11681.123678055663</c:v>
                </c:pt>
                <c:pt idx="70">
                  <c:v>11681.123678055663</c:v>
                </c:pt>
                <c:pt idx="71">
                  <c:v>11681.123678055663</c:v>
                </c:pt>
                <c:pt idx="72">
                  <c:v>11681.123678055663</c:v>
                </c:pt>
                <c:pt idx="73">
                  <c:v>11681.123678055663</c:v>
                </c:pt>
                <c:pt idx="74">
                  <c:v>11681.123678055663</c:v>
                </c:pt>
                <c:pt idx="75">
                  <c:v>11681.123678055663</c:v>
                </c:pt>
                <c:pt idx="76">
                  <c:v>11681.123678055663</c:v>
                </c:pt>
                <c:pt idx="77">
                  <c:v>11681.123678055663</c:v>
                </c:pt>
                <c:pt idx="78">
                  <c:v>11681.123678055663</c:v>
                </c:pt>
                <c:pt idx="79">
                  <c:v>11681.123678055663</c:v>
                </c:pt>
                <c:pt idx="80">
                  <c:v>11681.123678055663</c:v>
                </c:pt>
                <c:pt idx="81">
                  <c:v>11681.123678055663</c:v>
                </c:pt>
                <c:pt idx="82">
                  <c:v>11681.123678055663</c:v>
                </c:pt>
                <c:pt idx="83">
                  <c:v>11681.123678055663</c:v>
                </c:pt>
                <c:pt idx="84">
                  <c:v>11681.123678055663</c:v>
                </c:pt>
                <c:pt idx="85">
                  <c:v>11681.123678055663</c:v>
                </c:pt>
                <c:pt idx="86">
                  <c:v>11681.123678055663</c:v>
                </c:pt>
                <c:pt idx="87">
                  <c:v>11681.123678055663</c:v>
                </c:pt>
                <c:pt idx="88">
                  <c:v>11681.123678055663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395360"/>
        <c:axId val="747397320"/>
      </c:scatterChart>
      <c:valAx>
        <c:axId val="747395360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7320"/>
        <c:crosses val="autoZero"/>
        <c:crossBetween val="midCat"/>
        <c:majorUnit val="7"/>
        <c:minorUnit val="3.5"/>
      </c:valAx>
      <c:valAx>
        <c:axId val="747397320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95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myData!$CH$15</c:f>
          <c:strCache>
            <c:ptCount val="1"/>
            <c:pt idx="0">
              <c:v>COVID19 China P(t) = b / {d+[( b/Po - d ) ]* exp(-b*t)}
b=0.222, d=2.74E-06, P0=1537.6493 Limit=562  
 21-Mar,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13.277830057441607</c:v>
                </c:pt>
                <c:pt idx="2">
                  <c:v>16.483888080260357</c:v>
                </c:pt>
                <c:pt idx="3">
                  <c:v>20.435271869423019</c:v>
                </c:pt>
                <c:pt idx="4">
                  <c:v>25.289972245877919</c:v>
                </c:pt>
                <c:pt idx="5">
                  <c:v>31.231521053825659</c:v>
                </c:pt>
                <c:pt idx="6">
                  <c:v>38.468988130558394</c:v>
                </c:pt>
                <c:pt idx="7">
                  <c:v>47.234500676591018</c:v>
                </c:pt>
                <c:pt idx="8">
                  <c:v>57.777073656276656</c:v>
                </c:pt>
                <c:pt idx="9">
                  <c:v>70.351393866357611</c:v>
                </c:pt>
                <c:pt idx="10">
                  <c:v>85.200306541839723</c:v>
                </c:pt>
                <c:pt idx="11">
                  <c:v>102.53031430408942</c:v>
                </c:pt>
                <c:pt idx="12">
                  <c:v>122.48061687917807</c:v>
                </c:pt>
                <c:pt idx="13">
                  <c:v>145.08818004469765</c:v>
                </c:pt>
                <c:pt idx="14">
                  <c:v>170.2538061178914</c:v>
                </c:pt>
                <c:pt idx="15">
                  <c:v>197.71650044091419</c:v>
                </c:pt>
                <c:pt idx="16">
                  <c:v>227.04445191847131</c:v>
                </c:pt>
                <c:pt idx="17">
                  <c:v>257.64946592291841</c:v>
                </c:pt>
                <c:pt idx="18">
                  <c:v>288.82718004244305</c:v>
                </c:pt>
                <c:pt idx="19">
                  <c:v>319.8187413234424</c:v>
                </c:pt>
                <c:pt idx="20">
                  <c:v>349.88317111341462</c:v>
                </c:pt>
                <c:pt idx="21">
                  <c:v>378.36618201245415</c:v>
                </c:pt>
                <c:pt idx="22">
                  <c:v>404.75237728018698</c:v>
                </c:pt>
                <c:pt idx="23">
                  <c:v>428.69299595118815</c:v>
                </c:pt>
                <c:pt idx="24">
                  <c:v>450.00827294468093</c:v>
                </c:pt>
                <c:pt idx="25">
                  <c:v>468.66930349724061</c:v>
                </c:pt>
                <c:pt idx="26">
                  <c:v>484.76734355094118</c:v>
                </c:pt>
                <c:pt idx="27">
                  <c:v>498.47860911574111</c:v>
                </c:pt>
                <c:pt idx="28">
                  <c:v>510.0308205585485</c:v>
                </c:pt>
                <c:pt idx="29">
                  <c:v>519.67521873301723</c:v>
                </c:pt>
                <c:pt idx="30">
                  <c:v>527.66549749426781</c:v>
                </c:pt>
                <c:pt idx="31">
                  <c:v>534.24349475046688</c:v>
                </c:pt>
                <c:pt idx="32">
                  <c:v>539.63060776746522</c:v>
                </c:pt>
                <c:pt idx="33">
                  <c:v>544.02358644296771</c:v>
                </c:pt>
                <c:pt idx="34">
                  <c:v>547.59339762241996</c:v>
                </c:pt>
                <c:pt idx="35">
                  <c:v>550.48606412831487</c:v>
                </c:pt>
                <c:pt idx="36">
                  <c:v>552.82464331398376</c:v>
                </c:pt>
                <c:pt idx="37">
                  <c:v>554.7117551652774</c:v>
                </c:pt>
                <c:pt idx="38">
                  <c:v>556.23227101405985</c:v>
                </c:pt>
                <c:pt idx="39">
                  <c:v>557.45592502920249</c:v>
                </c:pt>
                <c:pt idx="40">
                  <c:v>558.43971700949703</c:v>
                </c:pt>
                <c:pt idx="41">
                  <c:v>559.23004572302773</c:v>
                </c:pt>
                <c:pt idx="42">
                  <c:v>559.86455643508066</c:v>
                </c:pt>
                <c:pt idx="43">
                  <c:v>560.37371228441202</c:v>
                </c:pt>
                <c:pt idx="44">
                  <c:v>560.78211294659877</c:v>
                </c:pt>
                <c:pt idx="45">
                  <c:v>561.10959001724893</c:v>
                </c:pt>
                <c:pt idx="46">
                  <c:v>561.37210983748696</c:v>
                </c:pt>
                <c:pt idx="47">
                  <c:v>561.58251311693709</c:v>
                </c:pt>
                <c:pt idx="48">
                  <c:v>561.75111799666877</c:v>
                </c:pt>
                <c:pt idx="49">
                  <c:v>561.8862099430969</c:v>
                </c:pt>
                <c:pt idx="50">
                  <c:v>561.99443854626702</c:v>
                </c:pt>
                <c:pt idx="51">
                  <c:v>562.08113817015067</c:v>
                </c:pt>
                <c:pt idx="52">
                  <c:v>562.15058659269425</c:v>
                </c:pt>
                <c:pt idx="53">
                  <c:v>562.20621332342409</c:v>
                </c:pt>
                <c:pt idx="54">
                  <c:v>562.25076719481297</c:v>
                </c:pt>
                <c:pt idx="55">
                  <c:v>562.28645106464751</c:v>
                </c:pt>
                <c:pt idx="56">
                  <c:v>562.31503000377802</c:v>
                </c:pt>
                <c:pt idx="57">
                  <c:v>562.33791813713367</c:v>
                </c:pt>
                <c:pt idx="58">
                  <c:v>562.35624831715029</c:v>
                </c:pt>
                <c:pt idx="59">
                  <c:v>562.37092800242885</c:v>
                </c:pt>
                <c:pt idx="60">
                  <c:v>562.38268405939243</c:v>
                </c:pt>
                <c:pt idx="61">
                  <c:v>562.39209867412626</c:v>
                </c:pt>
                <c:pt idx="62">
                  <c:v>562.3996381328285</c:v>
                </c:pt>
                <c:pt idx="63">
                  <c:v>562.40567588347449</c:v>
                </c:pt>
                <c:pt idx="64">
                  <c:v>562.41051101275934</c:v>
                </c:pt>
                <c:pt idx="65">
                  <c:v>562.41438304831388</c:v>
                </c:pt>
                <c:pt idx="66">
                  <c:v>562.41748381609432</c:v>
                </c:pt>
                <c:pt idx="67">
                  <c:v>562.41996693820101</c:v>
                </c:pt>
                <c:pt idx="68">
                  <c:v>562.421955440288</c:v>
                </c:pt>
                <c:pt idx="69">
                  <c:v>562.42354784457495</c:v>
                </c:pt>
                <c:pt idx="70">
                  <c:v>562.4248230497725</c:v>
                </c:pt>
                <c:pt idx="71">
                  <c:v>562.42584423933965</c:v>
                </c:pt>
                <c:pt idx="72">
                  <c:v>562.42666201148006</c:v>
                </c:pt>
                <c:pt idx="73">
                  <c:v>562.42731688581432</c:v>
                </c:pt>
                <c:pt idx="74">
                  <c:v>562.42784131083329</c:v>
                </c:pt>
                <c:pt idx="75">
                  <c:v>562.42826127153569</c:v>
                </c:pt>
                <c:pt idx="76">
                  <c:v>562.42859757687279</c:v>
                </c:pt>
                <c:pt idx="77">
                  <c:v>562.4288668907601</c:v>
                </c:pt>
                <c:pt idx="78">
                  <c:v>562.4290825577342</c:v>
                </c:pt>
                <c:pt idx="79">
                  <c:v>562.4292552641482</c:v>
                </c:pt>
                <c:pt idx="80">
                  <c:v>562.42939356766669</c:v>
                </c:pt>
                <c:pt idx="81">
                  <c:v>562.42950432128987</c:v>
                </c:pt>
                <c:pt idx="82">
                  <c:v>562.42959301291626</c:v>
                </c:pt>
                <c:pt idx="83">
                  <c:v>562.42966403726564</c:v>
                </c:pt>
                <c:pt idx="84">
                  <c:v>562.42972091363731</c:v>
                </c:pt>
                <c:pt idx="85">
                  <c:v>562.42976646029217</c:v>
                </c:pt>
                <c:pt idx="86">
                  <c:v>562.4298029340971</c:v>
                </c:pt>
                <c:pt idx="87">
                  <c:v>562.42983214235414</c:v>
                </c:pt>
                <c:pt idx="88">
                  <c:v>562.42985553235326</c:v>
                </c:pt>
                <c:pt idx="89">
                  <c:v>562.42987426308571</c:v>
                </c:pt>
                <c:pt idx="90">
                  <c:v>562.42988926267287</c:v>
                </c:pt>
                <c:pt idx="91">
                  <c:v>562.42990127435553</c:v>
                </c:pt>
                <c:pt idx="92">
                  <c:v>562.42991089332156</c:v>
                </c:pt>
                <c:pt idx="93">
                  <c:v>562.42991859619781</c:v>
                </c:pt>
                <c:pt idx="94">
                  <c:v>562.42992476466782</c:v>
                </c:pt>
                <c:pt idx="95">
                  <c:v>562.42992970438388</c:v>
                </c:pt>
                <c:pt idx="96">
                  <c:v>562.42993366011274</c:v>
                </c:pt>
                <c:pt idx="97">
                  <c:v>562.42993682786391</c:v>
                </c:pt>
                <c:pt idx="98">
                  <c:v>562.42993936460152</c:v>
                </c:pt>
                <c:pt idx="99">
                  <c:v>562.42994139602331</c:v>
                </c:pt>
                <c:pt idx="100">
                  <c:v>562.4299430227876</c:v>
                </c:pt>
                <c:pt idx="101">
                  <c:v>562.42994432550176</c:v>
                </c:pt>
                <c:pt idx="102">
                  <c:v>562.4299453687164</c:v>
                </c:pt>
                <c:pt idx="103">
                  <c:v>562.42994620412344</c:v>
                </c:pt>
                <c:pt idx="104">
                  <c:v>562.4299468731183</c:v>
                </c:pt>
                <c:pt idx="105">
                  <c:v>562.42994740884978</c:v>
                </c:pt>
                <c:pt idx="106">
                  <c:v>562.42994783786412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564.87637705777752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7944"/>
        <c:axId val="751682064"/>
      </c:scatterChart>
      <c:valAx>
        <c:axId val="751687944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2064"/>
        <c:crosses val="autoZero"/>
        <c:crossBetween val="midCat"/>
        <c:majorUnit val="14"/>
        <c:minorUnit val="7"/>
      </c:valAx>
      <c:valAx>
        <c:axId val="7516820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myData!$AH$55:$AH$72</c:f>
              <c:numCache>
                <c:formatCode>General</c:formatCode>
                <c:ptCount val="18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</c:numCache>
            </c:numRef>
          </c:xVal>
          <c:yVal>
            <c:numRef>
              <c:f>myData!$BB$55:$BB$72</c:f>
              <c:numCache>
                <c:formatCode>0</c:formatCode>
                <c:ptCount val="18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22-Mar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9512"/>
        <c:axId val="751686768"/>
      </c:scatterChart>
      <c:valAx>
        <c:axId val="751689512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6768"/>
        <c:crosses val="autoZero"/>
        <c:crossBetween val="midCat"/>
      </c:valAx>
      <c:valAx>
        <c:axId val="75168676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9512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35740820736194"/>
          <c:y val="0.52721661299798817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myData!$CH$11</c:f>
          <c:strCache>
            <c:ptCount val="1"/>
            <c:pt idx="0">
              <c:v>COVID19 Australia P(t) = b / {d+[( b/Po - d ) ]* exp(-b*t)}
b=0.207, d=1.00E-09, P0=.0099 Limit=81.6 M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81.6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3.8987237587796053E-3</c:v>
                </c:pt>
                <c:pt idx="1">
                  <c:v>4.7953703840275062E-3</c:v>
                </c:pt>
                <c:pt idx="2">
                  <c:v>5.8982319709535332E-3</c:v>
                </c:pt>
                <c:pt idx="3">
                  <c:v>7.2547347956575985E-3</c:v>
                </c:pt>
                <c:pt idx="4">
                  <c:v>8.9232124498174522E-3</c:v>
                </c:pt>
                <c:pt idx="5">
                  <c:v>1.0975414355857981E-2</c:v>
                </c:pt>
                <c:pt idx="6">
                  <c:v>1.3499591202105822E-2</c:v>
                </c:pt>
                <c:pt idx="7">
                  <c:v>1.6604289980670206E-2</c:v>
                </c:pt>
                <c:pt idx="8">
                  <c:v>2.0423021825784291E-2</c:v>
                </c:pt>
                <c:pt idx="9">
                  <c:v>2.5120003383314642E-2</c:v>
                </c:pt>
                <c:pt idx="10">
                  <c:v>3.0897218607127186E-2</c:v>
                </c:pt>
                <c:pt idx="11">
                  <c:v>3.8003104660215135E-2</c:v>
                </c:pt>
                <c:pt idx="12">
                  <c:v>4.6743235439749183E-2</c:v>
                </c:pt>
                <c:pt idx="13">
                  <c:v>5.7493462148880133E-2</c:v>
                </c:pt>
                <c:pt idx="14">
                  <c:v>7.0716075998318029E-2</c:v>
                </c:pt>
                <c:pt idx="15">
                  <c:v>8.6979688081124898E-2</c:v>
                </c:pt>
                <c:pt idx="16">
                  <c:v>0.10698368131346811</c:v>
                </c:pt>
                <c:pt idx="17">
                  <c:v>0.13158828594627081</c:v>
                </c:pt>
                <c:pt idx="18">
                  <c:v>0.16185157198266195</c:v>
                </c:pt>
                <c:pt idx="19">
                  <c:v>0.1990749492832582</c:v>
                </c:pt>
                <c:pt idx="20">
                  <c:v>0.24485913199669199</c:v>
                </c:pt>
                <c:pt idx="21">
                  <c:v>0.30117297394926462</c:v>
                </c:pt>
                <c:pt idx="22">
                  <c:v>0.37043813511629847</c:v>
                </c:pt>
                <c:pt idx="23">
                  <c:v>0.4556332200802749</c:v>
                </c:pt>
                <c:pt idx="24">
                  <c:v>0.56042186673276184</c:v>
                </c:pt>
                <c:pt idx="25">
                  <c:v>0.68931029340695338</c:v>
                </c:pt>
                <c:pt idx="26">
                  <c:v>0.84784107942522025</c:v>
                </c:pt>
                <c:pt idx="27">
                  <c:v>1.04283151218722</c:v>
                </c:pt>
                <c:pt idx="28">
                  <c:v>1.2826667504131448</c:v>
                </c:pt>
                <c:pt idx="29">
                  <c:v>1.5776604104077951</c:v>
                </c:pt>
                <c:pt idx="30">
                  <c:v>1.9404980815923405</c:v>
                </c:pt>
                <c:pt idx="31">
                  <c:v>2.3867828437426852</c:v>
                </c:pt>
                <c:pt idx="32">
                  <c:v>2.9357062447314362</c:v>
                </c:pt>
                <c:pt idx="33">
                  <c:v>3.6108735927183351</c:v>
                </c:pt>
                <c:pt idx="34">
                  <c:v>4.4413190526752233</c:v>
                </c:pt>
                <c:pt idx="35">
                  <c:v>5.4627541992255342</c:v>
                </c:pt>
                <c:pt idx="36">
                  <c:v>6.7191037170104515</c:v>
                </c:pt>
                <c:pt idx="37">
                  <c:v>8.2643942878681429</c:v>
                </c:pt>
                <c:pt idx="38">
                  <c:v>10.165077892012851</c:v>
                </c:pt>
                <c:pt idx="39">
                  <c:v>12.502889431222746</c:v>
                </c:pt>
                <c:pt idx="40">
                  <c:v>15.378361559074994</c:v>
                </c:pt>
                <c:pt idx="41">
                  <c:v>18.91514786451804</c:v>
                </c:pt>
                <c:pt idx="42">
                  <c:v>23.265340315759079</c:v>
                </c:pt>
                <c:pt idx="43">
                  <c:v>28.616009626231527</c:v>
                </c:pt>
                <c:pt idx="44">
                  <c:v>35.19724979164328</c:v>
                </c:pt>
                <c:pt idx="45">
                  <c:v>43.292072727850325</c:v>
                </c:pt>
                <c:pt idx="46">
                  <c:v>53.248578494489408</c:v>
                </c:pt>
                <c:pt idx="47">
                  <c:v>65.494924439251562</c:v>
                </c:pt>
                <c:pt idx="48">
                  <c:v>80.557736949018704</c:v>
                </c:pt>
                <c:pt idx="49">
                  <c:v>99.084757520463867</c:v>
                </c:pt>
                <c:pt idx="50">
                  <c:v>121.87269692695214</c:v>
                </c:pt>
                <c:pt idx="51">
                  <c:v>149.90149518581879</c:v>
                </c:pt>
                <c:pt idx="52">
                  <c:v>184.37646044358451</c:v>
                </c:pt>
                <c:pt idx="53">
                  <c:v>226.78009863046995</c:v>
                </c:pt>
                <c:pt idx="54">
                  <c:v>278.93586234186051</c:v>
                </c:pt>
                <c:pt idx="55">
                  <c:v>343.08655977668008</c:v>
                </c:pt>
                <c:pt idx="56">
                  <c:v>421.99079470155039</c:v>
                </c:pt>
                <c:pt idx="57">
                  <c:v>519.04158336315777</c:v>
                </c:pt>
                <c:pt idx="58">
                  <c:v>638.41224728936572</c:v>
                </c:pt>
                <c:pt idx="59">
                  <c:v>785.23585287091305</c:v>
                </c:pt>
                <c:pt idx="60">
                  <c:v>965.82590972495893</c:v>
                </c:pt>
                <c:pt idx="61">
                  <c:v>1187.9478118204017</c:v>
                </c:pt>
                <c:pt idx="62">
                  <c:v>1461.1526839985629</c:v>
                </c:pt>
                <c:pt idx="63">
                  <c:v>1797.1879749432444</c:v>
                </c:pt>
                <c:pt idx="64">
                  <c:v>2210.5024301185022</c:v>
                </c:pt>
                <c:pt idx="65">
                  <c:v>2718.8671249208801</c:v>
                </c:pt>
                <c:pt idx="66">
                  <c:v>3344.1392112411654</c:v>
                </c:pt>
                <c:pt idx="67">
                  <c:v>14240.466046837735</c:v>
                </c:pt>
                <c:pt idx="68">
                  <c:v>60614.309080377287</c:v>
                </c:pt>
                <c:pt idx="69">
                  <c:v>257527.19611388104</c:v>
                </c:pt>
                <c:pt idx="70" formatCode="0.00E+00">
                  <c:v>1085619.683345228</c:v>
                </c:pt>
                <c:pt idx="71" formatCode="0.00E+00">
                  <c:v>4431445.029071982</c:v>
                </c:pt>
                <c:pt idx="72" formatCode="0.00E+00">
                  <c:v>16035542.708068937</c:v>
                </c:pt>
                <c:pt idx="73" formatCode="0.00E+00">
                  <c:v>41634384.055826865</c:v>
                </c:pt>
                <c:pt idx="74" formatCode="0.00E+00">
                  <c:v>66597310.029582888</c:v>
                </c:pt>
                <c:pt idx="75" formatCode="0.00E+00">
                  <c:v>77509164.215956718</c:v>
                </c:pt>
                <c:pt idx="76" formatCode="0.00E+00">
                  <c:v>80610402.310814738</c:v>
                </c:pt>
                <c:pt idx="77" formatCode="0.00E+00">
                  <c:v>81374897.338505015</c:v>
                </c:pt>
                <c:pt idx="78" formatCode="0.00E+00">
                  <c:v>81556509.263075352</c:v>
                </c:pt>
                <c:pt idx="79" formatCode="0.00E+00">
                  <c:v>81599269.719703421</c:v>
                </c:pt>
                <c:pt idx="80" formatCode="0.00E+00">
                  <c:v>81609316.469824836</c:v>
                </c:pt>
                <c:pt idx="81" formatCode="0.00E+00">
                  <c:v>81611675.827475786</c:v>
                </c:pt>
                <c:pt idx="82" formatCode="0.00E+00">
                  <c:v>81612229.829611018</c:v>
                </c:pt>
                <c:pt idx="83" formatCode="0.00E+00">
                  <c:v>81612359.911619559</c:v>
                </c:pt>
                <c:pt idx="84" formatCode="0.00E+00">
                  <c:v>81612390.455221012</c:v>
                </c:pt>
                <c:pt idx="85" formatCode="0.00E+00">
                  <c:v>81612397.626929045</c:v>
                </c:pt>
                <c:pt idx="86" formatCode="0.00E+00">
                  <c:v>81612399.31086202</c:v>
                </c:pt>
                <c:pt idx="87" formatCode="0.00E+00">
                  <c:v>81612399.706253171</c:v>
                </c:pt>
                <c:pt idx="88" formatCode="0.00E+00">
                  <c:v>81612399.799091905</c:v>
                </c:pt>
                <c:pt idx="89" formatCode="0.00E+00">
                  <c:v>81612399.820890635</c:v>
                </c:pt>
                <c:pt idx="90" formatCode="0.00E+00">
                  <c:v>81612399.826009035</c:v>
                </c:pt>
                <c:pt idx="91" formatCode="0.00E+00">
                  <c:v>81612399.827210829</c:v>
                </c:pt>
                <c:pt idx="92" formatCode="0.00E+00">
                  <c:v>81612399.827493012</c:v>
                </c:pt>
                <c:pt idx="93" formatCode="0.00E+00">
                  <c:v>81612399.827559277</c:v>
                </c:pt>
                <c:pt idx="94" formatCode="0.00E+00">
                  <c:v>81612399.827574849</c:v>
                </c:pt>
                <c:pt idx="95" formatCode="0.00E+00">
                  <c:v>81612399.8275785</c:v>
                </c:pt>
                <c:pt idx="96" formatCode="0.00E+00">
                  <c:v>81612399.827579349</c:v>
                </c:pt>
                <c:pt idx="97" formatCode="0.00E+00">
                  <c:v>81612399.827579558</c:v>
                </c:pt>
                <c:pt idx="98" formatCode="0.00E+00">
                  <c:v>81612399.827579603</c:v>
                </c:pt>
                <c:pt idx="99" formatCode="0.00E+00">
                  <c:v>81612399.827579618</c:v>
                </c:pt>
                <c:pt idx="100" formatCode="0.00E+00">
                  <c:v>81612399.827579618</c:v>
                </c:pt>
                <c:pt idx="101" formatCode="0.00E+00">
                  <c:v>81612399.827579618</c:v>
                </c:pt>
                <c:pt idx="102" formatCode="0.00E+00">
                  <c:v>81612399.827579618</c:v>
                </c:pt>
                <c:pt idx="103" formatCode="0.00E+00">
                  <c:v>81612399.827579618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6376"/>
        <c:axId val="751678536"/>
      </c:scatterChart>
      <c:valAx>
        <c:axId val="751686376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78536"/>
        <c:crosses val="autoZero"/>
        <c:crossBetween val="midCat"/>
        <c:majorUnit val="14"/>
        <c:minorUnit val="7"/>
      </c:valAx>
      <c:valAx>
        <c:axId val="751678536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6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2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8863.1927212572373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10.0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9.4825063236270074E-2</c:v>
                </c:pt>
                <c:pt idx="2">
                  <c:v>0.12291707016665249</c:v>
                </c:pt>
                <c:pt idx="3">
                  <c:v>0.15933122622926729</c:v>
                </c:pt>
                <c:pt idx="4">
                  <c:v>0.20653284620471191</c:v>
                </c:pt>
                <c:pt idx="5">
                  <c:v>0.26771749709214576</c:v>
                </c:pt>
                <c:pt idx="6">
                  <c:v>0.34702726489871427</c:v>
                </c:pt>
                <c:pt idx="7">
                  <c:v>0.44983104129970641</c:v>
                </c:pt>
                <c:pt idx="8">
                  <c:v>0.58308776224489833</c:v>
                </c:pt>
                <c:pt idx="9">
                  <c:v>0.75581711611220215</c:v>
                </c:pt>
                <c:pt idx="10">
                  <c:v>0.97970946351078703</c:v>
                </c:pt>
                <c:pt idx="11">
                  <c:v>1.2699160491575883</c:v>
                </c:pt>
                <c:pt idx="12">
                  <c:v>1.6460726466454074</c:v>
                </c:pt>
                <c:pt idx="13">
                  <c:v>2.1336253356428263</c:v>
                </c:pt>
                <c:pt idx="14">
                  <c:v>2.7655471538924008</c:v>
                </c:pt>
                <c:pt idx="15">
                  <c:v>3.5845601368538977</c:v>
                </c:pt>
                <c:pt idx="16">
                  <c:v>4.6460103105485695</c:v>
                </c:pt>
                <c:pt idx="17">
                  <c:v>6.0215854572329421</c:v>
                </c:pt>
                <c:pt idx="18">
                  <c:v>7.8041192562914619</c:v>
                </c:pt>
                <c:pt idx="19">
                  <c:v>10.113793463556723</c:v>
                </c:pt>
                <c:pt idx="20">
                  <c:v>13.10613525003594</c:v>
                </c:pt>
                <c:pt idx="21">
                  <c:v>16.982312980385167</c:v>
                </c:pt>
                <c:pt idx="22">
                  <c:v>22.002363636136952</c:v>
                </c:pt>
                <c:pt idx="23">
                  <c:v>28.502140744367885</c:v>
                </c:pt>
                <c:pt idx="24">
                  <c:v>36.914952332416703</c:v>
                </c:pt>
                <c:pt idx="25">
                  <c:v>47.799057852828099</c:v>
                </c:pt>
                <c:pt idx="26">
                  <c:v>61.872394653198384</c:v>
                </c:pt>
                <c:pt idx="27">
                  <c:v>80.056073638266867</c:v>
                </c:pt>
                <c:pt idx="28">
                  <c:v>103.52825481478919</c:v>
                </c:pt>
                <c:pt idx="29">
                  <c:v>133.78987131511903</c:v>
                </c:pt>
                <c:pt idx="30">
                  <c:v>172.74312355478756</c:v>
                </c:pt>
                <c:pt idx="31">
                  <c:v>222.78241022378981</c:v>
                </c:pt>
                <c:pt idx="32">
                  <c:v>286.8949478544406</c:v>
                </c:pt>
                <c:pt idx="33">
                  <c:v>368.76413288578516</c:v>
                </c:pt>
                <c:pt idx="34">
                  <c:v>472.86196157793961</c:v>
                </c:pt>
                <c:pt idx="35">
                  <c:v>604.50682975245843</c:v>
                </c:pt>
                <c:pt idx="36">
                  <c:v>769.84957959104042</c:v>
                </c:pt>
                <c:pt idx="37">
                  <c:v>975.73497539662742</c:v>
                </c:pt>
                <c:pt idx="38">
                  <c:v>1229.372041968408</c:v>
                </c:pt>
                <c:pt idx="39">
                  <c:v>1537.7437660843307</c:v>
                </c:pt>
                <c:pt idx="40">
                  <c:v>1906.7089068928499</c:v>
                </c:pt>
                <c:pt idx="41">
                  <c:v>2339.812936152864</c:v>
                </c:pt>
                <c:pt idx="42">
                  <c:v>2836.940412597879</c:v>
                </c:pt>
                <c:pt idx="43">
                  <c:v>3393.0901751128113</c:v>
                </c:pt>
                <c:pt idx="44">
                  <c:v>3997.6774750566406</c:v>
                </c:pt>
                <c:pt idx="45">
                  <c:v>4634.7683347468437</c:v>
                </c:pt>
                <c:pt idx="46">
                  <c:v>5284.4543124672073</c:v>
                </c:pt>
                <c:pt idx="47">
                  <c:v>5925.2041510149993</c:v>
                </c:pt>
                <c:pt idx="48">
                  <c:v>6536.6427207105517</c:v>
                </c:pt>
                <c:pt idx="49">
                  <c:v>7102.0239270014144</c:v>
                </c:pt>
                <c:pt idx="50">
                  <c:v>7609.7966865664976</c:v>
                </c:pt>
                <c:pt idx="51">
                  <c:v>8054.0290382639814</c:v>
                </c:pt>
                <c:pt idx="52">
                  <c:v>8433.8443200196962</c:v>
                </c:pt>
                <c:pt idx="53">
                  <c:v>8752.2559924506731</c:v>
                </c:pt>
                <c:pt idx="54">
                  <c:v>9014.8168811936412</c:v>
                </c:pt>
                <c:pt idx="55">
                  <c:v>9228.3895453954192</c:v>
                </c:pt>
                <c:pt idx="56">
                  <c:v>9400.1943534625589</c:v>
                </c:pt>
                <c:pt idx="57">
                  <c:v>9537.1684911995289</c:v>
                </c:pt>
                <c:pt idx="58">
                  <c:v>9645.5962664271974</c:v>
                </c:pt>
                <c:pt idx="59">
                  <c:v>9730.9427701480781</c:v>
                </c:pt>
                <c:pt idx="60">
                  <c:v>9797.82272278241</c:v>
                </c:pt>
                <c:pt idx="61">
                  <c:v>9850.049010216766</c:v>
                </c:pt>
                <c:pt idx="62">
                  <c:v>10000.72703891506</c:v>
                </c:pt>
                <c:pt idx="63">
                  <c:v>10025.666833947833</c:v>
                </c:pt>
                <c:pt idx="64">
                  <c:v>10029.734251940819</c:v>
                </c:pt>
                <c:pt idx="65">
                  <c:v>10030.395998496611</c:v>
                </c:pt>
                <c:pt idx="66">
                  <c:v>10030.5036185184</c:v>
                </c:pt>
                <c:pt idx="67">
                  <c:v>10030.521119667563</c:v>
                </c:pt>
                <c:pt idx="68">
                  <c:v>10030.523965671657</c:v>
                </c:pt>
                <c:pt idx="69">
                  <c:v>10030.524428482726</c:v>
                </c:pt>
                <c:pt idx="70">
                  <c:v>10030.524503744047</c:v>
                </c:pt>
                <c:pt idx="71">
                  <c:v>10030.524515982877</c:v>
                </c:pt>
                <c:pt idx="72">
                  <c:v>10030.524517973128</c:v>
                </c:pt>
                <c:pt idx="73">
                  <c:v>10030.524518296777</c:v>
                </c:pt>
                <c:pt idx="74">
                  <c:v>10030.52451834941</c:v>
                </c:pt>
                <c:pt idx="75">
                  <c:v>10030.524518357968</c:v>
                </c:pt>
                <c:pt idx="76">
                  <c:v>10030.524518359362</c:v>
                </c:pt>
                <c:pt idx="77">
                  <c:v>10030.524518359587</c:v>
                </c:pt>
                <c:pt idx="78">
                  <c:v>10030.524518359622</c:v>
                </c:pt>
                <c:pt idx="79">
                  <c:v>10030.524518359629</c:v>
                </c:pt>
                <c:pt idx="80">
                  <c:v>10030.524518359631</c:v>
                </c:pt>
                <c:pt idx="81">
                  <c:v>10030.524518359631</c:v>
                </c:pt>
                <c:pt idx="82">
                  <c:v>10030.524518359631</c:v>
                </c:pt>
                <c:pt idx="83">
                  <c:v>10030.524518359631</c:v>
                </c:pt>
                <c:pt idx="84">
                  <c:v>10030.524518359631</c:v>
                </c:pt>
                <c:pt idx="85">
                  <c:v>10030.524518359631</c:v>
                </c:pt>
                <c:pt idx="86">
                  <c:v>10030.524518359631</c:v>
                </c:pt>
                <c:pt idx="87">
                  <c:v>10030.524518359631</c:v>
                </c:pt>
                <c:pt idx="88">
                  <c:v>10030.524518359631</c:v>
                </c:pt>
                <c:pt idx="89">
                  <c:v>10030.524518359631</c:v>
                </c:pt>
                <c:pt idx="90">
                  <c:v>10030.524518359631</c:v>
                </c:pt>
                <c:pt idx="91">
                  <c:v>10030.524518359631</c:v>
                </c:pt>
                <c:pt idx="92">
                  <c:v>10030.524518359631</c:v>
                </c:pt>
                <c:pt idx="93">
                  <c:v>10030.524518359631</c:v>
                </c:pt>
                <c:pt idx="94">
                  <c:v>10030.524518359631</c:v>
                </c:pt>
                <c:pt idx="95">
                  <c:v>10030.524518359631</c:v>
                </c:pt>
                <c:pt idx="96">
                  <c:v>10030.524518359631</c:v>
                </c:pt>
                <c:pt idx="97">
                  <c:v>10030.524518359631</c:v>
                </c:pt>
                <c:pt idx="98">
                  <c:v>10030.524518359631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2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2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  <c:pt idx="41">
                  <c:v>733.47402499909595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11.7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5.1939309706575023E-4</c:v>
                </c:pt>
                <c:pt idx="1">
                  <c:v>7.3535713729447002E-4</c:v>
                </c:pt>
                <c:pt idx="2">
                  <c:v>1.0411191798039557E-3</c:v>
                </c:pt>
                <c:pt idx="3">
                  <c:v>1.4740172900834167E-3</c:v>
                </c:pt>
                <c:pt idx="4">
                  <c:v>2.0869147165202746E-3</c:v>
                </c:pt>
                <c:pt idx="5">
                  <c:v>2.9546552596857178E-3</c:v>
                </c:pt>
                <c:pt idx="6">
                  <c:v>4.1832027752876106E-3</c:v>
                </c:pt>
                <c:pt idx="7">
                  <c:v>5.9225808616917537E-3</c:v>
                </c:pt>
                <c:pt idx="8">
                  <c:v>8.3851928237167576E-3</c:v>
                </c:pt>
                <c:pt idx="9">
                  <c:v>1.1871758979647684E-2</c:v>
                </c:pt>
                <c:pt idx="10">
                  <c:v>1.6808038496223157E-2</c:v>
                </c:pt>
                <c:pt idx="11">
                  <c:v>2.379681974124977E-2</c:v>
                </c:pt>
                <c:pt idx="12">
                  <c:v>3.3691527363406748E-2</c:v>
                </c:pt>
                <c:pt idx="13">
                  <c:v>4.7700433445312898E-2</c:v>
                </c:pt>
                <c:pt idx="14">
                  <c:v>6.7534196111460928E-2</c:v>
                </c:pt>
                <c:pt idx="15">
                  <c:v>9.5614737540640676E-2</c:v>
                </c:pt>
                <c:pt idx="16">
                  <c:v>0.13537095905916757</c:v>
                </c:pt>
                <c:pt idx="17">
                  <c:v>0.19165738561687881</c:v>
                </c:pt>
                <c:pt idx="18">
                  <c:v>0.27134682446720604</c:v>
                </c:pt>
                <c:pt idx="19">
                  <c:v>0.38416933454224367</c:v>
                </c:pt>
                <c:pt idx="20">
                  <c:v>0.54389980494929346</c:v>
                </c:pt>
                <c:pt idx="21">
                  <c:v>0.77003885853597409</c:v>
                </c:pt>
                <c:pt idx="22">
                  <c:v>1.090191732520575</c:v>
                </c:pt>
                <c:pt idx="23">
                  <c:v>1.5434344078612714</c:v>
                </c:pt>
                <c:pt idx="24">
                  <c:v>2.1850755872644734</c:v>
                </c:pt>
                <c:pt idx="25">
                  <c:v>3.0933911128204263</c:v>
                </c:pt>
                <c:pt idx="26">
                  <c:v>4.3791433468644643</c:v>
                </c:pt>
                <c:pt idx="27">
                  <c:v>6.1990282539877812</c:v>
                </c:pt>
                <c:pt idx="28">
                  <c:v>8.7746528066509235</c:v>
                </c:pt>
                <c:pt idx="29">
                  <c:v>12.419281204754858</c:v>
                </c:pt>
                <c:pt idx="30">
                  <c:v>17.575458299482364</c:v>
                </c:pt>
                <c:pt idx="31">
                  <c:v>24.867789864480415</c:v>
                </c:pt>
                <c:pt idx="32">
                  <c:v>35.176698076893459</c:v>
                </c:pt>
                <c:pt idx="33">
                  <c:v>49.740913505960641</c:v>
                </c:pt>
                <c:pt idx="34">
                  <c:v>70.298754790207354</c:v>
                </c:pt>
                <c:pt idx="35">
                  <c:v>99.280596774584296</c:v>
                </c:pt>
                <c:pt idx="36">
                  <c:v>140.06655265133503</c:v>
                </c:pt>
                <c:pt idx="37">
                  <c:v>197.3225229807837</c:v>
                </c:pt>
                <c:pt idx="38">
                  <c:v>277.4208099355933</c:v>
                </c:pt>
                <c:pt idx="39">
                  <c:v>388.93187322978514</c:v>
                </c:pt>
                <c:pt idx="40">
                  <c:v>543.13072838735138</c:v>
                </c:pt>
                <c:pt idx="41">
                  <c:v>754.38027911257598</c:v>
                </c:pt>
                <c:pt idx="42">
                  <c:v>1040.1219088204857</c:v>
                </c:pt>
                <c:pt idx="43">
                  <c:v>1420.0300244852715</c:v>
                </c:pt>
                <c:pt idx="44">
                  <c:v>1913.7449213134591</c:v>
                </c:pt>
                <c:pt idx="45">
                  <c:v>2536.6789637973052</c:v>
                </c:pt>
                <c:pt idx="46">
                  <c:v>3293.9987357745918</c:v>
                </c:pt>
                <c:pt idx="47">
                  <c:v>4174.2074665624359</c:v>
                </c:pt>
                <c:pt idx="48">
                  <c:v>5145.3280696729407</c:v>
                </c:pt>
                <c:pt idx="49">
                  <c:v>6157.0737157801932</c:v>
                </c:pt>
                <c:pt idx="50">
                  <c:v>7150.1199110869984</c:v>
                </c:pt>
                <c:pt idx="51">
                  <c:v>8069.3673742177816</c:v>
                </c:pt>
                <c:pt idx="52">
                  <c:v>11239.931709842973</c:v>
                </c:pt>
                <c:pt idx="53">
                  <c:v>11641.051669124874</c:v>
                </c:pt>
                <c:pt idx="54">
                  <c:v>11677.598448443943</c:v>
                </c:pt>
                <c:pt idx="55">
                  <c:v>11680.814440685926</c:v>
                </c:pt>
                <c:pt idx="56">
                  <c:v>11681.096558196285</c:v>
                </c:pt>
                <c:pt idx="57">
                  <c:v>11681.121299719023</c:v>
                </c:pt>
                <c:pt idx="58">
                  <c:v>11681.123469482523</c:v>
                </c:pt>
                <c:pt idx="59">
                  <c:v>11681.123659764415</c:v>
                </c:pt>
                <c:pt idx="60">
                  <c:v>11681.123676451576</c:v>
                </c:pt>
                <c:pt idx="61">
                  <c:v>11681.123677914991</c:v>
                </c:pt>
                <c:pt idx="62">
                  <c:v>11681.123678043328</c:v>
                </c:pt>
                <c:pt idx="63">
                  <c:v>11681.123678054582</c:v>
                </c:pt>
                <c:pt idx="64">
                  <c:v>11681.12367805557</c:v>
                </c:pt>
                <c:pt idx="65">
                  <c:v>11681.123678055657</c:v>
                </c:pt>
                <c:pt idx="66">
                  <c:v>11681.123678055663</c:v>
                </c:pt>
                <c:pt idx="67">
                  <c:v>11681.123678055663</c:v>
                </c:pt>
                <c:pt idx="68">
                  <c:v>11681.123678055663</c:v>
                </c:pt>
                <c:pt idx="69">
                  <c:v>11681.123678055663</c:v>
                </c:pt>
                <c:pt idx="70">
                  <c:v>11681.123678055663</c:v>
                </c:pt>
                <c:pt idx="71">
                  <c:v>11681.123678055663</c:v>
                </c:pt>
                <c:pt idx="72">
                  <c:v>11681.123678055663</c:v>
                </c:pt>
                <c:pt idx="73">
                  <c:v>11681.123678055663</c:v>
                </c:pt>
                <c:pt idx="74">
                  <c:v>11681.123678055663</c:v>
                </c:pt>
                <c:pt idx="75">
                  <c:v>11681.123678055663</c:v>
                </c:pt>
                <c:pt idx="76">
                  <c:v>11681.123678055663</c:v>
                </c:pt>
                <c:pt idx="77">
                  <c:v>11681.123678055663</c:v>
                </c:pt>
                <c:pt idx="78">
                  <c:v>11681.123678055663</c:v>
                </c:pt>
                <c:pt idx="79">
                  <c:v>11681.123678055663</c:v>
                </c:pt>
                <c:pt idx="80">
                  <c:v>11681.123678055663</c:v>
                </c:pt>
                <c:pt idx="81">
                  <c:v>11681.123678055663</c:v>
                </c:pt>
                <c:pt idx="82">
                  <c:v>11681.123678055663</c:v>
                </c:pt>
                <c:pt idx="83">
                  <c:v>11681.123678055663</c:v>
                </c:pt>
                <c:pt idx="84">
                  <c:v>11681.123678055663</c:v>
                </c:pt>
                <c:pt idx="85">
                  <c:v>11681.123678055663</c:v>
                </c:pt>
                <c:pt idx="86">
                  <c:v>11681.123678055663</c:v>
                </c:pt>
                <c:pt idx="87">
                  <c:v>11681.123678055663</c:v>
                </c:pt>
                <c:pt idx="88">
                  <c:v>11681.123678055663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6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564.87637705777752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13.277830057441607</c:v>
                </c:pt>
                <c:pt idx="2">
                  <c:v>16.483888080260357</c:v>
                </c:pt>
                <c:pt idx="3">
                  <c:v>20.435271869423019</c:v>
                </c:pt>
                <c:pt idx="4">
                  <c:v>25.289972245877919</c:v>
                </c:pt>
                <c:pt idx="5">
                  <c:v>31.231521053825659</c:v>
                </c:pt>
                <c:pt idx="6">
                  <c:v>38.468988130558394</c:v>
                </c:pt>
                <c:pt idx="7">
                  <c:v>47.234500676591018</c:v>
                </c:pt>
                <c:pt idx="8">
                  <c:v>57.777073656276656</c:v>
                </c:pt>
                <c:pt idx="9">
                  <c:v>70.351393866357611</c:v>
                </c:pt>
                <c:pt idx="10">
                  <c:v>85.200306541839723</c:v>
                </c:pt>
                <c:pt idx="11">
                  <c:v>102.53031430408942</c:v>
                </c:pt>
                <c:pt idx="12">
                  <c:v>122.48061687917807</c:v>
                </c:pt>
                <c:pt idx="13">
                  <c:v>145.08818004469765</c:v>
                </c:pt>
                <c:pt idx="14">
                  <c:v>170.2538061178914</c:v>
                </c:pt>
                <c:pt idx="15">
                  <c:v>197.71650044091419</c:v>
                </c:pt>
                <c:pt idx="16">
                  <c:v>227.04445191847131</c:v>
                </c:pt>
                <c:pt idx="17">
                  <c:v>257.64946592291841</c:v>
                </c:pt>
                <c:pt idx="18">
                  <c:v>288.82718004244305</c:v>
                </c:pt>
                <c:pt idx="19">
                  <c:v>319.8187413234424</c:v>
                </c:pt>
                <c:pt idx="20">
                  <c:v>349.88317111341462</c:v>
                </c:pt>
                <c:pt idx="21">
                  <c:v>378.36618201245415</c:v>
                </c:pt>
                <c:pt idx="22">
                  <c:v>404.75237728018698</c:v>
                </c:pt>
                <c:pt idx="23">
                  <c:v>428.69299595118815</c:v>
                </c:pt>
                <c:pt idx="24">
                  <c:v>450.00827294468093</c:v>
                </c:pt>
                <c:pt idx="25">
                  <c:v>468.66930349724061</c:v>
                </c:pt>
                <c:pt idx="26">
                  <c:v>484.76734355094118</c:v>
                </c:pt>
                <c:pt idx="27">
                  <c:v>498.47860911574111</c:v>
                </c:pt>
                <c:pt idx="28">
                  <c:v>510.0308205585485</c:v>
                </c:pt>
                <c:pt idx="29">
                  <c:v>519.67521873301723</c:v>
                </c:pt>
                <c:pt idx="30">
                  <c:v>527.66549749426781</c:v>
                </c:pt>
                <c:pt idx="31">
                  <c:v>534.24349475046688</c:v>
                </c:pt>
                <c:pt idx="32">
                  <c:v>539.63060776746522</c:v>
                </c:pt>
                <c:pt idx="33">
                  <c:v>544.02358644296771</c:v>
                </c:pt>
                <c:pt idx="34">
                  <c:v>547.59339762241996</c:v>
                </c:pt>
                <c:pt idx="35">
                  <c:v>550.48606412831487</c:v>
                </c:pt>
                <c:pt idx="36">
                  <c:v>552.82464331398376</c:v>
                </c:pt>
                <c:pt idx="37">
                  <c:v>554.7117551652774</c:v>
                </c:pt>
                <c:pt idx="38">
                  <c:v>556.23227101405985</c:v>
                </c:pt>
                <c:pt idx="39">
                  <c:v>557.45592502920249</c:v>
                </c:pt>
                <c:pt idx="40">
                  <c:v>558.43971700949703</c:v>
                </c:pt>
                <c:pt idx="41">
                  <c:v>559.23004572302773</c:v>
                </c:pt>
                <c:pt idx="42">
                  <c:v>559.86455643508066</c:v>
                </c:pt>
                <c:pt idx="43">
                  <c:v>560.37371228441202</c:v>
                </c:pt>
                <c:pt idx="44">
                  <c:v>560.78211294659877</c:v>
                </c:pt>
                <c:pt idx="45">
                  <c:v>561.10959001724893</c:v>
                </c:pt>
                <c:pt idx="46">
                  <c:v>561.37210983748696</c:v>
                </c:pt>
                <c:pt idx="47">
                  <c:v>561.58251311693709</c:v>
                </c:pt>
                <c:pt idx="48">
                  <c:v>561.75111799666877</c:v>
                </c:pt>
                <c:pt idx="49">
                  <c:v>561.8862099430969</c:v>
                </c:pt>
                <c:pt idx="50">
                  <c:v>561.99443854626702</c:v>
                </c:pt>
                <c:pt idx="51">
                  <c:v>562.08113817015067</c:v>
                </c:pt>
                <c:pt idx="52">
                  <c:v>562.15058659269425</c:v>
                </c:pt>
                <c:pt idx="53">
                  <c:v>562.20621332342409</c:v>
                </c:pt>
                <c:pt idx="54">
                  <c:v>562.25076719481297</c:v>
                </c:pt>
                <c:pt idx="55">
                  <c:v>562.28645106464751</c:v>
                </c:pt>
                <c:pt idx="56">
                  <c:v>562.31503000377802</c:v>
                </c:pt>
                <c:pt idx="57">
                  <c:v>562.33791813713367</c:v>
                </c:pt>
                <c:pt idx="58">
                  <c:v>562.35624831715029</c:v>
                </c:pt>
                <c:pt idx="59">
                  <c:v>562.37092800242885</c:v>
                </c:pt>
                <c:pt idx="60">
                  <c:v>562.38268405939243</c:v>
                </c:pt>
                <c:pt idx="61">
                  <c:v>562.39209867412626</c:v>
                </c:pt>
                <c:pt idx="62">
                  <c:v>562.3996381328285</c:v>
                </c:pt>
                <c:pt idx="63">
                  <c:v>562.40567588347449</c:v>
                </c:pt>
                <c:pt idx="64">
                  <c:v>562.41051101275934</c:v>
                </c:pt>
                <c:pt idx="65">
                  <c:v>562.41438304831388</c:v>
                </c:pt>
                <c:pt idx="66">
                  <c:v>562.41748381609432</c:v>
                </c:pt>
                <c:pt idx="67">
                  <c:v>562.41996693820101</c:v>
                </c:pt>
                <c:pt idx="68">
                  <c:v>562.421955440288</c:v>
                </c:pt>
                <c:pt idx="69">
                  <c:v>562.42354784457495</c:v>
                </c:pt>
                <c:pt idx="70">
                  <c:v>562.4248230497725</c:v>
                </c:pt>
                <c:pt idx="71">
                  <c:v>562.42584423933965</c:v>
                </c:pt>
                <c:pt idx="72">
                  <c:v>562.42666201148006</c:v>
                </c:pt>
                <c:pt idx="73">
                  <c:v>562.42731688581432</c:v>
                </c:pt>
                <c:pt idx="74">
                  <c:v>562.42784131083329</c:v>
                </c:pt>
                <c:pt idx="75">
                  <c:v>562.42826127153569</c:v>
                </c:pt>
                <c:pt idx="76">
                  <c:v>562.42859757687279</c:v>
                </c:pt>
                <c:pt idx="77">
                  <c:v>562.4288668907601</c:v>
                </c:pt>
                <c:pt idx="78">
                  <c:v>562.4290825577342</c:v>
                </c:pt>
                <c:pt idx="79">
                  <c:v>562.4292552641482</c:v>
                </c:pt>
                <c:pt idx="80">
                  <c:v>562.42939356766669</c:v>
                </c:pt>
                <c:pt idx="81">
                  <c:v>562.42950432128987</c:v>
                </c:pt>
                <c:pt idx="82">
                  <c:v>562.42959301291626</c:v>
                </c:pt>
                <c:pt idx="83">
                  <c:v>562.42966403726564</c:v>
                </c:pt>
                <c:pt idx="84">
                  <c:v>562.42972091363731</c:v>
                </c:pt>
                <c:pt idx="85">
                  <c:v>562.42976646029217</c:v>
                </c:pt>
                <c:pt idx="86">
                  <c:v>562.4298029340971</c:v>
                </c:pt>
                <c:pt idx="87">
                  <c:v>562.42983214235414</c:v>
                </c:pt>
                <c:pt idx="88">
                  <c:v>562.42985553235326</c:v>
                </c:pt>
                <c:pt idx="89">
                  <c:v>562.42987426308571</c:v>
                </c:pt>
                <c:pt idx="90">
                  <c:v>562.42988926267287</c:v>
                </c:pt>
                <c:pt idx="91">
                  <c:v>562.42990127435553</c:v>
                </c:pt>
                <c:pt idx="92">
                  <c:v>562.42991089332156</c:v>
                </c:pt>
                <c:pt idx="93">
                  <c:v>562.42991859619781</c:v>
                </c:pt>
                <c:pt idx="94">
                  <c:v>562.42992476466782</c:v>
                </c:pt>
                <c:pt idx="95">
                  <c:v>562.42992970438388</c:v>
                </c:pt>
                <c:pt idx="96">
                  <c:v>562.42993366011274</c:v>
                </c:pt>
                <c:pt idx="97">
                  <c:v>562.42993682786391</c:v>
                </c:pt>
                <c:pt idx="98">
                  <c:v>562.42993936460152</c:v>
                </c:pt>
                <c:pt idx="99">
                  <c:v>562.42994139602331</c:v>
                </c:pt>
                <c:pt idx="100">
                  <c:v>562.4299430227876</c:v>
                </c:pt>
                <c:pt idx="101">
                  <c:v>562.42994432550176</c:v>
                </c:pt>
                <c:pt idx="102">
                  <c:v>562.4299453687164</c:v>
                </c:pt>
                <c:pt idx="103">
                  <c:v>562.42994620412344</c:v>
                </c:pt>
                <c:pt idx="104">
                  <c:v>562.4299468731183</c:v>
                </c:pt>
                <c:pt idx="105">
                  <c:v>562.42994740884978</c:v>
                </c:pt>
                <c:pt idx="106">
                  <c:v>562.42994783786412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423.04052988487621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81.6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3.8987237587796053E-3</c:v>
                </c:pt>
                <c:pt idx="1">
                  <c:v>4.7953703840275062E-3</c:v>
                </c:pt>
                <c:pt idx="2">
                  <c:v>5.8982319709535332E-3</c:v>
                </c:pt>
                <c:pt idx="3">
                  <c:v>7.2547347956575985E-3</c:v>
                </c:pt>
                <c:pt idx="4">
                  <c:v>8.9232124498174522E-3</c:v>
                </c:pt>
                <c:pt idx="5">
                  <c:v>1.0975414355857981E-2</c:v>
                </c:pt>
                <c:pt idx="6">
                  <c:v>1.3499591202105822E-2</c:v>
                </c:pt>
                <c:pt idx="7">
                  <c:v>1.6604289980670206E-2</c:v>
                </c:pt>
                <c:pt idx="8">
                  <c:v>2.0423021825784291E-2</c:v>
                </c:pt>
                <c:pt idx="9">
                  <c:v>2.5120003383314642E-2</c:v>
                </c:pt>
                <c:pt idx="10">
                  <c:v>3.0897218607127186E-2</c:v>
                </c:pt>
                <c:pt idx="11">
                  <c:v>3.8003104660215135E-2</c:v>
                </c:pt>
                <c:pt idx="12">
                  <c:v>4.6743235439749183E-2</c:v>
                </c:pt>
                <c:pt idx="13">
                  <c:v>5.7493462148880133E-2</c:v>
                </c:pt>
                <c:pt idx="14">
                  <c:v>7.0716075998318029E-2</c:v>
                </c:pt>
                <c:pt idx="15">
                  <c:v>8.6979688081124898E-2</c:v>
                </c:pt>
                <c:pt idx="16">
                  <c:v>0.10698368131346811</c:v>
                </c:pt>
                <c:pt idx="17">
                  <c:v>0.13158828594627081</c:v>
                </c:pt>
                <c:pt idx="18">
                  <c:v>0.16185157198266195</c:v>
                </c:pt>
                <c:pt idx="19">
                  <c:v>0.1990749492832582</c:v>
                </c:pt>
                <c:pt idx="20">
                  <c:v>0.24485913199669199</c:v>
                </c:pt>
                <c:pt idx="21">
                  <c:v>0.30117297394926462</c:v>
                </c:pt>
                <c:pt idx="22">
                  <c:v>0.37043813511629847</c:v>
                </c:pt>
                <c:pt idx="23">
                  <c:v>0.4556332200802749</c:v>
                </c:pt>
                <c:pt idx="24">
                  <c:v>0.56042186673276184</c:v>
                </c:pt>
                <c:pt idx="25">
                  <c:v>0.68931029340695338</c:v>
                </c:pt>
                <c:pt idx="26">
                  <c:v>0.84784107942522025</c:v>
                </c:pt>
                <c:pt idx="27">
                  <c:v>1.04283151218722</c:v>
                </c:pt>
                <c:pt idx="28">
                  <c:v>1.2826667504131448</c:v>
                </c:pt>
                <c:pt idx="29">
                  <c:v>1.5776604104077951</c:v>
                </c:pt>
                <c:pt idx="30">
                  <c:v>1.9404980815923405</c:v>
                </c:pt>
                <c:pt idx="31">
                  <c:v>2.3867828437426852</c:v>
                </c:pt>
                <c:pt idx="32">
                  <c:v>2.9357062447314362</c:v>
                </c:pt>
                <c:pt idx="33">
                  <c:v>3.6108735927183351</c:v>
                </c:pt>
                <c:pt idx="34">
                  <c:v>4.4413190526752233</c:v>
                </c:pt>
                <c:pt idx="35">
                  <c:v>5.4627541992255342</c:v>
                </c:pt>
                <c:pt idx="36">
                  <c:v>6.7191037170104515</c:v>
                </c:pt>
                <c:pt idx="37">
                  <c:v>8.2643942878681429</c:v>
                </c:pt>
                <c:pt idx="38">
                  <c:v>10.165077892012851</c:v>
                </c:pt>
                <c:pt idx="39">
                  <c:v>12.502889431222746</c:v>
                </c:pt>
                <c:pt idx="40">
                  <c:v>15.378361559074994</c:v>
                </c:pt>
                <c:pt idx="41">
                  <c:v>18.91514786451804</c:v>
                </c:pt>
                <c:pt idx="42">
                  <c:v>23.265340315759079</c:v>
                </c:pt>
                <c:pt idx="43">
                  <c:v>28.616009626231527</c:v>
                </c:pt>
                <c:pt idx="44">
                  <c:v>35.19724979164328</c:v>
                </c:pt>
                <c:pt idx="45">
                  <c:v>43.292072727850325</c:v>
                </c:pt>
                <c:pt idx="46">
                  <c:v>53.248578494489408</c:v>
                </c:pt>
                <c:pt idx="47">
                  <c:v>65.494924439251562</c:v>
                </c:pt>
                <c:pt idx="48">
                  <c:v>80.557736949018704</c:v>
                </c:pt>
                <c:pt idx="49">
                  <c:v>99.084757520463867</c:v>
                </c:pt>
                <c:pt idx="50">
                  <c:v>121.87269692695214</c:v>
                </c:pt>
                <c:pt idx="51">
                  <c:v>149.90149518581879</c:v>
                </c:pt>
                <c:pt idx="52">
                  <c:v>184.37646044358451</c:v>
                </c:pt>
                <c:pt idx="53">
                  <c:v>226.78009863046995</c:v>
                </c:pt>
                <c:pt idx="54">
                  <c:v>278.93586234186051</c:v>
                </c:pt>
                <c:pt idx="55">
                  <c:v>343.08655977668008</c:v>
                </c:pt>
                <c:pt idx="56">
                  <c:v>421.99079470155039</c:v>
                </c:pt>
                <c:pt idx="57">
                  <c:v>519.04158336315777</c:v>
                </c:pt>
                <c:pt idx="58">
                  <c:v>638.41224728936572</c:v>
                </c:pt>
                <c:pt idx="59">
                  <c:v>785.23585287091305</c:v>
                </c:pt>
                <c:pt idx="60">
                  <c:v>965.82590972495893</c:v>
                </c:pt>
                <c:pt idx="61">
                  <c:v>1187.9478118204017</c:v>
                </c:pt>
                <c:pt idx="62">
                  <c:v>1461.1526839985629</c:v>
                </c:pt>
                <c:pt idx="63">
                  <c:v>1797.1879749432444</c:v>
                </c:pt>
                <c:pt idx="64">
                  <c:v>2210.5024301185022</c:v>
                </c:pt>
                <c:pt idx="65">
                  <c:v>2718.8671249208801</c:v>
                </c:pt>
                <c:pt idx="66">
                  <c:v>3344.1392112411654</c:v>
                </c:pt>
                <c:pt idx="67">
                  <c:v>14240.466046837735</c:v>
                </c:pt>
                <c:pt idx="68">
                  <c:v>60614.309080377287</c:v>
                </c:pt>
                <c:pt idx="69">
                  <c:v>257527.19611388104</c:v>
                </c:pt>
                <c:pt idx="70" formatCode="0.00E+00">
                  <c:v>1085619.683345228</c:v>
                </c:pt>
                <c:pt idx="71" formatCode="0.00E+00">
                  <c:v>4431445.029071982</c:v>
                </c:pt>
                <c:pt idx="72" formatCode="0.00E+00">
                  <c:v>16035542.708068937</c:v>
                </c:pt>
                <c:pt idx="73" formatCode="0.00E+00">
                  <c:v>41634384.055826865</c:v>
                </c:pt>
                <c:pt idx="74" formatCode="0.00E+00">
                  <c:v>66597310.029582888</c:v>
                </c:pt>
                <c:pt idx="75" formatCode="0.00E+00">
                  <c:v>77509164.215956718</c:v>
                </c:pt>
                <c:pt idx="76" formatCode="0.00E+00">
                  <c:v>80610402.310814738</c:v>
                </c:pt>
                <c:pt idx="77" formatCode="0.00E+00">
                  <c:v>81374897.338505015</c:v>
                </c:pt>
                <c:pt idx="78" formatCode="0.00E+00">
                  <c:v>81556509.263075352</c:v>
                </c:pt>
                <c:pt idx="79" formatCode="0.00E+00">
                  <c:v>81599269.719703421</c:v>
                </c:pt>
                <c:pt idx="80" formatCode="0.00E+00">
                  <c:v>81609316.469824836</c:v>
                </c:pt>
                <c:pt idx="81" formatCode="0.00E+00">
                  <c:v>81611675.827475786</c:v>
                </c:pt>
                <c:pt idx="82" formatCode="0.00E+00">
                  <c:v>81612229.829611018</c:v>
                </c:pt>
                <c:pt idx="83" formatCode="0.00E+00">
                  <c:v>81612359.911619559</c:v>
                </c:pt>
                <c:pt idx="84" formatCode="0.00E+00">
                  <c:v>81612390.455221012</c:v>
                </c:pt>
                <c:pt idx="85" formatCode="0.00E+00">
                  <c:v>81612397.626929045</c:v>
                </c:pt>
                <c:pt idx="86" formatCode="0.00E+00">
                  <c:v>81612399.31086202</c:v>
                </c:pt>
                <c:pt idx="87" formatCode="0.00E+00">
                  <c:v>81612399.706253171</c:v>
                </c:pt>
                <c:pt idx="88" formatCode="0.00E+00">
                  <c:v>81612399.799091905</c:v>
                </c:pt>
                <c:pt idx="89" formatCode="0.00E+00">
                  <c:v>81612399.820890635</c:v>
                </c:pt>
                <c:pt idx="90" formatCode="0.00E+00">
                  <c:v>81612399.826009035</c:v>
                </c:pt>
                <c:pt idx="91" formatCode="0.00E+00">
                  <c:v>81612399.827210829</c:v>
                </c:pt>
                <c:pt idx="92" formatCode="0.00E+00">
                  <c:v>81612399.827493012</c:v>
                </c:pt>
                <c:pt idx="93" formatCode="0.00E+00">
                  <c:v>81612399.827559277</c:v>
                </c:pt>
                <c:pt idx="94" formatCode="0.00E+00">
                  <c:v>81612399.827574849</c:v>
                </c:pt>
                <c:pt idx="95" formatCode="0.00E+00">
                  <c:v>81612399.8275785</c:v>
                </c:pt>
                <c:pt idx="96" formatCode="0.00E+00">
                  <c:v>81612399.827579349</c:v>
                </c:pt>
                <c:pt idx="97" formatCode="0.00E+00">
                  <c:v>81612399.827579558</c:v>
                </c:pt>
                <c:pt idx="98" formatCode="0.00E+00">
                  <c:v>81612399.827579603</c:v>
                </c:pt>
                <c:pt idx="99" formatCode="0.00E+00">
                  <c:v>81612399.827579618</c:v>
                </c:pt>
                <c:pt idx="100" formatCode="0.00E+00">
                  <c:v>81612399.827579618</c:v>
                </c:pt>
                <c:pt idx="101" formatCode="0.00E+00">
                  <c:v>81612399.827579618</c:v>
                </c:pt>
                <c:pt idx="102" formatCode="0.00E+00">
                  <c:v>81612399.827579618</c:v>
                </c:pt>
                <c:pt idx="103" formatCode="0.00E+00">
                  <c:v>81612399.827579618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82456"/>
        <c:axId val="751677752"/>
      </c:scatterChart>
      <c:valAx>
        <c:axId val="751682456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77752"/>
        <c:crossesAt val="1.0000000000000002E-2"/>
        <c:crossBetween val="midCat"/>
        <c:majorUnit val="14"/>
        <c:minorUnit val="7"/>
      </c:valAx>
      <c:valAx>
        <c:axId val="75167775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82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6"/>
  <sheetViews>
    <sheetView zoomScale="8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4"/>
  <sheetViews>
    <sheetView zoomScale="8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3"/>
  <sheetViews>
    <sheetView zoomScale="8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5"/>
  <sheetViews>
    <sheetView zoomScale="85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6"/>
  <sheetViews>
    <sheetView zoomScale="8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9"/>
  <sheetViews>
    <sheetView zoomScale="8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1"/>
  <sheetViews>
    <sheetView zoomScale="8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0"/>
  <sheetViews>
    <sheetView tabSelected="1"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73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2">
  <autoFilter ref="B10:BH117"/>
  <tableColumns count="59">
    <tableColumn id="1" name="Date" dataDxfId="41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40">
      <calculatedColumnFormula>tblData[[#This Row],[New South Wales]]/$L$9</calculatedColumnFormula>
    </tableColumn>
    <tableColumn id="27" name="Italy"/>
    <tableColumn id="38" name="Italy Cases per Capita" dataDxfId="39">
      <calculatedColumnFormula>IF(ISNUMBER(tblData[Italy]),tblData[Italy]/$N$9,"")</calculatedColumnFormula>
    </tableColumn>
    <tableColumn id="28" name="US"/>
    <tableColumn id="39" name="US Cases Per Capita" dataDxfId="38">
      <calculatedColumnFormula>IF(ISNUMBER(tblData[US]),tblData[US]/$P$9,"")</calculatedColumnFormula>
    </tableColumn>
    <tableColumn id="49" name="SKorea" dataDxfId="37"/>
    <tableColumn id="50" name="SKorea Cases Per Capita" dataDxfId="36">
      <calculatedColumnFormula>IF(ISNUMBER(tblData[SKorea]),tblData[SKorea]/$R$9,"")</calculatedColumnFormula>
    </tableColumn>
    <tableColumn id="51" name="UK" dataDxfId="35"/>
    <tableColumn id="52" name="UK Cases Per Capita" dataDxfId="34">
      <calculatedColumnFormula>IF(ISNUMBER(tblData[UK]),tblData[UK]/$T$9,"")</calculatedColumnFormula>
    </tableColumn>
    <tableColumn id="31" name="China"/>
    <tableColumn id="40" name="China Cases Per Capita" dataDxfId="33">
      <calculatedColumnFormula>IF(ISNUMBER(tblData[China]),tblData[China]/$V$9,"")</calculatedColumnFormula>
    </tableColumn>
    <tableColumn id="11" name="Days# Italy">
      <calculatedColumnFormula>IF($B11&lt;BM$13,"",$B11-BM$13)</calculatedColumnFormula>
    </tableColumn>
    <tableColumn id="26" name="Days# US"/>
    <tableColumn id="32" name="Days# China"/>
    <tableColumn id="54" name="Days# Skorea" dataDxfId="32">
      <calculatedColumnFormula>IF(tblData[[#This Row],[Date]]&lt;StartDt2Korea,"",tblData[[#This Row],[Date]]-StartDt2Korea)</calculatedColumnFormula>
    </tableColumn>
    <tableColumn id="53" name="Days# UK" dataDxfId="31">
      <calculatedColumnFormula>IF(tblData[[#This Row],[Date]]&lt;UKStart,"",tblData[[#This Row],[Date]]-UKStart)</calculatedColumnFormula>
    </tableColumn>
    <tableColumn id="13" name="Day# Aust" dataDxfId="30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29">
      <calculatedColumnFormula>IF(ISNUMBER(tblData[Au]),tblData[Au]/$AA$9,"")</calculatedColumnFormula>
    </tableColumn>
    <tableColumn id="19" name="Au LogiP(t)" dataDxfId="28">
      <calculatedColumnFormula>IF(ISNUMBER(tblData[[#This Row],[Day'# Aust]]),betaAu/(deltaAu+betaPodeltaAu*EXP(-betaAu*tblData[[#This Row],[Day'# Aust]])),"")</calculatedColumnFormula>
    </tableColumn>
    <tableColumn id="47" name="Au LogiP(t) Per Capita" dataDxfId="27">
      <calculatedColumnFormula>IF(ISNUMBER(tblData[Day'# Aust]),tblData[Au LogiP(t)]/$AD$9,"")</calculatedColumnFormula>
    </tableColumn>
    <tableColumn id="48" name="AU Sq Err" dataDxfId="26">
      <calculatedColumnFormula>IF(AND(tblData[Date]&gt;=StartDt2Au,ISNUMBER(tblData[NSW])),(tblData[[#This Row],[Au LogiP(t)]]-tblData[[#This Row],[Au]])^2,"")</calculatedColumnFormula>
    </tableColumn>
    <tableColumn id="15" name="Day # NSW" dataDxfId="25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24">
      <calculatedColumnFormula>IF(tblData[Date]&gt;StartDt2NSW,betaNSW/(deltaNSW+betaPodeltaNSW*EXP(-betaNSW*tblData[[#This Row],[Day '# NSW]])),"")</calculatedColumnFormula>
    </tableColumn>
    <tableColumn id="18" name="NSW Sq Err" dataDxfId="23">
      <calculatedColumnFormula>IF(AND(ISNUMBER(tblData[NSW]),tblData[Date]&gt;StartDt2NSW),(tblData[[#This Row],[NSW LogiP(t)]]-tblData[[#This Row],[NSW]])^2,"")</calculatedColumnFormula>
    </tableColumn>
    <tableColumn id="43" name="Nsw LogiP(t) Per Capita" dataDxfId="22">
      <calculatedColumnFormula>IF(AND(tblData[Date]&gt;StartDt2NSW,ISNUMBER(tblData[Day'# Aust])),tblData[NSW LogiP(t)]/$AG$9,"")</calculatedColumnFormula>
    </tableColumn>
    <tableColumn id="20" name="Italy LogiP(t)" dataDxfId="21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20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19">
      <calculatedColumnFormula>IF(AND(tblData[Date]&gt;StartDt2Italy,ISNUMBER(tblData[Days'# Italy])),tblData[[#This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IF(tblData[Date]&gt;=StartDt2Korea,betaSKorea/(deltaSKorea+betaPodeltaSKorea*EXP(-betaSKorea*(tblData[Date]-StartDt2Korea))),"")</calculatedColumnFormula>
    </tableColumn>
    <tableColumn id="55" name="Skorea Sq Err" dataDxfId="14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13">
      <calculatedColumnFormula>IF(tblData[Date]&gt;=StartDt2Korea,tblData[[#This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Q129"/>
  <sheetViews>
    <sheetView zoomScaleNormal="100" workbookViewId="0">
      <pane xSplit="2" ySplit="10" topLeftCell="BE14" activePane="bottomRight" state="frozen"/>
      <selection pane="topRight" activeCell="C1" sqref="C1"/>
      <selection pane="bottomLeft" activeCell="A11" sqref="A11"/>
      <selection pane="bottomRight" activeCell="BK18" sqref="BK18:CN18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6.85546875" style="26" customWidth="1"/>
    <col min="65" max="65" width="10.7109375" bestFit="1" customWidth="1"/>
    <col min="66" max="66" width="10.7109375" style="26" customWidth="1"/>
    <col min="69" max="69" width="13.140625" customWidth="1"/>
    <col min="71" max="71" width="13.5703125" customWidth="1"/>
    <col min="72" max="72" width="11.28515625" customWidth="1"/>
    <col min="75" max="75" width="13.5703125" customWidth="1"/>
    <col min="76" max="76" width="10.7109375" bestFit="1" customWidth="1"/>
    <col min="77" max="78" width="14.140625" style="26" customWidth="1"/>
    <col min="79" max="79" width="13.42578125" customWidth="1"/>
    <col min="80" max="80" width="12.85546875" customWidth="1"/>
    <col min="83" max="83" width="16.140625" customWidth="1"/>
    <col min="85" max="85" width="15.7109375" customWidth="1"/>
    <col min="86" max="86" width="48" customWidth="1"/>
    <col min="88" max="88" width="10.7109375" bestFit="1" customWidth="1"/>
    <col min="90" max="90" width="10.7109375" bestFit="1" customWidth="1"/>
    <col min="92" max="92" width="44.42578125" customWidth="1"/>
    <col min="94" max="94" width="22.42578125" bestFit="1" customWidth="1"/>
    <col min="102" max="102" width="9.42578125" customWidth="1"/>
    <col min="103" max="103" width="12.140625" customWidth="1"/>
    <col min="110" max="110" width="15.85546875" style="82" bestFit="1" customWidth="1"/>
    <col min="111" max="111" width="14.7109375" style="27" customWidth="1"/>
    <col min="112" max="112" width="12.140625" style="27" bestFit="1" customWidth="1"/>
    <col min="118" max="118" width="9.5703125" bestFit="1" customWidth="1"/>
    <col min="122" max="122" width="11" style="27" bestFit="1" customWidth="1"/>
    <col min="126" max="126" width="13.7109375" style="27" customWidth="1"/>
  </cols>
  <sheetData>
    <row r="1" spans="1:140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8" t="s">
        <v>857</v>
      </c>
      <c r="L1" s="26" t="s">
        <v>962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991</v>
      </c>
      <c r="AL1" t="s">
        <v>990</v>
      </c>
    </row>
    <row r="2" spans="1:140" ht="15.75" thickBot="1" x14ac:dyDescent="0.3">
      <c r="A2" s="9">
        <f>betaTest</f>
        <v>0.16833124287870344</v>
      </c>
      <c r="B2" s="39">
        <f>deltaTest</f>
        <v>5.7750090964641499E-7</v>
      </c>
      <c r="C2" s="9">
        <f>PoTest</f>
        <v>4943.2602326566102</v>
      </c>
      <c r="D2" s="9">
        <f>beta/delta</f>
        <v>291482.21252459526</v>
      </c>
      <c r="E2" s="9">
        <f>msqTest</f>
        <v>2141.4153557262753</v>
      </c>
      <c r="F2" s="43">
        <f>(beta/Po)-delta</f>
        <v>3.3475175857532143E-5</v>
      </c>
      <c r="G2" s="10">
        <f>delta*1000</f>
        <v>5.7750090964641494E-4</v>
      </c>
      <c r="J2">
        <v>1</v>
      </c>
      <c r="L2" s="44">
        <v>10000000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2141.4153557262753</v>
      </c>
      <c r="AH2" s="42">
        <f>(betaTest/PoTest)-deltaTest</f>
        <v>3.3475175857532143E-5</v>
      </c>
      <c r="AI2" s="10">
        <f>deltaTest*1000</f>
        <v>5.7750090964641494E-4</v>
      </c>
      <c r="AJ2" s="53">
        <f t="array" ref="AJ2">MAX(IF(ISNUMBER(tblData[NSW Number of Tests]),tblData[Date]))</f>
        <v>43911</v>
      </c>
      <c r="AK2" t="str">
        <f>"NSW COVID19 Tests at " &amp;TEXT(AJ2,"ddd dd-mmm ")</f>
        <v xml:space="preserve">NSW COVID19 Tests at Sat 21-Mar </v>
      </c>
      <c r="AL2" t="str">
        <f ca="1">"Logistic Forecast, Limit " &amp; Cengnotation(AF2,3) &amp; " at " &amp; TEXT(NOW(),"dd-mmm")</f>
        <v>Logistic Forecast, Limit 291 k at 22-Mar</v>
      </c>
    </row>
    <row r="3" spans="1:140" x14ac:dyDescent="0.25">
      <c r="B3" s="44">
        <v>1E-10</v>
      </c>
      <c r="D3" t="str">
        <f>Cengnotation(D2)</f>
        <v>291 k</v>
      </c>
      <c r="L3" s="26" t="str">
        <f>"Cases per " &amp; Cengnotation(L2,2)  &amp; " population"</f>
        <v>Cases per 10 M population</v>
      </c>
    </row>
    <row r="4" spans="1:140" x14ac:dyDescent="0.25">
      <c r="A4" s="31" t="s">
        <v>490</v>
      </c>
    </row>
    <row r="6" spans="1:140" s="26" customFormat="1" ht="18.75" x14ac:dyDescent="0.3">
      <c r="M6" s="19"/>
      <c r="N6" s="19"/>
      <c r="O6" s="19"/>
      <c r="U6" s="19"/>
      <c r="DF6" s="82"/>
      <c r="DG6" s="27"/>
      <c r="DH6" s="27"/>
      <c r="DR6" s="27"/>
      <c r="DV6" s="27"/>
      <c r="DX6" s="17" t="s">
        <v>220</v>
      </c>
    </row>
    <row r="7" spans="1:140" s="26" customFormat="1" x14ac:dyDescent="0.25">
      <c r="B7" s="26" t="s">
        <v>1339</v>
      </c>
      <c r="M7" s="19"/>
      <c r="N7" s="19"/>
      <c r="O7" s="19"/>
      <c r="U7" s="19"/>
      <c r="DF7" s="82"/>
      <c r="DG7" s="27"/>
      <c r="DH7" s="27"/>
      <c r="DR7" s="27"/>
      <c r="DV7" s="27"/>
    </row>
    <row r="8" spans="1:140" x14ac:dyDescent="0.25">
      <c r="B8" s="47" t="s">
        <v>853</v>
      </c>
      <c r="C8" s="45"/>
      <c r="D8" s="45"/>
      <c r="F8" s="45"/>
      <c r="G8" s="45"/>
      <c r="H8" s="45"/>
      <c r="I8" s="45"/>
      <c r="J8" s="45"/>
      <c r="K8" s="46">
        <f>NSWpop/L9</f>
        <v>10000000</v>
      </c>
      <c r="L8" s="46">
        <v>8080000</v>
      </c>
      <c r="N8" s="46">
        <v>60450000</v>
      </c>
      <c r="P8" s="46">
        <v>329227746</v>
      </c>
      <c r="Q8" s="46"/>
      <c r="R8" s="46">
        <v>51400000</v>
      </c>
      <c r="S8" s="46"/>
      <c r="T8" s="46">
        <v>66440000</v>
      </c>
      <c r="U8" s="46"/>
      <c r="V8" s="46">
        <v>1439323776</v>
      </c>
      <c r="W8" s="45"/>
      <c r="X8" s="45"/>
      <c r="Y8" s="45"/>
      <c r="Z8" s="45"/>
      <c r="AA8" s="46">
        <v>25364000</v>
      </c>
      <c r="AB8" s="45"/>
      <c r="AC8" s="45"/>
      <c r="AD8" s="46">
        <f>AuPop</f>
        <v>25364000</v>
      </c>
      <c r="AE8" s="45"/>
      <c r="AF8" s="45"/>
      <c r="AG8" s="46">
        <f>L8</f>
        <v>8080000</v>
      </c>
      <c r="AH8" s="45"/>
      <c r="AI8" s="45"/>
      <c r="AJ8" s="46">
        <f>AG8</f>
        <v>8080000</v>
      </c>
      <c r="AK8" s="45"/>
      <c r="AL8" s="45"/>
      <c r="AM8" s="46">
        <f>ItalyPop</f>
        <v>60450000</v>
      </c>
      <c r="AN8" s="46"/>
      <c r="AO8" s="45"/>
      <c r="AP8" s="46">
        <f>USpop</f>
        <v>329227746</v>
      </c>
      <c r="AQ8" s="46"/>
      <c r="AR8" s="46"/>
      <c r="AS8" s="46">
        <f>SKoreaPop</f>
        <v>51400000</v>
      </c>
      <c r="AT8" s="46"/>
      <c r="AU8" s="46"/>
      <c r="AV8" s="46">
        <f>UKPop</f>
        <v>66440000</v>
      </c>
      <c r="AW8" s="46"/>
      <c r="AX8" s="46"/>
      <c r="AY8" s="46">
        <f>ChinaPop</f>
        <v>1439323776</v>
      </c>
      <c r="BY8"/>
      <c r="BZ8"/>
      <c r="CC8" s="26"/>
      <c r="CD8" s="26"/>
      <c r="CN8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DG8" s="27" t="s">
        <v>1337</v>
      </c>
    </row>
    <row r="9" spans="1:140" s="26" customFormat="1" ht="15.75" thickBot="1" x14ac:dyDescent="0.3">
      <c r="B9" s="47" t="s">
        <v>858</v>
      </c>
      <c r="C9" s="45"/>
      <c r="D9" s="45"/>
      <c r="F9" s="45"/>
      <c r="G9" s="45"/>
      <c r="H9" s="45"/>
      <c r="I9" s="45"/>
      <c r="J9" s="45"/>
      <c r="K9" s="45"/>
      <c r="L9" s="46">
        <f>IF(PopScaling=0,1,NSWpop/PerPerson)</f>
        <v>0.80800000000000005</v>
      </c>
      <c r="N9" s="46">
        <f>IF(PopScaling=0,1,ItalyPop/PerPerson)</f>
        <v>6.0449999999999999</v>
      </c>
      <c r="P9" s="46">
        <f>IF(PopScaling=0,1,USpop/PerPerson)</f>
        <v>32.922774599999997</v>
      </c>
      <c r="Q9" s="46"/>
      <c r="R9" s="46">
        <f>IF(PopScaling=0,1,SKoreaPop/PerPerson)</f>
        <v>5.14</v>
      </c>
      <c r="S9" s="46"/>
      <c r="T9" s="46">
        <f>IF(PopScaling=0,1,UKPop/PerPerson)</f>
        <v>6.6440000000000001</v>
      </c>
      <c r="U9" s="46"/>
      <c r="V9" s="46">
        <f>IF(PopScaling=0,1,ChinaPop/PerPerson)</f>
        <v>143.9323776</v>
      </c>
      <c r="W9" s="45"/>
      <c r="X9" s="45"/>
      <c r="Y9" s="45"/>
      <c r="Z9" s="45"/>
      <c r="AA9" s="45">
        <f>IF(PopScaling=0,1,AuPop/PerPerson)</f>
        <v>2.5364</v>
      </c>
      <c r="AB9" s="45"/>
      <c r="AC9" s="45"/>
      <c r="AD9" s="45">
        <f>IF(PopScaling=0,1,AuPop/PerPerson)</f>
        <v>2.5364</v>
      </c>
      <c r="AE9" s="45"/>
      <c r="AF9" s="45"/>
      <c r="AG9" s="46">
        <f>IF(PopScaling=0,1,AG8/10000000)</f>
        <v>0.80800000000000005</v>
      </c>
      <c r="AH9" s="45"/>
      <c r="AI9" s="45"/>
      <c r="AJ9" s="46">
        <f>IF(PopScaling=0,1,AJ8/10000000)</f>
        <v>0.80800000000000005</v>
      </c>
      <c r="AK9" s="45"/>
      <c r="AL9" s="45"/>
      <c r="AM9" s="46">
        <f>IF(PopScaling=0,1,AM8/10000000)</f>
        <v>6.0449999999999999</v>
      </c>
      <c r="AN9" s="46"/>
      <c r="AO9" s="45"/>
      <c r="AP9" s="46">
        <f>IF(PopScaling=0,1,AP8/10000000)</f>
        <v>32.922774599999997</v>
      </c>
      <c r="AQ9" s="46"/>
      <c r="AR9" s="46"/>
      <c r="AS9" s="46">
        <f>IF(PopScaling=0,1,AS8/10000000)</f>
        <v>5.14</v>
      </c>
      <c r="AT9" s="46"/>
      <c r="AU9" s="46"/>
      <c r="AV9" s="46">
        <f>IF(PopScaling=0,1,AV8/10000000)</f>
        <v>6.6440000000000001</v>
      </c>
      <c r="AW9" s="46"/>
      <c r="AX9" s="46"/>
      <c r="AY9" s="46">
        <f>IF(PopScaling=0,1,AY8/10000000)</f>
        <v>143.9323776</v>
      </c>
      <c r="CN9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CR9" s="26" t="s">
        <v>1037</v>
      </c>
      <c r="DF9" s="82"/>
      <c r="DG9" s="27"/>
      <c r="DH9" s="27"/>
      <c r="DR9" s="27"/>
      <c r="DV9" s="27"/>
    </row>
    <row r="10" spans="1:140" s="14" customFormat="1" ht="69.75" customHeight="1" x14ac:dyDescent="0.25">
      <c r="B10" s="14" t="s">
        <v>203</v>
      </c>
      <c r="C10" s="14" t="s">
        <v>66</v>
      </c>
      <c r="D10" s="69" t="s">
        <v>473</v>
      </c>
      <c r="E10" s="69" t="s">
        <v>47</v>
      </c>
      <c r="F10" s="69" t="s">
        <v>117</v>
      </c>
      <c r="G10" s="69" t="s">
        <v>50</v>
      </c>
      <c r="H10" s="69" t="s">
        <v>62</v>
      </c>
      <c r="I10" s="69" t="s">
        <v>106</v>
      </c>
      <c r="J10" s="69" t="s">
        <v>49</v>
      </c>
      <c r="K10" s="69" t="s">
        <v>95</v>
      </c>
      <c r="L10" s="29" t="s">
        <v>859</v>
      </c>
      <c r="M10" s="70" t="s">
        <v>58</v>
      </c>
      <c r="N10" s="75" t="s">
        <v>860</v>
      </c>
      <c r="O10" s="14" t="s">
        <v>37</v>
      </c>
      <c r="P10" s="29" t="s">
        <v>934</v>
      </c>
      <c r="Q10" s="29" t="s">
        <v>1294</v>
      </c>
      <c r="R10" s="29" t="s">
        <v>1292</v>
      </c>
      <c r="S10" s="29" t="s">
        <v>1252</v>
      </c>
      <c r="T10" s="29" t="s">
        <v>1291</v>
      </c>
      <c r="U10" s="70" t="s">
        <v>225</v>
      </c>
      <c r="V10" s="75" t="s">
        <v>933</v>
      </c>
      <c r="W10" s="14" t="s">
        <v>212</v>
      </c>
      <c r="X10" s="14" t="s">
        <v>489</v>
      </c>
      <c r="Y10" s="14" t="s">
        <v>649</v>
      </c>
      <c r="Z10" s="14" t="s">
        <v>1295</v>
      </c>
      <c r="AA10" s="14" t="s">
        <v>1290</v>
      </c>
      <c r="AB10" s="51" t="s">
        <v>217</v>
      </c>
      <c r="AC10" s="51" t="s">
        <v>992</v>
      </c>
      <c r="AD10" s="74" t="s">
        <v>993</v>
      </c>
      <c r="AE10" s="51" t="s">
        <v>994</v>
      </c>
      <c r="AF10" s="74" t="s">
        <v>996</v>
      </c>
      <c r="AG10" s="51" t="s">
        <v>995</v>
      </c>
      <c r="AH10" s="14" t="s">
        <v>213</v>
      </c>
      <c r="AI10" s="14" t="s">
        <v>202</v>
      </c>
      <c r="AJ10" s="51" t="s">
        <v>214</v>
      </c>
      <c r="AK10" s="51" t="s">
        <v>215</v>
      </c>
      <c r="AL10" s="74" t="s">
        <v>954</v>
      </c>
      <c r="AM10" s="30" t="s">
        <v>223</v>
      </c>
      <c r="AN10" s="30" t="s">
        <v>224</v>
      </c>
      <c r="AO10" s="30" t="s">
        <v>952</v>
      </c>
      <c r="AP10" s="14" t="s">
        <v>487</v>
      </c>
      <c r="AQ10" s="14" t="s">
        <v>488</v>
      </c>
      <c r="AR10" s="14" t="s">
        <v>961</v>
      </c>
      <c r="AS10" s="80" t="s">
        <v>1296</v>
      </c>
      <c r="AT10" s="80" t="s">
        <v>1297</v>
      </c>
      <c r="AU10" s="80" t="s">
        <v>1298</v>
      </c>
      <c r="AV10" s="81" t="s">
        <v>1299</v>
      </c>
      <c r="AW10" s="81" t="s">
        <v>1300</v>
      </c>
      <c r="AX10" s="81" t="s">
        <v>1301</v>
      </c>
      <c r="AY10" s="30" t="s">
        <v>669</v>
      </c>
      <c r="AZ10" s="30" t="s">
        <v>670</v>
      </c>
      <c r="BA10" s="30" t="s">
        <v>953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852</v>
      </c>
      <c r="BG10" s="29" t="s">
        <v>850</v>
      </c>
      <c r="BH10" s="29" t="s">
        <v>851</v>
      </c>
      <c r="BJ10" s="1"/>
      <c r="BK10" t="s">
        <v>1338</v>
      </c>
      <c r="BL10" s="26" t="s">
        <v>1340</v>
      </c>
      <c r="BM10" t="s">
        <v>204</v>
      </c>
      <c r="BN10" s="26" t="s">
        <v>1341</v>
      </c>
      <c r="BO10" t="s">
        <v>816</v>
      </c>
      <c r="BP10" s="2" t="s">
        <v>205</v>
      </c>
      <c r="BQ10" s="3" t="s">
        <v>206</v>
      </c>
      <c r="BR10" s="4" t="s">
        <v>207</v>
      </c>
      <c r="BS10" s="5" t="s">
        <v>216</v>
      </c>
      <c r="BT10" s="6" t="s">
        <v>209</v>
      </c>
      <c r="BU10" s="7" t="s">
        <v>210</v>
      </c>
      <c r="BV10" s="8" t="s">
        <v>211</v>
      </c>
      <c r="BW10" s="20" t="s">
        <v>238</v>
      </c>
      <c r="BX10" s="20" t="s">
        <v>239</v>
      </c>
      <c r="BY10" s="20" t="s">
        <v>491</v>
      </c>
      <c r="BZ10" s="20" t="s">
        <v>814</v>
      </c>
      <c r="CA10" s="20" t="s">
        <v>963</v>
      </c>
      <c r="CB10" t="s">
        <v>222</v>
      </c>
      <c r="CC10" t="s">
        <v>221</v>
      </c>
      <c r="CD10" s="20" t="s">
        <v>773</v>
      </c>
      <c r="CE10" s="20" t="s">
        <v>775</v>
      </c>
      <c r="CF10" s="20" t="s">
        <v>815</v>
      </c>
      <c r="CG10" s="20" t="s">
        <v>981</v>
      </c>
      <c r="CH10" t="s">
        <v>774</v>
      </c>
      <c r="CI10" s="20" t="s">
        <v>1023</v>
      </c>
      <c r="CJ10" s="67" t="s">
        <v>1019</v>
      </c>
      <c r="CK10" s="67" t="s">
        <v>1021</v>
      </c>
      <c r="CL10" s="14" t="s">
        <v>1020</v>
      </c>
      <c r="CM10" t="s">
        <v>1022</v>
      </c>
      <c r="CN10"/>
      <c r="CO10"/>
      <c r="CP10"/>
      <c r="CQ10"/>
      <c r="CY10" s="27" t="s">
        <v>203</v>
      </c>
      <c r="CZ10" s="26" t="s">
        <v>964</v>
      </c>
      <c r="DA10" s="23" t="s">
        <v>965</v>
      </c>
      <c r="DB10" s="25"/>
      <c r="DE10" s="26" t="s">
        <v>988</v>
      </c>
      <c r="DF10" s="82" t="s">
        <v>1340</v>
      </c>
      <c r="DG10" s="27" t="s">
        <v>987</v>
      </c>
      <c r="DH10" s="27" t="s">
        <v>1342</v>
      </c>
      <c r="DI10" s="26" t="s">
        <v>816</v>
      </c>
      <c r="DJ10" s="2" t="s">
        <v>205</v>
      </c>
      <c r="DK10" s="3" t="s">
        <v>206</v>
      </c>
      <c r="DL10" s="4" t="s">
        <v>207</v>
      </c>
      <c r="DM10" s="5" t="s">
        <v>216</v>
      </c>
      <c r="DN10" s="6" t="s">
        <v>209</v>
      </c>
      <c r="DO10" s="7" t="s">
        <v>210</v>
      </c>
      <c r="DP10" s="8" t="s">
        <v>211</v>
      </c>
      <c r="DQ10" s="20" t="s">
        <v>238</v>
      </c>
      <c r="DR10" s="27" t="s">
        <v>239</v>
      </c>
      <c r="DS10" s="20" t="s">
        <v>491</v>
      </c>
      <c r="DT10" s="20" t="s">
        <v>814</v>
      </c>
      <c r="DU10" s="20" t="s">
        <v>963</v>
      </c>
      <c r="DV10" s="27" t="s">
        <v>222</v>
      </c>
      <c r="DW10" s="26" t="s">
        <v>221</v>
      </c>
      <c r="DX10" s="20" t="s">
        <v>773</v>
      </c>
      <c r="DY10" s="20" t="s">
        <v>775</v>
      </c>
      <c r="DZ10" s="20" t="s">
        <v>815</v>
      </c>
      <c r="EA10" s="20" t="s">
        <v>981</v>
      </c>
      <c r="EB10" s="26" t="s">
        <v>774</v>
      </c>
      <c r="EC10" s="26"/>
      <c r="ED10" s="26"/>
      <c r="EE10" s="26"/>
      <c r="EF10" s="26"/>
      <c r="EG10" s="26"/>
      <c r="EH10" s="26"/>
      <c r="EI10" s="26"/>
      <c r="EJ10" s="26"/>
    </row>
    <row r="11" spans="1:140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IF(tblData[Date]&gt;=StartDt2Italy,tblData[Date]-StartDt2Italy,"")</f>
        <v/>
      </c>
      <c r="X11" s="26"/>
      <c r="Y11" s="26">
        <f>IF($B14&lt;BM$15+3,"",$B14-BM$15-3)</f>
        <v>0</v>
      </c>
      <c r="Z11" s="26" t="str">
        <f>IF(tblData[[#This Row],[Date]]&lt;StartDt2Korea,"",tblData[[#This Row],[Date]]-StartDt2Korea)</f>
        <v/>
      </c>
      <c r="AA11" s="26" t="str">
        <f>IF(tblData[[#This Row],[Date]]&lt;UKStart,"",tblData[[#This Row],[Date]]-UKStart)</f>
        <v/>
      </c>
      <c r="AB11" t="str">
        <f>IF(tblData[Date]&gt;=StartDt2Au,tblData[Date]-StartDt2Au,"")</f>
        <v/>
      </c>
      <c r="AC11" s="26" t="str">
        <f>IF(tblData[New South Wales]&gt;0,SUM(tblData[[#This Row],[Australian Capital Territory]:[Western Australia]]),"")</f>
        <v/>
      </c>
      <c r="AD11" s="26" t="str">
        <f>IF(ISNUMBER(tblData[Au]),tblData[Au]/$AA$9,"")</f>
        <v/>
      </c>
      <c r="AE11" s="11" t="str">
        <f>IF(ISNUMBER(tblData[[#This Row],[Day'# Aust]]),betaAu/(deltaAu+betaPodeltaAu*EXP(-betaAu*tblData[[#This Row],[Day'# Aust]])),"")</f>
        <v/>
      </c>
      <c r="AF11" s="71" t="str">
        <f>IF(ISNUMBER(tblData[Day'# Aust]),tblData[Au LogiP(t)]/$AD$9,"")</f>
        <v/>
      </c>
      <c r="AG11" s="11" t="str">
        <f>IF(AND(tblData[Date]&gt;=StartDt2Au,ISNUMBER(tblData[NSW])),(tblData[[#This Row],[Au LogiP(t)]]-tblData[[#This Row],[Au]])^2,"")</f>
        <v/>
      </c>
      <c r="AH11" t="str">
        <f>IF(tblData[Date]&gt;StartDt2NSW,tblData[Date]-StartDt2NSW,"")</f>
        <v/>
      </c>
      <c r="AI11" t="str">
        <f>IF(E11&gt;0,E11,"")</f>
        <v/>
      </c>
      <c r="AJ11" s="11" t="str">
        <f>IF(tblData[Date]&gt;StartDt2NSW,betaNSW/(deltaNSW+betaPodeltaNSW*EXP(-betaNSW*tblData[[#This Row],[Day '# NSW]])),"")</f>
        <v/>
      </c>
      <c r="AK11" s="12" t="str">
        <f>IF(AND(ISNUMBER(tblData[NSW]),tblData[Date]&gt;StartDt2NSW),(tblData[[#This Row],[NSW LogiP(t)]]-tblData[[#This Row],[NSW]])^2,"")</f>
        <v/>
      </c>
      <c r="AL11" s="12" t="str">
        <f>IF(AND(tblData[Date]&gt;StartDt2NSW,ISNUMBER(tblData[Day'# Aust])),tblData[NSW LogiP(t)]/$AG$9,"")</f>
        <v/>
      </c>
      <c r="AM11" s="11" t="str">
        <f>IF(AND(tblData[Date]&gt;StartDt2Italy,ISNUMBER(tblData[Days'# Italy])),betaItaly/(deltaItaly+betaPodeltaItaly*EXP(-betaItaly*tblData[Days'# Italy])),"")</f>
        <v/>
      </c>
      <c r="AN11" s="11" t="str">
        <f>IF(AND(tblData[Date]&gt;StartDt2Italy,ISNUMBER(tblData[Italy])),(tblData[[#This Row],[Italy LogiP(t)]]-tblData[[#This Row],[Italy]])^2,"")</f>
        <v/>
      </c>
      <c r="AO11" s="11" t="str">
        <f>IF(AND(tblData[Date]&gt;StartDt2Italy,ISNUMBER(tblData[Days'# Italy])),tblData[[#This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IF(tblData[Date]&gt;=StartDt2Korea,betaSKorea/(deltaSKorea+betaPodeltaSKorea*EXP(-betaSKorea*(tblData[Date]-StartDt2Korea))),"")</f>
        <v/>
      </c>
      <c r="AT11" s="11" t="str">
        <f>IF(AND(tblData[Date]&gt;=StartDt2Korea,ISNUMBER(tblData[SKorea])),(tblData[[#This Row],[SKorea LogiP(t)]]-tblData[[#This Row],[SKorea]])^2,"")</f>
        <v/>
      </c>
      <c r="AU11" s="11" t="str">
        <f>IF(tblData[Date]&gt;=StartDt2Korea,tblData[[#This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83">
        <v>43912.326643518521</v>
      </c>
      <c r="BM11" s="1">
        <v>43855</v>
      </c>
      <c r="BN11" s="27">
        <v>43855</v>
      </c>
      <c r="BO11">
        <v>0</v>
      </c>
      <c r="BP11">
        <v>0.20700169092268883</v>
      </c>
      <c r="BQ11">
        <v>1.0000000000000768E-9</v>
      </c>
      <c r="BR11" s="26">
        <v>9.888722941768591E-3</v>
      </c>
      <c r="BS11">
        <f>betaAu/deltaAu</f>
        <v>207001690.92267293</v>
      </c>
      <c r="BT11" s="49">
        <f>SQRT(SUM(tblData[AU Sq Err])/COUNT(tblData[AU Sq Err]))</f>
        <v>11.00426291537671</v>
      </c>
      <c r="BU11">
        <f>(betaAu/PoAu)-deltaAu</f>
        <v>20.933106542853348</v>
      </c>
      <c r="BV11">
        <f>deltaAu*1000</f>
        <v>1.0000000000000768E-6</v>
      </c>
      <c r="BW11" s="26"/>
      <c r="BX11" s="27">
        <f t="array" ref="BX11">MAX(IF(ISNUMBER(tblData[Au]),tblData[Date]))</f>
        <v>43911</v>
      </c>
      <c r="BY11" s="27" t="str">
        <f t="shared" ref="BY11:BY18" si="0">Cengnotation(BS11,3)</f>
        <v>207 M</v>
      </c>
      <c r="BZ11" s="26">
        <f>MAX(tblData[Au])</f>
        <v>1073</v>
      </c>
      <c r="CA11" s="26" t="str">
        <f>Cengnotation(BS11/(AuPop/PerPerson),3)</f>
        <v>81.6 M</v>
      </c>
      <c r="CB11" s="1">
        <f t="array" ref="CB11">MAX(IF(ISNUMBER(tblData[Au]),tblData[Date]))</f>
        <v>43911</v>
      </c>
      <c r="CC11">
        <f t="array" ref="CC11">COUNT(IF(ISNUMBER(tblData[Au]),tblData[Date]))</f>
        <v>57</v>
      </c>
      <c r="CD11" s="27" t="str">
        <f t="shared" ref="CD11:CD18" si="1">"b="&amp;TEXT(BP11,"##0.###")&amp;", d="&amp;TEXT(BQ11,"0.00E+00")&amp;", P0="&amp;TEXT(BR11,"#.####")&amp;" Limit="&amp;IF(PopScaling=0,BY11,CA11)</f>
        <v>b=0.207, d=1.00E-09, P0=.0099 Limit=81.6 M</v>
      </c>
      <c r="CE11" s="26"/>
      <c r="CF11" s="26" t="str">
        <f t="shared" ref="CF11:CF18" si="2">BK11&amp;" Limit " &amp; IF(PopScaling=0,BY11,CA11)</f>
        <v>Australia Limit 81.6 M</v>
      </c>
      <c r="CG11" s="26"/>
      <c r="CH11" s="18" t="str">
        <f>"COVID19 "&amp;BK11 &amp; " " &amp;LogFormula&amp;CHAR(10)&amp;CD11&amp;CHAR(10)&amp;TEXT(CB11," dd-mmm")&amp;IF(PopScaling=0,"",", "&amp;PerPersonLabel)</f>
        <v>COVID19 Australia P(t) = b / {d+[( b/Po - d ) ]* exp(-b*t)}
b=0.207, d=1.00E-09, P0=.0099 Limit=81.6 M
 21-Mar, Cases per 10 M population</v>
      </c>
      <c r="CI11" s="21">
        <f>MAX(tblData[Au Cases Per Capita])</f>
        <v>423.04052988487621</v>
      </c>
      <c r="CJ11" s="26"/>
      <c r="CK11" s="26"/>
      <c r="CN11" s="26" t="str">
        <f>"At " &amp; TEXT(CB11,"ddd dd-mmm ") &amp; BK11 &amp;  TEXT(AuMaxCasespc," ###0") &amp; " cases per 10M was " &amp; CM13  &amp; " days behind Italy, " &amp; IF(CM14&gt;0, CM14 &amp; " days behind", -CM14 &amp; " days ahead of ") &amp; " USA &amp; " &amp;  CM15 &amp; " days behind China, " &amp; CM16 &amp; " days behind South Korea, " &amp; CM17 &amp; " days behind UK"</f>
        <v>At Sat 21-Mar Australia 423 cases per 10M was 18 days behind Italy, 2 days behind USA &amp; 37 days behind China, 23 days behind South Korea, 2 days behind UK</v>
      </c>
      <c r="CY11" s="27">
        <v>43852</v>
      </c>
      <c r="CZ11" s="44">
        <f>NSWpop</f>
        <v>8080000</v>
      </c>
      <c r="DA11" s="52">
        <f>PerPerson</f>
        <v>10000000</v>
      </c>
      <c r="DE11" s="26" t="s">
        <v>48</v>
      </c>
      <c r="DG11" s="27">
        <v>43855</v>
      </c>
      <c r="DI11" s="26">
        <v>0</v>
      </c>
      <c r="DJ11" s="23">
        <v>0.19828176912463458</v>
      </c>
      <c r="DK11" s="25">
        <v>1.0000000000015669E-10</v>
      </c>
      <c r="DL11" s="22">
        <v>1.5235707215503663E-2</v>
      </c>
      <c r="DM11" s="26">
        <v>1982817691.2432389</v>
      </c>
      <c r="DN11" s="19">
        <v>10.841918819926793</v>
      </c>
      <c r="DO11" s="37">
        <v>13.014280618450188</v>
      </c>
      <c r="DP11" s="24">
        <v>1.0000000000015668E-7</v>
      </c>
      <c r="DQ11" s="12"/>
      <c r="DR11" s="27">
        <v>43908</v>
      </c>
      <c r="DS11" s="27" t="s">
        <v>998</v>
      </c>
      <c r="DT11" s="19">
        <v>565</v>
      </c>
      <c r="DU11" s="19" t="s">
        <v>999</v>
      </c>
      <c r="DV11" s="27">
        <v>43908</v>
      </c>
      <c r="DW11" s="26">
        <v>57</v>
      </c>
      <c r="DX11" s="18" t="s">
        <v>1000</v>
      </c>
      <c r="DY11" s="26"/>
      <c r="DZ11" s="26" t="s">
        <v>1001</v>
      </c>
      <c r="EA11" s="26"/>
      <c r="EB11" s="26" t="s">
        <v>1002</v>
      </c>
      <c r="EC11" s="26"/>
      <c r="ED11" s="26"/>
      <c r="EE11" s="26"/>
      <c r="EF11" s="26"/>
      <c r="EG11" s="26"/>
      <c r="EH11" s="26"/>
      <c r="EI11" s="26"/>
      <c r="EJ11" s="21" t="e">
        <f>(AP15-O15)^2</f>
        <v>#VALUE!</v>
      </c>
    </row>
    <row r="12" spans="1:140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 t="str">
        <f>IF(tblData[[#This Row],[Date]]&lt;StartDt2Korea,"",tblData[[#This Row],[Date]]-StartDt2Korea)</f>
        <v/>
      </c>
      <c r="AA12" s="26" t="str">
        <f>IF(tblData[[#This Row],[Date]]&lt;UKStart,"",tblData[[#This Row],[Date]]-UKStart)</f>
        <v/>
      </c>
      <c r="AB12" t="str">
        <f>IF(tblData[Date]&gt;=StartDt2Au,tblData[Date]-StartDt2Au,"")</f>
        <v/>
      </c>
      <c r="AC12" s="26" t="str">
        <f>IF(tblData[New South Wales]&gt;0,SUM(tblData[[#This Row],[Australian Capital Territory]:[Western Australia]]),"")</f>
        <v/>
      </c>
      <c r="AD12" s="26" t="str">
        <f>IF(ISNUMBER(tblData[Au]),tblData[Au]/$AA$9,"")</f>
        <v/>
      </c>
      <c r="AE12" s="11" t="str">
        <f>IF(ISNUMBER(tblData[[#This Row],[Day'# Aust]]),betaAu/(deltaAu+betaPodeltaAu*EXP(-betaAu*tblData[[#This Row],[Day'# Aust]])),"")</f>
        <v/>
      </c>
      <c r="AF12" s="71" t="str">
        <f>IF(ISNUMBER(tblData[Day'# Aust]),tblData[Au LogiP(t)]/$AD$9,"")</f>
        <v/>
      </c>
      <c r="AG12" s="11" t="str">
        <f>IF(AND(tblData[Date]&gt;=StartDt2Au,ISNUMBER(tblData[NSW])),(tblData[[#This Row],[Au LogiP(t)]]-tblData[[#This Row],[Au]])^2,"")</f>
        <v/>
      </c>
      <c r="AH12" t="str">
        <f>IF(tblData[Date]&gt;StartDt2NSW,tblData[Date]-StartDt2NSW,"")</f>
        <v/>
      </c>
      <c r="AI12" t="str">
        <f>IF(E12&gt;0,E12,"")</f>
        <v/>
      </c>
      <c r="AJ12" s="11" t="str">
        <f>IF(tblData[Date]&gt;StartDt2NSW,betaNSW/(deltaNSW+betaPodeltaNSW*EXP(-betaNSW*tblData[[#This Row],[Day '# NSW]])),"")</f>
        <v/>
      </c>
      <c r="AK12" s="12" t="str">
        <f>IF(AND(ISNUMBER(tblData[NSW]),tblData[Date]&gt;StartDt2NSW),(tblData[[#This Row],[NSW LogiP(t)]]-tblData[[#This Row],[NSW]])^2,"")</f>
        <v/>
      </c>
      <c r="AL12" s="12" t="str">
        <f>IF(AND(tblData[Date]&gt;StartDt2NSW,ISNUMBER(tblData[Day'# Aust])),tblData[NSW LogiP(t)]/$AG$9,"")</f>
        <v/>
      </c>
      <c r="AM12" s="11" t="str">
        <f>IF(AND(tblData[Date]&gt;StartDt2Italy,ISNUMBER(tblData[Days'# Italy])),betaItaly/(deltaItaly+betaPodeltaItaly*EXP(-betaItaly*tblData[Days'# Italy])),"")</f>
        <v/>
      </c>
      <c r="AN12" s="11" t="str">
        <f>IF(AND(tblData[Date]&gt;StartDt2Italy,ISNUMBER(tblData[Italy])),(tblData[[#This Row],[Italy LogiP(t)]]-tblData[[#This Row],[Italy]])^2,"")</f>
        <v/>
      </c>
      <c r="AO12" s="11" t="str">
        <f>IF(AND(tblData[Date]&gt;StartDt2Italy,ISNUMBER(tblData[Days'# Italy])),tblData[[#This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IF(tblData[Date]&gt;=StartDt2Korea,betaSKorea/(deltaSKorea+betaPodeltaSKorea*EXP(-betaSKorea*(tblData[Date]-StartDt2Korea))),"")</f>
        <v/>
      </c>
      <c r="AT12" s="11" t="str">
        <f>IF(AND(tblData[Date]&gt;=StartDt2Korea,ISNUMBER(tblData[SKorea])),(tblData[[#This Row],[SKorea LogiP(t)]]-tblData[[#This Row],[SKorea]])^2,"")</f>
        <v/>
      </c>
      <c r="AU12" s="11" t="str">
        <f>IF(tblData[Date]&gt;=StartDt2Korea,tblData[[#This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1911.1096495363149</v>
      </c>
      <c r="AZ12" s="11">
        <f>IF(ISNUMBER(tblData[China]),(tblData[[#This Row],[China LogiP(t)]]-tblData[[#This Row],[China]])^2,"")</f>
        <v>1608102.0832471154</v>
      </c>
      <c r="BA12" s="11">
        <f>tblData[[#This Row],[China LogiP(t)]]/$AY$9</f>
        <v>13.277830057441607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2" t="s">
        <v>202</v>
      </c>
      <c r="BL12" s="84">
        <v>43912.326666666668</v>
      </c>
      <c r="BM12" s="63">
        <v>43855</v>
      </c>
      <c r="BN12" s="27">
        <v>43855</v>
      </c>
      <c r="BO12" s="62">
        <v>1</v>
      </c>
      <c r="BP12" s="62">
        <v>0.20930602113130264</v>
      </c>
      <c r="BQ12" s="68">
        <v>7.6817707886235747E-5</v>
      </c>
      <c r="BR12" s="62">
        <v>4.3039510033128963E-3</v>
      </c>
      <c r="BS12" s="62">
        <f>betaNSW/deltaNSW</f>
        <v>2724.7105763852951</v>
      </c>
      <c r="BT12" s="64">
        <f>SQRT(SUM(tblData[NSW Sq Err])/COUNT(tblData[NSW Sq Err]))</f>
        <v>4.2004617329616165</v>
      </c>
      <c r="BU12" s="62">
        <f>(betaNSW/PoNSW)-deltaNSW</f>
        <v>48.631057916445158</v>
      </c>
      <c r="BV12" s="62">
        <f>deltaNSW*1000</f>
        <v>7.681770788623575E-2</v>
      </c>
      <c r="BW12" s="64">
        <f>SQRT(SUM(tblData[NSW Sq Err])/COUNT(tblData[NSW Sq Err]))</f>
        <v>4.2004617329616165</v>
      </c>
      <c r="BX12" s="63">
        <f t="array" ref="BX12">MAX(IF(ISNUMBER(tblData[NSW]),tblData[Date]))</f>
        <v>43911</v>
      </c>
      <c r="BY12" s="63" t="str">
        <f t="shared" si="0"/>
        <v>2.72 k</v>
      </c>
      <c r="BZ12" s="62">
        <f>MAX(tblData[NSW])</f>
        <v>436</v>
      </c>
      <c r="CA12" s="62" t="str">
        <f>Cengnotation(BS12/(NSWpop/PerPerson),3)</f>
        <v>3.37 k</v>
      </c>
      <c r="CB12" s="63">
        <f t="array" ref="CB12">MAX(IF(ISNUMBER(tblData[NSW]),tblData[Date]))</f>
        <v>43911</v>
      </c>
      <c r="CC12" s="65">
        <f t="array" ref="CC12">COUNT(IF(ISNUMBER(tblData[NSW]),tblData[Date]))</f>
        <v>57</v>
      </c>
      <c r="CD12" s="63" t="str">
        <f t="shared" si="1"/>
        <v>b=0.209, d=7.68E-05, P0=.0043 Limit=3.37 k</v>
      </c>
      <c r="CE12" s="62"/>
      <c r="CF12" s="62" t="str">
        <f t="shared" si="2"/>
        <v>NSW Limit 3.37 k</v>
      </c>
      <c r="CG12" s="62"/>
      <c r="CH12" s="66" t="str">
        <f>"COVID19 "&amp;BK12 &amp; " " &amp;LogFormula&amp;CHAR(10)&amp;CD12&amp;CHAR(10)&amp;TEXT(CB12," dd-mmm")&amp;IF(PopScaling=0,"",", "&amp;PerPersonLabel)</f>
        <v>COVID19 NSW P(t) = b / {d+[( b/Po - d ) ]* exp(-b*t)}
b=0.209, d=7.68E-05, P0=.0043 Limit=3.37 k
 21-Mar, Cases per 10 M population</v>
      </c>
      <c r="CI12" s="21">
        <f>MAX(tblData[NSW Cases per Capita])</f>
        <v>539.60396039603961</v>
      </c>
      <c r="CJ12" s="65"/>
      <c r="CK12" s="65"/>
      <c r="CM12" s="11"/>
      <c r="CN12" s="26" t="str">
        <f>"At " &amp; TEXT(CB12,"ddd dd-mmm " ) &amp;  BK12  &amp;  TEXT(NSWMaxCasespc," ###0") &amp; " cases per 10M was " &amp; CK13 &amp; " days behind Italy, " &amp; IF(CK14&gt;0, CK14 &amp; " days behind", -CK14 &amp; " days ahead of") &amp; " USA &amp; " &amp;  CK15 &amp; " days behind China, " &amp; CK16 &amp; " days behind South Korea, " &amp; CK17 &amp; " days behind UK"</f>
        <v>At Sat 21-Mar NSW 540 cases per 10M was 16 days behind Italy, 1 days behind USA &amp; 25 days behind China, 21 days behind South Korea, 1 days behind UK</v>
      </c>
      <c r="CY12" s="27">
        <v>44004</v>
      </c>
      <c r="CZ12" s="44">
        <f>CZ11</f>
        <v>8080000</v>
      </c>
      <c r="DA12" s="52">
        <f>PerPerson</f>
        <v>10000000</v>
      </c>
      <c r="DB12">
        <f>delta</f>
        <v>5.7750090964641499E-7</v>
      </c>
      <c r="DE12" s="26" t="s">
        <v>48</v>
      </c>
      <c r="DG12" s="27">
        <v>43855</v>
      </c>
      <c r="DI12" s="26">
        <v>0</v>
      </c>
      <c r="DJ12" s="26">
        <v>0.19828176912463458</v>
      </c>
      <c r="DK12" s="26">
        <v>1.0000000000015669E-10</v>
      </c>
      <c r="DL12" s="26">
        <v>1.5235707215503663E-2</v>
      </c>
      <c r="DM12" s="26">
        <v>1982817691.2432389</v>
      </c>
      <c r="DN12" s="19">
        <v>12.353786198782009</v>
      </c>
      <c r="DO12" s="12">
        <v>13.014280618450188</v>
      </c>
      <c r="DP12" s="26">
        <v>1.0000000000015668E-7</v>
      </c>
      <c r="DQ12" s="26"/>
      <c r="DR12" s="27">
        <v>43908</v>
      </c>
      <c r="DS12" s="27" t="s">
        <v>998</v>
      </c>
      <c r="DT12" s="26">
        <v>636</v>
      </c>
      <c r="DU12" s="26" t="s">
        <v>999</v>
      </c>
      <c r="DV12" s="27">
        <v>43908</v>
      </c>
      <c r="DW12" s="26">
        <v>58</v>
      </c>
      <c r="DX12" s="27" t="s">
        <v>1000</v>
      </c>
      <c r="DY12" s="26"/>
      <c r="DZ12" s="26" t="s">
        <v>1001</v>
      </c>
      <c r="EA12" s="26"/>
      <c r="EB12" s="18" t="s">
        <v>1024</v>
      </c>
      <c r="EC12" s="21">
        <v>250.74909320296484</v>
      </c>
      <c r="ED12" s="26"/>
      <c r="EE12" s="26"/>
      <c r="EF12" s="26"/>
      <c r="EG12" s="26"/>
      <c r="EH12" s="26" t="s">
        <v>1025</v>
      </c>
      <c r="EI12" s="26"/>
      <c r="EJ12" s="26"/>
    </row>
    <row r="13" spans="1:140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3">Y12+1</f>
        <v>2</v>
      </c>
      <c r="Z13" s="26" t="str">
        <f>IF(tblData[[#This Row],[Date]]&lt;StartDt2Korea,"",tblData[[#This Row],[Date]]-StartDt2Korea)</f>
        <v/>
      </c>
      <c r="AA13" s="26" t="str">
        <f>IF(tblData[[#This Row],[Date]]&lt;UKStart,"",tblData[[#This Row],[Date]]-UKStart)</f>
        <v/>
      </c>
      <c r="AB13" t="str">
        <f>IF(tblData[Date]&gt;=StartDt2Au,tblData[Date]-StartDt2Au,"")</f>
        <v/>
      </c>
      <c r="AC13" s="26" t="str">
        <f>IF(tblData[New South Wales]&gt;0,SUM(tblData[[#This Row],[Australian Capital Territory]:[Western Australia]]),"")</f>
        <v/>
      </c>
      <c r="AD13" s="26" t="str">
        <f>IF(ISNUMBER(tblData[Au]),tblData[Au]/$AA$9,"")</f>
        <v/>
      </c>
      <c r="AE13" s="11" t="str">
        <f>IF(ISNUMBER(tblData[[#This Row],[Day'# Aust]]),betaAu/(deltaAu+betaPodeltaAu*EXP(-betaAu*tblData[[#This Row],[Day'# Aust]])),"")</f>
        <v/>
      </c>
      <c r="AF13" s="71" t="str">
        <f>IF(ISNUMBER(tblData[Day'# Aust]),tblData[Au LogiP(t)]/$AD$9,"")</f>
        <v/>
      </c>
      <c r="AG13" s="11" t="str">
        <f>IF(AND(tblData[Date]&gt;=StartDt2Au,ISNUMBER(tblData[NSW])),(tblData[[#This Row],[Au LogiP(t)]]-tblData[[#This Row],[Au]])^2,"")</f>
        <v/>
      </c>
      <c r="AH13" t="str">
        <f>IF(tblData[Date]&gt;StartDt2NSW,tblData[Date]-StartDt2NSW,"")</f>
        <v/>
      </c>
      <c r="AI13" t="str">
        <f>IF(E13&gt;0,E13,"")</f>
        <v/>
      </c>
      <c r="AJ13" s="11" t="str">
        <f>IF(tblData[Date]&gt;StartDt2NSW,betaNSW/(deltaNSW+betaPodeltaNSW*EXP(-betaNSW*tblData[[#This Row],[Day '# NSW]])),"")</f>
        <v/>
      </c>
      <c r="AK13" s="12" t="str">
        <f>IF(AND(ISNUMBER(tblData[NSW]),tblData[Date]&gt;StartDt2NSW),(tblData[[#This Row],[NSW LogiP(t)]]-tblData[[#This Row],[NSW]])^2,"")</f>
        <v/>
      </c>
      <c r="AL13" s="12" t="str">
        <f>IF(AND(tblData[Date]&gt;StartDt2NSW,ISNUMBER(tblData[Day'# Aust])),tblData[NSW LogiP(t)]/$AG$9,"")</f>
        <v/>
      </c>
      <c r="AM13" s="11" t="str">
        <f>IF(AND(tblData[Date]&gt;StartDt2Italy,ISNUMBER(tblData[Days'# Italy])),betaItaly/(deltaItaly+betaPodeltaItaly*EXP(-betaItaly*tblData[Days'# Italy])),"")</f>
        <v/>
      </c>
      <c r="AN13" s="11" t="str">
        <f>IF(AND(tblData[Date]&gt;StartDt2Italy,ISNUMBER(tblData[Italy])),(tblData[[#This Row],[Italy LogiP(t)]]-tblData[[#This Row],[Italy]])^2,"")</f>
        <v/>
      </c>
      <c r="AO13" s="11" t="str">
        <f>IF(AND(tblData[Date]&gt;StartDt2Italy,ISNUMBER(tblData[Days'# Italy])),tblData[[#This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IF(tblData[Date]&gt;=StartDt2Korea,betaSKorea/(deltaSKorea+betaPodeltaSKorea*EXP(-betaSKorea*(tblData[Date]-StartDt2Korea))),"")</f>
        <v/>
      </c>
      <c r="AT13" s="11" t="str">
        <f>IF(AND(tblData[Date]&gt;=StartDt2Korea,ISNUMBER(tblData[SKorea])),(tblData[[#This Row],[SKorea LogiP(t)]]-tblData[[#This Row],[SKorea]])^2,"")</f>
        <v/>
      </c>
      <c r="AU13" s="11" t="str">
        <f>IF(tblData[Date]&gt;=StartDt2Korea,tblData[[#This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2372.5652034841728</v>
      </c>
      <c r="AZ13" s="11">
        <f>IF(ISNUMBER(tblData[China]),(tblData[[#This Row],[China LogiP(t)]]-tblData[[#This Row],[China]])^2,"")</f>
        <v>2109945.6703730165</v>
      </c>
      <c r="BA13" s="11">
        <f>tblData[[#This Row],[China LogiP(t)]]/$AY$9</f>
        <v>16.483888080260357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82">
        <v>43912.326678240737</v>
      </c>
      <c r="BM13" s="1">
        <v>43860</v>
      </c>
      <c r="BN13" s="27">
        <v>43860</v>
      </c>
      <c r="BO13">
        <v>2</v>
      </c>
      <c r="BP13" s="23">
        <v>0.25947894792637805</v>
      </c>
      <c r="BQ13" s="25">
        <v>4.2793930730069226E-6</v>
      </c>
      <c r="BR13" s="22">
        <v>0.44221157817092033</v>
      </c>
      <c r="BS13" s="24">
        <f>betaItaly/deltaItaly</f>
        <v>60634.520713483966</v>
      </c>
      <c r="BT13" s="37">
        <f>SQRT(SUM(tblData[Italy Sq Err])/COUNT(tblData[Italy Sq Err]))</f>
        <v>1498.6578455090564</v>
      </c>
      <c r="BU13" s="24">
        <f>(betaItaly/PoItaly)-deltaItaly</f>
        <v>0.58677128401401213</v>
      </c>
      <c r="BV13" s="24">
        <f>deltaItaly*1000</f>
        <v>4.2793930730069228E-3</v>
      </c>
      <c r="BW13" s="24"/>
      <c r="BX13" s="27">
        <f t="array" ref="BX13">MAX(IF(ISNUMBER(tblData[Italy]),tblData[Date]))</f>
        <v>43911</v>
      </c>
      <c r="BY13" s="27" t="str">
        <f t="shared" si="0"/>
        <v>60.6 k</v>
      </c>
      <c r="BZ13" s="26">
        <f>MAX(tblData[Italy])</f>
        <v>53578</v>
      </c>
      <c r="CA13" s="26" t="str">
        <f>Cengnotation(BS13/(ItalyPop/PerPerson),3)</f>
        <v>10.0 k</v>
      </c>
      <c r="CB13" s="1">
        <f t="array" ref="CB13">MAX(IF(ISNUMBER(tblData[Italy]),tblData[Date]))</f>
        <v>43911</v>
      </c>
      <c r="CC13" s="19">
        <f t="array" ref="CC13">COUNT(IF(ISNUMBER(tblData[Italy]),tblData[Date]))</f>
        <v>52</v>
      </c>
      <c r="CD13" s="27" t="str">
        <f t="shared" si="1"/>
        <v>b=0.259, d=4.28E-06, P0=.4422 Limit=10.0 k</v>
      </c>
      <c r="CF13" s="26" t="str">
        <f t="shared" si="2"/>
        <v>Italy Limit 10.0 k</v>
      </c>
      <c r="CG13" s="26"/>
      <c r="CH13" s="18" t="str">
        <f>"COVID19 "&amp;BK13 &amp; " " &amp;LogFormula&amp;CHAR(10)&amp;CD13&amp;CHAR(10)&amp;TEXT(CB13," dd-mmm")&amp;IF(PopScaling=0,"",", "&amp;PerPersonLabel)</f>
        <v>COVID19 Italy P(t) = b / {d+[( b/Po - d ) ]* exp(-b*t)}
b=0.259, d=4.28E-06, P0=.4422 Limit=10.0 k
 21-Mar, Cases per 10 M population</v>
      </c>
      <c r="CI13" s="21">
        <f>MAX(tblData[Italy Cases per Capita])</f>
        <v>8863.1927212572373</v>
      </c>
      <c r="CJ13" s="27">
        <f>IF(CI13&gt;NSWMaxCasespc,INDEX(tblData[Date],1+MATCH(NSWMaxCasespc,tblData[Italy Cases per Capita],1)),INDEX(tblData[Date],1+MATCH(CI13,tblData[NSW Cases per Capita],1)))</f>
        <v>43895</v>
      </c>
      <c r="CK13" s="11">
        <f>IF(CI13&gt;NSWMaxCasespc,1,-1)*(BX$12-CJ13)</f>
        <v>16</v>
      </c>
      <c r="CL13" s="27">
        <f>IF(CI13&gt;AuMaxCasespc,INDEX(tblData[Date],1+MATCH(AuMaxCasespc,tblData[Italy Cases per Capita],1)),INDEX(tblData[Date],1+MATCH(CI13,tblData[Au Cases Per Capita],1)))</f>
        <v>43894</v>
      </c>
      <c r="CM13" s="11">
        <f>IF(CI13&gt;AuMaxCasespc,1,-1)*(BX$13-CL13+1)</f>
        <v>18</v>
      </c>
      <c r="DE13" s="26" t="s">
        <v>48</v>
      </c>
      <c r="DG13" s="27">
        <v>43855</v>
      </c>
      <c r="DI13" s="26">
        <v>0</v>
      </c>
      <c r="DJ13" s="26">
        <v>0.20329336152663352</v>
      </c>
      <c r="DK13" s="26">
        <v>9.9999999999999995E-7</v>
      </c>
      <c r="DL13" s="26">
        <v>1.1946625698450987E-2</v>
      </c>
      <c r="DM13" s="26">
        <v>203293.36152663353</v>
      </c>
      <c r="DN13" s="19">
        <v>11.355599354824715</v>
      </c>
      <c r="DO13" s="12">
        <v>17.016800786381637</v>
      </c>
      <c r="DP13" s="26">
        <v>1E-3</v>
      </c>
      <c r="DQ13" s="26"/>
      <c r="DR13" s="27">
        <v>43910</v>
      </c>
      <c r="DS13" s="26" t="s">
        <v>1303</v>
      </c>
      <c r="DT13" s="26">
        <v>876</v>
      </c>
      <c r="DU13" s="26" t="s">
        <v>1304</v>
      </c>
      <c r="DV13" s="27">
        <v>43910</v>
      </c>
      <c r="DW13" s="26">
        <v>59</v>
      </c>
      <c r="DX13" s="26" t="s">
        <v>1305</v>
      </c>
      <c r="DY13" s="26"/>
      <c r="DZ13" s="26" t="s">
        <v>1306</v>
      </c>
      <c r="EA13" s="26"/>
      <c r="EB13" s="26" t="s">
        <v>1307</v>
      </c>
      <c r="EC13" s="26">
        <v>345.37139252483837</v>
      </c>
      <c r="ED13" s="26"/>
      <c r="EE13" s="26"/>
      <c r="EF13" s="26"/>
      <c r="EG13" s="26"/>
      <c r="EH13" s="26" t="s">
        <v>1308</v>
      </c>
      <c r="EI13" s="26"/>
      <c r="EJ13" s="26"/>
    </row>
    <row r="14" spans="1:140" ht="18.75" customHeight="1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3"/>
        <v>3</v>
      </c>
      <c r="Z14" s="26" t="str">
        <f>IF(tblData[[#This Row],[Date]]&lt;StartDt2Korea,"",tblData[[#This Row],[Date]]-StartDt2Korea)</f>
        <v/>
      </c>
      <c r="AA14" s="26" t="str">
        <f>IF(tblData[[#This Row],[Date]]&lt;UKStart,"",tblData[[#This Row],[Date]]-UKStart)</f>
        <v/>
      </c>
      <c r="AB14">
        <f>IF(tblData[Date]&gt;=StartDt2Au,tblData[Date]-StartDt2Au,"")</f>
        <v>0</v>
      </c>
      <c r="AC14" s="26">
        <f>IF(tblData[New South Wales]&gt;=0,SUM(tblData[[#This Row],[Australian Capital Territory]:[Western Australia]]),"")</f>
        <v>0</v>
      </c>
      <c r="AD14" s="26">
        <f>IF(ISNUMBER(tblData[Au]),tblData[Au]/$AA$9,"")</f>
        <v>0</v>
      </c>
      <c r="AE14" s="19">
        <f>IF(ISNUMBER(tblData[[#This Row],[Day'# Aust]]),betaAu/(deltaAu+betaPodeltaAu*EXP(-betaAu*tblData[[#This Row],[Day'# Aust]])),"")</f>
        <v>9.888722941768591E-3</v>
      </c>
      <c r="AF14" s="72">
        <f>IF(ISNUMBER(tblData[Day'# Aust]),tblData[Au LogiP(t)]/$AD$9,"")</f>
        <v>3.8987237587796053E-3</v>
      </c>
      <c r="AG14" s="11">
        <f>IF(AND(tblData[Date]&gt;=StartDt2Au,ISNUMBER(tblData[NSW])),(tblData[[#This Row],[Au LogiP(t)]]-tblData[[#This Row],[Au]])^2,"")</f>
        <v>9.7786841419060459E-5</v>
      </c>
      <c r="AH14" t="str">
        <f>IF(tblData[Date]&gt;StartDt2NSW,tblData[Date]-StartDt2NSW,"")</f>
        <v/>
      </c>
      <c r="AI14">
        <v>0</v>
      </c>
      <c r="AJ14" s="11" t="str">
        <f>IF(tblData[Date]&gt;StartDt2NSW,betaNSW/(deltaNSW+betaPodeltaNSW*EXP(-betaNSW*tblData[[#This Row],[Day '# NSW]])),"")</f>
        <v/>
      </c>
      <c r="AK14" s="12" t="str">
        <f>IF(AND(ISNUMBER(tblData[NSW]),tblData[Date]&gt;StartDt2NSW),(tblData[[#This Row],[NSW LogiP(t)]]-tblData[[#This Row],[NSW]])^2,"")</f>
        <v/>
      </c>
      <c r="AL14" s="12" t="str">
        <f>IF(AND(tblData[Date]&gt;StartDt2NSW,ISNUMBER(tblData[Day'# Aust])),tblData[NSW LogiP(t)]/$AG$9,"")</f>
        <v/>
      </c>
      <c r="AM14" s="11" t="str">
        <f>IF(AND(tblData[Date]&gt;StartDt2Italy,ISNUMBER(tblData[Days'# Italy])),betaItaly/(deltaItaly+betaPodeltaItaly*EXP(-betaItaly*tblData[Days'# Italy])),"")</f>
        <v/>
      </c>
      <c r="AN14" s="11" t="str">
        <f>IF(AND(tblData[Date]&gt;StartDt2Italy,ISNUMBER(tblData[Italy])),(tblData[[#This Row],[Italy LogiP(t)]]-tblData[[#This Row],[Italy]])^2,"")</f>
        <v/>
      </c>
      <c r="AO14" s="11" t="str">
        <f>IF(AND(tblData[Date]&gt;StartDt2Italy,ISNUMBER(tblData[Days'# Italy])),tblData[[#This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IF(tblData[Date]&gt;=StartDt2Korea,betaSKorea/(deltaSKorea+betaPodeltaSKorea*EXP(-betaSKorea*(tblData[Date]-StartDt2Korea))),"")</f>
        <v/>
      </c>
      <c r="AT14" s="11" t="str">
        <f>IF(AND(tblData[Date]&gt;=StartDt2Korea,ISNUMBER(tblData[SKorea])),(tblData[[#This Row],[SKorea LogiP(t)]]-tblData[[#This Row],[SKorea]])^2,"")</f>
        <v/>
      </c>
      <c r="AU14" s="11" t="str">
        <f>IF(tblData[Date]&gt;=StartDt2Korea,tblData[[#This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2941.2972670684517</v>
      </c>
      <c r="AZ14" s="11">
        <f>IF(ISNUMBER(tblData[China]),(tblData[[#This Row],[China LogiP(t)]]-tblData[[#This Row],[China]])^2,"")</f>
        <v>2357137.6982678566</v>
      </c>
      <c r="BA14" s="11">
        <f>tblData[[#This Row],[China LogiP(t)]]/$AY$9</f>
        <v>20.435271869423019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486</v>
      </c>
      <c r="BL14" s="83">
        <v>43912.326689814814</v>
      </c>
      <c r="BM14" s="27">
        <v>43852</v>
      </c>
      <c r="BN14" s="27">
        <v>43870</v>
      </c>
      <c r="BO14" s="26">
        <v>3</v>
      </c>
      <c r="BP14" s="23">
        <v>0.34769529183841918</v>
      </c>
      <c r="BQ14" s="25">
        <v>9.0410268503126118E-7</v>
      </c>
      <c r="BR14" s="22">
        <v>1.7099861863491616E-2</v>
      </c>
      <c r="BS14" s="24">
        <f>betaUS/deltaUS</f>
        <v>384575.00192734954</v>
      </c>
      <c r="BT14" s="37">
        <f>SQRT(SUM(tblData[US Sq Err])/COUNT(tblData[US Sq Err]))</f>
        <v>373.46102354388694</v>
      </c>
      <c r="BU14" s="24">
        <f>(betaUS/PoUS)-deltaUS</f>
        <v>20.333221353133922</v>
      </c>
      <c r="BV14" s="24">
        <f>deltaUS*1000</f>
        <v>9.0410268503126115E-4</v>
      </c>
      <c r="BW14" s="24"/>
      <c r="BX14" s="27">
        <f t="array" ref="BX14">MAX(IF(ISNUMBER(tblData[US]),tblData[Date]))</f>
        <v>43911</v>
      </c>
      <c r="BY14" s="27" t="str">
        <f t="shared" si="0"/>
        <v>385 k</v>
      </c>
      <c r="BZ14" s="26">
        <f>MAX(tblData[US])</f>
        <v>24148</v>
      </c>
      <c r="CA14" s="26" t="str">
        <f>Cengnotation(BS14/(USpop/PerPerson),3)</f>
        <v>11.7 k</v>
      </c>
      <c r="CB14" s="27">
        <f t="array" ref="CB14">MAX(IF(ISNUMBER(tblData[Italy]),tblData[Date]))</f>
        <v>43911</v>
      </c>
      <c r="CC14" s="19">
        <f t="array" ref="CC14">COUNT(IF(ISNUMBER(tblData[US]),tblData[Date]))</f>
        <v>42</v>
      </c>
      <c r="CD14" s="27" t="str">
        <f t="shared" si="1"/>
        <v>b=0.348, d=9.04E-07, P0=.0171 Limit=11.7 k</v>
      </c>
      <c r="CE14" s="26"/>
      <c r="CF14" s="26" t="str">
        <f t="shared" si="2"/>
        <v>USA Limit 11.7 k</v>
      </c>
      <c r="CG14" s="33" t="s">
        <v>982</v>
      </c>
      <c r="CH14" s="18" t="str">
        <f>"COVID19 "&amp;BK14 &amp; " " &amp;LogFormula&amp;CHAR(10)&amp;CD14&amp;CHAR(10)&amp;TEXT(CB14," dd-mmm")&amp;IF(PopScaling=0,"",", "&amp;PerPersonLabel)&amp;CHAR(10)&amp;CG14</f>
        <v>COVID19 USA P(t) = b / {d+[( b/Po - d ) ]* exp(-b*t)}
b=0.348, d=9.04E-07, P0=.0171 Limit=11.7 k
 21-Mar, Cases per 10 M population
 - Prediction without last day</v>
      </c>
      <c r="CI14" s="21">
        <f>MAX(tblData[US Cases Per Capita])</f>
        <v>733.47402499909595</v>
      </c>
      <c r="CJ14" s="27">
        <f>IF(CI14&gt;NSWMaxCasespc,INDEX(tblData[Date],1+MATCH(NSWMaxCasespc,tblData[US Cases Per Capita],1)),INDEX(tblData[Date],1+MATCH(CI14,tblData[NSW Cases per Capita],1)))</f>
        <v>43910</v>
      </c>
      <c r="CK14" s="11">
        <f>IF(CI14&gt;NSWMaxCasespc,1,-1)*(BX$12-CJ14)</f>
        <v>1</v>
      </c>
      <c r="CL14" s="27">
        <f>IF(CI14&gt;AuMaxCasespc,INDEX(tblData[Date],1+MATCH(AuMaxCasespc,tblData[US Cases Per Capita],1)),INDEX(tblData[Date],1+MATCH(CI14,tblData[Au Cases Per Capita],1)))</f>
        <v>43910</v>
      </c>
      <c r="CM14" s="11">
        <f>IF(CI14&gt;AuMaxCasespc,1,-1)*(BX$13-CL14+1)</f>
        <v>2</v>
      </c>
      <c r="CN14" s="26"/>
      <c r="CP14" s="26"/>
      <c r="CQ14" s="26"/>
      <c r="DE14" s="26" t="s">
        <v>48</v>
      </c>
      <c r="DF14" s="82">
        <v>43911.866249999999</v>
      </c>
      <c r="DG14" s="27">
        <v>43855</v>
      </c>
      <c r="DH14" s="27">
        <v>43855</v>
      </c>
      <c r="DI14" s="26">
        <v>0</v>
      </c>
      <c r="DJ14" s="26">
        <v>0.20648931335259277</v>
      </c>
      <c r="DK14" s="26">
        <v>1.0000000000000768E-9</v>
      </c>
      <c r="DL14" s="26">
        <v>1.0150253776574341E-2</v>
      </c>
      <c r="DM14" s="26">
        <v>206489313.35257691</v>
      </c>
      <c r="DN14" s="19">
        <v>10.992507007919523</v>
      </c>
      <c r="DO14" s="12">
        <v>20.343266078627209</v>
      </c>
      <c r="DP14" s="26">
        <v>1.0000000000000768E-6</v>
      </c>
      <c r="DQ14" s="26"/>
      <c r="DR14" s="27">
        <v>43911</v>
      </c>
      <c r="DS14" s="26" t="s">
        <v>1493</v>
      </c>
      <c r="DT14" s="26">
        <v>1068</v>
      </c>
      <c r="DU14" s="26" t="s">
        <v>1494</v>
      </c>
      <c r="DV14" s="27">
        <v>43911</v>
      </c>
      <c r="DW14" s="26">
        <v>60</v>
      </c>
      <c r="DX14" s="26" t="s">
        <v>1495</v>
      </c>
      <c r="DZ14" s="26" t="s">
        <v>1496</v>
      </c>
      <c r="EA14" s="26"/>
      <c r="EB14" s="26" t="s">
        <v>1497</v>
      </c>
      <c r="EC14" s="26">
        <v>421.06923198233716</v>
      </c>
      <c r="ED14" s="26"/>
      <c r="EE14" s="26"/>
      <c r="EF14" s="26"/>
      <c r="EG14" s="26"/>
      <c r="EH14" s="26" t="s">
        <v>1475</v>
      </c>
      <c r="EI14" s="26"/>
      <c r="EJ14" s="26"/>
    </row>
    <row r="15" spans="1:140" ht="15" customHeight="1" x14ac:dyDescent="0.3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3"/>
        <v>4</v>
      </c>
      <c r="Z15" s="26" t="str">
        <f>IF(tblData[[#This Row],[Date]]&lt;StartDt2Korea,"",tblData[[#This Row],[Date]]-StartDt2Korea)</f>
        <v/>
      </c>
      <c r="AA15" s="26" t="str">
        <f>IF(tblData[[#This Row],[Date]]&lt;UKStart,"",tblData[[#This Row],[Date]]-UKStart)</f>
        <v/>
      </c>
      <c r="AB15">
        <f>IF(tblData[Date]&gt;=StartDt2Au,tblData[Date]-StartDt2Au,"")</f>
        <v>1</v>
      </c>
      <c r="AC15">
        <f>IF(tblData[New South Wales]&gt;0,SUM(tblData[[#This Row],[Australian Capital Territory]:[Western Australia]]),"")</f>
        <v>4</v>
      </c>
      <c r="AD15" s="12">
        <f>IF(ISNUMBER(tblData[Au]),tblData[Au]/$AA$9,"")</f>
        <v>1.5770383220312254</v>
      </c>
      <c r="AE15" s="19">
        <f>IF(ISNUMBER(tblData[[#This Row],[Day'# Aust]]),betaAu/(deltaAu+betaPodeltaAu*EXP(-betaAu*tblData[[#This Row],[Day'# Aust]])),"")</f>
        <v>1.2162977442047366E-2</v>
      </c>
      <c r="AF15" s="72">
        <f>IF(ISNUMBER(tblData[Day'# Aust]),tblData[Au LogiP(t)]/$AD$9,"")</f>
        <v>4.7953703840275062E-3</v>
      </c>
      <c r="AG15" s="11">
        <f>IF(AND(tblData[Date]&gt;=StartDt2Au,ISNUMBER(tblData[NSW])),(tblData[[#This Row],[Au LogiP(t)]]-tblData[[#This Row],[Au]])^2,"")</f>
        <v>15.902844118483877</v>
      </c>
      <c r="AH15">
        <f>IF(tblData[Date]&gt;StartDt2NSW,tblData[Date]-StartDt2NSW,"")</f>
        <v>1</v>
      </c>
      <c r="AI15">
        <f t="shared" ref="AI15:AI62" si="4">IF(E15&gt;0,E15,"")</f>
        <v>3</v>
      </c>
      <c r="AJ15" s="11">
        <f>IF(tblData[Date]&gt;StartDt2NSW,betaNSW/(deltaNSW+betaPodeltaNSW*EXP(-betaNSW*tblData[[#This Row],[Day '# NSW]])),"")</f>
        <v>5.3060044382377131E-3</v>
      </c>
      <c r="AK15" s="12">
        <f>IF(AND(ISNUMBER(tblData[NSW]),tblData[Date]&gt;StartDt2NSW),(tblData[[#This Row],[NSW LogiP(t)]]-tblData[[#This Row],[NSW]])^2,"")</f>
        <v>8.9681921270536709</v>
      </c>
      <c r="AL15" s="12">
        <f>IF(AND(tblData[Date]&gt;StartDt2NSW,ISNUMBER(tblData[Day'# Aust])),tblData[NSW LogiP(t)]/$AG$9,"")</f>
        <v>6.5668371760367735E-3</v>
      </c>
      <c r="AM15" s="11" t="str">
        <f>IF(AND(tblData[Date]&gt;StartDt2Italy,ISNUMBER(tblData[Days'# Italy])),betaItaly/(deltaItaly+betaPodeltaItaly*EXP(-betaItaly*tblData[Days'# Italy])),"")</f>
        <v/>
      </c>
      <c r="AN15" s="11" t="str">
        <f>IF(AND(tblData[Date]&gt;StartDt2Italy,ISNUMBER(tblData[Italy])),(tblData[[#This Row],[Italy LogiP(t)]]-tblData[[#This Row],[Italy]])^2,"")</f>
        <v/>
      </c>
      <c r="AO15" s="11" t="str">
        <f>IF(AND(tblData[Date]&gt;StartDt2Italy,ISNUMBER(tblData[Days'# Italy])),tblData[[#This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IF(tblData[Date]&gt;=StartDt2Korea,betaSKorea/(deltaSKorea+betaPodeltaSKorea*EXP(-betaSKorea*(tblData[Date]-StartDt2Korea))),"")</f>
        <v/>
      </c>
      <c r="AT15" s="11" t="str">
        <f>IF(AND(tblData[Date]&gt;=StartDt2Korea,ISNUMBER(tblData[SKorea])),(tblData[[#This Row],[SKorea LogiP(t)]]-tblData[[#This Row],[SKorea]])^2,"")</f>
        <v/>
      </c>
      <c r="AU15" s="11" t="str">
        <f>IF(tblData[Date]&gt;=StartDt2Korea,tblData[[#This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3640.0458347872209</v>
      </c>
      <c r="AZ15" s="11">
        <f>IF(ISNUMBER(tblData[China]),(tblData[[#This Row],[China LogiP(t)]]-tblData[[#This Row],[China]])^2,"")</f>
        <v>2449368.4649848291</v>
      </c>
      <c r="BA15" s="11">
        <f>tblData[[#This Row],[China LogiP(t)]]/$AY$9</f>
        <v>25.289972245877919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83">
        <v>43912.32671296296</v>
      </c>
      <c r="BM15" s="27">
        <v>43852</v>
      </c>
      <c r="BN15" s="27">
        <v>43852</v>
      </c>
      <c r="BO15" s="26">
        <v>4</v>
      </c>
      <c r="BP15" s="23">
        <v>0.2221429979133962</v>
      </c>
      <c r="BQ15" s="25">
        <v>2.7441363716222279E-6</v>
      </c>
      <c r="BR15" s="22">
        <v>1537.6493038446686</v>
      </c>
      <c r="BS15" s="24">
        <f>betaChina/deltaChina</f>
        <v>80951.879873985206</v>
      </c>
      <c r="BT15" s="37">
        <f>SQRT(SUM(tblData[China Sq Err])/COUNT(tblData[China Sq Err]))</f>
        <v>2077.0848925572823</v>
      </c>
      <c r="BU15" s="24">
        <f>(betaChina/PoChina)-deltaChina</f>
        <v>1.4172508515890487E-4</v>
      </c>
      <c r="BV15" s="24">
        <f>deltaChina*1000</f>
        <v>2.7441363716222281E-3</v>
      </c>
      <c r="BW15" s="24"/>
      <c r="BX15" s="27">
        <f t="array" ref="BX15">MAX(IF(ISNUMBER(tblData[Italy]),tblData[Date]))</f>
        <v>43911</v>
      </c>
      <c r="BY15" s="27" t="str">
        <f t="shared" si="0"/>
        <v>81.0 k</v>
      </c>
      <c r="BZ15" s="26">
        <f>MAX(tblData[China])</f>
        <v>81304</v>
      </c>
      <c r="CA15" s="26" t="str">
        <f>Cengnotation(BS15/(ChinaPop/PerPerson),3)</f>
        <v xml:space="preserve">562  </v>
      </c>
      <c r="CB15" s="27">
        <f t="array" ref="CB15">MAX(IF(ISNUMBER(tblData[China]),tblData[Date]))</f>
        <v>43911</v>
      </c>
      <c r="CC15" s="19">
        <f t="array" ref="CC15">COUNT(IF(ISNUMBER(tblData[China]),tblData[Date]))</f>
        <v>60</v>
      </c>
      <c r="CD15" s="27" t="str">
        <f t="shared" si="1"/>
        <v xml:space="preserve">b=0.222, d=2.74E-06, P0=1537.6493 Limit=562  </v>
      </c>
      <c r="CE15" s="26"/>
      <c r="CF15" s="26" t="str">
        <f t="shared" si="2"/>
        <v xml:space="preserve">China Limit 562  </v>
      </c>
      <c r="CG15" s="26"/>
      <c r="CH15" s="18" t="str">
        <f>"COVID19 "&amp;BK15 &amp; " " &amp;LogFormula&amp;CHAR(10)&amp;CD15&amp;CHAR(10)&amp;TEXT(CB15," dd-mmm")&amp;IF(PopScaling=0,"",", "&amp;PerPersonLabel)&amp;CHAR(10)&amp;CG15</f>
        <v xml:space="preserve">COVID19 China P(t) = b / {d+[( b/Po - d ) ]* exp(-b*t)}
b=0.222, d=2.74E-06, P0=1537.6493 Limit=562  
 21-Mar, Cases per 10 M population
</v>
      </c>
      <c r="CI15" s="21">
        <f>MAX(tblData[China Cases Per Capita])</f>
        <v>564.87637705777752</v>
      </c>
      <c r="CJ15" s="27">
        <f>IF(CI15&gt;NSWMaxCasespc,INDEX(tblData[Date],1+MATCH(NSWMaxCasespc,tblData[China Cases Per Capita],1)),INDEX(tblData[Date],1+MATCH(CI15,tblData[NSW Cases per Capita],1)))</f>
        <v>43886</v>
      </c>
      <c r="CK15" s="11">
        <f>IF(CI15&gt;NSWMaxCasespc,1,-1)*(BX$12-CJ15)</f>
        <v>25</v>
      </c>
      <c r="CL15" s="27">
        <f>IF(CI15&gt;AuMaxCasespc,INDEX(tblData[Date],1+MATCH(AuMaxCasespc,tblData[China Cases Per Capita],1)),INDEX(tblData[Date],1+MATCH(CI15,tblData[Au Cases Per Capita],1)))</f>
        <v>43875</v>
      </c>
      <c r="CM15" s="11">
        <f>IF(CI15&gt;AuMaxCasespc,1,-1)*(BX$13-CL15+1)</f>
        <v>37</v>
      </c>
      <c r="CN15" s="26"/>
      <c r="CP15" s="26"/>
      <c r="CQ15" s="26"/>
      <c r="DE15" s="26" t="s">
        <v>202</v>
      </c>
      <c r="DG15" s="27">
        <v>43855</v>
      </c>
      <c r="DI15" s="26">
        <v>1</v>
      </c>
      <c r="DJ15" s="23">
        <v>0.19302410780606497</v>
      </c>
      <c r="DK15" s="25">
        <v>2.763601010404924E-4</v>
      </c>
      <c r="DL15" s="22">
        <v>9.6455935044007356E-3</v>
      </c>
      <c r="DM15" s="26">
        <v>698.45143014252619</v>
      </c>
      <c r="DN15" s="19">
        <v>3.2654567368634559</v>
      </c>
      <c r="DO15" s="37">
        <v>20.011359804951844</v>
      </c>
      <c r="DP15" s="24">
        <v>0.27636010104049241</v>
      </c>
      <c r="DQ15" s="12">
        <v>3.5803519373979857</v>
      </c>
      <c r="DR15" s="27">
        <v>43903</v>
      </c>
      <c r="DS15" s="27" t="s">
        <v>769</v>
      </c>
      <c r="DT15" s="19"/>
      <c r="DU15" s="19"/>
      <c r="DW15" s="27"/>
      <c r="DX15" s="27"/>
      <c r="DY15" s="26"/>
      <c r="DZ15" s="17"/>
      <c r="EA15" s="26"/>
      <c r="EB15" s="26"/>
      <c r="EC15" s="26"/>
      <c r="ED15" s="27"/>
      <c r="EE15" s="27"/>
      <c r="EF15" s="26"/>
      <c r="EG15" s="26"/>
      <c r="EI15" s="26"/>
      <c r="EJ15" s="26"/>
    </row>
    <row r="16" spans="1:140" ht="18.75" customHeight="1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3"/>
        <v>5</v>
      </c>
      <c r="Z16" s="26" t="str">
        <f>IF(tblData[[#This Row],[Date]]&lt;StartDt2Korea,"",tblData[[#This Row],[Date]]-StartDt2Korea)</f>
        <v/>
      </c>
      <c r="AA16" s="26" t="str">
        <f>IF(tblData[[#This Row],[Date]]&lt;UKStart,"",tblData[[#This Row],[Date]]-UKStart)</f>
        <v/>
      </c>
      <c r="AB16">
        <f>IF(tblData[Date]&gt;=StartDt2Au,tblData[Date]-StartDt2Au,"")</f>
        <v>2</v>
      </c>
      <c r="AC16" s="26">
        <f>IF(tblData[New South Wales]&gt;0,SUM(tblData[[#This Row],[Australian Capital Territory]:[Western Australia]]),"")</f>
        <v>5</v>
      </c>
      <c r="AD16" s="12">
        <f>IF(ISNUMBER(tblData[Au]),tblData[Au]/$AA$9,"")</f>
        <v>1.9712979025390318</v>
      </c>
      <c r="AE16" s="19">
        <f>IF(ISNUMBER(tblData[[#This Row],[Day'# Aust]]),betaAu/(deltaAu+betaPodeltaAu*EXP(-betaAu*tblData[[#This Row],[Day'# Aust]])),"")</f>
        <v>1.4960275571126542E-2</v>
      </c>
      <c r="AF16" s="72">
        <f>IF(ISNUMBER(tblData[Day'# Aust]),tblData[Au LogiP(t)]/$AD$9,"")</f>
        <v>5.8982319709535332E-3</v>
      </c>
      <c r="AG16" s="11">
        <f>IF(AND(tblData[Date]&gt;=StartDt2Au,ISNUMBER(tblData[NSW])),(tblData[[#This Row],[Au LogiP(t)]]-tblData[[#This Row],[Au]])^2,"")</f>
        <v>24.850621054133903</v>
      </c>
      <c r="AH16">
        <f>IF(tblData[Date]&gt;StartDt2NSW,tblData[Date]-StartDt2NSW,"")</f>
        <v>2</v>
      </c>
      <c r="AI16">
        <f t="shared" si="4"/>
        <v>4</v>
      </c>
      <c r="AJ16" s="11">
        <f>IF(tblData[Date]&gt;StartDt2NSW,betaNSW/(deltaNSW+betaPodeltaNSW*EXP(-betaNSW*tblData[[#This Row],[Day '# NSW]])),"")</f>
        <v>6.5413571544613146E-3</v>
      </c>
      <c r="AK16" s="12">
        <f>IF(AND(ISNUMBER(tblData[NSW]),tblData[Date]&gt;StartDt2NSW),(tblData[[#This Row],[NSW LogiP(t)]]-tblData[[#This Row],[NSW]])^2,"")</f>
        <v>15.947711932117731</v>
      </c>
      <c r="AL16" s="12">
        <f>IF(AND(tblData[Date]&gt;StartDt2NSW,ISNUMBER(tblData[Day'# Aust])),tblData[NSW LogiP(t)]/$AG$9,"")</f>
        <v>8.0957390525511312E-3</v>
      </c>
      <c r="AM16" s="11" t="str">
        <f>IF(AND(tblData[Date]&gt;StartDt2Italy,ISNUMBER(tblData[Days'# Italy])),betaItaly/(deltaItaly+betaPodeltaItaly*EXP(-betaItaly*tblData[Days'# Italy])),"")</f>
        <v/>
      </c>
      <c r="AN16" s="11" t="str">
        <f>IF(AND(tblData[Date]&gt;StartDt2Italy,ISNUMBER(tblData[Italy])),(tblData[[#This Row],[Italy LogiP(t)]]-tblData[[#This Row],[Italy]])^2,"")</f>
        <v/>
      </c>
      <c r="AO16" s="11" t="str">
        <f>IF(AND(tblData[Date]&gt;StartDt2Italy,ISNUMBER(tblData[Days'# Italy])),tblData[[#This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IF(tblData[Date]&gt;=StartDt2Korea,betaSKorea/(deltaSKorea+betaPodeltaSKorea*EXP(-betaSKorea*(tblData[Date]-StartDt2Korea))),"")</f>
        <v/>
      </c>
      <c r="AT16" s="11" t="str">
        <f>IF(AND(tblData[Date]&gt;=StartDt2Korea,ISNUMBER(tblData[SKorea])),(tblData[[#This Row],[SKorea LogiP(t)]]-tblData[[#This Row],[SKorea]])^2,"")</f>
        <v/>
      </c>
      <c r="AU16" s="11" t="str">
        <f>IF(tblData[Date]&gt;=StartDt2Korea,tblData[[#This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4495.2270813415844</v>
      </c>
      <c r="AZ16" s="11">
        <f>IF(ISNUMBER(tblData[China]),(tblData[[#This Row],[China LogiP(t)]]-tblData[[#This Row],[China]])^2,"")</f>
        <v>2618658.8867873028</v>
      </c>
      <c r="BA16" s="11">
        <f>tblData[[#This Row],[China LogiP(t)]]/$AY$9</f>
        <v>31.231521053825659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1293</v>
      </c>
      <c r="BL16" s="83">
        <v>43912.32671296296</v>
      </c>
      <c r="BM16" s="27">
        <v>43852</v>
      </c>
      <c r="BN16" s="27">
        <v>43880</v>
      </c>
      <c r="BO16" s="26">
        <v>5</v>
      </c>
      <c r="BP16" s="23">
        <v>0.32050342361704887</v>
      </c>
      <c r="BQ16" s="25">
        <v>3.8255187244755717E-5</v>
      </c>
      <c r="BR16" s="22">
        <v>182.78805705771839</v>
      </c>
      <c r="BS16" s="24">
        <f>betaSKorea/deltaSKorea</f>
        <v>8378.0382923360467</v>
      </c>
      <c r="BT16" s="37">
        <f t="array" ref="BT16">SQRT(SUM(tblData[Skorea Sq Err])/COUNT(tblData[Skorea Sq Err]))</f>
        <v>160.37089883020292</v>
      </c>
      <c r="BU16" s="24">
        <f>(betaSKorea/PoSKorea)-deltaSKorea</f>
        <v>1.7151603737940299E-3</v>
      </c>
      <c r="BV16" s="24">
        <f>deltaSKorea*1000</f>
        <v>3.8255187244755719E-2</v>
      </c>
      <c r="BW16" s="24"/>
      <c r="BX16" s="27">
        <f t="array" ref="BX16">MAX(IF(ISNUMBER(tblData[SKorea]),tblData[Date]))</f>
        <v>43911</v>
      </c>
      <c r="BY16" s="27" t="str">
        <f t="shared" si="0"/>
        <v>8.38 k</v>
      </c>
      <c r="BZ16" s="26">
        <f>MAX(tblData[SKorea])</f>
        <v>8799</v>
      </c>
      <c r="CA16" s="26" t="str">
        <f>Cengnotation(BS16/(SKoreaPop/PerPerson),3)</f>
        <v>1.63 k</v>
      </c>
      <c r="CB16" s="27">
        <f t="array" ref="CB16">MAX(IF(ISNUMBER(tblData[SKorea]),tblData[Date]))</f>
        <v>43911</v>
      </c>
      <c r="CC16" s="19">
        <f t="array" ref="CC16">COUNT(IF(ISNUMBER(tblData[SKorea]),tblData[Date]))</f>
        <v>60</v>
      </c>
      <c r="CD16" s="27" t="str">
        <f t="shared" si="1"/>
        <v>b=0.321, d=3.83E-05, P0=182.7881 Limit=1.63 k</v>
      </c>
      <c r="CE16" s="26"/>
      <c r="CF16" s="26" t="str">
        <f>BK16&amp;" Limit " &amp; IF(PopScaling=0,BY16,CA16) &amp; " fr 19th Feb"</f>
        <v>Skorea Limit 1.63 k fr 19th Feb</v>
      </c>
      <c r="CG16" s="33" t="s">
        <v>1302</v>
      </c>
      <c r="CH16" s="18" t="str">
        <f>"COVID19 "&amp;BK16 &amp; " " &amp;LogFormula&amp;CHAR(10)&amp;CD16&amp;CHAR(10)&amp;TEXT(CB16," dd-mmm")&amp;IF(PopScaling=0,"",", "&amp;PerPersonLabel)&amp;CHAR(10)&amp;CG16</f>
        <v xml:space="preserve">COVID19 Skorea P(t) = b / {d+[( b/Po - d ) ]* exp(-b*t)}
b=0.321, d=3.83E-05, P0=182.7881 Limit=1.63 k
 21-Mar, Cases per 10 M population
log fit from 19th Feb </v>
      </c>
      <c r="CI16" s="21">
        <f>MAX(tblData[SKorea Cases Per Capita])</f>
        <v>1711.8677042801557</v>
      </c>
      <c r="CJ16" s="27">
        <f>IF(CI16&gt;NSWMaxCasespc,INDEX(tblData[Date],1+MATCH(NSWMaxCasespc,tblData[SKorea Cases Per Capita],1)),INDEX(tblData[Date],1+MATCH(CI16,tblData[NSW Cases per Capita],1)))</f>
        <v>43890</v>
      </c>
      <c r="CK16" s="11">
        <f>IF(CI16&gt;NSWMaxCasespc,1,-1)*(BX$12-CJ16)</f>
        <v>21</v>
      </c>
      <c r="CL16" s="27">
        <f>IF(CI16&gt;AuMaxCasespc,INDEX(tblData[Date],1+MATCH(AuMaxCasespc,tblData[SKorea Cases Per Capita],1)),INDEX(tblData[Date],1+MATCH(CI16,tblData[Au Cases Per Capita],1)))</f>
        <v>43889</v>
      </c>
      <c r="CM16" s="11">
        <f>IF(CI16&gt;AuMaxCasespc,1,-1)*(BX$13-CL16+1)</f>
        <v>23</v>
      </c>
      <c r="CN16" s="26"/>
      <c r="CO16" s="26"/>
      <c r="CP16" s="26"/>
      <c r="CQ16" s="26"/>
      <c r="CR16" s="26"/>
      <c r="CS16" s="26"/>
      <c r="CT16" s="26"/>
      <c r="CU16" s="26"/>
      <c r="CV16" s="26"/>
      <c r="DE16" s="26" t="s">
        <v>202</v>
      </c>
      <c r="DG16" s="27">
        <v>43855</v>
      </c>
      <c r="DI16" s="26">
        <v>1</v>
      </c>
      <c r="DJ16" s="23">
        <v>0.20197976034974141</v>
      </c>
      <c r="DK16" s="25">
        <v>3.7238456472139586E-4</v>
      </c>
      <c r="DL16" s="23">
        <v>6.7779266478176703E-3</v>
      </c>
      <c r="DM16" s="26">
        <v>542.39562937001722</v>
      </c>
      <c r="DN16" s="19">
        <v>3.1776191206100863</v>
      </c>
      <c r="DO16" s="37">
        <v>29.799265593927426</v>
      </c>
      <c r="DP16" s="24">
        <v>0.37238456472139586</v>
      </c>
      <c r="DQ16" s="12">
        <v>3.1776191206100863</v>
      </c>
      <c r="DR16" s="27">
        <v>43904</v>
      </c>
      <c r="DS16" s="27" t="s">
        <v>770</v>
      </c>
      <c r="DT16" s="19"/>
      <c r="DU16" s="19"/>
      <c r="DW16" s="26"/>
      <c r="DX16" s="18"/>
      <c r="DY16" s="26"/>
      <c r="EA16" s="26"/>
      <c r="EB16" s="26"/>
      <c r="EC16" s="26"/>
      <c r="ED16" s="26"/>
      <c r="EE16" s="26"/>
      <c r="EF16" s="26"/>
      <c r="EG16" s="26"/>
      <c r="EI16" s="26"/>
      <c r="EJ16" s="26"/>
    </row>
    <row r="17" spans="2:140" ht="15" customHeight="1" x14ac:dyDescent="0.3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3"/>
        <v>6</v>
      </c>
      <c r="Z17" s="26" t="str">
        <f>IF(tblData[[#This Row],[Date]]&lt;StartDt2Korea,"",tblData[[#This Row],[Date]]-StartDt2Korea)</f>
        <v/>
      </c>
      <c r="AA17" s="26" t="str">
        <f>IF(tblData[[#This Row],[Date]]&lt;UKStart,"",tblData[[#This Row],[Date]]-UKStart)</f>
        <v/>
      </c>
      <c r="AB17">
        <f>IF(tblData[Date]&gt;=StartDt2Au,tblData[Date]-StartDt2Au,"")</f>
        <v>3</v>
      </c>
      <c r="AC17" s="26">
        <f>IF(tblData[New South Wales]&gt;0,SUM(tblData[[#This Row],[Australian Capital Territory]:[Western Australia]]),"")</f>
        <v>5</v>
      </c>
      <c r="AD17" s="12">
        <f>IF(ISNUMBER(tblData[Au]),tblData[Au]/$AA$9,"")</f>
        <v>1.9712979025390318</v>
      </c>
      <c r="AE17" s="19">
        <f>IF(ISNUMBER(tblData[[#This Row],[Day'# Aust]]),betaAu/(deltaAu+betaPodeltaAu*EXP(-betaAu*tblData[[#This Row],[Day'# Aust]])),"")</f>
        <v>1.8400909335705932E-2</v>
      </c>
      <c r="AF17" s="72">
        <f>IF(ISNUMBER(tblData[Day'# Aust]),tblData[Au LogiP(t)]/$AD$9,"")</f>
        <v>7.2547347956575985E-3</v>
      </c>
      <c r="AG17" s="11">
        <f>IF(AND(tblData[Date]&gt;=StartDt2Au,ISNUMBER(tblData[NSW])),(tblData[[#This Row],[Au LogiP(t)]]-tblData[[#This Row],[Au]])^2,"")</f>
        <v>24.816329500107319</v>
      </c>
      <c r="AH17">
        <f>IF(tblData[Date]&gt;StartDt2NSW,tblData[Date]-StartDt2NSW,"")</f>
        <v>3</v>
      </c>
      <c r="AI17">
        <f t="shared" si="4"/>
        <v>4</v>
      </c>
      <c r="AJ17" s="11">
        <f>IF(tblData[Date]&gt;StartDt2NSW,betaNSW/(deltaNSW+betaPodeltaNSW*EXP(-betaNSW*tblData[[#This Row],[Day '# NSW]])),"")</f>
        <v>8.0643258790107208E-3</v>
      </c>
      <c r="AK17" s="12">
        <f>IF(AND(ISNUMBER(tblData[NSW]),tblData[Date]&gt;StartDt2NSW),(tblData[[#This Row],[NSW LogiP(t)]]-tblData[[#This Row],[NSW]])^2,"")</f>
        <v>15.935550426319798</v>
      </c>
      <c r="AL17" s="12">
        <f>IF(AND(tblData[Date]&gt;StartDt2NSW,ISNUMBER(tblData[Day'# Aust])),tblData[NSW LogiP(t)]/$AG$9,"")</f>
        <v>9.9806013354093066E-3</v>
      </c>
      <c r="AM17" s="11" t="str">
        <f>IF(AND(tblData[Date]&gt;StartDt2Italy,ISNUMBER(tblData[Days'# Italy])),betaItaly/(deltaItaly+betaPodeltaItaly*EXP(-betaItaly*tblData[Days'# Italy])),"")</f>
        <v/>
      </c>
      <c r="AN17" s="11" t="str">
        <f>IF(AND(tblData[Date]&gt;StartDt2Italy,ISNUMBER(tblData[Italy])),(tblData[[#This Row],[Italy LogiP(t)]]-tblData[[#This Row],[Italy]])^2,"")</f>
        <v/>
      </c>
      <c r="AO17" s="11" t="str">
        <f>IF(AND(tblData[Date]&gt;StartDt2Italy,ISNUMBER(tblData[Days'# Italy])),tblData[[#This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IF(tblData[Date]&gt;=StartDt2Korea,betaSKorea/(deltaSKorea+betaPodeltaSKorea*EXP(-betaSKorea*(tblData[Date]-StartDt2Korea))),"")</f>
        <v/>
      </c>
      <c r="AT17" s="11" t="str">
        <f>IF(AND(tblData[Date]&gt;=StartDt2Korea,ISNUMBER(tblData[SKorea])),(tblData[[#This Row],[SKorea LogiP(t)]]-tblData[[#This Row],[SKorea]])^2,"")</f>
        <v/>
      </c>
      <c r="AU17" s="11" t="str">
        <f>IF(tblData[Date]&gt;=StartDt2Korea,tblData[[#This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5536.9329254974482</v>
      </c>
      <c r="AZ17" s="11">
        <f>IF(ISNUMBER(tblData[China]),(tblData[[#This Row],[China LogiP(t)]]-tblData[[#This Row],[China]])^2,"")</f>
        <v>780.24832684599153</v>
      </c>
      <c r="BA17" s="11">
        <f>tblData[[#This Row],[China LogiP(t)]]/$AY$9</f>
        <v>38.468988130558394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1252</v>
      </c>
      <c r="BL17" s="83">
        <v>43912.326736111114</v>
      </c>
      <c r="BM17" s="27">
        <v>43860</v>
      </c>
      <c r="BN17" s="27">
        <v>43860</v>
      </c>
      <c r="BO17" s="26">
        <v>6</v>
      </c>
      <c r="BP17" s="23">
        <v>0.23552292998723806</v>
      </c>
      <c r="BQ17" s="25">
        <v>9.9999999999999903E-10</v>
      </c>
      <c r="BR17" s="22">
        <v>3.0253807305994522E-2</v>
      </c>
      <c r="BS17" s="24">
        <f>betaUK/deltaUK</f>
        <v>235522929.98723829</v>
      </c>
      <c r="BT17" s="37">
        <f>SQRT(SUM(tblData[UK Sq Err])/COUNT(tblData[UK Sq Err]))</f>
        <v>71.58354260153051</v>
      </c>
      <c r="BU17" s="24">
        <f>(betaUK/PoUK)-deltaUK</f>
        <v>7.7849021637127134</v>
      </c>
      <c r="BV17" s="24">
        <f>deltaUK*1000</f>
        <v>9.9999999999999911E-7</v>
      </c>
      <c r="BW17" s="24"/>
      <c r="BX17" s="27">
        <f t="array" ref="BX17">MAX(IF(ISNUMBER(tblData[UK]),tblData[Date]))</f>
        <v>43911</v>
      </c>
      <c r="BY17" s="27" t="str">
        <f t="shared" si="0"/>
        <v>236 M</v>
      </c>
      <c r="BZ17" s="26">
        <f>MAX(tblData[UK])</f>
        <v>5049</v>
      </c>
      <c r="CA17" s="26" t="str">
        <f>Cengnotation(BS17/(UKPop/PerPerson),3)</f>
        <v>35.4 M</v>
      </c>
      <c r="CB17" s="27">
        <f t="array" ref="CB17">MAX(IF(ISNUMBER(tblData[UK]),tblData[Date]))</f>
        <v>43911</v>
      </c>
      <c r="CC17" s="19">
        <f t="array" ref="CC17">COUNT(IF(ISNUMBER(tblData[UK]),tblData[Date]))</f>
        <v>52</v>
      </c>
      <c r="CD17" s="27" t="str">
        <f t="shared" si="1"/>
        <v>b=0.236, d=1.00E-09, P0=.0303 Limit=35.4 M</v>
      </c>
      <c r="CE17" s="26"/>
      <c r="CF17" s="26" t="str">
        <f t="shared" si="2"/>
        <v>UK Limit 35.4 M</v>
      </c>
      <c r="CG17" s="26"/>
      <c r="CH17" s="18" t="str">
        <f>"COVID19 "&amp;BK17 &amp; " " &amp;LogFormula&amp;CHAR(10)&amp;CD17&amp;CHAR(10)&amp;TEXT(CB17," dd-mmm")&amp;IF(PopScaling=0,"",", "&amp;PerPersonLabel)&amp;CHAR(10)&amp;CG17</f>
        <v xml:space="preserve">COVID19 UK P(t) = b / {d+[( b/Po - d ) ]* exp(-b*t)}
b=0.236, d=1.00E-09, P0=.0303 Limit=35.4 M
 21-Mar, Cases per 10 M population
</v>
      </c>
      <c r="CI17" s="21">
        <f>MAX(tblData[UK Cases Per Capita])</f>
        <v>759.93377483443703</v>
      </c>
      <c r="CJ17" s="27">
        <f>IF(CI17&gt;NSWMaxCasespc,INDEX(tblData[Date],1+MATCH(NSWMaxCasespc,tblData[UK Cases Per Capita],1)),INDEX(tblData[Date],1+MATCH(CI17,tblData[NSW Cases per Capita],1)))</f>
        <v>43910</v>
      </c>
      <c r="CK17" s="11">
        <f>IF(CI17&gt;NSWMaxCasespc,1,-1)*(BX$12-CJ17)</f>
        <v>1</v>
      </c>
      <c r="CL17" s="27">
        <f>IF(CI17&gt;AuMaxCasespc,INDEX(tblData[Date],1+MATCH(AuMaxCasespc,tblData[UK Cases Per Capita],1)),INDEX(tblData[Date],1+MATCH(CI17,tblData[Au Cases Per Capita],1)))</f>
        <v>43910</v>
      </c>
      <c r="CM17" s="11">
        <f>IF(CI17&gt;AuMaxCasespc,1,-1)*(BX$13-CL17+1)</f>
        <v>2</v>
      </c>
      <c r="CN17" s="26"/>
      <c r="CO17" s="26"/>
      <c r="CP17" s="26"/>
      <c r="CQ17" s="26"/>
      <c r="CR17" s="26"/>
      <c r="CS17" s="26"/>
      <c r="CT17" s="26"/>
      <c r="CU17" s="26"/>
      <c r="CV17" s="26"/>
      <c r="DE17" s="26" t="s">
        <v>202</v>
      </c>
      <c r="DG17" s="27">
        <v>43855</v>
      </c>
      <c r="DI17" s="26">
        <v>1</v>
      </c>
      <c r="DJ17" s="26">
        <v>0.18458384557537055</v>
      </c>
      <c r="DK17" s="26">
        <v>1.2349487374940706E-6</v>
      </c>
      <c r="DL17" s="26">
        <v>1.3171361296767334E-2</v>
      </c>
      <c r="DM17" s="26">
        <v>149466.80778825187</v>
      </c>
      <c r="DN17" s="19">
        <v>3.1071550624512132</v>
      </c>
      <c r="DO17" s="12">
        <v>14.014028250422166</v>
      </c>
      <c r="DP17" s="26">
        <v>1.2349487374940706E-3</v>
      </c>
      <c r="DQ17" s="12">
        <v>3.1071550624512132</v>
      </c>
      <c r="DR17" s="27">
        <v>43905</v>
      </c>
      <c r="DS17" s="27" t="s">
        <v>771</v>
      </c>
      <c r="DT17" s="19"/>
      <c r="DU17" s="19"/>
      <c r="DW17" s="17"/>
      <c r="DX17" s="18"/>
      <c r="DY17" s="26"/>
      <c r="DZ17" s="26"/>
      <c r="EA17" s="26"/>
      <c r="EB17" s="26"/>
      <c r="EC17" s="26"/>
      <c r="ED17" s="17"/>
      <c r="EE17" s="17"/>
      <c r="EF17" s="26"/>
      <c r="EG17" s="26"/>
      <c r="EH17" s="26"/>
      <c r="EI17" s="26"/>
      <c r="EJ17" s="26"/>
    </row>
    <row r="18" spans="2:140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3"/>
        <v>7</v>
      </c>
      <c r="Z18" s="26" t="str">
        <f>IF(tblData[[#This Row],[Date]]&lt;StartDt2Korea,"",tblData[[#This Row],[Date]]-StartDt2Korea)</f>
        <v/>
      </c>
      <c r="AA18" s="26" t="str">
        <f>IF(tblData[[#This Row],[Date]]&lt;UKStart,"",tblData[[#This Row],[Date]]-UKStart)</f>
        <v/>
      </c>
      <c r="AB18">
        <f>IF(tblData[Date]&gt;=StartDt2Au,tblData[Date]-StartDt2Au,"")</f>
        <v>4</v>
      </c>
      <c r="AC18" s="26">
        <f>IF(tblData[New South Wales]&gt;0,SUM(tblData[[#This Row],[Australian Capital Territory]:[Western Australia]]),"")</f>
        <v>6</v>
      </c>
      <c r="AD18" s="12">
        <f>IF(ISNUMBER(tblData[Au]),tblData[Au]/$AA$9,"")</f>
        <v>2.365557483046838</v>
      </c>
      <c r="AE18" s="19">
        <f>IF(ISNUMBER(tblData[[#This Row],[Day'# Aust]]),betaAu/(deltaAu+betaPodeltaAu*EXP(-betaAu*tblData[[#This Row],[Day'# Aust]])),"")</f>
        <v>2.2632836057716987E-2</v>
      </c>
      <c r="AF18" s="72">
        <f>IF(ISNUMBER(tblData[Day'# Aust]),tblData[Au LogiP(t)]/$AD$9,"")</f>
        <v>8.9232124498174522E-3</v>
      </c>
      <c r="AG18" s="11">
        <f>IF(AND(tblData[Date]&gt;=StartDt2Au,ISNUMBER(tblData[NSW])),(tblData[[#This Row],[Au LogiP(t)]]-tblData[[#This Row],[Au]])^2,"")</f>
        <v>35.728918212575408</v>
      </c>
      <c r="AH18">
        <f>IF(tblData[Date]&gt;StartDt2NSW,tblData[Date]-StartDt2NSW,"")</f>
        <v>4</v>
      </c>
      <c r="AI18">
        <f t="shared" si="4"/>
        <v>4</v>
      </c>
      <c r="AJ18" s="11">
        <f>IF(tblData[Date]&gt;StartDt2NSW,betaNSW/(deltaNSW+betaPodeltaNSW*EXP(-betaNSW*tblData[[#This Row],[Day '# NSW]])),"")</f>
        <v>9.9418732052264196E-3</v>
      </c>
      <c r="AK18" s="12">
        <f>IF(AND(ISNUMBER(tblData[NSW]),tblData[Date]&gt;StartDt2NSW),(tblData[[#This Row],[NSW LogiP(t)]]-tblData[[#This Row],[NSW]])^2,"")</f>
        <v>15.920563855201019</v>
      </c>
      <c r="AL18" s="12">
        <f>IF(AND(tblData[Date]&gt;StartDt2NSW,ISNUMBER(tblData[Day'# Aust])),tblData[NSW LogiP(t)]/$AG$9,"")</f>
        <v>1.2304298521319826E-2</v>
      </c>
      <c r="AM18" s="11" t="str">
        <f>IF(AND(tblData[Date]&gt;StartDt2Italy,ISNUMBER(tblData[Days'# Italy])),betaItaly/(deltaItaly+betaPodeltaItaly*EXP(-betaItaly*tblData[Days'# Italy])),"")</f>
        <v/>
      </c>
      <c r="AN18" s="11" t="str">
        <f>IF(AND(tblData[Date]&gt;StartDt2Italy,ISNUMBER(tblData[Italy])),(tblData[[#This Row],[Italy LogiP(t)]]-tblData[[#This Row],[Italy]])^2,"")</f>
        <v/>
      </c>
      <c r="AO18" s="11" t="str">
        <f>IF(AND(tblData[Date]&gt;StartDt2Italy,ISNUMBER(tblData[Days'# Italy])),tblData[[#This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IF(tblData[Date]&gt;=StartDt2Korea,betaSKorea/(deltaSKorea+betaPodeltaSKorea*EXP(-betaSKorea*(tblData[Date]-StartDt2Korea))),"")</f>
        <v/>
      </c>
      <c r="AT18" s="11" t="str">
        <f>IF(AND(tblData[Date]&gt;=StartDt2Korea,ISNUMBER(tblData[SKorea])),(tblData[[#This Row],[SKorea LogiP(t)]]-tblData[[#This Row],[SKorea]])^2,"")</f>
        <v/>
      </c>
      <c r="AU18" s="11" t="str">
        <f>IF(tblData[Date]&gt;=StartDt2Korea,tblData[[#This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6798.5739871305541</v>
      </c>
      <c r="AZ18" s="11">
        <f>IF(ISNUMBER(tblData[China]),(tblData[[#This Row],[China LogiP(t)]]-tblData[[#This Row],[China]])^2,"")</f>
        <v>506337.53916087397</v>
      </c>
      <c r="BA18" s="11">
        <f>tblData[[#This Row],[China LogiP(t)]]/$AY$9</f>
        <v>47.234500676591018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989</v>
      </c>
      <c r="BL18" s="83">
        <v>43912.326747685183</v>
      </c>
      <c r="BM18" s="27"/>
      <c r="BN18" s="13">
        <v>43896</v>
      </c>
      <c r="BO18" s="26">
        <v>7</v>
      </c>
      <c r="BP18" s="23">
        <v>0.20209478104227763</v>
      </c>
      <c r="BQ18" s="25">
        <v>1.0000000000000751E-10</v>
      </c>
      <c r="BR18" s="22">
        <v>5.7886977342360797E-3</v>
      </c>
      <c r="BS18" s="24">
        <f>betaTests/deltaTests</f>
        <v>2020947810.4226243</v>
      </c>
      <c r="BT18" s="37">
        <f>SQRT(SUM(tblData[NSW Test Sq Err])/COUNT(tblData[NSW Test Sq Err]))</f>
        <v>2141.4153557262753</v>
      </c>
      <c r="BU18" s="24">
        <f>(betaTests/PoTests)-deltaTests</f>
        <v>34.911959532184611</v>
      </c>
      <c r="BV18" s="24">
        <f>deltaTests*1000</f>
        <v>1.0000000000000751E-7</v>
      </c>
      <c r="BW18" s="24"/>
      <c r="BX18" s="27">
        <f t="array" ref="BX18">MAX(IF(ISNUMBER(tblData[NSW Number of Tests]),tblData[Date]))</f>
        <v>43911</v>
      </c>
      <c r="BY18" s="27" t="str">
        <f t="shared" si="0"/>
        <v>2.02 G</v>
      </c>
      <c r="BZ18" s="26">
        <f>MAX(tblData[NSW Number of Tests])</f>
        <v>46456</v>
      </c>
      <c r="CA18" s="26" t="str">
        <f>Cengnotation(BS18/(NSWpop/PerPerson),3)</f>
        <v>2.50 G</v>
      </c>
      <c r="CB18" s="27">
        <f t="array" ref="CB18">MAX(IF(ISNUMBER(tblData[NSW Number of Tests]),tblData[Date]))</f>
        <v>43911</v>
      </c>
      <c r="CC18" s="19">
        <f t="array" ref="CC18">COUNT(IF(ISNUMBER(tblData[NSW Number of Tests]),tblData[Date]))</f>
        <v>16</v>
      </c>
      <c r="CD18" s="27" t="str">
        <f t="shared" si="1"/>
        <v>b=0.202, d=1.00E-10, P0=.0058 Limit=2.50 G</v>
      </c>
      <c r="CE18" s="26"/>
      <c r="CF18" s="26" t="str">
        <f t="shared" si="2"/>
        <v>Tests Limit 2.50 G</v>
      </c>
      <c r="CG18" s="26"/>
      <c r="CH18" s="18" t="str">
        <f>"COVID19 "&amp;BK18 &amp; " " &amp;LogFormula&amp;CHAR(10)&amp;CD18&amp;CHAR(10)&amp;TEXT(CB18," dd-mmm")&amp;IF(PopScaling=0,"",", "&amp;PerPersonLabel)&amp;CHAR(10)&amp;CG18</f>
        <v xml:space="preserve">COVID19 Tests P(t) = b / {d+[( b/Po - d ) ]* exp(-b*t)}
b=0.202, d=1.00E-10, P0=.0058 Limit=2.50 G
 21-Mar, Cases per 10 M population
</v>
      </c>
      <c r="CI18" s="26"/>
      <c r="CJ18" s="19"/>
      <c r="CK18" s="19"/>
      <c r="CL18" s="26"/>
      <c r="CM18" s="26"/>
      <c r="CN18" s="26"/>
      <c r="CO18" s="26"/>
      <c r="CP18" s="26"/>
      <c r="CQ18" s="26"/>
      <c r="DE18" s="26" t="s">
        <v>202</v>
      </c>
      <c r="DG18" s="27">
        <v>43855</v>
      </c>
      <c r="DI18" s="26">
        <v>1</v>
      </c>
      <c r="DJ18" s="23">
        <v>0.19036954183670268</v>
      </c>
      <c r="DK18" s="25">
        <v>1.0000000000000751E-10</v>
      </c>
      <c r="DL18" s="22">
        <v>1.0111170011545663E-2</v>
      </c>
      <c r="DM18" s="26">
        <v>1903695418.3668838</v>
      </c>
      <c r="DN18" s="19">
        <v>3.2111653832176152</v>
      </c>
      <c r="DO18" s="37">
        <v>18.827647207822032</v>
      </c>
      <c r="DP18" s="24">
        <v>1.0000000000000751E-7</v>
      </c>
      <c r="DQ18" s="12">
        <v>3.2111653832176152</v>
      </c>
      <c r="DR18" s="27">
        <v>43906</v>
      </c>
      <c r="DS18" s="27" t="s">
        <v>983</v>
      </c>
      <c r="DT18" s="19">
        <v>171</v>
      </c>
      <c r="DU18" s="19">
        <v>43906</v>
      </c>
      <c r="DV18" s="27">
        <v>52</v>
      </c>
      <c r="DW18" s="26" t="s">
        <v>984</v>
      </c>
      <c r="DX18" s="18"/>
      <c r="DY18" s="26" t="s">
        <v>985</v>
      </c>
      <c r="DZ18" s="26" t="s">
        <v>986</v>
      </c>
      <c r="EA18" s="26"/>
      <c r="EB18" s="26"/>
      <c r="EC18" s="26"/>
      <c r="ED18" s="26"/>
      <c r="EE18" s="26"/>
      <c r="EF18" s="26"/>
      <c r="EG18" s="26"/>
      <c r="EH18" s="26"/>
      <c r="EI18" s="26"/>
      <c r="EJ18" s="26"/>
    </row>
    <row r="19" spans="2:140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3"/>
        <v>8</v>
      </c>
      <c r="Z19" s="26" t="str">
        <f>IF(tblData[[#This Row],[Date]]&lt;StartDt2Korea,"",tblData[[#This Row],[Date]]-StartDt2Korea)</f>
        <v/>
      </c>
      <c r="AA19" s="26">
        <f>IF(tblData[[#This Row],[Date]]&lt;UKStart,"",tblData[[#This Row],[Date]]-UKStart)</f>
        <v>0</v>
      </c>
      <c r="AB19">
        <f>IF(tblData[Date]&gt;=StartDt2Au,tblData[Date]-StartDt2Au,"")</f>
        <v>5</v>
      </c>
      <c r="AC19" s="26">
        <f>IF(tblData[New South Wales]&gt;0,SUM(tblData[[#This Row],[Australian Capital Territory]:[Western Australia]]),"")</f>
        <v>9</v>
      </c>
      <c r="AD19" s="12">
        <f>IF(ISNUMBER(tblData[Au]),tblData[Au]/$AA$9,"")</f>
        <v>3.548336224570257</v>
      </c>
      <c r="AE19" s="19">
        <f>IF(ISNUMBER(tblData[[#This Row],[Day'# Aust]]),betaAu/(deltaAu+betaPodeltaAu*EXP(-betaAu*tblData[[#This Row],[Day'# Aust]])),"")</f>
        <v>2.7838040972198184E-2</v>
      </c>
      <c r="AF19" s="72">
        <f>IF(ISNUMBER(tblData[Day'# Aust]),tblData[Au LogiP(t)]/$AD$9,"")</f>
        <v>1.0975414355857981E-2</v>
      </c>
      <c r="AG19" s="11">
        <f>IF(AND(tblData[Date]&gt;=StartDt2Au,ISNUMBER(tblData[NSW])),(tblData[[#This Row],[Au LogiP(t)]]-tblData[[#This Row],[Au]])^2,"")</f>
        <v>80.499690219025581</v>
      </c>
      <c r="AH19">
        <f>IF(tblData[Date]&gt;StartDt2NSW,tblData[Date]-StartDt2NSW,"")</f>
        <v>5</v>
      </c>
      <c r="AI19">
        <f t="shared" si="4"/>
        <v>4</v>
      </c>
      <c r="AJ19" s="11">
        <f>IF(tblData[Date]&gt;StartDt2NSW,betaNSW/(deltaNSW+betaPodeltaNSW*EXP(-betaNSW*tblData[[#This Row],[Day '# NSW]])),"")</f>
        <v>1.2256551688801576E-2</v>
      </c>
      <c r="AK19" s="12">
        <f>IF(AND(ISNUMBER(tblData[NSW]),tblData[Date]&gt;StartDt2NSW),(tblData[[#This Row],[NSW LogiP(t)]]-tblData[[#This Row],[NSW]])^2,"")</f>
        <v>15.902097809548888</v>
      </c>
      <c r="AL19" s="12">
        <f>IF(AND(tblData[Date]&gt;StartDt2NSW,ISNUMBER(tblData[Day'# Aust])),tblData[NSW LogiP(t)]/$AG$9,"")</f>
        <v>1.5168999614853435E-2</v>
      </c>
      <c r="AM19" s="11" t="str">
        <f>IF(AND(tblData[Date]&gt;StartDt2Italy,ISNUMBER(tblData[Days'# Italy])),betaItaly/(deltaItaly+betaPodeltaItaly*EXP(-betaItaly*tblData[Days'# Italy])),"")</f>
        <v/>
      </c>
      <c r="AN19" s="11" t="str">
        <f>IF(AND(tblData[Date]&gt;StartDt2Italy,ISNUMBER(tblData[Italy])),(tblData[[#This Row],[Italy LogiP(t)]]-tblData[[#This Row],[Italy]])^2,"")</f>
        <v/>
      </c>
      <c r="AO19" s="44" t="str">
        <f>IF(AND(tblData[Date]&gt;StartDt2Italy,ISNUMBER(tblData[Days'# Italy])),tblData[[#This Row],[Italy LogiP(t)]]/$AM$9,"")</f>
        <v/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IF(tblData[Date]&gt;=StartDt2Korea,betaSKorea/(deltaSKorea+betaPodeltaSKorea*EXP(-betaSKorea*(tblData[Date]-StartDt2Korea))),"")</f>
        <v/>
      </c>
      <c r="AT19" s="11" t="str">
        <f>IF(AND(tblData[Date]&gt;=StartDt2Korea,ISNUMBER(tblData[SKorea])),(tblData[[#This Row],[SKorea LogiP(t)]]-tblData[[#This Row],[SKorea]])^2,"")</f>
        <v/>
      </c>
      <c r="AU19" s="11" t="str">
        <f>IF(tblData[Date]&gt;=StartDt2Korea,tblData[[#This Row],[SKorea LogiP(t)]]/$AS$9,"")</f>
        <v/>
      </c>
      <c r="AV19" s="11">
        <f>IF(ISNUMBER(tblData[Days'# UK]),betaUK/(deltaUK+betaPodeltaUK*EXP(-betaUK*tblData[Days'# UK])),"")</f>
        <v>3.0253807305994522E-2</v>
      </c>
      <c r="AW19" s="11">
        <f>IF(ISNUMBER(tblData[UK]),(tblData[[#This Row],[UK LogiP(t)]]-tblData[[#This Row],[UK]])^2,"")</f>
        <v>9.1529285650824752E-4</v>
      </c>
      <c r="AX19" s="11">
        <f>IF(ISNUMBER(tblData[Days'# UK]),tblData[[#This Row],[UK LogiP(t)]]/$AV$9,"")</f>
        <v>4.5535531766999577E-3</v>
      </c>
      <c r="AY19" s="11">
        <f>IF(ISNUMBER(tblData[Days'# China]),betaChina/(deltaChina+betaPodeltaChina*EXP(-betaChina*tblData[Days'# China])),"")</f>
        <v>8315.991582118224</v>
      </c>
      <c r="AZ19" s="11">
        <f>IF(ISNUMBER(tblData[China]),(tblData[[#This Row],[China LogiP(t)]]-tblData[[#This Row],[China]])^2,"")</f>
        <v>30622.053812239119</v>
      </c>
      <c r="BA19" s="11">
        <f>tblData[[#This Row],[China LogiP(t)]]/$AY$9</f>
        <v>57.777073656276656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M19" s="27"/>
      <c r="BN19" s="27"/>
      <c r="BO19" s="26"/>
      <c r="BP19" s="23"/>
      <c r="BQ19" s="25"/>
      <c r="BR19" s="22"/>
      <c r="BS19" s="26"/>
      <c r="BT19" s="12"/>
      <c r="BU19" s="26"/>
      <c r="BV19" s="24"/>
      <c r="BW19" s="24"/>
      <c r="BX19" s="24"/>
      <c r="BY19" s="24"/>
      <c r="CA19" s="26"/>
      <c r="CB19" s="27"/>
      <c r="CC19" s="19"/>
      <c r="CD19" s="27"/>
      <c r="CE19" s="26"/>
      <c r="CF19" s="26"/>
      <c r="CG19" s="18"/>
      <c r="CH19" s="26"/>
      <c r="CI19" s="26"/>
      <c r="CJ19" s="19"/>
      <c r="CK19" s="19"/>
      <c r="CL19" s="26"/>
      <c r="CM19" s="26"/>
      <c r="CN19" s="26"/>
      <c r="CO19" s="26"/>
      <c r="CP19" s="26"/>
      <c r="CQ19" s="26"/>
      <c r="DE19" s="26" t="s">
        <v>202</v>
      </c>
      <c r="DG19" s="27">
        <v>43855</v>
      </c>
      <c r="DI19" s="26">
        <v>1</v>
      </c>
      <c r="DJ19" s="23">
        <v>0.19065324956550231</v>
      </c>
      <c r="DK19" s="25">
        <v>1.0000000000000751E-10</v>
      </c>
      <c r="DL19" s="22">
        <v>1.0112692767979454E-2</v>
      </c>
      <c r="DM19" s="26">
        <v>1906532495.6548798</v>
      </c>
      <c r="DN19" s="19">
        <v>3.3224128526326897</v>
      </c>
      <c r="DO19" s="37">
        <v>18.852866782245194</v>
      </c>
      <c r="DP19" s="24">
        <v>1.0000000000000751E-7</v>
      </c>
      <c r="DQ19" s="12">
        <v>3.3224128526326897</v>
      </c>
      <c r="DR19" s="27">
        <v>43907</v>
      </c>
      <c r="DS19" s="27" t="s">
        <v>966</v>
      </c>
      <c r="DT19" s="19">
        <v>210</v>
      </c>
      <c r="DU19" s="19" t="s">
        <v>967</v>
      </c>
      <c r="DV19" s="27">
        <v>43907</v>
      </c>
      <c r="DW19" s="26">
        <v>53</v>
      </c>
      <c r="DX19" s="18" t="s">
        <v>968</v>
      </c>
      <c r="DY19" s="26"/>
      <c r="DZ19" s="26" t="s">
        <v>969</v>
      </c>
      <c r="EA19" s="26"/>
      <c r="EB19" s="26"/>
      <c r="EC19" s="26"/>
      <c r="ED19" s="26"/>
      <c r="EE19" s="26"/>
      <c r="EF19" s="26"/>
      <c r="EG19" s="26"/>
      <c r="EH19" s="26"/>
      <c r="EI19" s="26"/>
      <c r="EJ19" s="26"/>
    </row>
    <row r="20" spans="2:140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49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3"/>
        <v>9</v>
      </c>
      <c r="Z20" s="26" t="str">
        <f>IF(tblData[[#This Row],[Date]]&lt;StartDt2Korea,"",tblData[[#This Row],[Date]]-StartDt2Korea)</f>
        <v/>
      </c>
      <c r="AA20" s="26">
        <f>IF(tblData[[#This Row],[Date]]&lt;UKStart,"",tblData[[#This Row],[Date]]-UKStart)</f>
        <v>1</v>
      </c>
      <c r="AB20">
        <f>IF(tblData[Date]&gt;=StartDt2Au,tblData[Date]-StartDt2Au,"")</f>
        <v>6</v>
      </c>
      <c r="AC20" s="26">
        <f>IF(tblData[New South Wales]&gt;0,SUM(tblData[[#This Row],[Australian Capital Territory]:[Western Australia]]),"")</f>
        <v>9</v>
      </c>
      <c r="AD20" s="12">
        <f>IF(ISNUMBER(tblData[Au]),tblData[Au]/$AA$9,"")</f>
        <v>3.548336224570257</v>
      </c>
      <c r="AE20" s="19">
        <f>IF(ISNUMBER(tblData[[#This Row],[Day'# Aust]]),betaAu/(deltaAu+betaPodeltaAu*EXP(-betaAu*tblData[[#This Row],[Day'# Aust]])),"")</f>
        <v>3.4240363125021205E-2</v>
      </c>
      <c r="AF20" s="72">
        <f>IF(ISNUMBER(tblData[Day'# Aust]),tblData[Au LogiP(t)]/$AD$9,"")</f>
        <v>1.3499591202105822E-2</v>
      </c>
      <c r="AG20" s="11">
        <f>IF(AND(tblData[Date]&gt;=StartDt2Au,ISNUMBER(tblData[NSW])),(tblData[[#This Row],[Au LogiP(t)]]-tblData[[#This Row],[Au]])^2,"")</f>
        <v>80.384845866216565</v>
      </c>
      <c r="AH20">
        <f>IF(tblData[Date]&gt;StartDt2NSW,tblData[Date]-StartDt2NSW,"")</f>
        <v>6</v>
      </c>
      <c r="AI20">
        <f t="shared" si="4"/>
        <v>4</v>
      </c>
      <c r="AJ20" s="11">
        <f>IF(tblData[Date]&gt;StartDt2NSW,betaNSW/(deltaNSW+betaPodeltaNSW*EXP(-betaNSW*tblData[[#This Row],[Day '# NSW]])),"")</f>
        <v>1.5110133320686846E-2</v>
      </c>
      <c r="AK20" s="12">
        <f>IF(AND(ISNUMBER(tblData[NSW]),tblData[Date]&gt;StartDt2NSW),(tblData[[#This Row],[NSW LogiP(t)]]-tblData[[#This Row],[NSW]])^2,"")</f>
        <v>15.879347249563473</v>
      </c>
      <c r="AL20" s="12">
        <f>IF(AND(tblData[Date]&gt;StartDt2NSW,ISNUMBER(tblData[Day'# Aust])),tblData[NSW LogiP(t)]/$AG$9,"")</f>
        <v>1.8700660050355006E-2</v>
      </c>
      <c r="AM20" s="11">
        <f>IF(AND(tblData[Date]&gt;StartDt2Italy,ISNUMBER(tblData[Days'# Italy])),betaItaly/(deltaItaly+betaPodeltaItaly*EXP(-betaItaly*tblData[Days'# Italy])),"")</f>
        <v>0.5732175072632526</v>
      </c>
      <c r="AN20" s="11">
        <f>IF(AND(tblData[Date]&gt;StartDt2Italy,ISNUMBER(tblData[Italy])),(tblData[[#This Row],[Italy LogiP(t)]]-tblData[[#This Row],[Italy]])^2,"")</f>
        <v>2.0357082815800864</v>
      </c>
      <c r="AO20" s="44">
        <f>IF(AND(tblData[Date]&gt;StartDt2Italy,ISNUMBER(tblData[Days'# Italy])),tblData[[#This Row],[Italy LogiP(t)]]/$AM$9,"")</f>
        <v>9.4825063236270074E-2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IF(tblData[Date]&gt;=StartDt2Korea,betaSKorea/(deltaSKorea+betaPodeltaSKorea*EXP(-betaSKorea*(tblData[Date]-StartDt2Korea))),"")</f>
        <v/>
      </c>
      <c r="AT20" s="11" t="str">
        <f>IF(AND(tblData[Date]&gt;=StartDt2Korea,ISNUMBER(tblData[SKorea])),(tblData[[#This Row],[SKorea LogiP(t)]]-tblData[[#This Row],[SKorea]])^2,"")</f>
        <v/>
      </c>
      <c r="AU20" s="11" t="str">
        <f>IF(tblData[Date]&gt;=StartDt2Korea,tblData[[#This Row],[SKorea LogiP(t)]]/$AS$9,"")</f>
        <v/>
      </c>
      <c r="AV20" s="11">
        <f>IF(ISNUMBER(tblData[Days'# UK]),betaUK/(deltaUK+betaPodeltaUK*EXP(-betaUK*tblData[Days'# UK])),"")</f>
        <v>3.8288323025704375E-2</v>
      </c>
      <c r="AW20" s="11">
        <f>IF(ISNUMBER(tblData[UK]),(tblData[[#This Row],[UK LogiP(t)]]-tblData[[#This Row],[UK]])^2,"")</f>
        <v>3.8483127035773035</v>
      </c>
      <c r="AX20" s="11">
        <f>IF(ISNUMBER(tblData[Days'# UK]),tblData[[#This Row],[UK LogiP(t)]]/$AV$9,"")</f>
        <v>5.7628421170536383E-3</v>
      </c>
      <c r="AY20" s="11">
        <f>IF(ISNUMBER(tblData[Days'# China]),betaChina/(deltaChina+betaPodeltaChina*EXP(-betaChina*tblData[Days'# China])),"")</f>
        <v>10125.843386658908</v>
      </c>
      <c r="AZ20" s="11">
        <f>IF(ISNUMBER(tblData[China]),(tblData[[#This Row],[China LogiP(t)]]-tblData[[#This Row],[China]])^2,"")</f>
        <v>104874.5390827107</v>
      </c>
      <c r="BA20" s="11">
        <f>tblData[[#This Row],[China LogiP(t)]]/$AY$9</f>
        <v>70.351393866357611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BZ20"/>
      <c r="DB20" s="26"/>
      <c r="DE20" s="26" t="s">
        <v>202</v>
      </c>
      <c r="DG20" s="27">
        <v>43855</v>
      </c>
      <c r="DI20" s="26">
        <v>1</v>
      </c>
      <c r="DJ20" s="23">
        <v>0.20209478104227763</v>
      </c>
      <c r="DK20" s="25">
        <v>1.0000000000000751E-10</v>
      </c>
      <c r="DL20" s="22">
        <v>5.7886977342360797E-3</v>
      </c>
      <c r="DM20" s="26">
        <v>2020947810.4226243</v>
      </c>
      <c r="DN20" s="19">
        <v>3.5813561365949553</v>
      </c>
      <c r="DO20" s="37">
        <v>34.911959532184611</v>
      </c>
      <c r="DP20" s="24">
        <v>1.0000000000000751E-7</v>
      </c>
      <c r="DQ20" s="12">
        <v>3.5813561365949553</v>
      </c>
      <c r="DR20" s="27">
        <v>43908</v>
      </c>
      <c r="DS20" s="27" t="s">
        <v>1003</v>
      </c>
      <c r="DT20" s="19">
        <v>267</v>
      </c>
      <c r="DU20" s="19" t="s">
        <v>1004</v>
      </c>
      <c r="DV20" s="27">
        <v>43908</v>
      </c>
      <c r="DW20" s="26">
        <v>54</v>
      </c>
      <c r="DX20" s="18" t="s">
        <v>1005</v>
      </c>
      <c r="DY20" s="26"/>
      <c r="DZ20" s="26" t="s">
        <v>1006</v>
      </c>
      <c r="EA20" s="26"/>
      <c r="EB20" s="26" t="s">
        <v>1007</v>
      </c>
      <c r="EC20" s="26"/>
      <c r="ED20" s="26"/>
      <c r="EE20" s="26"/>
      <c r="EF20" s="26"/>
      <c r="EG20" s="26"/>
      <c r="EH20" s="26"/>
      <c r="EI20" s="26"/>
      <c r="EJ20" s="26"/>
    </row>
    <row r="21" spans="2:140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49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3"/>
        <v>10</v>
      </c>
      <c r="Z21" s="26" t="str">
        <f>IF(tblData[[#This Row],[Date]]&lt;StartDt2Korea,"",tblData[[#This Row],[Date]]-StartDt2Korea)</f>
        <v/>
      </c>
      <c r="AA21" s="26">
        <f>IF(tblData[[#This Row],[Date]]&lt;UKStart,"",tblData[[#This Row],[Date]]-UKStart)</f>
        <v>2</v>
      </c>
      <c r="AB21">
        <f>IF(tblData[Date]&gt;=StartDt2Au,tblData[Date]-StartDt2Au,"")</f>
        <v>7</v>
      </c>
      <c r="AC21" s="26">
        <f>IF(tblData[New South Wales]&gt;0,SUM(tblData[[#This Row],[Australian Capital Territory]:[Western Australia]]),"")</f>
        <v>12</v>
      </c>
      <c r="AD21" s="12">
        <f>IF(ISNUMBER(tblData[Au]),tblData[Au]/$AA$9,"")</f>
        <v>4.731114966093676</v>
      </c>
      <c r="AE21" s="19">
        <f>IF(ISNUMBER(tblData[[#This Row],[Day'# Aust]]),betaAu/(deltaAu+betaPodeltaAu*EXP(-betaAu*tblData[[#This Row],[Day'# Aust]])),"")</f>
        <v>4.2115121106971909E-2</v>
      </c>
      <c r="AF21" s="72">
        <f>IF(ISNUMBER(tblData[Day'# Aust]),tblData[Au LogiP(t)]/$AD$9,"")</f>
        <v>1.6604289980670206E-2</v>
      </c>
      <c r="AG21" s="11">
        <f>IF(AND(tblData[Date]&gt;=StartDt2Au,ISNUMBER(tblData[NSW])),(tblData[[#This Row],[Au LogiP(t)]]-tblData[[#This Row],[Au]])^2,"")</f>
        <v>142.99101077685853</v>
      </c>
      <c r="AH21">
        <f>IF(tblData[Date]&gt;StartDt2NSW,tblData[Date]-StartDt2NSW,"")</f>
        <v>7</v>
      </c>
      <c r="AI21">
        <f t="shared" si="4"/>
        <v>4</v>
      </c>
      <c r="AJ21" s="11">
        <f>IF(tblData[Date]&gt;StartDt2NSW,betaNSW/(deltaNSW+betaPodeltaNSW*EXP(-betaNSW*tblData[[#This Row],[Day '# NSW]])),"")</f>
        <v>1.8628083909307397E-2</v>
      </c>
      <c r="AK21" s="12">
        <f>IF(AND(ISNUMBER(tblData[NSW]),tblData[Date]&gt;StartDt2NSW),(tblData[[#This Row],[NSW LogiP(t)]]-tblData[[#This Row],[NSW]])^2,"")</f>
        <v>15.851322334235672</v>
      </c>
      <c r="AL21" s="12">
        <f>IF(AND(tblData[Date]&gt;StartDt2NSW,ISNUMBER(tblData[Day'# Aust])),tblData[NSW LogiP(t)]/$AG$9,"")</f>
        <v>2.3054559293697274E-2</v>
      </c>
      <c r="AM21" s="11">
        <f>IF(AND(tblData[Date]&gt;StartDt2Italy,ISNUMBER(tblData[Days'# Italy])),betaItaly/(deltaItaly+betaPodeltaItaly*EXP(-betaItaly*tblData[Days'# Italy])),"")</f>
        <v>0.7430336891574143</v>
      </c>
      <c r="AN21" s="11">
        <f>IF(AND(tblData[Date]&gt;StartDt2Italy,ISNUMBER(tblData[Italy])),(tblData[[#This Row],[Italy LogiP(t)]]-tblData[[#This Row],[Italy]])^2,"")</f>
        <v>1.5799643065932198</v>
      </c>
      <c r="AO21" s="44">
        <f>IF(AND(tblData[Date]&gt;StartDt2Italy,ISNUMBER(tblData[Days'# Italy])),tblData[[#This Row],[Italy LogiP(t)]]/$AM$9,"")</f>
        <v>0.12291707016665249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IF(tblData[Date]&gt;=StartDt2Korea,betaSKorea/(deltaSKorea+betaPodeltaSKorea*EXP(-betaSKorea*(tblData[Date]-StartDt2Korea))),"")</f>
        <v/>
      </c>
      <c r="AT21" s="11" t="str">
        <f>IF(AND(tblData[Date]&gt;=StartDt2Korea,ISNUMBER(tblData[SKorea])),(tblData[[#This Row],[SKorea LogiP(t)]]-tblData[[#This Row],[SKorea]])^2,"")</f>
        <v/>
      </c>
      <c r="AU21" s="11" t="str">
        <f>IF(tblData[Date]&gt;=StartDt2Korea,tblData[[#This Row],[SKorea LogiP(t)]]/$AS$9,"")</f>
        <v/>
      </c>
      <c r="AV21" s="11">
        <f>IF(ISNUMBER(tblData[Days'# UK]),betaUK/(deltaUK+betaPodeltaUK*EXP(-betaUK*tblData[Days'# UK])),"")</f>
        <v>4.8456568301634181E-2</v>
      </c>
      <c r="AW21" s="11">
        <f>IF(ISNUMBER(tblData[UK]),(tblData[[#This Row],[UK LogiP(t)]]-tblData[[#This Row],[UK]])^2,"")</f>
        <v>3.8085217658050339</v>
      </c>
      <c r="AX21" s="11">
        <f>IF(ISNUMBER(tblData[Days'# UK]),tblData[[#This Row],[UK LogiP(t)]]/$AV$9,"")</f>
        <v>7.293282405423567E-3</v>
      </c>
      <c r="AY21" s="11">
        <f>IF(ISNUMBER(tblData[Days'# China]),betaChina/(deltaChina+betaPodeltaChina*EXP(-betaChina*tblData[Days'# China])),"")</f>
        <v>12263.082692815824</v>
      </c>
      <c r="AZ21" s="11">
        <f>IF(ISNUMBER(tblData[China]),(tblData[[#This Row],[China LogiP(t)]]-tblData[[#This Row],[China]])^2,"")</f>
        <v>138445.53029307481</v>
      </c>
      <c r="BA21" s="11">
        <f>tblData[[#This Row],[China LogiP(t)]]/$AY$9</f>
        <v>85.200306541839723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E21" s="62" t="s">
        <v>202</v>
      </c>
      <c r="DG21" s="27">
        <v>43855</v>
      </c>
      <c r="DI21" s="62">
        <v>1</v>
      </c>
      <c r="DJ21" s="62">
        <v>0.20209478104227763</v>
      </c>
      <c r="DK21" s="62">
        <v>1.0000000000000751E-10</v>
      </c>
      <c r="DL21" s="62">
        <v>5.7886977342360797E-3</v>
      </c>
      <c r="DM21" s="62">
        <v>2020947810.4226243</v>
      </c>
      <c r="DN21" s="65">
        <v>3.8333653054478112</v>
      </c>
      <c r="DO21" s="64">
        <v>34.911959532184611</v>
      </c>
      <c r="DP21" s="62">
        <v>1.0000000000000751E-7</v>
      </c>
      <c r="DQ21" s="64">
        <v>3.8333653054478112</v>
      </c>
      <c r="DR21" s="27">
        <v>43908</v>
      </c>
      <c r="DS21" s="63" t="s">
        <v>1003</v>
      </c>
      <c r="DT21" s="62">
        <v>307</v>
      </c>
      <c r="DU21" s="62" t="s">
        <v>1004</v>
      </c>
      <c r="DV21" s="27">
        <v>43908</v>
      </c>
      <c r="DW21" s="65">
        <v>55</v>
      </c>
      <c r="DX21" s="63" t="s">
        <v>1005</v>
      </c>
      <c r="DY21" s="62"/>
      <c r="DZ21" s="62" t="s">
        <v>1006</v>
      </c>
      <c r="EA21" s="62"/>
      <c r="EB21" s="66" t="s">
        <v>1026</v>
      </c>
      <c r="EC21" s="21">
        <v>379.95049504950492</v>
      </c>
      <c r="ED21" s="65"/>
      <c r="EE21" s="65"/>
      <c r="EF21" s="26"/>
      <c r="EG21" s="11"/>
      <c r="EH21" s="26" t="s">
        <v>1027</v>
      </c>
      <c r="EI21" s="26"/>
      <c r="EJ21" s="26"/>
    </row>
    <row r="22" spans="2:140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49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3"/>
        <v>11</v>
      </c>
      <c r="Z22" s="26" t="str">
        <f>IF(tblData[[#This Row],[Date]]&lt;StartDt2Korea,"",tblData[[#This Row],[Date]]-StartDt2Korea)</f>
        <v/>
      </c>
      <c r="AA22" s="26">
        <f>IF(tblData[[#This Row],[Date]]&lt;UKStart,"",tblData[[#This Row],[Date]]-UKStart)</f>
        <v>3</v>
      </c>
      <c r="AB22">
        <f>IF(tblData[Date]&gt;=StartDt2Au,tblData[Date]-StartDt2Au,"")</f>
        <v>8</v>
      </c>
      <c r="AC22" s="26">
        <f>IF(tblData[New South Wales]&gt;0,SUM(tblData[[#This Row],[Australian Capital Territory]:[Western Australia]]),"")</f>
        <v>12</v>
      </c>
      <c r="AD22" s="12">
        <f>IF(ISNUMBER(tblData[Au]),tblData[Au]/$AA$9,"")</f>
        <v>4.731114966093676</v>
      </c>
      <c r="AE22" s="19">
        <f>IF(ISNUMBER(tblData[[#This Row],[Day'# Aust]]),betaAu/(deltaAu+betaPodeltaAu*EXP(-betaAu*tblData[[#This Row],[Day'# Aust]])),"")</f>
        <v>5.1800952558919276E-2</v>
      </c>
      <c r="AF22" s="72">
        <f>IF(ISNUMBER(tblData[Day'# Aust]),tblData[Au LogiP(t)]/$AD$9,"")</f>
        <v>2.0423021825784291E-2</v>
      </c>
      <c r="AG22" s="11">
        <f>IF(AND(tblData[Date]&gt;=StartDt2Au,ISNUMBER(tblData[NSW])),(tblData[[#This Row],[Au LogiP(t)]]-tblData[[#This Row],[Au]])^2,"")</f>
        <v>142.75946047727194</v>
      </c>
      <c r="AH22">
        <f>IF(tblData[Date]&gt;StartDt2NSW,tblData[Date]-StartDt2NSW,"")</f>
        <v>8</v>
      </c>
      <c r="AI22">
        <f t="shared" si="4"/>
        <v>4</v>
      </c>
      <c r="AJ22" s="11">
        <f>IF(tblData[Date]&gt;StartDt2NSW,betaNSW/(deltaNSW+betaPodeltaNSW*EXP(-betaNSW*tblData[[#This Row],[Day '# NSW]])),"")</f>
        <v>2.2965079027216881E-2</v>
      </c>
      <c r="AK22" s="12">
        <f>IF(AND(ISNUMBER(tblData[NSW]),tblData[Date]&gt;StartDt2NSW),(tblData[[#This Row],[NSW LogiP(t)]]-tblData[[#This Row],[NSW]])^2,"")</f>
        <v>15.816806762636991</v>
      </c>
      <c r="AL22" s="12">
        <f>IF(AND(tblData[Date]&gt;StartDt2NSW,ISNUMBER(tblData[Day'# Aust])),tblData[NSW LogiP(t)]/$AG$9,"")</f>
        <v>2.8422127508931781E-2</v>
      </c>
      <c r="AM22" s="11">
        <f>IF(AND(tblData[Date]&gt;StartDt2Italy,ISNUMBER(tblData[Days'# Italy])),betaItaly/(deltaItaly+betaPodeltaItaly*EXP(-betaItaly*tblData[Days'# Italy])),"")</f>
        <v>0.96315726255592082</v>
      </c>
      <c r="AN22" s="11">
        <f>IF(AND(tblData[Date]&gt;StartDt2Italy,ISNUMBER(tblData[Italy])),(tblData[[#This Row],[Italy LogiP(t)]]-tblData[[#This Row],[Italy]])^2,"")</f>
        <v>1.0750428621905317</v>
      </c>
      <c r="AO22" s="44">
        <f>IF(AND(tblData[Date]&gt;StartDt2Italy,ISNUMBER(tblData[Days'# Italy])),tblData[[#This Row],[Italy LogiP(t)]]/$AM$9,"")</f>
        <v>0.15933122622926729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IF(tblData[Date]&gt;=StartDt2Korea,betaSKorea/(deltaSKorea+betaPodeltaSKorea*EXP(-betaSKorea*(tblData[Date]-StartDt2Korea))),"")</f>
        <v/>
      </c>
      <c r="AT22" s="11" t="str">
        <f>IF(AND(tblData[Date]&gt;=StartDt2Korea,ISNUMBER(tblData[SKorea])),(tblData[[#This Row],[SKorea LogiP(t)]]-tblData[[#This Row],[SKorea]])^2,"")</f>
        <v/>
      </c>
      <c r="AU22" s="11" t="str">
        <f>IF(tblData[Date]&gt;=StartDt2Korea,tblData[[#This Row],[SKorea LogiP(t)]]/$AS$9,"")</f>
        <v/>
      </c>
      <c r="AV22" s="11">
        <f>IF(ISNUMBER(tblData[Days'# UK]),betaUK/(deltaUK+betaPodeltaUK*EXP(-betaUK*tblData[Days'# UK])),"")</f>
        <v>6.1325198545982049E-2</v>
      </c>
      <c r="AW22" s="11">
        <f>IF(ISNUMBER(tblData[UK]),(tblData[[#This Row],[UK LogiP(t)]]-tblData[[#This Row],[UK]])^2,"")</f>
        <v>3.7584599857927765</v>
      </c>
      <c r="AX22" s="11">
        <f>IF(ISNUMBER(tblData[Days'# UK]),tblData[[#This Row],[UK LogiP(t)]]/$AV$9,"")</f>
        <v>9.2301623338323369E-3</v>
      </c>
      <c r="AY22" s="11">
        <f>IF(ISNUMBER(tblData[Days'# China]),betaChina/(deltaChina+betaPodeltaChina*EXP(-betaChina*tblData[Days'# China])),"")</f>
        <v>14757.431913862878</v>
      </c>
      <c r="AZ22" s="11">
        <f>IF(ISNUMBER(tblData[China]),(tblData[[#This Row],[China LogiP(t)]]-tblData[[#This Row],[China]])^2,"")</f>
        <v>3506511.2372192438</v>
      </c>
      <c r="BA22" s="11">
        <f>tblData[[#This Row],[China LogiP(t)]]/$AY$9</f>
        <v>102.53031430408942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E22" s="26" t="s">
        <v>202</v>
      </c>
      <c r="DG22" s="27">
        <v>43855</v>
      </c>
      <c r="DI22" s="26">
        <v>1</v>
      </c>
      <c r="DJ22" s="26">
        <v>0.19837162818971904</v>
      </c>
      <c r="DK22" s="26">
        <v>1.00000000000157E-8</v>
      </c>
      <c r="DL22" s="26">
        <v>6.9460009994493713E-3</v>
      </c>
      <c r="DM22" s="26">
        <v>19837162.818940759</v>
      </c>
      <c r="DN22" s="19">
        <v>3.6531506142049168</v>
      </c>
      <c r="DO22" s="12">
        <v>28.559113097735587</v>
      </c>
      <c r="DP22" s="26">
        <v>1.00000000000157E-5</v>
      </c>
      <c r="DQ22" s="26">
        <v>3.6531506142049168</v>
      </c>
      <c r="DR22" s="27">
        <v>43910</v>
      </c>
      <c r="DS22" s="26" t="s">
        <v>1309</v>
      </c>
      <c r="DT22" s="26">
        <v>382</v>
      </c>
      <c r="DU22" s="26" t="s">
        <v>1310</v>
      </c>
      <c r="DV22" s="27">
        <v>43910</v>
      </c>
      <c r="DW22" s="26">
        <v>56</v>
      </c>
      <c r="DX22" s="26" t="s">
        <v>1311</v>
      </c>
      <c r="DY22" s="26"/>
      <c r="DZ22" s="26" t="s">
        <v>1312</v>
      </c>
      <c r="EA22" s="26"/>
      <c r="EB22" s="26" t="s">
        <v>1313</v>
      </c>
      <c r="EC22" s="26">
        <v>472.77227722772273</v>
      </c>
      <c r="ED22" s="26"/>
      <c r="EE22" s="26"/>
      <c r="EF22" s="26"/>
      <c r="EG22" s="26"/>
      <c r="EH22" s="26" t="s">
        <v>1314</v>
      </c>
      <c r="EI22" s="26"/>
      <c r="EJ22" s="26"/>
    </row>
    <row r="23" spans="2:140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49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3"/>
        <v>12</v>
      </c>
      <c r="Z23" s="26" t="str">
        <f>IF(tblData[[#This Row],[Date]]&lt;StartDt2Korea,"",tblData[[#This Row],[Date]]-StartDt2Korea)</f>
        <v/>
      </c>
      <c r="AA23" s="26">
        <f>IF(tblData[[#This Row],[Date]]&lt;UKStart,"",tblData[[#This Row],[Date]]-UKStart)</f>
        <v>4</v>
      </c>
      <c r="AB23">
        <f>IF(tblData[Date]&gt;=StartDt2Au,tblData[Date]-StartDt2Au,"")</f>
        <v>9</v>
      </c>
      <c r="AC23" s="26">
        <f>IF(tblData[New South Wales]&gt;0,SUM(tblData[[#This Row],[Australian Capital Territory]:[Western Australia]]),"")</f>
        <v>12</v>
      </c>
      <c r="AD23" s="12">
        <f>IF(ISNUMBER(tblData[Au]),tblData[Au]/$AA$9,"")</f>
        <v>4.731114966093676</v>
      </c>
      <c r="AE23" s="19">
        <f>IF(ISNUMBER(tblData[[#This Row],[Day'# Aust]]),betaAu/(deltaAu+betaPodeltaAu*EXP(-betaAu*tblData[[#This Row],[Day'# Aust]])),"")</f>
        <v>6.3714376581439261E-2</v>
      </c>
      <c r="AF23" s="72">
        <f>IF(ISNUMBER(tblData[Day'# Aust]),tblData[Au LogiP(t)]/$AD$9,"")</f>
        <v>2.5120003383314642E-2</v>
      </c>
      <c r="AG23" s="11">
        <f>IF(AND(tblData[Date]&gt;=StartDt2Au,ISNUMBER(tblData[NSW])),(tblData[[#This Row],[Au LogiP(t)]]-tblData[[#This Row],[Au]])^2,"")</f>
        <v>142.47491448382863</v>
      </c>
      <c r="AH23">
        <f>IF(tblData[Date]&gt;StartDt2NSW,tblData[Date]-StartDt2NSW,"")</f>
        <v>9</v>
      </c>
      <c r="AI23">
        <f t="shared" si="4"/>
        <v>4</v>
      </c>
      <c r="AJ23" s="11">
        <f>IF(tblData[Date]&gt;StartDt2NSW,betaNSW/(deltaNSW+betaPodeltaNSW*EXP(-betaNSW*tblData[[#This Row],[Day '# NSW]])),"")</f>
        <v>2.8311803932569855E-2</v>
      </c>
      <c r="AK23" s="12">
        <f>IF(AND(ISNUMBER(tblData[NSW]),tblData[Date]&gt;StartDt2NSW),(tblData[[#This Row],[NSW LogiP(t)]]-tblData[[#This Row],[NSW]])^2,"")</f>
        <v>15.774307126781357</v>
      </c>
      <c r="AL23" s="12">
        <f>IF(AND(tblData[Date]&gt;StartDt2NSW,ISNUMBER(tblData[Day'# Aust])),tblData[NSW LogiP(t)]/$AG$9,"")</f>
        <v>3.5039361302685458E-2</v>
      </c>
      <c r="AM23" s="11">
        <f>IF(AND(tblData[Date]&gt;StartDt2Italy,ISNUMBER(tblData[Days'# Italy])),betaItaly/(deltaItaly+betaPodeltaItaly*EXP(-betaItaly*tblData[Days'# Italy])),"")</f>
        <v>1.2484910553074835</v>
      </c>
      <c r="AN23" s="11">
        <f>IF(AND(tblData[Date]&gt;StartDt2Italy,ISNUMBER(tblData[Italy])),(tblData[[#This Row],[Italy LogiP(t)]]-tblData[[#This Row],[Italy]])^2,"")</f>
        <v>0.5647656939528598</v>
      </c>
      <c r="AO23" s="44">
        <f>IF(AND(tblData[Date]&gt;StartDt2Italy,ISNUMBER(tblData[Days'# Italy])),tblData[[#This Row],[Italy LogiP(t)]]/$AM$9,"")</f>
        <v>0.20653284620471191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IF(tblData[Date]&gt;=StartDt2Korea,betaSKorea/(deltaSKorea+betaPodeltaSKorea*EXP(-betaSKorea*(tblData[Date]-StartDt2Korea))),"")</f>
        <v/>
      </c>
      <c r="AT23" s="11" t="str">
        <f>IF(AND(tblData[Date]&gt;=StartDt2Korea,ISNUMBER(tblData[SKorea])),(tblData[[#This Row],[SKorea LogiP(t)]]-tblData[[#This Row],[SKorea]])^2,"")</f>
        <v/>
      </c>
      <c r="AU23" s="11" t="str">
        <f>IF(tblData[Date]&gt;=StartDt2Korea,tblData[[#This Row],[SKorea LogiP(t)]]/$AS$9,"")</f>
        <v/>
      </c>
      <c r="AV23" s="11">
        <f>IF(ISNUMBER(tblData[Days'# UK]),betaUK/(deltaUK+betaPodeltaUK*EXP(-betaUK*tblData[Days'# UK])),"")</f>
        <v>7.7611356075389229E-2</v>
      </c>
      <c r="AW23" s="11">
        <f>IF(ISNUMBER(tblData[UK]),(tblData[[#This Row],[UK LogiP(t)]]-tblData[[#This Row],[UK]])^2,"")</f>
        <v>3.6955780982903037</v>
      </c>
      <c r="AX23" s="11">
        <f>IF(ISNUMBER(tblData[Days'# UK]),tblData[[#This Row],[UK LogiP(t)]]/$AV$9,"")</f>
        <v>1.1681420240124809E-2</v>
      </c>
      <c r="AY23" s="11">
        <f>IF(ISNUMBER(tblData[Days'# China]),betaChina/(deltaChina+betaPodeltaChina*EXP(-betaChina*tblData[Days'# China])),"")</f>
        <v>17628.926397334792</v>
      </c>
      <c r="AZ23" s="11">
        <f>IF(ISNUMBER(tblData[China]),(tblData[[#This Row],[China LogiP(t)]]-tblData[[#This Row],[China]])^2,"")</f>
        <v>4355876.2229419323</v>
      </c>
      <c r="BA23" s="11">
        <f>tblData[[#This Row],[China LogiP(t)]]/$AY$9</f>
        <v>122.48061687917807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E23" s="26" t="s">
        <v>202</v>
      </c>
      <c r="DF23" s="82">
        <v>43911.866284722222</v>
      </c>
      <c r="DG23" s="27">
        <v>43855</v>
      </c>
      <c r="DH23" s="27">
        <v>43855</v>
      </c>
      <c r="DI23" s="26">
        <v>1</v>
      </c>
      <c r="DJ23" s="26">
        <v>0.20930602113130264</v>
      </c>
      <c r="DK23" s="26">
        <v>7.6817707886235747E-5</v>
      </c>
      <c r="DL23" s="26">
        <v>4.3039510033128963E-3</v>
      </c>
      <c r="DM23" s="26">
        <v>2724.7105763852951</v>
      </c>
      <c r="DN23" s="19">
        <v>4.2004617329616165</v>
      </c>
      <c r="DO23" s="12">
        <v>48.631057916445158</v>
      </c>
      <c r="DP23" s="26">
        <v>7.681770788623575E-2</v>
      </c>
      <c r="DQ23" s="26">
        <v>4.2004617329616165</v>
      </c>
      <c r="DR23" s="27">
        <v>43911</v>
      </c>
      <c r="DS23" s="26" t="s">
        <v>1487</v>
      </c>
      <c r="DT23" s="26">
        <v>436</v>
      </c>
      <c r="DU23" s="26" t="s">
        <v>1488</v>
      </c>
      <c r="DV23" s="27">
        <v>43911</v>
      </c>
      <c r="DW23" s="26">
        <v>57</v>
      </c>
      <c r="DX23" s="26" t="s">
        <v>1489</v>
      </c>
      <c r="DY23" s="26"/>
      <c r="DZ23" s="26" t="s">
        <v>1490</v>
      </c>
      <c r="EA23" s="26"/>
      <c r="EB23" s="26" t="s">
        <v>1491</v>
      </c>
      <c r="EC23" s="26">
        <v>539.60396039603961</v>
      </c>
      <c r="ED23" s="26"/>
      <c r="EE23" s="26"/>
      <c r="EF23" s="26"/>
      <c r="EG23" s="26"/>
      <c r="EH23" s="26" t="s">
        <v>1476</v>
      </c>
      <c r="EI23" s="26"/>
      <c r="EJ23" s="26"/>
    </row>
    <row r="24" spans="2:140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49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3"/>
        <v>13</v>
      </c>
      <c r="Z24" s="26" t="str">
        <f>IF(tblData[[#This Row],[Date]]&lt;StartDt2Korea,"",tblData[[#This Row],[Date]]-StartDt2Korea)</f>
        <v/>
      </c>
      <c r="AA24" s="26">
        <f>IF(tblData[[#This Row],[Date]]&lt;UKStart,"",tblData[[#This Row],[Date]]-UKStart)</f>
        <v>5</v>
      </c>
      <c r="AB24">
        <f>IF(tblData[Date]&gt;=StartDt2Au,tblData[Date]-StartDt2Au,"")</f>
        <v>10</v>
      </c>
      <c r="AC24" s="26">
        <f>IF(tblData[New South Wales]&gt;0,SUM(tblData[[#This Row],[Australian Capital Territory]:[Western Australia]]),"")</f>
        <v>13</v>
      </c>
      <c r="AD24" s="12">
        <f>IF(ISNUMBER(tblData[Au]),tblData[Au]/$AA$9,"")</f>
        <v>5.1253745466014822</v>
      </c>
      <c r="AE24" s="19">
        <f>IF(ISNUMBER(tblData[[#This Row],[Day'# Aust]]),betaAu/(deltaAu+betaPodeltaAu*EXP(-betaAu*tblData[[#This Row],[Day'# Aust]])),"")</f>
        <v>7.8367705275117397E-2</v>
      </c>
      <c r="AF24" s="72">
        <f>IF(ISNUMBER(tblData[Day'# Aust]),tblData[Au LogiP(t)]/$AD$9,"")</f>
        <v>3.0897218607127186E-2</v>
      </c>
      <c r="AG24" s="11">
        <f>IF(AND(tblData[Date]&gt;=StartDt2Au,ISNUMBER(tblData[NSW])),(tblData[[#This Row],[Au LogiP(t)]]-tblData[[#This Row],[Au]])^2,"")</f>
        <v>166.96858116007706</v>
      </c>
      <c r="AH24">
        <f>IF(tblData[Date]&gt;StartDt2NSW,tblData[Date]-StartDt2NSW,"")</f>
        <v>10</v>
      </c>
      <c r="AI24">
        <f t="shared" si="4"/>
        <v>4</v>
      </c>
      <c r="AJ24" s="11">
        <f>IF(tblData[Date]&gt;StartDt2NSW,betaNSW/(deltaNSW+betaPodeltaNSW*EXP(-betaNSW*tblData[[#This Row],[Day '# NSW]])),"")</f>
        <v>3.4903336268076422E-2</v>
      </c>
      <c r="AK24" s="12">
        <f>IF(AND(ISNUMBER(tblData[NSW]),tblData[Date]&gt;StartDt2NSW),(tblData[[#This Row],[NSW LogiP(t)]]-tblData[[#This Row],[NSW]])^2,"")</f>
        <v>15.721991552738031</v>
      </c>
      <c r="AL24" s="12">
        <f>IF(AND(tblData[Date]&gt;StartDt2NSW,ISNUMBER(tblData[Day'# Aust])),tblData[NSW LogiP(t)]/$AG$9,"")</f>
        <v>4.319719835157973E-2</v>
      </c>
      <c r="AM24" s="11">
        <f>IF(AND(tblData[Date]&gt;StartDt2Italy,ISNUMBER(tblData[Days'# Italy])),betaItaly/(deltaItaly+betaPodeltaItaly*EXP(-betaItaly*tblData[Days'# Italy])),"")</f>
        <v>1.618352269922021</v>
      </c>
      <c r="AN24" s="11">
        <f>IF(AND(tblData[Date]&gt;StartDt2Italy,ISNUMBER(tblData[Italy])),(tblData[[#This Row],[Italy LogiP(t)]]-tblData[[#This Row],[Italy]])^2,"")</f>
        <v>0.14565498987367395</v>
      </c>
      <c r="AO24" s="44">
        <f>IF(AND(tblData[Date]&gt;StartDt2Italy,ISNUMBER(tblData[Days'# Italy])),tblData[[#This Row],[Italy LogiP(t)]]/$AM$9,"")</f>
        <v>0.26771749709214576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IF(tblData[Date]&gt;=StartDt2Korea,betaSKorea/(deltaSKorea+betaPodeltaSKorea*EXP(-betaSKorea*(tblData[Date]-StartDt2Korea))),"")</f>
        <v/>
      </c>
      <c r="AT24" s="11" t="str">
        <f>IF(AND(tblData[Date]&gt;=StartDt2Korea,ISNUMBER(tblData[SKorea])),(tblData[[#This Row],[SKorea LogiP(t)]]-tblData[[#This Row],[SKorea]])^2,"")</f>
        <v/>
      </c>
      <c r="AU24" s="11" t="str">
        <f>IF(tblData[Date]&gt;=StartDt2Korea,tblData[[#This Row],[SKorea LogiP(t)]]/$AS$9,"")</f>
        <v/>
      </c>
      <c r="AV24" s="11">
        <f>IF(ISNUMBER(tblData[Days'# UK]),betaUK/(deltaUK+betaPodeltaUK*EXP(-betaUK*tblData[Days'# UK])),"")</f>
        <v>9.8222634978242448E-2</v>
      </c>
      <c r="AW24" s="11">
        <f>IF(ISNUMBER(tblData[UK]),(tblData[[#This Row],[UK LogiP(t)]]-tblData[[#This Row],[UK]])^2,"")</f>
        <v>3.6167571461090993</v>
      </c>
      <c r="AX24" s="11">
        <f>IF(ISNUMBER(tblData[Days'# UK]),tblData[[#This Row],[UK LogiP(t)]]/$AV$9,"")</f>
        <v>1.4783659689681284E-2</v>
      </c>
      <c r="AY24" s="11">
        <f>IF(ISNUMBER(tblData[Days'# China]),betaChina/(deltaChina+betaPodeltaChina*EXP(-betaChina*tblData[Days'# China])),"")</f>
        <v>20882.886715490207</v>
      </c>
      <c r="AZ24" s="11">
        <f>IF(ISNUMBER(tblData[China]),(tblData[[#This Row],[China LogiP(t)]]-tblData[[#This Row],[China]])^2,"")</f>
        <v>7975615.8437446896</v>
      </c>
      <c r="BA24" s="11">
        <f>tblData[[#This Row],[China LogiP(t)]]/$AY$9</f>
        <v>145.08818004469765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E24" s="26" t="s">
        <v>58</v>
      </c>
      <c r="DG24" s="27">
        <v>43860</v>
      </c>
      <c r="DI24" s="26">
        <v>2</v>
      </c>
      <c r="DJ24" s="23">
        <v>0.26341245608301456</v>
      </c>
      <c r="DK24" s="25">
        <v>8.0178356113971791E-6</v>
      </c>
      <c r="DL24" s="22">
        <v>0.43807876080500274</v>
      </c>
      <c r="DM24" s="26">
        <v>32853.312146806733</v>
      </c>
      <c r="DN24" s="19">
        <v>317.87708238738571</v>
      </c>
      <c r="DO24" s="37">
        <v>0.60128216021130942</v>
      </c>
      <c r="DP24" s="24">
        <v>8.0178356113971786E-3</v>
      </c>
      <c r="DQ24" s="12"/>
      <c r="DR24" s="27">
        <v>43904</v>
      </c>
      <c r="DS24" s="27" t="s">
        <v>492</v>
      </c>
      <c r="DT24" s="19"/>
      <c r="DU24" s="19"/>
      <c r="DW24" s="26"/>
      <c r="DX24" s="18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</row>
    <row r="25" spans="2:140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49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3"/>
        <v>14</v>
      </c>
      <c r="Z25" s="26" t="str">
        <f>IF(tblData[[#This Row],[Date]]&lt;StartDt2Korea,"",tblData[[#This Row],[Date]]-StartDt2Korea)</f>
        <v/>
      </c>
      <c r="AA25" s="26">
        <f>IF(tblData[[#This Row],[Date]]&lt;UKStart,"",tblData[[#This Row],[Date]]-UKStart)</f>
        <v>6</v>
      </c>
      <c r="AB25">
        <f>IF(tblData[Date]&gt;=StartDt2Au,tblData[Date]-StartDt2Au,"")</f>
        <v>11</v>
      </c>
      <c r="AC25" s="26">
        <f>IF(tblData[New South Wales]&gt;0,SUM(tblData[[#This Row],[Australian Capital Territory]:[Western Australia]]),"")</f>
        <v>13</v>
      </c>
      <c r="AD25" s="12">
        <f>IF(ISNUMBER(tblData[Au]),tblData[Au]/$AA$9,"")</f>
        <v>5.1253745466014822</v>
      </c>
      <c r="AE25" s="19">
        <f>IF(ISNUMBER(tblData[[#This Row],[Day'# Aust]]),betaAu/(deltaAu+betaPodeltaAu*EXP(-betaAu*tblData[[#This Row],[Day'# Aust]])),"")</f>
        <v>9.6391074660169676E-2</v>
      </c>
      <c r="AF25" s="72">
        <f>IF(ISNUMBER(tblData[Day'# Aust]),tblData[Au LogiP(t)]/$AD$9,"")</f>
        <v>3.8003104660215135E-2</v>
      </c>
      <c r="AG25" s="11">
        <f>IF(AND(tblData[Date]&gt;=StartDt2Au,ISNUMBER(tblData[NSW])),(tblData[[#This Row],[Au LogiP(t)]]-tblData[[#This Row],[Au]])^2,"")</f>
        <v>166.50312329810973</v>
      </c>
      <c r="AH25">
        <f>IF(tblData[Date]&gt;StartDt2NSW,tblData[Date]-StartDt2NSW,"")</f>
        <v>11</v>
      </c>
      <c r="AI25">
        <f t="shared" si="4"/>
        <v>4</v>
      </c>
      <c r="AJ25" s="11">
        <f>IF(tblData[Date]&gt;StartDt2NSW,betaNSW/(deltaNSW+betaPodeltaNSW*EXP(-betaNSW*tblData[[#This Row],[Day '# NSW]])),"")</f>
        <v>4.3029479837727119E-2</v>
      </c>
      <c r="AK25" s="12">
        <f>IF(AND(ISNUMBER(tblData[NSW]),tblData[Date]&gt;StartDt2NSW),(tblData[[#This Row],[NSW LogiP(t)]]-tblData[[#This Row],[NSW]])^2,"")</f>
        <v>15.657615697433288</v>
      </c>
      <c r="AL25" s="12">
        <f>IF(AND(tblData[Date]&gt;StartDt2NSW,ISNUMBER(tblData[Day'# Aust])),tblData[NSW LogiP(t)]/$AG$9,"")</f>
        <v>5.3254306729860292E-2</v>
      </c>
      <c r="AM25" s="11">
        <f>IF(AND(tblData[Date]&gt;StartDt2Italy,ISNUMBER(tblData[Days'# Italy])),betaItaly/(deltaItaly+betaPodeltaItaly*EXP(-betaItaly*tblData[Days'# Italy])),"")</f>
        <v>2.0977798163127277</v>
      </c>
      <c r="AN25" s="11">
        <f>IF(AND(tblData[Date]&gt;StartDt2Italy,ISNUMBER(tblData[Italy])),(tblData[[#This Row],[Italy LogiP(t)]]-tblData[[#This Row],[Italy]])^2,"")</f>
        <v>9.5608924781507686E-3</v>
      </c>
      <c r="AO25" s="44">
        <f>IF(AND(tblData[Date]&gt;StartDt2Italy,ISNUMBER(tblData[Days'# Italy])),tblData[[#This Row],[Italy LogiP(t)]]/$AM$9,"")</f>
        <v>0.34702726489871427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IF(tblData[Date]&gt;=StartDt2Korea,betaSKorea/(deltaSKorea+betaPodeltaSKorea*EXP(-betaSKorea*(tblData[Date]-StartDt2Korea))),"")</f>
        <v/>
      </c>
      <c r="AT25" s="11" t="str">
        <f>IF(AND(tblData[Date]&gt;=StartDt2Korea,ISNUMBER(tblData[SKorea])),(tblData[[#This Row],[SKorea LogiP(t)]]-tblData[[#This Row],[SKorea]])^2,"")</f>
        <v/>
      </c>
      <c r="AU25" s="11" t="str">
        <f>IF(tblData[Date]&gt;=StartDt2Korea,tblData[[#This Row],[SKorea LogiP(t)]]/$AS$9,"")</f>
        <v/>
      </c>
      <c r="AV25" s="11">
        <f>IF(ISNUMBER(tblData[Days'# UK]),betaUK/(deltaUK+betaPodeltaUK*EXP(-betaUK*tblData[Days'# UK])),"")</f>
        <v>0.12430765946768638</v>
      </c>
      <c r="AW25" s="11">
        <f>IF(ISNUMBER(tblData[UK]),(tblData[[#This Row],[UK LogiP(t)]]-tblData[[#This Row],[UK]])^2,"")</f>
        <v>3.5182217563315885</v>
      </c>
      <c r="AX25" s="11">
        <f>IF(ISNUMBER(tblData[Days'# UK]),tblData[[#This Row],[UK LogiP(t)]]/$AV$9,"")</f>
        <v>1.8709762111331484E-2</v>
      </c>
      <c r="AY25" s="11">
        <f>IF(ISNUMBER(tblData[Days'# China]),betaChina/(deltaChina+betaPodeltaChina*EXP(-betaChina*tblData[Days'# China])),"")</f>
        <v>24505.035109997534</v>
      </c>
      <c r="AZ25" s="11">
        <f>IF(ISNUMBER(tblData[China]),(tblData[[#This Row],[China LogiP(t)]]-tblData[[#This Row],[China]])^2,"")</f>
        <v>8614018.9055471867</v>
      </c>
      <c r="BA25" s="11">
        <f>tblData[[#This Row],[China LogiP(t)]]/$AY$9</f>
        <v>170.2538061178914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E25" s="26" t="s">
        <v>58</v>
      </c>
      <c r="DG25" s="27">
        <v>43860</v>
      </c>
      <c r="DI25" s="26">
        <v>2</v>
      </c>
      <c r="DJ25" s="23">
        <v>0.26295149930522799</v>
      </c>
      <c r="DK25" s="25">
        <v>7.2323673251486775E-6</v>
      </c>
      <c r="DL25" s="22">
        <v>0.43947505980618701</v>
      </c>
      <c r="DM25" s="24">
        <v>36357.597379060448</v>
      </c>
      <c r="DN25" s="22">
        <v>403.75439893608279</v>
      </c>
      <c r="DO25" s="37">
        <v>0.59832364770853697</v>
      </c>
      <c r="DP25" s="24">
        <v>7.2323673251486779E-3</v>
      </c>
      <c r="DQ25" s="24"/>
      <c r="DR25" s="27">
        <v>43905</v>
      </c>
      <c r="DS25" s="27" t="s">
        <v>768</v>
      </c>
      <c r="DT25" s="26"/>
      <c r="DU25" s="26"/>
      <c r="DW25" s="19"/>
      <c r="DX25" s="18"/>
      <c r="DY25" s="26"/>
      <c r="DZ25" s="26"/>
      <c r="EA25" s="26"/>
      <c r="EB25" s="26"/>
      <c r="EC25" s="26"/>
      <c r="ED25" s="19"/>
      <c r="EE25" s="19"/>
      <c r="EF25" s="26"/>
      <c r="EG25" s="26"/>
      <c r="EH25" s="26"/>
      <c r="EI25" s="26"/>
      <c r="EJ25" s="26"/>
    </row>
    <row r="26" spans="2:140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49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3"/>
        <v>15</v>
      </c>
      <c r="Z26" s="26" t="str">
        <f>IF(tblData[[#This Row],[Date]]&lt;StartDt2Korea,"",tblData[[#This Row],[Date]]-StartDt2Korea)</f>
        <v/>
      </c>
      <c r="AA26" s="26">
        <f>IF(tblData[[#This Row],[Date]]&lt;UKStart,"",tblData[[#This Row],[Date]]-UKStart)</f>
        <v>7</v>
      </c>
      <c r="AB26">
        <f>IF(tblData[Date]&gt;=StartDt2Au,tblData[Date]-StartDt2Au,"")</f>
        <v>12</v>
      </c>
      <c r="AC26" s="26">
        <f>IF(tblData[New South Wales]&gt;0,SUM(tblData[[#This Row],[Australian Capital Territory]:[Western Australia]]),"")</f>
        <v>14</v>
      </c>
      <c r="AD26" s="12">
        <f>IF(ISNUMBER(tblData[Au]),tblData[Au]/$AA$9,"")</f>
        <v>5.5196341271092884</v>
      </c>
      <c r="AE26" s="19">
        <f>IF(ISNUMBER(tblData[[#This Row],[Day'# Aust]]),betaAu/(deltaAu+betaPodeltaAu*EXP(-betaAu*tblData[[#This Row],[Day'# Aust]])),"")</f>
        <v>0.11855954236937982</v>
      </c>
      <c r="AF26" s="72">
        <f>IF(ISNUMBER(tblData[Day'# Aust]),tblData[Au LogiP(t)]/$AD$9,"")</f>
        <v>4.6743235439749183E-2</v>
      </c>
      <c r="AG26" s="11">
        <f>IF(AND(tblData[Date]&gt;=StartDt2Au,ISNUMBER(tblData[NSW])),(tblData[[#This Row],[Au LogiP(t)]]-tblData[[#This Row],[Au]])^2,"")</f>
        <v>192.69438917874422</v>
      </c>
      <c r="AH26">
        <f>IF(tblData[Date]&gt;StartDt2NSW,tblData[Date]-StartDt2NSW,"")</f>
        <v>12</v>
      </c>
      <c r="AI26">
        <f t="shared" si="4"/>
        <v>4</v>
      </c>
      <c r="AJ26" s="11">
        <f>IF(tblData[Date]&gt;StartDt2NSW,betaNSW/(deltaNSW+betaPodeltaNSW*EXP(-betaNSW*tblData[[#This Row],[Day '# NSW]])),"")</f>
        <v>5.3047503403266257E-2</v>
      </c>
      <c r="AK26" s="12">
        <f>IF(AND(ISNUMBER(tblData[NSW]),tblData[Date]&gt;StartDt2NSW),(tblData[[#This Row],[NSW LogiP(t)]]-tblData[[#This Row],[NSW]])^2,"")</f>
        <v>15.578434010391188</v>
      </c>
      <c r="AL26" s="12">
        <f>IF(AND(tblData[Date]&gt;StartDt2NSW,ISNUMBER(tblData[Day'# Aust])),tblData[NSW LogiP(t)]/$AG$9,"")</f>
        <v>6.5652850746616656E-2</v>
      </c>
      <c r="AM26" s="11">
        <f>IF(AND(tblData[Date]&gt;StartDt2Italy,ISNUMBER(tblData[Days'# Italy])),betaItaly/(deltaItaly+betaPodeltaItaly*EXP(-betaItaly*tblData[Days'# Italy])),"")</f>
        <v>2.7192286446567251</v>
      </c>
      <c r="AN26" s="11">
        <f>IF(AND(tblData[Date]&gt;StartDt2Italy,ISNUMBER(tblData[Italy])),(tblData[[#This Row],[Italy LogiP(t)]]-tblData[[#This Row],[Italy]])^2,"")</f>
        <v>0.5172898432947497</v>
      </c>
      <c r="AO26" s="44">
        <f>IF(AND(tblData[Date]&gt;StartDt2Italy,ISNUMBER(tblData[Days'# Italy])),tblData[[#This Row],[Italy LogiP(t)]]/$AM$9,"")</f>
        <v>0.44983104129970641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IF(tblData[Date]&gt;=StartDt2Korea,betaSKorea/(deltaSKorea+betaPodeltaSKorea*EXP(-betaSKorea*(tblData[Date]-StartDt2Korea))),"")</f>
        <v/>
      </c>
      <c r="AT26" s="11" t="str">
        <f>IF(AND(tblData[Date]&gt;=StartDt2Korea,ISNUMBER(tblData[SKorea])),(tblData[[#This Row],[SKorea LogiP(t)]]-tblData[[#This Row],[SKorea]])^2,"")</f>
        <v/>
      </c>
      <c r="AU26" s="11" t="str">
        <f>IF(tblData[Date]&gt;=StartDt2Korea,tblData[[#This Row],[SKorea LogiP(t)]]/$AS$9,"")</f>
        <v/>
      </c>
      <c r="AV26" s="11">
        <f>IF(ISNUMBER(tblData[Days'# UK]),betaUK/(deltaUK+betaPodeltaUK*EXP(-betaUK*tblData[Days'# UK])),"")</f>
        <v>0.15732009434793398</v>
      </c>
      <c r="AW26" s="11">
        <f>IF(ISNUMBER(tblData[UK]),(tblData[[#This Row],[UK LogiP(t)]]-tblData[[#This Row],[UK]])^2,"")</f>
        <v>3.3954692346939068</v>
      </c>
      <c r="AX26" s="11">
        <f>IF(ISNUMBER(tblData[Days'# UK]),tblData[[#This Row],[UK LogiP(t)]]/$AV$9,"")</f>
        <v>2.3678521124011736E-2</v>
      </c>
      <c r="AY26" s="11">
        <f>IF(ISNUMBER(tblData[Days'# China]),betaChina/(deltaChina+betaPodeltaChina*EXP(-betaChina*tblData[Days'# China])),"")</f>
        <v>28457.805999212225</v>
      </c>
      <c r="AZ26" s="11">
        <f>IF(ISNUMBER(tblData[China]),(tblData[[#This Row],[China LogiP(t)]]-tblData[[#This Row],[China]])^2,"")</f>
        <v>4533467.0929906508</v>
      </c>
      <c r="BA26" s="11">
        <f>tblData[[#This Row],[China LogiP(t)]]/$AY$9</f>
        <v>197.71650044091419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E26" s="26" t="s">
        <v>58</v>
      </c>
      <c r="DG26" s="27">
        <v>43860</v>
      </c>
      <c r="DI26" s="26">
        <v>2</v>
      </c>
      <c r="DJ26" s="23">
        <v>0.26191421074859073</v>
      </c>
      <c r="DK26" s="25">
        <v>6.140019699733307E-6</v>
      </c>
      <c r="DL26" s="22">
        <v>0.44086139601669905</v>
      </c>
      <c r="DM26" s="26">
        <v>42656.90071971056</v>
      </c>
      <c r="DN26" s="19">
        <v>414.31666978327439</v>
      </c>
      <c r="DO26" s="37">
        <v>0.59409035632825868</v>
      </c>
      <c r="DP26" s="24">
        <v>6.1400196997333069E-3</v>
      </c>
      <c r="DQ26" s="12"/>
      <c r="DR26" s="27">
        <v>43906</v>
      </c>
      <c r="DS26" s="27" t="s">
        <v>970</v>
      </c>
      <c r="DT26" s="19">
        <v>27980</v>
      </c>
      <c r="DU26" s="19" t="s">
        <v>971</v>
      </c>
      <c r="DV26" s="27">
        <v>43906</v>
      </c>
      <c r="DW26" s="26">
        <v>47</v>
      </c>
      <c r="DX26" s="18" t="s">
        <v>972</v>
      </c>
      <c r="DY26" s="26"/>
      <c r="DZ26" s="26" t="s">
        <v>973</v>
      </c>
      <c r="EA26" s="26"/>
      <c r="EB26" s="26"/>
      <c r="EC26" s="26"/>
      <c r="ED26" s="26"/>
      <c r="EE26" s="26"/>
      <c r="EF26" s="26"/>
      <c r="EG26" s="26"/>
      <c r="EH26" s="26"/>
      <c r="EI26" s="26"/>
      <c r="EJ26" s="26"/>
    </row>
    <row r="27" spans="2:140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49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IF($B27&lt;BM$14+19,"",$B27-BM$14-19)</f>
        <v/>
      </c>
      <c r="Y27" s="26">
        <f t="shared" si="3"/>
        <v>16</v>
      </c>
      <c r="Z27" s="26" t="str">
        <f>IF(tblData[[#This Row],[Date]]&lt;StartDt2Korea,"",tblData[[#This Row],[Date]]-StartDt2Korea)</f>
        <v/>
      </c>
      <c r="AA27" s="26">
        <f>IF(tblData[[#This Row],[Date]]&lt;UKStart,"",tblData[[#This Row],[Date]]-UKStart)</f>
        <v>8</v>
      </c>
      <c r="AB27">
        <f>IF(tblData[Date]&gt;=StartDt2Au,tblData[Date]-StartDt2Au,"")</f>
        <v>13</v>
      </c>
      <c r="AC27" s="26">
        <f>IF(tblData[New South Wales]&gt;0,SUM(tblData[[#This Row],[Australian Capital Territory]:[Western Australia]]),"")</f>
        <v>15</v>
      </c>
      <c r="AD27" s="12">
        <f>IF(ISNUMBER(tblData[Au]),tblData[Au]/$AA$9,"")</f>
        <v>5.9138937076170954</v>
      </c>
      <c r="AE27" s="19">
        <f>IF(ISNUMBER(tblData[[#This Row],[Day'# Aust]]),betaAu/(deltaAu+betaPodeltaAu*EXP(-betaAu*tblData[[#This Row],[Day'# Aust]])),"")</f>
        <v>0.14582641739441957</v>
      </c>
      <c r="AF27" s="72">
        <f>IF(ISNUMBER(tblData[Day'# Aust]),tblData[Au LogiP(t)]/$AD$9,"")</f>
        <v>5.7493462148880133E-2</v>
      </c>
      <c r="AG27" s="11">
        <f>IF(AND(tblData[Date]&gt;=StartDt2Au,ISNUMBER(tblData[NSW])),(tblData[[#This Row],[Au LogiP(t)]]-tblData[[#This Row],[Au]])^2,"")</f>
        <v>220.64647282217751</v>
      </c>
      <c r="AH27">
        <f>IF(tblData[Date]&gt;StartDt2NSW,tblData[Date]-StartDt2NSW,"")</f>
        <v>13</v>
      </c>
      <c r="AI27">
        <f t="shared" si="4"/>
        <v>4</v>
      </c>
      <c r="AJ27" s="11">
        <f>IF(tblData[Date]&gt;StartDt2NSW,betaNSW/(deltaNSW+betaPodeltaNSW*EXP(-betaNSW*tblData[[#This Row],[Day '# NSW]])),"")</f>
        <v>6.5397843967862399E-2</v>
      </c>
      <c r="AK27" s="12">
        <f>IF(AND(ISNUMBER(tblData[NSW]),tblData[Date]&gt;StartDt2NSW),(tblData[[#This Row],[NSW LogiP(t)]]-tblData[[#This Row],[NSW]])^2,"")</f>
        <v>15.481094126252748</v>
      </c>
      <c r="AL27" s="12">
        <f>IF(AND(tblData[Date]&gt;StartDt2NSW,ISNUMBER(tblData[Day'# Aust])),tblData[NSW LogiP(t)]/$AG$9,"")</f>
        <v>8.0937925702799993E-2</v>
      </c>
      <c r="AM27" s="11">
        <f>IF(AND(tblData[Date]&gt;StartDt2Italy,ISNUMBER(tblData[Days'# Italy])),betaItaly/(deltaItaly+betaPodeltaItaly*EXP(-betaItaly*tblData[Days'# Italy])),"")</f>
        <v>3.5247655227704104</v>
      </c>
      <c r="AN27" s="11">
        <f>IF(AND(tblData[Date]&gt;StartDt2Italy,ISNUMBER(tblData[Italy])),(tblData[[#This Row],[Italy LogiP(t)]]-tblData[[#This Row],[Italy]])^2,"")</f>
        <v>0.27537885388850214</v>
      </c>
      <c r="AO27" s="44">
        <f>IF(AND(tblData[Date]&gt;StartDt2Italy,ISNUMBER(tblData[Days'# Italy])),tblData[[#This Row],[Italy LogiP(t)]]/$AM$9,"")</f>
        <v>0.58308776224489833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IF(tblData[Date]&gt;=StartDt2Korea,betaSKorea/(deltaSKorea+betaPodeltaSKorea*EXP(-betaSKorea*(tblData[Date]-StartDt2Korea))),"")</f>
        <v/>
      </c>
      <c r="AT27" s="11" t="str">
        <f>IF(AND(tblData[Date]&gt;=StartDt2Korea,ISNUMBER(tblData[SKorea])),(tblData[[#This Row],[SKorea LogiP(t)]]-tblData[[#This Row],[SKorea]])^2,"")</f>
        <v/>
      </c>
      <c r="AU27" s="11" t="str">
        <f>IF(tblData[Date]&gt;=StartDt2Korea,tblData[[#This Row],[SKorea LogiP(t)]]/$AS$9,"")</f>
        <v/>
      </c>
      <c r="AV27" s="11">
        <f>IF(ISNUMBER(tblData[Days'# UK]),betaUK/(deltaUK+betaPodeltaUK*EXP(-betaUK*tblData[Days'# UK])),"")</f>
        <v>0.19909965476548294</v>
      </c>
      <c r="AW27" s="11">
        <f>IF(ISNUMBER(tblData[UK]),(tblData[[#This Row],[UK LogiP(t)]]-tblData[[#This Row],[UK]])^2,"")</f>
        <v>7.8450427439348358</v>
      </c>
      <c r="AX27" s="11">
        <f>IF(ISNUMBER(tblData[Days'# UK]),tblData[[#This Row],[UK LogiP(t)]]/$AV$9,"")</f>
        <v>2.99668354553707E-2</v>
      </c>
      <c r="AY27" s="11">
        <f>IF(ISNUMBER(tblData[Days'# China]),betaChina/(deltaChina+betaPodeltaChina*EXP(-betaChina*tblData[Days'# China])),"")</f>
        <v>32679.047785514456</v>
      </c>
      <c r="AZ27" s="11">
        <f>IF(ISNUMBER(tblData[China]),(tblData[[#This Row],[China LogiP(t)]]-tblData[[#This Row],[China]])^2,"")</f>
        <v>2047624.2401410814</v>
      </c>
      <c r="BA27" s="11">
        <f>tblData[[#This Row],[China LogiP(t)]]/$AY$9</f>
        <v>227.04445191847131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E27" s="26" t="s">
        <v>58</v>
      </c>
      <c r="DG27" s="27">
        <v>43860</v>
      </c>
      <c r="DI27" s="26">
        <v>2</v>
      </c>
      <c r="DJ27" s="23">
        <v>0.2615655981515827</v>
      </c>
      <c r="DK27" s="25">
        <v>5.8419822423564144E-6</v>
      </c>
      <c r="DL27" s="22">
        <v>0.44095476463112465</v>
      </c>
      <c r="DM27" s="26">
        <v>44773.432595385282</v>
      </c>
      <c r="DN27" s="19">
        <v>467.53213903899575</v>
      </c>
      <c r="DO27" s="37">
        <v>0.59317427337583117</v>
      </c>
      <c r="DP27" s="24">
        <v>5.8419822423564144E-3</v>
      </c>
      <c r="DQ27" s="12"/>
      <c r="DR27" s="27">
        <v>43907</v>
      </c>
      <c r="DS27" s="27" t="s">
        <v>1008</v>
      </c>
      <c r="DT27" s="19">
        <v>31506</v>
      </c>
      <c r="DU27" s="19" t="s">
        <v>1009</v>
      </c>
      <c r="DV27" s="27">
        <v>43907</v>
      </c>
      <c r="DW27" s="26">
        <v>48</v>
      </c>
      <c r="DX27" s="18" t="s">
        <v>1010</v>
      </c>
      <c r="DY27" s="26"/>
      <c r="DZ27" s="26" t="s">
        <v>1011</v>
      </c>
      <c r="EA27" s="26"/>
      <c r="EB27" s="26" t="s">
        <v>1012</v>
      </c>
      <c r="EC27" s="26"/>
      <c r="ED27" s="26"/>
      <c r="EE27" s="26"/>
      <c r="EF27" s="26"/>
      <c r="EG27" s="26"/>
      <c r="EH27" s="26"/>
      <c r="EI27" s="26"/>
      <c r="EJ27" s="26"/>
    </row>
    <row r="28" spans="2:140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49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IF($B28&lt;BM$14+19,"",$B28-BM$14-19)</f>
        <v/>
      </c>
      <c r="Y28" s="26">
        <f t="shared" si="3"/>
        <v>17</v>
      </c>
      <c r="Z28" s="26" t="str">
        <f>IF(tblData[[#This Row],[Date]]&lt;StartDt2Korea,"",tblData[[#This Row],[Date]]-StartDt2Korea)</f>
        <v/>
      </c>
      <c r="AA28" s="26">
        <f>IF(tblData[[#This Row],[Date]]&lt;UKStart,"",tblData[[#This Row],[Date]]-UKStart)</f>
        <v>9</v>
      </c>
      <c r="AB28">
        <f>IF(tblData[Date]&gt;=StartDt2Au,tblData[Date]-StartDt2Au,"")</f>
        <v>14</v>
      </c>
      <c r="AC28" s="26">
        <f>IF(tblData[New South Wales]&gt;0,SUM(tblData[[#This Row],[Australian Capital Territory]:[Western Australia]]),"")</f>
        <v>15</v>
      </c>
      <c r="AD28" s="12">
        <f>IF(ISNUMBER(tblData[Au]),tblData[Au]/$AA$9,"")</f>
        <v>5.9138937076170954</v>
      </c>
      <c r="AE28" s="19">
        <f>IF(ISNUMBER(tblData[[#This Row],[Day'# Aust]]),betaAu/(deltaAu+betaPodeltaAu*EXP(-betaAu*tblData[[#This Row],[Day'# Aust]])),"")</f>
        <v>0.17936425516213386</v>
      </c>
      <c r="AF28" s="72">
        <f>IF(ISNUMBER(tblData[Day'# Aust]),tblData[Au LogiP(t)]/$AD$9,"")</f>
        <v>7.0716075998318029E-2</v>
      </c>
      <c r="AG28" s="11">
        <f>IF(AND(tblData[Date]&gt;=StartDt2Au,ISNUMBER(tblData[NSW])),(tblData[[#This Row],[Au LogiP(t)]]-tblData[[#This Row],[Au]])^2,"")</f>
        <v>219.65124388116584</v>
      </c>
      <c r="AH28">
        <f>IF(tblData[Date]&gt;StartDt2NSW,tblData[Date]-StartDt2NSW,"")</f>
        <v>14</v>
      </c>
      <c r="AI28">
        <f t="shared" si="4"/>
        <v>4</v>
      </c>
      <c r="AJ28" s="11">
        <f>IF(tblData[Date]&gt;StartDt2NSW,betaNSW/(deltaNSW+betaPodeltaNSW*EXP(-betaNSW*tblData[[#This Row],[Day '# NSW]])),"")</f>
        <v>8.0623464024216329E-2</v>
      </c>
      <c r="AK28" s="12">
        <f>IF(AND(ISNUMBER(tblData[NSW]),tblData[Date]&gt;StartDt2NSW),(tblData[[#This Row],[NSW LogiP(t)]]-tblData[[#This Row],[NSW]])^2,"")</f>
        <v>15.361512430757532</v>
      </c>
      <c r="AL28" s="12">
        <f>IF(AND(tblData[Date]&gt;StartDt2NSW,ISNUMBER(tblData[Day'# Aust])),tblData[NSW LogiP(t)]/$AG$9,"")</f>
        <v>9.9781514881455841E-2</v>
      </c>
      <c r="AM28" s="11">
        <f>IF(AND(tblData[Date]&gt;StartDt2Italy,ISNUMBER(tblData[Days'# Italy])),betaItaly/(deltaItaly+betaPodeltaItaly*EXP(-betaItaly*tblData[Days'# Italy])),"")</f>
        <v>4.5689144668982618</v>
      </c>
      <c r="AN28" s="11">
        <f>IF(AND(tblData[Date]&gt;StartDt2Italy,ISNUMBER(tblData[Italy])),(tblData[[#This Row],[Italy LogiP(t)]]-tblData[[#This Row],[Italy]])^2,"")</f>
        <v>2.4614926044426571</v>
      </c>
      <c r="AO28" s="44">
        <f>IF(AND(tblData[Date]&gt;StartDt2Italy,ISNUMBER(tblData[Days'# Italy])),tblData[[#This Row],[Italy LogiP(t)]]/$AM$9,"")</f>
        <v>0.75581711611220215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IF(tblData[Date]&gt;=StartDt2Korea,betaSKorea/(deltaSKorea+betaPodeltaSKorea*EXP(-betaSKorea*(tblData[Date]-StartDt2Korea))),"")</f>
        <v/>
      </c>
      <c r="AT28" s="11" t="str">
        <f>IF(AND(tblData[Date]&gt;=StartDt2Korea,ISNUMBER(tblData[SKorea])),(tblData[[#This Row],[SKorea LogiP(t)]]-tblData[[#This Row],[SKorea]])^2,"")</f>
        <v/>
      </c>
      <c r="AU28" s="11" t="str">
        <f>IF(tblData[Date]&gt;=StartDt2Korea,tblData[[#This Row],[SKorea LogiP(t)]]/$AS$9,"")</f>
        <v/>
      </c>
      <c r="AV28" s="11">
        <f>IF(ISNUMBER(tblData[Days'# UK]),betaUK/(deltaUK+betaPodeltaUK*EXP(-betaUK*tblData[Days'# UK])),"")</f>
        <v>0.25197462975197865</v>
      </c>
      <c r="AW28" s="11">
        <f>IF(ISNUMBER(tblData[UK]),(tblData[[#This Row],[UK LogiP(t)]]-tblData[[#This Row],[UK]])^2,"")</f>
        <v>7.5516434355267741</v>
      </c>
      <c r="AX28" s="11">
        <f>IF(ISNUMBER(tblData[Days'# UK]),tblData[[#This Row],[UK LogiP(t)]]/$AV$9,"")</f>
        <v>3.7925139938587996E-2</v>
      </c>
      <c r="AY28" s="11">
        <f>IF(ISNUMBER(tblData[Days'# China]),betaChina/(deltaChina+betaPodeltaChina*EXP(-betaChina*tblData[Days'# China])),"")</f>
        <v>37084.100217655825</v>
      </c>
      <c r="AZ28" s="11">
        <f>IF(ISNUMBER(tblData[China]),(tblData[[#This Row],[China LogiP(t)]]-tblData[[#This Row],[China]])^2,"")</f>
        <v>72954.127577724023</v>
      </c>
      <c r="BA28" s="11">
        <f>tblData[[#This Row],[China LogiP(t)]]/$AY$9</f>
        <v>257.64946592291841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E28" s="26" t="s">
        <v>58</v>
      </c>
      <c r="DG28" s="27">
        <v>43860</v>
      </c>
      <c r="DI28" s="26">
        <v>2</v>
      </c>
      <c r="DJ28" s="23">
        <v>0.2615655981515827</v>
      </c>
      <c r="DK28" s="25">
        <v>5.8419822423564144E-6</v>
      </c>
      <c r="DL28" s="22">
        <v>0.44095476463112465</v>
      </c>
      <c r="DM28" s="24">
        <v>44773.432595385282</v>
      </c>
      <c r="DN28" s="22">
        <v>606.55052647767229</v>
      </c>
      <c r="DO28" s="37">
        <v>0.59317427337583117</v>
      </c>
      <c r="DP28" s="24">
        <v>5.8419822423564144E-3</v>
      </c>
      <c r="DQ28" s="24"/>
      <c r="DR28" s="27">
        <v>43907</v>
      </c>
      <c r="DS28" s="27" t="s">
        <v>1008</v>
      </c>
      <c r="DT28" s="26">
        <v>35713</v>
      </c>
      <c r="DU28" s="26" t="s">
        <v>1009</v>
      </c>
      <c r="DV28" s="27">
        <v>43907</v>
      </c>
      <c r="DW28" s="19">
        <v>49</v>
      </c>
      <c r="DX28" s="27" t="s">
        <v>1010</v>
      </c>
      <c r="DY28" s="26"/>
      <c r="DZ28" s="26" t="s">
        <v>1011</v>
      </c>
      <c r="EA28" s="26"/>
      <c r="EB28" s="18" t="s">
        <v>1028</v>
      </c>
      <c r="EC28" s="21">
        <v>5907.8577336641856</v>
      </c>
      <c r="ED28" s="27">
        <v>43893</v>
      </c>
      <c r="EE28" s="11">
        <v>16</v>
      </c>
      <c r="EF28" s="27">
        <v>43891</v>
      </c>
      <c r="EG28" s="11">
        <v>18</v>
      </c>
      <c r="EH28" s="26"/>
      <c r="EI28" s="26"/>
      <c r="EJ28" s="26"/>
    </row>
    <row r="29" spans="2:140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49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5">IF($B29&lt;BM$14+18,"",$B29-BM$14-18)</f>
        <v>0</v>
      </c>
      <c r="Y29" s="26">
        <f t="shared" si="3"/>
        <v>18</v>
      </c>
      <c r="Z29" s="26" t="str">
        <f>IF(tblData[[#This Row],[Date]]&lt;StartDt2Korea,"",tblData[[#This Row],[Date]]-StartDt2Korea)</f>
        <v/>
      </c>
      <c r="AA29" s="26">
        <f>IF(tblData[[#This Row],[Date]]&lt;UKStart,"",tblData[[#This Row],[Date]]-UKStart)</f>
        <v>10</v>
      </c>
      <c r="AB29">
        <f>IF(tblData[Date]&gt;=StartDt2Au,tblData[Date]-StartDt2Au,"")</f>
        <v>15</v>
      </c>
      <c r="AC29" s="26">
        <f>IF(tblData[New South Wales]&gt;0,SUM(tblData[[#This Row],[Australian Capital Territory]:[Western Australia]]),"")</f>
        <v>15</v>
      </c>
      <c r="AD29" s="12">
        <f>IF(ISNUMBER(tblData[Au]),tblData[Au]/$AA$9,"")</f>
        <v>5.9138937076170954</v>
      </c>
      <c r="AE29" s="19">
        <f>IF(ISNUMBER(tblData[[#This Row],[Day'# Aust]]),betaAu/(deltaAu+betaPodeltaAu*EXP(-betaAu*tblData[[#This Row],[Day'# Aust]])),"")</f>
        <v>0.2206152808489652</v>
      </c>
      <c r="AF29" s="72">
        <f>IF(ISNUMBER(tblData[Day'# Aust]),tblData[Au LogiP(t)]/$AD$9,"")</f>
        <v>8.6979688081124898E-2</v>
      </c>
      <c r="AG29" s="11">
        <f>IF(AND(tblData[Date]&gt;=StartDt2Au,ISNUMBER(tblData[NSW])),(tblData[[#This Row],[Au LogiP(t)]]-tblData[[#This Row],[Au]])^2,"")</f>
        <v>218.4302126766751</v>
      </c>
      <c r="AH29">
        <f>IF(tblData[Date]&gt;StartDt2NSW,tblData[Date]-StartDt2NSW,"")</f>
        <v>15</v>
      </c>
      <c r="AI29">
        <f t="shared" si="4"/>
        <v>4</v>
      </c>
      <c r="AJ29" s="11">
        <f>IF(tblData[Date]&gt;StartDt2NSW,betaNSW/(deltaNSW+betaPodeltaNSW*EXP(-betaNSW*tblData[[#This Row],[Day '# NSW]])),"")</f>
        <v>9.9393712395123054E-2</v>
      </c>
      <c r="AK29" s="12">
        <f>IF(AND(ISNUMBER(tblData[NSW]),tblData[Date]&gt;StartDt2NSW),(tblData[[#This Row],[NSW LogiP(t)]]-tblData[[#This Row],[NSW]])^2,"")</f>
        <v>15.2147294109027</v>
      </c>
      <c r="AL29" s="12">
        <f>IF(AND(tblData[Date]&gt;StartDt2NSW,ISNUMBER(tblData[Day'# Aust])),tblData[NSW LogiP(t)]/$AG$9,"")</f>
        <v>0.12301202029099387</v>
      </c>
      <c r="AM29" s="11">
        <f>IF(AND(tblData[Date]&gt;StartDt2Italy,ISNUMBER(tblData[Days'# Italy])),betaItaly/(deltaItaly+betaPodeltaItaly*EXP(-betaItaly*tblData[Days'# Italy])),"")</f>
        <v>5.9223437069227076</v>
      </c>
      <c r="AN29" s="11">
        <f>IF(AND(tblData[Date]&gt;StartDt2Italy,ISNUMBER(tblData[Italy])),(tblData[[#This Row],[Italy LogiP(t)]]-tblData[[#This Row],[Italy]])^2,"")</f>
        <v>8.5400927413907528</v>
      </c>
      <c r="AO29" s="44">
        <f>IF(AND(tblData[Date]&gt;StartDt2Italy,ISNUMBER(tblData[Days'# Italy])),tblData[[#This Row],[Italy LogiP(t)]]/$AM$9,"")</f>
        <v>0.97970946351078703</v>
      </c>
      <c r="AP29" s="11">
        <f>IF(ISNUMBER(tblData[[#This Row],[Days'# US]]),betaUS/(deltaUS+betaPodeltaUS*EXP(-betaUS*tblData[Days'# US])),"")</f>
        <v>1.7099861863491616E-2</v>
      </c>
      <c r="AQ29" s="11">
        <f>IF(ISNUMBER(tblData[US]),(tblData[[#This Row],[US LogiP(t)]]-tblData[US])^2,"")</f>
        <v>2.9240527575049495E-4</v>
      </c>
      <c r="AR29" s="11">
        <f>IF(ISNUMBER(tblData[[#This Row],[Days'# US]]),tblData[[#This Row],[US LogiP(t)]]/$AP$9,"")</f>
        <v>5.1939309706575023E-4</v>
      </c>
      <c r="AS29" s="11" t="str">
        <f>IF(tblData[Date]&gt;=StartDt2Korea,betaSKorea/(deltaSKorea+betaPodeltaSKorea*EXP(-betaSKorea*(tblData[Date]-StartDt2Korea))),"")</f>
        <v/>
      </c>
      <c r="AT29" s="11" t="str">
        <f>IF(AND(tblData[Date]&gt;=StartDt2Korea,ISNUMBER(tblData[SKorea])),(tblData[[#This Row],[SKorea LogiP(t)]]-tblData[[#This Row],[SKorea]])^2,"")</f>
        <v/>
      </c>
      <c r="AU29" s="11" t="str">
        <f>IF(tblData[Date]&gt;=StartDt2Korea,tblData[[#This Row],[SKorea LogiP(t)]]/$AS$9,"")</f>
        <v/>
      </c>
      <c r="AV29" s="11">
        <f>IF(ISNUMBER(tblData[Days'# UK]),betaUK/(deltaUK+betaPodeltaUK*EXP(-betaUK*tblData[Days'# UK])),"")</f>
        <v>0.31889163298473266</v>
      </c>
      <c r="AW29" s="11">
        <f>IF(ISNUMBER(tblData[UK]),(tblData[[#This Row],[UK LogiP(t)]]-tblData[[#This Row],[UK]])^2,"")</f>
        <v>7.1883420756792722</v>
      </c>
      <c r="AX29" s="11">
        <f>IF(ISNUMBER(tblData[Days'# UK]),tblData[[#This Row],[UK LogiP(t)]]/$AV$9,"")</f>
        <v>4.7996934525095222E-2</v>
      </c>
      <c r="AY29" s="11">
        <f>IF(ISNUMBER(tblData[Days'# China]),betaChina/(deltaChina+betaPodeltaChina*EXP(-betaChina*tblData[Days'# China])),"")</f>
        <v>41571.582739012098</v>
      </c>
      <c r="AZ29" s="11">
        <f>IF(ISNUMBER(tblData[China]),(tblData[[#This Row],[China LogiP(t)]]-tblData[[#This Row],[China]])^2,"")</f>
        <v>3036594.6023029042</v>
      </c>
      <c r="BA29" s="11">
        <f>tblData[[#This Row],[China LogiP(t)]]/$AY$9</f>
        <v>288.82718004244305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E29" s="26" t="s">
        <v>58</v>
      </c>
      <c r="DG29" s="27">
        <v>43860</v>
      </c>
      <c r="DI29" s="26">
        <v>2</v>
      </c>
      <c r="DJ29" s="26">
        <v>0.26124939657046986</v>
      </c>
      <c r="DK29" s="26">
        <v>5.5289448647719272E-6</v>
      </c>
      <c r="DL29" s="26">
        <v>0.44118045186898547</v>
      </c>
      <c r="DM29" s="26">
        <v>47251.221157049207</v>
      </c>
      <c r="DN29" s="19">
        <v>861.88192352690567</v>
      </c>
      <c r="DO29" s="12">
        <v>0.59215442615679836</v>
      </c>
      <c r="DP29" s="26">
        <v>5.5289448647719269E-3</v>
      </c>
      <c r="DQ29" s="26"/>
      <c r="DR29" s="27">
        <v>43909</v>
      </c>
      <c r="DS29" s="26" t="s">
        <v>1315</v>
      </c>
      <c r="DT29" s="26">
        <v>41035</v>
      </c>
      <c r="DU29" s="26" t="s">
        <v>1316</v>
      </c>
      <c r="DV29" s="27">
        <v>43909</v>
      </c>
      <c r="DW29" s="26">
        <v>50</v>
      </c>
      <c r="DX29" s="26" t="s">
        <v>1317</v>
      </c>
      <c r="DY29" s="26"/>
      <c r="DZ29" s="26" t="s">
        <v>1318</v>
      </c>
      <c r="EA29" s="26"/>
      <c r="EB29" s="26" t="s">
        <v>1319</v>
      </c>
      <c r="EC29" s="26">
        <v>6788.2547559966915</v>
      </c>
      <c r="ED29" s="26">
        <v>43894</v>
      </c>
      <c r="EE29" s="26">
        <v>16</v>
      </c>
      <c r="EF29" s="26">
        <v>43893</v>
      </c>
      <c r="EG29" s="26">
        <v>17</v>
      </c>
      <c r="EH29" s="26"/>
      <c r="EI29" s="26"/>
      <c r="EJ29" s="26"/>
    </row>
    <row r="30" spans="2:140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49">
        <f>IF(ISNUMBER(tblData[Italy]),tblData[Italy]/$N$9,"")</f>
        <v>0.49627791563275436</v>
      </c>
      <c r="O30">
        <v>11</v>
      </c>
      <c r="P30" s="49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5"/>
        <v>1</v>
      </c>
      <c r="Y30" s="26">
        <f t="shared" si="3"/>
        <v>19</v>
      </c>
      <c r="Z30" s="26" t="str">
        <f>IF(tblData[[#This Row],[Date]]&lt;StartDt2Korea,"",tblData[[#This Row],[Date]]-StartDt2Korea)</f>
        <v/>
      </c>
      <c r="AA30" s="26">
        <f>IF(tblData[[#This Row],[Date]]&lt;UKStart,"",tblData[[#This Row],[Date]]-UKStart)</f>
        <v>11</v>
      </c>
      <c r="AB30">
        <f>IF(tblData[Date]&gt;=StartDt2Au,tblData[Date]-StartDt2Au,"")</f>
        <v>16</v>
      </c>
      <c r="AC30" s="26">
        <f>IF(tblData[New South Wales]&gt;0,SUM(tblData[[#This Row],[Australian Capital Territory]:[Western Australia]]),"")</f>
        <v>15</v>
      </c>
      <c r="AD30" s="12">
        <f>IF(ISNUMBER(tblData[Au]),tblData[Au]/$AA$9,"")</f>
        <v>5.9138937076170954</v>
      </c>
      <c r="AE30" s="19">
        <f>IF(ISNUMBER(tblData[[#This Row],[Day'# Aust]]),betaAu/(deltaAu+betaPodeltaAu*EXP(-betaAu*tblData[[#This Row],[Day'# Aust]])),"")</f>
        <v>0.27135340928348051</v>
      </c>
      <c r="AF30" s="72">
        <f>IF(ISNUMBER(tblData[Day'# Aust]),tblData[Au LogiP(t)]/$AD$9,"")</f>
        <v>0.10698368131346811</v>
      </c>
      <c r="AG30" s="11">
        <f>IF(AND(tblData[Date]&gt;=StartDt2Au,ISNUMBER(tblData[NSW])),(tblData[[#This Row],[Au LogiP(t)]]-tblData[[#This Row],[Au]])^2,"")</f>
        <v>216.93303039422534</v>
      </c>
      <c r="AH30">
        <f>IF(tblData[Date]&gt;StartDt2NSW,tblData[Date]-StartDt2NSW,"")</f>
        <v>16</v>
      </c>
      <c r="AI30">
        <f t="shared" si="4"/>
        <v>4</v>
      </c>
      <c r="AJ30" s="11">
        <f>IF(tblData[Date]&gt;StartDt2NSW,betaNSW/(deltaNSW+betaPodeltaNSW*EXP(-betaNSW*tblData[[#This Row],[Day '# NSW]])),"")</f>
        <v>0.12253373553715302</v>
      </c>
      <c r="AK30" s="12">
        <f>IF(AND(ISNUMBER(tblData[NSW]),tblData[Date]&gt;StartDt2NSW),(tblData[[#This Row],[NSW LogiP(t)]]-tblData[[#This Row],[NSW]])^2,"")</f>
        <v>15.034744632047463</v>
      </c>
      <c r="AL30" s="12">
        <f>IF(AND(tblData[Date]&gt;StartDt2NSW,ISNUMBER(tblData[Day'# Aust])),tblData[NSW LogiP(t)]/$AG$9,"")</f>
        <v>0.1516506627935062</v>
      </c>
      <c r="AM30" s="11">
        <f>IF(AND(tblData[Date]&gt;StartDt2Italy,ISNUMBER(tblData[Days'# Italy])),betaItaly/(deltaItaly+betaPodeltaItaly*EXP(-betaItaly*tblData[Days'# Italy])),"")</f>
        <v>7.6766425171576209</v>
      </c>
      <c r="AN30" s="11">
        <f>IF(AND(tblData[Date]&gt;StartDt2Italy,ISNUMBER(tblData[Italy])),(tblData[[#This Row],[Italy LogiP(t)]]-tblData[[#This Row],[Italy]])^2,"")</f>
        <v>21.870985233286369</v>
      </c>
      <c r="AO30" s="44">
        <f>IF(AND(tblData[Date]&gt;StartDt2Italy,ISNUMBER(tblData[Days'# Italy])),tblData[[#This Row],[Italy LogiP(t)]]/$AM$9,"")</f>
        <v>1.2699160491575883</v>
      </c>
      <c r="AP30" s="21">
        <f>IF(ISNUMBER(tblData[[#This Row],[Days'# US]]),betaUS/(deltaUS+betaPodeltaUS*EXP(-betaUS*tblData[Days'# US])),"")</f>
        <v>2.4209997281647088E-2</v>
      </c>
      <c r="AQ30" s="11">
        <f>IF(ISNUMBER(tblData[US]),(tblData[[#This Row],[US LogiP(t)]]-tblData[US])^2,"")</f>
        <v>120.46796618377215</v>
      </c>
      <c r="AR30" s="21">
        <f>IF(ISNUMBER(tblData[[#This Row],[Days'# US]]),tblData[[#This Row],[US LogiP(t)]]/$AP$9,"")</f>
        <v>7.3535713729447002E-4</v>
      </c>
      <c r="AS30" s="21" t="str">
        <f>IF(tblData[Date]&gt;=StartDt2Korea,betaSKorea/(deltaSKorea+betaPodeltaSKorea*EXP(-betaSKorea*(tblData[Date]-StartDt2Korea))),"")</f>
        <v/>
      </c>
      <c r="AT30" s="21" t="str">
        <f>IF(AND(tblData[Date]&gt;=StartDt2Korea,ISNUMBER(tblData[SKorea])),(tblData[[#This Row],[SKorea LogiP(t)]]-tblData[[#This Row],[SKorea]])^2,"")</f>
        <v/>
      </c>
      <c r="AU30" s="21" t="str">
        <f>IF(tblData[Date]&gt;=StartDt2Korea,tblData[[#This Row],[SKorea LogiP(t)]]/$AS$9,"")</f>
        <v/>
      </c>
      <c r="AV30" s="11">
        <f>IF(ISNUMBER(tblData[Days'# UK]),betaUK/(deltaUK+betaPodeltaUK*EXP(-betaUK*tblData[Days'# UK])),"")</f>
        <v>0.40357981150758204</v>
      </c>
      <c r="AW30" s="21">
        <f>IF(ISNUMBER(tblData[UK]),(tblData[[#This Row],[UK LogiP(t)]]-tblData[[#This Row],[UK]])^2,"")</f>
        <v>57.705599680135187</v>
      </c>
      <c r="AX30" s="21">
        <f>IF(ISNUMBER(tblData[Days'# UK]),tblData[[#This Row],[UK LogiP(t)]]/$AV$9,"")</f>
        <v>6.0743499624861835E-2</v>
      </c>
      <c r="AY30" s="11">
        <f>IF(ISNUMBER(tblData[Days'# China]),betaChina/(deltaChina+betaPodeltaChina*EXP(-betaChina*tblData[Days'# China])),"")</f>
        <v>46032.271839722431</v>
      </c>
      <c r="AZ30" s="11">
        <f>IF(ISNUMBER(tblData[China]),(tblData[[#This Row],[China LogiP(t)]]-tblData[[#This Row],[China]])^2,"")</f>
        <v>13529683.726895034</v>
      </c>
      <c r="BA30" s="11">
        <f>tblData[[#This Row],[China LogiP(t)]]/$AY$9</f>
        <v>319.8187413234424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E30" s="26" t="s">
        <v>58</v>
      </c>
      <c r="DF30" s="82">
        <v>43911.866296296299</v>
      </c>
      <c r="DG30" s="27">
        <v>43860</v>
      </c>
      <c r="DH30" s="27">
        <v>43860</v>
      </c>
      <c r="DI30" s="26">
        <v>2</v>
      </c>
      <c r="DJ30" s="26">
        <v>0.26021145951808367</v>
      </c>
      <c r="DK30" s="26">
        <v>4.6967448339452021E-6</v>
      </c>
      <c r="DL30" s="26">
        <v>0.44199535332226664</v>
      </c>
      <c r="DM30" s="26">
        <v>55402.511466544704</v>
      </c>
      <c r="DN30" s="19">
        <v>1127.8816766057491</v>
      </c>
      <c r="DO30" s="12">
        <v>0.58871520169346225</v>
      </c>
      <c r="DP30" s="26">
        <v>4.696744833945202E-3</v>
      </c>
      <c r="DQ30" s="26"/>
      <c r="DR30" s="27">
        <v>43910</v>
      </c>
      <c r="DS30" s="26" t="s">
        <v>1343</v>
      </c>
      <c r="DT30" s="26">
        <v>47021</v>
      </c>
      <c r="DU30" s="26" t="s">
        <v>1344</v>
      </c>
      <c r="DV30" s="27">
        <v>43910</v>
      </c>
      <c r="DW30" s="26">
        <v>51</v>
      </c>
      <c r="DX30" s="26" t="s">
        <v>1345</v>
      </c>
      <c r="DY30" s="26"/>
      <c r="DZ30" s="26" t="s">
        <v>1346</v>
      </c>
      <c r="EA30" s="26"/>
      <c r="EB30" s="26" t="s">
        <v>1498</v>
      </c>
      <c r="EC30" s="26">
        <v>7778.4946236559144</v>
      </c>
      <c r="ED30" s="26">
        <v>43895</v>
      </c>
      <c r="EE30" s="26">
        <v>16</v>
      </c>
      <c r="EF30" s="26">
        <v>43894</v>
      </c>
      <c r="EG30" s="26">
        <v>17</v>
      </c>
      <c r="EH30" s="26"/>
    </row>
    <row r="31" spans="2:140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49">
        <f>IF(ISNUMBER(tblData[Italy]),tblData[Italy]/$N$9,"")</f>
        <v>0.49627791563275436</v>
      </c>
      <c r="O31">
        <v>12</v>
      </c>
      <c r="P31" s="49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5"/>
        <v>2</v>
      </c>
      <c r="Y31" s="26">
        <f t="shared" si="3"/>
        <v>20</v>
      </c>
      <c r="Z31" s="26" t="str">
        <f>IF(tblData[[#This Row],[Date]]&lt;StartDt2Korea,"",tblData[[#This Row],[Date]]-StartDt2Korea)</f>
        <v/>
      </c>
      <c r="AA31" s="26">
        <f>IF(tblData[[#This Row],[Date]]&lt;UKStart,"",tblData[[#This Row],[Date]]-UKStart)</f>
        <v>12</v>
      </c>
      <c r="AB31">
        <f>IF(tblData[Date]&gt;=StartDt2Au,tblData[Date]-StartDt2Au,"")</f>
        <v>17</v>
      </c>
      <c r="AC31" s="26">
        <f>IF(tblData[New South Wales]&gt;0,SUM(tblData[[#This Row],[Australian Capital Territory]:[Western Australia]]),"")</f>
        <v>15</v>
      </c>
      <c r="AD31" s="12">
        <f>IF(ISNUMBER(tblData[Au]),tblData[Au]/$AA$9,"")</f>
        <v>5.9138937076170954</v>
      </c>
      <c r="AE31" s="19">
        <f>IF(ISNUMBER(tblData[[#This Row],[Day'# Aust]]),betaAu/(deltaAu+betaPodeltaAu*EXP(-betaAu*tblData[[#This Row],[Day'# Aust]])),"")</f>
        <v>0.3337605284741213</v>
      </c>
      <c r="AF31" s="72">
        <f>IF(ISNUMBER(tblData[Day'# Aust]),tblData[Au LogiP(t)]/$AD$9,"")</f>
        <v>0.13158828594627081</v>
      </c>
      <c r="AG31" s="11">
        <f>IF(AND(tblData[Date]&gt;=StartDt2Au,ISNUMBER(tblData[NSW])),(tblData[[#This Row],[Au LogiP(t)]]-tblData[[#This Row],[Au]])^2,"")</f>
        <v>215.09858023614368</v>
      </c>
      <c r="AH31">
        <f>IF(tblData[Date]&gt;StartDt2NSW,tblData[Date]-StartDt2NSW,"")</f>
        <v>17</v>
      </c>
      <c r="AI31">
        <f t="shared" si="4"/>
        <v>4</v>
      </c>
      <c r="AJ31" s="11">
        <f>IF(tblData[Date]&gt;StartDt2NSW,betaNSW/(deltaNSW+betaPodeltaNSW*EXP(-betaNSW*tblData[[#This Row],[Day '# NSW]])),"")</f>
        <v>0.15106072904726139</v>
      </c>
      <c r="AK31" s="12">
        <f>IF(AND(ISNUMBER(tblData[NSW]),tblData[Date]&gt;StartDt2NSW),(tblData[[#This Row],[NSW LogiP(t)]]-tblData[[#This Row],[NSW]])^2,"")</f>
        <v>14.814333511482198</v>
      </c>
      <c r="AL31" s="12">
        <f>IF(AND(tblData[Date]&gt;StartDt2NSW,ISNUMBER(tblData[Day'# Aust])),tblData[NSW LogiP(t)]/$AG$9,"")</f>
        <v>0.18695634783076903</v>
      </c>
      <c r="AM31" s="11">
        <f>IF(AND(tblData[Date]&gt;StartDt2Italy,ISNUMBER(tblData[Days'# Italy])),betaItaly/(deltaItaly+betaPodeltaItaly*EXP(-betaItaly*tblData[Days'# Italy])),"")</f>
        <v>9.9505091489714879</v>
      </c>
      <c r="AN31" s="11">
        <f>IF(AND(tblData[Date]&gt;StartDt2Italy,ISNUMBER(tblData[Italy])),(tblData[[#This Row],[Italy LogiP(t)]]-tblData[[#This Row],[Italy]])^2,"")</f>
        <v>48.309577429936354</v>
      </c>
      <c r="AO31" s="44">
        <f>IF(AND(tblData[Date]&gt;StartDt2Italy,ISNUMBER(tblData[Days'# Italy])),tblData[[#This Row],[Italy LogiP(t)]]/$AM$9,"")</f>
        <v>1.6460726466454074</v>
      </c>
      <c r="AP31" s="21">
        <f>IF(ISNUMBER(tblData[[#This Row],[Days'# US]]),betaUS/(deltaUS+betaPodeltaUS*EXP(-betaUS*tblData[Days'# US])),"")</f>
        <v>3.4276532088422504E-2</v>
      </c>
      <c r="AQ31" s="11">
        <f>IF(ISNUMBER(tblData[US]),(tblData[[#This Row],[US LogiP(t)]]-tblData[US])^2,"")</f>
        <v>143.17853811052984</v>
      </c>
      <c r="AR31" s="21">
        <f>IF(ISNUMBER(tblData[[#This Row],[Days'# US]]),tblData[[#This Row],[US LogiP(t)]]/$AP$9,"")</f>
        <v>1.0411191798039557E-3</v>
      </c>
      <c r="AS31" s="21" t="str">
        <f>IF(tblData[Date]&gt;=StartDt2Korea,betaSKorea/(deltaSKorea+betaPodeltaSKorea*EXP(-betaSKorea*(tblData[Date]-StartDt2Korea))),"")</f>
        <v/>
      </c>
      <c r="AT31" s="21" t="str">
        <f>IF(AND(tblData[Date]&gt;=StartDt2Korea,ISNUMBER(tblData[SKorea])),(tblData[[#This Row],[SKorea LogiP(t)]]-tblData[[#This Row],[SKorea]])^2,"")</f>
        <v/>
      </c>
      <c r="AU31" s="21" t="str">
        <f>IF(tblData[Date]&gt;=StartDt2Korea,tblData[[#This Row],[SKorea LogiP(t)]]/$AS$9,"")</f>
        <v/>
      </c>
      <c r="AV31" s="11">
        <f>IF(ISNUMBER(tblData[Days'# UK]),betaUK/(deltaUK+betaPodeltaUK*EXP(-betaUK*tblData[Days'# UK])),"")</f>
        <v>0.51075866342576592</v>
      </c>
      <c r="AW31" s="21">
        <f>IF(ISNUMBER(tblData[UK]),(tblData[[#This Row],[UK LogiP(t)]]-tblData[[#This Row],[UK]])^2,"")</f>
        <v>56.088735797452223</v>
      </c>
      <c r="AX31" s="21">
        <f>IF(ISNUMBER(tblData[Days'# UK]),tblData[[#This Row],[UK LogiP(t)]]/$AV$9,"")</f>
        <v>7.6875175109236291E-2</v>
      </c>
      <c r="AY31" s="11">
        <f>IF(ISNUMBER(tblData[Days'# China]),betaChina/(deltaChina+betaPodeltaChina*EXP(-betaChina*tblData[Days'# China])),"")</f>
        <v>50359.516700581407</v>
      </c>
      <c r="AZ31" s="11">
        <f>IF(ISNUMBER(tblData[China]),(tblData[[#This Row],[China LogiP(t)]]-tblData[[#This Row],[China]])^2,"")</f>
        <v>35682901.772124983</v>
      </c>
      <c r="BA31" s="11">
        <f>tblData[[#This Row],[China LogiP(t)]]/$AY$9</f>
        <v>349.88317111341462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E31" s="26" t="s">
        <v>58</v>
      </c>
      <c r="DG31" s="27">
        <v>43860</v>
      </c>
      <c r="DI31" s="26">
        <v>2</v>
      </c>
      <c r="DJ31" s="23">
        <v>0.26238091349277259</v>
      </c>
      <c r="DK31" s="25">
        <v>6.5504048686306527E-6</v>
      </c>
      <c r="DL31" s="22">
        <v>0.44060114064329331</v>
      </c>
      <c r="DM31" s="24">
        <f>betaItaly/deltaItaly</f>
        <v>60634.520713483966</v>
      </c>
      <c r="DN31" s="22">
        <f>SQRT(SUM(tblData[Italy Sq Err])/COUNT(tblData[Italy Sq Err]))</f>
        <v>1498.6578455090564</v>
      </c>
      <c r="DO31" s="37">
        <f>(betaItaly/PoItaly)-deltaItaly</f>
        <v>0.58677128401401213</v>
      </c>
      <c r="DP31" s="24">
        <f>deltaItaly*1000</f>
        <v>4.2793930730069228E-3</v>
      </c>
      <c r="DQ31" s="24"/>
      <c r="DR31" s="27">
        <f t="array" ref="DR31">MAX(IF(ISNUMBER(tblData[Italy]),tblData[Date]))</f>
        <v>43911</v>
      </c>
      <c r="DS31" s="27" t="str">
        <f>Cengnotation(DM31,3)</f>
        <v>60.6 k</v>
      </c>
      <c r="DT31" s="19"/>
      <c r="DU31" s="19"/>
      <c r="DW31" s="26"/>
      <c r="DX31" s="18"/>
      <c r="DY31" s="26"/>
      <c r="DZ31" s="26"/>
      <c r="EA31" s="26"/>
      <c r="EB31" s="26"/>
      <c r="EC31" s="26"/>
      <c r="ED31" s="26"/>
      <c r="EE31" s="26"/>
      <c r="EF31" s="26"/>
      <c r="EG31" s="26"/>
      <c r="EH31" s="26"/>
    </row>
    <row r="32" spans="2:140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49">
        <f>IF(ISNUMBER(tblData[Italy]),tblData[Italy]/$N$9,"")</f>
        <v>0.49627791563275436</v>
      </c>
      <c r="O32">
        <v>12</v>
      </c>
      <c r="P32" s="49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5"/>
        <v>3</v>
      </c>
      <c r="Y32" s="26">
        <f t="shared" si="3"/>
        <v>21</v>
      </c>
      <c r="Z32" s="26" t="str">
        <f>IF(tblData[[#This Row],[Date]]&lt;StartDt2Korea,"",tblData[[#This Row],[Date]]-StartDt2Korea)</f>
        <v/>
      </c>
      <c r="AA32" s="26">
        <f>IF(tblData[[#This Row],[Date]]&lt;UKStart,"",tblData[[#This Row],[Date]]-UKStart)</f>
        <v>13</v>
      </c>
      <c r="AB32">
        <f>IF(tblData[Date]&gt;=StartDt2Au,tblData[Date]-StartDt2Au,"")</f>
        <v>18</v>
      </c>
      <c r="AC32" s="26">
        <f>IF(tblData[New South Wales]&gt;0,SUM(tblData[[#This Row],[Australian Capital Territory]:[Western Australia]]),"")</f>
        <v>15</v>
      </c>
      <c r="AD32" s="12">
        <f>IF(ISNUMBER(tblData[Au]),tblData[Au]/$AA$9,"")</f>
        <v>5.9138937076170954</v>
      </c>
      <c r="AE32" s="19">
        <f>IF(ISNUMBER(tblData[[#This Row],[Day'# Aust]]),betaAu/(deltaAu+betaPodeltaAu*EXP(-betaAu*tblData[[#This Row],[Day'# Aust]])),"")</f>
        <v>0.41052032717682374</v>
      </c>
      <c r="AF32" s="72">
        <f>IF(ISNUMBER(tblData[Day'# Aust]),tblData[Au LogiP(t)]/$AD$9,"")</f>
        <v>0.16185157198266195</v>
      </c>
      <c r="AG32" s="11">
        <f>IF(AND(tblData[Date]&gt;=StartDt2Au,ISNUMBER(tblData[NSW])),(tblData[[#This Row],[Au LogiP(t)]]-tblData[[#This Row],[Au]])^2,"")</f>
        <v>212.85291712372063</v>
      </c>
      <c r="AH32">
        <f>IF(tblData[Date]&gt;StartDt2NSW,tblData[Date]-StartDt2NSW,"")</f>
        <v>18</v>
      </c>
      <c r="AI32">
        <f t="shared" si="4"/>
        <v>4</v>
      </c>
      <c r="AJ32" s="11">
        <f>IF(tblData[Date]&gt;StartDt2NSW,betaNSW/(deltaNSW+betaPodeltaNSW*EXP(-betaNSW*tblData[[#This Row],[Day '# NSW]])),"")</f>
        <v>0.18622861807689584</v>
      </c>
      <c r="AK32" s="12">
        <f>IF(AND(ISNUMBER(tblData[NSW]),tblData[Date]&gt;StartDt2NSW),(tblData[[#This Row],[NSW LogiP(t)]]-tblData[[#This Row],[NSW]])^2,"")</f>
        <v>14.544852153575665</v>
      </c>
      <c r="AL32" s="12">
        <f>IF(AND(tblData[Date]&gt;StartDt2NSW,ISNUMBER(tblData[Day'# Aust])),tblData[NSW LogiP(t)]/$AG$9,"")</f>
        <v>0.23048096296645523</v>
      </c>
      <c r="AM32" s="11">
        <f>IF(AND(tblData[Date]&gt;StartDt2Italy,ISNUMBER(tblData[Days'# Italy])),betaItaly/(deltaItaly+betaPodeltaItaly*EXP(-betaItaly*tblData[Days'# Italy])),"")</f>
        <v>12.897765153960885</v>
      </c>
      <c r="AN32" s="11">
        <f>IF(AND(tblData[Date]&gt;StartDt2Italy,ISNUMBER(tblData[Italy])),(tblData[[#This Row],[Italy LogiP(t)]]-tblData[[#This Row],[Italy]])^2,"")</f>
        <v>97.965755042962329</v>
      </c>
      <c r="AO32" s="44">
        <f>IF(AND(tblData[Date]&gt;StartDt2Italy,ISNUMBER(tblData[Days'# Italy])),tblData[[#This Row],[Italy LogiP(t)]]/$AM$9,"")</f>
        <v>2.1336253356428263</v>
      </c>
      <c r="AP32" s="21">
        <f>IF(ISNUMBER(tblData[[#This Row],[Days'# US]]),betaUS/(deltaUS+betaPodeltaUS*EXP(-betaUS*tblData[Days'# US])),"")</f>
        <v>4.8528738997919138E-2</v>
      </c>
      <c r="AQ32" s="11">
        <f>IF(ISNUMBER(tblData[US]),(tblData[[#This Row],[US LogiP(t)]]-tblData[US])^2,"")</f>
        <v>142.83766530255866</v>
      </c>
      <c r="AR32" s="21">
        <f>IF(ISNUMBER(tblData[[#This Row],[Days'# US]]),tblData[[#This Row],[US LogiP(t)]]/$AP$9,"")</f>
        <v>1.4740172900834167E-3</v>
      </c>
      <c r="AS32" s="21" t="str">
        <f>IF(tblData[Date]&gt;=StartDt2Korea,betaSKorea/(deltaSKorea+betaPodeltaSKorea*EXP(-betaSKorea*(tblData[Date]-StartDt2Korea))),"")</f>
        <v/>
      </c>
      <c r="AT32" s="21" t="str">
        <f>IF(AND(tblData[Date]&gt;=StartDt2Korea,ISNUMBER(tblData[SKorea])),(tblData[[#This Row],[SKorea LogiP(t)]]-tblData[[#This Row],[SKorea]])^2,"")</f>
        <v/>
      </c>
      <c r="AU32" s="21" t="str">
        <f>IF(tblData[Date]&gt;=StartDt2Korea,tblData[[#This Row],[SKorea LogiP(t)]]/$AS$9,"")</f>
        <v/>
      </c>
      <c r="AV32" s="11">
        <f>IF(ISNUMBER(tblData[Days'# UK]),betaUK/(deltaUK+betaPodeltaUK*EXP(-betaUK*tblData[Days'# UK])),"")</f>
        <v>0.64640104582646252</v>
      </c>
      <c r="AW32" s="21">
        <f>IF(ISNUMBER(tblData[UK]),(tblData[[#This Row],[UK LogiP(t)]]-tblData[[#This Row],[UK]])^2,"")</f>
        <v>69.782615487169238</v>
      </c>
      <c r="AX32" s="21">
        <f>IF(ISNUMBER(tblData[Days'# UK]),tblData[[#This Row],[UK LogiP(t)]]/$AV$9,"")</f>
        <v>9.7290946090677677E-2</v>
      </c>
      <c r="AY32" s="11">
        <f>IF(ISNUMBER(tblData[Days'# China]),betaChina/(deltaChina+betaPodeltaChina*EXP(-betaChina*tblData[Days'# China])),"")</f>
        <v>54459.144180486874</v>
      </c>
      <c r="AZ32" s="11">
        <f>IF(ISNUMBER(tblData[China]),(tblData[[#This Row],[China LogiP(t)]]-tblData[[#This Row],[China]])^2,"")</f>
        <v>94092797.122233361</v>
      </c>
      <c r="BA32" s="11">
        <f>tblData[[#This Row],[China LogiP(t)]]/$AY$9</f>
        <v>378.36618201245415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E32" s="26" t="s">
        <v>486</v>
      </c>
      <c r="DG32" s="27">
        <v>43852</v>
      </c>
      <c r="DI32" s="26">
        <v>3</v>
      </c>
      <c r="DJ32" s="23">
        <v>0.23690262188948924</v>
      </c>
      <c r="DK32" s="25">
        <v>1.0000000000010001E-8</v>
      </c>
      <c r="DL32" s="22">
        <v>1</v>
      </c>
      <c r="DM32" s="26">
        <v>23690262.188925233</v>
      </c>
      <c r="DN32" s="19">
        <v>70.768652159383493</v>
      </c>
      <c r="DO32" s="37">
        <v>0.23690261188948925</v>
      </c>
      <c r="DP32" s="24">
        <v>1.0000000000010001E-5</v>
      </c>
      <c r="DQ32" s="12"/>
      <c r="DR32" s="27">
        <v>43904</v>
      </c>
      <c r="DS32" s="27" t="s">
        <v>493</v>
      </c>
      <c r="DT32" s="19"/>
      <c r="DU32" s="19"/>
      <c r="DW32" s="26"/>
      <c r="DX32" s="18"/>
      <c r="DY32" s="26"/>
      <c r="DZ32" s="26"/>
      <c r="EA32" s="26"/>
      <c r="EB32" s="26"/>
      <c r="EC32" s="26"/>
      <c r="ED32" s="26"/>
      <c r="EE32" s="26"/>
      <c r="EF32" s="26"/>
      <c r="EG32" s="26"/>
      <c r="EH32" s="26"/>
    </row>
    <row r="33" spans="2:138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49">
        <f>IF(ISNUMBER(tblData[Italy]),tblData[Italy]/$N$9,"")</f>
        <v>0.49627791563275436</v>
      </c>
      <c r="O33">
        <v>13</v>
      </c>
      <c r="P33" s="49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5"/>
        <v>4</v>
      </c>
      <c r="Y33" s="26">
        <f t="shared" si="3"/>
        <v>22</v>
      </c>
      <c r="Z33" s="26" t="str">
        <f>IF(tblData[[#This Row],[Date]]&lt;StartDt2Korea,"",tblData[[#This Row],[Date]]-StartDt2Korea)</f>
        <v/>
      </c>
      <c r="AA33" s="26">
        <f>IF(tblData[[#This Row],[Date]]&lt;UKStart,"",tblData[[#This Row],[Date]]-UKStart)</f>
        <v>14</v>
      </c>
      <c r="AB33">
        <f>IF(tblData[Date]&gt;=StartDt2Au,tblData[Date]-StartDt2Au,"")</f>
        <v>19</v>
      </c>
      <c r="AC33" s="26">
        <f>IF(tblData[New South Wales]&gt;0,SUM(tblData[[#This Row],[Australian Capital Territory]:[Western Australia]]),"")</f>
        <v>15</v>
      </c>
      <c r="AD33" s="12">
        <f>IF(ISNUMBER(tblData[Au]),tblData[Au]/$AA$9,"")</f>
        <v>5.9138937076170954</v>
      </c>
      <c r="AE33" s="19">
        <f>IF(ISNUMBER(tblData[[#This Row],[Day'# Aust]]),betaAu/(deltaAu+betaPodeltaAu*EXP(-betaAu*tblData[[#This Row],[Day'# Aust]])),"")</f>
        <v>0.50493370136205606</v>
      </c>
      <c r="AF33" s="72">
        <f>IF(ISNUMBER(tblData[Day'# Aust]),tblData[Au LogiP(t)]/$AD$9,"")</f>
        <v>0.1990749492832582</v>
      </c>
      <c r="AG33" s="11">
        <f>IF(AND(tblData[Date]&gt;=StartDt2Au,ISNUMBER(tblData[NSW])),(tblData[[#This Row],[Au LogiP(t)]]-tblData[[#This Row],[Au]])^2,"")</f>
        <v>210.1069470019095</v>
      </c>
      <c r="AH33">
        <f>IF(tblData[Date]&gt;StartDt2NSW,tblData[Date]-StartDt2NSW,"")</f>
        <v>19</v>
      </c>
      <c r="AI33">
        <f t="shared" si="4"/>
        <v>4</v>
      </c>
      <c r="AJ33" s="11">
        <f>IF(tblData[Date]&gt;StartDt2NSW,betaNSW/(deltaNSW+betaPodeltaNSW*EXP(-betaNSW*tblData[[#This Row],[Day '# NSW]])),"")</f>
        <v>0.22958312324530949</v>
      </c>
      <c r="AK33" s="12">
        <f>IF(AND(ISNUMBER(tblData[NSW]),tblData[Date]&gt;StartDt2NSW),(tblData[[#This Row],[NSW LogiP(t)]]-tblData[[#This Row],[NSW]])^2,"")</f>
        <v>14.216043424516595</v>
      </c>
      <c r="AL33" s="12">
        <f>IF(AND(tblData[Date]&gt;StartDt2NSW,ISNUMBER(tblData[Day'# Aust])),tblData[NSW LogiP(t)]/$AG$9,"")</f>
        <v>0.28413752876894738</v>
      </c>
      <c r="AM33" s="11">
        <f>IF(AND(tblData[Date]&gt;StartDt2Italy,ISNUMBER(tblData[Days'# Italy])),betaItaly/(deltaItaly+betaPodeltaItaly*EXP(-betaItaly*tblData[Days'# Italy])),"")</f>
        <v>16.717732545279564</v>
      </c>
      <c r="AN33" s="11">
        <f>IF(AND(tblData[Date]&gt;StartDt2Italy,ISNUMBER(tblData[Italy])),(tblData[[#This Row],[Italy LogiP(t)]]-tblData[[#This Row],[Italy]])^2,"")</f>
        <v>188.17618618382213</v>
      </c>
      <c r="AO33" s="44">
        <f>IF(AND(tblData[Date]&gt;StartDt2Italy,ISNUMBER(tblData[Days'# Italy])),tblData[[#This Row],[Italy LogiP(t)]]/$AM$9,"")</f>
        <v>2.7655471538924008</v>
      </c>
      <c r="AP33" s="21">
        <f>IF(ISNUMBER(tblData[[#This Row],[Days'# US]]),betaUS/(deltaUS+betaPodeltaUS*EXP(-betaUS*tblData[Days'# US])),"")</f>
        <v>6.8707022821419883E-2</v>
      </c>
      <c r="AQ33" s="11">
        <f>IF(ISNUMBER(tblData[US]),(tblData[[#This Row],[US LogiP(t)]]-tblData[US])^2,"")</f>
        <v>167.21833806162809</v>
      </c>
      <c r="AR33" s="21">
        <f>IF(ISNUMBER(tblData[[#This Row],[Days'# US]]),tblData[[#This Row],[US LogiP(t)]]/$AP$9,"")</f>
        <v>2.0869147165202746E-3</v>
      </c>
      <c r="AS33" s="21" t="str">
        <f>IF(tblData[Date]&gt;=StartDt2Korea,betaSKorea/(deltaSKorea+betaPodeltaSKorea*EXP(-betaSKorea*(tblData[Date]-StartDt2Korea))),"")</f>
        <v/>
      </c>
      <c r="AT33" s="21" t="str">
        <f>IF(AND(tblData[Date]&gt;=StartDt2Korea,ISNUMBER(tblData[SKorea])),(tblData[[#This Row],[SKorea LogiP(t)]]-tblData[[#This Row],[SKorea]])^2,"")</f>
        <v/>
      </c>
      <c r="AU33" s="21" t="str">
        <f>IF(tblData[Date]&gt;=StartDt2Korea,tblData[[#This Row],[SKorea LogiP(t)]]/$AS$9,"")</f>
        <v/>
      </c>
      <c r="AV33" s="11">
        <f>IF(ISNUMBER(tblData[Days'# UK]),betaUK/(deltaUK+betaPodeltaUK*EXP(-betaUK*tblData[Days'# UK])),"")</f>
        <v>0.81806602981364041</v>
      </c>
      <c r="AW33" s="21">
        <f>IF(ISNUMBER(tblData[UK]),(tblData[[#This Row],[UK LogiP(t)]]-tblData[[#This Row],[UK]])^2,"")</f>
        <v>66.944043492489541</v>
      </c>
      <c r="AX33" s="21">
        <f>IF(ISNUMBER(tblData[Days'# UK]),tblData[[#This Row],[UK LogiP(t)]]/$AV$9,"")</f>
        <v>0.1231285415131909</v>
      </c>
      <c r="AY33" s="11">
        <f>IF(ISNUMBER(tblData[Days'# China]),betaChina/(deltaChina+betaPodeltaChina*EXP(-betaChina*tblData[Days'# China])),"")</f>
        <v>58256.972001189533</v>
      </c>
      <c r="AZ33" s="11">
        <f>IF(ISNUMBER(tblData[China]),(tblData[[#This Row],[China LogiP(t)]]-tblData[[#This Row],[China]])^2,"")</f>
        <v>2683135.7248870223</v>
      </c>
      <c r="BA33" s="11">
        <f>tblData[[#This Row],[China LogiP(t)]]/$AY$9</f>
        <v>404.75237728018698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E33" s="26" t="s">
        <v>486</v>
      </c>
      <c r="DG33" s="27">
        <v>43852</v>
      </c>
      <c r="DI33" s="26">
        <v>3</v>
      </c>
      <c r="DJ33" s="23">
        <v>0.32325497596799352</v>
      </c>
      <c r="DK33" s="38">
        <v>3.2192747767709561E-5</v>
      </c>
      <c r="DL33" s="22">
        <v>8.8068098227311528E-2</v>
      </c>
      <c r="DM33" s="24">
        <v>10041.235942345667</v>
      </c>
      <c r="DN33" s="22">
        <v>0</v>
      </c>
      <c r="DO33" s="37">
        <v>3.6704794053753567</v>
      </c>
      <c r="DP33" s="24">
        <v>3.2192747767709563E-2</v>
      </c>
      <c r="DQ33" s="24"/>
      <c r="DR33" s="27">
        <v>43905</v>
      </c>
      <c r="DS33" s="27" t="s">
        <v>772</v>
      </c>
      <c r="DT33" s="19"/>
      <c r="DU33" s="19"/>
      <c r="DW33" s="26"/>
      <c r="DX33" s="18"/>
      <c r="DY33" s="26"/>
      <c r="DZ33" s="26"/>
      <c r="EA33" s="26"/>
      <c r="EB33" s="26"/>
      <c r="EC33" s="26"/>
      <c r="ED33" s="26"/>
      <c r="EE33" s="26"/>
      <c r="EF33" s="26"/>
      <c r="EG33" s="26"/>
      <c r="EH33" s="26"/>
    </row>
    <row r="34" spans="2:138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49">
        <f>IF(ISNUMBER(tblData[Italy]),tblData[Italy]/$N$9,"")</f>
        <v>0.49627791563275436</v>
      </c>
      <c r="O34">
        <v>13</v>
      </c>
      <c r="P34" s="49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5"/>
        <v>5</v>
      </c>
      <c r="Y34" s="26">
        <f t="shared" si="3"/>
        <v>23</v>
      </c>
      <c r="Z34" s="26" t="str">
        <f>IF(tblData[[#This Row],[Date]]&lt;StartDt2Korea,"",tblData[[#This Row],[Date]]-StartDt2Korea)</f>
        <v/>
      </c>
      <c r="AA34" s="26">
        <f>IF(tblData[[#This Row],[Date]]&lt;UKStart,"",tblData[[#This Row],[Date]]-UKStart)</f>
        <v>15</v>
      </c>
      <c r="AB34">
        <f>IF(tblData[Date]&gt;=StartDt2Au,tblData[Date]-StartDt2Au,"")</f>
        <v>20</v>
      </c>
      <c r="AC34" s="26">
        <f>IF(tblData[New South Wales]&gt;0,SUM(tblData[[#This Row],[Australian Capital Territory]:[Western Australia]]),"")</f>
        <v>15</v>
      </c>
      <c r="AD34" s="12">
        <f>IF(ISNUMBER(tblData[Au]),tblData[Au]/$AA$9,"")</f>
        <v>5.9138937076170954</v>
      </c>
      <c r="AE34" s="19">
        <f>IF(ISNUMBER(tblData[[#This Row],[Day'# Aust]]),betaAu/(deltaAu+betaPodeltaAu*EXP(-betaAu*tblData[[#This Row],[Day'# Aust]])),"")</f>
        <v>0.62106070239640954</v>
      </c>
      <c r="AF34" s="72">
        <f>IF(ISNUMBER(tblData[Day'# Aust]),tblData[Au LogiP(t)]/$AD$9,"")</f>
        <v>0.24485913199669199</v>
      </c>
      <c r="AG34" s="11">
        <f>IF(AND(tblData[Date]&gt;=StartDt2Au,ISNUMBER(tblData[NSW])),(tblData[[#This Row],[Au LogiP(t)]]-tblData[[#This Row],[Au]])^2,"")</f>
        <v>206.75389532416884</v>
      </c>
      <c r="AH34">
        <f>IF(tblData[Date]&gt;StartDt2NSW,tblData[Date]-StartDt2NSW,"")</f>
        <v>20</v>
      </c>
      <c r="AI34">
        <f t="shared" si="4"/>
        <v>4</v>
      </c>
      <c r="AJ34" s="11">
        <f>IF(tblData[Date]&gt;StartDt2NSW,betaNSW/(deltaNSW+betaPodeltaNSW*EXP(-betaNSW*tblData[[#This Row],[Day '# NSW]])),"")</f>
        <v>0.28302962114520502</v>
      </c>
      <c r="AK34" s="12">
        <f>IF(AND(ISNUMBER(tblData[NSW]),tblData[Date]&gt;StartDt2NSW),(tblData[[#This Row],[NSW LogiP(t)]]-tblData[[#This Row],[NSW]])^2,"")</f>
        <v>13.815868797283958</v>
      </c>
      <c r="AL34" s="12">
        <f>IF(AND(tblData[Date]&gt;StartDt2NSW,ISNUMBER(tblData[Day'# Aust])),tblData[NSW LogiP(t)]/$AG$9,"")</f>
        <v>0.35028418458564975</v>
      </c>
      <c r="AM34" s="11">
        <f>IF(AND(tblData[Date]&gt;StartDt2Italy,ISNUMBER(tblData[Days'# Italy])),betaItaly/(deltaItaly+betaPodeltaItaly*EXP(-betaItaly*tblData[Days'# Italy])),"")</f>
        <v>21.668666027281812</v>
      </c>
      <c r="AN34" s="11">
        <f>IF(AND(tblData[Date]&gt;StartDt2Italy,ISNUMBER(tblData[Italy])),(tblData[[#This Row],[Italy LogiP(t)]]-tblData[[#This Row],[Italy]])^2,"")</f>
        <v>348.51909123818609</v>
      </c>
      <c r="AO34" s="44">
        <f>IF(AND(tblData[Date]&gt;StartDt2Italy,ISNUMBER(tblData[Days'# Italy])),tblData[[#This Row],[Italy LogiP(t)]]/$AM$9,"")</f>
        <v>3.5845601368538977</v>
      </c>
      <c r="AP34" s="21">
        <f>IF(ISNUMBER(tblData[[#This Row],[Days'# US]]),betaUS/(deltaUS+betaPodeltaUS*EXP(-betaUS*tblData[Days'# US])),"")</f>
        <v>9.7275449135337352E-2</v>
      </c>
      <c r="AQ34" s="11">
        <f>IF(ISNUMBER(tblData[US]),(tblData[[#This Row],[US LogiP(t)]]-tblData[US])^2,"")</f>
        <v>166.48030083548574</v>
      </c>
      <c r="AR34" s="21">
        <f>IF(ISNUMBER(tblData[[#This Row],[Days'# US]]),tblData[[#This Row],[US LogiP(t)]]/$AP$9,"")</f>
        <v>2.9546552596857178E-3</v>
      </c>
      <c r="AS34" s="21" t="str">
        <f>IF(tblData[Date]&gt;=StartDt2Korea,betaSKorea/(deltaSKorea+betaPodeltaSKorea*EXP(-betaSKorea*(tblData[Date]-StartDt2Korea))),"")</f>
        <v/>
      </c>
      <c r="AT34" s="21" t="str">
        <f>IF(AND(tblData[Date]&gt;=StartDt2Korea,ISNUMBER(tblData[SKorea])),(tblData[[#This Row],[SKorea LogiP(t)]]-tblData[[#This Row],[SKorea]])^2,"")</f>
        <v/>
      </c>
      <c r="AU34" s="21" t="str">
        <f>IF(tblData[Date]&gt;=StartDt2Korea,tblData[[#This Row],[SKorea LogiP(t)]]/$AS$9,"")</f>
        <v/>
      </c>
      <c r="AV34" s="11">
        <f>IF(ISNUMBER(tblData[Days'# UK]),betaUK/(deltaUK+betaPodeltaUK*EXP(-betaUK*tblData[Days'# UK])),"")</f>
        <v>1.0353201519806616</v>
      </c>
      <c r="AW34" s="21">
        <f>IF(ISNUMBER(tblData[UK]),(tblData[[#This Row],[UK LogiP(t)]]-tblData[[#This Row],[UK]])^2,"")</f>
        <v>63.436125081445354</v>
      </c>
      <c r="AX34" s="21">
        <f>IF(ISNUMBER(tblData[Days'# UK]),tblData[[#This Row],[UK LogiP(t)]]/$AV$9,"")</f>
        <v>0.15582783744441023</v>
      </c>
      <c r="AY34" s="11">
        <f>IF(ISNUMBER(tblData[Days'# China]),betaChina/(deltaChina+betaPodeltaChina*EXP(-betaChina*tblData[Days'# China])),"")</f>
        <v>61702.802167721682</v>
      </c>
      <c r="AZ34" s="11">
        <f>IF(ISNUMBER(tblData[China]),(tblData[[#This Row],[China LogiP(t)]]-tblData[[#This Row],[China]])^2,"")</f>
        <v>21670866.857648749</v>
      </c>
      <c r="BA34" s="11">
        <f>tblData[[#This Row],[China LogiP(t)]]/$AY$9</f>
        <v>428.69299595118815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E34" s="26" t="s">
        <v>486</v>
      </c>
      <c r="DG34" s="27">
        <v>43852</v>
      </c>
      <c r="DI34" s="26">
        <v>3</v>
      </c>
      <c r="DJ34" s="23">
        <v>0.36149962702652205</v>
      </c>
      <c r="DK34" s="25">
        <v>4.559608796995672E-5</v>
      </c>
      <c r="DL34" s="22">
        <v>2.9311946911653858E-2</v>
      </c>
      <c r="DM34" s="26">
        <v>7928.3035699184175</v>
      </c>
      <c r="DN34" s="19">
        <v>80.421636650241254</v>
      </c>
      <c r="DO34" s="37">
        <v>12.332796985678472</v>
      </c>
      <c r="DP34" s="24">
        <v>4.559608796995672E-2</v>
      </c>
      <c r="DQ34" s="12"/>
      <c r="DR34" s="27">
        <v>43907</v>
      </c>
      <c r="DS34" s="27" t="s">
        <v>974</v>
      </c>
      <c r="DT34" s="19">
        <v>4736</v>
      </c>
      <c r="DU34" s="19" t="s">
        <v>975</v>
      </c>
      <c r="DV34" s="27">
        <v>43906</v>
      </c>
      <c r="DW34" s="26">
        <v>38</v>
      </c>
      <c r="DX34" s="18" t="s">
        <v>976</v>
      </c>
      <c r="DY34" s="26"/>
      <c r="DZ34" s="26" t="s">
        <v>977</v>
      </c>
      <c r="EA34" s="26"/>
      <c r="EB34" s="26"/>
      <c r="EC34" s="26"/>
      <c r="ED34" s="26"/>
      <c r="EE34" s="26"/>
      <c r="EF34" s="26"/>
      <c r="EG34" s="26"/>
      <c r="EH34" s="26"/>
    </row>
    <row r="35" spans="2:138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49">
        <f>IF(ISNUMBER(tblData[Italy]),tblData[Italy]/$N$9,"")</f>
        <v>0.49627791563275436</v>
      </c>
      <c r="O35">
        <v>13</v>
      </c>
      <c r="P35" s="49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5"/>
        <v>6</v>
      </c>
      <c r="Y35" s="26">
        <f t="shared" si="3"/>
        <v>24</v>
      </c>
      <c r="Z35" s="26" t="str">
        <f>IF(tblData[[#This Row],[Date]]&lt;StartDt2Korea,"",tblData[[#This Row],[Date]]-StartDt2Korea)</f>
        <v/>
      </c>
      <c r="AA35" s="26">
        <f>IF(tblData[[#This Row],[Date]]&lt;UKStart,"",tblData[[#This Row],[Date]]-UKStart)</f>
        <v>16</v>
      </c>
      <c r="AB35">
        <f>IF(tblData[Date]&gt;=StartDt2Au,tblData[Date]-StartDt2Au,"")</f>
        <v>21</v>
      </c>
      <c r="AC35" s="26">
        <f>IF(tblData[New South Wales]&gt;0,SUM(tblData[[#This Row],[Australian Capital Territory]:[Western Australia]]),"")</f>
        <v>15</v>
      </c>
      <c r="AD35" s="12">
        <f>IF(ISNUMBER(tblData[Au]),tblData[Au]/$AA$9,"")</f>
        <v>5.9138937076170954</v>
      </c>
      <c r="AE35" s="19">
        <f>IF(ISNUMBER(tblData[[#This Row],[Day'# Aust]]),betaAu/(deltaAu+betaPodeltaAu*EXP(-betaAu*tblData[[#This Row],[Day'# Aust]])),"")</f>
        <v>0.76389513112491481</v>
      </c>
      <c r="AF35" s="72">
        <f>IF(ISNUMBER(tblData[Day'# Aust]),tblData[Au LogiP(t)]/$AD$9,"")</f>
        <v>0.30117297394926462</v>
      </c>
      <c r="AG35" s="11">
        <f>IF(AND(tblData[Date]&gt;=StartDt2Au,ISNUMBER(tblData[NSW])),(tblData[[#This Row],[Au LogiP(t)]]-tblData[[#This Row],[Au]])^2,"")</f>
        <v>202.66668183760891</v>
      </c>
      <c r="AH35">
        <f>IF(tblData[Date]&gt;StartDt2NSW,tblData[Date]-StartDt2NSW,"")</f>
        <v>21</v>
      </c>
      <c r="AI35">
        <f t="shared" si="4"/>
        <v>4</v>
      </c>
      <c r="AJ35" s="11">
        <f>IF(tblData[Date]&gt;StartDt2NSW,betaNSW/(deltaNSW+betaPodeltaNSW*EXP(-betaNSW*tblData[[#This Row],[Day '# NSW]])),"")</f>
        <v>0.34891676481083217</v>
      </c>
      <c r="AK35" s="12">
        <f>IF(AND(ISNUMBER(tblData[NSW]),tblData[Date]&gt;StartDt2NSW),(tblData[[#This Row],[NSW LogiP(t)]]-tblData[[#This Row],[NSW]])^2,"")</f>
        <v>13.330408790279401</v>
      </c>
      <c r="AL35" s="12">
        <f>IF(AND(tblData[Date]&gt;StartDt2NSW,ISNUMBER(tblData[Day'# Aust])),tblData[NSW LogiP(t)]/$AG$9,"")</f>
        <v>0.43182767922132692</v>
      </c>
      <c r="AM35" s="11">
        <f>IF(AND(tblData[Date]&gt;StartDt2Italy,ISNUMBER(tblData[Days'# Italy])),betaItaly/(deltaItaly+betaPodeltaItaly*EXP(-betaItaly*tblData[Days'# Italy])),"")</f>
        <v>28.085132327266102</v>
      </c>
      <c r="AN35" s="11">
        <f>IF(AND(tblData[Date]&gt;StartDt2Italy,ISNUMBER(tblData[Italy])),(tblData[[#This Row],[Italy LogiP(t)]]-tblData[[#This Row],[Italy]])^2,"")</f>
        <v>629.26386387645084</v>
      </c>
      <c r="AO35" s="44">
        <f>IF(AND(tblData[Date]&gt;StartDt2Italy,ISNUMBER(tblData[Days'# Italy])),tblData[[#This Row],[Italy LogiP(t)]]/$AM$9,"")</f>
        <v>4.6460103105485695</v>
      </c>
      <c r="AP35" s="21">
        <f>IF(ISNUMBER(tblData[[#This Row],[Days'# US]]),betaUS/(deltaUS+betaPodeltaUS*EXP(-betaUS*tblData[Days'# US])),"")</f>
        <v>0.13772264207688845</v>
      </c>
      <c r="AQ35" s="11">
        <f>IF(ISNUMBER(tblData[US]),(tblData[[#This Row],[US LogiP(t)]]-tblData[US])^2,"")</f>
        <v>165.43817883214155</v>
      </c>
      <c r="AR35" s="21">
        <f>IF(ISNUMBER(tblData[[#This Row],[Days'# US]]),tblData[[#This Row],[US LogiP(t)]]/$AP$9,"")</f>
        <v>4.1832027752876106E-3</v>
      </c>
      <c r="AS35" s="21" t="str">
        <f>IF(tblData[Date]&gt;=StartDt2Korea,betaSKorea/(deltaSKorea+betaPodeltaSKorea*EXP(-betaSKorea*(tblData[Date]-StartDt2Korea))),"")</f>
        <v/>
      </c>
      <c r="AT35" s="21" t="str">
        <f>IF(AND(tblData[Date]&gt;=StartDt2Korea,ISNUMBER(tblData[SKorea])),(tblData[[#This Row],[SKorea LogiP(t)]]-tblData[[#This Row],[SKorea]])^2,"")</f>
        <v/>
      </c>
      <c r="AU35" s="21" t="str">
        <f>IF(tblData[Date]&gt;=StartDt2Korea,tblData[[#This Row],[SKorea LogiP(t)]]/$AS$9,"")</f>
        <v/>
      </c>
      <c r="AV35" s="11">
        <f>IF(ISNUMBER(tblData[Days'# UK]),betaUK/(deltaUK+betaPodeltaUK*EXP(-betaUK*tblData[Days'# UK])),"")</f>
        <v>1.3102705377937036</v>
      </c>
      <c r="AW35" s="21">
        <f>IF(ISNUMBER(tblData[UK]),(tblData[[#This Row],[UK LogiP(t)]]-tblData[[#This Row],[UK]])^2,"")</f>
        <v>59.131939201923529</v>
      </c>
      <c r="AX35" s="21">
        <f>IF(ISNUMBER(tblData[Days'# UK]),tblData[[#This Row],[UK LogiP(t)]]/$AV$9,"")</f>
        <v>0.19721109840362788</v>
      </c>
      <c r="AY35" s="11">
        <f>IF(ISNUMBER(tblData[Days'# China]),betaChina/(deltaChina+betaPodeltaChina*EXP(-betaChina*tblData[Days'# China])),"")</f>
        <v>64770.760664597678</v>
      </c>
      <c r="AZ35" s="11">
        <f>IF(ISNUMBER(tblData[China]),(tblData[[#This Row],[China LogiP(t)]]-tblData[[#This Row],[China]])^2,"")</f>
        <v>13265907.376351953</v>
      </c>
      <c r="BA35" s="11">
        <f>tblData[[#This Row],[China LogiP(t)]]/$AY$9</f>
        <v>450.00827294468093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E35" s="26" t="s">
        <v>486</v>
      </c>
      <c r="DG35" s="27">
        <v>43852</v>
      </c>
      <c r="DI35" s="26">
        <v>3</v>
      </c>
      <c r="DJ35" s="23">
        <v>0.27693699134998795</v>
      </c>
      <c r="DK35" s="25">
        <v>9.9999999999976868E-11</v>
      </c>
      <c r="DL35" s="22">
        <v>0.29473541562593031</v>
      </c>
      <c r="DM35" s="26">
        <v>2769369913.5005202</v>
      </c>
      <c r="DN35" s="19">
        <v>50.62824539226316</v>
      </c>
      <c r="DO35" s="37">
        <v>0.93961219669642571</v>
      </c>
      <c r="DP35" s="24">
        <v>9.9999999999976874E-8</v>
      </c>
      <c r="DQ35" s="12"/>
      <c r="DR35" s="27">
        <v>43907</v>
      </c>
      <c r="DS35" s="27" t="s">
        <v>1013</v>
      </c>
      <c r="DT35" s="19">
        <v>6421</v>
      </c>
      <c r="DU35" s="19" t="s">
        <v>1014</v>
      </c>
      <c r="DV35" s="27">
        <v>43907</v>
      </c>
      <c r="DW35" s="26">
        <v>38</v>
      </c>
      <c r="DX35" s="18" t="s">
        <v>1015</v>
      </c>
      <c r="DY35" s="26"/>
      <c r="DZ35" s="26" t="s">
        <v>1016</v>
      </c>
      <c r="EA35" s="26" t="s">
        <v>982</v>
      </c>
      <c r="EB35" s="26" t="s">
        <v>1017</v>
      </c>
      <c r="EC35" s="26"/>
      <c r="ED35" s="26"/>
      <c r="EE35" s="26"/>
      <c r="EF35" s="26"/>
      <c r="EG35" s="26"/>
      <c r="EH35" s="26"/>
    </row>
    <row r="36" spans="2:138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49">
        <f>IF(ISNUMBER(tblData[Italy]),tblData[Italy]/$N$9,"")</f>
        <v>0.49627791563275436</v>
      </c>
      <c r="O36">
        <v>13</v>
      </c>
      <c r="P36" s="49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5"/>
        <v>7</v>
      </c>
      <c r="Y36" s="26">
        <f t="shared" si="3"/>
        <v>25</v>
      </c>
      <c r="Z36" s="26" t="str">
        <f>IF(tblData[[#This Row],[Date]]&lt;StartDt2Korea,"",tblData[[#This Row],[Date]]-StartDt2Korea)</f>
        <v/>
      </c>
      <c r="AA36" s="26">
        <f>IF(tblData[[#This Row],[Date]]&lt;UKStart,"",tblData[[#This Row],[Date]]-UKStart)</f>
        <v>17</v>
      </c>
      <c r="AB36">
        <f>IF(tblData[Date]&gt;=StartDt2Au,tblData[Date]-StartDt2Au,"")</f>
        <v>22</v>
      </c>
      <c r="AC36" s="26">
        <f>IF(tblData[New South Wales]&gt;0,SUM(tblData[[#This Row],[Australian Capital Territory]:[Western Australia]]),"")</f>
        <v>15</v>
      </c>
      <c r="AD36" s="12">
        <f>IF(ISNUMBER(tblData[Au]),tblData[Au]/$AA$9,"")</f>
        <v>5.9138937076170954</v>
      </c>
      <c r="AE36" s="19">
        <f>IF(ISNUMBER(tblData[[#This Row],[Day'# Aust]]),betaAu/(deltaAu+betaPodeltaAu*EXP(-betaAu*tblData[[#This Row],[Day'# Aust]])),"")</f>
        <v>0.93957928590897943</v>
      </c>
      <c r="AF36" s="72">
        <f>IF(ISNUMBER(tblData[Day'# Aust]),tblData[Au LogiP(t)]/$AD$9,"")</f>
        <v>0.37043813511629847</v>
      </c>
      <c r="AG36" s="11">
        <f>IF(AND(tblData[Date]&gt;=StartDt2Au,ISNUMBER(tblData[NSW])),(tblData[[#This Row],[Au LogiP(t)]]-tblData[[#This Row],[Au]])^2,"")</f>
        <v>197.69543065723983</v>
      </c>
      <c r="AH36">
        <f>IF(tblData[Date]&gt;StartDt2NSW,tblData[Date]-StartDt2NSW,"")</f>
        <v>22</v>
      </c>
      <c r="AI36">
        <f t="shared" si="4"/>
        <v>4</v>
      </c>
      <c r="AJ36" s="11">
        <f>IF(tblData[Date]&gt;StartDt2NSW,betaNSW/(deltaNSW+betaPodeltaNSW*EXP(-betaNSW*tblData[[#This Row],[Day '# NSW]])),"")</f>
        <v>0.43013951291434216</v>
      </c>
      <c r="AK36" s="12">
        <f>IF(AND(ISNUMBER(tblData[NSW]),tblData[Date]&gt;StartDt2NSW),(tblData[[#This Row],[NSW LogiP(t)]]-tblData[[#This Row],[NSW]])^2,"")</f>
        <v>12.74390389725545</v>
      </c>
      <c r="AL36" s="12">
        <f>IF(AND(tblData[Date]&gt;StartDt2NSW,ISNUMBER(tblData[Day'# Aust])),tblData[NSW LogiP(t)]/$AG$9,"")</f>
        <v>0.53235088231973038</v>
      </c>
      <c r="AM36" s="11">
        <f>IF(AND(tblData[Date]&gt;StartDt2Italy,ISNUMBER(tblData[Days'# Italy])),betaItaly/(deltaItaly+betaPodeltaItaly*EXP(-betaItaly*tblData[Days'# Italy])),"")</f>
        <v>36.400484088973137</v>
      </c>
      <c r="AN36" s="11">
        <f>IF(AND(tblData[Date]&gt;StartDt2Italy,ISNUMBER(tblData[Italy])),(tblData[[#This Row],[Italy LogiP(t)]]-tblData[[#This Row],[Italy]])^2,"")</f>
        <v>1115.5923373777478</v>
      </c>
      <c r="AO36" s="44">
        <f>IF(AND(tblData[Date]&gt;StartDt2Italy,ISNUMBER(tblData[Days'# Italy])),tblData[[#This Row],[Italy LogiP(t)]]/$AM$9,"")</f>
        <v>6.0215854572329421</v>
      </c>
      <c r="AP36" s="21">
        <f>IF(ISNUMBER(tblData[[#This Row],[Days'# US]]),betaUS/(deltaUS+betaPodeltaUS*EXP(-betaUS*tblData[Days'# US])),"")</f>
        <v>0.19498779475975136</v>
      </c>
      <c r="AQ36" s="11">
        <f>IF(ISNUMBER(tblData[US]),(tblData[[#This Row],[US LogiP(t)]]-tblData[US])^2,"")</f>
        <v>163.96833757635176</v>
      </c>
      <c r="AR36" s="21">
        <f>IF(ISNUMBER(tblData[[#This Row],[Days'# US]]),tblData[[#This Row],[US LogiP(t)]]/$AP$9,"")</f>
        <v>5.9225808616917537E-3</v>
      </c>
      <c r="AS36" s="21" t="str">
        <f>IF(tblData[Date]&gt;=StartDt2Korea,betaSKorea/(deltaSKorea+betaPodeltaSKorea*EXP(-betaSKorea*(tblData[Date]-StartDt2Korea))),"")</f>
        <v/>
      </c>
      <c r="AT36" s="21" t="str">
        <f>IF(AND(tblData[Date]&gt;=StartDt2Korea,ISNUMBER(tblData[SKorea])),(tblData[[#This Row],[SKorea LogiP(t)]]-tblData[[#This Row],[SKorea]])^2,"")</f>
        <v/>
      </c>
      <c r="AU36" s="21" t="str">
        <f>IF(tblData[Date]&gt;=StartDt2Korea,tblData[[#This Row],[SKorea LogiP(t)]]/$AS$9,"")</f>
        <v/>
      </c>
      <c r="AV36" s="11">
        <f>IF(ISNUMBER(tblData[Days'# UK]),betaUK/(deltaUK+betaPodeltaUK*EXP(-betaUK*tblData[Days'# UK])),"")</f>
        <v>1.6582396067472764</v>
      </c>
      <c r="AW36" s="21">
        <f>IF(ISNUMBER(tblData[UK]),(tblData[[#This Row],[UK LogiP(t)]]-tblData[[#This Row],[UK]])^2,"")</f>
        <v>53.901445671934383</v>
      </c>
      <c r="AX36" s="21">
        <f>IF(ISNUMBER(tblData[Days'# UK]),tblData[[#This Row],[UK LogiP(t)]]/$AV$9,"")</f>
        <v>0.24958452840868098</v>
      </c>
      <c r="AY36" s="11">
        <f>IF(ISNUMBER(tblData[Days'# China]),betaChina/(deltaChina+betaPodeltaChina*EXP(-betaChina*tblData[Days'# China])),"")</f>
        <v>67456.687160493835</v>
      </c>
      <c r="AZ36" s="11">
        <f>IF(ISNUMBER(tblData[China]),(tblData[[#This Row],[China LogiP(t)]]-tblData[[#This Row],[China]])^2,"")</f>
        <v>9341048.1729302369</v>
      </c>
      <c r="BA36" s="11">
        <f>tblData[[#This Row],[China LogiP(t)]]/$AY$9</f>
        <v>468.66930349724061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E36" t="s">
        <v>486</v>
      </c>
      <c r="DG36" s="27">
        <v>43852</v>
      </c>
      <c r="DI36">
        <v>3</v>
      </c>
      <c r="DJ36" s="23">
        <v>0.26960395783553237</v>
      </c>
      <c r="DK36" s="25">
        <v>9.0234118240884196E-8</v>
      </c>
      <c r="DL36" s="22">
        <v>0.28960505152543209</v>
      </c>
      <c r="DM36" s="24">
        <v>2987827.2552718031</v>
      </c>
      <c r="DN36" s="22">
        <v>77.269010204642242</v>
      </c>
      <c r="DO36" s="37">
        <v>0.9309365644114127</v>
      </c>
      <c r="DP36" s="24">
        <v>9.0234118240884196E-5</v>
      </c>
      <c r="DQ36" s="24"/>
      <c r="DR36" s="27">
        <v>43907</v>
      </c>
      <c r="DS36" s="27" t="s">
        <v>1029</v>
      </c>
      <c r="DT36" s="26">
        <v>7786</v>
      </c>
      <c r="DU36" s="26" t="s">
        <v>1030</v>
      </c>
      <c r="DV36" s="27">
        <v>43907</v>
      </c>
      <c r="DW36" s="19">
        <v>39</v>
      </c>
      <c r="DX36" s="27" t="s">
        <v>1031</v>
      </c>
      <c r="DZ36" t="s">
        <v>1032</v>
      </c>
      <c r="EA36" s="33" t="s">
        <v>982</v>
      </c>
      <c r="EB36" s="18" t="s">
        <v>1033</v>
      </c>
      <c r="EC36" s="21">
        <v>236.49282585071069</v>
      </c>
      <c r="ED36" s="27">
        <v>43907</v>
      </c>
      <c r="EE36" s="11">
        <v>-2</v>
      </c>
      <c r="EF36" s="27">
        <v>43909</v>
      </c>
      <c r="EG36" s="11">
        <v>0</v>
      </c>
    </row>
    <row r="37" spans="2:138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49">
        <f>IF(ISNUMBER(tblData[Italy]),tblData[Italy]/$N$9,"")</f>
        <v>0.49627791563275436</v>
      </c>
      <c r="O37">
        <v>13</v>
      </c>
      <c r="P37" s="49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5"/>
        <v>8</v>
      </c>
      <c r="Y37" s="26">
        <f t="shared" si="3"/>
        <v>26</v>
      </c>
      <c r="Z37" s="26" t="str">
        <f>IF(tblData[[#This Row],[Date]]&lt;StartDt2Korea,"",tblData[[#This Row],[Date]]-StartDt2Korea)</f>
        <v/>
      </c>
      <c r="AA37" s="26">
        <f>IF(tblData[[#This Row],[Date]]&lt;UKStart,"",tblData[[#This Row],[Date]]-UKStart)</f>
        <v>18</v>
      </c>
      <c r="AB37">
        <f>IF(tblData[Date]&gt;=StartDt2Au,tblData[Date]-StartDt2Au,"")</f>
        <v>23</v>
      </c>
      <c r="AC37" s="26">
        <f>IF(tblData[New South Wales]&gt;0,SUM(tblData[[#This Row],[Australian Capital Territory]:[Western Australia]]),"")</f>
        <v>15</v>
      </c>
      <c r="AD37" s="12">
        <f>IF(ISNUMBER(tblData[Au]),tblData[Au]/$AA$9,"")</f>
        <v>5.9138937076170954</v>
      </c>
      <c r="AE37" s="19">
        <f>IF(ISNUMBER(tblData[[#This Row],[Day'# Aust]]),betaAu/(deltaAu+betaPodeltaAu*EXP(-betaAu*tblData[[#This Row],[Day'# Aust]])),"")</f>
        <v>1.1556680994116093</v>
      </c>
      <c r="AF37" s="72">
        <f>IF(ISNUMBER(tblData[Day'# Aust]),tblData[Au LogiP(t)]/$AD$9,"")</f>
        <v>0.4556332200802749</v>
      </c>
      <c r="AG37" s="11">
        <f>IF(AND(tblData[Date]&gt;=StartDt2Au,ISNUMBER(tblData[NSW])),(tblData[[#This Row],[Au LogiP(t)]]-tblData[[#This Row],[Au]])^2,"")</f>
        <v>191.66552577364934</v>
      </c>
      <c r="AH37">
        <f>IF(tblData[Date]&gt;StartDt2NSW,tblData[Date]-StartDt2NSW,"")</f>
        <v>23</v>
      </c>
      <c r="AI37">
        <f t="shared" si="4"/>
        <v>4</v>
      </c>
      <c r="AJ37" s="11">
        <f>IF(tblData[Date]&gt;StartDt2NSW,betaNSW/(deltaNSW+betaPodeltaNSW*EXP(-betaNSW*tblData[[#This Row],[Day '# NSW]])),"")</f>
        <v>0.53026605532449167</v>
      </c>
      <c r="AK37" s="12">
        <f>IF(AND(ISNUMBER(tblData[NSW]),tblData[Date]&gt;StartDt2NSW),(tblData[[#This Row],[NSW LogiP(t)]]-tblData[[#This Row],[NSW]])^2,"")</f>
        <v>12.039053646833462</v>
      </c>
      <c r="AL37" s="12">
        <f>IF(AND(tblData[Date]&gt;StartDt2NSW,ISNUMBER(tblData[Day'# Aust])),tblData[NSW LogiP(t)]/$AG$9,"")</f>
        <v>0.65626987045110352</v>
      </c>
      <c r="AM37" s="11">
        <f>IF(AND(tblData[Date]&gt;StartDt2Italy,ISNUMBER(tblData[Days'# Italy])),betaItaly/(deltaItaly+betaPodeltaItaly*EXP(-betaItaly*tblData[Days'# Italy])),"")</f>
        <v>47.175900904281889</v>
      </c>
      <c r="AN37" s="11">
        <f>IF(AND(tblData[Date]&gt;StartDt2Italy,ISNUMBER(tblData[Italy])),(tblData[[#This Row],[Italy LogiP(t)]]-tblData[[#This Row],[Italy]])^2,"")</f>
        <v>1951.5102207049333</v>
      </c>
      <c r="AO37" s="44">
        <f>IF(AND(tblData[Date]&gt;StartDt2Italy,ISNUMBER(tblData[Days'# Italy])),tblData[[#This Row],[Italy LogiP(t)]]/$AM$9,"")</f>
        <v>7.8041192562914619</v>
      </c>
      <c r="AP37" s="21">
        <f>IF(ISNUMBER(tblData[[#This Row],[Days'# US]]),betaUS/(deltaUS+betaPodeltaUS*EXP(-betaUS*tblData[Days'# US])),"")</f>
        <v>0.27606381331276431</v>
      </c>
      <c r="AQ37" s="11">
        <f>IF(ISNUMBER(tblData[US]),(tblData[[#This Row],[US LogiP(t)]]-tblData[US])^2,"")</f>
        <v>161.89855208288893</v>
      </c>
      <c r="AR37" s="21">
        <f>IF(ISNUMBER(tblData[[#This Row],[Days'# US]]),tblData[[#This Row],[US LogiP(t)]]/$AP$9,"")</f>
        <v>8.3851928237167576E-3</v>
      </c>
      <c r="AS37" s="21" t="str">
        <f>IF(tblData[Date]&gt;=StartDt2Korea,betaSKorea/(deltaSKorea+betaPodeltaSKorea*EXP(-betaSKorea*(tblData[Date]-StartDt2Korea))),"")</f>
        <v/>
      </c>
      <c r="AT37" s="21" t="str">
        <f>IF(AND(tblData[Date]&gt;=StartDt2Korea,ISNUMBER(tblData[SKorea])),(tblData[[#This Row],[SKorea LogiP(t)]]-tblData[[#This Row],[SKorea]])^2,"")</f>
        <v/>
      </c>
      <c r="AU37" s="21" t="str">
        <f>IF(tblData[Date]&gt;=StartDt2Korea,tblData[[#This Row],[SKorea LogiP(t)]]/$AS$9,"")</f>
        <v/>
      </c>
      <c r="AV37" s="11">
        <f>IF(ISNUMBER(tblData[Days'# UK]),betaUK/(deltaUK+betaPodeltaUK*EXP(-betaUK*tblData[Days'# UK])),"")</f>
        <v>2.0986189592087112</v>
      </c>
      <c r="AW37" s="21">
        <f>IF(ISNUMBER(tblData[UK]),(tblData[[#This Row],[UK LogiP(t)]]-tblData[[#This Row],[UK]])^2,"")</f>
        <v>47.629060270193456</v>
      </c>
      <c r="AX37" s="21">
        <f>IF(ISNUMBER(tblData[Days'# UK]),tblData[[#This Row],[UK LogiP(t)]]/$AV$9,"")</f>
        <v>0.31586679097060671</v>
      </c>
      <c r="AY37" s="11">
        <f>IF(ISNUMBER(tblData[Days'# China]),betaChina/(deltaChina+betaPodeltaChina*EXP(-betaChina*tblData[Days'# China])),"")</f>
        <v>69773.716340122992</v>
      </c>
      <c r="AZ37" s="11">
        <f>IF(ISNUMBER(tblData[China]),(tblData[[#This Row],[China LogiP(t)]]-tblData[[#This Row],[China]])^2,"")</f>
        <v>7077109.1510086097</v>
      </c>
      <c r="BA37" s="11">
        <f>tblData[[#This Row],[China LogiP(t)]]/$AY$9</f>
        <v>484.76734355094118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E37" t="s">
        <v>486</v>
      </c>
      <c r="DF37" s="82">
        <v>43911.866307870368</v>
      </c>
      <c r="DG37" s="27">
        <v>43852</v>
      </c>
      <c r="DH37" s="27">
        <v>43870</v>
      </c>
      <c r="DI37">
        <v>3</v>
      </c>
      <c r="DJ37" s="26">
        <v>0.34769529201458815</v>
      </c>
      <c r="DK37" s="26">
        <v>1.0000000000000751E-9</v>
      </c>
      <c r="DL37" s="26">
        <v>1.709986186409522E-2</v>
      </c>
      <c r="DM37">
        <v>347695292.01456201</v>
      </c>
      <c r="DN37" s="19">
        <v>315.73237932545749</v>
      </c>
      <c r="DO37" s="12">
        <v>20.333222265821231</v>
      </c>
      <c r="DP37" s="26">
        <v>1.0000000000000751E-6</v>
      </c>
      <c r="DQ37" s="26"/>
      <c r="DR37" s="27">
        <v>43910</v>
      </c>
      <c r="DS37" s="26" t="s">
        <v>1499</v>
      </c>
      <c r="DT37" s="26">
        <v>19100</v>
      </c>
      <c r="DU37" s="26" t="s">
        <v>1500</v>
      </c>
      <c r="DV37" s="27">
        <v>43910</v>
      </c>
      <c r="DW37">
        <v>41</v>
      </c>
      <c r="DX37" s="26" t="s">
        <v>1501</v>
      </c>
      <c r="DZ37" t="s">
        <v>1502</v>
      </c>
      <c r="EA37" t="s">
        <v>982</v>
      </c>
      <c r="EB37" t="s">
        <v>1503</v>
      </c>
      <c r="EC37">
        <v>580.14551422406544</v>
      </c>
      <c r="ED37" s="26">
        <v>43910</v>
      </c>
      <c r="EE37" s="26">
        <v>1</v>
      </c>
      <c r="EF37">
        <v>43910</v>
      </c>
      <c r="EG37">
        <v>1</v>
      </c>
    </row>
    <row r="38" spans="2:138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49">
        <f>IF(ISNUMBER(tblData[Italy]),tblData[Italy]/$N$9,"")</f>
        <v>0.49627791563275436</v>
      </c>
      <c r="O38">
        <v>13</v>
      </c>
      <c r="P38" s="49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5"/>
        <v>9</v>
      </c>
      <c r="Y38" s="26">
        <f t="shared" si="3"/>
        <v>27</v>
      </c>
      <c r="Z38" s="26" t="str">
        <f>IF(tblData[[#This Row],[Date]]&lt;StartDt2Korea,"",tblData[[#This Row],[Date]]-StartDt2Korea)</f>
        <v/>
      </c>
      <c r="AA38" s="26">
        <f>IF(tblData[[#This Row],[Date]]&lt;UKStart,"",tblData[[#This Row],[Date]]-UKStart)</f>
        <v>19</v>
      </c>
      <c r="AB38">
        <f>IF(tblData[Date]&gt;=StartDt2Au,tblData[Date]-StartDt2Au,"")</f>
        <v>24</v>
      </c>
      <c r="AC38" s="26">
        <f>IF(tblData[New South Wales]&gt;0,SUM(tblData[[#This Row],[Australian Capital Territory]:[Western Australia]]),"")</f>
        <v>15</v>
      </c>
      <c r="AD38" s="12">
        <f>IF(ISNUMBER(tblData[Au]),tblData[Au]/$AA$9,"")</f>
        <v>5.9138937076170954</v>
      </c>
      <c r="AE38" s="19">
        <f>IF(ISNUMBER(tblData[[#This Row],[Day'# Aust]]),betaAu/(deltaAu+betaPodeltaAu*EXP(-betaAu*tblData[[#This Row],[Day'# Aust]])),"")</f>
        <v>1.4214540227809771</v>
      </c>
      <c r="AF38" s="72">
        <f>IF(ISNUMBER(tblData[Day'# Aust]),tblData[Au LogiP(t)]/$AD$9,"")</f>
        <v>0.56042186673276184</v>
      </c>
      <c r="AG38" s="11">
        <f>IF(AND(tblData[Date]&gt;=StartDt2Au,ISNUMBER(tblData[NSW])),(tblData[[#This Row],[Au LogiP(t)]]-tblData[[#This Row],[Au]])^2,"")</f>
        <v>184.37691085545089</v>
      </c>
      <c r="AH38">
        <f>IF(tblData[Date]&gt;StartDt2NSW,tblData[Date]-StartDt2NSW,"")</f>
        <v>24</v>
      </c>
      <c r="AI38">
        <f t="shared" si="4"/>
        <v>4</v>
      </c>
      <c r="AJ38" s="11">
        <f>IF(tblData[Date]&gt;StartDt2NSW,betaNSW/(deltaNSW+betaPodeltaNSW*EXP(-betaNSW*tblData[[#This Row],[Day '# NSW]])),"")</f>
        <v>0.65369415131484421</v>
      </c>
      <c r="AK38" s="12">
        <f>IF(AND(ISNUMBER(tblData[NSW]),tblData[Date]&gt;StartDt2NSW),(tblData[[#This Row],[NSW LogiP(t)]]-tblData[[#This Row],[NSW]])^2,"")</f>
        <v>11.197762832944482</v>
      </c>
      <c r="AL38" s="12">
        <f>IF(AND(tblData[Date]&gt;StartDt2NSW,ISNUMBER(tblData[Day'# Aust])),tblData[NSW LogiP(t)]/$AG$9,"")</f>
        <v>0.80902741499361897</v>
      </c>
      <c r="AM38" s="11">
        <f>IF(AND(tblData[Date]&gt;StartDt2Italy,ISNUMBER(tblData[Days'# Italy])),betaItaly/(deltaItaly+betaPodeltaItaly*EXP(-betaItaly*tblData[Days'# Italy])),"")</f>
        <v>61.137881487200389</v>
      </c>
      <c r="AN38" s="11">
        <f>IF(AND(tblData[Date]&gt;StartDt2Italy,ISNUMBER(tblData[Italy])),(tblData[[#This Row],[Italy LogiP(t)]]-tblData[[#This Row],[Italy]])^2,"")</f>
        <v>3380.0132638197579</v>
      </c>
      <c r="AO38" s="44">
        <f>IF(AND(tblData[Date]&gt;StartDt2Italy,ISNUMBER(tblData[Days'# Italy])),tblData[[#This Row],[Italy LogiP(t)]]/$AM$9,"")</f>
        <v>10.113793463556723</v>
      </c>
      <c r="AP38" s="21">
        <f>IF(ISNUMBER(tblData[[#This Row],[Days'# US]]),betaUS/(deltaUS+betaPodeltaUS*EXP(-betaUS*tblData[Days'# US])),"")</f>
        <v>0.39085124499246665</v>
      </c>
      <c r="AQ38" s="11">
        <f>IF(ISNUMBER(tblData[US]),(tblData[[#This Row],[US LogiP(t)]]-tblData[US])^2,"")</f>
        <v>158.99063232590802</v>
      </c>
      <c r="AR38" s="21">
        <f>IF(ISNUMBER(tblData[[#This Row],[Days'# US]]),tblData[[#This Row],[US LogiP(t)]]/$AP$9,"")</f>
        <v>1.1871758979647684E-2</v>
      </c>
      <c r="AS38" s="21" t="str">
        <f>IF(tblData[Date]&gt;=StartDt2Korea,betaSKorea/(deltaSKorea+betaPodeltaSKorea*EXP(-betaSKorea*(tblData[Date]-StartDt2Korea))),"")</f>
        <v/>
      </c>
      <c r="AT38" s="21" t="str">
        <f>IF(AND(tblData[Date]&gt;=StartDt2Korea,ISNUMBER(tblData[SKorea])),(tblData[[#This Row],[SKorea LogiP(t)]]-tblData[[#This Row],[SKorea]])^2,"")</f>
        <v/>
      </c>
      <c r="AU38" s="21" t="str">
        <f>IF(tblData[Date]&gt;=StartDt2Korea,tblData[[#This Row],[SKorea LogiP(t)]]/$AS$9,"")</f>
        <v/>
      </c>
      <c r="AV38" s="11">
        <f>IF(ISNUMBER(tblData[Days'# UK]),betaUK/(deltaUK+betaPodeltaUK*EXP(-betaUK*tblData[Days'# UK])),"")</f>
        <v>2.6559500302868599</v>
      </c>
      <c r="AW38" s="21">
        <f>IF(ISNUMBER(tblData[UK]),(tblData[[#This Row],[UK LogiP(t)]]-tblData[[#This Row],[UK]])^2,"")</f>
        <v>40.24697001821729</v>
      </c>
      <c r="AX38" s="21">
        <f>IF(ISNUMBER(tblData[Days'# UK]),tblData[[#This Row],[UK LogiP(t)]]/$AV$9,"")</f>
        <v>0.39975166018766706</v>
      </c>
      <c r="AY38" s="11">
        <f>IF(ISNUMBER(tblData[Days'# China]),betaChina/(deltaChina+betaPodeltaChina*EXP(-betaChina*tblData[Days'# China])),"")</f>
        <v>71747.211392769648</v>
      </c>
      <c r="AZ38" s="11">
        <f>IF(ISNUMBER(tblData[China]),(tblData[[#This Row],[China LogiP(t)]]-tblData[[#This Row],[China]])^2,"")</f>
        <v>6070254.3011180768</v>
      </c>
      <c r="BA38" s="11">
        <f>tblData[[#This Row],[China LogiP(t)]]/$AY$9</f>
        <v>498.47860911574111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E38" t="s">
        <v>486</v>
      </c>
      <c r="DG38" s="27">
        <v>43852</v>
      </c>
      <c r="DI38">
        <v>3</v>
      </c>
      <c r="DJ38" s="26">
        <v>0.26960395737241599</v>
      </c>
      <c r="DK38" s="26">
        <v>2.2999968774326208E-6</v>
      </c>
      <c r="DL38" s="26">
        <v>0.28960505147680476</v>
      </c>
      <c r="DM38" s="26">
        <v>117219.27104238607</v>
      </c>
      <c r="DN38" s="19">
        <v>681.80877800845474</v>
      </c>
      <c r="DO38" s="12">
        <v>0.9309343532058354</v>
      </c>
      <c r="DP38" s="26">
        <v>2.2999968774326208E-3</v>
      </c>
      <c r="DQ38" s="26"/>
      <c r="DR38" s="27">
        <v>43910</v>
      </c>
      <c r="DS38" s="26" t="s">
        <v>1320</v>
      </c>
      <c r="DT38">
        <v>14366</v>
      </c>
      <c r="DU38" t="s">
        <v>1321</v>
      </c>
      <c r="DV38" s="27">
        <v>43909</v>
      </c>
      <c r="DW38" s="26">
        <v>41</v>
      </c>
      <c r="DX38" s="26" t="s">
        <v>1322</v>
      </c>
      <c r="DZ38" t="s">
        <v>1323</v>
      </c>
      <c r="EA38" t="s">
        <v>982</v>
      </c>
      <c r="EB38" s="26" t="s">
        <v>1324</v>
      </c>
      <c r="EC38" s="26">
        <v>436.35447420643584</v>
      </c>
      <c r="ED38" s="26">
        <v>43910</v>
      </c>
      <c r="EE38" s="26">
        <v>0</v>
      </c>
      <c r="EF38" s="26">
        <v>43909</v>
      </c>
      <c r="EG38" s="26">
        <v>1</v>
      </c>
    </row>
    <row r="39" spans="2:138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49">
        <f>IF(ISNUMBER(tblData[Italy]),tblData[Italy]/$N$9,"")</f>
        <v>0.49627791563275436</v>
      </c>
      <c r="O39">
        <v>13</v>
      </c>
      <c r="P39" s="49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5"/>
        <v>10</v>
      </c>
      <c r="Y39" s="26">
        <f t="shared" si="3"/>
        <v>28</v>
      </c>
      <c r="Z39" s="26">
        <f>IF(tblData[[#This Row],[Date]]&lt;StartDt2Korea,"",tblData[[#This Row],[Date]]-StartDt2Korea)</f>
        <v>0</v>
      </c>
      <c r="AA39" s="26">
        <f>IF(tblData[[#This Row],[Date]]&lt;UKStart,"",tblData[[#This Row],[Date]]-UKStart)</f>
        <v>20</v>
      </c>
      <c r="AB39">
        <f>IF(tblData[Date]&gt;=StartDt2Au,tblData[Date]-StartDt2Au,"")</f>
        <v>25</v>
      </c>
      <c r="AC39" s="26">
        <f>IF(tblData[New South Wales]&gt;0,SUM(tblData[[#This Row],[Australian Capital Territory]:[Western Australia]]),"")</f>
        <v>15</v>
      </c>
      <c r="AD39" s="12">
        <f>IF(ISNUMBER(tblData[Au]),tblData[Au]/$AA$9,"")</f>
        <v>5.9138937076170954</v>
      </c>
      <c r="AE39" s="19">
        <f>IF(ISNUMBER(tblData[[#This Row],[Day'# Aust]]),betaAu/(deltaAu+betaPodeltaAu*EXP(-betaAu*tblData[[#This Row],[Day'# Aust]])),"")</f>
        <v>1.7483666281973964</v>
      </c>
      <c r="AF39" s="72">
        <f>IF(ISNUMBER(tblData[Day'# Aust]),tblData[Au LogiP(t)]/$AD$9,"")</f>
        <v>0.68931029340695338</v>
      </c>
      <c r="AG39" s="11">
        <f>IF(AND(tblData[Date]&gt;=StartDt2Au,ISNUMBER(tblData[NSW])),(tblData[[#This Row],[Au LogiP(t)]]-tblData[[#This Row],[Au]])^2,"")</f>
        <v>175.60578702067241</v>
      </c>
      <c r="AH39">
        <f>IF(tblData[Date]&gt;StartDt2NSW,tblData[Date]-StartDt2NSW,"")</f>
        <v>25</v>
      </c>
      <c r="AI39">
        <f t="shared" si="4"/>
        <v>4</v>
      </c>
      <c r="AJ39" s="11">
        <f>IF(tblData[Date]&gt;StartDt2NSW,betaNSW/(deltaNSW+betaPodeltaNSW*EXP(-betaNSW*tblData[[#This Row],[Day '# NSW]])),"")</f>
        <v>0.80584365647188749</v>
      </c>
      <c r="AK39" s="12">
        <f>IF(AND(ISNUMBER(tblData[NSW]),tblData[Date]&gt;StartDt2NSW),(tblData[[#This Row],[NSW LogiP(t)]]-tblData[[#This Row],[NSW]])^2,"")</f>
        <v>10.202634746900882</v>
      </c>
      <c r="AL39" s="12">
        <f>IF(AND(tblData[Date]&gt;StartDt2NSW,ISNUMBER(tblData[Day'# Aust])),tblData[NSW LogiP(t)]/$AG$9,"")</f>
        <v>0.99733125800976163</v>
      </c>
      <c r="AM39" s="11">
        <f>IF(AND(tblData[Date]&gt;StartDt2Italy,ISNUMBER(tblData[Days'# Italy])),betaItaly/(deltaItaly+betaPodeltaItaly*EXP(-betaItaly*tblData[Days'# Italy])),"")</f>
        <v>79.226587586467261</v>
      </c>
      <c r="AN39" s="11">
        <f>IF(AND(tblData[Date]&gt;StartDt2Italy,ISNUMBER(tblData[Italy])),(tblData[[#This Row],[Italy LogiP(t)]]-tblData[[#This Row],[Italy]])^2,"")</f>
        <v>5810.4926550773644</v>
      </c>
      <c r="AO39" s="44">
        <f>IF(AND(tblData[Date]&gt;StartDt2Italy,ISNUMBER(tblData[Days'# Italy])),tblData[[#This Row],[Italy LogiP(t)]]/$AM$9,"")</f>
        <v>13.10613525003594</v>
      </c>
      <c r="AP39" s="21">
        <f>IF(ISNUMBER(tblData[[#This Row],[Days'# US]]),betaUS/(deltaUS+betaPodeltaUS*EXP(-betaUS*tblData[Days'# US])),"")</f>
        <v>0.55336726287927795</v>
      </c>
      <c r="AQ39" s="11">
        <f>IF(ISNUMBER(tblData[US]),(tblData[[#This Row],[US LogiP(t)]]-tblData[US])^2,"")</f>
        <v>154.91866649276528</v>
      </c>
      <c r="AR39" s="21">
        <f>IF(ISNUMBER(tblData[[#This Row],[Days'# US]]),tblData[[#This Row],[US LogiP(t)]]/$AP$9,"")</f>
        <v>1.6808038496223157E-2</v>
      </c>
      <c r="AS39" s="21">
        <f>IF(tblData[Date]&gt;=StartDt2Korea,betaSKorea/(deltaSKorea+betaPodeltaSKorea*EXP(-betaSKorea*(tblData[Date]-StartDt2Korea))),"")</f>
        <v>182.78805705771839</v>
      </c>
      <c r="AT39" s="21">
        <f>IF(AND(tblData[Date]&gt;=StartDt2Korea,ISNUMBER(tblData[SKorea])),(tblData[[#This Row],[SKorea LogiP(t)]]-tblData[[#This Row],[SKorea]])^2,"")</f>
        <v>23039.614265357173</v>
      </c>
      <c r="AU39" s="21">
        <f>IF(tblData[Date]&gt;=StartDt2Korea,tblData[[#This Row],[SKorea LogiP(t)]]/$AS$9,"")</f>
        <v>35.56187880500358</v>
      </c>
      <c r="AV39" s="11">
        <f>IF(ISNUMBER(tblData[Days'# UK]),betaUK/(deltaUK+betaPodeltaUK*EXP(-betaUK*tblData[Days'# UK])),"")</f>
        <v>3.3612917333061261</v>
      </c>
      <c r="AW39" s="21">
        <f>IF(ISNUMBER(tblData[UK]),(tblData[[#This Row],[UK LogiP(t)]]-tblData[[#This Row],[UK]])^2,"")</f>
        <v>31.795030916881828</v>
      </c>
      <c r="AX39" s="21">
        <f>IF(ISNUMBER(tblData[Days'# UK]),tblData[[#This Row],[UK LogiP(t)]]/$AV$9,"")</f>
        <v>0.50591386714420916</v>
      </c>
      <c r="AY39" s="11">
        <f>IF(ISNUMBER(tblData[Days'# China]),betaChina/(deltaChina+betaPodeltaChina*EXP(-betaChina*tblData[Days'# China])),"")</f>
        <v>73409.948652270847</v>
      </c>
      <c r="AZ39" s="11">
        <f>IF(ISNUMBER(tblData[China]),(tblData[[#This Row],[China LogiP(t)]]-tblData[[#This Row],[China]])^2,"")</f>
        <v>1461805.1614456822</v>
      </c>
      <c r="BA39" s="11">
        <f>tblData[[#This Row],[China LogiP(t)]]/$AY$9</f>
        <v>510.0308205585485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E39" t="s">
        <v>225</v>
      </c>
      <c r="DG39" s="27">
        <v>43852</v>
      </c>
      <c r="DI39">
        <v>4</v>
      </c>
      <c r="DJ39" s="23">
        <v>0.2221429979133962</v>
      </c>
      <c r="DK39" s="25">
        <v>2.745882625476671E-6</v>
      </c>
      <c r="DL39" s="22">
        <v>1537.6493038446686</v>
      </c>
      <c r="DM39" s="24">
        <v>80900.398237099929</v>
      </c>
      <c r="DN39" s="22">
        <v>2208.2653303765946</v>
      </c>
      <c r="DO39" s="37">
        <v>1.4172333890505041E-4</v>
      </c>
      <c r="DP39" s="24">
        <v>2.7458826254766712E-3</v>
      </c>
      <c r="DQ39" s="24"/>
      <c r="DR39" s="27">
        <v>43905</v>
      </c>
      <c r="DS39" s="27" t="s">
        <v>767</v>
      </c>
      <c r="DT39" s="19"/>
      <c r="DU39" s="19"/>
      <c r="DX39" s="18"/>
      <c r="EA39" s="18"/>
      <c r="ED39" s="26"/>
      <c r="EE39" s="26"/>
    </row>
    <row r="40" spans="2:138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49">
        <f>IF(ISNUMBER(tblData[Italy]),tblData[Italy]/$N$9,"")</f>
        <v>0.49627791563275436</v>
      </c>
      <c r="O40">
        <v>13</v>
      </c>
      <c r="P40" s="49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5"/>
        <v>11</v>
      </c>
      <c r="Y40" s="26">
        <f t="shared" si="3"/>
        <v>29</v>
      </c>
      <c r="Z40" s="26">
        <f>IF(tblData[[#This Row],[Date]]&lt;StartDt2Korea,"",tblData[[#This Row],[Date]]-StartDt2Korea)</f>
        <v>1</v>
      </c>
      <c r="AA40" s="26">
        <f>IF(tblData[[#This Row],[Date]]&lt;UKStart,"",tblData[[#This Row],[Date]]-UKStart)</f>
        <v>21</v>
      </c>
      <c r="AB40">
        <f>IF(tblData[Date]&gt;=StartDt2Au,tblData[Date]-StartDt2Au,"")</f>
        <v>26</v>
      </c>
      <c r="AC40" s="26">
        <f>IF(tblData[New South Wales]&gt;0,SUM(tblData[[#This Row],[Australian Capital Territory]:[Western Australia]]),"")</f>
        <v>15</v>
      </c>
      <c r="AD40" s="12">
        <f>IF(ISNUMBER(tblData[Au]),tblData[Au]/$AA$9,"")</f>
        <v>5.9138937076170954</v>
      </c>
      <c r="AE40" s="19">
        <f>IF(ISNUMBER(tblData[[#This Row],[Day'# Aust]]),betaAu/(deltaAu+betaPodeltaAu*EXP(-betaAu*tblData[[#This Row],[Day'# Aust]])),"")</f>
        <v>2.1504641138541287</v>
      </c>
      <c r="AF40" s="72">
        <f>IF(ISNUMBER(tblData[Day'# Aust]),tblData[Au LogiP(t)]/$AD$9,"")</f>
        <v>0.84784107942522025</v>
      </c>
      <c r="AG40" s="11">
        <f>IF(AND(tblData[Date]&gt;=StartDt2Au,ISNUMBER(tblData[NSW])),(tblData[[#This Row],[Au LogiP(t)]]-tblData[[#This Row],[Au]])^2,"")</f>
        <v>165.11057248935055</v>
      </c>
      <c r="AH40">
        <f>IF(tblData[Date]&gt;StartDt2NSW,tblData[Date]-StartDt2NSW,"")</f>
        <v>26</v>
      </c>
      <c r="AI40">
        <f t="shared" si="4"/>
        <v>4</v>
      </c>
      <c r="AJ40" s="11">
        <f>IF(tblData[Date]&gt;StartDt2NSW,betaNSW/(deltaNSW+betaPodeltaNSW*EXP(-betaNSW*tblData[[#This Row],[Day '# NSW]])),"")</f>
        <v>0.99339355469557611</v>
      </c>
      <c r="AK40" s="12">
        <f>IF(AND(ISNUMBER(tblData[NSW]),tblData[Date]&gt;StartDt2NSW),(tblData[[#This Row],[NSW LogiP(t)]]-tblData[[#This Row],[NSW]])^2,"")</f>
        <v>9.0396823169461058</v>
      </c>
      <c r="AL40" s="12">
        <f>IF(AND(tblData[Date]&gt;StartDt2NSW,ISNUMBER(tblData[Day'# Aust])),tblData[NSW LogiP(t)]/$AG$9,"")</f>
        <v>1.2294474686826435</v>
      </c>
      <c r="AM40" s="11">
        <f>IF(AND(tblData[Date]&gt;StartDt2Italy,ISNUMBER(tblData[Days'# Italy])),betaItaly/(deltaItaly+betaPodeltaItaly*EXP(-betaItaly*tblData[Days'# Italy])),"")</f>
        <v>102.65808196642834</v>
      </c>
      <c r="AN40" s="11">
        <f>IF(AND(tblData[Date]&gt;StartDt2Italy,ISNUMBER(tblData[Italy])),(tblData[[#This Row],[Italy LogiP(t)]]-tblData[[#This Row],[Italy]])^2,"")</f>
        <v>9931.7333012273502</v>
      </c>
      <c r="AO40" s="44">
        <f>IF(AND(tblData[Date]&gt;StartDt2Italy,ISNUMBER(tblData[Days'# Italy])),tblData[[#This Row],[Italy LogiP(t)]]/$AM$9,"")</f>
        <v>16.982312980385167</v>
      </c>
      <c r="AP40" s="21">
        <f>IF(ISNUMBER(tblData[[#This Row],[Days'# US]]),betaUS/(deltaUS+betaPodeltaUS*EXP(-betaUS*tblData[Days'# US])),"")</f>
        <v>0.78345733253799643</v>
      </c>
      <c r="AQ40" s="11">
        <f>IF(ISNUMBER(tblData[US]),(tblData[[#This Row],[US LogiP(t)]]-tblData[US])^2,"")</f>
        <v>149.24391474591965</v>
      </c>
      <c r="AR40" s="21">
        <f>IF(ISNUMBER(tblData[[#This Row],[Days'# US]]),tblData[[#This Row],[US LogiP(t)]]/$AP$9,"")</f>
        <v>2.379681974124977E-2</v>
      </c>
      <c r="AS40" s="21">
        <f>IF(tblData[Date]&gt;=StartDt2Korea,betaSKorea/(deltaSKorea+betaPodeltaSKorea*EXP(-betaSKorea*(tblData[Date]-StartDt2Korea))),"")</f>
        <v>249.79021170014519</v>
      </c>
      <c r="AT40" s="21">
        <f>IF(AND(tblData[Date]&gt;=StartDt2Korea,ISNUMBER(tblData[SKorea])),(tblData[[#This Row],[SKorea LogiP(t)]]-tblData[[#This Row],[SKorea]])^2,"")</f>
        <v>21254.785827573152</v>
      </c>
      <c r="AU40" s="21">
        <f>IF(tblData[Date]&gt;=StartDt2Korea,tblData[[#This Row],[SKorea LogiP(t)]]/$AS$9,"")</f>
        <v>48.597317451390118</v>
      </c>
      <c r="AV40" s="11">
        <f>IF(ISNUMBER(tblData[Days'# UK]),betaUK/(deltaUK+betaPodeltaUK*EXP(-betaUK*tblData[Days'# UK])),"")</f>
        <v>4.253951308784969</v>
      </c>
      <c r="AW40" s="21">
        <f>IF(ISNUMBER(tblData[UK]),(tblData[[#This Row],[UK LogiP(t)]]-tblData[[#This Row],[UK]])^2,"")</f>
        <v>22.524978179383908</v>
      </c>
      <c r="AX40" s="21">
        <f>IF(ISNUMBER(tblData[Days'# UK]),tblData[[#This Row],[UK LogiP(t)]]/$AV$9,"")</f>
        <v>0.64026961300195195</v>
      </c>
      <c r="AY40" s="11">
        <f>IF(ISNUMBER(tblData[Days'# China]),betaChina/(deltaChina+betaPodeltaChina*EXP(-betaChina*tblData[Days'# China])),"")</f>
        <v>74798.089812043225</v>
      </c>
      <c r="AZ40" s="11">
        <f>IF(ISNUMBER(tblData[China]),(tblData[[#This Row],[China LogiP(t)]]-tblData[[#This Row],[China]])^2,"")</f>
        <v>77790.892946083666</v>
      </c>
      <c r="BA40" s="11">
        <f>tblData[[#This Row],[China LogiP(t)]]/$AY$9</f>
        <v>519.67521873301723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E40" t="s">
        <v>225</v>
      </c>
      <c r="DG40" s="27">
        <v>43852</v>
      </c>
      <c r="DI40">
        <v>4</v>
      </c>
      <c r="DJ40" s="23">
        <v>0.2221429979133962</v>
      </c>
      <c r="DK40" s="25">
        <v>2.745543785173982E-6</v>
      </c>
      <c r="DL40" s="22">
        <v>1537.6493038446686</v>
      </c>
      <c r="DM40">
        <v>80910.382530766758</v>
      </c>
      <c r="DN40" s="19">
        <v>2167.9126784143218</v>
      </c>
      <c r="DO40" s="37">
        <v>1.4172367774535312E-4</v>
      </c>
      <c r="DP40" s="24">
        <v>2.7455437851739819E-3</v>
      </c>
      <c r="DQ40" s="12"/>
      <c r="DR40" s="27">
        <v>43906</v>
      </c>
      <c r="DS40" s="27" t="s">
        <v>767</v>
      </c>
      <c r="DT40" s="19">
        <v>81033</v>
      </c>
      <c r="DU40" s="19" t="s">
        <v>978</v>
      </c>
      <c r="DV40" s="27">
        <v>43906</v>
      </c>
      <c r="DW40">
        <v>55</v>
      </c>
      <c r="DX40" s="18" t="s">
        <v>979</v>
      </c>
      <c r="DZ40" t="s">
        <v>980</v>
      </c>
      <c r="ED40" s="26"/>
      <c r="EE40" s="26"/>
    </row>
    <row r="41" spans="2:138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49">
        <f>IF(ISNUMBER(tblData[Italy]),tblData[Italy]/$N$9,"")</f>
        <v>3.3085194375516958</v>
      </c>
      <c r="O41">
        <v>15</v>
      </c>
      <c r="P41" s="49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5"/>
        <v>12</v>
      </c>
      <c r="Y41" s="26">
        <f t="shared" si="3"/>
        <v>30</v>
      </c>
      <c r="Z41" s="26">
        <f>IF(tblData[[#This Row],[Date]]&lt;StartDt2Korea,"",tblData[[#This Row],[Date]]-StartDt2Korea)</f>
        <v>2</v>
      </c>
      <c r="AA41" s="26">
        <f>IF(tblData[[#This Row],[Date]]&lt;UKStart,"",tblData[[#This Row],[Date]]-UKStart)</f>
        <v>22</v>
      </c>
      <c r="AB41">
        <f>IF(tblData[Date]&gt;=StartDt2Au,tblData[Date]-StartDt2Au,"")</f>
        <v>27</v>
      </c>
      <c r="AC41" s="26">
        <f>IF(tblData[New South Wales]&gt;0,SUM(tblData[[#This Row],[Australian Capital Territory]:[Western Australia]]),"")</f>
        <v>15</v>
      </c>
      <c r="AD41" s="12">
        <f>IF(ISNUMBER(tblData[Au]),tblData[Au]/$AA$9,"")</f>
        <v>5.9138937076170954</v>
      </c>
      <c r="AE41" s="19">
        <f>IF(ISNUMBER(tblData[[#This Row],[Day'# Aust]]),betaAu/(deltaAu+betaPodeltaAu*EXP(-betaAu*tblData[[#This Row],[Day'# Aust]])),"")</f>
        <v>2.6450378475116647</v>
      </c>
      <c r="AF41" s="72">
        <f>IF(ISNUMBER(tblData[Day'# Aust]),tblData[Au LogiP(t)]/$AD$9,"")</f>
        <v>1.04283151218722</v>
      </c>
      <c r="AG41" s="11">
        <f>IF(AND(tblData[Date]&gt;=StartDt2Au,ISNUMBER(tblData[NSW])),(tblData[[#This Row],[Au LogiP(t)]]-tblData[[#This Row],[Au]])^2,"")</f>
        <v>152.64508978941919</v>
      </c>
      <c r="AH41">
        <f>IF(tblData[Date]&gt;StartDt2NSW,tblData[Date]-StartDt2NSW,"")</f>
        <v>27</v>
      </c>
      <c r="AI41">
        <f t="shared" si="4"/>
        <v>4</v>
      </c>
      <c r="AJ41" s="11">
        <f>IF(tblData[Date]&gt;StartDt2NSW,betaNSW/(deltaNSW+betaPodeltaNSW*EXP(-betaNSW*tblData[[#This Row],[Day '# NSW]])),"")</f>
        <v>1.2245736913528042</v>
      </c>
      <c r="AK41" s="12">
        <f>IF(AND(ISNUMBER(tblData[NSW]),tblData[Date]&gt;StartDt2NSW),(tblData[[#This Row],[NSW LogiP(t)]]-tblData[[#This Row],[NSW]])^2,"")</f>
        <v>7.7029911947309992</v>
      </c>
      <c r="AL41" s="12">
        <f>IF(AND(tblData[Date]&gt;StartDt2NSW,ISNUMBER(tblData[Day'# Aust])),tblData[NSW LogiP(t)]/$AG$9,"")</f>
        <v>1.5155614991990152</v>
      </c>
      <c r="AM41" s="11">
        <f>IF(AND(tblData[Date]&gt;StartDt2Italy,ISNUMBER(tblData[Days'# Italy])),betaItaly/(deltaItaly+betaPodeltaItaly*EXP(-betaItaly*tblData[Days'# Italy])),"")</f>
        <v>133.00428818044787</v>
      </c>
      <c r="AN41" s="11">
        <f>IF(AND(tblData[Date]&gt;StartDt2Italy,ISNUMBER(tblData[Italy])),(tblData[[#This Row],[Italy LogiP(t)]]-tblData[[#This Row],[Italy]])^2,"")</f>
        <v>12769.969147169712</v>
      </c>
      <c r="AO41" s="44">
        <f>IF(AND(tblData[Date]&gt;StartDt2Italy,ISNUMBER(tblData[Days'# Italy])),tblData[[#This Row],[Italy LogiP(t)]]/$AM$9,"")</f>
        <v>22.002363636136952</v>
      </c>
      <c r="AP41" s="21">
        <f>IF(ISNUMBER(tblData[[#This Row],[Days'# US]]),betaUS/(deltaUS+betaPodeltaUS*EXP(-betaUS*tblData[Days'# US])),"")</f>
        <v>1.1092185613151726</v>
      </c>
      <c r="AQ41" s="11">
        <f>IF(ISNUMBER(tblData[US]),(tblData[[#This Row],[US LogiP(t)]]-tblData[US])^2,"")</f>
        <v>192.95380897731093</v>
      </c>
      <c r="AR41" s="21">
        <f>IF(ISNUMBER(tblData[[#This Row],[Days'# US]]),tblData[[#This Row],[US LogiP(t)]]/$AP$9,"")</f>
        <v>3.3691527363406748E-2</v>
      </c>
      <c r="AS41" s="21">
        <f>IF(tblData[Date]&gt;=StartDt2Korea,betaSKorea/(deltaSKorea+betaPodeltaSKorea*EXP(-betaSKorea*(tblData[Date]-StartDt2Korea))),"")</f>
        <v>340.3325118316472</v>
      </c>
      <c r="AT41" s="21">
        <f>IF(AND(tblData[Date]&gt;=StartDt2Korea,ISNUMBER(tblData[SKorea])),(tblData[[#This Row],[SKorea LogiP(t)]]-tblData[[#This Row],[SKorea]])^2,"")</f>
        <v>18586.553782326224</v>
      </c>
      <c r="AU41" s="21">
        <f>IF(tblData[Date]&gt;=StartDt2Korea,tblData[[#This Row],[SKorea LogiP(t)]]/$AS$9,"")</f>
        <v>66.21255094000918</v>
      </c>
      <c r="AV41" s="11">
        <f>IF(ISNUMBER(tblData[Days'# UK]),betaUK/(deltaUK+betaPodeltaUK*EXP(-betaUK*tblData[Days'# UK])),"")</f>
        <v>5.3836748354775326</v>
      </c>
      <c r="AW41" s="21">
        <f>IF(ISNUMBER(tblData[UK]),(tblData[[#This Row],[UK LogiP(t)]]-tblData[[#This Row],[UK]])^2,"")</f>
        <v>13.077807695558452</v>
      </c>
      <c r="AX41" s="21">
        <f>IF(ISNUMBER(tblData[Days'# UK]),tblData[[#This Row],[UK LogiP(t)]]/$AV$9,"")</f>
        <v>0.81030626662816563</v>
      </c>
      <c r="AY41" s="11">
        <f>IF(ISNUMBER(tblData[Days'# China]),betaChina/(deltaChina+betaPodeltaChina*EXP(-betaChina*tblData[Days'# China])),"")</f>
        <v>75948.149631836801</v>
      </c>
      <c r="AZ41" s="11">
        <f>IF(ISNUMBER(tblData[China]),(tblData[[#This Row],[China LogiP(t)]]-tblData[[#This Row],[China]])^2,"")</f>
        <v>158523.12933178004</v>
      </c>
      <c r="BA41" s="11">
        <f>tblData[[#This Row],[China LogiP(t)]]/$AY$9</f>
        <v>527.66549749426781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E41" t="s">
        <v>225</v>
      </c>
      <c r="DG41" s="27">
        <v>43852</v>
      </c>
      <c r="DI41">
        <v>4</v>
      </c>
      <c r="DJ41" s="23">
        <v>0.2221429979133962</v>
      </c>
      <c r="DK41" s="25">
        <v>2.7453499609305866E-6</v>
      </c>
      <c r="DL41" s="22">
        <v>1537.6493038446686</v>
      </c>
      <c r="DM41">
        <v>80916.09487851843</v>
      </c>
      <c r="DN41" s="19">
        <v>2148.5827606526632</v>
      </c>
      <c r="DO41" s="37">
        <v>1.4172387156959651E-4</v>
      </c>
      <c r="DP41" s="24">
        <v>2.7453499609305866E-3</v>
      </c>
      <c r="DQ41" s="12"/>
      <c r="DR41" s="27">
        <v>43907</v>
      </c>
      <c r="DS41" s="27" t="s">
        <v>767</v>
      </c>
      <c r="DT41" s="19">
        <v>81058</v>
      </c>
      <c r="DU41" s="19" t="s">
        <v>978</v>
      </c>
      <c r="DV41" s="27">
        <v>43907</v>
      </c>
      <c r="DW41">
        <v>56</v>
      </c>
      <c r="DX41" s="18" t="s">
        <v>979</v>
      </c>
      <c r="DZ41" t="s">
        <v>980</v>
      </c>
      <c r="EB41" t="s">
        <v>1018</v>
      </c>
      <c r="ED41" s="26"/>
      <c r="EE41" s="26"/>
    </row>
    <row r="42" spans="2:138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49">
        <f>IF(ISNUMBER(tblData[Italy]),tblData[Italy]/$N$9,"")</f>
        <v>10.256410256410257</v>
      </c>
      <c r="O42">
        <v>15</v>
      </c>
      <c r="P42" s="49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5"/>
        <v>13</v>
      </c>
      <c r="Y42" s="26">
        <f t="shared" si="3"/>
        <v>31</v>
      </c>
      <c r="Z42" s="26">
        <f>IF(tblData[[#This Row],[Date]]&lt;StartDt2Korea,"",tblData[[#This Row],[Date]]-StartDt2Korea)</f>
        <v>3</v>
      </c>
      <c r="AA42" s="26">
        <f>IF(tblData[[#This Row],[Date]]&lt;UKStart,"",tblData[[#This Row],[Date]]-UKStart)</f>
        <v>23</v>
      </c>
      <c r="AB42">
        <f>IF(tblData[Date]&gt;=StartDt2Au,tblData[Date]-StartDt2Au,"")</f>
        <v>28</v>
      </c>
      <c r="AC42" s="26">
        <f>IF(tblData[New South Wales]&gt;0,SUM(tblData[[#This Row],[Australian Capital Territory]:[Western Australia]]),"")</f>
        <v>15</v>
      </c>
      <c r="AD42" s="12">
        <f>IF(ISNUMBER(tblData[Au]),tblData[Au]/$AA$9,"")</f>
        <v>5.9138937076170954</v>
      </c>
      <c r="AE42" s="19">
        <f>IF(ISNUMBER(tblData[[#This Row],[Day'# Aust]]),betaAu/(deltaAu+betaPodeltaAu*EXP(-betaAu*tblData[[#This Row],[Day'# Aust]])),"")</f>
        <v>3.2533559457479004</v>
      </c>
      <c r="AF42" s="72">
        <f>IF(ISNUMBER(tblData[Day'# Aust]),tblData[Au LogiP(t)]/$AD$9,"")</f>
        <v>1.2826667504131448</v>
      </c>
      <c r="AG42" s="11">
        <f>IF(AND(tblData[Date]&gt;=StartDt2Au,ISNUMBER(tblData[NSW])),(tblData[[#This Row],[Au LogiP(t)]]-tblData[[#This Row],[Au]])^2,"")</f>
        <v>137.98364653729621</v>
      </c>
      <c r="AH42">
        <f>IF(tblData[Date]&gt;StartDt2NSW,tblData[Date]-StartDt2NSW,"")</f>
        <v>28</v>
      </c>
      <c r="AI42">
        <f t="shared" si="4"/>
        <v>4</v>
      </c>
      <c r="AJ42" s="11">
        <f>IF(tblData[Date]&gt;StartDt2NSW,betaNSW/(deltaNSW+betaPodeltaNSW*EXP(-betaNSW*tblData[[#This Row],[Day '# NSW]])),"")</f>
        <v>1.5095236916741737</v>
      </c>
      <c r="AK42" s="12">
        <f>IF(AND(ISNUMBER(tblData[NSW]),tblData[Date]&gt;StartDt2NSW),(tblData[[#This Row],[NSW LogiP(t)]]-tblData[[#This Row],[NSW]])^2,"")</f>
        <v>6.2024722423322363</v>
      </c>
      <c r="AL42" s="12">
        <f>IF(AND(tblData[Date]&gt;StartDt2NSW,ISNUMBER(tblData[Day'# Aust])),tblData[NSW LogiP(t)]/$AG$9,"")</f>
        <v>1.8682223906858584</v>
      </c>
      <c r="AM42" s="11">
        <f>IF(AND(tblData[Date]&gt;StartDt2Italy,ISNUMBER(tblData[Days'# Italy])),betaItaly/(deltaItaly+betaPodeltaItaly*EXP(-betaItaly*tblData[Days'# Italy])),"")</f>
        <v>172.29544079970387</v>
      </c>
      <c r="AN42" s="11">
        <f>IF(AND(tblData[Date]&gt;StartDt2Italy,ISNUMBER(tblData[Italy])),(tblData[[#This Row],[Italy LogiP(t)]]-tblData[[#This Row],[Italy]])^2,"")</f>
        <v>12165.08426120098</v>
      </c>
      <c r="AO42" s="44">
        <f>IF(AND(tblData[Date]&gt;StartDt2Italy,ISNUMBER(tblData[Days'# Italy])),tblData[[#This Row],[Italy LogiP(t)]]/$AM$9,"")</f>
        <v>28.502140744367885</v>
      </c>
      <c r="AP42" s="21">
        <f>IF(ISNUMBER(tblData[[#This Row],[Days'# US]]),betaUS/(deltaUS+betaPodeltaUS*EXP(-betaUS*tblData[Days'# US])),"")</f>
        <v>1.5704306186423378</v>
      </c>
      <c r="AQ42" s="11">
        <f>IF(ISNUMBER(tblData[US]),(tblData[[#This Row],[US LogiP(t)]]-tblData[US])^2,"")</f>
        <v>180.35333376869923</v>
      </c>
      <c r="AR42" s="21">
        <f>IF(ISNUMBER(tblData[[#This Row],[Days'# US]]),tblData[[#This Row],[US LogiP(t)]]/$AP$9,"")</f>
        <v>4.7700433445312898E-2</v>
      </c>
      <c r="AS42" s="21">
        <f>IF(tblData[Date]&gt;=StartDt2Korea,betaSKorea/(deltaSKorea+betaPodeltaSKorea*EXP(-betaSKorea*(tblData[Date]-StartDt2Korea))),"")</f>
        <v>461.82927114194166</v>
      </c>
      <c r="AT42" s="21">
        <f>IF(AND(tblData[Date]&gt;=StartDt2Korea,ISNUMBER(tblData[SKorea])),(tblData[[#This Row],[SKorea LogiP(t)]]-tblData[[#This Row],[SKorea]])^2,"")</f>
        <v>831.12687457559025</v>
      </c>
      <c r="AU42" s="21">
        <f>IF(tblData[Date]&gt;=StartDt2Korea,tblData[[#This Row],[SKorea LogiP(t)]]/$AS$9,"")</f>
        <v>89.850052751350518</v>
      </c>
      <c r="AV42" s="11">
        <f>IF(ISNUMBER(tblData[Days'# UK]),betaUK/(deltaUK+betaPodeltaUK*EXP(-betaUK*tblData[Days'# UK])),"")</f>
        <v>6.8134194760003748</v>
      </c>
      <c r="AW42" s="21">
        <f>IF(ISNUMBER(tblData[UK]),(tblData[[#This Row],[UK LogiP(t)]]-tblData[[#This Row],[UK]])^2,"")</f>
        <v>4.7811343879344754</v>
      </c>
      <c r="AX42" s="21">
        <f>IF(ISNUMBER(tblData[Days'# UK]),tblData[[#This Row],[UK LogiP(t)]]/$AV$9,"")</f>
        <v>1.0254996201084248</v>
      </c>
      <c r="AY42" s="11">
        <f>IF(ISNUMBER(tblData[Days'# China]),betaChina/(deltaChina+betaPodeltaChina*EXP(-betaChina*tblData[Days'# China])),"")</f>
        <v>76894.936416767814</v>
      </c>
      <c r="AZ42" s="11">
        <f>IF(ISNUMBER(tblData[China]),(tblData[[#This Row],[China LogiP(t)]]-tblData[[#This Row],[China]])^2,"")</f>
        <v>11249.48368805083</v>
      </c>
      <c r="BA42" s="11">
        <f>tblData[[#This Row],[China LogiP(t)]]/$AY$9</f>
        <v>534.24349475046688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E42" t="s">
        <v>225</v>
      </c>
      <c r="DG42" s="27">
        <v>43852</v>
      </c>
      <c r="DI42">
        <v>4</v>
      </c>
      <c r="DJ42" s="23">
        <v>0.2221429979133962</v>
      </c>
      <c r="DK42" s="25">
        <v>2.7453499609305866E-6</v>
      </c>
      <c r="DL42" s="22">
        <v>1537.6493038446686</v>
      </c>
      <c r="DM42" s="24">
        <v>80916.09487851843</v>
      </c>
      <c r="DN42" s="22">
        <v>2129.8209279691509</v>
      </c>
      <c r="DO42" s="37">
        <v>1.4172387156959651E-4</v>
      </c>
      <c r="DP42" s="24">
        <v>2.7453499609305866E-3</v>
      </c>
      <c r="DQ42" s="24"/>
      <c r="DR42" s="27">
        <v>43907</v>
      </c>
      <c r="DS42" s="27" t="s">
        <v>767</v>
      </c>
      <c r="DT42">
        <v>81102</v>
      </c>
      <c r="DU42" t="s">
        <v>978</v>
      </c>
      <c r="DV42" s="27">
        <v>43907</v>
      </c>
      <c r="DW42" s="19">
        <v>57</v>
      </c>
      <c r="DX42" s="27" t="s">
        <v>979</v>
      </c>
      <c r="DZ42" t="s">
        <v>980</v>
      </c>
      <c r="EB42" s="18" t="s">
        <v>1034</v>
      </c>
      <c r="EC42" s="21">
        <v>563.47294022606354</v>
      </c>
      <c r="ED42" s="27">
        <v>43874</v>
      </c>
      <c r="EE42" s="11">
        <v>35</v>
      </c>
      <c r="EF42" s="27">
        <v>43869</v>
      </c>
      <c r="EG42" s="11">
        <v>40</v>
      </c>
    </row>
    <row r="43" spans="2:138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49">
        <f>IF(ISNUMBER(tblData[Italy]),tblData[Italy]/$N$9,"")</f>
        <v>25.641025641025642</v>
      </c>
      <c r="O43">
        <v>15</v>
      </c>
      <c r="P43" s="49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5"/>
        <v>14</v>
      </c>
      <c r="Y43" s="26">
        <f t="shared" si="3"/>
        <v>32</v>
      </c>
      <c r="Z43" s="26">
        <f>IF(tblData[[#This Row],[Date]]&lt;StartDt2Korea,"",tblData[[#This Row],[Date]]-StartDt2Korea)</f>
        <v>4</v>
      </c>
      <c r="AA43" s="26">
        <f>IF(tblData[[#This Row],[Date]]&lt;UKStart,"",tblData[[#This Row],[Date]]-UKStart)</f>
        <v>24</v>
      </c>
      <c r="AB43">
        <f>IF(tblData[Date]&gt;=StartDt2Au,tblData[Date]-StartDt2Au,"")</f>
        <v>29</v>
      </c>
      <c r="AC43" s="26">
        <f>IF(tblData[New South Wales]&gt;0,SUM(tblData[[#This Row],[Australian Capital Territory]:[Western Australia]]),"")</f>
        <v>15</v>
      </c>
      <c r="AD43" s="12">
        <f>IF(ISNUMBER(tblData[Au]),tblData[Au]/$AA$9,"")</f>
        <v>5.9138937076170954</v>
      </c>
      <c r="AE43" s="19">
        <f>IF(ISNUMBER(tblData[[#This Row],[Day'# Aust]]),betaAu/(deltaAu+betaPodeltaAu*EXP(-betaAu*tblData[[#This Row],[Day'# Aust]])),"")</f>
        <v>4.0015778649583318</v>
      </c>
      <c r="AF43" s="72">
        <f>IF(ISNUMBER(tblData[Day'# Aust]),tblData[Au LogiP(t)]/$AD$9,"")</f>
        <v>1.5776604104077951</v>
      </c>
      <c r="AG43" s="11">
        <f>IF(AND(tblData[Date]&gt;=StartDt2Au,ISNUMBER(tblData[NSW])),(tblData[[#This Row],[Au LogiP(t)]]-tblData[[#This Row],[Au]])^2,"")</f>
        <v>120.96528946057452</v>
      </c>
      <c r="AH43">
        <f>IF(tblData[Date]&gt;StartDt2NSW,tblData[Date]-StartDt2NSW,"")</f>
        <v>29</v>
      </c>
      <c r="AI43">
        <f t="shared" si="4"/>
        <v>4</v>
      </c>
      <c r="AJ43" s="11">
        <f>IF(tblData[Date]&gt;StartDt2NSW,betaNSW/(deltaNSW+betaPodeltaNSW*EXP(-betaNSW*tblData[[#This Row],[Day '# NSW]])),"")</f>
        <v>1.8607343248622554</v>
      </c>
      <c r="AK43" s="12">
        <f>IF(AND(ISNUMBER(tblData[NSW]),tblData[Date]&gt;StartDt2NSW),(tblData[[#This Row],[NSW LogiP(t)]]-tblData[[#This Row],[NSW]])^2,"")</f>
        <v>4.5764576288225509</v>
      </c>
      <c r="AL43" s="12">
        <f>IF(AND(tblData[Date]&gt;StartDt2NSW,ISNUMBER(tblData[Day'# Aust])),tblData[NSW LogiP(t)]/$AG$9,"")</f>
        <v>2.3028890159186326</v>
      </c>
      <c r="AM43" s="11">
        <f>IF(AND(tblData[Date]&gt;StartDt2Italy,ISNUMBER(tblData[Days'# Italy])),betaItaly/(deltaItaly+betaPodeltaItaly*EXP(-betaItaly*tblData[Days'# Italy])),"")</f>
        <v>223.15088684945897</v>
      </c>
      <c r="AN43" s="11">
        <f>IF(AND(tblData[Date]&gt;StartDt2Italy,ISNUMBER(tblData[Italy])),(tblData[[#This Row],[Italy LogiP(t)]]-tblData[[#This Row],[Italy]])^2,"")</f>
        <v>4644.5433783677599</v>
      </c>
      <c r="AO43" s="44">
        <f>IF(AND(tblData[Date]&gt;StartDt2Italy,ISNUMBER(tblData[Days'# Italy])),tblData[[#This Row],[Italy LogiP(t)]]/$AM$9,"")</f>
        <v>36.914952332416703</v>
      </c>
      <c r="AP43" s="21">
        <f>IF(ISNUMBER(tblData[[#This Row],[Days'# US]]),betaUS/(deltaUS+betaPodeltaUS*EXP(-betaUS*tblData[Days'# US])),"")</f>
        <v>2.2234131163698243</v>
      </c>
      <c r="AQ43" s="11">
        <f>IF(ISNUMBER(tblData[US]),(tblData[[#This Row],[US LogiP(t)]]-tblData[US])^2,"")</f>
        <v>163.24117239495064</v>
      </c>
      <c r="AR43" s="21">
        <f>IF(ISNUMBER(tblData[[#This Row],[Days'# US]]),tblData[[#This Row],[US LogiP(t)]]/$AP$9,"")</f>
        <v>6.7534196111460928E-2</v>
      </c>
      <c r="AS43" s="21">
        <f>IF(tblData[Date]&gt;=StartDt2Korea,betaSKorea/(deltaSKorea+betaPodeltaSKorea*EXP(-betaSKorea*(tblData[Date]-StartDt2Korea))),"")</f>
        <v>623.33598767969897</v>
      </c>
      <c r="AT43" s="21">
        <f>IF(AND(tblData[Date]&gt;=StartDt2Korea,ISNUMBER(tblData[SKorea])),(tblData[[#This Row],[SKorea LogiP(t)]]-tblData[[#This Row],[SKorea]])^2,"")</f>
        <v>455.2243702682664</v>
      </c>
      <c r="AU43" s="21">
        <f>IF(tblData[Date]&gt;=StartDt2Korea,tblData[[#This Row],[SKorea LogiP(t)]]/$AS$9,"")</f>
        <v>121.27159293379358</v>
      </c>
      <c r="AV43" s="11">
        <f>IF(ISNUMBER(tblData[Days'# UK]),betaUK/(deltaUK+betaPodeltaUK*EXP(-betaUK*tblData[Days'# UK])),"")</f>
        <v>8.622861948344859</v>
      </c>
      <c r="AW43" s="21">
        <f>IF(ISNUMBER(tblData[UK]),(tblData[[#This Row],[UK LogiP(t)]]-tblData[[#This Row],[UK]])^2,"")</f>
        <v>0.14223311000623581</v>
      </c>
      <c r="AX43" s="21">
        <f>IF(ISNUMBER(tblData[Days'# UK]),tblData[[#This Row],[UK LogiP(t)]]/$AV$9,"")</f>
        <v>1.2978419548983833</v>
      </c>
      <c r="AY43" s="11">
        <f>IF(ISNUMBER(tblData[Days'# China]),betaChina/(deltaChina+betaPodeltaChina*EXP(-betaChina*tblData[Days'# China])),"")</f>
        <v>77670.316401704287</v>
      </c>
      <c r="AZ43" s="11">
        <f>IF(ISNUMBER(tblData[China]),(tblData[[#This Row],[China LogiP(t)]]-tblData[[#This Row],[China]])^2,"")</f>
        <v>420314.15671879478</v>
      </c>
      <c r="BA43" s="11">
        <f>tblData[[#This Row],[China LogiP(t)]]/$AY$9</f>
        <v>539.63060776746522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E43" t="s">
        <v>225</v>
      </c>
      <c r="DG43" s="27">
        <v>43852</v>
      </c>
      <c r="DI43">
        <v>4</v>
      </c>
      <c r="DJ43">
        <v>0.2221429979133962</v>
      </c>
      <c r="DK43">
        <v>2.7451241687424546E-6</v>
      </c>
      <c r="DL43">
        <v>1537.6493038446686</v>
      </c>
      <c r="DM43">
        <v>80922.750396081436</v>
      </c>
      <c r="DN43" s="19">
        <v>2111.6231171407408</v>
      </c>
      <c r="DO43" s="12">
        <v>1.4172409736178465E-4</v>
      </c>
      <c r="DP43">
        <v>2.7451241687424547E-3</v>
      </c>
      <c r="DR43" s="27">
        <v>43909</v>
      </c>
      <c r="DS43" t="s">
        <v>767</v>
      </c>
      <c r="DT43">
        <v>81156</v>
      </c>
      <c r="DU43" t="s">
        <v>978</v>
      </c>
      <c r="DV43" s="27">
        <v>43909</v>
      </c>
      <c r="DW43">
        <v>58</v>
      </c>
      <c r="DX43" t="s">
        <v>979</v>
      </c>
      <c r="DZ43" t="s">
        <v>980</v>
      </c>
      <c r="EB43" t="s">
        <v>1325</v>
      </c>
      <c r="EC43">
        <v>563.84811640879889</v>
      </c>
      <c r="ED43" s="26">
        <v>43876</v>
      </c>
      <c r="EE43" s="26">
        <v>34</v>
      </c>
      <c r="EF43">
        <v>43874</v>
      </c>
      <c r="EG43">
        <v>36</v>
      </c>
    </row>
    <row r="44" spans="2:138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49">
        <f>IF(ISNUMBER(tblData[Italy]),tblData[Italy]/$N$9,"")</f>
        <v>37.882547559966916</v>
      </c>
      <c r="O44">
        <v>51</v>
      </c>
      <c r="P44" s="49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5"/>
        <v>15</v>
      </c>
      <c r="Y44" s="26">
        <f t="shared" si="3"/>
        <v>33</v>
      </c>
      <c r="Z44" s="26">
        <f>IF(tblData[[#This Row],[Date]]&lt;StartDt2Korea,"",tblData[[#This Row],[Date]]-StartDt2Korea)</f>
        <v>5</v>
      </c>
      <c r="AA44" s="26">
        <f>IF(tblData[[#This Row],[Date]]&lt;UKStart,"",tblData[[#This Row],[Date]]-UKStart)</f>
        <v>25</v>
      </c>
      <c r="AB44">
        <f>IF(tblData[Date]&gt;=StartDt2Au,tblData[Date]-StartDt2Au,"")</f>
        <v>30</v>
      </c>
      <c r="AC44" s="26">
        <f>IF(tblData[New South Wales]&gt;0,SUM(tblData[[#This Row],[Australian Capital Territory]:[Western Australia]]),"")</f>
        <v>15</v>
      </c>
      <c r="AD44" s="12">
        <f>IF(ISNUMBER(tblData[Au]),tblData[Au]/$AA$9,"")</f>
        <v>5.9138937076170954</v>
      </c>
      <c r="AE44" s="19">
        <f>IF(ISNUMBER(tblData[[#This Row],[Day'# Aust]]),betaAu/(deltaAu+betaPodeltaAu*EXP(-betaAu*tblData[[#This Row],[Day'# Aust]])),"")</f>
        <v>4.9218793341508125</v>
      </c>
      <c r="AF44" s="72">
        <f>IF(ISNUMBER(tblData[Day'# Aust]),tblData[Au LogiP(t)]/$AD$9,"")</f>
        <v>1.9404980815923405</v>
      </c>
      <c r="AG44" s="11">
        <f>IF(AND(tblData[Date]&gt;=StartDt2Au,ISNUMBER(tblData[NSW])),(tblData[[#This Row],[Au LogiP(t)]]-tblData[[#This Row],[Au]])^2,"")</f>
        <v>101.56851615541648</v>
      </c>
      <c r="AH44">
        <f>IF(tblData[Date]&gt;StartDt2NSW,tblData[Date]-StartDt2NSW,"")</f>
        <v>30</v>
      </c>
      <c r="AI44">
        <f t="shared" si="4"/>
        <v>4</v>
      </c>
      <c r="AJ44" s="11">
        <f>IF(tblData[Date]&gt;StartDt2NSW,betaNSW/(deltaNSW+betaPodeltaNSW*EXP(-betaNSW*tblData[[#This Row],[Day '# NSW]])),"")</f>
        <v>2.2935899299778564</v>
      </c>
      <c r="AK44" s="12">
        <f>IF(AND(ISNUMBER(tblData[NSW]),tblData[Date]&gt;StartDt2NSW),(tblData[[#This Row],[NSW LogiP(t)]]-tblData[[#This Row],[NSW]])^2,"")</f>
        <v>2.9118353270729771</v>
      </c>
      <c r="AL44" s="12">
        <f>IF(AND(tblData[Date]&gt;StartDt2NSW,ISNUMBER(tblData[Day'# Aust])),tblData[NSW LogiP(t)]/$AG$9,"")</f>
        <v>2.8386013984874459</v>
      </c>
      <c r="AM44" s="11">
        <f>IF(AND(tblData[Date]&gt;StartDt2Italy,ISNUMBER(tblData[Days'# Italy])),betaItaly/(deltaItaly+betaPodeltaItaly*EXP(-betaItaly*tblData[Days'# Italy])),"")</f>
        <v>288.94530472034586</v>
      </c>
      <c r="AN44" s="11">
        <f>IF(AND(tblData[Date]&gt;StartDt2Italy,ISNUMBER(tblData[Italy])),(tblData[[#This Row],[Italy LogiP(t)]]-tblData[[#This Row],[Italy]])^2,"")</f>
        <v>3593.4395580151195</v>
      </c>
      <c r="AO44" s="44">
        <f>IF(AND(tblData[Date]&gt;StartDt2Italy,ISNUMBER(tblData[Days'# Italy])),tblData[[#This Row],[Italy LogiP(t)]]/$AM$9,"")</f>
        <v>47.799057852828099</v>
      </c>
      <c r="AP44" s="21">
        <f>IF(ISNUMBER(tblData[[#This Row],[Days'# US]]),betaUS/(deltaUS+betaPodeltaUS*EXP(-betaUS*tblData[Days'# US])),"")</f>
        <v>3.1479024524886712</v>
      </c>
      <c r="AQ44" s="11">
        <f>IF(ISNUMBER(tblData[US]),(tblData[[#This Row],[US LogiP(t)]]-tblData[US])^2,"")</f>
        <v>2289.8232396965395</v>
      </c>
      <c r="AR44" s="21">
        <f>IF(ISNUMBER(tblData[[#This Row],[Days'# US]]),tblData[[#This Row],[US LogiP(t)]]/$AP$9,"")</f>
        <v>9.5614737540640676E-2</v>
      </c>
      <c r="AS44" s="21">
        <f>IF(tblData[Date]&gt;=StartDt2Korea,betaSKorea/(deltaSKorea+betaPodeltaSKorea*EXP(-betaSKorea*(tblData[Date]-StartDt2Korea))),"")</f>
        <v>835.36320021355652</v>
      </c>
      <c r="AT44" s="21">
        <f>IF(AND(tblData[Date]&gt;=StartDt2Korea,ISNUMBER(tblData[SKorea])),(tblData[[#This Row],[SKorea LogiP(t)]]-tblData[[#This Row],[SKorea]])^2,"")</f>
        <v>5.5847152493536028</v>
      </c>
      <c r="AU44" s="21">
        <f>IF(tblData[Date]&gt;=StartDt2Korea,tblData[[#This Row],[SKorea LogiP(t)]]/$AS$9,"")</f>
        <v>162.52202338785148</v>
      </c>
      <c r="AV44" s="11">
        <f>IF(ISNUMBER(tblData[Days'# UK]),betaUK/(deltaUK+betaPodeltaUK*EXP(-betaUK*tblData[Days'# UK])),"")</f>
        <v>10.912838742780304</v>
      </c>
      <c r="AW44" s="21">
        <f>IF(ISNUMBER(tblData[UK]),(tblData[[#This Row],[UK LogiP(t)]]-tblData[[#This Row],[UK]])^2,"")</f>
        <v>4.3562421136389027</v>
      </c>
      <c r="AX44" s="21">
        <f>IF(ISNUMBER(tblData[Days'# UK]),tblData[[#This Row],[UK LogiP(t)]]/$AV$9,"")</f>
        <v>1.6425103465954702</v>
      </c>
      <c r="AY44" s="11">
        <f>IF(ISNUMBER(tblData[Days'# China]),betaChina/(deltaChina+betaPodeltaChina*EXP(-betaChina*tblData[Days'# China])),"")</f>
        <v>78302.608267215473</v>
      </c>
      <c r="AZ44" s="11">
        <f>IF(ISNUMBER(tblData[China]),(tblData[[#This Row],[China LogiP(t)]]-tblData[[#This Row],[China]])^2,"")</f>
        <v>1127012.1130202401</v>
      </c>
      <c r="BA44" s="11">
        <f>tblData[[#This Row],[China LogiP(t)]]/$AY$9</f>
        <v>544.02358644296771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E44" t="s">
        <v>225</v>
      </c>
      <c r="DF44" s="82">
        <v>43911.866319444445</v>
      </c>
      <c r="DG44" s="27">
        <v>43852</v>
      </c>
      <c r="DH44" s="27">
        <v>43852</v>
      </c>
      <c r="DI44">
        <v>4</v>
      </c>
      <c r="DJ44">
        <v>0.2221429979133962</v>
      </c>
      <c r="DK44">
        <v>2.744154619604968E-6</v>
      </c>
      <c r="DL44">
        <v>1537.6493038446686</v>
      </c>
      <c r="DM44">
        <v>80951.341563025548</v>
      </c>
      <c r="DN44" s="19">
        <v>2094.0856057837377</v>
      </c>
      <c r="DO44" s="12">
        <v>1.4172506691092213E-4</v>
      </c>
      <c r="DP44">
        <v>2.744154619604968E-3</v>
      </c>
      <c r="DR44" s="27">
        <v>43910</v>
      </c>
      <c r="DS44" t="s">
        <v>1478</v>
      </c>
      <c r="DT44">
        <v>81250</v>
      </c>
      <c r="DU44" t="s">
        <v>978</v>
      </c>
      <c r="DV44" s="27">
        <v>43910</v>
      </c>
      <c r="DW44">
        <v>59</v>
      </c>
      <c r="DX44" t="s">
        <v>1477</v>
      </c>
      <c r="DZ44" t="s">
        <v>980</v>
      </c>
      <c r="EB44" t="s">
        <v>1504</v>
      </c>
      <c r="EC44">
        <v>564.50120087504206</v>
      </c>
      <c r="ED44">
        <v>43886</v>
      </c>
      <c r="EE44">
        <v>25</v>
      </c>
      <c r="EF44">
        <v>43875</v>
      </c>
      <c r="EG44">
        <v>36</v>
      </c>
    </row>
    <row r="45" spans="2:138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49">
        <f>IF(ISNUMBER(tblData[Italy]),tblData[Italy]/$N$9,"")</f>
        <v>53.267162944582303</v>
      </c>
      <c r="O45">
        <v>51</v>
      </c>
      <c r="P45" s="49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5"/>
        <v>16</v>
      </c>
      <c r="Y45" s="26">
        <f t="shared" si="3"/>
        <v>34</v>
      </c>
      <c r="Z45" s="26">
        <f>IF(tblData[[#This Row],[Date]]&lt;StartDt2Korea,"",tblData[[#This Row],[Date]]-StartDt2Korea)</f>
        <v>6</v>
      </c>
      <c r="AA45" s="26">
        <f>IF(tblData[[#This Row],[Date]]&lt;UKStart,"",tblData[[#This Row],[Date]]-UKStart)</f>
        <v>26</v>
      </c>
      <c r="AB45">
        <f>IF(tblData[Date]&gt;=StartDt2Au,tblData[Date]-StartDt2Au,"")</f>
        <v>31</v>
      </c>
      <c r="AC45" s="26">
        <f>IF(tblData[New South Wales]&gt;0,SUM(tblData[[#This Row],[Australian Capital Territory]:[Western Australia]]),"")</f>
        <v>15</v>
      </c>
      <c r="AD45" s="12">
        <f>IF(ISNUMBER(tblData[Au]),tblData[Au]/$AA$9,"")</f>
        <v>5.9138937076170954</v>
      </c>
      <c r="AE45" s="19">
        <f>IF(ISNUMBER(tblData[[#This Row],[Day'# Aust]]),betaAu/(deltaAu+betaPodeltaAu*EXP(-betaAu*tblData[[#This Row],[Day'# Aust]])),"")</f>
        <v>6.0538360048689466</v>
      </c>
      <c r="AF45" s="72">
        <f>IF(ISNUMBER(tblData[Day'# Aust]),tblData[Au LogiP(t)]/$AD$9,"")</f>
        <v>2.3867828437426852</v>
      </c>
      <c r="AG45" s="11">
        <f>IF(AND(tblData[Date]&gt;=StartDt2Au,ISNUMBER(tblData[NSW])),(tblData[[#This Row],[Au LogiP(t)]]-tblData[[#This Row],[Au]])^2,"")</f>
        <v>80.033850227779212</v>
      </c>
      <c r="AH45">
        <f>IF(tblData[Date]&gt;StartDt2NSW,tblData[Date]-StartDt2NSW,"")</f>
        <v>31</v>
      </c>
      <c r="AI45">
        <f t="shared" si="4"/>
        <v>4</v>
      </c>
      <c r="AJ45" s="11">
        <f>IF(tblData[Date]&gt;StartDt2NSW,betaNSW/(deltaNSW+betaPodeltaNSW*EXP(-betaNSW*tblData[[#This Row],[Day '# NSW]])),"")</f>
        <v>2.8270345548558118</v>
      </c>
      <c r="AK45" s="12">
        <f>IF(AND(ISNUMBER(tblData[NSW]),tblData[Date]&gt;StartDt2NSW),(tblData[[#This Row],[NSW LogiP(t)]]-tblData[[#This Row],[NSW]])^2,"")</f>
        <v>1.3758479355023037</v>
      </c>
      <c r="AL45" s="12">
        <f>IF(AND(tblData[Date]&gt;StartDt2NSW,ISNUMBER(tblData[Day'# Aust])),tblData[NSW LogiP(t)]/$AG$9,"")</f>
        <v>3.4988051421482815</v>
      </c>
      <c r="AM45" s="11">
        <f>IF(AND(tblData[Date]&gt;StartDt2Italy,ISNUMBER(tblData[Days'# Italy])),betaItaly/(deltaItaly+betaPodeltaItaly*EXP(-betaItaly*tblData[Days'# Italy])),"")</f>
        <v>374.01862567858421</v>
      </c>
      <c r="AN45" s="11">
        <f>IF(AND(tblData[Date]&gt;StartDt2Italy,ISNUMBER(tblData[Italy])),(tblData[[#This Row],[Italy LogiP(t)]]-tblData[[#This Row],[Italy]])^2,"")</f>
        <v>2705.9374174886611</v>
      </c>
      <c r="AO45" s="44">
        <f>IF(AND(tblData[Date]&gt;StartDt2Italy,ISNUMBER(tblData[Days'# Italy])),tblData[[#This Row],[Italy LogiP(t)]]/$AM$9,"")</f>
        <v>61.872394653198384</v>
      </c>
      <c r="AP45" s="21">
        <f>IF(ISNUMBER(tblData[[#This Row],[Days'# US]]),betaUS/(deltaUS+betaPodeltaUS*EXP(-betaUS*tblData[Days'# US])),"")</f>
        <v>4.4567875724908017</v>
      </c>
      <c r="AQ45" s="11">
        <f>IF(ISNUMBER(tblData[US]),(tblData[[#This Row],[US LogiP(t)]]-tblData[US])^2,"")</f>
        <v>2166.2706230722465</v>
      </c>
      <c r="AR45" s="21">
        <f>IF(ISNUMBER(tblData[[#This Row],[Days'# US]]),tblData[[#This Row],[US LogiP(t)]]/$AP$9,"")</f>
        <v>0.13537095905916757</v>
      </c>
      <c r="AS45" s="21">
        <f>IF(tblData[Date]&gt;=StartDt2Korea,betaSKorea/(deltaSKorea+betaPodeltaSKorea*EXP(-betaSKorea*(tblData[Date]-StartDt2Korea))),"")</f>
        <v>1109.1954660632116</v>
      </c>
      <c r="AT45" s="21">
        <f>IF(AND(tblData[Date]&gt;=StartDt2Korea,ISNUMBER(tblData[SKorea])),(tblData[[#This Row],[SKorea LogiP(t)]]-tblData[[#This Row],[SKorea]])^2,"")</f>
        <v>17475.64124766973</v>
      </c>
      <c r="AU45" s="21">
        <f>IF(tblData[Date]&gt;=StartDt2Korea,tblData[[#This Row],[SKorea LogiP(t)]]/$AS$9,"")</f>
        <v>215.79678328078049</v>
      </c>
      <c r="AV45" s="11">
        <f>IF(ISNUMBER(tblData[Days'# UK]),betaUK/(deltaUK+betaPodeltaUK*EXP(-betaUK*tblData[Days'# UK])),"")</f>
        <v>13.810965527666857</v>
      </c>
      <c r="AW45" s="21">
        <f>IF(ISNUMBER(tblData[UK]),(tblData[[#This Row],[UK LogiP(t)]]-tblData[[#This Row],[UK]])^2,"")</f>
        <v>0.65766508706398419</v>
      </c>
      <c r="AX45" s="21">
        <f>IF(ISNUMBER(tblData[Days'# UK]),tblData[[#This Row],[UK LogiP(t)]]/$AV$9,"")</f>
        <v>2.0787124514850777</v>
      </c>
      <c r="AY45" s="11">
        <f>IF(ISNUMBER(tblData[Days'# China]),betaChina/(deltaChina+betaPodeltaChina*EXP(-betaChina*tblData[Days'# China])),"")</f>
        <v>78816.419677857091</v>
      </c>
      <c r="AZ45" s="11">
        <f>IF(ISNUMBER(tblData[China]),(tblData[[#This Row],[China LogiP(t)]]-tblData[[#This Row],[China]])^2,"")</f>
        <v>1128735.5718979656</v>
      </c>
      <c r="BA45" s="11">
        <f>tblData[[#This Row],[China LogiP(t)]]/$AY$9</f>
        <v>547.59339762241996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  <c r="DE45" t="s">
        <v>1293</v>
      </c>
      <c r="DF45" s="82">
        <v>43911.866331018522</v>
      </c>
      <c r="DG45" s="27">
        <v>43852</v>
      </c>
      <c r="DH45" s="27">
        <v>43880</v>
      </c>
      <c r="DI45">
        <v>5</v>
      </c>
      <c r="DJ45">
        <v>0.32566109072274135</v>
      </c>
      <c r="DK45">
        <v>3.9144727914542807E-5</v>
      </c>
      <c r="DL45">
        <v>174.6164952155498</v>
      </c>
      <c r="DM45">
        <v>8319.4112738168697</v>
      </c>
      <c r="DN45" s="19">
        <v>139.72665717739883</v>
      </c>
      <c r="DO45" s="12">
        <v>1.8258628724312283E-3</v>
      </c>
      <c r="DP45">
        <v>3.9144727914542807E-2</v>
      </c>
      <c r="DR45" s="27">
        <v>43910</v>
      </c>
      <c r="DS45" t="s">
        <v>1479</v>
      </c>
      <c r="DT45">
        <v>8652</v>
      </c>
      <c r="DU45" t="s">
        <v>1480</v>
      </c>
      <c r="DV45" s="27">
        <v>43910</v>
      </c>
      <c r="DW45">
        <v>59</v>
      </c>
      <c r="DX45" t="s">
        <v>1481</v>
      </c>
      <c r="DZ45" t="s">
        <v>1482</v>
      </c>
      <c r="EA45" t="s">
        <v>1302</v>
      </c>
      <c r="EB45" t="s">
        <v>1505</v>
      </c>
      <c r="EC45">
        <v>1683.2684824902724</v>
      </c>
      <c r="ED45">
        <v>43890</v>
      </c>
      <c r="EE45">
        <v>21</v>
      </c>
      <c r="EF45">
        <v>43889</v>
      </c>
      <c r="EG45">
        <v>22</v>
      </c>
    </row>
    <row r="46" spans="2:138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49">
        <f>IF(ISNUMBER(tblData[Italy]),tblData[Italy]/$N$9,"")</f>
        <v>74.937965260545909</v>
      </c>
      <c r="O46">
        <v>57</v>
      </c>
      <c r="P46" s="49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5"/>
        <v>17</v>
      </c>
      <c r="Y46" s="26">
        <f t="shared" si="3"/>
        <v>35</v>
      </c>
      <c r="Z46" s="26">
        <f>IF(tblData[[#This Row],[Date]]&lt;StartDt2Korea,"",tblData[[#This Row],[Date]]-StartDt2Korea)</f>
        <v>7</v>
      </c>
      <c r="AA46" s="26">
        <f>IF(tblData[[#This Row],[Date]]&lt;UKStart,"",tblData[[#This Row],[Date]]-UKStart)</f>
        <v>27</v>
      </c>
      <c r="AB46">
        <f>IF(tblData[Date]&gt;=StartDt2Au,tblData[Date]-StartDt2Au,"")</f>
        <v>32</v>
      </c>
      <c r="AC46" s="26">
        <f>IF(tblData[New South Wales]&gt;0,SUM(tblData[[#This Row],[Australian Capital Territory]:[Western Australia]]),"")</f>
        <v>15</v>
      </c>
      <c r="AD46" s="12">
        <f>IF(ISNUMBER(tblData[Au]),tblData[Au]/$AA$9,"")</f>
        <v>5.9138937076170954</v>
      </c>
      <c r="AE46" s="19">
        <f>IF(ISNUMBER(tblData[[#This Row],[Day'# Aust]]),betaAu/(deltaAu+betaPodeltaAu*EXP(-betaAu*tblData[[#This Row],[Day'# Aust]])),"")</f>
        <v>7.4461253191368151</v>
      </c>
      <c r="AF46" s="72">
        <f>IF(ISNUMBER(tblData[Day'# Aust]),tblData[Au LogiP(t)]/$AD$9,"")</f>
        <v>2.9357062447314362</v>
      </c>
      <c r="AG46" s="11">
        <f>IF(AND(tblData[Date]&gt;=StartDt2Au,ISNUMBER(tblData[NSW])),(tblData[[#This Row],[Au LogiP(t)]]-tblData[[#This Row],[Au]])^2,"")</f>
        <v>57.061022694185887</v>
      </c>
      <c r="AH46">
        <f>IF(tblData[Date]&gt;StartDt2NSW,tblData[Date]-StartDt2NSW,"")</f>
        <v>32</v>
      </c>
      <c r="AI46">
        <f t="shared" si="4"/>
        <v>4</v>
      </c>
      <c r="AJ46" s="11">
        <f>IF(tblData[Date]&gt;StartDt2NSW,betaNSW/(deltaNSW+betaPodeltaNSW*EXP(-betaNSW*tblData[[#This Row],[Day '# NSW]])),"")</f>
        <v>3.4843892802561145</v>
      </c>
      <c r="AK46" s="12">
        <f>IF(AND(ISNUMBER(tblData[NSW]),tblData[Date]&gt;StartDt2NSW),(tblData[[#This Row],[NSW LogiP(t)]]-tblData[[#This Row],[NSW]])^2,"")</f>
        <v>0.26585441431480766</v>
      </c>
      <c r="AL46" s="12">
        <f>IF(AND(tblData[Date]&gt;StartDt2NSW,ISNUMBER(tblData[Day'# Aust])),tblData[NSW LogiP(t)]/$AG$9,"")</f>
        <v>4.3123629706140028</v>
      </c>
      <c r="AM46" s="11">
        <f>IF(AND(tblData[Date]&gt;StartDt2Italy,ISNUMBER(tblData[Days'# Italy])),betaItaly/(deltaItaly+betaPodeltaItaly*EXP(-betaItaly*tblData[Days'# Italy])),"")</f>
        <v>483.93896514332317</v>
      </c>
      <c r="AN46" s="11">
        <f>IF(AND(tblData[Date]&gt;StartDt2Italy,ISNUMBER(tblData[Italy])),(tblData[[#This Row],[Italy LogiP(t)]]-tblData[[#This Row],[Italy]])^2,"")</f>
        <v>957.21956413976636</v>
      </c>
      <c r="AO46" s="44">
        <f>IF(AND(tblData[Date]&gt;StartDt2Italy,ISNUMBER(tblData[Days'# Italy])),tblData[[#This Row],[Italy LogiP(t)]]/$AM$9,"")</f>
        <v>80.056073638266867</v>
      </c>
      <c r="AP46" s="21">
        <f>IF(ISNUMBER(tblData[[#This Row],[Days'# US]]),betaUS/(deltaUS+betaPodeltaUS*EXP(-betaUS*tblData[Days'# US])),"")</f>
        <v>6.3098929070897825</v>
      </c>
      <c r="AQ46" s="11">
        <f>IF(ISNUMBER(tblData[US]),(tblData[[#This Row],[US LogiP(t)]]-tblData[US])^2,"")</f>
        <v>2569.4869570907067</v>
      </c>
      <c r="AR46" s="21">
        <f>IF(ISNUMBER(tblData[[#This Row],[Days'# US]]),tblData[[#This Row],[US LogiP(t)]]/$AP$9,"")</f>
        <v>0.19165738561687881</v>
      </c>
      <c r="AS46" s="21">
        <f>IF(tblData[Date]&gt;=StartDt2Korea,betaSKorea/(deltaSKorea+betaPodeltaSKorea*EXP(-betaSKorea*(tblData[Date]-StartDt2Korea))),"")</f>
        <v>1455.4690761027277</v>
      </c>
      <c r="AT46" s="21">
        <f>IF(AND(tblData[Date]&gt;=StartDt2Korea,ISNUMBER(tblData[SKorea])),(tblData[[#This Row],[SKorea LogiP(t)]]-tblData[[#This Row],[SKorea]])^2,"")</f>
        <v>37818.221560248516</v>
      </c>
      <c r="AU46" s="21">
        <f>IF(tblData[Date]&gt;=StartDt2Korea,tblData[[#This Row],[SKorea LogiP(t)]]/$AS$9,"")</f>
        <v>283.16518990325443</v>
      </c>
      <c r="AV46" s="11">
        <f>IF(ISNUMBER(tblData[Days'# UK]),betaUK/(deltaUK+betaPodeltaUK*EXP(-betaUK*tblData[Days'# UK])),"")</f>
        <v>17.478748901084263</v>
      </c>
      <c r="AW46" s="21">
        <f>IF(ISNUMBER(tblData[UK]),(tblData[[#This Row],[UK LogiP(t)]]-tblData[[#This Row],[UK]])^2,"")</f>
        <v>20.05919171896349</v>
      </c>
      <c r="AX46" s="21">
        <f>IF(ISNUMBER(tblData[Days'# UK]),tblData[[#This Row],[UK LogiP(t)]]/$AV$9,"")</f>
        <v>2.6307569086520561</v>
      </c>
      <c r="AY46" s="11">
        <f>IF(ISNUMBER(tblData[Days'# China]),betaChina/(deltaChina+betaPodeltaChina*EXP(-betaChina*tblData[Days'# China])),"")</f>
        <v>79232.768045654433</v>
      </c>
      <c r="AZ46" s="11">
        <f>IF(ISNUMBER(tblData[China]),(tblData[[#This Row],[China LogiP(t)]]-tblData[[#This Row],[China]])^2,"")</f>
        <v>1137994.0632293785</v>
      </c>
      <c r="BA46" s="11">
        <f>tblData[[#This Row],[China LogiP(t)]]/$AY$9</f>
        <v>550.48606412831487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  <c r="DE46" t="s">
        <v>1293</v>
      </c>
      <c r="DG46" s="27">
        <v>43852</v>
      </c>
      <c r="DI46">
        <v>5</v>
      </c>
      <c r="DJ46">
        <v>0.33457917057724718</v>
      </c>
      <c r="DK46">
        <v>4.0721909397092568E-5</v>
      </c>
      <c r="DL46">
        <v>161.50151869158597</v>
      </c>
      <c r="DM46">
        <v>8216.19554512184</v>
      </c>
      <c r="DN46" s="19">
        <v>148.73667220847148</v>
      </c>
      <c r="DO46" s="12">
        <v>2.0309562598725215E-3</v>
      </c>
      <c r="DP46">
        <v>4.0721909397092568E-2</v>
      </c>
      <c r="DR46" s="27">
        <v>43910</v>
      </c>
      <c r="DS46" t="s">
        <v>1326</v>
      </c>
      <c r="DT46">
        <v>8652</v>
      </c>
      <c r="DU46" t="s">
        <v>1327</v>
      </c>
      <c r="DV46" s="27">
        <v>43910</v>
      </c>
      <c r="DW46">
        <v>59</v>
      </c>
      <c r="DX46" t="s">
        <v>1328</v>
      </c>
      <c r="DZ46" t="s">
        <v>1329</v>
      </c>
      <c r="EA46" t="s">
        <v>1302</v>
      </c>
      <c r="EB46" t="s">
        <v>1330</v>
      </c>
      <c r="EC46">
        <v>1683.2684824902724</v>
      </c>
      <c r="ED46">
        <v>43890</v>
      </c>
      <c r="EE46">
        <v>20</v>
      </c>
      <c r="EF46">
        <v>43889</v>
      </c>
      <c r="EG46">
        <v>21</v>
      </c>
    </row>
    <row r="47" spans="2:138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49">
        <f>IF(ISNUMBER(tblData[Italy]),tblData[Italy]/$N$9,"")</f>
        <v>108.35401157981804</v>
      </c>
      <c r="O47">
        <v>58</v>
      </c>
      <c r="P47" s="49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5"/>
        <v>18</v>
      </c>
      <c r="Y47" s="26">
        <f t="shared" si="3"/>
        <v>36</v>
      </c>
      <c r="Z47" s="26">
        <f>IF(tblData[[#This Row],[Date]]&lt;StartDt2Korea,"",tblData[[#This Row],[Date]]-StartDt2Korea)</f>
        <v>8</v>
      </c>
      <c r="AA47" s="26">
        <f>IF(tblData[[#This Row],[Date]]&lt;UKStart,"",tblData[[#This Row],[Date]]-UKStart)</f>
        <v>28</v>
      </c>
      <c r="AB47">
        <f>IF(tblData[Date]&gt;=StartDt2Au,tblData[Date]-StartDt2Au,"")</f>
        <v>33</v>
      </c>
      <c r="AC47" s="26">
        <f>IF(tblData[New South Wales]&gt;0,SUM(tblData[[#This Row],[Australian Capital Territory]:[Western Australia]]),"")</f>
        <v>15</v>
      </c>
      <c r="AD47" s="12">
        <f>IF(ISNUMBER(tblData[Au]),tblData[Au]/$AA$9,"")</f>
        <v>5.9138937076170954</v>
      </c>
      <c r="AE47" s="19">
        <f>IF(ISNUMBER(tblData[[#This Row],[Day'# Aust]]),betaAu/(deltaAu+betaPodeltaAu*EXP(-betaAu*tblData[[#This Row],[Day'# Aust]])),"")</f>
        <v>9.1586197805707847</v>
      </c>
      <c r="AF47" s="72">
        <f>IF(ISNUMBER(tblData[Day'# Aust]),tblData[Au LogiP(t)]/$AD$9,"")</f>
        <v>3.6108735927183351</v>
      </c>
      <c r="AG47" s="11">
        <f>IF(AND(tblData[Date]&gt;=StartDt2Au,ISNUMBER(tblData[NSW])),(tblData[[#This Row],[Au LogiP(t)]]-tblData[[#This Row],[Au]])^2,"")</f>
        <v>34.121722867938907</v>
      </c>
      <c r="AH47">
        <f>IF(tblData[Date]&gt;StartDt2NSW,tblData[Date]-StartDt2NSW,"")</f>
        <v>33</v>
      </c>
      <c r="AI47">
        <f t="shared" si="4"/>
        <v>4</v>
      </c>
      <c r="AJ47" s="11">
        <f>IF(tblData[Date]&gt;StartDt2NSW,betaNSW/(deltaNSW+betaPodeltaNSW*EXP(-betaNSW*tblData[[#This Row],[Day '# NSW]])),"")</f>
        <v>4.2943539127361063</v>
      </c>
      <c r="AK47" s="12">
        <f>IF(AND(ISNUMBER(tblData[NSW]),tblData[Date]&gt;StartDt2NSW),(tblData[[#This Row],[NSW LogiP(t)]]-tblData[[#This Row],[NSW]])^2,"")</f>
        <v>8.6644225943055306E-2</v>
      </c>
      <c r="AL47" s="12">
        <f>IF(AND(tblData[Date]&gt;StartDt2NSW,ISNUMBER(tblData[Day'# Aust])),tblData[NSW LogiP(t)]/$AG$9,"")</f>
        <v>5.3147944464555765</v>
      </c>
      <c r="AM47" s="11">
        <f>IF(AND(tblData[Date]&gt;StartDt2Italy,ISNUMBER(tblData[Days'# Italy])),betaItaly/(deltaItaly+betaPodeltaItaly*EXP(-betaItaly*tblData[Days'# Italy])),"")</f>
        <v>625.82830035540064</v>
      </c>
      <c r="AN47" s="11">
        <f>IF(AND(tblData[Date]&gt;StartDt2Italy,ISNUMBER(tblData[Italy])),(tblData[[#This Row],[Italy LogiP(t)]]-tblData[[#This Row],[Italy]])^2,"")</f>
        <v>850.98806015471826</v>
      </c>
      <c r="AO47" s="44">
        <f>IF(AND(tblData[Date]&gt;StartDt2Italy,ISNUMBER(tblData[Days'# Italy])),tblData[[#This Row],[Italy LogiP(t)]]/$AM$9,"")</f>
        <v>103.52825481478919</v>
      </c>
      <c r="AP47" s="21">
        <f>IF(ISNUMBER(tblData[[#This Row],[Days'# US]]),betaUS/(deltaUS+betaPodeltaUS*EXP(-betaUS*tblData[Days'# US])),"")</f>
        <v>8.9334903403595884</v>
      </c>
      <c r="AQ47" s="11">
        <f>IF(ISNUMBER(tblData[US]),(tblData[[#This Row],[US LogiP(t)]]-tblData[US])^2,"")</f>
        <v>2407.5223701795858</v>
      </c>
      <c r="AR47" s="21">
        <f>IF(ISNUMBER(tblData[[#This Row],[Days'# US]]),tblData[[#This Row],[US LogiP(t)]]/$AP$9,"")</f>
        <v>0.27134682446720604</v>
      </c>
      <c r="AS47" s="21">
        <f>IF(tblData[Date]&gt;=StartDt2Korea,betaSKorea/(deltaSKorea+betaPodeltaSKorea*EXP(-betaSKorea*(tblData[Date]-StartDt2Korea))),"")</f>
        <v>1881.8572073539237</v>
      </c>
      <c r="AT47" s="21">
        <f>IF(AND(tblData[Date]&gt;=StartDt2Korea,ISNUMBER(tblData[SKorea])),(tblData[[#This Row],[SKorea LogiP(t)]]-tblData[[#This Row],[SKorea]])^2,"")</f>
        <v>13422.892495850081</v>
      </c>
      <c r="AU47" s="21">
        <f>IF(tblData[Date]&gt;=StartDt2Korea,tblData[[#This Row],[SKorea LogiP(t)]]/$AS$9,"")</f>
        <v>366.12007925173617</v>
      </c>
      <c r="AV47" s="11">
        <f>IF(ISNUMBER(tblData[Days'# UK]),betaUK/(deltaUK+betaPodeltaUK*EXP(-betaUK*tblData[Days'# UK])),"")</f>
        <v>22.120586809927232</v>
      </c>
      <c r="AW47" s="21">
        <f>IF(ISNUMBER(tblData[UK]),(tblData[[#This Row],[UK LogiP(t)]]-tblData[[#This Row],[UK]])^2,"")</f>
        <v>50.70275651770968</v>
      </c>
      <c r="AX47" s="21">
        <f>IF(ISNUMBER(tblData[Days'# UK]),tblData[[#This Row],[UK LogiP(t)]]/$AV$9,"")</f>
        <v>3.3294080087187283</v>
      </c>
      <c r="AY47" s="11">
        <f>IF(ISNUMBER(tblData[Days'# China]),betaChina/(deltaChina+betaPodeltaChina*EXP(-betaChina*tblData[Days'# China])),"")</f>
        <v>79569.365308053617</v>
      </c>
      <c r="AZ47" s="11">
        <f>IF(ISNUMBER(tblData[China]),(tblData[[#This Row],[China LogiP(t)]]-tblData[[#This Row],[China]])^2,"")</f>
        <v>939669.10045788356</v>
      </c>
      <c r="BA47" s="11">
        <f>tblData[[#This Row],[China LogiP(t)]]/$AY$9</f>
        <v>552.82464331398376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  <c r="DE47" t="s">
        <v>1252</v>
      </c>
      <c r="DF47" s="82">
        <v>43911.866331018522</v>
      </c>
      <c r="DG47" s="27">
        <v>43860</v>
      </c>
      <c r="DH47" s="27">
        <v>43860</v>
      </c>
      <c r="DI47">
        <v>6</v>
      </c>
      <c r="DJ47">
        <v>0.23059524064806408</v>
      </c>
      <c r="DK47">
        <v>9.9999999999999903E-10</v>
      </c>
      <c r="DL47">
        <v>3.8070710556030042E-2</v>
      </c>
      <c r="DM47">
        <v>230595240.64806432</v>
      </c>
      <c r="DN47" s="19">
        <v>70.671251275874369</v>
      </c>
      <c r="DO47" s="12">
        <v>6.0570248687798465</v>
      </c>
      <c r="DP47">
        <v>9.9999999999999911E-7</v>
      </c>
      <c r="DR47" s="27">
        <v>43910</v>
      </c>
      <c r="DS47" t="s">
        <v>1483</v>
      </c>
      <c r="DT47">
        <v>4014</v>
      </c>
      <c r="DU47" t="s">
        <v>1484</v>
      </c>
      <c r="DV47" s="27">
        <v>43910</v>
      </c>
      <c r="DW47">
        <v>51</v>
      </c>
      <c r="DX47" t="s">
        <v>1485</v>
      </c>
      <c r="DZ47" t="s">
        <v>1486</v>
      </c>
      <c r="EB47" t="s">
        <v>1492</v>
      </c>
      <c r="EC47">
        <v>604.15412402167362</v>
      </c>
      <c r="ED47">
        <v>43910</v>
      </c>
      <c r="EE47">
        <v>1</v>
      </c>
      <c r="EF47">
        <v>43910</v>
      </c>
      <c r="EG47">
        <v>1</v>
      </c>
    </row>
    <row r="48" spans="2:138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49">
        <f>IF(ISNUMBER(tblData[Italy]),tblData[Italy]/$N$9,"")</f>
        <v>146.89826302729529</v>
      </c>
      <c r="O48">
        <v>60</v>
      </c>
      <c r="P48" s="49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5"/>
        <v>19</v>
      </c>
      <c r="Y48" s="26">
        <f t="shared" si="3"/>
        <v>37</v>
      </c>
      <c r="Z48" s="26">
        <f>IF(tblData[[#This Row],[Date]]&lt;StartDt2Korea,"",tblData[[#This Row],[Date]]-StartDt2Korea)</f>
        <v>9</v>
      </c>
      <c r="AA48" s="26">
        <f>IF(tblData[[#This Row],[Date]]&lt;UKStart,"",tblData[[#This Row],[Date]]-UKStart)</f>
        <v>29</v>
      </c>
      <c r="AB48">
        <f>IF(tblData[Date]&gt;=StartDt2Au,tblData[Date]-StartDt2Au,"")</f>
        <v>34</v>
      </c>
      <c r="AC48" s="26">
        <f>IF(tblData[New South Wales]&gt;0,SUM(tblData[[#This Row],[Australian Capital Territory]:[Western Australia]]),"")</f>
        <v>15</v>
      </c>
      <c r="AD48" s="12">
        <f>IF(ISNUMBER(tblData[Au]),tblData[Au]/$AA$9,"")</f>
        <v>5.9138937076170954</v>
      </c>
      <c r="AE48" s="19">
        <f>IF(ISNUMBER(tblData[[#This Row],[Day'# Aust]]),betaAu/(deltaAu+betaPodeltaAu*EXP(-betaAu*tblData[[#This Row],[Day'# Aust]])),"")</f>
        <v>11.264961645205435</v>
      </c>
      <c r="AF48" s="72">
        <f>IF(ISNUMBER(tblData[Day'# Aust]),tblData[Au LogiP(t)]/$AD$9,"")</f>
        <v>4.4413190526752233</v>
      </c>
      <c r="AG48" s="11">
        <f>IF(AND(tblData[Date]&gt;=StartDt2Au,ISNUMBER(tblData[NSW])),(tblData[[#This Row],[Au LogiP(t)]]-tblData[[#This Row],[Au]])^2,"")</f>
        <v>13.950511511786489</v>
      </c>
      <c r="AH48" s="26">
        <f>IF(tblData[Date]&gt;StartDt2NSW,tblData[Date]-StartDt2NSW,"")</f>
        <v>34</v>
      </c>
      <c r="AI48">
        <f t="shared" si="4"/>
        <v>4</v>
      </c>
      <c r="AJ48" s="11">
        <f>IF(tblData[Date]&gt;StartDt2NSW,betaNSW/(deltaNSW+betaPodeltaNSW*EXP(-betaNSW*tblData[[#This Row],[Day '# NSW]])),"")</f>
        <v>5.2922329207989129</v>
      </c>
      <c r="AK48" s="12">
        <f>IF(AND(ISNUMBER(tblData[NSW]),tblData[Date]&gt;StartDt2NSW),(tblData[[#This Row],[NSW LogiP(t)]]-tblData[[#This Row],[NSW]])^2,"")</f>
        <v>1.6698659215964895</v>
      </c>
      <c r="AL48" s="12">
        <f>IF(AND(tblData[Date]&gt;StartDt2NSW,ISNUMBER(tblData[Day'# Aust])),tblData[NSW LogiP(t)]/$AG$9,"")</f>
        <v>6.5497932188105352</v>
      </c>
      <c r="AM48" s="11">
        <f>IF(AND(tblData[Date]&gt;StartDt2Italy,ISNUMBER(tblData[Days'# Italy])),betaItaly/(deltaItaly+betaPodeltaItaly*EXP(-betaItaly*tblData[Days'# Italy])),"")</f>
        <v>808.75977209989446</v>
      </c>
      <c r="AN48" s="11">
        <f>IF(AND(tblData[Date]&gt;StartDt2Italy,ISNUMBER(tblData[Italy])),(tblData[[#This Row],[Italy LogiP(t)]]-tblData[[#This Row],[Italy]])^2,"")</f>
        <v>6279.013717660664</v>
      </c>
      <c r="AO48" s="44">
        <f>IF(AND(tblData[Date]&gt;StartDt2Italy,ISNUMBER(tblData[Days'# Italy])),tblData[[#This Row],[Italy LogiP(t)]]/$AM$9,"")</f>
        <v>133.78987131511903</v>
      </c>
      <c r="AP48" s="21">
        <f>IF(ISNUMBER(tblData[[#This Row],[Days'# US]]),betaUS/(deltaUS+betaPodeltaUS*EXP(-betaUS*tblData[Days'# US])),"")</f>
        <v>12.64792040936628</v>
      </c>
      <c r="AQ48" s="11">
        <f>IF(ISNUMBER(tblData[US]),(tblData[[#This Row],[US LogiP(t)]]-tblData[US])^2,"")</f>
        <v>2242.2194415577105</v>
      </c>
      <c r="AR48" s="21">
        <f>IF(ISNUMBER(tblData[[#This Row],[Days'# US]]),tblData[[#This Row],[US LogiP(t)]]/$AP$9,"")</f>
        <v>0.38416933454224367</v>
      </c>
      <c r="AS48" s="21">
        <f>IF(tblData[Date]&gt;=StartDt2Korea,betaSKorea/(deltaSKorea+betaPodeltaSKorea*EXP(-betaSKorea*(tblData[Date]-StartDt2Korea))),"")</f>
        <v>2390.0317824323847</v>
      </c>
      <c r="AT48" s="21">
        <f>IF(AND(tblData[Date]&gt;=StartDt2Korea,ISNUMBER(tblData[SKorea])),(tblData[[#This Row],[SKorea LogiP(t)]]-tblData[[#This Row],[SKorea]])^2,"")</f>
        <v>2812.3699479557881</v>
      </c>
      <c r="AU48" s="21">
        <f>IF(tblData[Date]&gt;=StartDt2Korea,tblData[[#This Row],[SKorea LogiP(t)]]/$AS$9,"")</f>
        <v>464.98672809968576</v>
      </c>
      <c r="AV48" s="11">
        <f>IF(ISNUMBER(tblData[Days'# UK]),betaUK/(deltaUK+betaPodeltaUK*EXP(-betaUK*tblData[Days'# UK])),"")</f>
        <v>27.995159208680764</v>
      </c>
      <c r="AW48" s="21">
        <f>IF(ISNUMBER(tblData[UK]),(tblData[[#This Row],[UK LogiP(t)]]-tblData[[#This Row],[UK]])^2,"")</f>
        <v>63.922570772152824</v>
      </c>
      <c r="AX48" s="21">
        <f>IF(ISNUMBER(tblData[Days'# UK]),tblData[[#This Row],[UK LogiP(t)]]/$AV$9,"")</f>
        <v>4.2136001217159489</v>
      </c>
      <c r="AY48" s="11">
        <f>IF(ISNUMBER(tblData[Days'# China]),betaChina/(deltaChina+betaPodeltaChina*EXP(-betaChina*tblData[Days'# China])),"")</f>
        <v>79840.981803607458</v>
      </c>
      <c r="AZ48" s="11">
        <f>IF(ISNUMBER(tblData[China]),(tblData[[#This Row],[China LogiP(t)]]-tblData[[#This Row],[China]])^2,"")</f>
        <v>833535.77371832624</v>
      </c>
      <c r="BA48" s="11">
        <f>tblData[[#This Row],[China LogiP(t)]]/$AY$9</f>
        <v>554.7117551652774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  <c r="DE48" t="s">
        <v>1252</v>
      </c>
      <c r="DG48" s="27">
        <v>43860</v>
      </c>
      <c r="DI48">
        <v>6</v>
      </c>
      <c r="DJ48">
        <v>0.24137990934722836</v>
      </c>
      <c r="DK48">
        <v>9.9999999999999995E-7</v>
      </c>
      <c r="DL48">
        <v>2.4074005303217398E-2</v>
      </c>
      <c r="DM48">
        <v>241379.90934722839</v>
      </c>
      <c r="DN48" s="19">
        <v>146.85588583547002</v>
      </c>
      <c r="DO48" s="12">
        <v>10.026577722858754</v>
      </c>
      <c r="DP48">
        <v>1E-3</v>
      </c>
      <c r="DR48" s="27">
        <v>43910</v>
      </c>
      <c r="DS48" t="s">
        <v>1331</v>
      </c>
      <c r="DT48">
        <v>3269</v>
      </c>
      <c r="DU48" t="s">
        <v>1332</v>
      </c>
      <c r="DV48" s="27">
        <v>43910</v>
      </c>
      <c r="DW48">
        <v>51</v>
      </c>
      <c r="DX48" t="s">
        <v>1333</v>
      </c>
      <c r="DZ48" t="s">
        <v>1334</v>
      </c>
      <c r="EB48" t="s">
        <v>1335</v>
      </c>
      <c r="EC48">
        <v>492.0228777844672</v>
      </c>
      <c r="ED48">
        <v>43910</v>
      </c>
      <c r="EE48">
        <v>0</v>
      </c>
      <c r="EF48">
        <v>43908</v>
      </c>
      <c r="EG48">
        <v>2</v>
      </c>
    </row>
    <row r="49" spans="2:173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49">
        <f>IF(ISNUMBER(tblData[Italy]),tblData[Italy]/$N$9,"")</f>
        <v>186.60049627791562</v>
      </c>
      <c r="O49">
        <v>68</v>
      </c>
      <c r="P49" s="49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5"/>
        <v>20</v>
      </c>
      <c r="Y49" s="26">
        <f t="shared" si="3"/>
        <v>38</v>
      </c>
      <c r="Z49" s="26">
        <f>IF(tblData[[#This Row],[Date]]&lt;StartDt2Korea,"",tblData[[#This Row],[Date]]-StartDt2Korea)</f>
        <v>10</v>
      </c>
      <c r="AA49" s="26">
        <f>IF(tblData[[#This Row],[Date]]&lt;UKStart,"",tblData[[#This Row],[Date]]-UKStart)</f>
        <v>30</v>
      </c>
      <c r="AB49">
        <f>IF(tblData[Date]&gt;=StartDt2Au,tblData[Date]-StartDt2Au,"")</f>
        <v>35</v>
      </c>
      <c r="AC49" s="26">
        <f>IF(tblData[New South Wales]&gt;0,SUM(tblData[[#This Row],[Australian Capital Territory]:[Western Australia]]),"")</f>
        <v>25</v>
      </c>
      <c r="AD49" s="12">
        <f>IF(ISNUMBER(tblData[Au]),tblData[Au]/$AA$9,"")</f>
        <v>9.856489512695159</v>
      </c>
      <c r="AE49" s="19">
        <f>IF(ISNUMBER(tblData[[#This Row],[Day'# Aust]]),betaAu/(deltaAu+betaPodeltaAu*EXP(-betaAu*tblData[[#This Row],[Day'# Aust]])),"")</f>
        <v>13.855729750915645</v>
      </c>
      <c r="AF49" s="72">
        <f>IF(ISNUMBER(tblData[Day'# Aust]),tblData[Au LogiP(t)]/$AD$9,"")</f>
        <v>5.4627541992255342</v>
      </c>
      <c r="AG49" s="11">
        <f>IF(AND(tblData[Date]&gt;=StartDt2Au,ISNUMBER(tblData[NSW])),(tblData[[#This Row],[Au LogiP(t)]]-tblData[[#This Row],[Au]])^2,"")</f>
        <v>124.19475938462668</v>
      </c>
      <c r="AH49" s="26">
        <f>IF(tblData[Date]&gt;StartDt2NSW,tblData[Date]-StartDt2NSW,"")</f>
        <v>35</v>
      </c>
      <c r="AI49">
        <f t="shared" si="4"/>
        <v>4</v>
      </c>
      <c r="AJ49" s="11">
        <f>IF(tblData[Date]&gt;StartDt2NSW,betaNSW/(deltaNSW+betaPodeltaNSW*EXP(-betaNSW*tblData[[#This Row],[Day '# NSW]])),"")</f>
        <v>6.5214332112218498</v>
      </c>
      <c r="AK49" s="12">
        <f>IF(AND(ISNUMBER(tblData[NSW]),tblData[Date]&gt;StartDt2NSW),(tblData[[#This Row],[NSW LogiP(t)]]-tblData[[#This Row],[NSW]])^2,"")</f>
        <v>6.3576254386525299</v>
      </c>
      <c r="AL49" s="12">
        <f>IF(AND(tblData[Date]&gt;StartDt2NSW,ISNUMBER(tblData[Day'# Aust])),tblData[NSW LogiP(t)]/$AG$9,"")</f>
        <v>8.0710807069577353</v>
      </c>
      <c r="AM49" s="11">
        <f>IF(AND(tblData[Date]&gt;StartDt2Italy,ISNUMBER(tblData[Days'# Italy])),betaItaly/(deltaItaly+betaPodeltaItaly*EXP(-betaItaly*tblData[Days'# Italy])),"")</f>
        <v>1044.2321818886908</v>
      </c>
      <c r="AN49" s="11">
        <f>IF(AND(tblData[Date]&gt;StartDt2Italy,ISNUMBER(tblData[Italy])),(tblData[[#This Row],[Italy LogiP(t)]]-tblData[[#This Row],[Italy]])^2,"")</f>
        <v>7017.0473511293858</v>
      </c>
      <c r="AO49" s="44">
        <f>IF(AND(tblData[Date]&gt;StartDt2Italy,ISNUMBER(tblData[Days'# Italy])),tblData[[#This Row],[Italy LogiP(t)]]/$AM$9,"")</f>
        <v>172.74312355478756</v>
      </c>
      <c r="AP49" s="21">
        <f>IF(ISNUMBER(tblData[[#This Row],[Days'# US]]),betaUS/(deltaUS+betaPodeltaUS*EXP(-betaUS*tblData[Days'# US])),"")</f>
        <v>17.90669068332955</v>
      </c>
      <c r="AQ49" s="11">
        <f>IF(ISNUMBER(tblData[US]),(tblData[[#This Row],[US LogiP(t)]]-tblData[US])^2,"")</f>
        <v>2509.3396382956225</v>
      </c>
      <c r="AR49" s="21">
        <f>IF(ISNUMBER(tblData[[#This Row],[Days'# US]]),tblData[[#This Row],[US LogiP(t)]]/$AP$9,"")</f>
        <v>0.54389980494929346</v>
      </c>
      <c r="AS49" s="21">
        <f>IF(tblData[Date]&gt;=StartDt2Korea,betaSKorea/(deltaSKorea+betaPodeltaSKorea*EXP(-betaSKorea*(tblData[Date]-StartDt2Korea))),"")</f>
        <v>2972.6385135359706</v>
      </c>
      <c r="AT49" s="21">
        <f>IF(AND(tblData[Date]&gt;=StartDt2Korea,ISNUMBER(tblData[SKorea])),(tblData[[#This Row],[SKorea LogiP(t)]]-tblData[[#This Row],[SKorea]])^2,"")</f>
        <v>31457.0968807301</v>
      </c>
      <c r="AU49" s="21">
        <f>IF(tblData[Date]&gt;=StartDt2Korea,tblData[[#This Row],[SKorea LogiP(t)]]/$AS$9,"")</f>
        <v>578.33434115485807</v>
      </c>
      <c r="AV49" s="11">
        <f>IF(ISNUMBER(tblData[Days'# UK]),betaUK/(deltaUK+betaPodeltaUK*EXP(-betaUK*tblData[Days'# UK])),"")</f>
        <v>35.429843731641633</v>
      </c>
      <c r="AW49" s="21">
        <f>IF(ISNUMBER(tblData[UK]),(tblData[[#This Row],[UK LogiP(t)]]-tblData[[#This Row],[UK]])^2,"")</f>
        <v>154.50101519303078</v>
      </c>
      <c r="AX49" s="21">
        <f>IF(ISNUMBER(tblData[Days'# UK]),tblData[[#This Row],[UK LogiP(t)]]/$AV$9,"")</f>
        <v>5.332607424991215</v>
      </c>
      <c r="AY49" s="11">
        <f>IF(ISNUMBER(tblData[Days'# China]),betaChina/(deltaChina+betaPodeltaChina*EXP(-betaChina*tblData[Days'# China])),"")</f>
        <v>80059.833264901186</v>
      </c>
      <c r="AZ49" s="11">
        <f>IF(ISNUMBER(tblData[China]),(tblData[[#This Row],[China LogiP(t)]]-tblData[[#This Row],[China]])^2,"")</f>
        <v>495381.26478146354</v>
      </c>
      <c r="BA49" s="11">
        <f>tblData[[#This Row],[China LogiP(t)]]/$AY$9</f>
        <v>556.23227101405985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  <c r="DE49" t="s">
        <v>989</v>
      </c>
      <c r="DI49">
        <v>7</v>
      </c>
      <c r="DJ49" s="23">
        <v>0.20209478104227763</v>
      </c>
      <c r="DK49" s="25">
        <v>1.0000000000000751E-10</v>
      </c>
      <c r="DL49" s="22">
        <v>5.7886977342360797E-3</v>
      </c>
      <c r="DM49" s="24">
        <v>2020947810.4226243</v>
      </c>
      <c r="DN49" s="22">
        <v>1385.0469640460797</v>
      </c>
      <c r="DO49" s="37">
        <v>34.911959532184611</v>
      </c>
      <c r="DP49" s="24">
        <v>1.0000000000000751E-7</v>
      </c>
      <c r="DQ49" s="24"/>
      <c r="DR49" s="27">
        <v>43908</v>
      </c>
      <c r="DS49" s="27" t="s">
        <v>1003</v>
      </c>
      <c r="DT49">
        <v>33387</v>
      </c>
      <c r="DU49" t="s">
        <v>1004</v>
      </c>
      <c r="DV49" s="27">
        <v>43908</v>
      </c>
      <c r="DW49" s="19">
        <v>13</v>
      </c>
      <c r="DX49" s="27" t="s">
        <v>1005</v>
      </c>
      <c r="DZ49" t="s">
        <v>1035</v>
      </c>
      <c r="EB49" s="18" t="s">
        <v>1036</v>
      </c>
      <c r="ED49" s="19"/>
      <c r="EE49" s="19"/>
    </row>
    <row r="50" spans="2:173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49">
        <f>IF(ISNUMBER(tblData[Italy]),tblData[Italy]/$N$9,"")</f>
        <v>280.2315963606286</v>
      </c>
      <c r="O50">
        <v>74</v>
      </c>
      <c r="P50" s="49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5"/>
        <v>21</v>
      </c>
      <c r="Y50" s="26">
        <f t="shared" si="3"/>
        <v>39</v>
      </c>
      <c r="Z50" s="26">
        <f>IF(tblData[[#This Row],[Date]]&lt;StartDt2Korea,"",tblData[[#This Row],[Date]]-StartDt2Korea)</f>
        <v>11</v>
      </c>
      <c r="AA50" s="26">
        <f>IF(tblData[[#This Row],[Date]]&lt;UKStart,"",tblData[[#This Row],[Date]]-UKStart)</f>
        <v>31</v>
      </c>
      <c r="AB50">
        <f>IF(tblData[Date]&gt;=StartDt2Au,tblData[Date]-StartDt2Au,"")</f>
        <v>36</v>
      </c>
      <c r="AC50" s="26">
        <f>IF(tblData[New South Wales]&gt;0,SUM(tblData[[#This Row],[Australian Capital Territory]:[Western Australia]]),"")</f>
        <v>27</v>
      </c>
      <c r="AD50" s="12">
        <f>IF(ISNUMBER(tblData[Au]),tblData[Au]/$AA$9,"")</f>
        <v>10.645008673710771</v>
      </c>
      <c r="AE50" s="19">
        <f>IF(ISNUMBER(tblData[[#This Row],[Day'# Aust]]),betaAu/(deltaAu+betaPodeltaAu*EXP(-betaAu*tblData[[#This Row],[Day'# Aust]])),"")</f>
        <v>17.042334667825308</v>
      </c>
      <c r="AF50" s="72">
        <f>IF(ISNUMBER(tblData[Day'# Aust]),tblData[Au LogiP(t)]/$AD$9,"")</f>
        <v>6.7191037170104515</v>
      </c>
      <c r="AG50" s="11">
        <f>IF(AND(tblData[Date]&gt;=StartDt2Au,ISNUMBER(tblData[NSW])),(tblData[[#This Row],[Au LogiP(t)]]-tblData[[#This Row],[Au]])^2,"")</f>
        <v>99.155098867593708</v>
      </c>
      <c r="AH50" s="26">
        <f>IF(tblData[Date]&gt;StartDt2NSW,tblData[Date]-StartDt2NSW,"")</f>
        <v>36</v>
      </c>
      <c r="AI50">
        <f t="shared" si="4"/>
        <v>6</v>
      </c>
      <c r="AJ50" s="11">
        <f>IF(tblData[Date]&gt;StartDt2NSW,betaNSW/(deltaNSW+betaPodeltaNSW*EXP(-betaNSW*tblData[[#This Row],[Day '# NSW]])),"")</f>
        <v>8.0352900723019296</v>
      </c>
      <c r="AK50" s="12">
        <f>IF(AND(ISNUMBER(tblData[NSW]),tblData[Date]&gt;StartDt2NSW),(tblData[[#This Row],[NSW LogiP(t)]]-tblData[[#This Row],[NSW]])^2,"")</f>
        <v>4.1424056784107934</v>
      </c>
      <c r="AL50" s="12">
        <f>IF(AND(tblData[Date]&gt;StartDt2NSW,ISNUMBER(tblData[Day'# Aust])),tblData[NSW LogiP(t)]/$AG$9,"")</f>
        <v>9.9446659310667442</v>
      </c>
      <c r="AM50" s="11">
        <f>IF(AND(tblData[Date]&gt;StartDt2Italy,ISNUMBER(tblData[Days'# Italy])),betaItaly/(deltaItaly+betaPodeltaItaly*EXP(-betaItaly*tblData[Days'# Italy])),"")</f>
        <v>1346.7196698028094</v>
      </c>
      <c r="AN50" s="11">
        <f>IF(AND(tblData[Date]&gt;StartDt2Italy,ISNUMBER(tblData[Italy])),(tblData[[#This Row],[Italy LogiP(t)]]-tblData[[#This Row],[Italy]])^2,"")</f>
        <v>120603.6277418697</v>
      </c>
      <c r="AO50" s="44">
        <f>IF(AND(tblData[Date]&gt;StartDt2Italy,ISNUMBER(tblData[Days'# Italy])),tblData[[#This Row],[Italy LogiP(t)]]/$AM$9,"")</f>
        <v>222.78241022378981</v>
      </c>
      <c r="AP50" s="21">
        <f>IF(ISNUMBER(tblData[[#This Row],[Days'# US]]),betaUS/(deltaUS+betaPodeltaUS*EXP(-betaUS*tblData[Days'# US])),"")</f>
        <v>25.351815772821158</v>
      </c>
      <c r="AQ50" s="11">
        <f>IF(ISNUMBER(tblData[US]),(tblData[[#This Row],[US LogiP(t)]]-tblData[US])^2,"")</f>
        <v>2366.6458286015327</v>
      </c>
      <c r="AR50" s="21">
        <f>IF(ISNUMBER(tblData[[#This Row],[Days'# US]]),tblData[[#This Row],[US LogiP(t)]]/$AP$9,"")</f>
        <v>0.77003885853597409</v>
      </c>
      <c r="AS50" s="21">
        <f>IF(tblData[Date]&gt;=StartDt2Korea,betaSKorea/(deltaSKorea+betaPodeltaSKorea*EXP(-betaSKorea*(tblData[Date]-StartDt2Korea))),"")</f>
        <v>3611.6069999236129</v>
      </c>
      <c r="AT50" s="21">
        <f>IF(AND(tblData[Date]&gt;=StartDt2Korea,ISNUMBER(tblData[SKorea])),(tblData[[#This Row],[SKorea LogiP(t)]]-tblData[[#This Row],[SKorea]])^2,"")</f>
        <v>15473.618468004048</v>
      </c>
      <c r="AU50" s="21">
        <f>IF(tblData[Date]&gt;=StartDt2Korea,tblData[[#This Row],[SKorea LogiP(t)]]/$AS$9,"")</f>
        <v>702.64727624973023</v>
      </c>
      <c r="AV50" s="11">
        <f>IF(ISNUMBER(tblData[Days'# UK]),betaUK/(deltaUK+betaPodeltaUK*EXP(-betaUK*tblData[Days'# UK])),"")</f>
        <v>44.838959727584502</v>
      </c>
      <c r="AW50" s="21">
        <f>IF(ISNUMBER(tblData[UK]),(tblData[[#This Row],[UK LogiP(t)]]-tblData[[#This Row],[UK]])^2,"")</f>
        <v>78.127209065860697</v>
      </c>
      <c r="AX50" s="21">
        <f>IF(ISNUMBER(tblData[Days'# UK]),tblData[[#This Row],[UK LogiP(t)]]/$AV$9,"")</f>
        <v>6.7487898446093473</v>
      </c>
      <c r="AY50" s="11">
        <f>IF(ISNUMBER(tblData[Days'# China]),betaChina/(deltaChina+betaPodeltaChina*EXP(-betaChina*tblData[Days'# China])),"")</f>
        <v>80235.956696660462</v>
      </c>
      <c r="AZ50" s="11">
        <f>IF(ISNUMBER(tblData[China]),(tblData[[#This Row],[China LogiP(t)]]-tblData[[#This Row],[China]])^2,"")</f>
        <v>92389.673444739863</v>
      </c>
      <c r="BA50" s="11">
        <f>tblData[[#This Row],[China LogiP(t)]]/$AY$9</f>
        <v>557.45592502920249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  <c r="DE50" t="s">
        <v>989</v>
      </c>
      <c r="DF50" s="82">
        <v>43911.866342592592</v>
      </c>
      <c r="DH50" s="27">
        <v>43896</v>
      </c>
      <c r="DI50">
        <v>7</v>
      </c>
      <c r="DJ50">
        <v>0.20209478104227763</v>
      </c>
      <c r="DK50">
        <v>1.0000000000000751E-10</v>
      </c>
      <c r="DL50">
        <v>5.7886977342360797E-3</v>
      </c>
      <c r="DM50">
        <v>2020947810.4226243</v>
      </c>
      <c r="DN50" s="19">
        <v>1753.8770216205796</v>
      </c>
      <c r="DO50" s="12">
        <v>34.911959532184611</v>
      </c>
      <c r="DP50">
        <v>1.0000000000000751E-7</v>
      </c>
      <c r="DR50" s="27">
        <v>43910</v>
      </c>
      <c r="DS50" t="s">
        <v>1003</v>
      </c>
      <c r="DT50">
        <v>40298</v>
      </c>
      <c r="DU50" t="s">
        <v>1004</v>
      </c>
      <c r="DV50" s="27">
        <v>43910</v>
      </c>
      <c r="DW50">
        <v>15</v>
      </c>
      <c r="DX50" t="s">
        <v>1005</v>
      </c>
      <c r="DZ50" t="s">
        <v>1035</v>
      </c>
      <c r="EB50" t="s">
        <v>1506</v>
      </c>
    </row>
    <row r="51" spans="2:173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49">
        <f>IF(ISNUMBER(tblData[Italy]),tblData[Italy]/$N$9,"")</f>
        <v>336.80727874276261</v>
      </c>
      <c r="O51">
        <v>98</v>
      </c>
      <c r="P51" s="49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5"/>
        <v>22</v>
      </c>
      <c r="Y51" s="26">
        <f t="shared" si="3"/>
        <v>40</v>
      </c>
      <c r="Z51" s="26">
        <f>IF(tblData[[#This Row],[Date]]&lt;StartDt2Korea,"",tblData[[#This Row],[Date]]-StartDt2Korea)</f>
        <v>12</v>
      </c>
      <c r="AA51" s="26">
        <f>IF(tblData[[#This Row],[Date]]&lt;UKStart,"",tblData[[#This Row],[Date]]-UKStart)</f>
        <v>32</v>
      </c>
      <c r="AB51">
        <f>IF(tblData[Date]&gt;=StartDt2Au,tblData[Date]-StartDt2Au,"")</f>
        <v>37</v>
      </c>
      <c r="AC51" s="26">
        <f>IF(tblData[New South Wales]&gt;0,SUM(tblData[[#This Row],[Australian Capital Territory]:[Western Australia]]),"")</f>
        <v>30</v>
      </c>
      <c r="AD51" s="12">
        <f>IF(ISNUMBER(tblData[Au]),tblData[Au]/$AA$9,"")</f>
        <v>11.827787415234191</v>
      </c>
      <c r="AE51" s="19">
        <f>IF(ISNUMBER(tblData[[#This Row],[Day'# Aust]]),betaAu/(deltaAu+betaPodeltaAu*EXP(-betaAu*tblData[[#This Row],[Day'# Aust]])),"")</f>
        <v>20.961809671748757</v>
      </c>
      <c r="AF51" s="72">
        <f>IF(ISNUMBER(tblData[Day'# Aust]),tblData[Au LogiP(t)]/$AD$9,"")</f>
        <v>8.2643942878681429</v>
      </c>
      <c r="AG51" s="11">
        <f>IF(AND(tblData[Date]&gt;=StartDt2Au,ISNUMBER(tblData[NSW])),(tblData[[#This Row],[Au LogiP(t)]]-tblData[[#This Row],[Au]])^2,"")</f>
        <v>81.68888440969431</v>
      </c>
      <c r="AH51" s="26">
        <f>IF(tblData[Date]&gt;StartDt2NSW,tblData[Date]-StartDt2NSW,"")</f>
        <v>37</v>
      </c>
      <c r="AI51">
        <f t="shared" si="4"/>
        <v>6</v>
      </c>
      <c r="AJ51" s="11">
        <f>IF(tblData[Date]&gt;StartDt2NSW,betaNSW/(deltaNSW+betaPodeltaNSW*EXP(-betaNSW*tblData[[#This Row],[Day '# NSW]])),"")</f>
        <v>9.8992871899891952</v>
      </c>
      <c r="AK51" s="12">
        <f>IF(AND(ISNUMBER(tblData[NSW]),tblData[Date]&gt;StartDt2NSW),(tblData[[#This Row],[NSW LogiP(t)]]-tblData[[#This Row],[NSW]])^2,"")</f>
        <v>15.204440590013833</v>
      </c>
      <c r="AL51" s="12">
        <f>IF(AND(tblData[Date]&gt;StartDt2NSW,ISNUMBER(tblData[Day'# Aust])),tblData[NSW LogiP(t)]/$AG$9,"")</f>
        <v>12.25159305691732</v>
      </c>
      <c r="AM51" s="11">
        <f>IF(AND(tblData[Date]&gt;StartDt2Italy,ISNUMBER(tblData[Days'# Italy])),betaItaly/(deltaItaly+betaPodeltaItaly*EXP(-betaItaly*tblData[Days'# Italy])),"")</f>
        <v>1734.2799597800933</v>
      </c>
      <c r="AN51" s="11">
        <f>IF(AND(tblData[Date]&gt;StartDt2Italy,ISNUMBER(tblData[Italy])),(tblData[[#This Row],[Italy LogiP(t)]]-tblData[[#This Row],[Italy]])^2,"")</f>
        <v>91034.982670302081</v>
      </c>
      <c r="AO51" s="44">
        <f>IF(AND(tblData[Date]&gt;StartDt2Italy,ISNUMBER(tblData[Days'# Italy])),tblData[[#This Row],[Italy LogiP(t)]]/$AM$9,"")</f>
        <v>286.8949478544406</v>
      </c>
      <c r="AP51" s="21">
        <f>IF(ISNUMBER(tblData[[#This Row],[Days'# US]]),betaUS/(deltaUS+betaPodeltaUS*EXP(-betaUS*tblData[Days'# US])),"")</f>
        <v>35.89213668055838</v>
      </c>
      <c r="AQ51" s="11">
        <f>IF(ISNUMBER(tblData[US]),(tblData[[#This Row],[US LogiP(t)]]-tblData[US])^2,"")</f>
        <v>3857.3866861064416</v>
      </c>
      <c r="AR51" s="21">
        <f>IF(ISNUMBER(tblData[[#This Row],[Days'# US]]),tblData[[#This Row],[US LogiP(t)]]/$AP$9,"")</f>
        <v>1.090191732520575</v>
      </c>
      <c r="AS51" s="21">
        <f>IF(tblData[Date]&gt;=StartDt2Korea,betaSKorea/(deltaSKorea+betaPodeltaSKorea*EXP(-betaSKorea*(tblData[Date]-StartDt2Korea))),"")</f>
        <v>4279.1914061760999</v>
      </c>
      <c r="AT51" s="21">
        <f>IF(AND(tblData[Date]&gt;=StartDt2Korea,ISNUMBER(tblData[SKorea])),(tblData[[#This Row],[SKorea LogiP(t)]]-tblData[[#This Row],[SKorea]])^2,"")</f>
        <v>3114.5991446010585</v>
      </c>
      <c r="AU51" s="21">
        <f>IF(tblData[Date]&gt;=StartDt2Korea,tblData[[#This Row],[SKorea LogiP(t)]]/$AS$9,"")</f>
        <v>832.52751092920232</v>
      </c>
      <c r="AV51" s="11">
        <f>IF(ISNUMBER(tblData[Days'# UK]),betaUK/(deltaUK+betaPodeltaUK*EXP(-betaUK*tblData[Days'# UK])),"")</f>
        <v>56.746857348558436</v>
      </c>
      <c r="AW51" s="21">
        <f>IF(ISNUMBER(tblData[UK]),(tblData[[#This Row],[UK LogiP(t)]]-tblData[[#This Row],[UK]])^2,"")</f>
        <v>280.45723105296565</v>
      </c>
      <c r="AX51" s="21">
        <f>IF(ISNUMBER(tblData[Days'# UK]),tblData[[#This Row],[UK LogiP(t)]]/$AV$9,"")</f>
        <v>8.5410682342803188</v>
      </c>
      <c r="AY51" s="11">
        <f>IF(ISNUMBER(tblData[Days'# China]),betaChina/(deltaChina+betaPodeltaChina*EXP(-betaChina*tblData[Days'# China])),"")</f>
        <v>80377.556215448072</v>
      </c>
      <c r="AZ51" s="11">
        <f>IF(ISNUMBER(tblData[China]),(tblData[[#This Row],[China LogiP(t)]]-tblData[[#This Row],[China]])^2,"")</f>
        <v>58349.405221595465</v>
      </c>
      <c r="BA51" s="11">
        <f>tblData[[#This Row],[China LogiP(t)]]/$AY$9</f>
        <v>558.43971700949703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  <c r="DE51" t="s">
        <v>989</v>
      </c>
      <c r="DI51">
        <v>7</v>
      </c>
      <c r="DJ51">
        <v>0.20209478104227763</v>
      </c>
      <c r="DK51">
        <v>1.0000000000000751E-10</v>
      </c>
      <c r="DL51">
        <v>5.7886977342360797E-3</v>
      </c>
      <c r="DM51">
        <v>2020947810.4226243</v>
      </c>
      <c r="DN51" s="19">
        <v>1753.8770216205796</v>
      </c>
      <c r="DO51" s="12">
        <v>34.911959532184611</v>
      </c>
      <c r="DP51">
        <v>1.0000000000000751E-7</v>
      </c>
      <c r="DR51" s="27">
        <v>43910</v>
      </c>
      <c r="DS51" t="s">
        <v>1003</v>
      </c>
      <c r="DT51">
        <v>40298</v>
      </c>
      <c r="DU51" t="s">
        <v>1004</v>
      </c>
      <c r="DV51" s="27">
        <v>43910</v>
      </c>
      <c r="DW51">
        <v>15</v>
      </c>
      <c r="DX51" t="s">
        <v>1005</v>
      </c>
      <c r="DZ51" t="s">
        <v>1035</v>
      </c>
      <c r="EB51" t="s">
        <v>1336</v>
      </c>
    </row>
    <row r="52" spans="2:173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49">
        <f>IF(ISNUMBER(tblData[Italy]),tblData[Italy]/$N$9,"")</f>
        <v>413.89578163771711</v>
      </c>
      <c r="O52">
        <v>118</v>
      </c>
      <c r="P52" s="49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5"/>
        <v>23</v>
      </c>
      <c r="Y52" s="26">
        <f t="shared" si="3"/>
        <v>41</v>
      </c>
      <c r="Z52" s="26">
        <f>IF(tblData[[#This Row],[Date]]&lt;StartDt2Korea,"",tblData[[#This Row],[Date]]-StartDt2Korea)</f>
        <v>13</v>
      </c>
      <c r="AA52" s="26">
        <f>IF(tblData[[#This Row],[Date]]&lt;UKStart,"",tblData[[#This Row],[Date]]-UKStart)</f>
        <v>33</v>
      </c>
      <c r="AB52">
        <f>IF(tblData[Date]&gt;=StartDt2Au,tblData[Date]-StartDt2Au,"")</f>
        <v>38</v>
      </c>
      <c r="AC52" s="26">
        <f>IF(tblData[New South Wales]&gt;0,SUM(tblData[[#This Row],[Australian Capital Territory]:[Western Australia]]),"")</f>
        <v>39</v>
      </c>
      <c r="AD52" s="12">
        <f>IF(ISNUMBER(tblData[Au]),tblData[Au]/$AA$9,"")</f>
        <v>15.376123639804447</v>
      </c>
      <c r="AE52" s="19">
        <f>IF(ISNUMBER(tblData[[#This Row],[Day'# Aust]]),betaAu/(deltaAu+betaPodeltaAu*EXP(-betaAu*tblData[[#This Row],[Day'# Aust]])),"")</f>
        <v>25.782703565301397</v>
      </c>
      <c r="AF52" s="72">
        <f>IF(ISNUMBER(tblData[Day'# Aust]),tblData[Au LogiP(t)]/$AD$9,"")</f>
        <v>10.165077892012851</v>
      </c>
      <c r="AG52" s="11">
        <f>IF(AND(tblData[Date]&gt;=StartDt2Au,ISNUMBER(tblData[NSW])),(tblData[[#This Row],[Au LogiP(t)]]-tblData[[#This Row],[Au]])^2,"")</f>
        <v>174.69692504269642</v>
      </c>
      <c r="AH52">
        <f>IF(tblData[Date]&gt;StartDt2NSW,tblData[Date]-StartDt2NSW,"")</f>
        <v>38</v>
      </c>
      <c r="AI52">
        <f t="shared" si="4"/>
        <v>13</v>
      </c>
      <c r="AJ52" s="11">
        <f>IF(tblData[Date]&gt;StartDt2NSW,betaNSW/(deltaNSW+betaPodeltaNSW*EXP(-betaNSW*tblData[[#This Row],[Day '# NSW]])),"")</f>
        <v>12.193746688117297</v>
      </c>
      <c r="AK52" s="12">
        <f>IF(AND(ISNUMBER(tblData[NSW]),tblData[Date]&gt;StartDt2NSW),(tblData[[#This Row],[NSW LogiP(t)]]-tblData[[#This Row],[NSW]])^2,"")</f>
        <v>0.65004440292182664</v>
      </c>
      <c r="AL52" s="12">
        <f>IF(AND(tblData[Date]&gt;StartDt2NSW,ISNUMBER(tblData[Day'# Aust])),tblData[NSW LogiP(t)]/$AG$9,"")</f>
        <v>15.091270653610515</v>
      </c>
      <c r="AM52" s="11">
        <f>IF(AND(tblData[Date]&gt;StartDt2Italy,ISNUMBER(tblData[Days'# Italy])),betaItaly/(deltaItaly+betaPodeltaItaly*EXP(-betaItaly*tblData[Days'# Italy])),"")</f>
        <v>2229.1791832945714</v>
      </c>
      <c r="AN52" s="11">
        <f>IF(AND(tblData[Date]&gt;StartDt2Italy,ISNUMBER(tblData[Italy])),(tblData[[#This Row],[Italy LogiP(t)]]-tblData[[#This Row],[Italy]])^2,"")</f>
        <v>74431.198027817052</v>
      </c>
      <c r="AO52" s="44">
        <f>IF(AND(tblData[Date]&gt;StartDt2Italy,ISNUMBER(tblData[Days'# Italy])),tblData[[#This Row],[Italy LogiP(t)]]/$AM$9,"")</f>
        <v>368.76413288578516</v>
      </c>
      <c r="AP52" s="21">
        <f>IF(ISNUMBER(tblData[[#This Row],[Days'# US]]),betaUS/(deltaUS+betaPodeltaUS*EXP(-betaUS*tblData[Days'# US])),"")</f>
        <v>50.814143119901104</v>
      </c>
      <c r="AQ52" s="11">
        <f>IF(ISNUMBER(tblData[US]),(tblData[[#This Row],[US LogiP(t)]]-tblData[US])^2,"")</f>
        <v>4513.9393647131319</v>
      </c>
      <c r="AR52" s="21">
        <f>IF(ISNUMBER(tblData[[#This Row],[Days'# US]]),tblData[[#This Row],[US LogiP(t)]]/$AP$9,"")</f>
        <v>1.5434344078612714</v>
      </c>
      <c r="AS52" s="21">
        <f>IF(tblData[Date]&gt;=StartDt2Korea,betaSKorea/(deltaSKorea+betaPodeltaSKorea*EXP(-betaSKorea*(tblData[Date]-StartDt2Korea))),"")</f>
        <v>4942.2246635887932</v>
      </c>
      <c r="AT52" s="21">
        <f>IF(AND(tblData[Date]&gt;=StartDt2Korea,ISNUMBER(tblData[SKorea])),(tblData[[#This Row],[SKorea LogiP(t)]]-tblData[[#This Row],[SKorea]])^2,"")</f>
        <v>59426.414642397052</v>
      </c>
      <c r="AU52" s="21">
        <f>IF(tblData[Date]&gt;=StartDt2Korea,tblData[[#This Row],[SKorea LogiP(t)]]/$AS$9,"")</f>
        <v>961.52230809120499</v>
      </c>
      <c r="AV52" s="11">
        <f>IF(ISNUMBER(tblData[Days'# UK]),betaUK/(deltaUK+betaPodeltaUK*EXP(-betaUK*tblData[Days'# UK])),"")</f>
        <v>71.817138382865807</v>
      </c>
      <c r="AW52" s="21">
        <f>IF(ISNUMBER(tblData[UK]),(tblData[[#This Row],[UK LogiP(t)]]-tblData[[#This Row],[UK]])^2,"")</f>
        <v>433.35325045138478</v>
      </c>
      <c r="AX52" s="21">
        <f>IF(ISNUMBER(tblData[Days'# UK]),tblData[[#This Row],[UK LogiP(t)]]/$AV$9,"")</f>
        <v>10.809322453772698</v>
      </c>
      <c r="AY52" s="11">
        <f>IF(ISNUMBER(tblData[Days'# China]),betaChina/(deltaChina+betaPodeltaChina*EXP(-betaChina*tblData[Days'# China])),"")</f>
        <v>80491.310106272082</v>
      </c>
      <c r="AZ52" s="11">
        <f>IF(ISNUMBER(tblData[China]),(tblData[[#This Row],[China LogiP(t)]]-tblData[[#This Row],[China]])^2,"")</f>
        <v>53042.745051057529</v>
      </c>
      <c r="BA52" s="11">
        <f>tblData[[#This Row],[China LogiP(t)]]/$AY$9</f>
        <v>559.23004572302773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  <c r="DE52" t="s">
        <v>989</v>
      </c>
      <c r="DF52" s="82">
        <v>43911.89398148148</v>
      </c>
      <c r="DH52" s="27">
        <v>43896</v>
      </c>
      <c r="DI52">
        <v>7</v>
      </c>
      <c r="DJ52">
        <v>0.20209478104227763</v>
      </c>
      <c r="DK52">
        <v>1.0000000000000751E-10</v>
      </c>
      <c r="DL52">
        <v>5.7886977342360797E-3</v>
      </c>
      <c r="DM52">
        <v>2020947810.4226243</v>
      </c>
      <c r="DN52">
        <v>2141.4153557262753</v>
      </c>
      <c r="DO52">
        <v>34.911959532184611</v>
      </c>
      <c r="DP52">
        <v>1.0000000000000751E-7</v>
      </c>
      <c r="DR52" s="27">
        <v>43911</v>
      </c>
      <c r="DS52" t="s">
        <v>1003</v>
      </c>
      <c r="DT52">
        <v>46456</v>
      </c>
      <c r="DU52" t="s">
        <v>1004</v>
      </c>
      <c r="DV52" s="27">
        <v>43911</v>
      </c>
      <c r="DW52">
        <v>16</v>
      </c>
      <c r="DX52" t="s">
        <v>1005</v>
      </c>
      <c r="DZ52" t="s">
        <v>1035</v>
      </c>
      <c r="EB52" t="s">
        <v>1507</v>
      </c>
    </row>
    <row r="53" spans="2:173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49">
        <f>IF(ISNUMBER(tblData[Italy]),tblData[Italy]/$N$9,"")</f>
        <v>511.00082712985937</v>
      </c>
      <c r="O53">
        <v>149</v>
      </c>
      <c r="P53" s="49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5"/>
        <v>24</v>
      </c>
      <c r="Y53" s="26">
        <f t="shared" si="3"/>
        <v>42</v>
      </c>
      <c r="Z53" s="26">
        <f>IF(tblData[[#This Row],[Date]]&lt;StartDt2Korea,"",tblData[[#This Row],[Date]]-StartDt2Korea)</f>
        <v>14</v>
      </c>
      <c r="AA53" s="26">
        <f>IF(tblData[[#This Row],[Date]]&lt;UKStart,"",tblData[[#This Row],[Date]]-UKStart)</f>
        <v>34</v>
      </c>
      <c r="AB53">
        <f>IF(tblData[Date]&gt;=StartDt2Au,tblData[Date]-StartDt2Au,"")</f>
        <v>39</v>
      </c>
      <c r="AC53" s="26">
        <f>IF(tblData[New South Wales]&gt;0,SUM(tblData[[#This Row],[Australian Capital Territory]:[Western Australia]]),"")</f>
        <v>52</v>
      </c>
      <c r="AD53" s="12">
        <f>IF(ISNUMBER(tblData[Au]),tblData[Au]/$AA$9,"")</f>
        <v>20.501498186405929</v>
      </c>
      <c r="AE53" s="19">
        <f>IF(ISNUMBER(tblData[[#This Row],[Day'# Aust]]),betaAu/(deltaAu+betaPodeltaAu*EXP(-betaAu*tblData[[#This Row],[Day'# Aust]])),"")</f>
        <v>31.712328753353372</v>
      </c>
      <c r="AF53" s="72">
        <f>IF(ISNUMBER(tblData[Day'# Aust]),tblData[Au LogiP(t)]/$AD$9,"")</f>
        <v>12.502889431222746</v>
      </c>
      <c r="AG53" s="11">
        <f>IF(AND(tblData[Date]&gt;=StartDt2Au,ISNUMBER(tblData[NSW])),(tblData[[#This Row],[Au LogiP(t)]]-tblData[[#This Row],[Au]])^2,"")</f>
        <v>411.58960461201235</v>
      </c>
      <c r="AH53">
        <f>IF(tblData[Date]&gt;StartDt2NSW,tblData[Date]-StartDt2NSW,"")</f>
        <v>39</v>
      </c>
      <c r="AI53">
        <f t="shared" si="4"/>
        <v>22</v>
      </c>
      <c r="AJ53" s="11">
        <f>IF(tblData[Date]&gt;StartDt2NSW,betaNSW/(deltaNSW+betaPodeltaNSW*EXP(-betaNSW*tblData[[#This Row],[Day '# NSW]])),"")</f>
        <v>15.017074909226453</v>
      </c>
      <c r="AK53" s="12">
        <f>IF(AND(ISNUMBER(tblData[NSW]),tblData[Date]&gt;StartDt2NSW),(tblData[[#This Row],[NSW LogiP(t)]]-tblData[[#This Row],[NSW]])^2,"")</f>
        <v>48.761242823354749</v>
      </c>
      <c r="AL53" s="12">
        <f>IF(AND(tblData[Date]&gt;StartDt2NSW,ISNUMBER(tblData[Day'# Aust])),tblData[NSW LogiP(t)]/$AG$9,"")</f>
        <v>18.585488749042639</v>
      </c>
      <c r="AM53" s="11">
        <f>IF(AND(tblData[Date]&gt;StartDt2Italy,ISNUMBER(tblData[Days'# Italy])),betaItaly/(deltaItaly+betaPodeltaItaly*EXP(-betaItaly*tblData[Days'# Italy])),"")</f>
        <v>2858.4505577386449</v>
      </c>
      <c r="AN53" s="11">
        <f>IF(AND(tblData[Date]&gt;StartDt2Italy,ISNUMBER(tblData[Italy])),(tblData[[#This Row],[Italy LogiP(t)]]-tblData[[#This Row],[Italy]])^2,"")</f>
        <v>53153.045327021922</v>
      </c>
      <c r="AO53" s="44">
        <f>IF(AND(tblData[Date]&gt;StartDt2Italy,ISNUMBER(tblData[Days'# Italy])),tblData[[#This Row],[Italy LogiP(t)]]/$AM$9,"")</f>
        <v>472.86196157793961</v>
      </c>
      <c r="AP53" s="21">
        <f>IF(ISNUMBER(tblData[[#This Row],[Days'# US]]),betaUS/(deltaUS+betaPodeltaUS*EXP(-betaUS*tblData[Days'# US])),"")</f>
        <v>71.938751043470887</v>
      </c>
      <c r="AQ53" s="11">
        <f>IF(ISNUMBER(tblData[US]),(tblData[[#This Row],[US LogiP(t)]]-tblData[US])^2,"")</f>
        <v>5938.4360907401597</v>
      </c>
      <c r="AR53" s="21">
        <f>IF(ISNUMBER(tblData[[#This Row],[Days'# US]]),tblData[[#This Row],[US LogiP(t)]]/$AP$9,"")</f>
        <v>2.1850755872644734</v>
      </c>
      <c r="AS53" s="21">
        <f>IF(tblData[Date]&gt;=StartDt2Korea,betaSKorea/(deltaSKorea+betaPodeltaSKorea*EXP(-betaSKorea*(tblData[Date]-StartDt2Korea))),"")</f>
        <v>5568.4246912474036</v>
      </c>
      <c r="AT53" s="21">
        <f>IF(AND(tblData[Date]&gt;=StartDt2Korea,ISNUMBER(tblData[SKorea])),(tblData[[#This Row],[SKorea LogiP(t)]]-tblData[[#This Row],[SKorea]])^2,"")</f>
        <v>2764.1630904308349</v>
      </c>
      <c r="AU53" s="21">
        <f>IF(tblData[Date]&gt;=StartDt2Korea,tblData[[#This Row],[SKorea LogiP(t)]]/$AS$9,"")</f>
        <v>1083.3511072465767</v>
      </c>
      <c r="AV53" s="11">
        <f>IF(ISNUMBER(tblData[Days'# UK]),betaUK/(deltaUK+betaPodeltaUK*EXP(-betaUK*tblData[Days'# UK])),"")</f>
        <v>90.889637221299978</v>
      </c>
      <c r="AW53" s="21">
        <f>IF(ISNUMBER(tblData[UK]),(tblData[[#This Row],[UK LogiP(t)]]-tblData[[#This Row],[UK]])^2,"")</f>
        <v>23.90855215592217</v>
      </c>
      <c r="AX53" s="21">
        <f>IF(ISNUMBER(tblData[Days'# UK]),tblData[[#This Row],[UK LogiP(t)]]/$AV$9,"")</f>
        <v>13.679957438485848</v>
      </c>
      <c r="AY53" s="11">
        <f>IF(ISNUMBER(tblData[Days'# China]),betaChina/(deltaChina+betaPodeltaChina*EXP(-betaChina*tblData[Days'# China])),"")</f>
        <v>80582.636741670533</v>
      </c>
      <c r="AZ53" s="11">
        <f>IF(ISNUMBER(tblData[China]),(tblData[[#This Row],[China LogiP(t)]]-tblData[[#This Row],[China]])^2,"")</f>
        <v>38666.008174803734</v>
      </c>
      <c r="BA53" s="11">
        <f>tblData[[#This Row],[China LogiP(t)]]/$AY$9</f>
        <v>559.86455643508066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  <c r="DE53" t="s">
        <v>48</v>
      </c>
      <c r="DF53" s="82">
        <v>43911.898379629631</v>
      </c>
      <c r="DG53" s="27">
        <v>43855</v>
      </c>
      <c r="DH53" s="27">
        <v>43855</v>
      </c>
      <c r="DI53">
        <v>0</v>
      </c>
      <c r="DJ53">
        <v>0.20648931335259277</v>
      </c>
      <c r="DK53">
        <v>1.0000000000000768E-9</v>
      </c>
      <c r="DL53">
        <v>1.0150253776574341E-2</v>
      </c>
      <c r="DM53">
        <v>206489313.35257691</v>
      </c>
      <c r="DN53">
        <v>10.992507007919523</v>
      </c>
      <c r="DO53">
        <v>20.343266078627209</v>
      </c>
      <c r="DP53">
        <v>1.0000000000000768E-6</v>
      </c>
      <c r="DR53" s="27">
        <v>43911</v>
      </c>
      <c r="DS53" t="s">
        <v>1493</v>
      </c>
      <c r="DT53">
        <v>1068</v>
      </c>
      <c r="DU53" t="s">
        <v>1494</v>
      </c>
      <c r="DV53" s="27">
        <v>43911</v>
      </c>
      <c r="DW53">
        <v>57</v>
      </c>
      <c r="DX53" t="s">
        <v>1495</v>
      </c>
      <c r="DZ53" t="s">
        <v>1496</v>
      </c>
      <c r="EB53" t="s">
        <v>1497</v>
      </c>
      <c r="EC53">
        <v>421.06923198233716</v>
      </c>
      <c r="EH53" t="s">
        <v>1475</v>
      </c>
    </row>
    <row r="54" spans="2:173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49">
        <f>IF(ISNUMBER(tblData[Italy]),tblData[Italy]/$N$9,"")</f>
        <v>638.21339950372214</v>
      </c>
      <c r="O54">
        <v>217</v>
      </c>
      <c r="P54" s="49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5"/>
        <v>25</v>
      </c>
      <c r="Y54" s="26">
        <f t="shared" si="3"/>
        <v>43</v>
      </c>
      <c r="Z54" s="26">
        <f>IF(tblData[[#This Row],[Date]]&lt;StartDt2Korea,"",tblData[[#This Row],[Date]]-StartDt2Korea)</f>
        <v>15</v>
      </c>
      <c r="AA54" s="26">
        <f>IF(tblData[[#This Row],[Date]]&lt;UKStart,"",tblData[[#This Row],[Date]]-UKStart)</f>
        <v>35</v>
      </c>
      <c r="AB54">
        <f>IF(tblData[Date]&gt;=StartDt2Au,tblData[Date]-StartDt2Au,"")</f>
        <v>40</v>
      </c>
      <c r="AC54" s="26">
        <f>IF(tblData[New South Wales]&gt;0,SUM(tblData[[#This Row],[Australian Capital Territory]:[Western Australia]]),"")</f>
        <v>55</v>
      </c>
      <c r="AD54" s="12">
        <f>IF(ISNUMBER(tblData[Au]),tblData[Au]/$AA$9,"")</f>
        <v>21.68427692792935</v>
      </c>
      <c r="AE54" s="19">
        <f>IF(ISNUMBER(tblData[[#This Row],[Day'# Aust]]),betaAu/(deltaAu+betaPodeltaAu*EXP(-betaAu*tblData[[#This Row],[Day'# Aust]])),"")</f>
        <v>39.005676258437816</v>
      </c>
      <c r="AF54" s="72">
        <f>IF(ISNUMBER(tblData[Day'# Aust]),tblData[Au LogiP(t)]/$AD$9,"")</f>
        <v>15.378361559074994</v>
      </c>
      <c r="AG54" s="11">
        <f>IF(AND(tblData[Date]&gt;=StartDt2Au,ISNUMBER(tblData[NSW])),(tblData[[#This Row],[Au LogiP(t)]]-tblData[[#This Row],[Au]])^2,"")</f>
        <v>255.81839194989973</v>
      </c>
      <c r="AH54">
        <f>IF(tblData[Date]&gt;StartDt2NSW,tblData[Date]-StartDt2NSW,"")</f>
        <v>40</v>
      </c>
      <c r="AI54">
        <f t="shared" si="4"/>
        <v>22</v>
      </c>
      <c r="AJ54" s="11">
        <f>IF(tblData[Date]&gt;StartDt2NSW,betaNSW/(deltaNSW+betaPodeltaNSW*EXP(-betaNSW*tblData[[#This Row],[Day '# NSW]])),"")</f>
        <v>18.489657826959295</v>
      </c>
      <c r="AK54" s="12">
        <f>IF(AND(ISNUMBER(tblData[NSW]),tblData[Date]&gt;StartDt2NSW),(tblData[[#This Row],[NSW LogiP(t)]]-tblData[[#This Row],[NSW]])^2,"")</f>
        <v>12.322502171828139</v>
      </c>
      <c r="AL54" s="12">
        <f>IF(AND(tblData[Date]&gt;StartDt2NSW,ISNUMBER(tblData[Day'# Aust])),tblData[NSW LogiP(t)]/$AG$9,"")</f>
        <v>22.88323988485061</v>
      </c>
      <c r="AM54" s="11">
        <f>IF(AND(tblData[Date]&gt;StartDt2Italy,ISNUMBER(tblData[Days'# Italy])),betaItaly/(deltaItaly+betaPodeltaItaly*EXP(-betaItaly*tblData[Days'# Italy])),"")</f>
        <v>3654.2437858536114</v>
      </c>
      <c r="AN54" s="11">
        <f>IF(AND(tblData[Date]&gt;StartDt2Italy,ISNUMBER(tblData[Italy])),(tblData[[#This Row],[Italy LogiP(t)]]-tblData[[#This Row],[Italy]])^2,"")</f>
        <v>41516.594803268985</v>
      </c>
      <c r="AO54" s="44">
        <f>IF(AND(tblData[Date]&gt;StartDt2Italy,ISNUMBER(tblData[Days'# Italy])),tblData[[#This Row],[Italy LogiP(t)]]/$AM$9,"")</f>
        <v>604.50682975245843</v>
      </c>
      <c r="AP54" s="21">
        <f>IF(ISNUMBER(tblData[[#This Row],[Days'# US]]),betaUS/(deltaUS+betaPodeltaUS*EXP(-betaUS*tblData[Days'# US])),"")</f>
        <v>101.84301835703006</v>
      </c>
      <c r="AQ54" s="11">
        <f>IF(ISNUMBER(tblData[US]),(tblData[[#This Row],[US LogiP(t)]]-tblData[US])^2,"")</f>
        <v>13261.130421119315</v>
      </c>
      <c r="AR54" s="21">
        <f>IF(ISNUMBER(tblData[[#This Row],[Days'# US]]),tblData[[#This Row],[US LogiP(t)]]/$AP$9,"")</f>
        <v>3.0933911128204263</v>
      </c>
      <c r="AS54" s="21">
        <f>IF(tblData[Date]&gt;=StartDt2Korea,betaSKorea/(deltaSKorea+betaPodeltaSKorea*EXP(-betaSKorea*(tblData[Date]-StartDt2Korea))),"")</f>
        <v>6132.3544021793732</v>
      </c>
      <c r="AT54" s="21">
        <f>IF(AND(tblData[Date]&gt;=StartDt2Korea,ISNUMBER(tblData[SKorea])),(tblData[[#This Row],[SKorea LogiP(t)]]-tblData[[#This Row],[SKorea]])^2,"")</f>
        <v>1967.312992689587</v>
      </c>
      <c r="AU54" s="21">
        <f>IF(tblData[Date]&gt;=StartDt2Korea,tblData[[#This Row],[SKorea LogiP(t)]]/$AS$9,"")</f>
        <v>1193.0650587897615</v>
      </c>
      <c r="AV54" s="11">
        <f>IF(ISNUMBER(tblData[Days'# UK]),betaUK/(deltaUK+betaPodeltaUK*EXP(-betaUK*tblData[Days'# UK])),"")</f>
        <v>115.02722278521253</v>
      </c>
      <c r="AW54" s="21">
        <f>IF(ISNUMBER(tblData[UK]),(tblData[[#This Row],[UK LogiP(t)]]-tblData[[#This Row],[UK]])^2,"")</f>
        <v>0.94629550960966802</v>
      </c>
      <c r="AX54" s="21">
        <f>IF(ISNUMBER(tblData[Days'# UK]),tblData[[#This Row],[UK LogiP(t)]]/$AV$9,"")</f>
        <v>17.312947439074733</v>
      </c>
      <c r="AY54" s="11">
        <f>IF(ISNUMBER(tblData[Days'# China]),betaChina/(deltaChina+betaPodeltaChina*EXP(-betaChina*tblData[Days'# China])),"")</f>
        <v>80655.920753633749</v>
      </c>
      <c r="AZ54" s="11">
        <f>IF(ISNUMBER(tblData[China]),(tblData[[#This Row],[China LogiP(t)]]-tblData[[#This Row],[China]])^2,"")</f>
        <v>14142.14564481882</v>
      </c>
      <c r="BA54" s="11">
        <f>tblData[[#This Row],[China LogiP(t)]]/$AY$9</f>
        <v>560.37371228441202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  <c r="DE54" t="s">
        <v>48</v>
      </c>
      <c r="DF54" s="82">
        <v>43912.326643518521</v>
      </c>
      <c r="DG54" s="27">
        <v>43855</v>
      </c>
      <c r="DH54" s="27">
        <v>43855</v>
      </c>
      <c r="DI54">
        <v>0</v>
      </c>
      <c r="DJ54">
        <v>0.20700169092268883</v>
      </c>
      <c r="DK54">
        <v>1.0000000000000768E-9</v>
      </c>
      <c r="DL54">
        <v>9.888722941768591E-3</v>
      </c>
      <c r="DM54">
        <v>207001690.92267293</v>
      </c>
      <c r="DN54">
        <v>11.00426291537671</v>
      </c>
      <c r="DO54">
        <v>20.933106542853348</v>
      </c>
      <c r="DP54">
        <v>1.0000000000000768E-6</v>
      </c>
      <c r="DR54" s="27">
        <v>43911</v>
      </c>
      <c r="DS54" t="s">
        <v>1509</v>
      </c>
      <c r="DT54">
        <v>1073</v>
      </c>
      <c r="DU54" t="s">
        <v>1510</v>
      </c>
      <c r="DV54" s="27">
        <v>43911</v>
      </c>
      <c r="DW54">
        <v>57</v>
      </c>
      <c r="DX54" t="s">
        <v>1511</v>
      </c>
      <c r="DZ54" t="s">
        <v>1512</v>
      </c>
      <c r="EB54" t="s">
        <v>1513</v>
      </c>
      <c r="EC54">
        <v>423.04052988487621</v>
      </c>
      <c r="EH54" t="s">
        <v>1508</v>
      </c>
    </row>
    <row r="55" spans="2:173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49">
        <f>IF(ISNUMBER(tblData[Italy]),tblData[Italy]/$N$9,"")</f>
        <v>766.91480562448305</v>
      </c>
      <c r="O55">
        <v>262</v>
      </c>
      <c r="P55" s="49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5"/>
        <v>26</v>
      </c>
      <c r="Y55" s="26">
        <f t="shared" si="3"/>
        <v>44</v>
      </c>
      <c r="Z55" s="26">
        <f>IF(tblData[[#This Row],[Date]]&lt;StartDt2Korea,"",tblData[[#This Row],[Date]]-StartDt2Korea)</f>
        <v>16</v>
      </c>
      <c r="AA55" s="26">
        <f>IF(tblData[[#This Row],[Date]]&lt;UKStart,"",tblData[[#This Row],[Date]]-UKStart)</f>
        <v>36</v>
      </c>
      <c r="AB55">
        <f>IF(tblData[Date]&gt;=StartDt2Au,tblData[Date]-StartDt2Au,"")</f>
        <v>41</v>
      </c>
      <c r="AC55" s="26">
        <f>IF(tblData[New South Wales]&gt;0,SUM(tblData[[#This Row],[Australian Capital Territory]:[Western Australia]]),"")</f>
        <v>60</v>
      </c>
      <c r="AD55" s="12">
        <f>IF(ISNUMBER(tblData[Au]),tblData[Au]/$AA$9,"")</f>
        <v>23.655574830468382</v>
      </c>
      <c r="AE55" s="19">
        <f>IF(ISNUMBER(tblData[[#This Row],[Day'# Aust]]),betaAu/(deltaAu+betaPodeltaAu*EXP(-betaAu*tblData[[#This Row],[Day'# Aust]])),"")</f>
        <v>47.976381043563556</v>
      </c>
      <c r="AF55" s="72">
        <f>IF(ISNUMBER(tblData[Day'# Aust]),tblData[Au LogiP(t)]/$AD$9,"")</f>
        <v>18.91514786451804</v>
      </c>
      <c r="AG55" s="11">
        <f>IF(AND(tblData[Date]&gt;=StartDt2Au,ISNUMBER(tblData[NSW])),(tblData[[#This Row],[Au LogiP(t)]]-tblData[[#This Row],[Au]])^2,"")</f>
        <v>144.5674128095778</v>
      </c>
      <c r="AH55">
        <f>IF(tblData[Date]&gt;StartDt2NSW,tblData[Date]-StartDt2NSW,"")</f>
        <v>41</v>
      </c>
      <c r="AI55">
        <f t="shared" si="4"/>
        <v>26</v>
      </c>
      <c r="AJ55" s="11">
        <f>IF(tblData[Date]&gt;StartDt2NSW,betaNSW/(deltaNSW+betaPodeltaNSW*EXP(-betaNSW*tblData[[#This Row],[Day '# NSW]])),"")</f>
        <v>22.758504398050814</v>
      </c>
      <c r="AK55" s="12">
        <f>IF(AND(ISNUMBER(tblData[NSW]),tblData[Date]&gt;StartDt2NSW),(tblData[[#This Row],[NSW LogiP(t)]]-tblData[[#This Row],[NSW]])^2,"")</f>
        <v>10.507293737455916</v>
      </c>
      <c r="AL55" s="12">
        <f>IF(AND(tblData[Date]&gt;StartDt2NSW,ISNUMBER(tblData[Day'# Aust])),tblData[NSW LogiP(t)]/$AG$9,"")</f>
        <v>28.166465839171799</v>
      </c>
      <c r="AM55" s="11">
        <f>IF(AND(tblData[Date]&gt;StartDt2Italy,ISNUMBER(tblData[Days'# Italy])),betaItaly/(deltaItaly+betaPodeltaItaly*EXP(-betaItaly*tblData[Days'# Italy])),"")</f>
        <v>4653.740708627839</v>
      </c>
      <c r="AN55" s="11">
        <f>IF(AND(tblData[Date]&gt;StartDt2Italy,ISNUMBER(tblData[Italy])),(tblData[[#This Row],[Italy LogiP(t)]]-tblData[[#This Row],[Italy]])^2,"")</f>
        <v>314.73274261788157</v>
      </c>
      <c r="AO55" s="44">
        <f>IF(AND(tblData[Date]&gt;StartDt2Italy,ISNUMBER(tblData[Days'# Italy])),tblData[[#This Row],[Italy LogiP(t)]]/$AM$9,"")</f>
        <v>769.84957959104042</v>
      </c>
      <c r="AP55" s="21">
        <f>IF(ISNUMBER(tblData[[#This Row],[Days'# US]]),betaUS/(deltaUS+betaPodeltaUS*EXP(-betaUS*tblData[Days'# US])),"")</f>
        <v>144.17354934990837</v>
      </c>
      <c r="AQ55" s="11">
        <f>IF(ISNUMBER(tblData[US]),(tblData[[#This Row],[US LogiP(t)]]-tblData[US])^2,"")</f>
        <v>13883.072472798478</v>
      </c>
      <c r="AR55" s="21">
        <f>IF(ISNUMBER(tblData[[#This Row],[Days'# US]]),tblData[[#This Row],[US LogiP(t)]]/$AP$9,"")</f>
        <v>4.3791433468644643</v>
      </c>
      <c r="AS55" s="21">
        <f>IF(tblData[Date]&gt;=StartDt2Korea,betaSKorea/(deltaSKorea+betaPodeltaSKorea*EXP(-betaSKorea*(tblData[Date]-StartDt2Korea))),"")</f>
        <v>6618.8540885554503</v>
      </c>
      <c r="AT55" s="21">
        <f>IF(AND(tblData[Date]&gt;=StartDt2Korea,ISNUMBER(tblData[SKorea])),(tblData[[#This Row],[SKorea LogiP(t)]]-tblData[[#This Row],[SKorea]])^2,"")</f>
        <v>668.4338950330656</v>
      </c>
      <c r="AU55" s="21">
        <f>IF(tblData[Date]&gt;=StartDt2Korea,tblData[[#This Row],[SKorea LogiP(t)]]/$AS$9,"")</f>
        <v>1287.7148032209047</v>
      </c>
      <c r="AV55" s="11">
        <f>IF(ISNUMBER(tblData[Days'# UK]),betaUK/(deltaUK+betaPodeltaUK*EXP(-betaUK*tblData[Days'# UK])),"")</f>
        <v>145.57502952011893</v>
      </c>
      <c r="AW55" s="21">
        <f>IF(ISNUMBER(tblData[UK]),(tblData[[#This Row],[UK LogiP(t)]]-tblData[[#This Row],[UK]])^2,"")</f>
        <v>339.47953718448878</v>
      </c>
      <c r="AX55" s="21">
        <f>IF(ISNUMBER(tblData[Days'# UK]),tblData[[#This Row],[UK LogiP(t)]]/$AV$9,"")</f>
        <v>21.910750981354443</v>
      </c>
      <c r="AY55" s="11">
        <f>IF(ISNUMBER(tblData[Days'# China]),betaChina/(deltaChina+betaPodeltaChina*EXP(-betaChina*tblData[Days'# China])),"")</f>
        <v>80714.702831955699</v>
      </c>
      <c r="AZ55" s="11">
        <f>IF(ISNUMBER(tblData[China]),(tblData[[#This Row],[China LogiP(t)]]-tblData[[#This Row],[China]])^2,"")</f>
        <v>610.22990663152177</v>
      </c>
      <c r="BA55" s="11">
        <f>tblData[[#This Row],[China LogiP(t)]]/$AY$9</f>
        <v>560.78211294659877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Y55"/>
      <c r="BZ55"/>
      <c r="CJ55" s="26"/>
      <c r="CK55" s="26"/>
      <c r="DE55" t="s">
        <v>202</v>
      </c>
      <c r="DF55" s="82">
        <v>43912.326666666668</v>
      </c>
      <c r="DG55" s="27">
        <v>43855</v>
      </c>
      <c r="DH55" s="27">
        <v>43855</v>
      </c>
      <c r="DI55">
        <v>1</v>
      </c>
      <c r="DJ55">
        <v>0.20930602113130264</v>
      </c>
      <c r="DK55">
        <v>7.6817707886235747E-5</v>
      </c>
      <c r="DL55">
        <v>4.3039510033128963E-3</v>
      </c>
      <c r="DM55">
        <v>2724.7105763852951</v>
      </c>
      <c r="DN55">
        <v>4.2004617329616165</v>
      </c>
      <c r="DO55">
        <v>48.631057916445158</v>
      </c>
      <c r="DP55">
        <v>7.681770788623575E-2</v>
      </c>
      <c r="DQ55">
        <v>4.2004617329616165</v>
      </c>
      <c r="DR55" s="27">
        <v>43911</v>
      </c>
      <c r="DS55" t="s">
        <v>1487</v>
      </c>
      <c r="DT55">
        <v>436</v>
      </c>
      <c r="DU55" t="s">
        <v>1488</v>
      </c>
      <c r="DV55" s="27">
        <v>43911</v>
      </c>
      <c r="DW55">
        <v>57</v>
      </c>
      <c r="DX55" t="s">
        <v>1489</v>
      </c>
      <c r="DZ55" t="s">
        <v>1490</v>
      </c>
      <c r="EB55" t="s">
        <v>1491</v>
      </c>
      <c r="EC55">
        <v>539.60396039603961</v>
      </c>
      <c r="EH55" t="s">
        <v>1476</v>
      </c>
    </row>
    <row r="56" spans="2:173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49">
        <f>IF(ISNUMBER(tblData[Italy]),tblData[Italy]/$N$9,"")</f>
        <v>973.20099255583125</v>
      </c>
      <c r="O56">
        <v>401</v>
      </c>
      <c r="P56" s="49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5"/>
        <v>27</v>
      </c>
      <c r="Y56" s="26">
        <f t="shared" si="3"/>
        <v>45</v>
      </c>
      <c r="Z56" s="26">
        <f>IF(tblData[[#This Row],[Date]]&lt;StartDt2Korea,"",tblData[[#This Row],[Date]]-StartDt2Korea)</f>
        <v>17</v>
      </c>
      <c r="AA56" s="26">
        <f>IF(tblData[[#This Row],[Date]]&lt;UKStart,"",tblData[[#This Row],[Date]]-UKStart)</f>
        <v>37</v>
      </c>
      <c r="AB56">
        <f>IF(tblData[Date]&gt;=StartDt2Au,tblData[Date]-StartDt2Au,"")</f>
        <v>42</v>
      </c>
      <c r="AC56" s="26">
        <f>IF(tblData[New South Wales]&gt;0,SUM(tblData[[#This Row],[Australian Capital Territory]:[Western Australia]]),"")</f>
        <v>63</v>
      </c>
      <c r="AD56" s="12">
        <f>IF(ISNUMBER(tblData[Au]),tblData[Au]/$AA$9,"")</f>
        <v>24.838353571991799</v>
      </c>
      <c r="AE56" s="19">
        <f>IF(ISNUMBER(tblData[[#This Row],[Day'# Aust]]),betaAu/(deltaAu+betaPodeltaAu*EXP(-betaAu*tblData[[#This Row],[Day'# Aust]])),"")</f>
        <v>59.01020917689133</v>
      </c>
      <c r="AF56" s="72">
        <f>IF(ISNUMBER(tblData[Day'# Aust]),tblData[Au LogiP(t)]/$AD$9,"")</f>
        <v>23.265340315759079</v>
      </c>
      <c r="AG56" s="11">
        <f>IF(AND(tblData[Date]&gt;=StartDt2Au,ISNUMBER(tblData[NSW])),(tblData[[#This Row],[Au LogiP(t)]]-tblData[[#This Row],[Au]])^2,"")</f>
        <v>15.91843081216216</v>
      </c>
      <c r="AH56">
        <f>IF(tblData[Date]&gt;StartDt2NSW,tblData[Date]-StartDt2NSW,"")</f>
        <v>42</v>
      </c>
      <c r="AI56">
        <f t="shared" si="4"/>
        <v>28</v>
      </c>
      <c r="AJ56" s="11">
        <f>IF(tblData[Date]&gt;StartDt2NSW,betaNSW/(deltaNSW+betaPodeltaNSW*EXP(-betaNSW*tblData[[#This Row],[Day '# NSW]])),"")</f>
        <v>28.002733393114337</v>
      </c>
      <c r="AK56" s="12">
        <f>IF(AND(ISNUMBER(tblData[NSW]),tblData[Date]&gt;StartDt2NSW),(tblData[[#This Row],[NSW LogiP(t)]]-tblData[[#This Row],[NSW]])^2,"")</f>
        <v>7.4714379175034759E-6</v>
      </c>
      <c r="AL56" s="12">
        <f>IF(AND(tblData[Date]&gt;StartDt2NSW,ISNUMBER(tblData[Day'# Aust])),tblData[NSW LogiP(t)]/$AG$9,"")</f>
        <v>34.656848258804871</v>
      </c>
      <c r="AM56" s="11">
        <f>IF(AND(tblData[Date]&gt;StartDt2Italy,ISNUMBER(tblData[Days'# Italy])),betaItaly/(deltaItaly+betaPodeltaItaly*EXP(-betaItaly*tblData[Days'# Italy])),"")</f>
        <v>5898.3179262726126</v>
      </c>
      <c r="AN56" s="11">
        <f>IF(AND(tblData[Date]&gt;StartDt2Italy,ISNUMBER(tblData[Italy])),(tblData[[#This Row],[Italy LogiP(t)]]-tblData[[#This Row],[Italy]])^2,"")</f>
        <v>234.63886529319433</v>
      </c>
      <c r="AO56" s="44">
        <f>IF(AND(tblData[Date]&gt;StartDt2Italy,ISNUMBER(tblData[Days'# Italy])),tblData[[#This Row],[Italy LogiP(t)]]/$AM$9,"")</f>
        <v>975.73497539662742</v>
      </c>
      <c r="AP56" s="21">
        <f>IF(ISNUMBER(tblData[[#This Row],[Days'# US]]),betaUS/(deltaUS+betaPodeltaUS*EXP(-betaUS*tblData[Days'# US])),"")</f>
        <v>204.08920994507125</v>
      </c>
      <c r="AQ56" s="11">
        <f>IF(ISNUMBER(tblData[US]),(tblData[[#This Row],[US LogiP(t)]]-tblData[US])^2,"")</f>
        <v>38773.859240056227</v>
      </c>
      <c r="AR56" s="21">
        <f>IF(ISNUMBER(tblData[[#This Row],[Days'# US]]),tblData[[#This Row],[US LogiP(t)]]/$AP$9,"")</f>
        <v>6.1990282539877812</v>
      </c>
      <c r="AS56" s="21">
        <f>IF(tblData[Date]&gt;=StartDt2Korea,betaSKorea/(deltaSKorea+betaPodeltaSKorea*EXP(-betaSKorea*(tblData[Date]-StartDt2Korea))),"")</f>
        <v>7023.2438962379983</v>
      </c>
      <c r="AT56" s="21">
        <f>IF(AND(tblData[Date]&gt;=StartDt2Korea,ISNUMBER(tblData[SKorea])),(tblData[[#This Row],[SKorea LogiP(t)]]-tblData[[#This Row],[SKorea]])^2,"")</f>
        <v>315.27922080696942</v>
      </c>
      <c r="AU56" s="21">
        <f>IF(tblData[Date]&gt;=StartDt2Korea,tblData[[#This Row],[SKorea LogiP(t)]]/$AS$9,"")</f>
        <v>1366.3898630813228</v>
      </c>
      <c r="AV56" s="11">
        <f>IF(ISNUMBER(tblData[Days'# UK]),betaUK/(deltaUK+betaPodeltaUK*EXP(-betaUK*tblData[Days'# UK])),"")</f>
        <v>184.23541816177786</v>
      </c>
      <c r="AW56" s="21">
        <f>IF(ISNUMBER(tblData[UK]),(tblData[[#This Row],[UK LogiP(t)]]-tblData[[#This Row],[UK]])^2,"")</f>
        <v>518.22618626911344</v>
      </c>
      <c r="AX56" s="21">
        <f>IF(ISNUMBER(tblData[Days'# UK]),tblData[[#This Row],[UK LogiP(t)]]/$AV$9,"")</f>
        <v>27.729593341628213</v>
      </c>
      <c r="AY56" s="11">
        <f>IF(ISNUMBER(tblData[Days'# China]),betaChina/(deltaChina+betaPodeltaChina*EXP(-betaChina*tblData[Days'# China])),"")</f>
        <v>80761.837385343853</v>
      </c>
      <c r="AZ56" s="11">
        <f>IF(ISNUMBER(tblData[China]),(tblData[[#This Row],[China LogiP(t)]]-tblData[[#This Row],[China]])^2,"")</f>
        <v>66.628278024739529</v>
      </c>
      <c r="BA56" s="11">
        <f>tblData[[#This Row],[China LogiP(t)]]/$AY$9</f>
        <v>561.10959001724893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Y56"/>
      <c r="BZ56"/>
      <c r="CJ56" s="26"/>
      <c r="CK56" s="26"/>
      <c r="DE56" t="s">
        <v>58</v>
      </c>
      <c r="DF56" s="82">
        <v>43912.326678240737</v>
      </c>
      <c r="DG56" s="27">
        <v>43860</v>
      </c>
      <c r="DH56" s="27">
        <v>43860</v>
      </c>
      <c r="DI56">
        <v>2</v>
      </c>
      <c r="DJ56">
        <v>0.25947894792637805</v>
      </c>
      <c r="DK56">
        <v>4.2793930730069226E-6</v>
      </c>
      <c r="DL56">
        <v>0.44221157817092033</v>
      </c>
      <c r="DM56">
        <v>60634.520713483966</v>
      </c>
      <c r="DN56">
        <v>1498.6578455090564</v>
      </c>
      <c r="DO56">
        <v>0.58677128401401213</v>
      </c>
      <c r="DP56">
        <v>4.2793930730069228E-3</v>
      </c>
      <c r="DR56" s="27">
        <v>43911</v>
      </c>
      <c r="DS56" t="s">
        <v>1514</v>
      </c>
      <c r="DT56">
        <v>53578</v>
      </c>
      <c r="DU56" t="s">
        <v>772</v>
      </c>
      <c r="DV56" s="27">
        <v>43911</v>
      </c>
      <c r="DW56">
        <v>52</v>
      </c>
      <c r="DX56" t="s">
        <v>1515</v>
      </c>
      <c r="DZ56" t="s">
        <v>1516</v>
      </c>
      <c r="EB56" t="s">
        <v>1517</v>
      </c>
      <c r="EC56">
        <v>8863.1927212572373</v>
      </c>
      <c r="ED56">
        <v>43895</v>
      </c>
      <c r="EE56">
        <v>16</v>
      </c>
      <c r="EF56">
        <v>43894</v>
      </c>
      <c r="EG56">
        <v>18</v>
      </c>
    </row>
    <row r="57" spans="2:173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49">
        <f>IF(ISNUMBER(tblData[Italy]),tblData[Italy]/$N$9,"")</f>
        <v>1220.0165425971877</v>
      </c>
      <c r="O57">
        <v>514</v>
      </c>
      <c r="P57" s="49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5"/>
        <v>28</v>
      </c>
      <c r="Y57" s="26">
        <f t="shared" si="3"/>
        <v>46</v>
      </c>
      <c r="Z57" s="26">
        <f>IF(tblData[[#This Row],[Date]]&lt;StartDt2Korea,"",tblData[[#This Row],[Date]]-StartDt2Korea)</f>
        <v>18</v>
      </c>
      <c r="AA57" s="26">
        <f>IF(tblData[[#This Row],[Date]]&lt;UKStart,"",tblData[[#This Row],[Date]]-UKStart)</f>
        <v>38</v>
      </c>
      <c r="AB57">
        <f>IF(tblData[Date]&gt;=StartDt2Au,tblData[Date]-StartDt2Au,"")</f>
        <v>43</v>
      </c>
      <c r="AC57" s="26">
        <f>IF(tblData[New South Wales]&gt;0,SUM(tblData[[#This Row],[Australian Capital Territory]:[Western Australia]]),"")</f>
        <v>76</v>
      </c>
      <c r="AD57" s="12">
        <f>IF(ISNUMBER(tblData[Au]),tblData[Au]/$AA$9,"")</f>
        <v>29.963728118593281</v>
      </c>
      <c r="AE57" s="19">
        <f>IF(ISNUMBER(tblData[[#This Row],[Day'# Aust]]),betaAu/(deltaAu+betaPodeltaAu*EXP(-betaAu*tblData[[#This Row],[Day'# Aust]])),"")</f>
        <v>72.581646815973642</v>
      </c>
      <c r="AF57" s="72">
        <f>IF(ISNUMBER(tblData[Day'# Aust]),tblData[Au LogiP(t)]/$AD$9,"")</f>
        <v>28.616009626231527</v>
      </c>
      <c r="AG57" s="11">
        <f>IF(AND(tblData[Date]&gt;=StartDt2Au,ISNUMBER(tblData[NSW])),(tblData[[#This Row],[Au LogiP(t)]]-tblData[[#This Row],[Au]])^2,"")</f>
        <v>11.685138490743142</v>
      </c>
      <c r="AH57">
        <f>IF(tblData[Date]&gt;StartDt2NSW,tblData[Date]-StartDt2NSW,"")</f>
        <v>43</v>
      </c>
      <c r="AI57">
        <f t="shared" si="4"/>
        <v>38</v>
      </c>
      <c r="AJ57" s="11">
        <f>IF(tblData[Date]&gt;StartDt2NSW,betaNSW/(deltaNSW+betaPodeltaNSW*EXP(-betaNSW*tblData[[#This Row],[Day '# NSW]])),"")</f>
        <v>34.439984055529592</v>
      </c>
      <c r="AK57" s="12">
        <f>IF(AND(ISNUMBER(tblData[NSW]),tblData[Date]&gt;StartDt2NSW),(tblData[[#This Row],[NSW LogiP(t)]]-tblData[[#This Row],[NSW]])^2,"")</f>
        <v>12.673713524883528</v>
      </c>
      <c r="AL57" s="12">
        <f>IF(AND(tblData[Date]&gt;StartDt2NSW,ISNUMBER(tblData[Day'# Aust])),tblData[NSW LogiP(t)]/$AG$9,"")</f>
        <v>42.623742642982165</v>
      </c>
      <c r="AM57" s="11">
        <f>IF(AND(tblData[Date]&gt;StartDt2Italy,ISNUMBER(tblData[Days'# Italy])),betaItaly/(deltaItaly+betaPodeltaItaly*EXP(-betaItaly*tblData[Days'# Italy])),"")</f>
        <v>7431.5539936990263</v>
      </c>
      <c r="AN57" s="11">
        <f>IF(AND(tblData[Date]&gt;StartDt2Italy,ISNUMBER(tblData[Italy])),(tblData[[#This Row],[Italy LogiP(t)]]-tblData[[#This Row],[Italy]])^2,"")</f>
        <v>3198.3542033095009</v>
      </c>
      <c r="AO57" s="44">
        <f>IF(AND(tblData[Date]&gt;StartDt2Italy,ISNUMBER(tblData[Days'# Italy])),tblData[[#This Row],[Italy LogiP(t)]]/$AM$9,"")</f>
        <v>1229.372041968408</v>
      </c>
      <c r="AP57" s="21">
        <f>IF(ISNUMBER(tblData[[#This Row],[Days'# US]]),betaUS/(deltaUS+betaPodeltaUS*EXP(-betaUS*tblData[Days'# US])),"")</f>
        <v>288.88591654662571</v>
      </c>
      <c r="AQ57" s="11">
        <f>IF(ISNUMBER(tblData[US]),(tblData[[#This Row],[US LogiP(t)]]-tblData[US])^2,"")</f>
        <v>50676.350569052767</v>
      </c>
      <c r="AR57" s="21">
        <f>IF(ISNUMBER(tblData[[#This Row],[Days'# US]]),tblData[[#This Row],[US LogiP(t)]]/$AP$9,"")</f>
        <v>8.7746528066509235</v>
      </c>
      <c r="AS57" s="21">
        <f>IF(tblData[Date]&gt;=StartDt2Korea,betaSKorea/(deltaSKorea+betaPodeltaSKorea*EXP(-betaSKorea*(tblData[Date]-StartDt2Korea))),"")</f>
        <v>7349.1257703790943</v>
      </c>
      <c r="AT57" s="21">
        <f>IF(AND(tblData[Date]&gt;=StartDt2Korea,ISNUMBER(tblData[SKorea])),(tblData[[#This Row],[SKorea LogiP(t)]]-tblData[[#This Row],[SKorea]])^2,"")</f>
        <v>1233.8197447248599</v>
      </c>
      <c r="AU57" s="21">
        <f>IF(tblData[Date]&gt;=StartDt2Korea,tblData[[#This Row],[SKorea LogiP(t)]]/$AS$9,"")</f>
        <v>1429.7910059103297</v>
      </c>
      <c r="AV57" s="11">
        <f>IF(ISNUMBER(tblData[Days'# UK]),betaUK/(deltaUK+betaPodeltaUK*EXP(-betaUK*tblData[Days'# UK])),"")</f>
        <v>233.16284350060639</v>
      </c>
      <c r="AW57" s="21">
        <f>IF(ISNUMBER(tblData[UK]),(tblData[[#This Row],[UK LogiP(t)]]-tblData[[#This Row],[UK]])^2,"")</f>
        <v>1667.673350955966</v>
      </c>
      <c r="AX57" s="21">
        <f>IF(ISNUMBER(tblData[Days'# UK]),tblData[[#This Row],[UK LogiP(t)]]/$AV$9,"")</f>
        <v>35.09374525897146</v>
      </c>
      <c r="AY57" s="11">
        <f>IF(ISNUMBER(tblData[Days'# China]),betaChina/(deltaChina+betaPodeltaChina*EXP(-betaChina*tblData[Days'# China])),"")</f>
        <v>80799.622487237852</v>
      </c>
      <c r="AZ57" s="11">
        <f>IF(ISNUMBER(tblData[China]),(tblData[[#This Row],[China LogiP(t)]]-tblData[[#This Row],[China]])^2,"")</f>
        <v>546.50810294441123</v>
      </c>
      <c r="BA57" s="11">
        <f>tblData[[#This Row],[China LogiP(t)]]/$AY$9</f>
        <v>561.37210983748696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6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Y57"/>
      <c r="BZ57"/>
      <c r="CJ57" s="26"/>
      <c r="CK57" s="26"/>
      <c r="DE57" s="55" t="s">
        <v>486</v>
      </c>
      <c r="DF57" s="82">
        <v>43912.326689814814</v>
      </c>
      <c r="DG57" s="27">
        <v>43852</v>
      </c>
      <c r="DH57" s="27">
        <v>43870</v>
      </c>
      <c r="DI57" s="55">
        <v>3</v>
      </c>
      <c r="DJ57" s="55">
        <v>0.34769529183841918</v>
      </c>
      <c r="DK57" s="55">
        <v>9.0410268503126118E-7</v>
      </c>
      <c r="DL57" s="55">
        <v>1.7099861863491616E-2</v>
      </c>
      <c r="DM57" s="55">
        <v>384575.00192734954</v>
      </c>
      <c r="DN57" s="55">
        <v>373.46102354388694</v>
      </c>
      <c r="DO57" s="55">
        <v>20.333221353133922</v>
      </c>
      <c r="DP57" s="55">
        <v>9.0410268503126115E-4</v>
      </c>
      <c r="DQ57" s="55"/>
      <c r="DR57" s="27">
        <v>43911</v>
      </c>
      <c r="DS57" s="55" t="s">
        <v>1518</v>
      </c>
      <c r="DT57" s="55">
        <v>24148</v>
      </c>
      <c r="DU57" s="55" t="s">
        <v>1519</v>
      </c>
      <c r="DV57" s="27">
        <v>43911</v>
      </c>
      <c r="DW57" s="55">
        <v>42</v>
      </c>
      <c r="DX57" s="55" t="s">
        <v>1520</v>
      </c>
      <c r="DY57" s="55"/>
      <c r="DZ57" s="55" t="s">
        <v>1521</v>
      </c>
      <c r="EA57" s="55" t="s">
        <v>982</v>
      </c>
      <c r="EB57" s="55" t="s">
        <v>1522</v>
      </c>
      <c r="EC57" s="55">
        <v>733.47402499909595</v>
      </c>
      <c r="ED57" s="55">
        <v>43910</v>
      </c>
      <c r="EE57" s="55">
        <v>1</v>
      </c>
      <c r="EF57" s="55">
        <v>43910</v>
      </c>
      <c r="EG57" s="55">
        <v>2</v>
      </c>
    </row>
    <row r="58" spans="2:173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49">
        <f>IF(ISNUMBER(tblData[Italy]),tblData[Italy]/$N$9,"")</f>
        <v>1517.2870140612076</v>
      </c>
      <c r="O58">
        <v>579</v>
      </c>
      <c r="P58" s="49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5"/>
        <v>29</v>
      </c>
      <c r="Y58" s="26">
        <f t="shared" si="3"/>
        <v>47</v>
      </c>
      <c r="Z58" s="26">
        <f>IF(tblData[[#This Row],[Date]]&lt;StartDt2Korea,"",tblData[[#This Row],[Date]]-StartDt2Korea)</f>
        <v>19</v>
      </c>
      <c r="AA58" s="26">
        <f>IF(tblData[[#This Row],[Date]]&lt;UKStart,"",tblData[[#This Row],[Date]]-UKStart)</f>
        <v>39</v>
      </c>
      <c r="AB58">
        <f>IF(tblData[Date]&gt;=StartDt2Au,tblData[Date]-StartDt2Au,"")</f>
        <v>44</v>
      </c>
      <c r="AC58" s="26">
        <f>IF(tblData[New South Wales]&gt;0,SUM(tblData[[#This Row],[Australian Capital Territory]:[Western Australia]]),"")</f>
        <v>91</v>
      </c>
      <c r="AD58" s="12">
        <f>IF(ISNUMBER(tblData[Au]),tblData[Au]/$AA$9,"")</f>
        <v>35.87762182621038</v>
      </c>
      <c r="AE58" s="19">
        <f>IF(ISNUMBER(tblData[[#This Row],[Day'# Aust]]),betaAu/(deltaAu+betaPodeltaAu*EXP(-betaAu*tblData[[#This Row],[Day'# Aust]])),"")</f>
        <v>89.274304371524011</v>
      </c>
      <c r="AF58" s="72">
        <f>IF(ISNUMBER(tblData[Day'# Aust]),tblData[Au LogiP(t)]/$AD$9,"")</f>
        <v>35.19724979164328</v>
      </c>
      <c r="AG58" s="11">
        <f>IF(AND(tblData[Date]&gt;=StartDt2Au,ISNUMBER(tblData[NSW])),(tblData[[#This Row],[Au LogiP(t)]]-tblData[[#This Row],[Au]])^2,"")</f>
        <v>2.9780254021411401</v>
      </c>
      <c r="AH58">
        <f>IF(tblData[Date]&gt;StartDt2NSW,tblData[Date]-StartDt2NSW,"")</f>
        <v>44</v>
      </c>
      <c r="AI58">
        <f t="shared" si="4"/>
        <v>48</v>
      </c>
      <c r="AJ58" s="11">
        <f>IF(tblData[Date]&gt;StartDt2NSW,betaNSW/(deltaNSW+betaPodeltaNSW*EXP(-betaNSW*tblData[[#This Row],[Day '# NSW]])),"")</f>
        <v>42.333795592095491</v>
      </c>
      <c r="AK58" s="12">
        <f>IF(AND(ISNUMBER(tblData[NSW]),tblData[Date]&gt;StartDt2NSW),(tblData[[#This Row],[NSW LogiP(t)]]-tblData[[#This Row],[NSW]])^2,"")</f>
        <v>32.105872392156485</v>
      </c>
      <c r="AL58" s="12">
        <f>IF(AND(tblData[Date]&gt;StartDt2NSW,ISNUMBER(tblData[Day'# Aust])),tblData[NSW LogiP(t)]/$AG$9,"")</f>
        <v>52.393311376355804</v>
      </c>
      <c r="AM58" s="11">
        <f>IF(AND(tblData[Date]&gt;StartDt2Italy,ISNUMBER(tblData[Days'# Italy])),betaItaly/(deltaItaly+betaPodeltaItaly*EXP(-betaItaly*tblData[Days'# Italy])),"")</f>
        <v>9295.6610659797789</v>
      </c>
      <c r="AN58" s="11">
        <f>IF(AND(tblData[Date]&gt;StartDt2Italy,ISNUMBER(tblData[Italy])),(tblData[[#This Row],[Italy LogiP(t)]]-tblData[[#This Row],[Italy]])^2,"")</f>
        <v>15292.059239255223</v>
      </c>
      <c r="AO58" s="44">
        <f>IF(AND(tblData[Date]&gt;StartDt2Italy,ISNUMBER(tblData[Days'# Italy])),tblData[[#This Row],[Italy LogiP(t)]]/$AM$9,"")</f>
        <v>1537.7437660843307</v>
      </c>
      <c r="AP58" s="21">
        <f>IF(ISNUMBER(tblData[[#This Row],[Days'# US]]),betaUS/(deltaUS+betaPodeltaUS*EXP(-betaUS*tblData[Days'# US])),"")</f>
        <v>408.87719579816059</v>
      </c>
      <c r="AQ58" s="11">
        <f>IF(ISNUMBER(tblData[US]),(tblData[[#This Row],[US LogiP(t)]]-tblData[US])^2,"")</f>
        <v>28941.768509497389</v>
      </c>
      <c r="AR58" s="21">
        <f>IF(ISNUMBER(tblData[[#This Row],[Days'# US]]),tblData[[#This Row],[US LogiP(t)]]/$AP$9,"")</f>
        <v>12.419281204754858</v>
      </c>
      <c r="AS58" s="21">
        <f>IF(tblData[Date]&gt;=StartDt2Korea,betaSKorea/(deltaSKorea+betaPodeltaSKorea*EXP(-betaSKorea*(tblData[Date]-StartDt2Korea))),"")</f>
        <v>7605.2453716240716</v>
      </c>
      <c r="AT58" s="21">
        <f>IF(AND(tblData[Date]&gt;=StartDt2Korea,ISNUMBER(tblData[SKorea])),(tblData[[#This Row],[SKorea LogiP(t)]]-tblData[[#This Row],[SKorea]])^2,"")</f>
        <v>16191.384599748084</v>
      </c>
      <c r="AU58" s="21">
        <f>IF(tblData[Date]&gt;=StartDt2Korea,tblData[[#This Row],[SKorea LogiP(t)]]/$AS$9,"")</f>
        <v>1479.6197221058505</v>
      </c>
      <c r="AV58" s="11">
        <f>IF(ISNUMBER(tblData[Days'# UK]),betaUK/(deltaUK+betaPodeltaUK*EXP(-betaUK*tblData[Days'# UK])),"")</f>
        <v>295.08391563595774</v>
      </c>
      <c r="AW58" s="21">
        <f>IF(ISNUMBER(tblData[UK]),(tblData[[#This Row],[UK LogiP(t)]]-tblData[[#This Row],[UK]])^2,"")</f>
        <v>724.47559749224035</v>
      </c>
      <c r="AX58" s="21">
        <f>IF(ISNUMBER(tblData[Days'# UK]),tblData[[#This Row],[UK LogiP(t)]]/$AV$9,"")</f>
        <v>44.413593563509593</v>
      </c>
      <c r="AY58" s="11">
        <f>IF(ISNUMBER(tblData[Days'# China]),betaChina/(deltaChina+betaPodeltaChina*EXP(-betaChina*tblData[Days'# China])),"")</f>
        <v>80829.906331503938</v>
      </c>
      <c r="AZ58" s="11">
        <f>IF(ISNUMBER(tblData[China]),(tblData[[#This Row],[China LogiP(t)]]-tblData[[#This Row],[China]])^2,"")</f>
        <v>905.62888355084931</v>
      </c>
      <c r="BA58" s="11">
        <f>tblData[[#This Row],[China LogiP(t)]]/$AY$9</f>
        <v>561.58251311693709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6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Y58"/>
      <c r="BZ58"/>
      <c r="CJ58" s="26"/>
      <c r="CK58" s="26"/>
      <c r="DE58" t="s">
        <v>225</v>
      </c>
      <c r="DF58" s="82">
        <v>43912.32671296296</v>
      </c>
      <c r="DG58" s="27">
        <v>43852</v>
      </c>
      <c r="DH58" s="27">
        <v>43852</v>
      </c>
      <c r="DI58">
        <v>4</v>
      </c>
      <c r="DJ58">
        <v>0.2221429979133962</v>
      </c>
      <c r="DK58">
        <v>2.7441363716222279E-6</v>
      </c>
      <c r="DL58">
        <v>1537.6493038446686</v>
      </c>
      <c r="DM58">
        <v>80951.879873985206</v>
      </c>
      <c r="DN58">
        <v>2077.0848925572823</v>
      </c>
      <c r="DO58">
        <v>1.4172508515890487E-4</v>
      </c>
      <c r="DP58">
        <v>2.7441363716222281E-3</v>
      </c>
      <c r="DR58" s="27">
        <v>43911</v>
      </c>
      <c r="DS58" t="s">
        <v>1478</v>
      </c>
      <c r="DT58">
        <v>81304</v>
      </c>
      <c r="DU58" t="s">
        <v>978</v>
      </c>
      <c r="DV58" s="27">
        <v>43911</v>
      </c>
      <c r="DW58">
        <v>60</v>
      </c>
      <c r="DX58" t="s">
        <v>1477</v>
      </c>
      <c r="DZ58" t="s">
        <v>980</v>
      </c>
      <c r="EB58" t="s">
        <v>1523</v>
      </c>
      <c r="EC58">
        <v>564.87637705777752</v>
      </c>
      <c r="ED58">
        <v>43886</v>
      </c>
      <c r="EE58">
        <v>25</v>
      </c>
      <c r="EF58">
        <v>43875</v>
      </c>
      <c r="EG58">
        <v>37</v>
      </c>
    </row>
    <row r="59" spans="2:173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49">
        <f>IF(ISNUMBER(tblData[Italy]),tblData[Italy]/$N$9,"")</f>
        <v>1678.9081885856081</v>
      </c>
      <c r="O59">
        <v>959</v>
      </c>
      <c r="P59" s="49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5"/>
        <v>30</v>
      </c>
      <c r="Y59" s="26">
        <f t="shared" si="3"/>
        <v>48</v>
      </c>
      <c r="Z59" s="26">
        <f>IF(tblData[[#This Row],[Date]]&lt;StartDt2Korea,"",tblData[[#This Row],[Date]]-StartDt2Korea)</f>
        <v>20</v>
      </c>
      <c r="AA59" s="26">
        <f>IF(tblData[[#This Row],[Date]]&lt;UKStart,"",tblData[[#This Row],[Date]]-UKStart)</f>
        <v>40</v>
      </c>
      <c r="AB59">
        <f>IF(tblData[Date]&gt;=StartDt2Au,tblData[Date]-StartDt2Au,"")</f>
        <v>45</v>
      </c>
      <c r="AC59" s="26">
        <f>IF(tblData[New South Wales]&gt;0,SUM(tblData[[#This Row],[Australian Capital Territory]:[Western Australia]]),"")</f>
        <v>107</v>
      </c>
      <c r="AD59" s="12">
        <f>IF(ISNUMBER(tblData[Au]),tblData[Au]/$AA$9,"")</f>
        <v>42.185775114335279</v>
      </c>
      <c r="AE59" s="19">
        <f>IF(ISNUMBER(tblData[[#This Row],[Day'# Aust]]),betaAu/(deltaAu+betaPodeltaAu*EXP(-betaAu*tblData[[#This Row],[Day'# Aust]])),"")</f>
        <v>109.80601326691956</v>
      </c>
      <c r="AF59" s="72">
        <f>IF(ISNUMBER(tblData[Day'# Aust]),tblData[Au LogiP(t)]/$AD$9,"")</f>
        <v>43.292072727850325</v>
      </c>
      <c r="AG59" s="11">
        <f>IF(AND(tblData[Date]&gt;=StartDt2Au,ISNUMBER(tblData[NSW])),(tblData[[#This Row],[Au LogiP(t)]]-tblData[[#This Row],[Au]])^2,"")</f>
        <v>7.873710454128604</v>
      </c>
      <c r="AH59">
        <f>IF(tblData[Date]&gt;StartDt2NSW,tblData[Date]-StartDt2NSW,"")</f>
        <v>45</v>
      </c>
      <c r="AI59">
        <f t="shared" si="4"/>
        <v>55</v>
      </c>
      <c r="AJ59" s="11">
        <f>IF(tblData[Date]&gt;StartDt2NSW,betaNSW/(deltaNSW+betaPodeltaNSW*EXP(-betaNSW*tblData[[#This Row],[Day '# NSW]])),"")</f>
        <v>52.001933956529612</v>
      </c>
      <c r="AK59" s="12">
        <f>IF(AND(ISNUMBER(tblData[NSW]),tblData[Date]&gt;StartDt2NSW),(tblData[[#This Row],[NSW LogiP(t)]]-tblData[[#This Row],[NSW]])^2,"")</f>
        <v>8.9884000010101861</v>
      </c>
      <c r="AL59" s="12">
        <f>IF(AND(tblData[Date]&gt;StartDt2NSW,ISNUMBER(tblData[Day'# Aust])),tblData[NSW LogiP(t)]/$AG$9,"")</f>
        <v>64.358829154120798</v>
      </c>
      <c r="AM59" s="11">
        <f>IF(AND(tblData[Date]&gt;StartDt2Italy,ISNUMBER(tblData[Days'# Italy])),betaItaly/(deltaItaly+betaPodeltaItaly*EXP(-betaItaly*tblData[Days'# Italy])),"")</f>
        <v>11526.055342167278</v>
      </c>
      <c r="AN59" s="11">
        <f>IF(AND(tblData[Date]&gt;StartDt2Italy,ISNUMBER(tblData[Italy])),(tblData[[#This Row],[Italy LogiP(t)]]-tblData[[#This Row],[Italy]])^2,"")</f>
        <v>1896281.4153914379</v>
      </c>
      <c r="AO59" s="44">
        <f>IF(AND(tblData[Date]&gt;StartDt2Italy,ISNUMBER(tblData[Days'# Italy])),tblData[[#This Row],[Italy LogiP(t)]]/$AM$9,"")</f>
        <v>1906.7089068928499</v>
      </c>
      <c r="AP59" s="21">
        <f>IF(ISNUMBER(tblData[[#This Row],[Days'# US]]),betaUS/(deltaUS+betaPodeltaUS*EXP(-betaUS*tblData[Days'# US])),"")</f>
        <v>578.63285208555715</v>
      </c>
      <c r="AQ59" s="11">
        <f>IF(ISNUMBER(tblData[US]),(tblData[[#This Row],[US LogiP(t)]]-tblData[US])^2,"")</f>
        <v>144679.16721256764</v>
      </c>
      <c r="AR59" s="21">
        <f>IF(ISNUMBER(tblData[[#This Row],[Days'# US]]),tblData[[#This Row],[US LogiP(t)]]/$AP$9,"")</f>
        <v>17.575458299482364</v>
      </c>
      <c r="AS59" s="21">
        <f>IF(tblData[Date]&gt;=StartDt2Korea,betaSKorea/(deltaSKorea+betaPodeltaSKorea*EXP(-betaSKorea*(tblData[Date]-StartDt2Korea))),"")</f>
        <v>7802.602935479169</v>
      </c>
      <c r="AT59" s="21">
        <f>IF(AND(tblData[Date]&gt;=StartDt2Korea,ISNUMBER(tblData[SKorea])),(tblData[[#This Row],[SKorea LogiP(t)]]-tblData[[#This Row],[SKorea]])^2,"")</f>
        <v>83869.860238151712</v>
      </c>
      <c r="AU59" s="21">
        <f>IF(tblData[Date]&gt;=StartDt2Korea,tblData[[#This Row],[SKorea LogiP(t)]]/$AS$9,"")</f>
        <v>1518.0161353072315</v>
      </c>
      <c r="AV59" s="11">
        <f>IF(ISNUMBER(tblData[Days'# UK]),betaUK/(deltaUK+betaPodeltaUK*EXP(-betaUK*tblData[Days'# UK])),"")</f>
        <v>373.44934501628944</v>
      </c>
      <c r="AW59" s="21">
        <f>IF(ISNUMBER(tblData[UK]),(tblData[[#This Row],[UK LogiP(t)]]-tblData[[#This Row],[UK]])^2,"")</f>
        <v>111.31632058529644</v>
      </c>
      <c r="AX59" s="21">
        <f>IF(ISNUMBER(tblData[Days'# UK]),tblData[[#This Row],[UK LogiP(t)]]/$AV$9,"")</f>
        <v>56.208510688785282</v>
      </c>
      <c r="AY59" s="11">
        <f>IF(ISNUMBER(tblData[Days'# China]),betaChina/(deltaChina+betaPodeltaChina*EXP(-betaChina*tblData[Days'# China])),"")</f>
        <v>80854.174032718685</v>
      </c>
      <c r="AZ59" s="11">
        <f>IF(ISNUMBER(tblData[China]),(tblData[[#This Row],[China LogiP(t)]]-tblData[[#This Row],[China]])^2,"")</f>
        <v>1077.5441279539407</v>
      </c>
      <c r="BA59" s="11">
        <f>tblData[[#This Row],[China LogiP(t)]]/$AY$9</f>
        <v>561.75111799666877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6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Y59"/>
      <c r="BZ59"/>
      <c r="CJ59" s="26"/>
      <c r="CK59" s="26"/>
      <c r="DE59" t="s">
        <v>1293</v>
      </c>
      <c r="DF59" s="82">
        <v>43912.32671296296</v>
      </c>
      <c r="DG59" s="27">
        <v>43852</v>
      </c>
      <c r="DH59" s="27">
        <v>43880</v>
      </c>
      <c r="DI59">
        <v>5</v>
      </c>
      <c r="DJ59">
        <v>0.32050342361704887</v>
      </c>
      <c r="DK59">
        <v>3.8255187244755717E-5</v>
      </c>
      <c r="DL59">
        <v>182.78805705771839</v>
      </c>
      <c r="DM59">
        <v>8378.0382923360467</v>
      </c>
      <c r="DN59">
        <v>160.37089883020292</v>
      </c>
      <c r="DO59">
        <v>1.7151603737940299E-3</v>
      </c>
      <c r="DP59">
        <v>3.8255187244755719E-2</v>
      </c>
      <c r="DR59" s="27">
        <v>43911</v>
      </c>
      <c r="DS59" t="s">
        <v>1524</v>
      </c>
      <c r="DT59">
        <v>8799</v>
      </c>
      <c r="DU59" t="s">
        <v>1525</v>
      </c>
      <c r="DV59" s="27">
        <v>43911</v>
      </c>
      <c r="DW59">
        <v>60</v>
      </c>
      <c r="DX59" t="s">
        <v>1526</v>
      </c>
      <c r="DZ59" t="s">
        <v>1527</v>
      </c>
      <c r="EA59" t="s">
        <v>1302</v>
      </c>
      <c r="EB59" t="s">
        <v>1528</v>
      </c>
      <c r="EC59">
        <v>1711.8677042801557</v>
      </c>
      <c r="ED59">
        <v>43890</v>
      </c>
      <c r="EE59">
        <v>21</v>
      </c>
      <c r="EF59">
        <v>43889</v>
      </c>
      <c r="EG59">
        <v>23</v>
      </c>
    </row>
    <row r="60" spans="2:173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49">
        <f>IF(ISNUMBER(tblData[Italy]),tblData[Italy]/$N$9,"")</f>
        <v>2061.5384615384614</v>
      </c>
      <c r="O60">
        <v>1281</v>
      </c>
      <c r="P60" s="49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5"/>
        <v>31</v>
      </c>
      <c r="Y60" s="26">
        <f t="shared" si="3"/>
        <v>49</v>
      </c>
      <c r="Z60" s="26">
        <f>IF(tblData[[#This Row],[Date]]&lt;StartDt2Korea,"",tblData[[#This Row],[Date]]-StartDt2Korea)</f>
        <v>21</v>
      </c>
      <c r="AA60" s="26">
        <f>IF(tblData[[#This Row],[Date]]&lt;UKStart,"",tblData[[#This Row],[Date]]-UKStart)</f>
        <v>41</v>
      </c>
      <c r="AB60">
        <f>IF(tblData[Date]&gt;=StartDt2Au,tblData[Date]-StartDt2Au,"")</f>
        <v>46</v>
      </c>
      <c r="AC60" s="26">
        <f>IF(tblData[New South Wales]&gt;0,SUM(tblData[[#This Row],[Australian Capital Territory]:[Western Australia]]),"")</f>
        <v>128</v>
      </c>
      <c r="AD60" s="12">
        <f>IF(ISNUMBER(tblData[Au]),tblData[Au]/$AA$9,"")</f>
        <v>50.465226304999213</v>
      </c>
      <c r="AE60" s="19">
        <f>IF(ISNUMBER(tblData[[#This Row],[Day'# Aust]]),betaAu/(deltaAu+betaPodeltaAu*EXP(-betaAu*tblData[[#This Row],[Day'# Aust]])),"")</f>
        <v>135.05969449342294</v>
      </c>
      <c r="AF60" s="72">
        <f>IF(ISNUMBER(tblData[Day'# Aust]),tblData[Au LogiP(t)]/$AD$9,"")</f>
        <v>53.248578494489408</v>
      </c>
      <c r="AG60" s="11">
        <f>IF(AND(tblData[Date]&gt;=StartDt2Au,ISNUMBER(tblData[NSW])),(tblData[[#This Row],[Au LogiP(t)]]-tblData[[#This Row],[Au]])^2,"")</f>
        <v>49.83928634046616</v>
      </c>
      <c r="AH60">
        <f>IF(tblData[Date]&gt;StartDt2NSW,tblData[Date]-StartDt2NSW,"")</f>
        <v>46</v>
      </c>
      <c r="AI60" s="26">
        <f t="shared" si="4"/>
        <v>65</v>
      </c>
      <c r="AJ60" s="11">
        <f>IF(tblData[Date]&gt;StartDt2NSW,betaNSW/(deltaNSW+betaPodeltaNSW*EXP(-betaNSW*tblData[[#This Row],[Day '# NSW]])),"")</f>
        <v>63.825531502146625</v>
      </c>
      <c r="AK60" s="12">
        <f>IF(AND(ISNUMBER(tblData[NSW]),tblData[Date]&gt;StartDt2NSW),(tblData[[#This Row],[NSW LogiP(t)]]-tblData[[#This Row],[NSW]])^2,"")</f>
        <v>1.3793762524499642</v>
      </c>
      <c r="AL60" s="12">
        <f>IF(AND(tblData[Date]&gt;StartDt2NSW,ISNUMBER(tblData[Day'# Aust])),tblData[NSW LogiP(t)]/$AG$9,"")</f>
        <v>78.991994433349774</v>
      </c>
      <c r="AM60" s="11">
        <f>IF(AND(tblData[Date]&gt;StartDt2Italy,ISNUMBER(tblData[Days'# Italy])),betaItaly/(deltaItaly+betaPodeltaItaly*EXP(-betaItaly*tblData[Days'# Italy])),"")</f>
        <v>14144.169199044063</v>
      </c>
      <c r="AN60" s="11">
        <f>IF(AND(tblData[Date]&gt;StartDt2Italy,ISNUMBER(tblData[Italy])),(tblData[[#This Row],[Italy LogiP(t)]]-tblData[[#This Row],[Italy]])^2,"")</f>
        <v>2829693.2142125447</v>
      </c>
      <c r="AO60" s="44">
        <f>IF(AND(tblData[Date]&gt;StartDt2Italy,ISNUMBER(tblData[Days'# Italy])),tblData[[#This Row],[Italy LogiP(t)]]/$AM$9,"")</f>
        <v>2339.812936152864</v>
      </c>
      <c r="AP60" s="21">
        <f>IF(ISNUMBER(tblData[[#This Row],[Days'# US]]),betaUS/(deltaUS+betaPodeltaUS*EXP(-betaUS*tblData[Days'# US])),"")</f>
        <v>818.71664050845311</v>
      </c>
      <c r="AQ60" s="11">
        <f>IF(ISNUMBER(tblData[US]),(tblData[[#This Row],[US LogiP(t)]]-tblData[US])^2,"")</f>
        <v>213705.90446279079</v>
      </c>
      <c r="AR60" s="21">
        <f>IF(ISNUMBER(tblData[[#This Row],[Days'# US]]),tblData[[#This Row],[US LogiP(t)]]/$AP$9,"")</f>
        <v>24.867789864480415</v>
      </c>
      <c r="AS60" s="21">
        <f>IF(tblData[Date]&gt;=StartDt2Korea,betaSKorea/(deltaSKorea+betaPodeltaSKorea*EXP(-betaSKorea*(tblData[Date]-StartDt2Korea))),"")</f>
        <v>7952.3798195763093</v>
      </c>
      <c r="AT60" s="21">
        <f>IF(AND(tblData[Date]&gt;=StartDt2Korea,ISNUMBER(tblData[SKorea])),(tblData[[#This Row],[SKorea LogiP(t)]]-tblData[[#This Row],[SKorea]])^2,"")</f>
        <v>38958.793175976403</v>
      </c>
      <c r="AU60" s="21">
        <f>IF(tblData[Date]&gt;=StartDt2Korea,tblData[[#This Row],[SKorea LogiP(t)]]/$AS$9,"")</f>
        <v>1547.155606921461</v>
      </c>
      <c r="AV60" s="11">
        <f>IF(ISNUMBER(tblData[Days'# UK]),betaUK/(deltaUK+betaPodeltaUK*EXP(-betaUK*tblData[Days'# UK])),"")</f>
        <v>472.62623809576678</v>
      </c>
      <c r="AW60" s="21">
        <f>IF(ISNUMBER(tblData[UK]),(tblData[[#This Row],[UK LogiP(t)]]-tblData[[#This Row],[UK]])^2,"")</f>
        <v>185.67436464252589</v>
      </c>
      <c r="AX60" s="21">
        <f>IF(ISNUMBER(tblData[Days'# UK]),tblData[[#This Row],[UK LogiP(t)]]/$AV$9,"")</f>
        <v>71.135797425612097</v>
      </c>
      <c r="AY60" s="11">
        <f>IF(ISNUMBER(tblData[Days'# China]),betaChina/(deltaChina+betaPodeltaChina*EXP(-betaChina*tblData[Days'# China])),"")</f>
        <v>80873.618137762693</v>
      </c>
      <c r="AZ60" s="11">
        <f>IF(ISNUMBER(tblData[China]),(tblData[[#This Row],[China LogiP(t)]]-tblData[[#This Row],[China]])^2,"")</f>
        <v>2245.0408690751733</v>
      </c>
      <c r="BA60" s="11">
        <f>tblData[[#This Row],[China LogiP(t)]]/$AY$9</f>
        <v>561.8862099430969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6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Y60"/>
      <c r="BZ60"/>
      <c r="CJ60" s="26"/>
      <c r="CK60" s="26"/>
      <c r="DE60" t="s">
        <v>1252</v>
      </c>
      <c r="DF60" s="82">
        <v>43912.326736111114</v>
      </c>
      <c r="DG60" s="27">
        <v>43860</v>
      </c>
      <c r="DH60" s="27">
        <v>43860</v>
      </c>
      <c r="DI60">
        <v>6</v>
      </c>
      <c r="DJ60">
        <v>0.23552292998723806</v>
      </c>
      <c r="DK60">
        <v>9.9999999999999903E-10</v>
      </c>
      <c r="DL60">
        <v>3.0253807305994522E-2</v>
      </c>
      <c r="DM60">
        <v>235522929.98723829</v>
      </c>
      <c r="DN60">
        <v>71.58354260153051</v>
      </c>
      <c r="DO60">
        <v>7.7849021637127134</v>
      </c>
      <c r="DP60">
        <v>9.9999999999999911E-7</v>
      </c>
      <c r="DR60" s="27">
        <v>43911</v>
      </c>
      <c r="DS60" t="s">
        <v>1529</v>
      </c>
      <c r="DT60">
        <v>5049</v>
      </c>
      <c r="DU60" t="s">
        <v>1530</v>
      </c>
      <c r="DV60" s="27">
        <v>43911</v>
      </c>
      <c r="DW60">
        <v>52</v>
      </c>
      <c r="DX60" t="s">
        <v>1531</v>
      </c>
      <c r="DZ60" t="s">
        <v>1532</v>
      </c>
      <c r="EB60" t="s">
        <v>1533</v>
      </c>
      <c r="EC60">
        <v>759.93377483443703</v>
      </c>
      <c r="ED60">
        <v>43910</v>
      </c>
      <c r="EE60">
        <v>1</v>
      </c>
      <c r="EF60">
        <v>43910</v>
      </c>
      <c r="EG60">
        <v>2</v>
      </c>
    </row>
    <row r="61" spans="2:173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49">
        <f>IF(ISNUMBER(tblData[Italy]),tblData[Italy]/$N$9,"")</f>
        <v>2500.082712985939</v>
      </c>
      <c r="O61">
        <v>1663</v>
      </c>
      <c r="P61" s="49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7">IF($B61&lt;BM$14+18,"",$B61-BM$14-18)</f>
        <v>32</v>
      </c>
      <c r="Y61" s="26">
        <f t="shared" si="3"/>
        <v>50</v>
      </c>
      <c r="Z61" s="26">
        <f>IF(tblData[[#This Row],[Date]]&lt;StartDt2Korea,"",tblData[[#This Row],[Date]]-StartDt2Korea)</f>
        <v>22</v>
      </c>
      <c r="AA61" s="26">
        <f>IF(tblData[[#This Row],[Date]]&lt;UKStart,"",tblData[[#This Row],[Date]]-UKStart)</f>
        <v>42</v>
      </c>
      <c r="AB61">
        <f>IF(tblData[Date]&gt;=StartDt2Au,tblData[Date]-StartDt2Au,"")</f>
        <v>47</v>
      </c>
      <c r="AC61" s="26">
        <f>IF(tblData[New South Wales]&gt;0,SUM(tblData[[#This Row],[Australian Capital Territory]:[Western Australia]]),"")</f>
        <v>145</v>
      </c>
      <c r="AD61" s="12">
        <f>IF(ISNUMBER(tblData[Au]),tblData[Au]/$AA$9,"")</f>
        <v>57.167639173631919</v>
      </c>
      <c r="AE61" s="19">
        <f>IF(ISNUMBER(tblData[[#This Row],[Day'# Aust]]),betaAu/(deltaAu+betaPodeltaAu*EXP(-betaAu*tblData[[#This Row],[Day'# Aust]])),"")</f>
        <v>166.12132634771766</v>
      </c>
      <c r="AF61" s="72">
        <f>IF(ISNUMBER(tblData[Day'# Aust]),tblData[Au LogiP(t)]/$AD$9,"")</f>
        <v>65.494924439251562</v>
      </c>
      <c r="AG61" s="11">
        <f>IF(AND(tblData[Date]&gt;=StartDt2Au,ISNUMBER(tblData[NSW])),(tblData[[#This Row],[Au LogiP(t)]]-tblData[[#This Row],[Au]])^2,"")</f>
        <v>446.11042668679204</v>
      </c>
      <c r="AH61">
        <f>IF(tblData[Date]&gt;StartDt2NSW,tblData[Date]-StartDt2NSW,"")</f>
        <v>47</v>
      </c>
      <c r="AI61" s="26">
        <f t="shared" si="4"/>
        <v>75</v>
      </c>
      <c r="AJ61" s="11">
        <f>IF(tblData[Date]&gt;StartDt2NSW,betaNSW/(deltaNSW+betaPodeltaNSW*EXP(-betaNSW*tblData[[#This Row],[Day '# NSW]])),"")</f>
        <v>78.258726113797422</v>
      </c>
      <c r="AK61" s="12">
        <f>IF(AND(ISNUMBER(tblData[NSW]),tblData[Date]&gt;StartDt2NSW),(tblData[[#This Row],[NSW LogiP(t)]]-tblData[[#This Row],[NSW]])^2,"")</f>
        <v>10.619295884745251</v>
      </c>
      <c r="AL61" s="12">
        <f>IF(AND(tblData[Date]&gt;StartDt2NSW,ISNUMBER(tblData[Day'# Aust])),tblData[NSW LogiP(t)]/$AG$9,"")</f>
        <v>96.854859051729477</v>
      </c>
      <c r="AM61" s="11">
        <f>IF(AND(tblData[Date]&gt;StartDt2Italy,ISNUMBER(tblData[Days'# Italy])),betaItaly/(deltaItaly+betaPodeltaItaly*EXP(-betaItaly*tblData[Days'# Italy])),"")</f>
        <v>17149.304794154177</v>
      </c>
      <c r="AN61" s="11">
        <f>IF(AND(tblData[Date]&gt;StartDt2Italy,ISNUMBER(tblData[Italy])),(tblData[[#This Row],[Italy LogiP(t)]]-tblData[[#This Row],[Italy]])^2,"")</f>
        <v>4146537.214695286</v>
      </c>
      <c r="AO61" s="44">
        <f>IF(AND(tblData[Date]&gt;StartDt2Italy,ISNUMBER(tblData[Days'# Italy])),tblData[[#This Row],[Italy LogiP(t)]]/$AM$9,"")</f>
        <v>2836.940412597879</v>
      </c>
      <c r="AP61" s="21">
        <f>IF(ISNUMBER(tblData[[#This Row],[Days'# US]]),betaUS/(deltaUS+betaPodeltaUS*EXP(-betaUS*tblData[Days'# US])),"")</f>
        <v>1158.1145019578166</v>
      </c>
      <c r="AQ61" s="11">
        <f>IF(ISNUMBER(tblData[US]),(tblData[[#This Row],[US LogiP(t)]]-tblData[US])^2,"")</f>
        <v>254909.36613330356</v>
      </c>
      <c r="AR61" s="21">
        <f>IF(ISNUMBER(tblData[[#This Row],[Days'# US]]),tblData[[#This Row],[US LogiP(t)]]/$AP$9,"")</f>
        <v>35.176698076893459</v>
      </c>
      <c r="AS61" s="21">
        <f>IF(tblData[Date]&gt;=StartDt2Korea,betaSKorea/(deltaSKorea+betaPodeltaSKorea*EXP(-betaSKorea*(tblData[Date]-StartDt2Korea))),"")</f>
        <v>8064.7374705122493</v>
      </c>
      <c r="AT61" s="21">
        <f>IF(AND(tblData[Date]&gt;=StartDt2Korea,ISNUMBER(tblData[SKorea])),(tblData[[#This Row],[SKorea LogiP(t)]]-tblData[[#This Row],[SKorea]])^2,"")</f>
        <v>38313.157362533653</v>
      </c>
      <c r="AU61" s="21">
        <f>IF(tblData[Date]&gt;=StartDt2Korea,tblData[[#This Row],[SKorea LogiP(t)]]/$AS$9,"")</f>
        <v>1569.0150720840952</v>
      </c>
      <c r="AV61" s="11">
        <f>IF(ISNUMBER(tblData[Days'# UK]),betaUK/(deltaUK+betaPodeltaUK*EXP(-betaUK*tblData[Days'# UK])),"")</f>
        <v>598.1414586409719</v>
      </c>
      <c r="AW61" s="21">
        <f>IF(ISNUMBER(tblData[UK]),(tblData[[#This Row],[UK LogiP(t)]]-tblData[[#This Row],[UK]])^2,"")</f>
        <v>19360.345512737294</v>
      </c>
      <c r="AX61" s="21">
        <f>IF(ISNUMBER(tblData[Days'# UK]),tblData[[#This Row],[UK LogiP(t)]]/$AV$9,"")</f>
        <v>90.027311655775421</v>
      </c>
      <c r="AY61" s="11">
        <f>IF(ISNUMBER(tblData[Days'# China]),betaChina/(deltaChina+betaPodeltaChina*EXP(-betaChina*tblData[Days'# China])),"")</f>
        <v>80889.195737941292</v>
      </c>
      <c r="AZ61" s="11">
        <f>IF(ISNUMBER(tblData[China]),(tblData[[#This Row],[China LogiP(t)]]-tblData[[#This Row],[China]])^2,"")</f>
        <v>1832.2048503905096</v>
      </c>
      <c r="BA61" s="11">
        <f>tblData[[#This Row],[China LogiP(t)]]/$AY$9</f>
        <v>561.99443854626702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6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Y61"/>
      <c r="BZ61"/>
      <c r="CJ61" s="26"/>
      <c r="CK61" s="26"/>
      <c r="DE61" t="s">
        <v>989</v>
      </c>
      <c r="DF61" s="82">
        <v>43912.326747685183</v>
      </c>
      <c r="DH61" s="27">
        <v>43896</v>
      </c>
      <c r="DI61">
        <v>7</v>
      </c>
      <c r="DJ61">
        <v>0.20209478104227763</v>
      </c>
      <c r="DK61">
        <v>1.0000000000000751E-10</v>
      </c>
      <c r="DL61">
        <v>5.7886977342360797E-3</v>
      </c>
      <c r="DM61">
        <v>2020947810.4226243</v>
      </c>
      <c r="DN61">
        <v>2141.4153557262753</v>
      </c>
      <c r="DO61">
        <v>34.911959532184611</v>
      </c>
      <c r="DP61">
        <v>1.0000000000000751E-7</v>
      </c>
      <c r="DR61" s="27">
        <v>43911</v>
      </c>
      <c r="DS61" t="s">
        <v>1003</v>
      </c>
      <c r="DT61">
        <v>46456</v>
      </c>
      <c r="DU61" t="s">
        <v>1004</v>
      </c>
      <c r="DV61" s="27">
        <v>43911</v>
      </c>
      <c r="DW61">
        <v>16</v>
      </c>
      <c r="DX61" t="s">
        <v>1005</v>
      </c>
      <c r="DZ61" t="s">
        <v>1035</v>
      </c>
      <c r="EB61" t="s">
        <v>1507</v>
      </c>
      <c r="EH61" s="55"/>
      <c r="EI61" s="55"/>
      <c r="EJ61" s="55"/>
      <c r="EK61" s="55"/>
      <c r="EL61" s="55"/>
      <c r="EM61" s="55"/>
      <c r="EN61" s="55"/>
      <c r="EO61" s="55"/>
      <c r="EP61" s="55"/>
      <c r="EQ61" s="55"/>
      <c r="ER61" s="55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55"/>
      <c r="FF61" s="55"/>
      <c r="FG61" s="55"/>
      <c r="FH61" s="55"/>
      <c r="FI61" s="55"/>
      <c r="FJ61" s="55"/>
      <c r="FK61" s="55"/>
      <c r="FL61" s="55"/>
      <c r="FM61" s="55"/>
      <c r="FN61" s="55"/>
      <c r="FO61" s="55"/>
      <c r="FP61" s="55"/>
      <c r="FQ61" s="55"/>
    </row>
    <row r="62" spans="2:173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49">
        <f>IF(ISNUMBER(tblData[Italy]),tblData[Italy]/$N$9,"")</f>
        <v>2921.4226633581475</v>
      </c>
      <c r="O62">
        <v>2179</v>
      </c>
      <c r="P62" s="49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7"/>
        <v>33</v>
      </c>
      <c r="Y62" s="26">
        <f t="shared" si="3"/>
        <v>51</v>
      </c>
      <c r="Z62" s="26">
        <f>IF(tblData[[#This Row],[Date]]&lt;StartDt2Korea,"",tblData[[#This Row],[Date]]-StartDt2Korea)</f>
        <v>23</v>
      </c>
      <c r="AA62" s="26">
        <f>IF(tblData[[#This Row],[Date]]&lt;UKStart,"",tblData[[#This Row],[Date]]-UKStart)</f>
        <v>43</v>
      </c>
      <c r="AB62">
        <f>IF(tblData[Date]&gt;=StartDt2Au,tblData[Date]-StartDt2Au,"")</f>
        <v>48</v>
      </c>
      <c r="AC62" s="26">
        <f>IF(tblData[New South Wales]&gt;0,SUM(tblData[[#This Row],[Australian Capital Territory]:[Western Australia]]),"")</f>
        <v>200</v>
      </c>
      <c r="AD62" s="12">
        <f>IF(ISNUMBER(tblData[Au]),tblData[Au]/$AA$9,"")</f>
        <v>78.851916101561272</v>
      </c>
      <c r="AE62" s="19">
        <f>IF(ISNUMBER(tblData[[#This Row],[Day'# Aust]]),betaAu/(deltaAu+betaPodeltaAu*EXP(-betaAu*tblData[[#This Row],[Day'# Aust]])),"")</f>
        <v>204.32664399749103</v>
      </c>
      <c r="AF62" s="72">
        <f>IF(ISNUMBER(tblData[Day'# Aust]),tblData[Au LogiP(t)]/$AD$9,"")</f>
        <v>80.557736949018704</v>
      </c>
      <c r="AG62" s="11">
        <f>IF(AND(tblData[Date]&gt;=StartDt2Au,ISNUMBER(tblData[NSW])),(tblData[[#This Row],[Au LogiP(t)]]-tblData[[#This Row],[Au]])^2,"")</f>
        <v>18.719848281025183</v>
      </c>
      <c r="AH62">
        <f>IF(tblData[Date]&gt;StartDt2NSW,tblData[Date]-StartDt2NSW,"")</f>
        <v>48</v>
      </c>
      <c r="AI62" s="28">
        <f t="shared" si="4"/>
        <v>92</v>
      </c>
      <c r="AJ62" s="11">
        <f>IF(tblData[Date]&gt;StartDt2NSW,betaNSW/(deltaNSW+betaPodeltaNSW*EXP(-betaNSW*tblData[[#This Row],[Day '# NSW]])),"")</f>
        <v>95.838217465849482</v>
      </c>
      <c r="AK62" s="12">
        <f>IF(AND(ISNUMBER(tblData[NSW]),tblData[Date]&gt;StartDt2NSW),(tblData[[#This Row],[NSW LogiP(t)]]-tblData[[#This Row],[NSW]])^2,"")</f>
        <v>14.731913315152019</v>
      </c>
      <c r="AL62" s="12">
        <f>IF(AND(tblData[Date]&gt;StartDt2NSW,ISNUMBER(tblData[Day'# Aust])),tblData[NSW LogiP(t)]/$AG$9,"")</f>
        <v>118.61165527951668</v>
      </c>
      <c r="AM62" s="11">
        <f>IF(AND(tblData[Date]&gt;StartDt2Italy,ISNUMBER(tblData[Days'# Italy])),betaItaly/(deltaItaly+betaPodeltaItaly*EXP(-betaItaly*tblData[Days'# Italy])),"")</f>
        <v>20511.230108556945</v>
      </c>
      <c r="AN62" s="11">
        <f>IF(AND(tblData[Date]&gt;StartDt2Italy,ISNUMBER(tblData[Italy])),(tblData[[#This Row],[Italy LogiP(t)]]-tblData[[#This Row],[Italy]])^2,"")</f>
        <v>8129513.1319416491</v>
      </c>
      <c r="AO62" s="44">
        <f>IF(AND(tblData[Date]&gt;StartDt2Italy,ISNUMBER(tblData[Days'# Italy])),tblData[[#This Row],[Italy LogiP(t)]]/$AM$9,"")</f>
        <v>3393.0901751128113</v>
      </c>
      <c r="AP62" s="21">
        <f>IF(ISNUMBER(tblData[[#This Row],[Days'# US]]),betaUS/(deltaUS+betaPodeltaUS*EXP(-betaUS*tblData[Days'# US])),"")</f>
        <v>1637.6088837548377</v>
      </c>
      <c r="AQ62" s="11">
        <f>IF(ISNUMBER(tblData[US]),(tblData[[#This Row],[US LogiP(t)]]-tblData[US])^2,"")</f>
        <v>293104.3407491828</v>
      </c>
      <c r="AR62" s="21">
        <f>IF(ISNUMBER(tblData[[#This Row],[Days'# US]]),tblData[[#This Row],[US LogiP(t)]]/$AP$9,"")</f>
        <v>49.740913505960641</v>
      </c>
      <c r="AS62" s="21">
        <f>IF(tblData[Date]&gt;=StartDt2Korea,betaSKorea/(deltaSKorea+betaPodeltaSKorea*EXP(-betaSKorea*(tblData[Date]-StartDt2Korea))),"")</f>
        <v>8148.2937988311623</v>
      </c>
      <c r="AT62" s="21">
        <f>IF(AND(tblData[Date]&gt;=StartDt2Korea,ISNUMBER(tblData[SKorea])),(tblData[[#This Row],[SKorea LogiP(t)]]-tblData[[#This Row],[SKorea]])^2,"")</f>
        <v>28660.390322686068</v>
      </c>
      <c r="AU62" s="21">
        <f>IF(tblData[Date]&gt;=StartDt2Korea,tblData[[#This Row],[SKorea LogiP(t)]]/$AS$9,"")</f>
        <v>1585.271167087775</v>
      </c>
      <c r="AV62" s="11">
        <f>IF(ISNUMBER(tblData[Days'# UK]),betaUK/(deltaUK+betaPodeltaUK*EXP(-betaUK*tblData[Days'# UK])),"")</f>
        <v>756.98961477823241</v>
      </c>
      <c r="AW62" s="21">
        <f>IF(ISNUMBER(tblData[UK]),(tblData[[#This Row],[UK LogiP(t)]]-tblData[[#This Row],[UK]])^2,"")</f>
        <v>2025.9347778119145</v>
      </c>
      <c r="AX62" s="21">
        <f>IF(ISNUMBER(tblData[Days'# UK]),tblData[[#This Row],[UK LogiP(t)]]/$AV$9,"")</f>
        <v>113.93582401839741</v>
      </c>
      <c r="AY62" s="11">
        <f>IF(ISNUMBER(tblData[Days'# China]),betaChina/(deltaChina+betaPodeltaChina*EXP(-betaChina*tblData[Days'# China])),"")</f>
        <v>80901.674620943901</v>
      </c>
      <c r="AZ62" s="11">
        <f>IF(ISNUMBER(tblData[China]),(tblData[[#This Row],[China LogiP(t)]]-tblData[[#This Row],[China]])^2,"")</f>
        <v>1877.088470354691</v>
      </c>
      <c r="BA62" s="11">
        <f>tblData[[#This Row],[China LogiP(t)]]/$AY$9</f>
        <v>562.08113817015067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6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Y62"/>
      <c r="BZ62"/>
      <c r="CJ62" s="26"/>
      <c r="CK62" s="26"/>
    </row>
    <row r="63" spans="2:173" x14ac:dyDescent="0.25">
      <c r="B63" s="1">
        <f t="shared" ref="B63:B64" si="8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49">
        <f>IF(ISNUMBER(tblData[Italy]),tblData[Italy]/$N$9,"")</f>
        <v>3499.9172870140615</v>
      </c>
      <c r="O63">
        <v>2727</v>
      </c>
      <c r="P63" s="49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7"/>
        <v>34</v>
      </c>
      <c r="Y63" s="26">
        <f t="shared" si="3"/>
        <v>52</v>
      </c>
      <c r="Z63" s="26">
        <f>IF(tblData[[#This Row],[Date]]&lt;StartDt2Korea,"",tblData[[#This Row],[Date]]-StartDt2Korea)</f>
        <v>24</v>
      </c>
      <c r="AA63" s="26">
        <f>IF(tblData[[#This Row],[Date]]&lt;UKStart,"",tblData[[#This Row],[Date]]-UKStart)</f>
        <v>44</v>
      </c>
      <c r="AB63">
        <f>IF(tblData[Date]&gt;=StartDt2Au,tblData[Date]-StartDt2Au,"")</f>
        <v>49</v>
      </c>
      <c r="AC63" s="26">
        <f>IF(tblData[New South Wales]&gt;0,SUM(tblData[[#This Row],[Australian Capital Territory]:[Western Australia]]),"")</f>
        <v>251</v>
      </c>
      <c r="AD63" s="12">
        <f>IF(ISNUMBER(tblData[Au]),tblData[Au]/$AA$9,"")</f>
        <v>98.95915470745939</v>
      </c>
      <c r="AE63" s="19">
        <f>IF(ISNUMBER(tblData[[#This Row],[Day'# Aust]]),betaAu/(deltaAu+betaPodeltaAu*EXP(-betaAu*tblData[[#This Row],[Day'# Aust]])),"")</f>
        <v>251.31857897490454</v>
      </c>
      <c r="AF63" s="72">
        <f>IF(ISNUMBER(tblData[Day'# Aust]),tblData[Au LogiP(t)]/$AD$9,"")</f>
        <v>99.084757520463867</v>
      </c>
      <c r="AG63" s="11">
        <f>IF(AND(tblData[Date]&gt;=StartDt2Au,ISNUMBER(tblData[NSW])),(tblData[[#This Row],[Au LogiP(t)]]-tblData[[#This Row],[Au]])^2,"")</f>
        <v>0.10149256325122739</v>
      </c>
      <c r="AH63">
        <f>IF(tblData[Date]&gt;StartDt2NSW,tblData[Date]-StartDt2NSW,"")</f>
        <v>49</v>
      </c>
      <c r="AI63" s="26">
        <v>112</v>
      </c>
      <c r="AJ63" s="11">
        <f>IF(tblData[Date]&gt;StartDt2NSW,betaNSW/(deltaNSW+betaPodeltaNSW*EXP(-betaNSW*tblData[[#This Row],[Day '# NSW]])),"")</f>
        <v>117.19177340236101</v>
      </c>
      <c r="AK63" s="12">
        <f>IF(AND(ISNUMBER(tblData[NSW]),tblData[Date]&gt;StartDt2NSW),(tblData[[#This Row],[NSW LogiP(t)]]-tblData[[#This Row],[NSW]])^2,"")</f>
        <v>26.954511061463197</v>
      </c>
      <c r="AL63" s="12">
        <f>IF(AND(tblData[Date]&gt;StartDt2NSW,ISNUMBER(tblData[Day'# Aust])),tblData[NSW LogiP(t)]/$AG$9,"")</f>
        <v>145.03932351777351</v>
      </c>
      <c r="AM63" s="11">
        <f>IF(AND(tblData[Date]&gt;StartDt2Italy,ISNUMBER(tblData[Days'# Italy])),betaItaly/(deltaItaly+betaPodeltaItaly*EXP(-betaItaly*tblData[Days'# Italy])),"")</f>
        <v>24165.960336717391</v>
      </c>
      <c r="AN63" s="11">
        <f>IF(AND(tblData[Date]&gt;StartDt2Italy,ISNUMBER(tblData[Italy])),(tblData[[#This Row],[Italy LogiP(t)]]-tblData[[#This Row],[Italy]])^2,"")</f>
        <v>9053842.3079384379</v>
      </c>
      <c r="AO63" s="44">
        <f>IF(AND(tblData[Date]&gt;StartDt2Italy,ISNUMBER(tblData[Days'# Italy])),tblData[[#This Row],[Italy LogiP(t)]]/$AM$9,"")</f>
        <v>3997.6774750566406</v>
      </c>
      <c r="AP63" s="21">
        <f>IF(ISNUMBER(tblData[[#This Row],[Days'# US]]),betaUS/(deltaUS+betaPodeltaUS*EXP(-betaUS*tblData[Days'# US])),"")</f>
        <v>2314.4300586186669</v>
      </c>
      <c r="AQ63" s="11">
        <f>IF(ISNUMBER(tblData[US]),(tblData[[#This Row],[US LogiP(t)]]-tblData[US])^2,"")</f>
        <v>170213.95653139666</v>
      </c>
      <c r="AR63" s="21">
        <f>IF(ISNUMBER(tblData[[#This Row],[Days'# US]]),tblData[[#This Row],[US LogiP(t)]]/$AP$9,"")</f>
        <v>70.298754790207354</v>
      </c>
      <c r="AS63" s="21">
        <f>IF(tblData[Date]&gt;=StartDt2Korea,betaSKorea/(deltaSKorea+betaPodeltaSKorea*EXP(-betaSKorea*(tblData[Date]-StartDt2Korea))),"")</f>
        <v>8210.0301556321047</v>
      </c>
      <c r="AT63" s="21">
        <f>IF(AND(tblData[Date]&gt;=StartDt2Korea,ISNUMBER(tblData[SKorea])),(tblData[[#This Row],[SKorea LogiP(t)]]-tblData[[#This Row],[SKorea]])^2,"")</f>
        <v>15383.479506124102</v>
      </c>
      <c r="AU63" s="21">
        <f>IF(tblData[Date]&gt;=StartDt2Korea,tblData[[#This Row],[SKorea LogiP(t)]]/$AS$9,"")</f>
        <v>1597.282131445935</v>
      </c>
      <c r="AV63" s="11">
        <f>IF(ISNUMBER(tblData[Days'# UK]),betaUK/(deltaUK+betaPodeltaUK*EXP(-betaUK*tblData[Days'# UK])),"")</f>
        <v>958.0228321676434</v>
      </c>
      <c r="AW63" s="21">
        <f>IF(ISNUMBER(tblData[UK]),(tblData[[#This Row],[UK LogiP(t)]]-tblData[[#This Row],[UK]])^2,"")</f>
        <v>34587.506954944532</v>
      </c>
      <c r="AX63" s="21">
        <f>IF(ISNUMBER(tblData[Days'# UK]),tblData[[#This Row],[UK LogiP(t)]]/$AV$9,"")</f>
        <v>144.19368334853152</v>
      </c>
      <c r="AY63" s="11">
        <f>IF(ISNUMBER(tblData[Days'# China]),betaChina/(deltaChina+betaPodeltaChina*EXP(-betaChina*tblData[Days'# China])),"")</f>
        <v>80911.670497521161</v>
      </c>
      <c r="AZ63" s="11">
        <f>IF(ISNUMBER(tblData[China]),(tblData[[#This Row],[China LogiP(t)]]-tblData[[#This Row],[China]])^2,"")</f>
        <v>4267.9438941325725</v>
      </c>
      <c r="BA63" s="11">
        <f>tblData[[#This Row],[China LogiP(t)]]/$AY$9</f>
        <v>562.15058659269425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6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Y63"/>
      <c r="BZ63"/>
      <c r="CJ63" s="26"/>
      <c r="CK63" s="26"/>
    </row>
    <row r="64" spans="2:173" x14ac:dyDescent="0.25">
      <c r="B64" s="1">
        <f t="shared" si="8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49">
        <f>IF(ISNUMBER(tblData[Italy]),tblData[Italy]/$N$9,"")</f>
        <v>4093.7965260545907</v>
      </c>
      <c r="O64">
        <v>3499</v>
      </c>
      <c r="P64" s="49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7"/>
        <v>35</v>
      </c>
      <c r="Y64" s="26">
        <f t="shared" si="3"/>
        <v>53</v>
      </c>
      <c r="Z64" s="26">
        <f>IF(tblData[[#This Row],[Date]]&lt;StartDt2Korea,"",tblData[[#This Row],[Date]]-StartDt2Korea)</f>
        <v>25</v>
      </c>
      <c r="AA64" s="26">
        <f>IF(tblData[[#This Row],[Date]]&lt;UKStart,"",tblData[[#This Row],[Date]]-UKStart)</f>
        <v>45</v>
      </c>
      <c r="AB64">
        <f>IF(tblData[Date]&gt;=StartDt2Au,tblData[Date]-StartDt2Au,"")</f>
        <v>50</v>
      </c>
      <c r="AC64" s="26">
        <f>IF(tblData[New South Wales]&gt;0,SUM(tblData[[#This Row],[Australian Capital Territory]:[Western Australia]]),"")</f>
        <v>316</v>
      </c>
      <c r="AD64" s="12">
        <f>IF(ISNUMBER(tblData[Au]),tblData[Au]/$AA$9,"")</f>
        <v>124.58602744046681</v>
      </c>
      <c r="AE64" s="19">
        <f>IF(ISNUMBER(tblData[[#This Row],[Day'# Aust]]),betaAu/(deltaAu+betaPodeltaAu*EXP(-betaAu*tblData[[#This Row],[Day'# Aust]])),"")</f>
        <v>309.11790848552141</v>
      </c>
      <c r="AF64" s="72">
        <f>IF(ISNUMBER(tblData[Day'# Aust]),tblData[Au LogiP(t)]/$AD$9,"")</f>
        <v>121.87269692695214</v>
      </c>
      <c r="AG64" s="11">
        <f>IF(AND(tblData[Date]&gt;=StartDt2Au,ISNUMBER(tblData[NSW])),(tblData[[#This Row],[Au LogiP(t)]]-tblData[[#This Row],[Au]])^2,"")</f>
        <v>47.363183613658194</v>
      </c>
      <c r="AH64">
        <f>IF(tblData[Date]&gt;StartDt2NSW,tblData[Date]-StartDt2NSW,"")</f>
        <v>50</v>
      </c>
      <c r="AI64">
        <f t="shared" ref="AI64:AI95" si="9">IF(E64&gt;0,E64,"")</f>
        <v>134</v>
      </c>
      <c r="AJ64" s="11">
        <f>IF(tblData[Date]&gt;StartDt2NSW,betaNSW/(deltaNSW+betaPodeltaNSW*EXP(-betaNSW*tblData[[#This Row],[Day '# NSW]])),"")</f>
        <v>143.04419774564079</v>
      </c>
      <c r="AK64" s="12">
        <f>IF(AND(ISNUMBER(tblData[NSW]),tblData[Date]&gt;StartDt2NSW),(tblData[[#This Row],[NSW LogiP(t)]]-tblData[[#This Row],[NSW]])^2,"")</f>
        <v>81.797512862253896</v>
      </c>
      <c r="AL64" s="12">
        <f>IF(AND(tblData[Date]&gt;StartDt2NSW,ISNUMBER(tblData[Day'# Aust])),tblData[NSW LogiP(t)]/$AG$9,"")</f>
        <v>177.03489820005046</v>
      </c>
      <c r="AM64" s="11">
        <f>IF(AND(tblData[Date]&gt;StartDt2Italy,ISNUMBER(tblData[Days'# Italy])),betaItaly/(deltaItaly+betaPodeltaItaly*EXP(-betaItaly*tblData[Days'# Italy])),"")</f>
        <v>28017.174583544671</v>
      </c>
      <c r="AN64" s="11">
        <f>IF(AND(tblData[Date]&gt;StartDt2Italy,ISNUMBER(tblData[Italy])),(tblData[[#This Row],[Italy LogiP(t)]]-tblData[[#This Row],[Italy]])^2,"")</f>
        <v>10694041.806861563</v>
      </c>
      <c r="AO64" s="44">
        <f>IF(AND(tblData[Date]&gt;StartDt2Italy,ISNUMBER(tblData[Days'# Italy])),tblData[[#This Row],[Italy LogiP(t)]]/$AM$9,"")</f>
        <v>4634.7683347468437</v>
      </c>
      <c r="AP64" s="21">
        <f>IF(ISNUMBER(tblData[[#This Row],[Days'# US]]),betaUS/(deltaUS+betaPodeltaUS*EXP(-betaUS*tblData[Days'# US])),"")</f>
        <v>3268.5927097631256</v>
      </c>
      <c r="AQ64" s="11">
        <f>IF(ISNUMBER(tblData[US]),(tblData[[#This Row],[US LogiP(t)]]-tblData[US])^2,"")</f>
        <v>53087.519394299256</v>
      </c>
      <c r="AR64" s="21">
        <f>IF(ISNUMBER(tblData[[#This Row],[Days'# US]]),tblData[[#This Row],[US LogiP(t)]]/$AP$9,"")</f>
        <v>99.280596774584296</v>
      </c>
      <c r="AS64" s="21">
        <f>IF(tblData[Date]&gt;=StartDt2Korea,betaSKorea/(deltaSKorea+betaPodeltaSKorea*EXP(-betaSKorea*(tblData[Date]-StartDt2Korea))),"")</f>
        <v>8255.4265086686937</v>
      </c>
      <c r="AT64" s="21">
        <f>IF(AND(tblData[Date]&gt;=StartDt2Korea,ISNUMBER(tblData[SKorea])),(tblData[[#This Row],[SKorea LogiP(t)]]-tblData[[#This Row],[SKorea]])^2,"")</f>
        <v>8728.5125220215014</v>
      </c>
      <c r="AU64" s="21">
        <f>IF(tblData[Date]&gt;=StartDt2Korea,tblData[[#This Row],[SKorea LogiP(t)]]/$AS$9,"")</f>
        <v>1606.1141067448821</v>
      </c>
      <c r="AV64" s="11">
        <f>IF(ISNUMBER(tblData[Days'# UK]),betaUK/(deltaUK+betaPodeltaUK*EXP(-betaUK*tblData[Days'# UK])),"")</f>
        <v>1212.4440295979978</v>
      </c>
      <c r="AW64" s="21">
        <f>IF(ISNUMBER(tblData[UK]),(tblData[[#This Row],[UK LogiP(t)]]-tblData[[#This Row],[UK]])^2,"")</f>
        <v>4548.6971284155989</v>
      </c>
      <c r="AX64" s="21">
        <f>IF(ISNUMBER(tblData[Days'# UK]),tblData[[#This Row],[UK LogiP(t)]]/$AV$9,"")</f>
        <v>182.48706044521339</v>
      </c>
      <c r="AY64" s="11">
        <f>IF(ISNUMBER(tblData[Days'# China]),betaChina/(deltaChina+betaPodeltaChina*EXP(-betaChina*tblData[Days'# China])),"")</f>
        <v>80919.676985133221</v>
      </c>
      <c r="AZ64" s="11">
        <f>IF(ISNUMBER(tblData[China]),(tblData[[#This Row],[China LogiP(t)]]-tblData[[#This Row],[China]])^2,"")</f>
        <v>6942.7248064894702</v>
      </c>
      <c r="BA64" s="11">
        <f>tblData[[#This Row],[China LogiP(t)]]/$AY$9</f>
        <v>562.20621332342409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6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Y64"/>
      <c r="BZ64"/>
      <c r="CJ64" s="26"/>
      <c r="CK64" s="26"/>
    </row>
    <row r="65" spans="2:173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49">
        <f>IF(ISNUMBER(tblData[Italy]),tblData[Italy]/$N$9,"")</f>
        <v>4628.618693134822</v>
      </c>
      <c r="O65">
        <v>4632</v>
      </c>
      <c r="P65" s="49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7"/>
        <v>36</v>
      </c>
      <c r="Y65" s="26">
        <f t="shared" si="3"/>
        <v>54</v>
      </c>
      <c r="Z65" s="26">
        <f>IF(tblData[[#This Row],[Date]]&lt;StartDt2Korea,"",tblData[[#This Row],[Date]]-StartDt2Korea)</f>
        <v>26</v>
      </c>
      <c r="AA65" s="26">
        <f>IF(tblData[[#This Row],[Date]]&lt;UKStart,"",tblData[[#This Row],[Date]]-UKStart)</f>
        <v>46</v>
      </c>
      <c r="AB65">
        <f>IF(tblData[Date]&gt;=StartDt2Au,tblData[Date]-StartDt2Au,"")</f>
        <v>51</v>
      </c>
      <c r="AC65" s="26">
        <f>IF(tblData[New South Wales]&gt;0,SUM(tblData[[#This Row],[Australian Capital Territory]:[Western Australia]]),"")</f>
        <v>377</v>
      </c>
      <c r="AD65" s="12">
        <f>IF(ISNUMBER(tblData[Au]),tblData[Au]/$AA$9,"")</f>
        <v>148.635861851443</v>
      </c>
      <c r="AE65" s="19">
        <f>IF(ISNUMBER(tblData[[#This Row],[Day'# Aust]]),betaAu/(deltaAu+betaPodeltaAu*EXP(-betaAu*tblData[[#This Row],[Day'# Aust]])),"")</f>
        <v>380.21015238931079</v>
      </c>
      <c r="AF65" s="72">
        <f>IF(ISNUMBER(tblData[Day'# Aust]),tblData[Au LogiP(t)]/$AD$9,"")</f>
        <v>149.90149518581879</v>
      </c>
      <c r="AG65" s="11">
        <f>IF(AND(tblData[Date]&gt;=StartDt2Au,ISNUMBER(tblData[NSW])),(tblData[[#This Row],[Au LogiP(t)]]-tblData[[#This Row],[Au]])^2,"")</f>
        <v>10.30507836259779</v>
      </c>
      <c r="AH65">
        <f>IF(tblData[Date]&gt;StartDt2NSW,tblData[Date]-StartDt2NSW,"")</f>
        <v>51</v>
      </c>
      <c r="AI65">
        <f t="shared" si="9"/>
        <v>171</v>
      </c>
      <c r="AJ65" s="11">
        <f>IF(tblData[Date]&gt;StartDt2NSW,betaNSW/(deltaNSW+betaPodeltaNSW*EXP(-betaNSW*tblData[[#This Row],[Day '# NSW]])),"")</f>
        <v>174.21860735205112</v>
      </c>
      <c r="AK65" s="12">
        <f>IF(AND(ISNUMBER(tblData[NSW]),tblData[Date]&gt;StartDt2NSW),(tblData[[#This Row],[NSW LogiP(t)]]-tblData[[#This Row],[NSW]])^2,"")</f>
        <v>10.359433286677541</v>
      </c>
      <c r="AL65" s="12">
        <f>IF(AND(tblData[Date]&gt;StartDt2NSW,ISNUMBER(tblData[Day'# Aust])),tblData[NSW LogiP(t)]/$AG$9,"")</f>
        <v>215.61708830699396</v>
      </c>
      <c r="AM65" s="11">
        <f>IF(AND(tblData[Date]&gt;StartDt2Italy,ISNUMBER(tblData[Days'# Italy])),betaItaly/(deltaItaly+betaPodeltaItaly*EXP(-betaItaly*tblData[Days'# Italy])),"")</f>
        <v>31944.526318864268</v>
      </c>
      <c r="AN65" s="11">
        <f>IF(AND(tblData[Date]&gt;StartDt2Italy,ISNUMBER(tblData[Italy])),(tblData[[#This Row],[Italy LogiP(t)]]-tblData[[#This Row],[Italy]])^2,"")</f>
        <v>15717468.93296746</v>
      </c>
      <c r="AO65" s="44">
        <f>IF(AND(tblData[Date]&gt;StartDt2Italy,ISNUMBER(tblData[Days'# Italy])),tblData[[#This Row],[Italy LogiP(t)]]/$AM$9,"")</f>
        <v>5284.4543124672073</v>
      </c>
      <c r="AP65" s="21">
        <f>IF(ISNUMBER(tblData[[#This Row],[Days'# US]]),betaUS/(deltaUS+betaPodeltaUS*EXP(-betaUS*tblData[Days'# US])),"")</f>
        <v>4611.3795419389353</v>
      </c>
      <c r="AQ65" s="11">
        <f>IF(ISNUMBER(tblData[US]),(tblData[[#This Row],[US LogiP(t)]]-tblData[US])^2,"")</f>
        <v>425.20329064812859</v>
      </c>
      <c r="AR65" s="21">
        <f>IF(ISNUMBER(tblData[[#This Row],[Days'# US]]),tblData[[#This Row],[US LogiP(t)]]/$AP$9,"")</f>
        <v>140.06655265133503</v>
      </c>
      <c r="AS65" s="21">
        <f>IF(tblData[Date]&gt;=StartDt2Korea,betaSKorea/(deltaSKorea+betaPodeltaSKorea*EXP(-betaSKorea*(tblData[Date]-StartDt2Korea))),"")</f>
        <v>8288.6901084731635</v>
      </c>
      <c r="AT65" s="21">
        <f>IF(AND(tblData[Date]&gt;=StartDt2Korea,ISNUMBER(tblData[SKorea])),(tblData[[#This Row],[SKorea LogiP(t)]]-tblData[[#This Row],[SKorea]])^2,"")</f>
        <v>2776.2475309137353</v>
      </c>
      <c r="AU65" s="21">
        <f>IF(tblData[Date]&gt;=StartDt2Korea,tblData[[#This Row],[SKorea LogiP(t)]]/$AS$9,"")</f>
        <v>1612.5856242165689</v>
      </c>
      <c r="AV65" s="11">
        <f>IF(ISNUMBER(tblData[Days'# UK]),betaUK/(deltaUK+betaPodeltaUK*EXP(-betaUK*tblData[Days'# UK])),"")</f>
        <v>1534.4311782875868</v>
      </c>
      <c r="AW65" s="21">
        <f>IF(ISNUMBER(tblData[UK]),(tblData[[#This Row],[UK LogiP(t)]]-tblData[[#This Row],[UK]])^2,"")</f>
        <v>274.5258529377345</v>
      </c>
      <c r="AX65" s="21">
        <f>IF(ISNUMBER(tblData[Days'# UK]),tblData[[#This Row],[UK LogiP(t)]]/$AV$9,"")</f>
        <v>230.94990642498297</v>
      </c>
      <c r="AY65" s="11">
        <f>IF(ISNUMBER(tblData[Days'# China]),betaChina/(deltaChina+betaPodeltaChina*EXP(-betaChina*tblData[Days'# China])),"")</f>
        <v>80926.089729773506</v>
      </c>
      <c r="AZ65" s="11">
        <f>IF(ISNUMBER(tblData[China]),(tblData[[#This Row],[China LogiP(t)]]-tblData[[#This Row],[China]])^2,"")</f>
        <v>11429.805879901882</v>
      </c>
      <c r="BA65" s="11">
        <f>tblData[[#This Row],[China LogiP(t)]]/$AY$9</f>
        <v>562.25076719481297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6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Y65"/>
      <c r="BZ65"/>
      <c r="CJ65" s="26"/>
      <c r="CK65" s="26"/>
    </row>
    <row r="66" spans="2:173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49">
        <f>IF(ISNUMBER(tblData[Italy]),tblData[Italy]/$N$9,"")</f>
        <v>5211.9106699751865</v>
      </c>
      <c r="O66">
        <v>6421</v>
      </c>
      <c r="P66" s="49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7"/>
        <v>37</v>
      </c>
      <c r="Y66" s="26">
        <f t="shared" si="3"/>
        <v>55</v>
      </c>
      <c r="Z66" s="26">
        <f>IF(tblData[[#This Row],[Date]]&lt;StartDt2Korea,"",tblData[[#This Row],[Date]]-StartDt2Korea)</f>
        <v>27</v>
      </c>
      <c r="AA66" s="26">
        <f>IF(tblData[[#This Row],[Date]]&lt;UKStart,"",tblData[[#This Row],[Date]]-UKStart)</f>
        <v>47</v>
      </c>
      <c r="AB66">
        <f>IF(tblData[Date]&gt;=StartDt2Au,tblData[Date]-StartDt2Au,"")</f>
        <v>52</v>
      </c>
      <c r="AC66" s="26">
        <f>IF(tblData[New South Wales]&gt;0,SUM(tblData[[#This Row],[Australian Capital Territory]:[Western Australia]]),"")</f>
        <v>456</v>
      </c>
      <c r="AD66" s="12">
        <f>IF(ISNUMBER(tblData[Au]),tblData[Au]/$AA$9,"")</f>
        <v>179.78236871155968</v>
      </c>
      <c r="AE66" s="19">
        <f>IF(ISNUMBER(tblData[[#This Row],[Day'# Aust]]),betaAu/(deltaAu+betaPodeltaAu*EXP(-betaAu*tblData[[#This Row],[Day'# Aust]])),"")</f>
        <v>467.65245426910775</v>
      </c>
      <c r="AF66" s="72">
        <f>IF(ISNUMBER(tblData[Day'# Aust]),tblData[Au LogiP(t)]/$AD$9,"")</f>
        <v>184.37646044358451</v>
      </c>
      <c r="AG66" s="11">
        <f>IF(AND(tblData[Date]&gt;=StartDt2Au,ISNUMBER(tblData[NSW])),(tblData[[#This Row],[Au LogiP(t)]]-tblData[[#This Row],[Au]])^2,"")</f>
        <v>135.77969049364742</v>
      </c>
      <c r="AH66">
        <f>IF(tblData[Date]&gt;StartDt2NSW,tblData[Date]-StartDt2NSW,"")</f>
        <v>52</v>
      </c>
      <c r="AI66">
        <f t="shared" si="9"/>
        <v>210</v>
      </c>
      <c r="AJ66" s="11">
        <f>IF(tblData[Date]&gt;StartDt2NSW,betaNSW/(deltaNSW+betaPodeltaNSW*EXP(-betaNSW*tblData[[#This Row],[Day '# NSW]])),"")</f>
        <v>211.63009394148847</v>
      </c>
      <c r="AK66" s="12">
        <f>IF(AND(ISNUMBER(tblData[NSW]),tblData[Date]&gt;StartDt2NSW),(tblData[[#This Row],[NSW LogiP(t)]]-tblData[[#This Row],[NSW]])^2,"")</f>
        <v>2.6572062580774092</v>
      </c>
      <c r="AL66" s="12">
        <f>IF(AND(tblData[Date]&gt;StartDt2NSW,ISNUMBER(tblData[Day'# Aust])),tblData[NSW LogiP(t)]/$AG$9,"")</f>
        <v>261.91843309590155</v>
      </c>
      <c r="AM66" s="11">
        <f>IF(AND(tblData[Date]&gt;StartDt2Italy,ISNUMBER(tblData[Days'# Italy])),betaItaly/(deltaItaly+betaPodeltaItaly*EXP(-betaItaly*tblData[Days'# Italy])),"")</f>
        <v>35817.859092885672</v>
      </c>
      <c r="AN66" s="11">
        <f>IF(AND(tblData[Date]&gt;StartDt2Italy,ISNUMBER(tblData[Italy])),(tblData[[#This Row],[Italy LogiP(t)]]-tblData[[#This Row],[Italy]])^2,"")</f>
        <v>18592128.836900849</v>
      </c>
      <c r="AO66" s="44">
        <f>IF(AND(tblData[Date]&gt;StartDt2Italy,ISNUMBER(tblData[Days'# Italy])),tblData[[#This Row],[Italy LogiP(t)]]/$AM$9,"")</f>
        <v>5925.2041510149993</v>
      </c>
      <c r="AP66" s="21">
        <f>IF(ISNUMBER(tblData[[#This Row],[Days'# US]]),betaUS/(deltaUS+betaPodeltaUS*EXP(-betaUS*tblData[Days'# US])),"")</f>
        <v>6496.4049475996617</v>
      </c>
      <c r="AQ66" s="11">
        <f>IF(ISNUMBER(tblData[US]),(tblData[[#This Row],[US LogiP(t)]]-tblData[US])^2,"")</f>
        <v>5685.9061225077239</v>
      </c>
      <c r="AR66" s="21">
        <f>IF(ISNUMBER(tblData[[#This Row],[Days'# US]]),tblData[[#This Row],[US LogiP(t)]]/$AP$9,"")</f>
        <v>197.3225229807837</v>
      </c>
      <c r="AS66" s="21">
        <f>IF(tblData[Date]&gt;=StartDt2Korea,betaSKorea/(deltaSKorea+betaPodeltaSKorea*EXP(-betaSKorea*(tblData[Date]-StartDt2Korea))),"")</f>
        <v>8313.0006525006811</v>
      </c>
      <c r="AT66" s="21">
        <f>IF(AND(tblData[Date]&gt;=StartDt2Korea,ISNUMBER(tblData[SKorea])),(tblData[[#This Row],[SKorea LogiP(t)]]-tblData[[#This Row],[SKorea]])^2,"")</f>
        <v>48.990865416221752</v>
      </c>
      <c r="AU66" s="21">
        <f>IF(tblData[Date]&gt;=StartDt2Korea,tblData[[#This Row],[SKorea LogiP(t)]]/$AS$9,"")</f>
        <v>1617.3153020429343</v>
      </c>
      <c r="AV66" s="11">
        <f>IF(ISNUMBER(tblData[Days'# UK]),betaUK/(deltaUK+betaPodeltaUK*EXP(-betaUK*tblData[Days'# UK])),"")</f>
        <v>1941.9273208454886</v>
      </c>
      <c r="AW66" s="21">
        <f>IF(ISNUMBER(tblData[UK]),(tblData[[#This Row],[UK LogiP(t)]]-tblData[[#This Row],[UK]])^2,"")</f>
        <v>326.62173182191214</v>
      </c>
      <c r="AX66" s="21">
        <f>IF(ISNUMBER(tblData[Days'# UK]),tblData[[#This Row],[UK LogiP(t)]]/$AV$9,"")</f>
        <v>292.28285985031437</v>
      </c>
      <c r="AY66" s="11">
        <f>IF(ISNUMBER(tblData[Days'# China]),betaChina/(deltaChina+betaPodeltaChina*EXP(-betaChina*tblData[Days'# China])),"")</f>
        <v>80931.225794000769</v>
      </c>
      <c r="AZ66" s="11">
        <f>IF(ISNUMBER(tblData[China]),(tblData[[#This Row],[China LogiP(t)]]-tblData[[#This Row],[China]])^2,"")</f>
        <v>16071.69930673536</v>
      </c>
      <c r="BA66" s="11">
        <f>tblData[[#This Row],[China LogiP(t)]]/$AY$9</f>
        <v>562.28645106464751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6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Y66"/>
      <c r="BZ66"/>
      <c r="CJ66" s="26"/>
      <c r="CK66" s="26"/>
    </row>
    <row r="67" spans="2:173" x14ac:dyDescent="0.25">
      <c r="B67" s="1">
        <f t="shared" ref="B67:B80" si="10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49">
        <f>IF(ISNUMBER(tblData[Italy]),tblData[Italy]/$N$9,"")</f>
        <v>5907.8577336641856</v>
      </c>
      <c r="O67">
        <v>7783</v>
      </c>
      <c r="P67" s="49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7"/>
        <v>38</v>
      </c>
      <c r="Y67" s="26">
        <f t="shared" si="3"/>
        <v>56</v>
      </c>
      <c r="Z67" s="26">
        <f>IF(tblData[[#This Row],[Date]]&lt;StartDt2Korea,"",tblData[[#This Row],[Date]]-StartDt2Korea)</f>
        <v>28</v>
      </c>
      <c r="AA67" s="26">
        <f>IF(tblData[[#This Row],[Date]]&lt;UKStart,"",tblData[[#This Row],[Date]]-UKStart)</f>
        <v>48</v>
      </c>
      <c r="AB67">
        <f>IF(tblData[Date]&gt;=StartDt2Au,tblData[Date]-StartDt2Au,"")</f>
        <v>53</v>
      </c>
      <c r="AC67" s="26">
        <f>IF(tblData[New South Wales]&gt;0,SUM(tblData[[#This Row],[Australian Capital Territory]:[Western Australia]]),"")</f>
        <v>568</v>
      </c>
      <c r="AD67" s="12">
        <f>IF(ISNUMBER(tblData[Au]),tblData[Au]/$AA$9,"")</f>
        <v>223.93944172843399</v>
      </c>
      <c r="AE67" s="19">
        <f>IF(ISNUMBER(tblData[[#This Row],[Day'# Aust]]),betaAu/(deltaAu+betaPodeltaAu*EXP(-betaAu*tblData[[#This Row],[Day'# Aust]])),"")</f>
        <v>575.20504216632401</v>
      </c>
      <c r="AF67" s="72">
        <f>IF(ISNUMBER(tblData[Day'# Aust]),tblData[Au LogiP(t)]/$AD$9,"")</f>
        <v>226.78009863046995</v>
      </c>
      <c r="AG67" s="11">
        <f>IF(AND(tblData[Date]&gt;=StartDt2Au,ISNUMBER(tblData[NSW])),(tblData[[#This Row],[Au LogiP(t)]]-tblData[[#This Row],[Au]])^2,"")</f>
        <v>51.912632618506926</v>
      </c>
      <c r="AH67">
        <f>IF(tblData[Date]&gt;StartDt2NSW,tblData[Date]-StartDt2NSW,"")</f>
        <v>53</v>
      </c>
      <c r="AI67">
        <f t="shared" si="9"/>
        <v>267</v>
      </c>
      <c r="AJ67" s="11">
        <f>IF(tblData[Date]&gt;StartDt2NSW,betaNSW/(deltaNSW+betaPodeltaNSW*EXP(-betaNSW*tblData[[#This Row],[Day '# NSW]])),"")</f>
        <v>256.26806765616789</v>
      </c>
      <c r="AK67" s="12">
        <f>IF(AND(ISNUMBER(tblData[NSW]),tblData[Date]&gt;StartDt2NSW),(tblData[[#This Row],[NSW LogiP(t)]]-tblData[[#This Row],[NSW]])^2,"")</f>
        <v>115.17437183258984</v>
      </c>
      <c r="AL67" s="12">
        <f>IF(AND(tblData[Date]&gt;StartDt2NSW,ISNUMBER(tblData[Day'# Aust])),tblData[NSW LogiP(t)]/$AG$9,"")</f>
        <v>317.16345006951468</v>
      </c>
      <c r="AM67" s="11">
        <f>IF(AND(tblData[Date]&gt;StartDt2Italy,ISNUMBER(tblData[Days'# Italy])),betaItaly/(deltaItaly+betaPodeltaItaly*EXP(-betaItaly*tblData[Days'# Italy])),"")</f>
        <v>39514.005246695284</v>
      </c>
      <c r="AN67" s="11">
        <f>IF(AND(tblData[Date]&gt;StartDt2Italy,ISNUMBER(tblData[Italy])),(tblData[[#This Row],[Italy LogiP(t)]]-tblData[[#This Row],[Italy]])^2,"")</f>
        <v>14447640.885405075</v>
      </c>
      <c r="AO67" s="44">
        <f>IF(AND(tblData[Date]&gt;StartDt2Italy,ISNUMBER(tblData[Days'# Italy])),tblData[[#This Row],[Italy LogiP(t)]]/$AM$9,"")</f>
        <v>6536.6427207105517</v>
      </c>
      <c r="AP67" s="21">
        <f>IF(ISNUMBER(tblData[[#This Row],[Days'# US]]),betaUS/(deltaUS+betaPodeltaUS*EXP(-betaUS*tblData[Days'# US])),"")</f>
        <v>9133.4627948589787</v>
      </c>
      <c r="AQ67" s="11">
        <f>IF(ISNUMBER(tblData[US]),(tblData[[#This Row],[US LogiP(t)]]-tblData[US])^2,"")</f>
        <v>1823749.7602983238</v>
      </c>
      <c r="AR67" s="21">
        <f>IF(ISNUMBER(tblData[[#This Row],[Days'# US]]),tblData[[#This Row],[US LogiP(t)]]/$AP$9,"")</f>
        <v>277.4208099355933</v>
      </c>
      <c r="AS67" s="21">
        <f>IF(tblData[Date]&gt;=StartDt2Korea,betaSKorea/(deltaSKorea+betaPodeltaSKorea*EXP(-betaSKorea*(tblData[Date]-StartDt2Korea))),"")</f>
        <v>8330.734345763125</v>
      </c>
      <c r="AT67" s="21">
        <f>IF(AND(tblData[Date]&gt;=StartDt2Korea,ISNUMBER(tblData[SKorea])),(tblData[[#This Row],[SKorea LogiP(t)]]-tblData[[#This Row],[SKorea]])^2,"")</f>
        <v>6767.6378670210661</v>
      </c>
      <c r="AU67" s="21">
        <f>IF(tblData[Date]&gt;=StartDt2Korea,tblData[[#This Row],[SKorea LogiP(t)]]/$AS$9,"")</f>
        <v>1620.7654369188961</v>
      </c>
      <c r="AV67" s="11">
        <f>IF(ISNUMBER(tblData[Days'# UK]),betaUK/(deltaUK+betaPodeltaUK*EXP(-betaUK*tblData[Days'# UK])),"")</f>
        <v>2457.6403556322261</v>
      </c>
      <c r="AW67" s="21">
        <f>IF(ISNUMBER(tblData[UK]),(tblData[[#This Row],[UK LogiP(t)]]-tblData[[#This Row],[UK]])^2,"")</f>
        <v>33988.478471412047</v>
      </c>
      <c r="AX67" s="21">
        <f>IF(ISNUMBER(tblData[Days'# UK]),tblData[[#This Row],[UK LogiP(t)]]/$AV$9,"")</f>
        <v>369.90372601327908</v>
      </c>
      <c r="AY67" s="11">
        <f>IF(ISNUMBER(tblData[Days'# China]),betaChina/(deltaChina+betaPodeltaChina*EXP(-betaChina*tblData[Days'# China])),"")</f>
        <v>80935.339228659097</v>
      </c>
      <c r="AZ67" s="11">
        <f>IF(ISNUMBER(tblData[China]),(tblData[[#This Row],[China LogiP(t)]]-tblData[[#This Row],[China]])^2,"")</f>
        <v>27775.812703944757</v>
      </c>
      <c r="BA67" s="11">
        <f>tblData[[#This Row],[China LogiP(t)]]/$AY$9</f>
        <v>562.31503000377802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6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Y67"/>
      <c r="BZ67"/>
      <c r="CJ67" s="26"/>
      <c r="CK67" s="26"/>
    </row>
    <row r="68" spans="2:173" x14ac:dyDescent="0.25">
      <c r="B68" s="1">
        <f t="shared" si="10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49">
        <f>IF(ISNUMBER(tblData[Italy]),tblData[Italy]/$N$9,"")</f>
        <v>6788.2547559966915</v>
      </c>
      <c r="O68">
        <v>13677</v>
      </c>
      <c r="P68" s="49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7"/>
        <v>39</v>
      </c>
      <c r="Y68" s="26">
        <f t="shared" si="3"/>
        <v>57</v>
      </c>
      <c r="Z68" s="26">
        <f>IF(tblData[[#This Row],[Date]]&lt;StartDt2Korea,"",tblData[[#This Row],[Date]]-StartDt2Korea)</f>
        <v>29</v>
      </c>
      <c r="AA68" s="26">
        <f>IF(tblData[[#This Row],[Date]]&lt;UKStart,"",tblData[[#This Row],[Date]]-UKStart)</f>
        <v>49</v>
      </c>
      <c r="AB68">
        <f>IF(tblData[Date]&gt;=StartDt2Au,tblData[Date]-StartDt2Au,"")</f>
        <v>54</v>
      </c>
      <c r="AC68" s="26">
        <f>IF(tblData[New South Wales]&gt;0,SUM(tblData[[#This Row],[Australian Capital Territory]:[Western Australia]]),"")</f>
        <v>710</v>
      </c>
      <c r="AD68" s="12">
        <f>IF(ISNUMBER(tblData[Au]),tblData[Au]/$AA$9,"")</f>
        <v>279.92430216054248</v>
      </c>
      <c r="AE68" s="19">
        <f>IF(ISNUMBER(tblData[[#This Row],[Day'# Aust]]),betaAu/(deltaAu+betaPodeltaAu*EXP(-betaAu*tblData[[#This Row],[Day'# Aust]])),"")</f>
        <v>707.49292124389501</v>
      </c>
      <c r="AF68" s="72">
        <f>IF(ISNUMBER(tblData[Day'# Aust]),tblData[Au LogiP(t)]/$AD$9,"")</f>
        <v>278.93586234186051</v>
      </c>
      <c r="AG68" s="11">
        <f>IF(AND(tblData[Date]&gt;=StartDt2Au,ISNUMBER(tblData[NSW])),(tblData[[#This Row],[Au LogiP(t)]]-tblData[[#This Row],[Au]])^2,"")</f>
        <v>6.2854438893129352</v>
      </c>
      <c r="AH68">
        <f>IF(tblData[Date]&gt;StartDt2NSW,tblData[Date]-StartDt2NSW,"")</f>
        <v>54</v>
      </c>
      <c r="AI68">
        <f t="shared" si="9"/>
        <v>307</v>
      </c>
      <c r="AJ68" s="11">
        <f>IF(tblData[Date]&gt;StartDt2NSW,betaNSW/(deltaNSW+betaPodeltaNSW*EXP(-betaNSW*tblData[[#This Row],[Day '# NSW]])),"")</f>
        <v>309.16300650764964</v>
      </c>
      <c r="AK68" s="12">
        <f>IF(AND(ISNUMBER(tblData[NSW]),tblData[Date]&gt;StartDt2NSW),(tblData[[#This Row],[NSW LogiP(t)]]-tblData[[#This Row],[NSW]])^2,"")</f>
        <v>4.678597152134695</v>
      </c>
      <c r="AL68" s="12">
        <f>IF(AND(tblData[Date]&gt;StartDt2NSW,ISNUMBER(tblData[Day'# Aust])),tblData[NSW LogiP(t)]/$AG$9,"")</f>
        <v>382.62748330154653</v>
      </c>
      <c r="AM68" s="11">
        <f>IF(AND(tblData[Date]&gt;StartDt2Italy,ISNUMBER(tblData[Days'# Italy])),betaItaly/(deltaItaly+betaPodeltaItaly*EXP(-betaItaly*tblData[Days'# Italy])),"")</f>
        <v>42931.734638723552</v>
      </c>
      <c r="AN68" s="11">
        <f>IF(AND(tblData[Date]&gt;StartDt2Italy,ISNUMBER(tblData[Italy])),(tblData[[#This Row],[Italy LogiP(t)]]-tblData[[#This Row],[Italy]])^2,"")</f>
        <v>3597602.2897337633</v>
      </c>
      <c r="AO68" s="44">
        <f>IF(AND(tblData[Date]&gt;StartDt2Italy,ISNUMBER(tblData[Days'# Italy])),tblData[[#This Row],[Italy LogiP(t)]]/$AM$9,"")</f>
        <v>7102.0239270014144</v>
      </c>
      <c r="AP68" s="21">
        <f>IF(ISNUMBER(tblData[[#This Row],[Days'# US]]),betaUS/(deltaUS+betaPodeltaUS*EXP(-betaUS*tblData[Days'# US])),"")</f>
        <v>12804.716397099988</v>
      </c>
      <c r="AQ68" s="11">
        <f>IF(ISNUMBER(tblData[US]),(tblData[[#This Row],[US LogiP(t)]]-tblData[US])^2,"")</f>
        <v>760878.68388822547</v>
      </c>
      <c r="AR68" s="21">
        <f>IF(ISNUMBER(tblData[[#This Row],[Days'# US]]),tblData[[#This Row],[US LogiP(t)]]/$AP$9,"")</f>
        <v>388.93187322978514</v>
      </c>
      <c r="AS68" s="21">
        <f>IF(tblData[Date]&gt;=StartDt2Korea,betaSKorea/(deltaSKorea+betaPodeltaSKorea*EXP(-betaSKorea*(tblData[Date]-StartDt2Korea))),"")</f>
        <v>8343.6526266717174</v>
      </c>
      <c r="AT68" s="21">
        <f>IF(AND(tblData[Date]&gt;=StartDt2Korea,ISNUMBER(tblData[SKorea])),(tblData[[#This Row],[SKorea LogiP(t)]]-tblData[[#This Row],[SKorea]])^2,"")</f>
        <v>48994.659679330121</v>
      </c>
      <c r="AU68" s="21">
        <f>IF(tblData[Date]&gt;=StartDt2Korea,tblData[[#This Row],[SKorea LogiP(t)]]/$AS$9,"")</f>
        <v>1623.2787211423577</v>
      </c>
      <c r="AV68" s="11">
        <f>IF(ISNUMBER(tblData[Days'# UK]),betaUK/(deltaUK+betaPodeltaUK*EXP(-betaUK*tblData[Days'# UK])),"")</f>
        <v>3110.3082697837744</v>
      </c>
      <c r="AW68" s="21">
        <f>IF(ISNUMBER(tblData[UK]),(tblData[[#This Row],[UK LogiP(t)]]-tblData[[#This Row],[UK]])^2,"")</f>
        <v>155479.01161987384</v>
      </c>
      <c r="AX68" s="21">
        <f>IF(ISNUMBER(tblData[Days'# UK]),tblData[[#This Row],[UK LogiP(t)]]/$AV$9,"")</f>
        <v>468.13790935938806</v>
      </c>
      <c r="AY68" s="11">
        <f>IF(ISNUMBER(tblData[Days'# China]),betaChina/(deltaChina+betaPodeltaChina*EXP(-betaChina*tblData[Days'# China])),"")</f>
        <v>80938.633572111808</v>
      </c>
      <c r="AZ68" s="11">
        <f>IF(ISNUMBER(tblData[China]),(tblData[[#This Row],[China LogiP(t)]]-tblData[[#This Row],[China]])^2,"")</f>
        <v>47248.163972872375</v>
      </c>
      <c r="BA68" s="11">
        <f>tblData[[#This Row],[China LogiP(t)]]/$AY$9</f>
        <v>562.33791813713367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6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Y68"/>
      <c r="BZ68"/>
      <c r="CJ68" s="26"/>
      <c r="CK68" s="26"/>
    </row>
    <row r="69" spans="2:173" x14ac:dyDescent="0.25">
      <c r="B69" s="1">
        <f t="shared" si="10"/>
        <v>43910</v>
      </c>
      <c r="D69" s="26">
        <v>6</v>
      </c>
      <c r="E69">
        <v>382</v>
      </c>
      <c r="F69">
        <v>3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>
        <v>47021</v>
      </c>
      <c r="N69" s="49">
        <f>IF(ISNUMBER(tblData[Italy]),tblData[Italy]/$N$9,"")</f>
        <v>7778.4946236559144</v>
      </c>
      <c r="O69">
        <v>19100</v>
      </c>
      <c r="P69" s="49">
        <f>IF(ISNUMBER(tblData[US]),tblData[US]/$P$9,"")</f>
        <v>580.14551422406544</v>
      </c>
      <c r="Q69">
        <v>8652</v>
      </c>
      <c r="R69" s="19">
        <f>IF(ISNUMBER(tblData[SKorea]),tblData[SKorea]/$R$9,"")</f>
        <v>1683.2684824902724</v>
      </c>
      <c r="S69">
        <v>4014</v>
      </c>
      <c r="T69" s="12">
        <f>IF(ISNUMBER(tblData[UK]),tblData[UK]/$T$9,"")</f>
        <v>604.15412402167362</v>
      </c>
      <c r="U69">
        <v>81250</v>
      </c>
      <c r="V69" s="21">
        <f>IF(ISNUMBER(tblData[China]),tblData[China]/$V$9,"")</f>
        <v>564.50120087504206</v>
      </c>
      <c r="W69" s="26">
        <f>IF(tblData[[#This Row],[Date]]&lt;ItalyStart,"",tblData[[#This Row],[Date]]-ItalyStart)</f>
        <v>50</v>
      </c>
      <c r="X69" s="26">
        <f t="shared" si="7"/>
        <v>40</v>
      </c>
      <c r="Y69" s="26">
        <f t="shared" si="3"/>
        <v>58</v>
      </c>
      <c r="Z69" s="26">
        <f>IF(tblData[[#This Row],[Date]]&lt;StartDt2Korea,"",tblData[[#This Row],[Date]]-StartDt2Korea)</f>
        <v>30</v>
      </c>
      <c r="AA69" s="26">
        <f>IF(tblData[[#This Row],[Date]]&lt;UKStart,"",tblData[[#This Row],[Date]]-UKStart)</f>
        <v>50</v>
      </c>
      <c r="AB69">
        <f>IF(tblData[Date]&gt;=StartDt2Au,tblData[Date]-StartDt2Au,"")</f>
        <v>55</v>
      </c>
      <c r="AC69" s="26">
        <f>IF(tblData[New South Wales]&gt;0,SUM(tblData[[#This Row],[Australian Capital Territory]:[Western Australia]]),"")</f>
        <v>877</v>
      </c>
      <c r="AD69" s="12">
        <f>IF(ISNUMBER(tblData[Au]),tblData[Au]/$AA$9,"")</f>
        <v>345.76565210534613</v>
      </c>
      <c r="AE69" s="19">
        <f>IF(ISNUMBER(tblData[[#This Row],[Day'# Aust]]),betaAu/(deltaAu+betaPodeltaAu*EXP(-betaAu*tblData[[#This Row],[Day'# Aust]])),"")</f>
        <v>870.20475021757136</v>
      </c>
      <c r="AF69" s="72">
        <f>IF(ISNUMBER(tblData[Day'# Aust]),tblData[Au LogiP(t)]/$AD$9,"")</f>
        <v>343.08655977668008</v>
      </c>
      <c r="AG69" s="11">
        <f>IF(AND(tblData[Date]&gt;=StartDt2Au,ISNUMBER(tblData[NSW])),(tblData[[#This Row],[Au LogiP(t)]]-tblData[[#This Row],[Au]])^2,"")</f>
        <v>46.175419605596495</v>
      </c>
      <c r="AH69">
        <f>IF(tblData[Date]&gt;StartDt2NSW,tblData[Date]-StartDt2NSW,"")</f>
        <v>55</v>
      </c>
      <c r="AI69">
        <f t="shared" si="9"/>
        <v>382</v>
      </c>
      <c r="AJ69" s="11">
        <f>IF(tblData[Date]&gt;StartDt2NSW,betaNSW/(deltaNSW+betaPodeltaNSW*EXP(-betaNSW*tblData[[#This Row],[Day '# NSW]])),"")</f>
        <v>371.33332660993506</v>
      </c>
      <c r="AK69" s="12">
        <f>IF(AND(ISNUMBER(tblData[NSW]),tblData[Date]&gt;StartDt2NSW),(tblData[[#This Row],[NSW LogiP(t)]]-tblData[[#This Row],[NSW]])^2,"")</f>
        <v>113.77792121031955</v>
      </c>
      <c r="AL69" s="12">
        <f>IF(AND(tblData[Date]&gt;StartDt2NSW,ISNUMBER(tblData[Day'# Aust])),tblData[NSW LogiP(t)]/$AG$9,"")</f>
        <v>459.57094877467205</v>
      </c>
      <c r="AM69" s="11">
        <f>IF(AND(tblData[Date]&gt;StartDt2Italy,ISNUMBER(tblData[Days'# Italy])),betaItaly/(deltaItaly+betaPodeltaItaly*EXP(-betaItaly*tblData[Days'# Italy])),"")</f>
        <v>46001.220970294475</v>
      </c>
      <c r="AN69" s="11">
        <f>IF(AND(tblData[Date]&gt;StartDt2Italy,ISNUMBER(tblData[Italy])),(tblData[[#This Row],[Italy LogiP(t)]]-tblData[[#This Row],[Italy]])^2,"")</f>
        <v>1039949.2694271427</v>
      </c>
      <c r="AO69" s="44">
        <f>IF(AND(tblData[Date]&gt;StartDt2Italy,ISNUMBER(tblData[Days'# Italy])),tblData[[#This Row],[Italy LogiP(t)]]/$AM$9,"")</f>
        <v>7609.7966865664976</v>
      </c>
      <c r="AP69" s="21">
        <f>IF(ISNUMBER(tblData[[#This Row],[Days'# US]]),betaUS/(deltaUS+betaPodeltaUS*EXP(-betaUS*tblData[Days'# US])),"")</f>
        <v>17881.370549030591</v>
      </c>
      <c r="AQ69" s="11">
        <f>IF(ISNUMBER(tblData[US]),(tblData[[#This Row],[US LogiP(t)]]-tblData[US])^2,"")</f>
        <v>1485057.738770003</v>
      </c>
      <c r="AR69" s="21">
        <f>IF(ISNUMBER(tblData[[#This Row],[Days'# US]]),tblData[[#This Row],[US LogiP(t)]]/$AP$9,"")</f>
        <v>543.13072838735138</v>
      </c>
      <c r="AS69" s="21">
        <f>IF(tblData[Date]&gt;=StartDt2Korea,betaSKorea/(deltaSKorea+betaPodeltaSKorea*EXP(-betaSKorea*(tblData[Date]-StartDt2Korea))),"")</f>
        <v>8353.0536220546983</v>
      </c>
      <c r="AT69" s="21">
        <f>IF(AND(tblData[Date]&gt;=StartDt2Korea,ISNUMBER(tblData[SKorea])),(tblData[[#This Row],[SKorea LogiP(t)]]-tblData[[#This Row],[SKorea]])^2,"")</f>
        <v>89368.936886615178</v>
      </c>
      <c r="AU69" s="21">
        <f>IF(tblData[Date]&gt;=StartDt2Korea,tblData[[#This Row],[SKorea LogiP(t)]]/$AS$9,"")</f>
        <v>1625.107708570953</v>
      </c>
      <c r="AV69" s="11">
        <f>IF(ISNUMBER(tblData[Days'# UK]),betaUK/(deltaUK+betaPodeltaUK*EXP(-betaUK*tblData[Days'# UK])),"")</f>
        <v>3936.3002774201345</v>
      </c>
      <c r="AW69" s="21">
        <f>IF(ISNUMBER(tblData[UK]),(tblData[[#This Row],[UK LogiP(t)]]-tblData[[#This Row],[UK]])^2,"")</f>
        <v>6037.2468889880556</v>
      </c>
      <c r="AX69" s="21">
        <f>IF(ISNUMBER(tblData[Days'# UK]),tblData[[#This Row],[UK LogiP(t)]]/$AV$9,"")</f>
        <v>592.45940358520988</v>
      </c>
      <c r="AY69" s="11">
        <f>IF(ISNUMBER(tblData[Days'# China]),betaChina/(deltaChina+betaPodeltaChina*EXP(-betaChina*tblData[Days'# China])),"")</f>
        <v>80941.271878503438</v>
      </c>
      <c r="AZ69" s="11">
        <f>IF(ISNUMBER(tblData[China]),(tblData[[#This Row],[China LogiP(t)]]-tblData[[#This Row],[China]])^2,"")</f>
        <v>95313.053002796179</v>
      </c>
      <c r="BA69" s="11">
        <f>tblData[[#This Row],[China LogiP(t)]]/$AY$9</f>
        <v>562.35624831715029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6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Y69"/>
      <c r="BZ69"/>
      <c r="CJ69" s="26"/>
      <c r="CK69" s="26"/>
    </row>
    <row r="70" spans="2:173" x14ac:dyDescent="0.25">
      <c r="B70" s="1">
        <f t="shared" si="10"/>
        <v>43911</v>
      </c>
      <c r="D70" s="26">
        <v>9</v>
      </c>
      <c r="E70">
        <v>436</v>
      </c>
      <c r="F70">
        <v>5</v>
      </c>
      <c r="G70">
        <v>221</v>
      </c>
      <c r="H70">
        <v>67</v>
      </c>
      <c r="I70">
        <v>16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6">
        <v>53578</v>
      </c>
      <c r="N70" s="49">
        <f>IF(ISNUMBER(tblData[Italy]),tblData[Italy]/$N$9,"")</f>
        <v>8863.1927212572373</v>
      </c>
      <c r="O70">
        <v>24148</v>
      </c>
      <c r="P70" s="49">
        <f>IF(ISNUMBER(tblData[US]),tblData[US]/$P$9,"")</f>
        <v>733.47402499909595</v>
      </c>
      <c r="Q70">
        <v>8799</v>
      </c>
      <c r="R70" s="19">
        <f>IF(ISNUMBER(tblData[SKorea]),tblData[SKorea]/$R$9,"")</f>
        <v>1711.8677042801557</v>
      </c>
      <c r="S70">
        <v>5049</v>
      </c>
      <c r="T70" s="12">
        <f>IF(ISNUMBER(tblData[UK]),tblData[UK]/$T$9,"")</f>
        <v>759.93377483443703</v>
      </c>
      <c r="U70">
        <v>81304</v>
      </c>
      <c r="V70" s="21">
        <f>IF(ISNUMBER(tblData[China]),tblData[China]/$V$9,"")</f>
        <v>564.87637705777752</v>
      </c>
      <c r="W70" s="26">
        <f>IF(tblData[[#This Row],[Date]]&lt;ItalyStart,"",tblData[[#This Row],[Date]]-ItalyStart)</f>
        <v>51</v>
      </c>
      <c r="X70" s="26">
        <f t="shared" si="7"/>
        <v>41</v>
      </c>
      <c r="Y70" s="26">
        <f t="shared" si="3"/>
        <v>59</v>
      </c>
      <c r="Z70" s="26">
        <f>IF(tblData[[#This Row],[Date]]&lt;StartDt2Korea,"",tblData[[#This Row],[Date]]-StartDt2Korea)</f>
        <v>31</v>
      </c>
      <c r="AA70" s="26">
        <f>IF(tblData[[#This Row],[Date]]&lt;UKStart,"",tblData[[#This Row],[Date]]-UKStart)</f>
        <v>51</v>
      </c>
      <c r="AB70">
        <f>IF(tblData[Date]&gt;=StartDt2Au,tblData[Date]-StartDt2Au,"")</f>
        <v>56</v>
      </c>
      <c r="AC70" s="26">
        <f>IF(tblData[New South Wales]&gt;0,SUM(tblData[[#This Row],[Australian Capital Territory]:[Western Australia]]),"")</f>
        <v>1073</v>
      </c>
      <c r="AD70" s="12">
        <f>IF(ISNUMBER(tblData[Au]),tblData[Au]/$AA$9,"")</f>
        <v>423.04052988487621</v>
      </c>
      <c r="AE70" s="19">
        <f>IF(ISNUMBER(tblData[[#This Row],[Day'# Aust]]),betaAu/(deltaAu+betaPodeltaAu*EXP(-betaAu*tblData[[#This Row],[Day'# Aust]])),"")</f>
        <v>1070.3374516810125</v>
      </c>
      <c r="AF70" s="72">
        <f>IF(ISNUMBER(tblData[Day'# Aust]),tblData[Au LogiP(t)]/$AD$9,"")</f>
        <v>421.99079470155039</v>
      </c>
      <c r="AG70" s="11">
        <f>IF(AND(tblData[Date]&gt;=StartDt2Au,ISNUMBER(tblData[NSW])),(tblData[[#This Row],[Au LogiP(t)]]-tblData[[#This Row],[Au]])^2,"")</f>
        <v>7.089163550943411</v>
      </c>
      <c r="AH70">
        <f>IF(tblData[Date]&gt;StartDt2NSW,tblData[Date]-StartDt2NSW,"")</f>
        <v>56</v>
      </c>
      <c r="AI70">
        <f t="shared" si="9"/>
        <v>436</v>
      </c>
      <c r="AJ70" s="11">
        <f>IF(tblData[Date]&gt;StartDt2NSW,betaNSW/(deltaNSW+betaPodeltaNSW*EXP(-betaNSW*tblData[[#This Row],[Day '# NSW]])),"")</f>
        <v>443.70914971212068</v>
      </c>
      <c r="AK70" s="12">
        <f>IF(AND(ISNUMBER(tblData[NSW]),tblData[Date]&gt;StartDt2NSW),(tblData[[#This Row],[NSW LogiP(t)]]-tblData[[#This Row],[NSW]])^2,"")</f>
        <v>59.43098928389032</v>
      </c>
      <c r="AL70" s="12">
        <f>IF(AND(tblData[Date]&gt;StartDt2NSW,ISNUMBER(tblData[Day'# Aust])),tblData[NSW LogiP(t)]/$AG$9,"")</f>
        <v>549.14498726747604</v>
      </c>
      <c r="AM70" s="11">
        <f>IF(AND(tblData[Date]&gt;StartDt2Italy,ISNUMBER(tblData[Days'# Italy])),betaItaly/(deltaItaly+betaPodeltaItaly*EXP(-betaItaly*tblData[Days'# Italy])),"")</f>
        <v>48686.605536305768</v>
      </c>
      <c r="AN70" s="11">
        <f>IF(AND(tblData[Date]&gt;StartDt2Italy,ISNUMBER(tblData[Italy])),(tblData[[#This Row],[Italy LogiP(t)]]-tblData[[#This Row],[Italy]])^2,"")</f>
        <v>23925739.799458586</v>
      </c>
      <c r="AO70" s="44">
        <f>IF(AND(tblData[Date]&gt;StartDt2Italy,ISNUMBER(tblData[Days'# Italy])),tblData[[#This Row],[Italy LogiP(t)]]/$AM$9,"")</f>
        <v>8054.0290382639814</v>
      </c>
      <c r="AP70" s="21">
        <f>IF(ISNUMBER(tblData[[#This Row],[Days'# US]]),betaUS/(deltaUS+betaPodeltaUS*EXP(-betaUS*tblData[Days'# US])),"")</f>
        <v>24836.291891908426</v>
      </c>
      <c r="AQ70" s="11">
        <f>IF(ISNUMBER(tblData[US]),(tblData[[#This Row],[US LogiP(t)]]-tblData[US])^2,"")</f>
        <v>473745.72846688022</v>
      </c>
      <c r="AR70" s="21">
        <f>IF(ISNUMBER(tblData[[#This Row],[Days'# US]]),tblData[[#This Row],[US LogiP(t)]]/$AP$9,"")</f>
        <v>754.38027911257598</v>
      </c>
      <c r="AS70" s="21">
        <f>IF(tblData[Date]&gt;=StartDt2Korea,betaSKorea/(deltaSKorea+betaPodeltaSKorea*EXP(-betaSKorea*(tblData[Date]-StartDt2Korea))),"")</f>
        <v>8359.8899882621663</v>
      </c>
      <c r="AT70" s="21">
        <f>IF(AND(tblData[Date]&gt;=StartDt2Korea,ISNUMBER(tblData[SKorea])),(tblData[[#This Row],[SKorea LogiP(t)]]-tblData[[#This Row],[SKorea]])^2,"")</f>
        <v>192817.60240840045</v>
      </c>
      <c r="AU70" s="21">
        <f>IF(tblData[Date]&gt;=StartDt2Korea,tblData[[#This Row],[SKorea LogiP(t)]]/$AS$9,"")</f>
        <v>1626.4377409070364</v>
      </c>
      <c r="AV70" s="11">
        <f>IF(ISNUMBER(tblData[Days'# UK]),betaUK/(deltaUK+betaPodeltaUK*EXP(-betaUK*tblData[Days'# UK])),"")</f>
        <v>4981.6430073927977</v>
      </c>
      <c r="AW70" s="21">
        <f>IF(ISNUMBER(tblData[UK]),(tblData[[#This Row],[UK LogiP(t)]]-tblData[[#This Row],[UK]])^2,"")</f>
        <v>4536.9644530867054</v>
      </c>
      <c r="AX70" s="21">
        <f>IF(ISNUMBER(tblData[Days'# UK]),tblData[[#This Row],[UK LogiP(t)]]/$AV$9,"")</f>
        <v>749.79575668163716</v>
      </c>
      <c r="AY70" s="11">
        <f>IF(ISNUMBER(tblData[Days'# China]),betaChina/(deltaChina+betaPodeltaChina*EXP(-betaChina*tblData[Days'# China])),"")</f>
        <v>80943.384760508008</v>
      </c>
      <c r="AZ70" s="11">
        <f>IF(ISNUMBER(tblData[China]),(tblData[[#This Row],[China LogiP(t)]]-tblData[[#This Row],[China]])^2,"")</f>
        <v>130043.35095386661</v>
      </c>
      <c r="BA70" s="11">
        <f>tblData[[#This Row],[China LogiP(t)]]/$AY$9</f>
        <v>562.37092800242885</v>
      </c>
      <c r="BB70" s="11">
        <v>46456</v>
      </c>
      <c r="BC70" s="11"/>
      <c r="BD70" s="11">
        <f>IF(ISNUMBER(tblData[[#This Row],[NSW Number of Tests]]),tblData[[#This Row],[NSW Number of Tests]]-BB69,"")</f>
        <v>6158</v>
      </c>
      <c r="BE70" s="11" t="str">
        <f>IF(ISNUMBER(tblData[[#This Row],[NSW Under Investigation'']]),tblData[[#This Row],[NSW Under Investigation'']]-BC69,"")</f>
        <v/>
      </c>
      <c r="BF70" s="11">
        <f t="shared" si="6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>
        <f>IF(ISNUMBER(tblData[[#This Row],[NSW Number of Tests]]),(tblData[[#This Row],[NSW Number of Tests]]-tblData[[#This Row],[NSW Test Logi]])^2,"")</f>
        <v>27229286.507314503</v>
      </c>
      <c r="BY70"/>
      <c r="BZ70"/>
      <c r="CJ70" s="26"/>
      <c r="CK70" s="26"/>
    </row>
    <row r="71" spans="2:173" x14ac:dyDescent="0.25">
      <c r="B71" s="1">
        <f t="shared" si="10"/>
        <v>43912</v>
      </c>
      <c r="D71" s="26"/>
      <c r="L71" s="12" t="str">
        <f>IF(ISNUMBER(tblData[[#This Row],[NSW]]),tblData[[#This Row],[New South Wales]]/$L$9,"")</f>
        <v/>
      </c>
      <c r="M71" s="26"/>
      <c r="N71" s="49" t="str">
        <f>IF(ISNUMBER(tblData[Italy]),tblData[Italy]/$N$9,"")</f>
        <v/>
      </c>
      <c r="O71" s="26"/>
      <c r="P71" s="49" t="str">
        <f>IF(ISNUMBER(tblData[US]),tblData[US]/$P$9,"")</f>
        <v/>
      </c>
      <c r="Q71" s="49"/>
      <c r="R71" s="19" t="str">
        <f>IF(ISNUMBER(tblData[SKorea]),tblData[SKorea]/$R$9,"")</f>
        <v/>
      </c>
      <c r="S71" s="49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7"/>
        <v>42</v>
      </c>
      <c r="Y71" s="26">
        <f t="shared" si="3"/>
        <v>60</v>
      </c>
      <c r="Z71" s="26">
        <f>IF(tblData[[#This Row],[Date]]&lt;StartDt2Korea,"",tblData[[#This Row],[Date]]-StartDt2Korea)</f>
        <v>32</v>
      </c>
      <c r="AA71" s="26">
        <f>IF(tblData[[#This Row],[Date]]&lt;UKStart,"",tblData[[#This Row],[Date]]-UKStart)</f>
        <v>52</v>
      </c>
      <c r="AB71">
        <f>IF(tblData[Date]&gt;=StartDt2Au,tblData[Date]-StartDt2Au,"")</f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IF(ISNUMBER(tblData[Au]),tblData[Au]/$AA$9,"")</f>
        <v/>
      </c>
      <c r="AE71" s="19">
        <f>IF(ISNUMBER(tblData[[#This Row],[Day'# Aust]]),betaAu/(deltaAu+betaPodeltaAu*EXP(-betaAu*tblData[[#This Row],[Day'# Aust]])),"")</f>
        <v>1316.4970720423134</v>
      </c>
      <c r="AF71" s="72">
        <f>IF(ISNUMBER(tblData[Day'# Aust]),tblData[Au LogiP(t)]/$AD$9,"")</f>
        <v>519.04158336315777</v>
      </c>
      <c r="AG71" s="11" t="str">
        <f>IF(AND(tblData[Date]&gt;=StartDt2Au,ISNUMBER(tblData[NSW])),(tblData[[#This Row],[Au LogiP(t)]]-tblData[[#This Row],[Au]])^2,"")</f>
        <v/>
      </c>
      <c r="AH71">
        <f>IF(tblData[Date]&gt;StartDt2NSW,tblData[Date]-StartDt2NSW,"")</f>
        <v>57</v>
      </c>
      <c r="AI71" s="26" t="str">
        <f t="shared" si="9"/>
        <v/>
      </c>
      <c r="AJ71" s="11">
        <f>IF(tblData[Date]&gt;StartDt2NSW,betaNSW/(deltaNSW+betaPodeltaNSW*EXP(-betaNSW*tblData[[#This Row],[Day '# NSW]])),"")</f>
        <v>527.03245692038445</v>
      </c>
      <c r="AK71" s="12" t="str">
        <f>IF(AND(ISNUMBER(tblData[NSW]),tblData[Date]&gt;StartDt2NSW),(tblData[[#This Row],[NSW LogiP(t)]]-tblData[[#This Row],[NSW]])^2,"")</f>
        <v/>
      </c>
      <c r="AL71" s="12">
        <f>IF(AND(tblData[Date]&gt;StartDt2NSW,ISNUMBER(tblData[Day'# Aust])),tblData[NSW LogiP(t)]/$AG$9,"")</f>
        <v>652.26789222819855</v>
      </c>
      <c r="AM71" s="11">
        <f>IF(AND(tblData[Date]&gt;StartDt2Italy,ISNUMBER(tblData[Days'# Italy])),betaItaly/(deltaItaly+betaPodeltaItaly*EXP(-betaItaly*tblData[Days'# Italy])),"")</f>
        <v>50982.588914519059</v>
      </c>
      <c r="AN71" s="11" t="str">
        <f>IF(AND(tblData[Date]&gt;StartDt2Italy,ISNUMBER(tblData[Italy])),(tblData[[#This Row],[Italy LogiP(t)]]-tblData[[#This Row],[Italy]])^2,"")</f>
        <v/>
      </c>
      <c r="AO71" s="44">
        <f>IF(AND(tblData[Date]&gt;StartDt2Italy,ISNUMBER(tblData[Days'# Italy])),tblData[[#This Row],[Italy LogiP(t)]]/$AM$9,"")</f>
        <v>8433.8443200196962</v>
      </c>
      <c r="AP71" s="21">
        <f>IF(ISNUMBER(tblData[[#This Row],[Days'# US]]),betaUS/(deltaUS+betaPodeltaUS*EXP(-betaUS*tblData[Days'# US])),"")</f>
        <v>34243.699160618598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1040.1219088204857</v>
      </c>
      <c r="AS71" s="21">
        <f>IF(tblData[Date]&gt;=StartDt2Korea,betaSKorea/(deltaSKorea+betaPodeltaSKorea*EXP(-betaSKorea*(tblData[Date]-StartDt2Korea))),"")</f>
        <v>8364.8587227654989</v>
      </c>
      <c r="AT71" s="21" t="str">
        <f>IF(AND(tblData[Date]&gt;=StartDt2Korea,ISNUMBER(tblData[SKorea])),(tblData[[#This Row],[SKorea LogiP(t)]]-tblData[[#This Row],[SKorea]])^2,"")</f>
        <v/>
      </c>
      <c r="AU71" s="21">
        <f>IF(tblData[Date]&gt;=StartDt2Korea,tblData[[#This Row],[SKorea LogiP(t)]]/$AS$9,"")</f>
        <v>1627.4044207714981</v>
      </c>
      <c r="AV71" s="11">
        <f>IF(ISNUMBER(tblData[Days'# UK]),betaUK/(deltaUK+betaPodeltaUK*EXP(-betaUK*tblData[Days'# UK])),"")</f>
        <v>6304.5845216574999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948.91398580034615</v>
      </c>
      <c r="AY71" s="11">
        <f>IF(ISNUMBER(tblData[Days'# China]),betaChina/(deltaChina+betaPodeltaChina*EXP(-betaChina*tblData[Days'# China])),"")</f>
        <v>80945.076837737972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562.38268405939243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6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Y71"/>
      <c r="BZ71"/>
      <c r="CJ71" s="26"/>
      <c r="CK71" s="26"/>
    </row>
    <row r="72" spans="2:173" x14ac:dyDescent="0.25">
      <c r="B72" s="1">
        <f t="shared" si="10"/>
        <v>43913</v>
      </c>
      <c r="D72" s="26"/>
      <c r="L72" s="12" t="str">
        <f>IF(ISNUMBER(tblData[[#This Row],[NSW]]),tblData[[#This Row],[New South Wales]]/$L$9,"")</f>
        <v/>
      </c>
      <c r="M72" s="26"/>
      <c r="N72" s="49" t="str">
        <f>IF(ISNUMBER(tblData[Italy]),tblData[Italy]/$N$9,"")</f>
        <v/>
      </c>
      <c r="O72" s="26"/>
      <c r="P72" s="49" t="str">
        <f>IF(ISNUMBER(tblData[US]),tblData[US]/$P$9,"")</f>
        <v/>
      </c>
      <c r="Q72" s="49"/>
      <c r="R72" s="19" t="str">
        <f>IF(ISNUMBER(tblData[SKorea]),tblData[SKorea]/$R$9,"")</f>
        <v/>
      </c>
      <c r="S72" s="49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7"/>
        <v>43</v>
      </c>
      <c r="Y72" s="26">
        <f t="shared" si="3"/>
        <v>61</v>
      </c>
      <c r="Z72" s="26">
        <f>IF(tblData[[#This Row],[Date]]&lt;StartDt2Korea,"",tblData[[#This Row],[Date]]-StartDt2Korea)</f>
        <v>33</v>
      </c>
      <c r="AA72" s="26">
        <f>IF(tblData[[#This Row],[Date]]&lt;UKStart,"",tblData[[#This Row],[Date]]-UKStart)</f>
        <v>53</v>
      </c>
      <c r="AB72">
        <f>IF(tblData[Date]&gt;=StartDt2Au,tblData[Date]-StartDt2Au,"")</f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IF(ISNUMBER(tblData[Au]),tblData[Au]/$AA$9,"")</f>
        <v/>
      </c>
      <c r="AE72" s="19">
        <f>IF(ISNUMBER(tblData[[#This Row],[Day'# Aust]]),betaAu/(deltaAu+betaPodeltaAu*EXP(-betaAu*tblData[[#This Row],[Day'# Aust]])),"")</f>
        <v>1619.2688240247471</v>
      </c>
      <c r="AF72" s="72">
        <f>IF(ISNUMBER(tblData[Day'# Aust]),tblData[Au LogiP(t)]/$AD$9,"")</f>
        <v>638.41224728936572</v>
      </c>
      <c r="AG72" s="11" t="str">
        <f>IF(AND(tblData[Date]&gt;=StartDt2Au,ISNUMBER(tblData[NSW])),(tblData[[#This Row],[Au LogiP(t)]]-tblData[[#This Row],[Au]])^2,"")</f>
        <v/>
      </c>
      <c r="AH72">
        <f>IF(tblData[Date]&gt;StartDt2NSW,tblData[Date]-StartDt2NSW,"")</f>
        <v>58</v>
      </c>
      <c r="AI72" t="str">
        <f t="shared" si="9"/>
        <v/>
      </c>
      <c r="AJ72" s="11">
        <f>IF(tblData[Date]&gt;StartDt2NSW,betaNSW/(deltaNSW+betaPodeltaNSW*EXP(-betaNSW*tblData[[#This Row],[Day '# NSW]])),"")</f>
        <v>621.73791714203844</v>
      </c>
      <c r="AK72" s="12" t="str">
        <f>IF(AND(ISNUMBER(tblData[NSW]),tblData[Date]&gt;StartDt2NSW),(tblData[[#This Row],[NSW LogiP(t)]]-tblData[[#This Row],[NSW]])^2,"")</f>
        <v/>
      </c>
      <c r="AL72" s="12">
        <f>IF(AND(tblData[Date]&gt;StartDt2NSW,ISNUMBER(tblData[Day'# Aust])),tblData[NSW LogiP(t)]/$AG$9,"")</f>
        <v>769.47762022529503</v>
      </c>
      <c r="AM72" s="11">
        <f>IF(AND(tblData[Date]&gt;StartDt2Italy,ISNUMBER(tblData[Days'# Italy])),betaItaly/(deltaItaly+betaPodeltaItaly*EXP(-betaItaly*tblData[Days'# Italy])),"")</f>
        <v>52907.387474364317</v>
      </c>
      <c r="AN72" s="11" t="str">
        <f>IF(AND(tblData[Date]&gt;StartDt2Italy,ISNUMBER(tblData[Italy])),(tblData[[#This Row],[Italy LogiP(t)]]-tblData[[#This Row],[Italy]])^2,"")</f>
        <v/>
      </c>
      <c r="AO72" s="44">
        <f>IF(AND(tblData[Date]&gt;StartDt2Italy,ISNUMBER(tblData[Days'# Italy])),tblData[[#This Row],[Italy LogiP(t)]]/$AM$9,"")</f>
        <v>8752.2559924506731</v>
      </c>
      <c r="AP72" s="21">
        <f>IF(ISNUMBER(tblData[[#This Row],[Days'# US]]),betaUS/(deltaUS+betaPodeltaUS*EXP(-betaUS*tblData[Days'# US])),"")</f>
        <v>46751.328421361068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1420.0300244852715</v>
      </c>
      <c r="AS72" s="21">
        <f>IF(tblData[Date]&gt;=StartDt2Korea,betaSKorea/(deltaSKorea+betaPodeltaSKorea*EXP(-betaSKorea*(tblData[Date]-StartDt2Korea))),"")</f>
        <v>8368.4686492218716</v>
      </c>
      <c r="AT72" s="21" t="str">
        <f>IF(AND(tblData[Date]&gt;=StartDt2Korea,ISNUMBER(tblData[SKorea])),(tblData[[#This Row],[SKorea LogiP(t)]]-tblData[[#This Row],[SKorea]])^2,"")</f>
        <v/>
      </c>
      <c r="AU72" s="21">
        <f>IF(tblData[Date]&gt;=StartDt2Korea,tblData[[#This Row],[SKorea LogiP(t)]]/$AS$9,"")</f>
        <v>1628.1067410937494</v>
      </c>
      <c r="AV72" s="11">
        <f>IF(ISNUMBER(tblData[Days'# UK]),betaUK/(deltaUK+betaPodeltaUK*EXP(-betaUK*tblData[Days'# UK])),"")</f>
        <v>7978.8388368291498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1200.9089158382224</v>
      </c>
      <c r="AY72" s="11">
        <f>IF(ISNUMBER(tblData[Days'# China]),betaChina/(deltaChina+betaPodeltaChina*EXP(-betaChina*tblData[Days'# China])),"")</f>
        <v>80946.43190562079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562.39209867412626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6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Y72"/>
      <c r="BZ72"/>
      <c r="CJ72" s="26"/>
      <c r="CK72" s="26"/>
    </row>
    <row r="73" spans="2:173" x14ac:dyDescent="0.25">
      <c r="B73" s="1">
        <f t="shared" si="10"/>
        <v>43914</v>
      </c>
      <c r="D73" s="26"/>
      <c r="L73" s="12" t="str">
        <f>IF(ISNUMBER(tblData[[#This Row],[NSW]]),tblData[[#This Row],[New South Wales]]/$L$9,"")</f>
        <v/>
      </c>
      <c r="M73" s="26"/>
      <c r="N73" s="49" t="str">
        <f>IF(ISNUMBER(tblData[Italy]),tblData[Italy]/$N$9,"")</f>
        <v/>
      </c>
      <c r="O73" s="26"/>
      <c r="P73" s="49" t="str">
        <f>IF(ISNUMBER(tblData[US]),tblData[US]/$P$9,"")</f>
        <v/>
      </c>
      <c r="Q73" s="49"/>
      <c r="R73" s="19" t="str">
        <f>IF(ISNUMBER(tblData[SKorea]),tblData[SKorea]/$R$9,"")</f>
        <v/>
      </c>
      <c r="S73" s="49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7"/>
        <v>44</v>
      </c>
      <c r="Y73" s="26">
        <f t="shared" si="3"/>
        <v>62</v>
      </c>
      <c r="Z73" s="26">
        <f>IF(tblData[[#This Row],[Date]]&lt;StartDt2Korea,"",tblData[[#This Row],[Date]]-StartDt2Korea)</f>
        <v>34</v>
      </c>
      <c r="AA73" s="26">
        <f>IF(tblData[[#This Row],[Date]]&lt;UKStart,"",tblData[[#This Row],[Date]]-UKStart)</f>
        <v>54</v>
      </c>
      <c r="AB73">
        <f>IF(tblData[Date]&gt;=StartDt2Au,tblData[Date]-StartDt2Au,"")</f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IF(ISNUMBER(tblData[Au]),tblData[Au]/$AA$9,"")</f>
        <v/>
      </c>
      <c r="AE73" s="19">
        <f>IF(ISNUMBER(tblData[[#This Row],[Day'# Aust]]),betaAu/(deltaAu+betaPodeltaAu*EXP(-betaAu*tblData[[#This Row],[Day'# Aust]])),"")</f>
        <v>1991.672217221784</v>
      </c>
      <c r="AF73" s="72">
        <f>IF(ISNUMBER(tblData[Day'# Aust]),tblData[Au LogiP(t)]/$AD$9,"")</f>
        <v>785.23585287091305</v>
      </c>
      <c r="AG73" s="11" t="str">
        <f>IF(AND(tblData[Date]&gt;=StartDt2Au,ISNUMBER(tblData[NSW])),(tblData[[#This Row],[Au LogiP(t)]]-tblData[[#This Row],[Au]])^2,"")</f>
        <v/>
      </c>
      <c r="AH73">
        <f>IF(tblData[Date]&gt;StartDt2NSW,tblData[Date]-StartDt2NSW,"")</f>
        <v>59</v>
      </c>
      <c r="AI73" t="str">
        <f t="shared" si="9"/>
        <v/>
      </c>
      <c r="AJ73" s="11">
        <f>IF(tblData[Date]&gt;StartDt2NSW,betaNSW/(deltaNSW+betaPodeltaNSW*EXP(-betaNSW*tblData[[#This Row],[Day '# NSW]])),"")</f>
        <v>727.82547716130034</v>
      </c>
      <c r="AK73" s="12" t="str">
        <f>IF(AND(ISNUMBER(tblData[NSW]),tblData[Date]&gt;StartDt2NSW),(tblData[[#This Row],[NSW LogiP(t)]]-tblData[[#This Row],[NSW]])^2,"")</f>
        <v/>
      </c>
      <c r="AL73" s="12">
        <f>IF(AND(tblData[Date]&gt;StartDt2NSW,ISNUMBER(tblData[Day'# Aust])),tblData[NSW LogiP(t)]/$AG$9,"")</f>
        <v>900.7741053976489</v>
      </c>
      <c r="AM73" s="11">
        <f>IF(AND(tblData[Date]&gt;StartDt2Italy,ISNUMBER(tblData[Days'# Italy])),betaItaly/(deltaItaly+betaPodeltaItaly*EXP(-betaItaly*tblData[Days'# Italy])),"")</f>
        <v>54494.568046815555</v>
      </c>
      <c r="AN73" s="11" t="str">
        <f>IF(AND(tblData[Date]&gt;StartDt2Italy,ISNUMBER(tblData[Italy])),(tblData[[#This Row],[Italy LogiP(t)]]-tblData[[#This Row],[Italy]])^2,"")</f>
        <v/>
      </c>
      <c r="AO73" s="44">
        <f>IF(AND(tblData[Date]&gt;StartDt2Italy,ISNUMBER(tblData[Days'# Italy])),tblData[[#This Row],[Italy LogiP(t)]]/$AM$9,"")</f>
        <v>9014.8168811936412</v>
      </c>
      <c r="AP73" s="21">
        <f>IF(ISNUMBER(tblData[[#This Row],[Days'# US]]),betaUS/(deltaUS+betaPodeltaUS*EXP(-betaUS*tblData[Days'# US])),"")</f>
        <v>63005.792686297747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1913.7449213134591</v>
      </c>
      <c r="AS73" s="21">
        <f>IF(tblData[Date]&gt;=StartDt2Korea,betaSKorea/(deltaSKorea+betaPodeltaSKorea*EXP(-betaSKorea*(tblData[Date]-StartDt2Korea))),"")</f>
        <v>8371.090626472549</v>
      </c>
      <c r="AT73" s="21" t="str">
        <f>IF(AND(tblData[Date]&gt;=StartDt2Korea,ISNUMBER(tblData[SKorea])),(tblData[[#This Row],[SKorea LogiP(t)]]-tblData[[#This Row],[SKorea]])^2,"")</f>
        <v/>
      </c>
      <c r="AU73" s="21">
        <f>IF(tblData[Date]&gt;=StartDt2Korea,tblData[[#This Row],[SKorea LogiP(t)]]/$AS$9,"")</f>
        <v>1628.6168533993286</v>
      </c>
      <c r="AV73" s="11">
        <f>IF(ISNUMBER(tblData[Days'# UK]),betaUK/(deltaUK+betaPodeltaUK*EXP(-betaUK*tblData[Days'# UK])),"")</f>
        <v>10097.691415240608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1519.8211040398267</v>
      </c>
      <c r="AY73" s="11">
        <f>IF(ISNUMBER(tblData[Days'# China]),betaChina/(deltaChina+betaPodeltaChina*EXP(-betaChina*tblData[Days'# China])),"")</f>
        <v>80947.517077837634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562.3996381328285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6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Y73"/>
      <c r="BZ73"/>
      <c r="CJ73" s="26"/>
      <c r="CK73" s="26"/>
    </row>
    <row r="74" spans="2:173" x14ac:dyDescent="0.25">
      <c r="B74" s="1">
        <f t="shared" si="10"/>
        <v>43915</v>
      </c>
      <c r="D74" s="26"/>
      <c r="L74" s="12" t="str">
        <f>IF(ISNUMBER(tblData[[#This Row],[NSW]]),tblData[[#This Row],[New South Wales]]/$L$9,"")</f>
        <v/>
      </c>
      <c r="M74" s="26"/>
      <c r="N74" s="49" t="str">
        <f>IF(ISNUMBER(tblData[Italy]),tblData[Italy]/$N$9,"")</f>
        <v/>
      </c>
      <c r="O74" s="26"/>
      <c r="P74" s="49" t="str">
        <f>IF(ISNUMBER(tblData[US]),tblData[US]/$P$9,"")</f>
        <v/>
      </c>
      <c r="Q74" s="49"/>
      <c r="R74" s="19" t="str">
        <f>IF(ISNUMBER(tblData[SKorea]),tblData[SKorea]/$R$9,"")</f>
        <v/>
      </c>
      <c r="S74" s="49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7"/>
        <v>45</v>
      </c>
      <c r="Y74" s="26">
        <f t="shared" si="3"/>
        <v>63</v>
      </c>
      <c r="Z74" s="26">
        <f>IF(tblData[[#This Row],[Date]]&lt;StartDt2Korea,"",tblData[[#This Row],[Date]]-StartDt2Korea)</f>
        <v>35</v>
      </c>
      <c r="AA74" s="26">
        <f>IF(tblData[[#This Row],[Date]]&lt;UKStart,"",tblData[[#This Row],[Date]]-UKStart)</f>
        <v>55</v>
      </c>
      <c r="AB74">
        <f>IF(tblData[Date]&gt;=StartDt2Au,tblData[Date]-StartDt2Au,"")</f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IF(ISNUMBER(tblData[Au]),tblData[Au]/$AA$9,"")</f>
        <v/>
      </c>
      <c r="AE74" s="19">
        <f>IF(ISNUMBER(tblData[[#This Row],[Day'# Aust]]),betaAu/(deltaAu+betaPodeltaAu*EXP(-betaAu*tblData[[#This Row],[Day'# Aust]])),"")</f>
        <v>2449.720837426386</v>
      </c>
      <c r="AF74" s="72">
        <f>IF(ISNUMBER(tblData[Day'# Aust]),tblData[Au LogiP(t)]/$AD$9,"")</f>
        <v>965.82590972495893</v>
      </c>
      <c r="AG74" s="11" t="str">
        <f>IF(AND(tblData[Date]&gt;=StartDt2Au,ISNUMBER(tblData[NSW])),(tblData[[#This Row],[Au LogiP(t)]]-tblData[[#This Row],[Au]])^2,"")</f>
        <v/>
      </c>
      <c r="AH74">
        <f>IF(tblData[Date]&gt;StartDt2NSW,tblData[Date]-StartDt2NSW,"")</f>
        <v>60</v>
      </c>
      <c r="AI74" t="str">
        <f t="shared" si="9"/>
        <v/>
      </c>
      <c r="AJ74" s="11">
        <f>IF(tblData[Date]&gt;StartDt2NSW,betaNSW/(deltaNSW+betaPodeltaNSW*EXP(-betaNSW*tblData[[#This Row],[Day '# NSW]])),"")</f>
        <v>844.74351659708771</v>
      </c>
      <c r="AK74" s="12" t="str">
        <f>IF(AND(ISNUMBER(tblData[NSW]),tblData[Date]&gt;StartDt2NSW),(tblData[[#This Row],[NSW LogiP(t)]]-tblData[[#This Row],[NSW]])^2,"")</f>
        <v/>
      </c>
      <c r="AL74" s="12">
        <f>IF(AND(tblData[Date]&gt;StartDt2NSW,ISNUMBER(tblData[Day'# Aust])),tblData[NSW LogiP(t)]/$AG$9,"")</f>
        <v>1045.4746492538213</v>
      </c>
      <c r="AM74" s="11">
        <f>IF(AND(tblData[Date]&gt;StartDt2Italy,ISNUMBER(tblData[Days'# Italy])),betaItaly/(deltaItaly+betaPodeltaItaly*EXP(-betaItaly*tblData[Days'# Italy])),"")</f>
        <v>55785.614801915304</v>
      </c>
      <c r="AN74" s="11" t="str">
        <f>IF(AND(tblData[Date]&gt;StartDt2Italy,ISNUMBER(tblData[Italy])),(tblData[[#This Row],[Italy LogiP(t)]]-tblData[[#This Row],[Italy]])^2,"")</f>
        <v/>
      </c>
      <c r="AO74" s="44">
        <f>IF(AND(tblData[Date]&gt;StartDt2Italy,ISNUMBER(tblData[Days'# Italy])),tblData[[#This Row],[Italy LogiP(t)]]/$AM$9,"")</f>
        <v>9228.3895453954192</v>
      </c>
      <c r="AP74" s="21">
        <f>IF(ISNUMBER(tblData[[#This Row],[Days'# US]]),betaUS/(deltaUS+betaPodeltaUS*EXP(-betaUS*tblData[Days'# US])),"")</f>
        <v>83514.509757660227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2536.6789637973052</v>
      </c>
      <c r="AS74" s="21">
        <f>IF(tblData[Date]&gt;=StartDt2Korea,betaSKorea/(deltaSKorea+betaPodeltaSKorea*EXP(-betaSKorea*(tblData[Date]-StartDt2Korea))),"")</f>
        <v>8372.9946436882583</v>
      </c>
      <c r="AT74" s="21" t="str">
        <f>IF(AND(tblData[Date]&gt;=StartDt2Korea,ISNUMBER(tblData[SKorea])),(tblData[[#This Row],[SKorea LogiP(t)]]-tblData[[#This Row],[SKorea]])^2,"")</f>
        <v/>
      </c>
      <c r="AU74" s="21">
        <f>IF(tblData[Date]&gt;=StartDt2Korea,tblData[[#This Row],[SKorea LogiP(t)]]/$AS$9,"")</f>
        <v>1628.9872847642528</v>
      </c>
      <c r="AV74" s="11">
        <f>IF(ISNUMBER(tblData[Days'# UK]),betaUK/(deltaUK+betaPodeltaUK*EXP(-betaUK*tblData[Days'# UK])),"")</f>
        <v>12779.193864855482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1923.418703319609</v>
      </c>
      <c r="AY74" s="11">
        <f>IF(ISNUMBER(tblData[Days'# China]),betaChina/(deltaChina+betaPodeltaChina*EXP(-betaChina*tblData[Days'# China])),"")</f>
        <v>80948.386105643454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562.40567588347449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6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Y74"/>
      <c r="BZ74"/>
      <c r="CJ74" s="26"/>
      <c r="CK74" s="26"/>
    </row>
    <row r="75" spans="2:173" x14ac:dyDescent="0.25">
      <c r="B75" s="1">
        <f t="shared" si="10"/>
        <v>43916</v>
      </c>
      <c r="D75" s="26"/>
      <c r="L75" s="12" t="str">
        <f>IF(ISNUMBER(tblData[[#This Row],[NSW]]),tblData[[#This Row],[New South Wales]]/$L$9,"")</f>
        <v/>
      </c>
      <c r="M75" s="26"/>
      <c r="N75" s="49" t="str">
        <f>IF(ISNUMBER(tblData[Italy]),tblData[Italy]/$N$9,"")</f>
        <v/>
      </c>
      <c r="O75" s="26"/>
      <c r="P75" s="49" t="str">
        <f>IF(ISNUMBER(tblData[US]),tblData[US]/$P$9,"")</f>
        <v/>
      </c>
      <c r="Q75" s="49"/>
      <c r="R75" s="19" t="str">
        <f>IF(ISNUMBER(tblData[SKorea]),tblData[SKorea]/$R$9,"")</f>
        <v/>
      </c>
      <c r="S75" s="49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7"/>
        <v>46</v>
      </c>
      <c r="Y75" s="26">
        <f t="shared" si="3"/>
        <v>64</v>
      </c>
      <c r="Z75" s="26">
        <f>IF(tblData[[#This Row],[Date]]&lt;StartDt2Korea,"",tblData[[#This Row],[Date]]-StartDt2Korea)</f>
        <v>36</v>
      </c>
      <c r="AA75" s="26">
        <f>IF(tblData[[#This Row],[Date]]&lt;UKStart,"",tblData[[#This Row],[Date]]-UKStart)</f>
        <v>56</v>
      </c>
      <c r="AB75">
        <f>IF(tblData[Date]&gt;=StartDt2Au,tblData[Date]-StartDt2Au,"")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IF(ISNUMBER(tblData[Au]),tblData[Au]/$AA$9,"")</f>
        <v/>
      </c>
      <c r="AE75" s="19">
        <f>IF(ISNUMBER(tblData[[#This Row],[Day'# Aust]]),betaAu/(deltaAu+betaPodeltaAu*EXP(-betaAu*tblData[[#This Row],[Day'# Aust]])),"")</f>
        <v>3013.1108299012672</v>
      </c>
      <c r="AF75" s="72">
        <f>IF(ISNUMBER(tblData[Day'# Aust]),tblData[Au LogiP(t)]/$AD$9,"")</f>
        <v>1187.9478118204017</v>
      </c>
      <c r="AG75" s="11" t="str">
        <f>IF(AND(tblData[Date]&gt;=StartDt2Au,ISNUMBER(tblData[NSW])),(tblData[[#This Row],[Au LogiP(t)]]-tblData[[#This Row],[Au]])^2,"")</f>
        <v/>
      </c>
      <c r="AH75">
        <f>IF(tblData[Date]&gt;StartDt2NSW,tblData[Date]-StartDt2NSW,"")</f>
        <v>61</v>
      </c>
      <c r="AI75" t="str">
        <f t="shared" si="9"/>
        <v/>
      </c>
      <c r="AJ75" s="11">
        <f>IF(tblData[Date]&gt;StartDt2NSW,betaNSW/(deltaNSW+betaPodeltaNSW*EXP(-betaNSW*tblData[[#This Row],[Day '# NSW]])),"")</f>
        <v>971.30764324261759</v>
      </c>
      <c r="AK75" s="12" t="str">
        <f>IF(AND(ISNUMBER(tblData[NSW]),tblData[Date]&gt;StartDt2NSW),(tblData[[#This Row],[NSW LogiP(t)]]-tblData[[#This Row],[NSW]])^2,"")</f>
        <v/>
      </c>
      <c r="AL75" s="12">
        <f>IF(AND(tblData[Date]&gt;StartDt2NSW,ISNUMBER(tblData[Day'# Aust])),tblData[NSW LogiP(t)]/$AG$9,"")</f>
        <v>1202.1134198547247</v>
      </c>
      <c r="AM75" s="11">
        <f>IF(AND(tblData[Date]&gt;StartDt2Italy,ISNUMBER(tblData[Days'# Italy])),betaItaly/(deltaItaly+betaPodeltaItaly*EXP(-betaItaly*tblData[Days'# Italy])),"")</f>
        <v>56824.174866681169</v>
      </c>
      <c r="AN75" s="11" t="str">
        <f>IF(AND(tblData[Date]&gt;StartDt2Italy,ISNUMBER(tblData[Italy])),(tblData[[#This Row],[Italy LogiP(t)]]-tblData[[#This Row],[Italy]])^2,"")</f>
        <v/>
      </c>
      <c r="AO75" s="44">
        <f>IF(AND(tblData[Date]&gt;StartDt2Italy,ISNUMBER(tblData[Days'# Italy])),tblData[[#This Row],[Italy LogiP(t)]]/$AM$9,"")</f>
        <v>9400.1943534625589</v>
      </c>
      <c r="AP75" s="21">
        <f>IF(ISNUMBER(tblData[[#This Row],[Days'# US]]),betaUS/(deltaUS+betaPodeltaUS*EXP(-betaUS*tblData[Days'# US])),"")</f>
        <v>108447.57791059183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3293.9987357745918</v>
      </c>
      <c r="AS75" s="21">
        <f>IF(tblData[Date]&gt;=StartDt2Korea,betaSKorea/(deltaSKorea+betaPodeltaSKorea*EXP(-betaSKorea*(tblData[Date]-StartDt2Korea))),"")</f>
        <v>8374.3770906289337</v>
      </c>
      <c r="AT75" s="21" t="str">
        <f>IF(AND(tblData[Date]&gt;=StartDt2Korea,ISNUMBER(tblData[SKorea])),(tblData[[#This Row],[SKorea LogiP(t)]]-tblData[[#This Row],[SKorea]])^2,"")</f>
        <v/>
      </c>
      <c r="AU75" s="21">
        <f>IF(tblData[Date]&gt;=StartDt2Korea,tblData[[#This Row],[SKorea LogiP(t)]]/$AS$9,"")</f>
        <v>1629.2562433130222</v>
      </c>
      <c r="AV75" s="11">
        <f>IF(ISNUMBER(tblData[Days'# UK]),betaUK/(deltaUK+betaPodeltaUK*EXP(-betaUK*tblData[Days'# UK])),"")</f>
        <v>16172.736455221913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2434.1867030737376</v>
      </c>
      <c r="AY75" s="11">
        <f>IF(ISNUMBER(tblData[Days'# China]),betaChina/(deltaChina+betaPodeltaChina*EXP(-betaChina*tblData[Days'# China])),"")</f>
        <v>80949.082037297427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562.41051101275934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6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Y75"/>
      <c r="BZ75"/>
      <c r="CJ75" s="26"/>
      <c r="CK75" s="26"/>
    </row>
    <row r="76" spans="2:173" x14ac:dyDescent="0.25">
      <c r="B76" s="1">
        <f t="shared" si="10"/>
        <v>43917</v>
      </c>
      <c r="D76" s="26"/>
      <c r="L76" s="12" t="str">
        <f>IF(ISNUMBER(tblData[[#This Row],[NSW]]),tblData[[#This Row],[New South Wales]]/$L$9,"")</f>
        <v/>
      </c>
      <c r="M76" s="26"/>
      <c r="N76" s="49" t="str">
        <f>IF(ISNUMBER(tblData[Italy]),tblData[Italy]/$N$9,"")</f>
        <v/>
      </c>
      <c r="O76" s="26"/>
      <c r="P76" s="49" t="str">
        <f>IF(ISNUMBER(tblData[US]),tblData[US]/$P$9,"")</f>
        <v/>
      </c>
      <c r="Q76" s="49"/>
      <c r="R76" s="19" t="str">
        <f>IF(ISNUMBER(tblData[SKorea]),tblData[SKorea]/$R$9,"")</f>
        <v/>
      </c>
      <c r="S76" s="49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7"/>
        <v>47</v>
      </c>
      <c r="Y76" s="26">
        <f t="shared" si="3"/>
        <v>65</v>
      </c>
      <c r="Z76" s="26">
        <f>IF(tblData[[#This Row],[Date]]&lt;StartDt2Korea,"",tblData[[#This Row],[Date]]-StartDt2Korea)</f>
        <v>37</v>
      </c>
      <c r="AA76" s="26">
        <f>IF(tblData[[#This Row],[Date]]&lt;UKStart,"",tblData[[#This Row],[Date]]-UKStart)</f>
        <v>57</v>
      </c>
      <c r="AB76">
        <f>IF(tblData[Date]&gt;=StartDt2Au,tblData[Date]-StartDt2Au,"")</f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IF(ISNUMBER(tblData[Au]),tblData[Au]/$AA$9,"")</f>
        <v/>
      </c>
      <c r="AE76" s="19">
        <f>IF(ISNUMBER(tblData[[#This Row],[Day'# Aust]]),betaAu/(deltaAu+betaPodeltaAu*EXP(-betaAu*tblData[[#This Row],[Day'# Aust]])),"")</f>
        <v>3706.0676676939552</v>
      </c>
      <c r="AF76" s="72">
        <f>IF(ISNUMBER(tblData[Day'# Aust]),tblData[Au LogiP(t)]/$AD$9,"")</f>
        <v>1461.1526839985629</v>
      </c>
      <c r="AG76" s="11" t="str">
        <f>IF(AND(tblData[Date]&gt;=StartDt2Au,ISNUMBER(tblData[NSW])),(tblData[[#This Row],[Au LogiP(t)]]-tblData[[#This Row],[Au]])^2,"")</f>
        <v/>
      </c>
      <c r="AH76">
        <f>IF(tblData[Date]&gt;StartDt2NSW,tblData[Date]-StartDt2NSW,"")</f>
        <v>62</v>
      </c>
      <c r="AI76" t="str">
        <f t="shared" si="9"/>
        <v/>
      </c>
      <c r="AJ76" s="11">
        <f>IF(tblData[Date]&gt;StartDt2NSW,betaNSW/(deltaNSW+betaPodeltaNSW*EXP(-betaNSW*tblData[[#This Row],[Day '# NSW]])),"")</f>
        <v>1105.6817008259102</v>
      </c>
      <c r="AK76" s="12" t="str">
        <f>IF(AND(ISNUMBER(tblData[NSW]),tblData[Date]&gt;StartDt2NSW),(tblData[[#This Row],[NSW LogiP(t)]]-tblData[[#This Row],[NSW]])^2,"")</f>
        <v/>
      </c>
      <c r="AL76" s="12">
        <f>IF(AND(tblData[Date]&gt;StartDt2NSW,ISNUMBER(tblData[Day'# Aust])),tblData[NSW LogiP(t)]/$AG$9,"")</f>
        <v>1368.4179465667205</v>
      </c>
      <c r="AM76" s="11">
        <f>IF(AND(tblData[Date]&gt;StartDt2Italy,ISNUMBER(tblData[Days'# Italy])),betaItaly/(deltaItaly+betaPodeltaItaly*EXP(-betaItaly*tblData[Days'# Italy])),"")</f>
        <v>57652.183529301146</v>
      </c>
      <c r="AN76" s="11" t="str">
        <f>IF(AND(tblData[Date]&gt;StartDt2Italy,ISNUMBER(tblData[Italy])),(tblData[[#This Row],[Italy LogiP(t)]]-tblData[[#This Row],[Italy]])^2,"")</f>
        <v/>
      </c>
      <c r="AO76" s="44">
        <f>IF(AND(tblData[Date]&gt;StartDt2Italy,ISNUMBER(tblData[Days'# Italy])),tblData[[#This Row],[Italy LogiP(t)]]/$AM$9,"")</f>
        <v>9537.1684911995289</v>
      </c>
      <c r="AP76" s="21">
        <f>IF(ISNUMBER(tblData[[#This Row],[Days'# US]]),betaUS/(deltaUS+betaPodeltaUS*EXP(-betaUS*tblData[Days'# US])),"")</f>
        <v>137426.49155527211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4174.2074665624359</v>
      </c>
      <c r="AS76" s="21">
        <f>IF(tblData[Date]&gt;=StartDt2Korea,betaSKorea/(deltaSKorea+betaPodeltaSKorea*EXP(-betaSKorea*(tblData[Date]-StartDt2Korea))),"")</f>
        <v>8375.3807338340575</v>
      </c>
      <c r="AT76" s="21" t="str">
        <f>IF(AND(tblData[Date]&gt;=StartDt2Korea,ISNUMBER(tblData[SKorea])),(tblData[[#This Row],[SKorea LogiP(t)]]-tblData[[#This Row],[SKorea]])^2,"")</f>
        <v/>
      </c>
      <c r="AU76" s="21">
        <f>IF(tblData[Date]&gt;=StartDt2Korea,tblData[[#This Row],[SKorea LogiP(t)]]/$AS$9,"")</f>
        <v>1629.4515046369763</v>
      </c>
      <c r="AV76" s="11">
        <f>IF(ISNUMBER(tblData[Days'# UK]),betaUK/(deltaUK+betaPodeltaUK*EXP(-betaUK*tblData[Days'# UK])),"")</f>
        <v>20467.363308627391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3080.5784630685416</v>
      </c>
      <c r="AY76" s="11">
        <f>IF(ISNUMBER(tblData[Days'# China]),betaChina/(deltaChina+betaPodeltaChina*EXP(-betaChina*tblData[Days'# China])),"")</f>
        <v>80949.639348580953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562.41438304831388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6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Y76"/>
      <c r="BZ76"/>
      <c r="CJ76" s="26"/>
      <c r="CK76" s="26"/>
    </row>
    <row r="77" spans="2:173" s="55" customFormat="1" x14ac:dyDescent="0.25">
      <c r="B77" s="54">
        <f t="shared" si="10"/>
        <v>43918</v>
      </c>
      <c r="L77" s="12" t="str">
        <f>IF(ISNUMBER(tblData[[#This Row],[NSW]]),tblData[[#This Row],[New South Wales]]/$L$9,"")</f>
        <v/>
      </c>
      <c r="N77" s="56" t="str">
        <f>IF(ISNUMBER(tblData[Italy]),tblData[Italy]/$N$9,"")</f>
        <v/>
      </c>
      <c r="P77" s="56" t="str">
        <f>IF(ISNUMBER(tblData[US]),tblData[US]/$P$9,"")</f>
        <v/>
      </c>
      <c r="Q77" s="56"/>
      <c r="R77" s="19" t="str">
        <f>IF(ISNUMBER(tblData[SKorea]),tblData[SKorea]/$R$9,"")</f>
        <v/>
      </c>
      <c r="S77" s="56"/>
      <c r="T77" s="12" t="str">
        <f>IF(ISNUMBER(tblData[UK]),tblData[UK]/$T$9,"")</f>
        <v/>
      </c>
      <c r="V77" s="61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7"/>
        <v>48</v>
      </c>
      <c r="Y77" s="55">
        <f t="shared" ref="Y77:Y107" si="11">Y76+1</f>
        <v>66</v>
      </c>
      <c r="Z77" s="55">
        <f>IF(tblData[[#This Row],[Date]]&lt;StartDt2Korea,"",tblData[[#This Row],[Date]]-StartDt2Korea)</f>
        <v>38</v>
      </c>
      <c r="AA77" s="55">
        <f>IF(tblData[[#This Row],[Date]]&lt;UKStart,"",tblData[[#This Row],[Date]]-UKStart)</f>
        <v>58</v>
      </c>
      <c r="AB77" s="55">
        <f>IF(tblData[Date]&gt;=StartDt2Au,tblData[Date]-StartDt2Au,"")</f>
        <v>63</v>
      </c>
      <c r="AC77" s="55" t="str">
        <f>IF(tblData[New South Wales]&gt;0,SUM(tblData[[#This Row],[Australian Capital Territory]:[Western Australia]]),"")</f>
        <v/>
      </c>
      <c r="AD77" s="57" t="str">
        <f>IF(ISNUMBER(tblData[Au]),tblData[Au]/$AA$9,"")</f>
        <v/>
      </c>
      <c r="AE77" s="58">
        <f>IF(ISNUMBER(tblData[[#This Row],[Day'# Aust]]),betaAu/(deltaAu+betaPodeltaAu*EXP(-betaAu*tblData[[#This Row],[Day'# Aust]])),"")</f>
        <v>4558.3875796460452</v>
      </c>
      <c r="AF77" s="72">
        <f>IF(ISNUMBER(tblData[Day'# Aust]),tblData[Au LogiP(t)]/$AD$9,"")</f>
        <v>1797.1879749432444</v>
      </c>
      <c r="AG77" s="59" t="str">
        <f>IF(AND(tblData[Date]&gt;=StartDt2Au,ISNUMBER(tblData[NSW])),(tblData[[#This Row],[Au LogiP(t)]]-tblData[[#This Row],[Au]])^2,"")</f>
        <v/>
      </c>
      <c r="AH77" s="55">
        <f>IF(tblData[Date]&gt;StartDt2NSW,tblData[Date]-StartDt2NSW,"")</f>
        <v>63</v>
      </c>
      <c r="AI77" s="55" t="str">
        <f t="shared" si="9"/>
        <v/>
      </c>
      <c r="AJ77" s="11">
        <f>IF(tblData[Date]&gt;StartDt2NSW,betaNSW/(deltaNSW+betaPodeltaNSW*EXP(-betaNSW*tblData[[#This Row],[Day '# NSW]])),"")</f>
        <v>1245.4412245919254</v>
      </c>
      <c r="AK77" s="12" t="str">
        <f>IF(AND(ISNUMBER(tblData[NSW]),tblData[Date]&gt;StartDt2NSW),(tblData[[#This Row],[NSW LogiP(t)]]-tblData[[#This Row],[NSW]])^2,"")</f>
        <v/>
      </c>
      <c r="AL77" s="57">
        <f>IF(AND(tblData[Date]&gt;StartDt2NSW,ISNUMBER(tblData[Day'# Aust])),tblData[NSW LogiP(t)]/$AG$9,"")</f>
        <v>1541.3876541979275</v>
      </c>
      <c r="AM77" s="59">
        <f>IF(AND(tblData[Date]&gt;StartDt2Italy,ISNUMBER(tblData[Days'# Italy])),betaItaly/(deltaItaly+betaPodeltaItaly*EXP(-betaItaly*tblData[Days'# Italy])),"")</f>
        <v>58307.629430552406</v>
      </c>
      <c r="AN77" s="11" t="str">
        <f>IF(AND(tblData[Date]&gt;StartDt2Italy,ISNUMBER(tblData[Italy])),(tblData[[#This Row],[Italy LogiP(t)]]-tblData[[#This Row],[Italy]])^2,"")</f>
        <v/>
      </c>
      <c r="AO77" s="60">
        <f>IF(AND(tblData[Date]&gt;StartDt2Italy,ISNUMBER(tblData[Days'# Italy])),tblData[[#This Row],[Italy LogiP(t)]]/$AM$9,"")</f>
        <v>9645.5962664271974</v>
      </c>
      <c r="AP77" s="61">
        <f>IF(ISNUMBER(tblData[[#This Row],[Days'# US]]),betaUS/(deltaUS+betaPodeltaUS*EXP(-betaUS*tblData[Days'# US])),"")</f>
        <v>169398.47628089529</v>
      </c>
      <c r="AQ77" s="11" t="str">
        <f>IF(ISNUMBER(tblData[US]),(tblData[[#This Row],[US LogiP(t)]]-tblData[US])^2,"")</f>
        <v/>
      </c>
      <c r="AR77" s="61">
        <f>IF(ISNUMBER(tblData[[#This Row],[Days'# US]]),tblData[[#This Row],[US LogiP(t)]]/$AP$9,"")</f>
        <v>5145.3280696729407</v>
      </c>
      <c r="AS77" s="61">
        <f>IF(tblData[Date]&gt;=StartDt2Korea,betaSKorea/(deltaSKorea+betaPodeltaSKorea*EXP(-betaSKorea*(tblData[Date]-StartDt2Korea))),"")</f>
        <v>8376.1093122546627</v>
      </c>
      <c r="AT77" s="61" t="str">
        <f>IF(AND(tblData[Date]&gt;=StartDt2Korea,ISNUMBER(tblData[SKorea])),(tblData[[#This Row],[SKorea LogiP(t)]]-tblData[[#This Row],[SKorea]])^2,"")</f>
        <v/>
      </c>
      <c r="AU77" s="61">
        <f>IF(tblData[Date]&gt;=StartDt2Korea,tblData[[#This Row],[SKorea LogiP(t)]]/$AS$9,"")</f>
        <v>1629.5932514114131</v>
      </c>
      <c r="AV77" s="11">
        <f>IF(ISNUMBER(tblData[Days'# UK]),betaUK/(deltaUK+betaPodeltaUK*EXP(-betaUK*tblData[Days'# UK])),"")</f>
        <v>25902.29139127813</v>
      </c>
      <c r="AW77" s="61" t="str">
        <f>IF(ISNUMBER(tblData[UK]),(tblData[[#This Row],[UK LogiP(t)]]-tblData[[#This Row],[UK]])^2,"")</f>
        <v/>
      </c>
      <c r="AX77" s="61">
        <f>IF(ISNUMBER(tblData[Days'# UK]),tblData[[#This Row],[UK LogiP(t)]]/$AV$9,"")</f>
        <v>3898.5989451050768</v>
      </c>
      <c r="AY77" s="59">
        <f>IF(ISNUMBER(tblData[Days'# China]),betaChina/(deltaChina+betaPodeltaChina*EXP(-betaChina*tblData[Days'# China])),"")</f>
        <v>80950.085649459972</v>
      </c>
      <c r="AZ77" s="59" t="str">
        <f>IF(ISNUMBER(tblData[China]),(tblData[[#This Row],[China LogiP(t)]]-tblData[[#This Row],[China]])^2,"")</f>
        <v/>
      </c>
      <c r="BA77" s="59">
        <f>tblData[[#This Row],[China LogiP(t)]]/$AY$9</f>
        <v>562.41748381609432</v>
      </c>
      <c r="BB77" s="59"/>
      <c r="BC77" s="59"/>
      <c r="BD77" s="59" t="str">
        <f>IF(ISNUMBER(tblData[[#This Row],[NSW Number of Tests]]),tblData[[#This Row],[NSW Number of Tests]]-BB76,"")</f>
        <v/>
      </c>
      <c r="BE77" s="59" t="str">
        <f>IF(ISNUMBER(tblData[[#This Row],[NSW Under Investigation'']]),tblData[[#This Row],[NSW Under Investigation'']]-BC76,"")</f>
        <v/>
      </c>
      <c r="BF77" s="11">
        <f t="shared" si="6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59" t="str">
        <f>IF(ISNUMBER(tblData[[#This Row],[NSW Number of Tests]]),(tblData[[#This Row],[NSW Number of Tests]]-tblData[[#This Row],[NSW Test Logi]])^2,"")</f>
        <v/>
      </c>
      <c r="BK77"/>
      <c r="BL77" s="26"/>
      <c r="BM77"/>
      <c r="BN77" s="26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 s="26"/>
      <c r="CK77" s="26"/>
      <c r="CL77"/>
      <c r="CM77"/>
      <c r="CN77"/>
      <c r="CO77"/>
      <c r="CP77"/>
      <c r="CQ77"/>
      <c r="CR77"/>
      <c r="CS77"/>
      <c r="CT77"/>
      <c r="CU77"/>
      <c r="CV77"/>
      <c r="DE77"/>
      <c r="DF77" s="82"/>
      <c r="DG77" s="27"/>
      <c r="DH77" s="27"/>
      <c r="DI77"/>
      <c r="DJ77"/>
      <c r="DK77"/>
      <c r="DL77"/>
      <c r="DM77"/>
      <c r="DN77"/>
      <c r="DO77"/>
      <c r="DP77"/>
      <c r="DQ77"/>
      <c r="DR77" s="27"/>
      <c r="DS77"/>
      <c r="DT77"/>
      <c r="DU77"/>
      <c r="DV77" s="2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</row>
    <row r="78" spans="2:173" x14ac:dyDescent="0.25">
      <c r="B78" s="1">
        <f t="shared" si="10"/>
        <v>43919</v>
      </c>
      <c r="D78" s="26"/>
      <c r="L78" s="12" t="str">
        <f>IF(ISNUMBER(tblData[[#This Row],[NSW]]),tblData[[#This Row],[New South Wales]]/$L$9,"")</f>
        <v/>
      </c>
      <c r="M78" s="26"/>
      <c r="N78" s="49" t="str">
        <f>IF(ISNUMBER(tblData[Italy]),tblData[Italy]/$N$9,"")</f>
        <v/>
      </c>
      <c r="O78" s="26"/>
      <c r="P78" s="49" t="str">
        <f>IF(ISNUMBER(tblData[US]),tblData[US]/$P$9,"")</f>
        <v/>
      </c>
      <c r="Q78" s="49"/>
      <c r="R78" s="19" t="str">
        <f>IF(ISNUMBER(tblData[SKorea]),tblData[SKorea]/$R$9,"")</f>
        <v/>
      </c>
      <c r="S78" s="49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7"/>
        <v>49</v>
      </c>
      <c r="Y78" s="26">
        <f t="shared" si="11"/>
        <v>67</v>
      </c>
      <c r="Z78" s="26">
        <f>IF(tblData[[#This Row],[Date]]&lt;StartDt2Korea,"",tblData[[#This Row],[Date]]-StartDt2Korea)</f>
        <v>39</v>
      </c>
      <c r="AA78" s="26">
        <f>IF(tblData[[#This Row],[Date]]&lt;UKStart,"",tblData[[#This Row],[Date]]-UKStart)</f>
        <v>59</v>
      </c>
      <c r="AB78">
        <f>IF(tblData[Date]&gt;=StartDt2Au,tblData[Date]-StartDt2Au,"")</f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IF(ISNUMBER(tblData[Au]),tblData[Au]/$AA$9,"")</f>
        <v/>
      </c>
      <c r="AE78" s="19">
        <f>IF(ISNUMBER(tblData[[#This Row],[Day'# Aust]]),betaAu/(deltaAu+betaPodeltaAu*EXP(-betaAu*tblData[[#This Row],[Day'# Aust]])),"")</f>
        <v>5606.7183637525686</v>
      </c>
      <c r="AF78" s="72">
        <f>IF(ISNUMBER(tblData[Day'# Aust]),tblData[Au LogiP(t)]/$AD$9,"")</f>
        <v>2210.5024301185022</v>
      </c>
      <c r="AG78" s="11" t="str">
        <f>IF(AND(tblData[Date]&gt;=StartDt2Au,ISNUMBER(tblData[NSW])),(tblData[[#This Row],[Au LogiP(t)]]-tblData[[#This Row],[Au]])^2,"")</f>
        <v/>
      </c>
      <c r="AH78">
        <f>IF(tblData[Date]&gt;StartDt2NSW,tblData[Date]-StartDt2NSW,"")</f>
        <v>64</v>
      </c>
      <c r="AI78" t="str">
        <f t="shared" si="9"/>
        <v/>
      </c>
      <c r="AJ78" s="11">
        <f>IF(tblData[Date]&gt;StartDt2NSW,betaNSW/(deltaNSW+betaPodeltaNSW*EXP(-betaNSW*tblData[[#This Row],[Day '# NSW]])),"")</f>
        <v>1387.7245881911435</v>
      </c>
      <c r="AK78" s="12" t="str">
        <f>IF(AND(ISNUMBER(tblData[NSW]),tblData[Date]&gt;StartDt2NSW),(tblData[[#This Row],[NSW LogiP(t)]]-tblData[[#This Row],[NSW]])^2,"")</f>
        <v/>
      </c>
      <c r="AL78" s="12">
        <f>IF(AND(tblData[Date]&gt;StartDt2NSW,ISNUMBER(tblData[Day'# Aust])),tblData[NSW LogiP(t)]/$AG$9,"")</f>
        <v>1717.480925979138</v>
      </c>
      <c r="AM78" s="11">
        <f>IF(AND(tblData[Date]&gt;StartDt2Italy,ISNUMBER(tblData[Days'# Italy])),betaItaly/(deltaItaly+betaPodeltaItaly*EXP(-betaItaly*tblData[Days'# Italy])),"")</f>
        <v>58823.549045545136</v>
      </c>
      <c r="AN78" s="11" t="str">
        <f>IF(AND(tblData[Date]&gt;StartDt2Italy,ISNUMBER(tblData[Italy])),(tblData[[#This Row],[Italy LogiP(t)]]-tblData[[#This Row],[Italy]])^2,"")</f>
        <v/>
      </c>
      <c r="AO78" s="44">
        <f>IF(AND(tblData[Date]&gt;StartDt2Italy,ISNUMBER(tblData[Days'# Italy])),tblData[[#This Row],[Italy LogiP(t)]]/$AM$9,"")</f>
        <v>9730.9427701480781</v>
      </c>
      <c r="AP78" s="21">
        <f>IF(ISNUMBER(tblData[[#This Row],[Days'# US]]),betaUS/(deltaUS+betaPodeltaUS*EXP(-betaUS*tblData[Days'# US])),"")</f>
        <v>202707.95014021575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6157.0737157801932</v>
      </c>
      <c r="AS78" s="21">
        <f>IF(tblData[Date]&gt;=StartDt2Korea,betaSKorea/(deltaSKorea+betaPodeltaSKorea*EXP(-betaSKorea*(tblData[Date]-StartDt2Korea))),"")</f>
        <v>8376.6381818912741</v>
      </c>
      <c r="AT78" s="21" t="str">
        <f>IF(AND(tblData[Date]&gt;=StartDt2Korea,ISNUMBER(tblData[SKorea])),(tblData[[#This Row],[SKorea LogiP(t)]]-tblData[[#This Row],[SKorea]])^2,"")</f>
        <v/>
      </c>
      <c r="AU78" s="21">
        <f>IF(tblData[Date]&gt;=StartDt2Korea,tblData[[#This Row],[SKorea LogiP(t)]]/$AS$9,"")</f>
        <v>1629.6961443368239</v>
      </c>
      <c r="AV78" s="11">
        <f>IF(ISNUMBER(tblData[Days'# UK]),betaUK/(deltaUK+betaPodeltaUK*EXP(-betaUK*tblData[Days'# UK])),"")</f>
        <v>32780.215881601849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4933.8073271525964</v>
      </c>
      <c r="AY78" s="11">
        <f>IF(ISNUMBER(tblData[Days'# China]),betaChina/(deltaChina+betaPodeltaChina*EXP(-betaChina*tblData[Days'# China])),"")</f>
        <v>80950.443051128663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562.41996693820101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6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Y78"/>
      <c r="BZ78"/>
      <c r="CJ78" s="26"/>
      <c r="CK78" s="26"/>
    </row>
    <row r="79" spans="2:173" x14ac:dyDescent="0.25">
      <c r="B79" s="1">
        <f t="shared" si="10"/>
        <v>43920</v>
      </c>
      <c r="D79" s="26"/>
      <c r="L79" s="12" t="str">
        <f>IF(ISNUMBER(tblData[[#This Row],[NSW]]),tblData[[#This Row],[New South Wales]]/$L$9,"")</f>
        <v/>
      </c>
      <c r="M79" s="26"/>
      <c r="N79" s="49" t="str">
        <f>IF(ISNUMBER(tblData[Italy]),tblData[Italy]/$N$9,"")</f>
        <v/>
      </c>
      <c r="O79" s="26"/>
      <c r="P79" s="49" t="str">
        <f>IF(ISNUMBER(tblData[US]),tblData[US]/$P$9,"")</f>
        <v/>
      </c>
      <c r="Q79" s="49"/>
      <c r="R79" s="19" t="str">
        <f>IF(ISNUMBER(tblData[SKorea]),tblData[SKorea]/$R$9,"")</f>
        <v/>
      </c>
      <c r="S79" s="49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7"/>
        <v>50</v>
      </c>
      <c r="Y79" s="26">
        <f t="shared" si="11"/>
        <v>68</v>
      </c>
      <c r="Z79" s="26">
        <f>IF(tblData[[#This Row],[Date]]&lt;StartDt2Korea,"",tblData[[#This Row],[Date]]-StartDt2Korea)</f>
        <v>40</v>
      </c>
      <c r="AA79" s="26">
        <f>IF(tblData[[#This Row],[Date]]&lt;UKStart,"",tblData[[#This Row],[Date]]-UKStart)</f>
        <v>60</v>
      </c>
      <c r="AB79">
        <f>IF(tblData[Date]&gt;=StartDt2Au,tblData[Date]-StartDt2Au,"")</f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IF(ISNUMBER(tblData[Au]),tblData[Au]/$AA$9,"")</f>
        <v/>
      </c>
      <c r="AE79" s="19">
        <f>IF(ISNUMBER(tblData[[#This Row],[Day'# Aust]]),betaAu/(deltaAu+betaPodeltaAu*EXP(-betaAu*tblData[[#This Row],[Day'# Aust]])),"")</f>
        <v>6896.1345756493201</v>
      </c>
      <c r="AF79" s="72">
        <f>IF(ISNUMBER(tblData[Day'# Aust]),tblData[Au LogiP(t)]/$AD$9,"")</f>
        <v>2718.8671249208801</v>
      </c>
      <c r="AG79" s="11" t="str">
        <f>IF(AND(tblData[Date]&gt;=StartDt2Au,ISNUMBER(tblData[NSW])),(tblData[[#This Row],[Au LogiP(t)]]-tblData[[#This Row],[Au]])^2,"")</f>
        <v/>
      </c>
      <c r="AH79">
        <f>IF(tblData[Date]&gt;StartDt2NSW,tblData[Date]-StartDt2NSW,"")</f>
        <v>65</v>
      </c>
      <c r="AI79" t="str">
        <f t="shared" si="9"/>
        <v/>
      </c>
      <c r="AJ79" s="11">
        <f>IF(tblData[Date]&gt;StartDt2NSW,betaNSW/(deltaNSW+betaPodeltaNSW*EXP(-betaNSW*tblData[[#This Row],[Day '# NSW]])),"")</f>
        <v>1529.4564714665146</v>
      </c>
      <c r="AK79" s="12" t="str">
        <f>IF(AND(ISNUMBER(tblData[NSW]),tblData[Date]&gt;StartDt2NSW),(tblData[[#This Row],[NSW LogiP(t)]]-tblData[[#This Row],[NSW]])^2,"")</f>
        <v/>
      </c>
      <c r="AL79" s="12">
        <f>IF(AND(tblData[Date]&gt;StartDt2NSW,ISNUMBER(tblData[Day'# Aust])),tblData[NSW LogiP(t)]/$AG$9,"")</f>
        <v>1892.8916726070725</v>
      </c>
      <c r="AM79" s="11">
        <f>IF(AND(tblData[Date]&gt;StartDt2Italy,ISNUMBER(tblData[Days'# Italy])),betaItaly/(deltaItaly+betaPodeltaItaly*EXP(-betaItaly*tblData[Days'# Italy])),"")</f>
        <v>59227.838359219662</v>
      </c>
      <c r="AN79" s="11" t="str">
        <f>IF(AND(tblData[Date]&gt;StartDt2Italy,ISNUMBER(tblData[Italy])),(tblData[[#This Row],[Italy LogiP(t)]]-tblData[[#This Row],[Italy]])^2,"")</f>
        <v/>
      </c>
      <c r="AO79" s="44">
        <f>IF(AND(tblData[Date]&gt;StartDt2Italy,ISNUMBER(tblData[Days'# Italy])),tblData[[#This Row],[Italy LogiP(t)]]/$AM$9,"")</f>
        <v>9797.82272278241</v>
      </c>
      <c r="AP79" s="21">
        <f>IF(ISNUMBER(tblData[[#This Row],[Days'# US]]),betaUS/(deltaUS+betaPodeltaUS*EXP(-betaUS*tblData[Days'# US])),"")</f>
        <v>235401.78619568926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7150.1199110869984</v>
      </c>
      <c r="AS79" s="21">
        <f>IF(tblData[Date]&gt;=StartDt2Korea,betaSKorea/(deltaSKorea+betaPodeltaSKorea*EXP(-betaSKorea*(tblData[Date]-StartDt2Korea))),"")</f>
        <v>8377.0220686115172</v>
      </c>
      <c r="AT79" s="21" t="str">
        <f>IF(AND(tblData[Date]&gt;=StartDt2Korea,ISNUMBER(tblData[SKorea])),(tblData[[#This Row],[SKorea LogiP(t)]]-tblData[[#This Row],[SKorea]])^2,"")</f>
        <v/>
      </c>
      <c r="AU79" s="21">
        <f>IF(tblData[Date]&gt;=StartDt2Korea,tblData[[#This Row],[SKorea LogiP(t)]]/$AS$9,"")</f>
        <v>1629.7708304691669</v>
      </c>
      <c r="AV79" s="11">
        <f>IF(ISNUMBER(tblData[Days'# UK]),betaUK/(deltaUK+betaPodeltaUK*EXP(-betaUK*tblData[Days'# UK])),"")</f>
        <v>41484.137593062085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6243.8497280346301</v>
      </c>
      <c r="AY79" s="11">
        <f>IF(ISNUMBER(tblData[Days'# China]),betaChina/(deltaChina+betaPodeltaChina*EXP(-betaChina*tblData[Days'# China])),"")</f>
        <v>80950.729260961903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562.421955440288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6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5"/>
      <c r="BL79" s="55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55"/>
      <c r="CO79" s="55"/>
      <c r="CP79" s="55"/>
      <c r="CQ79" s="55"/>
      <c r="CR79" s="55"/>
      <c r="CS79" s="55"/>
      <c r="CT79" s="55"/>
      <c r="CU79" s="55"/>
      <c r="CV79" s="55"/>
    </row>
    <row r="80" spans="2:173" x14ac:dyDescent="0.25">
      <c r="B80" s="1">
        <f t="shared" si="10"/>
        <v>43921</v>
      </c>
      <c r="D80" s="26"/>
      <c r="L80" s="12" t="str">
        <f>IF(ISNUMBER(tblData[[#This Row],[NSW]]),tblData[[#This Row],[New South Wales]]/$L$9,"")</f>
        <v/>
      </c>
      <c r="M80" s="26"/>
      <c r="N80" s="49" t="str">
        <f>IF(ISNUMBER(tblData[Italy]),tblData[Italy]/$N$9,"")</f>
        <v/>
      </c>
      <c r="O80" s="26"/>
      <c r="P80" s="49" t="str">
        <f>IF(ISNUMBER(tblData[US]),tblData[US]/$P$9,"")</f>
        <v/>
      </c>
      <c r="Q80" s="49"/>
      <c r="R80" s="19" t="str">
        <f>IF(ISNUMBER(tblData[SKorea]),tblData[SKorea]/$R$9,"")</f>
        <v/>
      </c>
      <c r="S80" s="49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7"/>
        <v>51</v>
      </c>
      <c r="Y80" s="26">
        <f t="shared" si="11"/>
        <v>69</v>
      </c>
      <c r="Z80" s="26">
        <f>IF(tblData[[#This Row],[Date]]&lt;StartDt2Korea,"",tblData[[#This Row],[Date]]-StartDt2Korea)</f>
        <v>41</v>
      </c>
      <c r="AA80" s="26">
        <f>IF(tblData[[#This Row],[Date]]&lt;UKStart,"",tblData[[#This Row],[Date]]-UKStart)</f>
        <v>61</v>
      </c>
      <c r="AB80">
        <f>IF(tblData[Date]&gt;=StartDt2Au,tblData[Date]-StartDt2Au,"")</f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IF(ISNUMBER(tblData[Au]),tblData[Au]/$AA$9,"")</f>
        <v/>
      </c>
      <c r="AE80" s="19">
        <f>IF(ISNUMBER(tblData[[#This Row],[Day'# Aust]]),betaAu/(deltaAu+betaPodeltaAu*EXP(-betaAu*tblData[[#This Row],[Day'# Aust]])),"")</f>
        <v>8482.0746953920916</v>
      </c>
      <c r="AF80" s="72">
        <f>IF(ISNUMBER(tblData[Day'# Aust]),tblData[Au LogiP(t)]/$AD$9,"")</f>
        <v>3344.1392112411654</v>
      </c>
      <c r="AG80" s="11" t="str">
        <f>IF(AND(tblData[Date]&gt;=StartDt2Au,ISNUMBER(tblData[NSW])),(tblData[[#This Row],[Au LogiP(t)]]-tblData[[#This Row],[Au]])^2,"")</f>
        <v/>
      </c>
      <c r="AH80">
        <f>IF(tblData[Date]&gt;StartDt2NSW,tblData[Date]-StartDt2NSW,"")</f>
        <v>66</v>
      </c>
      <c r="AI80" t="str">
        <f t="shared" si="9"/>
        <v/>
      </c>
      <c r="AJ80" s="11">
        <f>IF(tblData[Date]&gt;StartDt2NSW,betaNSW/(deltaNSW+betaPodeltaNSW*EXP(-betaNSW*tblData[[#This Row],[Day '# NSW]])),"")</f>
        <v>1667.608728381223</v>
      </c>
      <c r="AK80" s="12" t="str">
        <f>IF(AND(ISNUMBER(tblData[NSW]),tblData[Date]&gt;StartDt2NSW),(tblData[[#This Row],[NSW LogiP(t)]]-tblData[[#This Row],[NSW]])^2,"")</f>
        <v/>
      </c>
      <c r="AL80" s="12">
        <f>IF(AND(tblData[Date]&gt;StartDt2NSW,ISNUMBER(tblData[Day'# Aust])),tblData[NSW LogiP(t)]/$AG$9,"")</f>
        <v>2063.8721885906225</v>
      </c>
      <c r="AM80" s="11">
        <f>IF(AND(tblData[Date]&gt;StartDt2Italy,ISNUMBER(tblData[Days'# Italy])),betaItaly/(deltaItaly+betaPodeltaItaly*EXP(-betaItaly*tblData[Days'# Italy])),"")</f>
        <v>59543.54626676035</v>
      </c>
      <c r="AN80" s="11" t="str">
        <f>IF(AND(tblData[Date]&gt;StartDt2Italy,ISNUMBER(tblData[Italy])),(tblData[[#This Row],[Italy LogiP(t)]]-tblData[[#This Row],[Italy]])^2,"")</f>
        <v/>
      </c>
      <c r="AO80" s="44">
        <f>IF(AND(tblData[Date]&gt;StartDt2Italy,ISNUMBER(tblData[Days'# Italy])),tblData[[#This Row],[Italy LogiP(t)]]/$AM$9,"")</f>
        <v>9850.049010216766</v>
      </c>
      <c r="AP80" s="21">
        <f>IF(ISNUMBER(tblData[[#This Row],[Days'# US]]),betaUS/(deltaUS+betaPodeltaUS*EXP(-betaUS*tblData[Days'# US])),"")</f>
        <v>265665.96322596585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8069.3673742177816</v>
      </c>
      <c r="AS80" s="21">
        <f>IF(tblData[Date]&gt;=StartDt2Korea,betaSKorea/(deltaSKorea+betaPodeltaSKorea*EXP(-betaSKorea*(tblData[Date]-StartDt2Korea))),"")</f>
        <v>8377.3007093218239</v>
      </c>
      <c r="AT80" s="21" t="str">
        <f>IF(AND(tblData[Date]&gt;=StartDt2Korea,ISNUMBER(tblData[SKorea])),(tblData[[#This Row],[SKorea LogiP(t)]]-tblData[[#This Row],[SKorea]])^2,"")</f>
        <v/>
      </c>
      <c r="AU80" s="21">
        <f>IF(tblData[Date]&gt;=StartDt2Korea,tblData[[#This Row],[SKorea LogiP(t)]]/$AS$9,"")</f>
        <v>1629.8250407240903</v>
      </c>
      <c r="AV80" s="11">
        <f>IF(ISNUMBER(tblData[Days'# UK]),betaUK/(deltaUK+betaPodeltaUK*EXP(-betaUK*tblData[Days'# UK])),"")</f>
        <v>52498.640918170939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7901.6617878041752</v>
      </c>
      <c r="AY80" s="11">
        <f>IF(ISNUMBER(tblData[Days'# China]),betaChina/(deltaChina+betaPodeltaChina*EXP(-betaChina*tblData[Days'# China])),"")</f>
        <v>80950.958459497022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562.42354784457495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6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Y80"/>
      <c r="BZ80"/>
      <c r="CJ80" s="26"/>
      <c r="CK80" s="26"/>
    </row>
    <row r="81" spans="2:173" x14ac:dyDescent="0.25">
      <c r="B81" s="1">
        <f>B80+7</f>
        <v>43928</v>
      </c>
      <c r="D81" s="26"/>
      <c r="L81" s="12" t="str">
        <f>IF(ISNUMBER(tblData[[#This Row],[NSW]]),tblData[[#This Row],[New South Wales]]/$L$9,"")</f>
        <v/>
      </c>
      <c r="M81" s="26"/>
      <c r="N81" s="49" t="str">
        <f>IF(ISNUMBER(tblData[Italy]),tblData[Italy]/$N$9,"")</f>
        <v/>
      </c>
      <c r="O81" s="26"/>
      <c r="P81" s="49" t="str">
        <f>IF(ISNUMBER(tblData[US]),tblData[US]/$P$9,"")</f>
        <v/>
      </c>
      <c r="Q81" s="49"/>
      <c r="R81" s="19" t="str">
        <f>IF(ISNUMBER(tblData[SKorea]),tblData[SKorea]/$R$9,"")</f>
        <v/>
      </c>
      <c r="S81" s="49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7"/>
        <v>58</v>
      </c>
      <c r="Y81" s="26">
        <f t="shared" si="11"/>
        <v>70</v>
      </c>
      <c r="Z81" s="26">
        <f>IF(tblData[[#This Row],[Date]]&lt;StartDt2Korea,"",tblData[[#This Row],[Date]]-StartDt2Korea)</f>
        <v>48</v>
      </c>
      <c r="AA81" s="26">
        <f>IF(tblData[[#This Row],[Date]]&lt;UKStart,"",tblData[[#This Row],[Date]]-UKStart)</f>
        <v>68</v>
      </c>
      <c r="AB81">
        <f>IF(tblData[Date]&gt;=StartDt2Au,tblData[Date]-StartDt2Au,"")</f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IF(ISNUMBER(tblData[Au]),tblData[Au]/$AA$9,"")</f>
        <v/>
      </c>
      <c r="AE81" s="19">
        <f>IF(ISNUMBER(tblData[[#This Row],[Day'# Aust]]),betaAu/(deltaAu+betaPodeltaAu*EXP(-betaAu*tblData[[#This Row],[Day'# Aust]])),"")</f>
        <v>36119.518081199232</v>
      </c>
      <c r="AF81" s="72">
        <f>IF(ISNUMBER(tblData[Day'# Aust]),tblData[Au LogiP(t)]/$AD$9,"")</f>
        <v>14240.466046837735</v>
      </c>
      <c r="AG81" s="11" t="str">
        <f>IF(AND(tblData[Date]&gt;=StartDt2Au,ISNUMBER(tblData[NSW])),(tblData[[#This Row],[Au LogiP(t)]]-tblData[[#This Row],[Au]])^2,"")</f>
        <v/>
      </c>
      <c r="AH81">
        <f>IF(tblData[Date]&gt;StartDt2NSW,tblData[Date]-StartDt2NSW,"")</f>
        <v>73</v>
      </c>
      <c r="AI81" t="str">
        <f t="shared" si="9"/>
        <v/>
      </c>
      <c r="AJ81" s="11">
        <f>IF(tblData[Date]&gt;StartDt2NSW,betaNSW/(deltaNSW+betaPodeltaNSW*EXP(-betaNSW*tblData[[#This Row],[Day '# NSW]])),"")</f>
        <v>2376.629085670912</v>
      </c>
      <c r="AK81" s="12" t="str">
        <f>IF(AND(ISNUMBER(tblData[NSW]),tblData[Date]&gt;StartDt2NSW),(tblData[[#This Row],[NSW LogiP(t)]]-tblData[[#This Row],[NSW]])^2,"")</f>
        <v/>
      </c>
      <c r="AL81" s="12">
        <f>IF(AND(tblData[Date]&gt;StartDt2NSW,ISNUMBER(tblData[Day'# Aust])),tblData[NSW LogiP(t)]/$AG$9,"")</f>
        <v>2941.3726307808315</v>
      </c>
      <c r="AM81" s="11">
        <f>IF(AND(tblData[Date]&gt;StartDt2Italy,ISNUMBER(tblData[Days'# Italy])),betaItaly/(deltaItaly+betaPodeltaItaly*EXP(-betaItaly*tblData[Days'# Italy])),"")</f>
        <v>60454.394950241534</v>
      </c>
      <c r="AN81" s="11" t="str">
        <f>IF(AND(tblData[Date]&gt;StartDt2Italy,ISNUMBER(tblData[Italy])),(tblData[[#This Row],[Italy LogiP(t)]]-tblData[[#This Row],[Italy]])^2,"")</f>
        <v/>
      </c>
      <c r="AO81" s="44">
        <f>IF(AND(tblData[Date]&gt;StartDt2Italy,ISNUMBER(tblData[Days'# Italy])),tblData[[#This Row],[Italy LogiP(t)]]/$AM$9,"")</f>
        <v>10000.72703891506</v>
      </c>
      <c r="AP81" s="21">
        <f>IF(ISNUMBER(tblData[[#This Row],[Days'# US]]),betaUS/(deltaUS+betaPodeltaUS*EXP(-betaUS*tblData[Days'# US])),"")</f>
        <v>370049.73820255278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11239.931709842973</v>
      </c>
      <c r="AS81" s="21">
        <f>IF(tblData[Date]&gt;=StartDt2Korea,betaSKorea/(deltaSKorea+betaPodeltaSKorea*EXP(-betaSKorea*(tblData[Date]-StartDt2Korea))),"")</f>
        <v>8377.9600404149714</v>
      </c>
      <c r="AT81" s="21" t="str">
        <f>IF(AND(tblData[Date]&gt;=StartDt2Korea,ISNUMBER(tblData[SKorea])),(tblData[[#This Row],[SKorea LogiP(t)]]-tblData[[#This Row],[SKorea]])^2,"")</f>
        <v/>
      </c>
      <c r="AU81" s="21">
        <f>IF(tblData[Date]&gt;=StartDt2Korea,tblData[[#This Row],[SKorea LogiP(t)]]/$AS$9,"")</f>
        <v>1629.9533152558311</v>
      </c>
      <c r="AV81" s="11">
        <f>IF(ISNUMBER(tblData[Days'# UK]),betaUK/(deltaUK+betaPodeltaUK*EXP(-betaUK*tblData[Days'# UK])),"")</f>
        <v>272738.11180065986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41050.287748443683</v>
      </c>
      <c r="AY81" s="11">
        <f>IF(ISNUMBER(tblData[Days'# China]),betaChina/(deltaChina+betaPodeltaChina*EXP(-betaChina*tblData[Days'# China])),"")</f>
        <v>80951.142002813038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562.4248230497725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6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Y81"/>
      <c r="BZ81"/>
      <c r="CJ81" s="26"/>
      <c r="CK81" s="26"/>
    </row>
    <row r="82" spans="2:173" x14ac:dyDescent="0.25">
      <c r="B82" s="27">
        <f t="shared" ref="B82:B117" si="12">B81+7</f>
        <v>43935</v>
      </c>
      <c r="D82" s="26"/>
      <c r="L82" s="12" t="str">
        <f>IF(ISNUMBER(tblData[[#This Row],[NSW]]),tblData[[#This Row],[New South Wales]]/$L$9,"")</f>
        <v/>
      </c>
      <c r="M82" s="26"/>
      <c r="N82" s="49" t="str">
        <f>IF(ISNUMBER(tblData[Italy]),tblData[Italy]/$N$9,"")</f>
        <v/>
      </c>
      <c r="O82" s="26"/>
      <c r="P82" s="49" t="str">
        <f>IF(ISNUMBER(tblData[US]),tblData[US]/$P$9,"")</f>
        <v/>
      </c>
      <c r="Q82" s="49"/>
      <c r="R82" s="19" t="str">
        <f>IF(ISNUMBER(tblData[SKorea]),tblData[SKorea]/$R$9,"")</f>
        <v/>
      </c>
      <c r="S82" s="49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7"/>
        <v>65</v>
      </c>
      <c r="Y82" s="26">
        <f t="shared" si="11"/>
        <v>71</v>
      </c>
      <c r="Z82" s="26">
        <f>IF(tblData[[#This Row],[Date]]&lt;StartDt2Korea,"",tblData[[#This Row],[Date]]-StartDt2Korea)</f>
        <v>55</v>
      </c>
      <c r="AA82" s="26">
        <f>IF(tblData[[#This Row],[Date]]&lt;UKStart,"",tblData[[#This Row],[Date]]-UKStart)</f>
        <v>75</v>
      </c>
      <c r="AB82">
        <f>IF(tblData[Date]&gt;=StartDt2Au,tblData[Date]-StartDt2Au,"")</f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IF(ISNUMBER(tblData[Au]),tblData[Au]/$AA$9,"")</f>
        <v/>
      </c>
      <c r="AE82" s="19">
        <f>IF(ISNUMBER(tblData[[#This Row],[Day'# Aust]]),betaAu/(deltaAu+betaPodeltaAu*EXP(-betaAu*tblData[[#This Row],[Day'# Aust]])),"")</f>
        <v>153742.13355146896</v>
      </c>
      <c r="AF82" s="72">
        <f>IF(ISNUMBER(tblData[Day'# Aust]),tblData[Au LogiP(t)]/$AD$9,"")</f>
        <v>60614.309080377287</v>
      </c>
      <c r="AG82" s="11" t="str">
        <f>IF(AND(tblData[Date]&gt;=StartDt2Au,ISNUMBER(tblData[NSW])),(tblData[[#This Row],[Au LogiP(t)]]-tblData[[#This Row],[Au]])^2,"")</f>
        <v/>
      </c>
      <c r="AH82">
        <f>IF(tblData[Date]&gt;StartDt2NSW,tblData[Date]-StartDt2NSW,"")</f>
        <v>80</v>
      </c>
      <c r="AI82" t="str">
        <f t="shared" si="9"/>
        <v/>
      </c>
      <c r="AJ82" s="11">
        <f>IF(tblData[Date]&gt;StartDt2NSW,betaNSW/(deltaNSW+betaPodeltaNSW*EXP(-betaNSW*tblData[[#This Row],[Day '# NSW]])),"")</f>
        <v>2635.527206981646</v>
      </c>
      <c r="AK82" s="12" t="str">
        <f>IF(AND(ISNUMBER(tblData[NSW]),tblData[Date]&gt;StartDt2NSW),(tblData[[#This Row],[NSW LogiP(t)]]-tblData[[#This Row],[NSW]])^2,"")</f>
        <v/>
      </c>
      <c r="AL82" s="12">
        <f>IF(AND(tblData[Date]&gt;StartDt2NSW,ISNUMBER(tblData[Day'# Aust])),tblData[NSW LogiP(t)]/$AG$9,"")</f>
        <v>3261.7910977495617</v>
      </c>
      <c r="AM82" s="11">
        <f>IF(AND(tblData[Date]&gt;StartDt2Italy,ISNUMBER(tblData[Days'# Italy])),betaItaly/(deltaItaly+betaPodeltaItaly*EXP(-betaItaly*tblData[Days'# Italy])),"")</f>
        <v>60605.156011214647</v>
      </c>
      <c r="AN82" s="11" t="str">
        <f>IF(AND(tblData[Date]&gt;StartDt2Italy,ISNUMBER(tblData[Italy])),(tblData[[#This Row],[Italy LogiP(t)]]-tblData[[#This Row],[Italy]])^2,"")</f>
        <v/>
      </c>
      <c r="AO82" s="44">
        <f>IF(AND(tblData[Date]&gt;StartDt2Italy,ISNUMBER(tblData[Days'# Italy])),tblData[[#This Row],[Italy LogiP(t)]]/$AM$9,"")</f>
        <v>10025.666833947833</v>
      </c>
      <c r="AP82" s="21">
        <f>IF(ISNUMBER(tblData[[#This Row],[Days'# US]]),betaUS/(deltaUS+betaPodeltaUS*EXP(-betaUS*tblData[Days'# US])),"")</f>
        <v>383255.72020955198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11641.051669124874</v>
      </c>
      <c r="AS82" s="21">
        <f>IF(tblData[Date]&gt;=StartDt2Korea,betaSKorea/(deltaSKorea+betaPodeltaSKorea*EXP(-betaSKorea*(tblData[Date]-StartDt2Korea))),"")</f>
        <v>8378.029990989271</v>
      </c>
      <c r="AT82" s="21" t="str">
        <f>IF(AND(tblData[Date]&gt;=StartDt2Korea,ISNUMBER(tblData[SKorea])),(tblData[[#This Row],[SKorea LogiP(t)]]-tblData[[#This Row],[SKorea]])^2,"")</f>
        <v/>
      </c>
      <c r="AU82" s="21">
        <f>IF(tblData[Date]&gt;=StartDt2Korea,tblData[[#This Row],[SKorea LogiP(t)]]/$AS$9,"")</f>
        <v>1629.966924316979</v>
      </c>
      <c r="AV82" s="85">
        <f>IF(ISNUMBER(tblData[Days'# UK]),betaUK/(deltaUK+betaPodeltaUK*EXP(-betaUK*tblData[Days'# UK])),"")</f>
        <v>1411376.40309325</v>
      </c>
      <c r="AW82" s="85" t="str">
        <f>IF(ISNUMBER(tblData[UK]),(tblData[[#This Row],[UK LogiP(t)]]-tblData[[#This Row],[UK]])^2,"")</f>
        <v/>
      </c>
      <c r="AX82" s="85">
        <f>IF(ISNUMBER(tblData[Days'# UK]),tblData[[#This Row],[UK LogiP(t)]]/$AV$9,"")</f>
        <v>212428.71810554634</v>
      </c>
      <c r="AY82" s="11">
        <f>IF(ISNUMBER(tblData[Days'# China]),betaChina/(deltaChina+betaPodeltaChina*EXP(-betaChina*tblData[Days'# China])),"")</f>
        <v>80951.28898505542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562.42584423933965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6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Y82"/>
      <c r="BZ82"/>
      <c r="CJ82" s="26"/>
      <c r="CK82" s="26"/>
    </row>
    <row r="83" spans="2:173" x14ac:dyDescent="0.25">
      <c r="B83" s="27">
        <f t="shared" si="12"/>
        <v>43942</v>
      </c>
      <c r="D83" s="26"/>
      <c r="L83" s="12" t="str">
        <f>IF(ISNUMBER(tblData[[#This Row],[NSW]]),tblData[[#This Row],[New South Wales]]/$L$9,"")</f>
        <v/>
      </c>
      <c r="M83" s="26"/>
      <c r="N83" s="49" t="str">
        <f>IF(ISNUMBER(tblData[Italy]),tblData[Italy]/$N$9,"")</f>
        <v/>
      </c>
      <c r="O83" s="26"/>
      <c r="P83" s="49" t="str">
        <f>IF(ISNUMBER(tblData[US]),tblData[US]/$P$9,"")</f>
        <v/>
      </c>
      <c r="Q83" s="49"/>
      <c r="R83" s="19" t="str">
        <f>IF(ISNUMBER(tblData[SKorea]),tblData[SKorea]/$R$9,"")</f>
        <v/>
      </c>
      <c r="S83" s="49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7"/>
        <v>72</v>
      </c>
      <c r="Y83" s="26">
        <f t="shared" si="11"/>
        <v>72</v>
      </c>
      <c r="Z83" s="26">
        <f>IF(tblData[[#This Row],[Date]]&lt;StartDt2Korea,"",tblData[[#This Row],[Date]]-StartDt2Korea)</f>
        <v>62</v>
      </c>
      <c r="AA83" s="26">
        <f>IF(tblData[[#This Row],[Date]]&lt;UKStart,"",tblData[[#This Row],[Date]]-UKStart)</f>
        <v>82</v>
      </c>
      <c r="AB83">
        <f>IF(tblData[Date]&gt;=StartDt2Au,tblData[Date]-StartDt2Au,"")</f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IF(ISNUMBER(tblData[Au]),tblData[Au]/$AA$9,"")</f>
        <v/>
      </c>
      <c r="AE83" s="19">
        <f>IF(ISNUMBER(tblData[[#This Row],[Day'# Aust]]),betaAu/(deltaAu+betaPodeltaAu*EXP(-betaAu*tblData[[#This Row],[Day'# Aust]])),"")</f>
        <v>653191.9802232479</v>
      </c>
      <c r="AF83" s="72">
        <f>IF(ISNUMBER(tblData[Day'# Aust]),tblData[Au LogiP(t)]/$AD$9,"")</f>
        <v>257527.19611388104</v>
      </c>
      <c r="AG83" s="11" t="str">
        <f>IF(AND(tblData[Date]&gt;=StartDt2Au,ISNUMBER(tblData[NSW])),(tblData[[#This Row],[Au LogiP(t)]]-tblData[[#This Row],[Au]])^2,"")</f>
        <v/>
      </c>
      <c r="AH83">
        <f>IF(tblData[Date]&gt;StartDt2NSW,tblData[Date]-StartDt2NSW,"")</f>
        <v>87</v>
      </c>
      <c r="AI83" t="str">
        <f t="shared" si="9"/>
        <v/>
      </c>
      <c r="AJ83" s="11">
        <f>IF(tblData[Date]&gt;StartDt2NSW,betaNSW/(deltaNSW+betaPodeltaNSW*EXP(-betaNSW*tblData[[#This Row],[Day '# NSW]])),"")</f>
        <v>2703.5731867554682</v>
      </c>
      <c r="AK83" s="12" t="str">
        <f>IF(AND(ISNUMBER(tblData[NSW]),tblData[Date]&gt;StartDt2NSW),(tblData[[#This Row],[NSW LogiP(t)]]-tblData[[#This Row],[NSW]])^2,"")</f>
        <v/>
      </c>
      <c r="AL83" s="12">
        <f>IF(AND(tblData[Date]&gt;StartDt2NSW,ISNUMBER(tblData[Day'# Aust])),tblData[NSW LogiP(t)]/$AG$9,"")</f>
        <v>3346.0064192518171</v>
      </c>
      <c r="AM83" s="11">
        <f>IF(AND(tblData[Date]&gt;StartDt2Italy,ISNUMBER(tblData[Days'# Italy])),betaItaly/(deltaItaly+betaPodeltaItaly*EXP(-betaItaly*tblData[Days'# Italy])),"")</f>
        <v>60629.743552982254</v>
      </c>
      <c r="AN83" s="11" t="str">
        <f>IF(AND(tblData[Date]&gt;StartDt2Italy,ISNUMBER(tblData[Italy])),(tblData[[#This Row],[Italy LogiP(t)]]-tblData[[#This Row],[Italy]])^2,"")</f>
        <v/>
      </c>
      <c r="AO83" s="44">
        <f>IF(AND(tblData[Date]&gt;StartDt2Italy,ISNUMBER(tblData[Days'# Italy])),tblData[[#This Row],[Italy LogiP(t)]]/$AM$9,"")</f>
        <v>10029.734251940819</v>
      </c>
      <c r="AP83" s="21">
        <f>IF(ISNUMBER(tblData[[#This Row],[Days'# US]]),betaUS/(deltaUS+betaPodeltaUS*EXP(-betaUS*tblData[Days'# US])),"")</f>
        <v>384458.94158742961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11677.598448443943</v>
      </c>
      <c r="AS83" s="21">
        <f>IF(tblData[Date]&gt;=StartDt2Korea,betaSKorea/(deltaSKorea+betaPodeltaSKorea*EXP(-betaSKorea*(tblData[Date]-StartDt2Korea))),"")</f>
        <v>8378.0374116951225</v>
      </c>
      <c r="AT83" s="21" t="str">
        <f>IF(AND(tblData[Date]&gt;=StartDt2Korea,ISNUMBER(tblData[SKorea])),(tblData[[#This Row],[SKorea LogiP(t)]]-tblData[[#This Row],[SKorea]])^2,"")</f>
        <v/>
      </c>
      <c r="AU83" s="21">
        <f>IF(tblData[Date]&gt;=StartDt2Korea,tblData[[#This Row],[SKorea LogiP(t)]]/$AS$9,"")</f>
        <v>1629.9683680340706</v>
      </c>
      <c r="AV83" s="85">
        <f>IF(ISNUMBER(tblData[Days'# UK]),betaUK/(deltaUK+betaPodeltaUK*EXP(-betaUK*tblData[Days'# UK])),"")</f>
        <v>7158989.0203109076</v>
      </c>
      <c r="AW83" s="85" t="str">
        <f>IF(ISNUMBER(tblData[UK]),(tblData[[#This Row],[UK LogiP(t)]]-tblData[[#This Row],[UK]])^2,"")</f>
        <v/>
      </c>
      <c r="AX83" s="85">
        <f>IF(ISNUMBER(tblData[Days'# UK]),tblData[[#This Row],[UK LogiP(t)]]/$AV$9,"")</f>
        <v>1077511.8934844835</v>
      </c>
      <c r="AY83" s="11">
        <f>IF(ISNUMBER(tblData[Days'# China]),betaChina/(deltaChina+betaPodeltaChina*EXP(-betaChina*tblData[Days'# China])),"")</f>
        <v>80951.406688943927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562.42666201148006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6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Y83"/>
      <c r="BZ83"/>
      <c r="CJ83" s="26"/>
      <c r="CK83" s="26"/>
    </row>
    <row r="84" spans="2:173" x14ac:dyDescent="0.25">
      <c r="B84" s="27">
        <f t="shared" si="12"/>
        <v>43949</v>
      </c>
      <c r="D84" s="26"/>
      <c r="L84" s="12" t="str">
        <f>IF(ISNUMBER(tblData[[#This Row],[NSW]]),tblData[[#This Row],[New South Wales]]/$L$9,"")</f>
        <v/>
      </c>
      <c r="M84" s="26"/>
      <c r="N84" s="49" t="str">
        <f>IF(ISNUMBER(tblData[Italy]),tblData[Italy]/$N$9,"")</f>
        <v/>
      </c>
      <c r="O84" s="26"/>
      <c r="P84" s="49" t="str">
        <f>IF(ISNUMBER(tblData[US]),tblData[US]/$P$9,"")</f>
        <v/>
      </c>
      <c r="Q84" s="49"/>
      <c r="R84" s="19" t="str">
        <f>IF(ISNUMBER(tblData[SKorea]),tblData[SKorea]/$R$9,"")</f>
        <v/>
      </c>
      <c r="S84" s="49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7"/>
        <v>79</v>
      </c>
      <c r="Y84" s="26">
        <f t="shared" si="11"/>
        <v>73</v>
      </c>
      <c r="Z84" s="26">
        <f>IF(tblData[[#This Row],[Date]]&lt;StartDt2Korea,"",tblData[[#This Row],[Date]]-StartDt2Korea)</f>
        <v>69</v>
      </c>
      <c r="AA84" s="26">
        <f>IF(tblData[[#This Row],[Date]]&lt;UKStart,"",tblData[[#This Row],[Date]]-UKStart)</f>
        <v>89</v>
      </c>
      <c r="AB84">
        <f>IF(tblData[Date]&gt;=StartDt2Au,tblData[Date]-StartDt2Au,"")</f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IF(ISNUMBER(tblData[Au]),tblData[Au]/$AA$9,"")</f>
        <v/>
      </c>
      <c r="AE84" s="44">
        <f>IF(ISNUMBER(tblData[[#This Row],[Day'# Aust]]),betaAu/(deltaAu+betaPodeltaAu*EXP(-betaAu*tblData[[#This Row],[Day'# Aust]])),"")</f>
        <v>2753565.7648368361</v>
      </c>
      <c r="AF84" s="73">
        <f>IF(ISNUMBER(tblData[Day'# Aust]),tblData[Au LogiP(t)]/$AD$9,"")</f>
        <v>1085619.683345228</v>
      </c>
      <c r="AG84" s="11" t="str">
        <f>IF(AND(tblData[Date]&gt;=StartDt2Au,ISNUMBER(tblData[NSW])),(tblData[[#This Row],[Au LogiP(t)]]-tblData[[#This Row],[Au]])^2,"")</f>
        <v/>
      </c>
      <c r="AH84">
        <f>IF(tblData[Date]&gt;StartDt2NSW,tblData[Date]-StartDt2NSW,"")</f>
        <v>94</v>
      </c>
      <c r="AI84" t="str">
        <f t="shared" si="9"/>
        <v/>
      </c>
      <c r="AJ84" s="11">
        <f>IF(tblData[Date]&gt;StartDt2NSW,betaNSW/(deltaNSW+betaPodeltaNSW*EXP(-betaNSW*tblData[[#This Row],[Day '# NSW]])),"")</f>
        <v>2719.7975776207636</v>
      </c>
      <c r="AK84" s="12" t="str">
        <f>IF(AND(ISNUMBER(tblData[NSW]),tblData[Date]&gt;StartDt2NSW),(tblData[[#This Row],[NSW LogiP(t)]]-tblData[[#This Row],[NSW]])^2,"")</f>
        <v/>
      </c>
      <c r="AL84" s="44">
        <f>IF(AND(tblData[Date]&gt;StartDt2NSW,ISNUMBER(tblData[Day'# Aust])),tblData[NSW LogiP(t)]/$AG$9,"")</f>
        <v>3366.0861109167863</v>
      </c>
      <c r="AM84" s="11">
        <f>IF(AND(tblData[Date]&gt;StartDt2Italy,ISNUMBER(tblData[Days'# Italy])),betaItaly/(deltaItaly+betaPodeltaItaly*EXP(-betaItaly*tblData[Days'# Italy])),"")</f>
        <v>60633.743810912012</v>
      </c>
      <c r="AN84" s="11" t="str">
        <f>IF(AND(tblData[Date]&gt;StartDt2Italy,ISNUMBER(tblData[Italy])),(tblData[[#This Row],[Italy LogiP(t)]]-tblData[[#This Row],[Italy]])^2,"")</f>
        <v/>
      </c>
      <c r="AO84" s="44">
        <f>IF(AND(tblData[Date]&gt;StartDt2Italy,ISNUMBER(tblData[Days'# Italy])),tblData[[#This Row],[Italy LogiP(t)]]/$AM$9,"")</f>
        <v>10030.395998496611</v>
      </c>
      <c r="AP84" s="21">
        <f>IF(ISNUMBER(tblData[[#This Row],[Days'# US]]),betaUS/(deltaUS+betaPodeltaUS*EXP(-betaUS*tblData[Days'# US])),"")</f>
        <v>384564.8209751278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11680.814440685926</v>
      </c>
      <c r="AS84" s="21">
        <f>IF(tblData[Date]&gt;=StartDt2Korea,betaSKorea/(deltaSKorea+betaPodeltaSKorea*EXP(-betaSKorea*(tblData[Date]-StartDt2Korea))),"")</f>
        <v>8378.0381989141169</v>
      </c>
      <c r="AT84" s="21" t="str">
        <f>IF(AND(tblData[Date]&gt;=StartDt2Korea,ISNUMBER(tblData[SKorea])),(tblData[[#This Row],[SKorea LogiP(t)]]-tblData[[#This Row],[SKorea]])^2,"")</f>
        <v/>
      </c>
      <c r="AU84" s="21">
        <f>IF(tblData[Date]&gt;=StartDt2Korea,tblData[[#This Row],[SKorea LogiP(t)]]/$AS$9,"")</f>
        <v>1629.9685211895171</v>
      </c>
      <c r="AV84" s="85">
        <f>IF(ISNUMBER(tblData[Days'# UK]),betaUK/(deltaUK+betaPodeltaUK*EXP(-betaUK*tblData[Days'# UK])),"")</f>
        <v>33012324.230428159</v>
      </c>
      <c r="AW84" s="85" t="str">
        <f>IF(ISNUMBER(tblData[UK]),(tblData[[#This Row],[UK LogiP(t)]]-tblData[[#This Row],[UK]])^2,"")</f>
        <v/>
      </c>
      <c r="AX84" s="85">
        <f>IF(ISNUMBER(tblData[Days'# UK]),tblData[[#This Row],[UK LogiP(t)]]/$AV$9,"")</f>
        <v>4968742.3585834075</v>
      </c>
      <c r="AY84" s="11">
        <f>IF(ISNUMBER(tblData[Days'# China]),betaChina/(deltaChina+betaPodeltaChina*EXP(-betaChina*tblData[Days'# China])),"")</f>
        <v>80951.500946563887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562.42731688581432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6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Y84"/>
      <c r="BZ84"/>
      <c r="CJ84" s="26"/>
      <c r="CK84" s="26"/>
    </row>
    <row r="85" spans="2:173" x14ac:dyDescent="0.25">
      <c r="B85" s="27">
        <f t="shared" si="12"/>
        <v>43956</v>
      </c>
      <c r="D85" s="26"/>
      <c r="L85" s="12" t="str">
        <f>IF(ISNUMBER(tblData[[#This Row],[NSW]]),tblData[[#This Row],[New South Wales]]/$L$9,"")</f>
        <v/>
      </c>
      <c r="M85" s="26"/>
      <c r="N85" s="49" t="str">
        <f>IF(ISNUMBER(tblData[Italy]),tblData[Italy]/$N$9,"")</f>
        <v/>
      </c>
      <c r="O85" s="26"/>
      <c r="P85" s="49" t="str">
        <f>IF(ISNUMBER(tblData[US]),tblData[US]/$P$9,"")</f>
        <v/>
      </c>
      <c r="Q85" s="49"/>
      <c r="R85" s="19" t="str">
        <f>IF(ISNUMBER(tblData[SKorea]),tblData[SKorea]/$R$9,"")</f>
        <v/>
      </c>
      <c r="S85" s="49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7"/>
        <v>86</v>
      </c>
      <c r="Y85" s="26">
        <f t="shared" si="11"/>
        <v>74</v>
      </c>
      <c r="Z85" s="26">
        <f>IF(tblData[[#This Row],[Date]]&lt;StartDt2Korea,"",tblData[[#This Row],[Date]]-StartDt2Korea)</f>
        <v>76</v>
      </c>
      <c r="AA85" s="26">
        <f>IF(tblData[[#This Row],[Date]]&lt;UKStart,"",tblData[[#This Row],[Date]]-UKStart)</f>
        <v>96</v>
      </c>
      <c r="AB85">
        <f>IF(tblData[Date]&gt;=StartDt2Au,tblData[Date]-StartDt2Au,"")</f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IF(ISNUMBER(tblData[Au]),tblData[Au]/$AA$9,"")</f>
        <v/>
      </c>
      <c r="AE85" s="44">
        <f>IF(ISNUMBER(tblData[[#This Row],[Day'# Aust]]),betaAu/(deltaAu+betaPodeltaAu*EXP(-betaAu*tblData[[#This Row],[Day'# Aust]])),"")</f>
        <v>11239917.171738176</v>
      </c>
      <c r="AF85" s="73">
        <f>IF(ISNUMBER(tblData[Day'# Aust]),tblData[Au LogiP(t)]/$AD$9,"")</f>
        <v>4431445.029071982</v>
      </c>
      <c r="AG85" s="11" t="str">
        <f>IF(AND(tblData[Date]&gt;=StartDt2Au,ISNUMBER(tblData[NSW])),(tblData[[#This Row],[Au LogiP(t)]]-tblData[[#This Row],[Au]])^2,"")</f>
        <v/>
      </c>
      <c r="AH85">
        <f>IF(tblData[Date]&gt;StartDt2NSW,tblData[Date]-StartDt2NSW,"")</f>
        <v>101</v>
      </c>
      <c r="AI85" t="str">
        <f t="shared" si="9"/>
        <v/>
      </c>
      <c r="AJ85" s="11">
        <f>IF(tblData[Date]&gt;StartDt2NSW,betaNSW/(deltaNSW+betaPodeltaNSW*EXP(-betaNSW*tblData[[#This Row],[Day '# NSW]])),"")</f>
        <v>2723.5738758040625</v>
      </c>
      <c r="AK85" s="12" t="str">
        <f>IF(AND(ISNUMBER(tblData[NSW]),tblData[Date]&gt;StartDt2NSW),(tblData[[#This Row],[NSW LogiP(t)]]-tblData[[#This Row],[NSW]])^2,"")</f>
        <v/>
      </c>
      <c r="AL85" s="44">
        <f>IF(AND(tblData[Date]&gt;StartDt2NSW,ISNUMBER(tblData[Day'# Aust])),tblData[NSW LogiP(t)]/$AG$9,"")</f>
        <v>3370.7597472822554</v>
      </c>
      <c r="AM85" s="11">
        <f>IF(AND(tblData[Date]&gt;StartDt2Italy,ISNUMBER(tblData[Days'# Italy])),betaItaly/(deltaItaly+betaPodeltaItaly*EXP(-betaItaly*tblData[Days'# Italy])),"")</f>
        <v>60634.394373943731</v>
      </c>
      <c r="AN85" s="11" t="str">
        <f>IF(AND(tblData[Date]&gt;StartDt2Italy,ISNUMBER(tblData[Italy])),(tblData[[#This Row],[Italy LogiP(t)]]-tblData[[#This Row],[Italy]])^2,"")</f>
        <v/>
      </c>
      <c r="AO85" s="44">
        <f>IF(AND(tblData[Date]&gt;StartDt2Italy,ISNUMBER(tblData[Days'# Italy])),tblData[[#This Row],[Italy LogiP(t)]]/$AM$9,"")</f>
        <v>10030.5036185184</v>
      </c>
      <c r="AP85" s="21">
        <f>IF(ISNUMBER(tblData[[#This Row],[Days'# US]]),betaUS/(deltaUS+betaPodeltaUS*EXP(-betaUS*tblData[Days'# US])),"")</f>
        <v>384574.10906633205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11681.096558196285</v>
      </c>
      <c r="AS85" s="21">
        <f>IF(tblData[Date]&gt;=StartDt2Korea,betaSKorea/(deltaSKorea+betaPodeltaSKorea*EXP(-betaSKorea*(tblData[Date]-StartDt2Korea))),"")</f>
        <v>8378.0382824254739</v>
      </c>
      <c r="AT85" s="21" t="str">
        <f>IF(AND(tblData[Date]&gt;=StartDt2Korea,ISNUMBER(tblData[SKorea])),(tblData[[#This Row],[SKorea LogiP(t)]]-tblData[[#This Row],[SKorea]])^2,"")</f>
        <v/>
      </c>
      <c r="AU85" s="21">
        <f>IF(tblData[Date]&gt;=StartDt2Korea,tblData[[#This Row],[SKorea LogiP(t)]]/$AS$9,"")</f>
        <v>1629.9685374368628</v>
      </c>
      <c r="AV85" s="85">
        <f>IF(ISNUMBER(tblData[Days'# UK]),betaUK/(deltaUK+betaPodeltaUK*EXP(-betaUK*tblData[Days'# UK])),"")</f>
        <v>108053459.0699206</v>
      </c>
      <c r="AW85" s="85" t="str">
        <f>IF(ISNUMBER(tblData[UK]),(tblData[[#This Row],[UK LogiP(t)]]-tblData[[#This Row],[UK]])^2,"")</f>
        <v/>
      </c>
      <c r="AX85" s="85">
        <f>IF(ISNUMBER(tblData[Days'# UK]),tblData[[#This Row],[UK LogiP(t)]]/$AV$9,"")</f>
        <v>16263314.128525075</v>
      </c>
      <c r="AY85" s="11">
        <f>IF(ISNUMBER(tblData[Days'# China]),betaChina/(deltaChina+betaPodeltaChina*EXP(-betaChina*tblData[Days'# China])),"")</f>
        <v>80951.576428303728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562.42784131083329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6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Y85"/>
      <c r="BZ85"/>
      <c r="CJ85" s="26"/>
      <c r="CK85" s="26"/>
    </row>
    <row r="86" spans="2:173" x14ac:dyDescent="0.25">
      <c r="B86" s="27">
        <f t="shared" si="12"/>
        <v>43963</v>
      </c>
      <c r="D86" s="26"/>
      <c r="L86" s="12" t="str">
        <f>IF(ISNUMBER(tblData[[#This Row],[NSW]]),tblData[[#This Row],[New South Wales]]/$L$9,"")</f>
        <v/>
      </c>
      <c r="M86" s="26"/>
      <c r="N86" s="49" t="str">
        <f>IF(ISNUMBER(tblData[Italy]),tblData[Italy]/$N$9,"")</f>
        <v/>
      </c>
      <c r="O86" s="26"/>
      <c r="P86" s="49" t="str">
        <f>IF(ISNUMBER(tblData[US]),tblData[US]/$P$9,"")</f>
        <v/>
      </c>
      <c r="Q86" s="49"/>
      <c r="R86" s="19" t="str">
        <f>IF(ISNUMBER(tblData[SKorea]),tblData[SKorea]/$R$9,"")</f>
        <v/>
      </c>
      <c r="S86" s="49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7"/>
        <v>93</v>
      </c>
      <c r="Y86" s="26">
        <f t="shared" si="11"/>
        <v>75</v>
      </c>
      <c r="Z86" s="26">
        <f>IF(tblData[[#This Row],[Date]]&lt;StartDt2Korea,"",tblData[[#This Row],[Date]]-StartDt2Korea)</f>
        <v>83</v>
      </c>
      <c r="AA86" s="26">
        <f>IF(tblData[[#This Row],[Date]]&lt;UKStart,"",tblData[[#This Row],[Date]]-UKStart)</f>
        <v>103</v>
      </c>
      <c r="AB86">
        <f>IF(tblData[Date]&gt;=StartDt2Au,tblData[Date]-StartDt2Au,"")</f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IF(ISNUMBER(tblData[Au]),tblData[Au]/$AA$9,"")</f>
        <v/>
      </c>
      <c r="AE86" s="44">
        <f>IF(ISNUMBER(tblData[[#This Row],[Day'# Aust]]),betaAu/(deltaAu+betaPodeltaAu*EXP(-betaAu*tblData[[#This Row],[Day'# Aust]])),"")</f>
        <v>40672550.524746053</v>
      </c>
      <c r="AF86" s="73">
        <f>IF(ISNUMBER(tblData[Day'# Aust]),tblData[Au LogiP(t)]/$AD$9,"")</f>
        <v>16035542.708068937</v>
      </c>
      <c r="AG86" s="11" t="str">
        <f>IF(AND(tblData[Date]&gt;=StartDt2Au,ISNUMBER(tblData[NSW])),(tblData[[#This Row],[Au LogiP(t)]]-tblData[[#This Row],[Au]])^2,"")</f>
        <v/>
      </c>
      <c r="AH86">
        <f>IF(tblData[Date]&gt;StartDt2NSW,tblData[Date]-StartDt2NSW,"")</f>
        <v>108</v>
      </c>
      <c r="AI86" t="str">
        <f t="shared" si="9"/>
        <v/>
      </c>
      <c r="AJ86" s="11">
        <f>IF(tblData[Date]&gt;StartDt2NSW,betaNSW/(deltaNSW+betaPodeltaNSW*EXP(-betaNSW*tblData[[#This Row],[Day '# NSW]])),"")</f>
        <v>2724.4478629559617</v>
      </c>
      <c r="AK86" s="12" t="str">
        <f>IF(AND(ISNUMBER(tblData[NSW]),tblData[Date]&gt;StartDt2NSW),(tblData[[#This Row],[NSW LogiP(t)]]-tblData[[#This Row],[NSW]])^2,"")</f>
        <v/>
      </c>
      <c r="AL86" s="44">
        <f>IF(AND(tblData[Date]&gt;StartDt2NSW,ISNUMBER(tblData[Day'# Aust])),tblData[NSW LogiP(t)]/$AG$9,"")</f>
        <v>3371.8414145494571</v>
      </c>
      <c r="AM86" s="11">
        <f>IF(AND(tblData[Date]&gt;StartDt2Italy,ISNUMBER(tblData[Days'# Italy])),betaItaly/(deltaItaly+betaPodeltaItaly*EXP(-betaItaly*tblData[Days'# Italy])),"")</f>
        <v>60634.500168390412</v>
      </c>
      <c r="AN86" s="11" t="str">
        <f>IF(AND(tblData[Date]&gt;StartDt2Italy,ISNUMBER(tblData[Italy])),(tblData[[#This Row],[Italy LogiP(t)]]-tblData[[#This Row],[Italy]])^2,"")</f>
        <v/>
      </c>
      <c r="AO86" s="44">
        <f>IF(AND(tblData[Date]&gt;StartDt2Italy,ISNUMBER(tblData[Days'# Italy])),tblData[[#This Row],[Italy LogiP(t)]]/$AM$9,"")</f>
        <v>10030.521119667563</v>
      </c>
      <c r="AP86" s="21">
        <f>IF(ISNUMBER(tblData[[#This Row],[Days'# US]]),betaUS/(deltaUS+betaPodeltaUS*EXP(-betaUS*tblData[Days'# US])),"")</f>
        <v>384574.92362590838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11681.121299719023</v>
      </c>
      <c r="AS86" s="21">
        <f>IF(tblData[Date]&gt;=StartDt2Korea,betaSKorea/(deltaSKorea+betaPodeltaSKorea*EXP(-betaSKorea*(tblData[Date]-StartDt2Korea))),"")</f>
        <v>8378.0382912846926</v>
      </c>
      <c r="AT86" s="21" t="str">
        <f>IF(AND(tblData[Date]&gt;=StartDt2Korea,ISNUMBER(tblData[SKorea])),(tblData[[#This Row],[SKorea LogiP(t)]]-tblData[[#This Row],[SKorea]])^2,"")</f>
        <v/>
      </c>
      <c r="AU86" s="21">
        <f>IF(tblData[Date]&gt;=StartDt2Korea,tblData[[#This Row],[SKorea LogiP(t)]]/$AS$9,"")</f>
        <v>1629.9685391604462</v>
      </c>
      <c r="AV86" s="85">
        <f>IF(ISNUMBER(tblData[Days'# UK]),betaUK/(deltaUK+betaPodeltaUK*EXP(-betaUK*tblData[Days'# UK])),"")</f>
        <v>191971689.15492532</v>
      </c>
      <c r="AW86" s="85" t="str">
        <f>IF(ISNUMBER(tblData[UK]),(tblData[[#This Row],[UK LogiP(t)]]-tblData[[#This Row],[UK]])^2,"")</f>
        <v/>
      </c>
      <c r="AX86" s="85">
        <f>IF(ISNUMBER(tblData[Days'# UK]),tblData[[#This Row],[UK LogiP(t)]]/$AV$9,"")</f>
        <v>28893992.949266303</v>
      </c>
      <c r="AY86" s="11">
        <f>IF(ISNUMBER(tblData[Days'# China]),betaChina/(deltaChina+betaPodeltaChina*EXP(-betaChina*tblData[Days'# China])),"")</f>
        <v>80951.636874246135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562.42826127153569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6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Y86"/>
      <c r="BZ86"/>
      <c r="CJ86" s="26"/>
      <c r="CK86" s="26"/>
    </row>
    <row r="87" spans="2:173" x14ac:dyDescent="0.25">
      <c r="B87" s="27">
        <f t="shared" si="12"/>
        <v>43970</v>
      </c>
      <c r="D87" s="26"/>
      <c r="L87" s="12" t="str">
        <f>IF(ISNUMBER(tblData[[#This Row],[NSW]]),tblData[[#This Row],[New South Wales]]/$L$9,"")</f>
        <v/>
      </c>
      <c r="M87" s="26"/>
      <c r="N87" s="49" t="str">
        <f>IF(ISNUMBER(tblData[Italy]),tblData[Italy]/$N$9,"")</f>
        <v/>
      </c>
      <c r="O87" s="26"/>
      <c r="P87" s="49" t="str">
        <f>IF(ISNUMBER(tblData[US]),tblData[US]/$P$9,"")</f>
        <v/>
      </c>
      <c r="Q87" s="49"/>
      <c r="R87" s="19" t="str">
        <f>IF(ISNUMBER(tblData[SKorea]),tblData[SKorea]/$R$9,"")</f>
        <v/>
      </c>
      <c r="S87" s="49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7"/>
        <v>100</v>
      </c>
      <c r="Y87" s="26">
        <f t="shared" si="11"/>
        <v>76</v>
      </c>
      <c r="Z87" s="26">
        <f>IF(tblData[[#This Row],[Date]]&lt;StartDt2Korea,"",tblData[[#This Row],[Date]]-StartDt2Korea)</f>
        <v>90</v>
      </c>
      <c r="AA87" s="26">
        <f>IF(tblData[[#This Row],[Date]]&lt;UKStart,"",tblData[[#This Row],[Date]]-UKStart)</f>
        <v>110</v>
      </c>
      <c r="AB87">
        <f>IF(tblData[Date]&gt;=StartDt2Au,tblData[Date]-StartDt2Au,"")</f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IF(ISNUMBER(tblData[Au]),tblData[Au]/$AA$9,"")</f>
        <v/>
      </c>
      <c r="AE87" s="44">
        <f>IF(ISNUMBER(tblData[[#This Row],[Day'# Aust]]),betaAu/(deltaAu+betaPodeltaAu*EXP(-betaAu*tblData[[#This Row],[Day'# Aust]])),"")</f>
        <v>105601451.71919926</v>
      </c>
      <c r="AF87" s="73">
        <f>IF(ISNUMBER(tblData[Day'# Aust]),tblData[Au LogiP(t)]/$AD$9,"")</f>
        <v>41634384.055826865</v>
      </c>
      <c r="AG87" s="11" t="str">
        <f>IF(AND(tblData[Date]&gt;=StartDt2Au,ISNUMBER(tblData[NSW])),(tblData[[#This Row],[Au LogiP(t)]]-tblData[[#This Row],[Au]])^2,"")</f>
        <v/>
      </c>
      <c r="AH87">
        <f>IF(tblData[Date]&gt;StartDt2NSW,tblData[Date]-StartDt2NSW,"")</f>
        <v>115</v>
      </c>
      <c r="AI87" t="str">
        <f t="shared" si="9"/>
        <v/>
      </c>
      <c r="AJ87" s="11">
        <f>IF(tblData[Date]&gt;StartDt2NSW,betaNSW/(deltaNSW+betaPodeltaNSW*EXP(-betaNSW*tblData[[#This Row],[Day '# NSW]])),"")</f>
        <v>2724.6498732218747</v>
      </c>
      <c r="AK87" s="12" t="str">
        <f>IF(AND(ISNUMBER(tblData[NSW]),tblData[Date]&gt;StartDt2NSW),(tblData[[#This Row],[NSW LogiP(t)]]-tblData[[#This Row],[NSW]])^2,"")</f>
        <v/>
      </c>
      <c r="AL87" s="44">
        <f>IF(AND(tblData[Date]&gt;StartDt2NSW,ISNUMBER(tblData[Day'# Aust])),tblData[NSW LogiP(t)]/$AG$9,"")</f>
        <v>3372.0914272547952</v>
      </c>
      <c r="AM87" s="11">
        <f>IF(AND(tblData[Date]&gt;StartDt2Italy,ISNUMBER(tblData[Days'# Italy])),betaItaly/(deltaItaly+betaPodeltaItaly*EXP(-betaItaly*tblData[Days'# Italy])),"")</f>
        <v>60634.517372485163</v>
      </c>
      <c r="AN87" s="11" t="str">
        <f>IF(AND(tblData[Date]&gt;StartDt2Italy,ISNUMBER(tblData[Italy])),(tblData[[#This Row],[Italy LogiP(t)]]-tblData[[#This Row],[Italy]])^2,"")</f>
        <v/>
      </c>
      <c r="AO87" s="44">
        <f>IF(AND(tblData[Date]&gt;StartDt2Italy,ISNUMBER(tblData[Days'# Italy])),tblData[[#This Row],[Italy LogiP(t)]]/$AM$9,"")</f>
        <v>10030.523965671657</v>
      </c>
      <c r="AP87" s="21">
        <f>IF(ISNUMBER(tblData[[#This Row],[Days'# US]]),betaUS/(deltaUS+betaPodeltaUS*EXP(-betaUS*tblData[Days'# US])),"")</f>
        <v>384574.99506054306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11681.123469482523</v>
      </c>
      <c r="AS87" s="21">
        <f>IF(tblData[Date]&gt;=StartDt2Korea,betaSKorea/(deltaSKorea+betaPodeltaSKorea*EXP(-betaSKorea*(tblData[Date]-StartDt2Korea))),"")</f>
        <v>8378.0382922245135</v>
      </c>
      <c r="AT87" s="21" t="str">
        <f>IF(AND(tblData[Date]&gt;=StartDt2Korea,ISNUMBER(tblData[SKorea])),(tblData[[#This Row],[SKorea LogiP(t)]]-tblData[[#This Row],[SKorea]])^2,"")</f>
        <v/>
      </c>
      <c r="AU87" s="21">
        <f>IF(tblData[Date]&gt;=StartDt2Korea,tblData[[#This Row],[SKorea LogiP(t)]]/$AS$9,"")</f>
        <v>1629.9685393432906</v>
      </c>
      <c r="AV87" s="85">
        <f>IF(ISNUMBER(tblData[Days'# UK]),betaUK/(deltaUK+betaPodeltaUK*EXP(-betaUK*tblData[Days'# UK])),"")</f>
        <v>225677222.84395593</v>
      </c>
      <c r="AW87" s="85" t="str">
        <f>IF(ISNUMBER(tblData[UK]),(tblData[[#This Row],[UK LogiP(t)]]-tblData[[#This Row],[UK]])^2,"")</f>
        <v/>
      </c>
      <c r="AX87" s="85">
        <f>IF(ISNUMBER(tblData[Days'# UK]),tblData[[#This Row],[UK LogiP(t)]]/$AV$9,"")</f>
        <v>33967071.469589993</v>
      </c>
      <c r="AY87" s="11">
        <f>IF(ISNUMBER(tblData[Days'# China]),betaChina/(deltaChina+betaPodeltaChina*EXP(-betaChina*tblData[Days'# China])),"")</f>
        <v>80951.685279472891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562.42859757687279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6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Y87"/>
      <c r="BZ87"/>
      <c r="CJ87" s="26"/>
      <c r="CK87" s="26"/>
    </row>
    <row r="88" spans="2:173" x14ac:dyDescent="0.25">
      <c r="B88" s="27">
        <f t="shared" si="12"/>
        <v>43977</v>
      </c>
      <c r="D88" s="26"/>
      <c r="L88" s="12" t="str">
        <f>IF(ISNUMBER(tblData[[#This Row],[NSW]]),tblData[[#This Row],[New South Wales]]/$L$9,"")</f>
        <v/>
      </c>
      <c r="M88" s="26"/>
      <c r="N88" s="49" t="str">
        <f>IF(ISNUMBER(tblData[Italy]),tblData[Italy]/$N$9,"")</f>
        <v/>
      </c>
      <c r="O88" s="26"/>
      <c r="P88" s="49" t="str">
        <f>IF(ISNUMBER(tblData[US]),tblData[US]/$P$9,"")</f>
        <v/>
      </c>
      <c r="Q88" s="49"/>
      <c r="R88" s="19" t="str">
        <f>IF(ISNUMBER(tblData[SKorea]),tblData[SKorea]/$R$9,"")</f>
        <v/>
      </c>
      <c r="S88" s="49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7"/>
        <v>107</v>
      </c>
      <c r="Y88" s="26">
        <f t="shared" si="11"/>
        <v>77</v>
      </c>
      <c r="Z88" s="26">
        <f>IF(tblData[[#This Row],[Date]]&lt;StartDt2Korea,"",tblData[[#This Row],[Date]]-StartDt2Korea)</f>
        <v>97</v>
      </c>
      <c r="AA88" s="26">
        <f>IF(tblData[[#This Row],[Date]]&lt;UKStart,"",tblData[[#This Row],[Date]]-UKStart)</f>
        <v>117</v>
      </c>
      <c r="AB88">
        <f>IF(tblData[Date]&gt;=StartDt2Au,tblData[Date]-StartDt2Au,"")</f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IF(ISNUMBER(tblData[Au]),tblData[Au]/$AA$9,"")</f>
        <v/>
      </c>
      <c r="AE88" s="44">
        <f>IF(ISNUMBER(tblData[[#This Row],[Day'# Aust]]),betaAu/(deltaAu+betaPodeltaAu*EXP(-betaAu*tblData[[#This Row],[Day'# Aust]])),"")</f>
        <v>168917417.15903404</v>
      </c>
      <c r="AF88" s="73">
        <f>IF(ISNUMBER(tblData[Day'# Aust]),tblData[Au LogiP(t)]/$AD$9,"")</f>
        <v>66597310.029582888</v>
      </c>
      <c r="AG88" s="11" t="str">
        <f>IF(AND(tblData[Date]&gt;=StartDt2Au,ISNUMBER(tblData[NSW])),(tblData[[#This Row],[Au LogiP(t)]]-tblData[[#This Row],[Au]])^2,"")</f>
        <v/>
      </c>
      <c r="AH88">
        <f>IF(tblData[Date]&gt;StartDt2NSW,tblData[Date]-StartDt2NSW,"")</f>
        <v>122</v>
      </c>
      <c r="AI88" t="str">
        <f t="shared" si="9"/>
        <v/>
      </c>
      <c r="AJ88" s="11">
        <f>IF(tblData[Date]&gt;StartDt2NSW,betaNSW/(deltaNSW+betaPodeltaNSW*EXP(-betaNSW*tblData[[#This Row],[Day '# NSW]])),"")</f>
        <v>2724.696550973732</v>
      </c>
      <c r="AK88" s="12" t="str">
        <f>IF(AND(ISNUMBER(tblData[NSW]),tblData[Date]&gt;StartDt2NSW),(tblData[[#This Row],[NSW LogiP(t)]]-tblData[[#This Row],[NSW]])^2,"")</f>
        <v/>
      </c>
      <c r="AL88" s="44">
        <f>IF(AND(tblData[Date]&gt;StartDt2NSW,ISNUMBER(tblData[Day'# Aust])),tblData[NSW LogiP(t)]/$AG$9,"")</f>
        <v>3372.1491967496681</v>
      </c>
      <c r="AM88" s="11">
        <f>IF(AND(tblData[Date]&gt;StartDt2Italy,ISNUMBER(tblData[Days'# Italy])),betaItaly/(deltaItaly+betaPodeltaItaly*EXP(-betaItaly*tblData[Days'# Italy])),"")</f>
        <v>60634.520170178082</v>
      </c>
      <c r="AN88" s="11" t="str">
        <f>IF(AND(tblData[Date]&gt;StartDt2Italy,ISNUMBER(tblData[Italy])),(tblData[[#This Row],[Italy LogiP(t)]]-tblData[[#This Row],[Italy]])^2,"")</f>
        <v/>
      </c>
      <c r="AO88" s="44">
        <f>IF(AND(tblData[Date]&gt;StartDt2Italy,ISNUMBER(tblData[Days'# Italy])),tblData[[#This Row],[Italy LogiP(t)]]/$AM$9,"")</f>
        <v>10030.524428482726</v>
      </c>
      <c r="AP88" s="21">
        <f>IF(ISNUMBER(tblData[[#This Row],[Days'# US]]),betaUS/(deltaUS+betaPodeltaUS*EXP(-betaUS*tblData[Days'# US])),"")</f>
        <v>384575.00132515089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11681.123659764415</v>
      </c>
      <c r="AS88" s="21">
        <f>IF(tblData[Date]&gt;=StartDt2Korea,betaSKorea/(deltaSKorea+betaPodeltaSKorea*EXP(-betaSKorea*(tblData[Date]-StartDt2Korea))),"")</f>
        <v>8378.0382923242141</v>
      </c>
      <c r="AT88" s="21" t="str">
        <f>IF(AND(tblData[Date]&gt;=StartDt2Korea,ISNUMBER(tblData[SKorea])),(tblData[[#This Row],[SKorea LogiP(t)]]-tblData[[#This Row],[SKorea]])^2,"")</f>
        <v/>
      </c>
      <c r="AU88" s="21">
        <f>IF(tblData[Date]&gt;=StartDt2Korea,tblData[[#This Row],[SKorea LogiP(t)]]/$AS$9,"")</f>
        <v>1629.9685393626876</v>
      </c>
      <c r="AV88" s="85">
        <f>IF(ISNUMBER(tblData[Days'# UK]),betaUK/(deltaUK+betaPodeltaUK*EXP(-betaUK*tblData[Days'# UK])),"")</f>
        <v>233563364.66228655</v>
      </c>
      <c r="AW88" s="85" t="str">
        <f>IF(ISNUMBER(tblData[UK]),(tblData[[#This Row],[UK LogiP(t)]]-tblData[[#This Row],[UK]])^2,"")</f>
        <v/>
      </c>
      <c r="AX88" s="85">
        <f>IF(ISNUMBER(tblData[Days'# UK]),tblData[[#This Row],[UK LogiP(t)]]/$AV$9,"")</f>
        <v>35154028.395889007</v>
      </c>
      <c r="AY88" s="11">
        <f>IF(ISNUMBER(tblData[Days'# China]),betaChina/(deltaChina+betaPodeltaChina*EXP(-betaChina*tblData[Days'# China])),"")</f>
        <v>80951.724042461021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562.4288668907601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6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Y88"/>
      <c r="BZ88"/>
      <c r="CJ88" s="26"/>
      <c r="CK88" s="26"/>
      <c r="DE88" s="26"/>
      <c r="DI88" s="26"/>
      <c r="DJ88" s="26"/>
      <c r="DK88" s="26"/>
      <c r="DL88" s="26"/>
      <c r="DM88" s="26"/>
      <c r="DN88" s="26"/>
      <c r="DO88" s="26"/>
      <c r="DP88" s="26"/>
      <c r="DQ88" s="26"/>
      <c r="DS88" s="26"/>
      <c r="DT88" s="26"/>
      <c r="DU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</row>
    <row r="89" spans="2:173" x14ac:dyDescent="0.25">
      <c r="B89" s="27">
        <f t="shared" si="12"/>
        <v>43984</v>
      </c>
      <c r="D89" s="26"/>
      <c r="L89" s="12" t="str">
        <f>IF(ISNUMBER(tblData[[#This Row],[NSW]]),tblData[[#This Row],[New South Wales]]/$L$9,"")</f>
        <v/>
      </c>
      <c r="M89" s="26"/>
      <c r="N89" s="49" t="str">
        <f>IF(ISNUMBER(tblData[Italy]),tblData[Italy]/$N$9,"")</f>
        <v/>
      </c>
      <c r="O89" s="26"/>
      <c r="P89" s="49" t="str">
        <f>IF(ISNUMBER(tblData[US]),tblData[US]/$P$9,"")</f>
        <v/>
      </c>
      <c r="Q89" s="49"/>
      <c r="R89" s="19" t="str">
        <f>IF(ISNUMBER(tblData[SKorea]),tblData[SKorea]/$R$9,"")</f>
        <v/>
      </c>
      <c r="S89" s="49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7"/>
        <v>114</v>
      </c>
      <c r="Y89" s="26">
        <f t="shared" si="11"/>
        <v>78</v>
      </c>
      <c r="Z89" s="26">
        <f>IF(tblData[[#This Row],[Date]]&lt;StartDt2Korea,"",tblData[[#This Row],[Date]]-StartDt2Korea)</f>
        <v>104</v>
      </c>
      <c r="AA89" s="26">
        <f>IF(tblData[[#This Row],[Date]]&lt;UKStart,"",tblData[[#This Row],[Date]]-UKStart)</f>
        <v>124</v>
      </c>
      <c r="AB89">
        <f>IF(tblData[Date]&gt;=StartDt2Au,tblData[Date]-StartDt2Au,"")</f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IF(ISNUMBER(tblData[Au]),tblData[Au]/$AA$9,"")</f>
        <v/>
      </c>
      <c r="AE89" s="44">
        <f>IF(ISNUMBER(tblData[[#This Row],[Day'# Aust]]),betaAu/(deltaAu+betaPodeltaAu*EXP(-betaAu*tblData[[#This Row],[Day'# Aust]])),"")</f>
        <v>196594244.11735263</v>
      </c>
      <c r="AF89" s="73">
        <f>IF(ISNUMBER(tblData[Day'# Aust]),tblData[Au LogiP(t)]/$AD$9,"")</f>
        <v>77509164.215956718</v>
      </c>
      <c r="AG89" s="11" t="str">
        <f>IF(AND(tblData[Date]&gt;=StartDt2Au,ISNUMBER(tblData[NSW])),(tblData[[#This Row],[Au LogiP(t)]]-tblData[[#This Row],[Au]])^2,"")</f>
        <v/>
      </c>
      <c r="AH89">
        <f>IF(tblData[Date]&gt;StartDt2NSW,tblData[Date]-StartDt2NSW,"")</f>
        <v>129</v>
      </c>
      <c r="AI89" t="str">
        <f t="shared" si="9"/>
        <v/>
      </c>
      <c r="AJ89" s="11">
        <f>IF(tblData[Date]&gt;StartDt2NSW,betaNSW/(deltaNSW+betaPodeltaNSW*EXP(-betaNSW*tblData[[#This Row],[Day '# NSW]])),"")</f>
        <v>2724.7073358691987</v>
      </c>
      <c r="AK89" s="12" t="str">
        <f>IF(AND(ISNUMBER(tblData[NSW]),tblData[Date]&gt;StartDt2NSW),(tblData[[#This Row],[NSW LogiP(t)]]-tblData[[#This Row],[NSW]])^2,"")</f>
        <v/>
      </c>
      <c r="AL89" s="44">
        <f>IF(AND(tblData[Date]&gt;StartDt2NSW,ISNUMBER(tblData[Day'# Aust])),tblData[NSW LogiP(t)]/$AG$9,"")</f>
        <v>3372.1625443925723</v>
      </c>
      <c r="AM89" s="11">
        <f>IF(AND(tblData[Date]&gt;StartDt2Italy,ISNUMBER(tblData[Days'# Italy])),betaItaly/(deltaItaly+betaPodeltaItaly*EXP(-betaItaly*tblData[Days'# Italy])),"")</f>
        <v>60634.520625132762</v>
      </c>
      <c r="AN89" s="11" t="str">
        <f>IF(AND(tblData[Date]&gt;StartDt2Italy,ISNUMBER(tblData[Italy])),(tblData[[#This Row],[Italy LogiP(t)]]-tblData[[#This Row],[Italy]])^2,"")</f>
        <v/>
      </c>
      <c r="AO89" s="44">
        <f>IF(AND(tblData[Date]&gt;StartDt2Italy,ISNUMBER(tblData[Days'# Italy])),tblData[[#This Row],[Italy LogiP(t)]]/$AM$9,"")</f>
        <v>10030.524503744047</v>
      </c>
      <c r="AP89" s="21">
        <f>IF(ISNUMBER(tblData[[#This Row],[Days'# US]]),betaUS/(deltaUS+betaPodeltaUS*EXP(-betaUS*tblData[Days'# US])),"")</f>
        <v>384575.00187453855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11681.123676451576</v>
      </c>
      <c r="AS89" s="21">
        <f>IF(tblData[Date]&gt;=StartDt2Korea,betaSKorea/(deltaSKorea+betaPodeltaSKorea*EXP(-betaSKorea*(tblData[Date]-StartDt2Korea))),"")</f>
        <v>8378.0382923347897</v>
      </c>
      <c r="AT89" s="21" t="str">
        <f>IF(AND(tblData[Date]&gt;=StartDt2Korea,ISNUMBER(tblData[SKorea])),(tblData[[#This Row],[SKorea LogiP(t)]]-tblData[[#This Row],[SKorea]])^2,"")</f>
        <v/>
      </c>
      <c r="AU89" s="21">
        <f>IF(tblData[Date]&gt;=StartDt2Korea,tblData[[#This Row],[SKorea LogiP(t)]]/$AS$9,"")</f>
        <v>1629.9685393647451</v>
      </c>
      <c r="AV89" s="85">
        <f>IF(ISNUMBER(tblData[Days'# UK]),betaUK/(deltaUK+betaPodeltaUK*EXP(-betaUK*tblData[Days'# UK])),"")</f>
        <v>235143541.70241243</v>
      </c>
      <c r="AW89" s="85" t="str">
        <f>IF(ISNUMBER(tblData[UK]),(tblData[[#This Row],[UK LogiP(t)]]-tblData[[#This Row],[UK]])^2,"")</f>
        <v/>
      </c>
      <c r="AX89" s="85">
        <f>IF(ISNUMBER(tblData[Days'# UK]),tblData[[#This Row],[UK LogiP(t)]]/$AV$9,"")</f>
        <v>35391863.591573209</v>
      </c>
      <c r="AY89" s="11">
        <f>IF(ISNUMBER(tblData[Days'# China]),betaChina/(deltaChina+betaPodeltaChina*EXP(-betaChina*tblData[Days'# China])),"")</f>
        <v>80951.755083921365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562.4290825577342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6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Y89"/>
      <c r="BZ89"/>
      <c r="CJ89" s="26"/>
      <c r="CK89" s="26"/>
      <c r="DE89" s="26"/>
      <c r="DI89" s="26"/>
      <c r="DJ89" s="26"/>
      <c r="DK89" s="26"/>
      <c r="DL89" s="26"/>
      <c r="DM89" s="26"/>
      <c r="DN89" s="26"/>
      <c r="DO89" s="26"/>
      <c r="DP89" s="26"/>
      <c r="DQ89" s="26"/>
      <c r="DS89" s="26"/>
      <c r="DT89" s="26"/>
      <c r="DU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</row>
    <row r="90" spans="2:173" x14ac:dyDescent="0.25">
      <c r="B90" s="27">
        <f t="shared" si="12"/>
        <v>43991</v>
      </c>
      <c r="D90" s="26"/>
      <c r="L90" s="12" t="str">
        <f>IF(ISNUMBER(tblData[[#This Row],[NSW]]),tblData[[#This Row],[New South Wales]]/$L$9,"")</f>
        <v/>
      </c>
      <c r="M90" s="26"/>
      <c r="N90" s="49" t="str">
        <f>IF(ISNUMBER(tblData[Italy]),tblData[Italy]/$N$9,"")</f>
        <v/>
      </c>
      <c r="O90" s="26"/>
      <c r="P90" s="49" t="str">
        <f>IF(ISNUMBER(tblData[US]),tblData[US]/$P$9,"")</f>
        <v/>
      </c>
      <c r="Q90" s="49"/>
      <c r="R90" s="19" t="str">
        <f>IF(ISNUMBER(tblData[SKorea]),tblData[SKorea]/$R$9,"")</f>
        <v/>
      </c>
      <c r="S90" s="49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7"/>
        <v>121</v>
      </c>
      <c r="Y90" s="26">
        <f t="shared" si="11"/>
        <v>79</v>
      </c>
      <c r="Z90" s="26">
        <f>IF(tblData[[#This Row],[Date]]&lt;StartDt2Korea,"",tblData[[#This Row],[Date]]-StartDt2Korea)</f>
        <v>111</v>
      </c>
      <c r="AA90" s="26">
        <f>IF(tblData[[#This Row],[Date]]&lt;UKStart,"",tblData[[#This Row],[Date]]-UKStart)</f>
        <v>131</v>
      </c>
      <c r="AB90">
        <f>IF(tblData[Date]&gt;=StartDt2Au,tblData[Date]-StartDt2Au,"")</f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IF(ISNUMBER(tblData[Au]),tblData[Au]/$AA$9,"")</f>
        <v/>
      </c>
      <c r="AE90" s="44">
        <f>IF(ISNUMBER(tblData[[#This Row],[Day'# Aust]]),betaAu/(deltaAu+betaPodeltaAu*EXP(-betaAu*tblData[[#This Row],[Day'# Aust]])),"")</f>
        <v>204460224.42115051</v>
      </c>
      <c r="AF90" s="73">
        <f>IF(ISNUMBER(tblData[Day'# Aust]),tblData[Au LogiP(t)]/$AD$9,"")</f>
        <v>80610402.310814738</v>
      </c>
      <c r="AG90" s="11" t="str">
        <f>IF(AND(tblData[Date]&gt;=StartDt2Au,ISNUMBER(tblData[NSW])),(tblData[[#This Row],[Au LogiP(t)]]-tblData[[#This Row],[Au]])^2,"")</f>
        <v/>
      </c>
      <c r="AH90">
        <f>IF(tblData[Date]&gt;StartDt2NSW,tblData[Date]-StartDt2NSW,"")</f>
        <v>136</v>
      </c>
      <c r="AI90" t="str">
        <f t="shared" si="9"/>
        <v/>
      </c>
      <c r="AJ90" s="11">
        <f>IF(tblData[Date]&gt;StartDt2NSW,betaNSW/(deltaNSW+betaPodeltaNSW*EXP(-betaNSW*tblData[[#This Row],[Day '# NSW]])),"")</f>
        <v>2724.7098276790944</v>
      </c>
      <c r="AK90" s="12" t="str">
        <f>IF(AND(ISNUMBER(tblData[NSW]),tblData[Date]&gt;StartDt2NSW),(tblData[[#This Row],[NSW LogiP(t)]]-tblData[[#This Row],[NSW]])^2,"")</f>
        <v/>
      </c>
      <c r="AL90" s="44">
        <f>IF(AND(tblData[Date]&gt;StartDt2NSW,ISNUMBER(tblData[Day'# Aust])),tblData[NSW LogiP(t)]/$AG$9,"")</f>
        <v>3372.1656283157108</v>
      </c>
      <c r="AM90" s="11">
        <f>IF(AND(tblData[Date]&gt;StartDt2Italy,ISNUMBER(tblData[Days'# Italy])),betaItaly/(deltaItaly+betaPodeltaItaly*EXP(-betaItaly*tblData[Days'# Italy])),"")</f>
        <v>60634.520699116489</v>
      </c>
      <c r="AN90" s="11" t="str">
        <f>IF(AND(tblData[Date]&gt;StartDt2Italy,ISNUMBER(tblData[Italy])),(tblData[[#This Row],[Italy LogiP(t)]]-tblData[[#This Row],[Italy]])^2,"")</f>
        <v/>
      </c>
      <c r="AO90" s="44">
        <f>IF(AND(tblData[Date]&gt;StartDt2Italy,ISNUMBER(tblData[Days'# Italy])),tblData[[#This Row],[Italy LogiP(t)]]/$AM$9,"")</f>
        <v>10030.524515982877</v>
      </c>
      <c r="AP90" s="21">
        <f>IF(ISNUMBER(tblData[[#This Row],[Days'# US]]),betaUS/(deltaUS+betaPodeltaUS*EXP(-betaUS*tblData[Days'# US])),"")</f>
        <v>384575.00192271819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11681.123677914991</v>
      </c>
      <c r="AS90" s="21">
        <f>IF(tblData[Date]&gt;=StartDt2Korea,betaSKorea/(deltaSKorea+betaPodeltaSKorea*EXP(-betaSKorea*(tblData[Date]-StartDt2Korea))),"")</f>
        <v>8378.038292335912</v>
      </c>
      <c r="AT90" s="21" t="str">
        <f>IF(AND(tblData[Date]&gt;=StartDt2Korea,ISNUMBER(tblData[SKorea])),(tblData[[#This Row],[SKorea LogiP(t)]]-tblData[[#This Row],[SKorea]])^2,"")</f>
        <v/>
      </c>
      <c r="AU90" s="21">
        <f>IF(tblData[Date]&gt;=StartDt2Korea,tblData[[#This Row],[SKorea LogiP(t)]]/$AS$9,"")</f>
        <v>1629.9685393649636</v>
      </c>
      <c r="AV90" s="85">
        <f>IF(ISNUMBER(tblData[Days'# UK]),betaUK/(deltaUK+betaPodeltaUK*EXP(-betaUK*tblData[Days'# UK])),"")</f>
        <v>235449875.79138282</v>
      </c>
      <c r="AW90" s="85" t="str">
        <f>IF(ISNUMBER(tblData[UK]),(tblData[[#This Row],[UK LogiP(t)]]-tblData[[#This Row],[UK]])^2,"")</f>
        <v/>
      </c>
      <c r="AX90" s="85">
        <f>IF(ISNUMBER(tblData[Days'# UK]),tblData[[#This Row],[UK LogiP(t)]]/$AV$9,"")</f>
        <v>35437970.468299642</v>
      </c>
      <c r="AY90" s="11">
        <f>IF(ISNUMBER(tblData[Days'# China]),betaChina/(deltaChina+betaPodeltaChina*EXP(-betaChina*tblData[Days'# China])),"")</f>
        <v>80951.779941966161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562.4292552641482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6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Y90"/>
      <c r="BZ90"/>
      <c r="CJ90" s="26"/>
      <c r="CK90" s="26"/>
      <c r="DE90" s="26"/>
      <c r="DI90" s="26"/>
      <c r="DJ90" s="26"/>
      <c r="DK90" s="26"/>
      <c r="DL90" s="26"/>
      <c r="DM90" s="26"/>
      <c r="DN90" s="26"/>
      <c r="DO90" s="26"/>
      <c r="DP90" s="26"/>
      <c r="DQ90" s="26"/>
      <c r="DS90" s="26"/>
      <c r="DT90" s="26"/>
      <c r="DU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</row>
    <row r="91" spans="2:173" x14ac:dyDescent="0.25">
      <c r="B91" s="27">
        <f t="shared" si="12"/>
        <v>43998</v>
      </c>
      <c r="D91" s="26"/>
      <c r="L91" s="12" t="str">
        <f>IF(ISNUMBER(tblData[[#This Row],[NSW]]),tblData[[#This Row],[New South Wales]]/$L$9,"")</f>
        <v/>
      </c>
      <c r="M91" s="26"/>
      <c r="N91" s="49" t="str">
        <f>IF(ISNUMBER(tblData[Italy]),tblData[Italy]/$N$9,"")</f>
        <v/>
      </c>
      <c r="O91" s="26"/>
      <c r="P91" s="49" t="str">
        <f>IF(ISNUMBER(tblData[US]),tblData[US]/$P$9,"")</f>
        <v/>
      </c>
      <c r="Q91" s="49"/>
      <c r="R91" s="19" t="str">
        <f>IF(ISNUMBER(tblData[SKorea]),tblData[SKorea]/$R$9,"")</f>
        <v/>
      </c>
      <c r="S91" s="49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7"/>
        <v>128</v>
      </c>
      <c r="Y91" s="26">
        <f t="shared" si="11"/>
        <v>80</v>
      </c>
      <c r="Z91" s="26">
        <f>IF(tblData[[#This Row],[Date]]&lt;StartDt2Korea,"",tblData[[#This Row],[Date]]-StartDt2Korea)</f>
        <v>118</v>
      </c>
      <c r="AA91" s="26">
        <f>IF(tblData[[#This Row],[Date]]&lt;UKStart,"",tblData[[#This Row],[Date]]-UKStart)</f>
        <v>138</v>
      </c>
      <c r="AB91">
        <f>IF(tblData[Date]&gt;=StartDt2Au,tblData[Date]-StartDt2Au,"")</f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IF(ISNUMBER(tblData[Au]),tblData[Au]/$AA$9,"")</f>
        <v/>
      </c>
      <c r="AE91" s="44">
        <f>IF(ISNUMBER(tblData[[#This Row],[Day'# Aust]]),betaAu/(deltaAu+betaPodeltaAu*EXP(-betaAu*tblData[[#This Row],[Day'# Aust]])),"")</f>
        <v>206399289.60938412</v>
      </c>
      <c r="AF91" s="73">
        <f>IF(ISNUMBER(tblData[Day'# Aust]),tblData[Au LogiP(t)]/$AD$9,"")</f>
        <v>81374897.338505015</v>
      </c>
      <c r="AG91" s="11" t="str">
        <f>IF(AND(tblData[Date]&gt;=StartDt2Au,ISNUMBER(tblData[NSW])),(tblData[[#This Row],[Au LogiP(t)]]-tblData[[#This Row],[Au]])^2,"")</f>
        <v/>
      </c>
      <c r="AH91">
        <f>IF(tblData[Date]&gt;StartDt2NSW,tblData[Date]-StartDt2NSW,"")</f>
        <v>143</v>
      </c>
      <c r="AI91" t="str">
        <f t="shared" si="9"/>
        <v/>
      </c>
      <c r="AJ91" s="11">
        <f>IF(tblData[Date]&gt;StartDt2NSW,betaNSW/(deltaNSW+betaPodeltaNSW*EXP(-betaNSW*tblData[[#This Row],[Day '# NSW]])),"")</f>
        <v>2724.7104034003246</v>
      </c>
      <c r="AK91" s="12" t="str">
        <f>IF(AND(ISNUMBER(tblData[NSW]),tblData[Date]&gt;StartDt2NSW),(tblData[[#This Row],[NSW LogiP(t)]]-tblData[[#This Row],[NSW]])^2,"")</f>
        <v/>
      </c>
      <c r="AL91" s="44">
        <f>IF(AND(tblData[Date]&gt;StartDt2NSW,ISNUMBER(tblData[Day'# Aust])),tblData[NSW LogiP(t)]/$AG$9,"")</f>
        <v>3372.1663408419859</v>
      </c>
      <c r="AM91" s="11">
        <f>IF(AND(tblData[Date]&gt;StartDt2Italy,ISNUMBER(tblData[Days'# Italy])),betaItaly/(deltaItaly+betaPodeltaItaly*EXP(-betaItaly*tblData[Days'# Italy])),"")</f>
        <v>60634.520711147561</v>
      </c>
      <c r="AN91" s="11" t="str">
        <f>IF(AND(tblData[Date]&gt;StartDt2Italy,ISNUMBER(tblData[Italy])),(tblData[[#This Row],[Italy LogiP(t)]]-tblData[[#This Row],[Italy]])^2,"")</f>
        <v/>
      </c>
      <c r="AO91" s="44">
        <f>IF(AND(tblData[Date]&gt;StartDt2Italy,ISNUMBER(tblData[Days'# Italy])),tblData[[#This Row],[Italy LogiP(t)]]/$AM$9,"")</f>
        <v>10030.524517973128</v>
      </c>
      <c r="AP91" s="21">
        <f>IF(ISNUMBER(tblData[[#This Row],[Days'# US]]),betaUS/(deltaUS+betaPodeltaUS*EXP(-betaUS*tblData[Days'# US])),"")</f>
        <v>384575.00192694343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11681.123678043328</v>
      </c>
      <c r="AS91" s="21">
        <f>IF(tblData[Date]&gt;=StartDt2Korea,betaSKorea/(deltaSKorea+betaPodeltaSKorea*EXP(-betaSKorea*(tblData[Date]-StartDt2Korea))),"")</f>
        <v>8378.0382923360303</v>
      </c>
      <c r="AT91" s="21" t="str">
        <f>IF(AND(tblData[Date]&gt;=StartDt2Korea,ISNUMBER(tblData[SKorea])),(tblData[[#This Row],[SKorea LogiP(t)]]-tblData[[#This Row],[SKorea]])^2,"")</f>
        <v/>
      </c>
      <c r="AU91" s="21">
        <f>IF(tblData[Date]&gt;=StartDt2Korea,tblData[[#This Row],[SKorea LogiP(t)]]/$AS$9,"")</f>
        <v>1629.9685393649866</v>
      </c>
      <c r="AV91" s="85">
        <f>IF(ISNUMBER(tblData[Days'# UK]),betaUK/(deltaUK+betaPodeltaUK*EXP(-betaUK*tblData[Days'# UK])),"")</f>
        <v>235508877.6093635</v>
      </c>
      <c r="AW91" s="85" t="str">
        <f>IF(ISNUMBER(tblData[UK]),(tblData[[#This Row],[UK LogiP(t)]]-tblData[[#This Row],[UK]])^2,"")</f>
        <v/>
      </c>
      <c r="AX91" s="85">
        <f>IF(ISNUMBER(tblData[Days'# UK]),tblData[[#This Row],[UK LogiP(t)]]/$AV$9,"")</f>
        <v>35446850.934582099</v>
      </c>
      <c r="AY91" s="11">
        <f>IF(ISNUMBER(tblData[Days'# China]),betaChina/(deltaChina+betaPodeltaChina*EXP(-betaChina*tblData[Days'# China])),"")</f>
        <v>80951.799848320414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562.42939356766669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6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Y91"/>
      <c r="BZ91"/>
      <c r="CJ91" s="26"/>
      <c r="CK91" s="26"/>
      <c r="DE91" s="26"/>
      <c r="DI91" s="26"/>
      <c r="DJ91" s="26"/>
      <c r="DK91" s="26"/>
      <c r="DL91" s="26"/>
      <c r="DM91" s="26"/>
      <c r="DN91" s="26"/>
      <c r="DO91" s="26"/>
      <c r="DP91" s="26"/>
      <c r="DQ91" s="26"/>
      <c r="DS91" s="26"/>
      <c r="DT91" s="26"/>
      <c r="DU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</row>
    <row r="92" spans="2:173" x14ac:dyDescent="0.25">
      <c r="B92" s="27">
        <f t="shared" si="12"/>
        <v>44005</v>
      </c>
      <c r="D92" s="26"/>
      <c r="L92" s="12" t="str">
        <f>IF(ISNUMBER(tblData[[#This Row],[NSW]]),tblData[[#This Row],[New South Wales]]/$L$9,"")</f>
        <v/>
      </c>
      <c r="M92" s="26"/>
      <c r="N92" s="49" t="str">
        <f>IF(ISNUMBER(tblData[Italy]),tblData[Italy]/$N$9,"")</f>
        <v/>
      </c>
      <c r="O92" s="26"/>
      <c r="P92" s="49" t="str">
        <f>IF(ISNUMBER(tblData[US]),tblData[US]/$P$9,"")</f>
        <v/>
      </c>
      <c r="Q92" s="49"/>
      <c r="R92" s="19" t="str">
        <f>IF(ISNUMBER(tblData[SKorea]),tblData[SKorea]/$R$9,"")</f>
        <v/>
      </c>
      <c r="S92" s="49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7"/>
        <v>135</v>
      </c>
      <c r="Y92" s="26">
        <f t="shared" si="11"/>
        <v>81</v>
      </c>
      <c r="Z92" s="26">
        <f>IF(tblData[[#This Row],[Date]]&lt;StartDt2Korea,"",tblData[[#This Row],[Date]]-StartDt2Korea)</f>
        <v>125</v>
      </c>
      <c r="AA92" s="26">
        <f>IF(tblData[[#This Row],[Date]]&lt;UKStart,"",tblData[[#This Row],[Date]]-UKStart)</f>
        <v>145</v>
      </c>
      <c r="AB92">
        <f>IF(tblData[Date]&gt;=StartDt2Au,tblData[Date]-StartDt2Au,"")</f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IF(ISNUMBER(tblData[Au]),tblData[Au]/$AA$9,"")</f>
        <v/>
      </c>
      <c r="AE92" s="44">
        <f>IF(ISNUMBER(tblData[[#This Row],[Day'# Aust]]),betaAu/(deltaAu+betaPodeltaAu*EXP(-betaAu*tblData[[#This Row],[Day'# Aust]])),"")</f>
        <v>206859930.09486431</v>
      </c>
      <c r="AF92" s="73">
        <f>IF(ISNUMBER(tblData[Day'# Aust]),tblData[Au LogiP(t)]/$AD$9,"")</f>
        <v>81556509.263075352</v>
      </c>
      <c r="AG92" s="11" t="str">
        <f>IF(AND(tblData[Date]&gt;=StartDt2Au,ISNUMBER(tblData[NSW])),(tblData[[#This Row],[Au LogiP(t)]]-tblData[[#This Row],[Au]])^2,"")</f>
        <v/>
      </c>
      <c r="AH92">
        <f>IF(tblData[Date]&gt;StartDt2NSW,tblData[Date]-StartDt2NSW,"")</f>
        <v>150</v>
      </c>
      <c r="AI92" t="str">
        <f t="shared" si="9"/>
        <v/>
      </c>
      <c r="AJ92" s="11">
        <f>IF(tblData[Date]&gt;StartDt2NSW,betaNSW/(deltaNSW+betaPodeltaNSW*EXP(-betaNSW*tblData[[#This Row],[Day '# NSW]])),"")</f>
        <v>2724.7105364179552</v>
      </c>
      <c r="AK92" s="12" t="str">
        <f>IF(AND(ISNUMBER(tblData[NSW]),tblData[Date]&gt;StartDt2NSW),(tblData[[#This Row],[NSW LogiP(t)]]-tblData[[#This Row],[NSW]])^2,"")</f>
        <v/>
      </c>
      <c r="AL92" s="44">
        <f>IF(AND(tblData[Date]&gt;StartDt2NSW,ISNUMBER(tblData[Day'# Aust])),tblData[NSW LogiP(t)]/$AG$9,"")</f>
        <v>3372.166505467766</v>
      </c>
      <c r="AM92" s="11">
        <f>IF(AND(tblData[Date]&gt;StartDt2Italy,ISNUMBER(tblData[Days'# Italy])),betaItaly/(deltaItaly+betaPodeltaItaly*EXP(-betaItaly*tblData[Days'# Italy])),"")</f>
        <v>60634.520713104022</v>
      </c>
      <c r="AN92" s="11" t="str">
        <f>IF(AND(tblData[Date]&gt;StartDt2Italy,ISNUMBER(tblData[Italy])),(tblData[[#This Row],[Italy LogiP(t)]]-tblData[[#This Row],[Italy]])^2,"")</f>
        <v/>
      </c>
      <c r="AO92" s="44">
        <f>IF(AND(tblData[Date]&gt;StartDt2Italy,ISNUMBER(tblData[Days'# Italy])),tblData[[#This Row],[Italy LogiP(t)]]/$AM$9,"")</f>
        <v>10030.524518296777</v>
      </c>
      <c r="AP92" s="21">
        <f>IF(ISNUMBER(tblData[[#This Row],[Days'# US]]),betaUS/(deltaUS+betaPodeltaUS*EXP(-betaUS*tblData[Days'# US])),"")</f>
        <v>384575.00192731392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11681.123678054582</v>
      </c>
      <c r="AS92" s="21">
        <f>IF(tblData[Date]&gt;=StartDt2Korea,betaSKorea/(deltaSKorea+betaPodeltaSKorea*EXP(-betaSKorea*(tblData[Date]-StartDt2Korea))),"")</f>
        <v>8378.0382923360448</v>
      </c>
      <c r="AT92" s="21" t="str">
        <f>IF(AND(tblData[Date]&gt;=StartDt2Korea,ISNUMBER(tblData[SKorea])),(tblData[[#This Row],[SKorea LogiP(t)]]-tblData[[#This Row],[SKorea]])^2,"")</f>
        <v/>
      </c>
      <c r="AU92" s="21">
        <f>IF(tblData[Date]&gt;=StartDt2Korea,tblData[[#This Row],[SKorea LogiP(t)]]/$AS$9,"")</f>
        <v>1629.9685393649893</v>
      </c>
      <c r="AV92" s="85">
        <f>IF(ISNUMBER(tblData[Days'# UK]),betaUK/(deltaUK+betaPodeltaUK*EXP(-betaUK*tblData[Days'# UK])),"")</f>
        <v>235520227.48173442</v>
      </c>
      <c r="AW92" s="85" t="str">
        <f>IF(ISNUMBER(tblData[UK]),(tblData[[#This Row],[UK LogiP(t)]]-tblData[[#This Row],[UK]])^2,"")</f>
        <v/>
      </c>
      <c r="AX92" s="85">
        <f>IF(ISNUMBER(tblData[Days'# UK]),tblData[[#This Row],[UK LogiP(t)]]/$AV$9,"")</f>
        <v>35448559.223620474</v>
      </c>
      <c r="AY92" s="11">
        <f>IF(ISNUMBER(tblData[Days'# China]),betaChina/(deltaChina+betaPodeltaChina*EXP(-betaChina*tblData[Days'# China])),"")</f>
        <v>80951.815789352724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562.42950432128987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6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Y92"/>
      <c r="BZ92"/>
      <c r="CJ92" s="26"/>
      <c r="CK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</row>
    <row r="93" spans="2:173" x14ac:dyDescent="0.25">
      <c r="B93" s="27">
        <f t="shared" si="12"/>
        <v>44012</v>
      </c>
      <c r="D93" s="26"/>
      <c r="L93" s="12" t="str">
        <f>IF(ISNUMBER(tblData[[#This Row],[NSW]]),tblData[[#This Row],[New South Wales]]/$L$9,"")</f>
        <v/>
      </c>
      <c r="M93" s="26"/>
      <c r="N93" s="49" t="str">
        <f>IF(ISNUMBER(tblData[Italy]),tblData[Italy]/$N$9,"")</f>
        <v/>
      </c>
      <c r="O93" s="26"/>
      <c r="P93" s="49" t="str">
        <f>IF(ISNUMBER(tblData[US]),tblData[US]/$P$9,"")</f>
        <v/>
      </c>
      <c r="Q93" s="49"/>
      <c r="R93" s="19" t="str">
        <f>IF(ISNUMBER(tblData[SKorea]),tblData[SKorea]/$R$9,"")</f>
        <v/>
      </c>
      <c r="S93" s="49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3">IF($B93&lt;BM$14+18,"",$B93-BM$14-18)</f>
        <v>142</v>
      </c>
      <c r="Y93" s="26">
        <f t="shared" si="11"/>
        <v>82</v>
      </c>
      <c r="Z93" s="26">
        <f>IF(tblData[[#This Row],[Date]]&lt;StartDt2Korea,"",tblData[[#This Row],[Date]]-StartDt2Korea)</f>
        <v>132</v>
      </c>
      <c r="AA93" s="26">
        <f>IF(tblData[[#This Row],[Date]]&lt;UKStart,"",tblData[[#This Row],[Date]]-UKStart)</f>
        <v>152</v>
      </c>
      <c r="AB93">
        <f>IF(tblData[Date]&gt;=StartDt2Au,tblData[Date]-StartDt2Au,"")</f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IF(ISNUMBER(tblData[Au]),tblData[Au]/$AA$9,"")</f>
        <v/>
      </c>
      <c r="AE93" s="44">
        <f>IF(ISNUMBER(tblData[[#This Row],[Day'# Aust]]),betaAu/(deltaAu+betaPodeltaAu*EXP(-betaAu*tblData[[#This Row],[Day'# Aust]])),"")</f>
        <v>206968387.71705574</v>
      </c>
      <c r="AF93" s="73">
        <f>IF(ISNUMBER(tblData[Day'# Aust]),tblData[Au LogiP(t)]/$AD$9,"")</f>
        <v>81599269.719703421</v>
      </c>
      <c r="AG93" s="11" t="str">
        <f>IF(AND(tblData[Date]&gt;=StartDt2Au,ISNUMBER(tblData[NSW])),(tblData[[#This Row],[Au LogiP(t)]]-tblData[[#This Row],[Au]])^2,"")</f>
        <v/>
      </c>
      <c r="AH93">
        <f>IF(tblData[Date]&gt;StartDt2NSW,tblData[Date]-StartDt2NSW,"")</f>
        <v>157</v>
      </c>
      <c r="AI93" t="str">
        <f t="shared" si="9"/>
        <v/>
      </c>
      <c r="AJ93" s="11">
        <f>IF(tblData[Date]&gt;StartDt2NSW,betaNSW/(deltaNSW+betaPodeltaNSW*EXP(-betaNSW*tblData[[#This Row],[Day '# NSW]])),"")</f>
        <v>2724.7105671510353</v>
      </c>
      <c r="AK93" s="12" t="str">
        <f>IF(AND(ISNUMBER(tblData[NSW]),tblData[Date]&gt;StartDt2NSW),(tblData[[#This Row],[NSW LogiP(t)]]-tblData[[#This Row],[NSW]])^2,"")</f>
        <v/>
      </c>
      <c r="AL93" s="44">
        <f>IF(AND(tblData[Date]&gt;StartDt2NSW,ISNUMBER(tblData[Day'# Aust])),tblData[NSW LogiP(t)]/$AG$9,"")</f>
        <v>3372.1665435037562</v>
      </c>
      <c r="AM93" s="11">
        <f>IF(AND(tblData[Date]&gt;StartDt2Italy,ISNUMBER(tblData[Days'# Italy])),betaItaly/(deltaItaly+betaPodeltaItaly*EXP(-betaItaly*tblData[Days'# Italy])),"")</f>
        <v>60634.520713422178</v>
      </c>
      <c r="AN93" s="11" t="str">
        <f>IF(AND(tblData[Date]&gt;StartDt2Italy,ISNUMBER(tblData[Italy])),(tblData[[#This Row],[Italy LogiP(t)]]-tblData[[#This Row],[Italy]])^2,"")</f>
        <v/>
      </c>
      <c r="AO93" s="44">
        <f>IF(AND(tblData[Date]&gt;StartDt2Italy,ISNUMBER(tblData[Days'# Italy])),tblData[[#This Row],[Italy LogiP(t)]]/$AM$9,"")</f>
        <v>10030.52451834941</v>
      </c>
      <c r="AP93" s="21">
        <f>IF(ISNUMBER(tblData[[#This Row],[Days'# US]]),betaUS/(deltaUS+betaPodeltaUS*EXP(-betaUS*tblData[Days'# US])),"")</f>
        <v>384575.00192734646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11681.12367805557</v>
      </c>
      <c r="AS93" s="21">
        <f>IF(tblData[Date]&gt;=StartDt2Korea,betaSKorea/(deltaSKorea+betaPodeltaSKorea*EXP(-betaSKorea*(tblData[Date]-StartDt2Korea))),"")</f>
        <v>8378.0382923360467</v>
      </c>
      <c r="AT93" s="21" t="str">
        <f>IF(AND(tblData[Date]&gt;=StartDt2Korea,ISNUMBER(tblData[SKorea])),(tblData[[#This Row],[SKorea LogiP(t)]]-tblData[[#This Row],[SKorea]])^2,"")</f>
        <v/>
      </c>
      <c r="AU93" s="21">
        <f>IF(tblData[Date]&gt;=StartDt2Korea,tblData[[#This Row],[SKorea LogiP(t)]]/$AS$9,"")</f>
        <v>1629.9685393649897</v>
      </c>
      <c r="AV93" s="85">
        <f>IF(ISNUMBER(tblData[Days'# UK]),betaUK/(deltaUK+betaPodeltaUK*EXP(-betaUK*tblData[Days'# UK])),"")</f>
        <v>235522410.27080402</v>
      </c>
      <c r="AW93" s="85" t="str">
        <f>IF(ISNUMBER(tblData[UK]),(tblData[[#This Row],[UK LogiP(t)]]-tblData[[#This Row],[UK]])^2,"")</f>
        <v/>
      </c>
      <c r="AX93" s="85">
        <f>IF(ISNUMBER(tblData[Days'# UK]),tblData[[#This Row],[UK LogiP(t)]]/$AV$9,"")</f>
        <v>35448887.759001203</v>
      </c>
      <c r="AY93" s="11">
        <f>IF(ISNUMBER(tblData[Days'# China]),betaChina/(deltaChina+betaPodeltaChina*EXP(-betaChina*tblData[Days'# China])),"")</f>
        <v>80951.828554949388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562.42959301291626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6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Y93"/>
      <c r="BZ93"/>
      <c r="CJ93" s="26"/>
      <c r="CK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</row>
    <row r="94" spans="2:173" x14ac:dyDescent="0.25">
      <c r="B94" s="27">
        <f t="shared" si="12"/>
        <v>44019</v>
      </c>
      <c r="D94" s="26"/>
      <c r="L94" s="12" t="str">
        <f>IF(ISNUMBER(tblData[[#This Row],[NSW]]),tblData[[#This Row],[New South Wales]]/$L$9,"")</f>
        <v/>
      </c>
      <c r="M94" s="26"/>
      <c r="N94" s="49" t="str">
        <f>IF(ISNUMBER(tblData[Italy]),tblData[Italy]/$N$9,"")</f>
        <v/>
      </c>
      <c r="O94" s="26"/>
      <c r="P94" s="49" t="str">
        <f>IF(ISNUMBER(tblData[US]),tblData[US]/$P$9,"")</f>
        <v/>
      </c>
      <c r="Q94" s="49"/>
      <c r="R94" s="19" t="str">
        <f>IF(ISNUMBER(tblData[SKorea]),tblData[SKorea]/$R$9,"")</f>
        <v/>
      </c>
      <c r="S94" s="49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3"/>
        <v>149</v>
      </c>
      <c r="Y94" s="26">
        <f t="shared" si="11"/>
        <v>83</v>
      </c>
      <c r="Z94" s="26">
        <f>IF(tblData[[#This Row],[Date]]&lt;StartDt2Korea,"",tblData[[#This Row],[Date]]-StartDt2Korea)</f>
        <v>139</v>
      </c>
      <c r="AA94" s="26">
        <f>IF(tblData[[#This Row],[Date]]&lt;UKStart,"",tblData[[#This Row],[Date]]-UKStart)</f>
        <v>159</v>
      </c>
      <c r="AB94">
        <f>IF(tblData[Date]&gt;=StartDt2Au,tblData[Date]-StartDt2Au,"")</f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IF(ISNUMBER(tblData[Au]),tblData[Au]/$AA$9,"")</f>
        <v/>
      </c>
      <c r="AE94" s="44">
        <f>IF(ISNUMBER(tblData[[#This Row],[Day'# Aust]]),betaAu/(deltaAu+betaPodeltaAu*EXP(-betaAu*tblData[[#This Row],[Day'# Aust]])),"")</f>
        <v>206993870.29406372</v>
      </c>
      <c r="AF94" s="73">
        <f>IF(ISNUMBER(tblData[Day'# Aust]),tblData[Au LogiP(t)]/$AD$9,"")</f>
        <v>81609316.469824836</v>
      </c>
      <c r="AG94" s="11" t="str">
        <f>IF(AND(tblData[Date]&gt;=StartDt2Au,ISNUMBER(tblData[NSW])),(tblData[[#This Row],[Au LogiP(t)]]-tblData[[#This Row],[Au]])^2,"")</f>
        <v/>
      </c>
      <c r="AH94">
        <f>IF(tblData[Date]&gt;StartDt2NSW,tblData[Date]-StartDt2NSW,"")</f>
        <v>164</v>
      </c>
      <c r="AI94" t="str">
        <f t="shared" si="9"/>
        <v/>
      </c>
      <c r="AJ94" s="11">
        <f>IF(tblData[Date]&gt;StartDt2NSW,betaNSW/(deltaNSW+betaPodeltaNSW*EXP(-betaNSW*tblData[[#This Row],[Day '# NSW]])),"")</f>
        <v>2724.7105742517647</v>
      </c>
      <c r="AK94" s="12" t="str">
        <f>IF(AND(ISNUMBER(tblData[NSW]),tblData[Date]&gt;StartDt2NSW),(tblData[[#This Row],[NSW LogiP(t)]]-tblData[[#This Row],[NSW]])^2,"")</f>
        <v/>
      </c>
      <c r="AL94" s="44">
        <f>IF(AND(tblData[Date]&gt;StartDt2NSW,ISNUMBER(tblData[Day'# Aust])),tblData[NSW LogiP(t)]/$AG$9,"")</f>
        <v>3372.1665522917879</v>
      </c>
      <c r="AM94" s="11">
        <f>IF(AND(tblData[Date]&gt;StartDt2Italy,ISNUMBER(tblData[Days'# Italy])),betaItaly/(deltaItaly+betaPodeltaItaly*EXP(-betaItaly*tblData[Days'# Italy])),"")</f>
        <v>60634.520713473918</v>
      </c>
      <c r="AN94" s="11" t="str">
        <f>IF(AND(tblData[Date]&gt;StartDt2Italy,ISNUMBER(tblData[Italy])),(tblData[[#This Row],[Italy LogiP(t)]]-tblData[[#This Row],[Italy]])^2,"")</f>
        <v/>
      </c>
      <c r="AO94" s="44">
        <f>IF(AND(tblData[Date]&gt;StartDt2Italy,ISNUMBER(tblData[Days'# Italy])),tblData[[#This Row],[Italy LogiP(t)]]/$AM$9,"")</f>
        <v>10030.524518357968</v>
      </c>
      <c r="AP94" s="21">
        <f>IF(ISNUMBER(tblData[[#This Row],[Days'# US]]),betaUS/(deltaUS+betaPodeltaUS*EXP(-betaUS*tblData[Days'# US])),"")</f>
        <v>384575.00192734931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11681.123678055657</v>
      </c>
      <c r="AS94" s="21">
        <f>IF(tblData[Date]&gt;=StartDt2Korea,betaSKorea/(deltaSKorea+betaPodeltaSKorea*EXP(-betaSKorea*(tblData[Date]-StartDt2Korea))),"")</f>
        <v>8378.0382923360467</v>
      </c>
      <c r="AT94" s="21" t="str">
        <f>IF(AND(tblData[Date]&gt;=StartDt2Korea,ISNUMBER(tblData[SKorea])),(tblData[[#This Row],[SKorea LogiP(t)]]-tblData[[#This Row],[SKorea]])^2,"")</f>
        <v/>
      </c>
      <c r="AU94" s="21">
        <f>IF(tblData[Date]&gt;=StartDt2Korea,tblData[[#This Row],[SKorea LogiP(t)]]/$AS$9,"")</f>
        <v>1629.9685393649897</v>
      </c>
      <c r="AV94" s="85">
        <f>IF(ISNUMBER(tblData[Days'# UK]),betaUK/(deltaUK+betaPodeltaUK*EXP(-betaUK*tblData[Days'# UK])),"")</f>
        <v>235522830.04178038</v>
      </c>
      <c r="AW94" s="85" t="str">
        <f>IF(ISNUMBER(tblData[UK]),(tblData[[#This Row],[UK LogiP(t)]]-tblData[[#This Row],[UK]])^2,"")</f>
        <v/>
      </c>
      <c r="AX94" s="85">
        <f>IF(ISNUMBER(tblData[Days'# UK]),tblData[[#This Row],[UK LogiP(t)]]/$AV$9,"")</f>
        <v>35448950.939461224</v>
      </c>
      <c r="AY94" s="11">
        <f>IF(ISNUMBER(tblData[Days'# China]),betaChina/(deltaChina+betaPodeltaChina*EXP(-betaChina*tblData[Days'# China])),"")</f>
        <v>80951.838777652854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562.42966403726564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6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Y94"/>
      <c r="BZ94"/>
      <c r="CJ94" s="26"/>
      <c r="CK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</row>
    <row r="95" spans="2:173" x14ac:dyDescent="0.25">
      <c r="B95" s="27">
        <f t="shared" si="12"/>
        <v>44026</v>
      </c>
      <c r="D95" s="26"/>
      <c r="L95" s="12" t="str">
        <f>IF(ISNUMBER(tblData[[#This Row],[NSW]]),tblData[[#This Row],[New South Wales]]/$L$9,"")</f>
        <v/>
      </c>
      <c r="M95" s="26"/>
      <c r="N95" s="49" t="str">
        <f>IF(ISNUMBER(tblData[Italy]),tblData[Italy]/$N$9,"")</f>
        <v/>
      </c>
      <c r="O95" s="26"/>
      <c r="P95" s="49" t="str">
        <f>IF(ISNUMBER(tblData[US]),tblData[US]/$P$9,"")</f>
        <v/>
      </c>
      <c r="Q95" s="49"/>
      <c r="R95" s="19" t="str">
        <f>IF(ISNUMBER(tblData[SKorea]),tblData[SKorea]/$R$9,"")</f>
        <v/>
      </c>
      <c r="S95" s="49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3"/>
        <v>156</v>
      </c>
      <c r="Y95" s="26">
        <f t="shared" si="11"/>
        <v>84</v>
      </c>
      <c r="Z95" s="26">
        <f>IF(tblData[[#This Row],[Date]]&lt;StartDt2Korea,"",tblData[[#This Row],[Date]]-StartDt2Korea)</f>
        <v>146</v>
      </c>
      <c r="AA95" s="26">
        <f>IF(tblData[[#This Row],[Date]]&lt;UKStart,"",tblData[[#This Row],[Date]]-UKStart)</f>
        <v>166</v>
      </c>
      <c r="AB95">
        <f>IF(tblData[Date]&gt;=StartDt2Au,tblData[Date]-StartDt2Au,"")</f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IF(ISNUMBER(tblData[Au]),tblData[Au]/$AA$9,"")</f>
        <v/>
      </c>
      <c r="AE95" s="44">
        <f>IF(ISNUMBER(tblData[[#This Row],[Day'# Aust]]),betaAu/(deltaAu+betaPodeltaAu*EXP(-betaAu*tblData[[#This Row],[Day'# Aust]])),"")</f>
        <v>206999854.56880957</v>
      </c>
      <c r="AF95" s="73">
        <f>IF(ISNUMBER(tblData[Day'# Aust]),tblData[Au LogiP(t)]/$AD$9,"")</f>
        <v>81611675.827475786</v>
      </c>
      <c r="AG95" s="11" t="str">
        <f>IF(AND(tblData[Date]&gt;=StartDt2Au,ISNUMBER(tblData[NSW])),(tblData[[#This Row],[Au LogiP(t)]]-tblData[[#This Row],[Au]])^2,"")</f>
        <v/>
      </c>
      <c r="AH95">
        <f>IF(tblData[Date]&gt;StartDt2NSW,tblData[Date]-StartDt2NSW,"")</f>
        <v>171</v>
      </c>
      <c r="AI95" t="str">
        <f t="shared" si="9"/>
        <v/>
      </c>
      <c r="AJ95" s="11">
        <f>IF(tblData[Date]&gt;StartDt2NSW,betaNSW/(deltaNSW+betaPodeltaNSW*EXP(-betaNSW*tblData[[#This Row],[Day '# NSW]])),"")</f>
        <v>2724.7105758923531</v>
      </c>
      <c r="AK95" s="12" t="str">
        <f>IF(AND(ISNUMBER(tblData[NSW]),tblData[Date]&gt;StartDt2NSW),(tblData[[#This Row],[NSW LogiP(t)]]-tblData[[#This Row],[NSW]])^2,"")</f>
        <v/>
      </c>
      <c r="AL95" s="44">
        <f>IF(AND(tblData[Date]&gt;StartDt2NSW,ISNUMBER(tblData[Day'# Aust])),tblData[NSW LogiP(t)]/$AG$9,"")</f>
        <v>3372.1665543222189</v>
      </c>
      <c r="AM95" s="11">
        <f>IF(AND(tblData[Date]&gt;StartDt2Italy,ISNUMBER(tblData[Days'# Italy])),betaItaly/(deltaItaly+betaPodeltaItaly*EXP(-betaItaly*tblData[Days'# Italy])),"")</f>
        <v>60634.520713482336</v>
      </c>
      <c r="AN95" s="11" t="str">
        <f>IF(AND(tblData[Date]&gt;StartDt2Italy,ISNUMBER(tblData[Italy])),(tblData[[#This Row],[Italy LogiP(t)]]-tblData[[#This Row],[Italy]])^2,"")</f>
        <v/>
      </c>
      <c r="AO95" s="44">
        <f>IF(AND(tblData[Date]&gt;StartDt2Italy,ISNUMBER(tblData[Days'# Italy])),tblData[[#This Row],[Italy LogiP(t)]]/$AM$9,"")</f>
        <v>10030.524518359362</v>
      </c>
      <c r="AP95" s="21">
        <f>IF(ISNUMBER(tblData[[#This Row],[Days'# US]]),betaUS/(deltaUS+betaPodeltaUS*EXP(-betaUS*tblData[Days'# US])),"")</f>
        <v>384575.00192734954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11681.123678055663</v>
      </c>
      <c r="AS95" s="21">
        <f>IF(tblData[Date]&gt;=StartDt2Korea,betaSKorea/(deltaSKorea+betaPodeltaSKorea*EXP(-betaSKorea*(tblData[Date]-StartDt2Korea))),"")</f>
        <v>8378.0382923360467</v>
      </c>
      <c r="AT95" s="21" t="str">
        <f>IF(AND(tblData[Date]&gt;=StartDt2Korea,ISNUMBER(tblData[SKorea])),(tblData[[#This Row],[SKorea LogiP(t)]]-tblData[[#This Row],[SKorea]])^2,"")</f>
        <v/>
      </c>
      <c r="AU95" s="21">
        <f>IF(tblData[Date]&gt;=StartDt2Korea,tblData[[#This Row],[SKorea LogiP(t)]]/$AS$9,"")</f>
        <v>1629.9685393649897</v>
      </c>
      <c r="AV95" s="85">
        <f>IF(ISNUMBER(tblData[Days'# UK]),betaUK/(deltaUK+betaPodeltaUK*EXP(-betaUK*tblData[Days'# UK])),"")</f>
        <v>235522910.76698753</v>
      </c>
      <c r="AW95" s="85" t="str">
        <f>IF(ISNUMBER(tblData[UK]),(tblData[[#This Row],[UK LogiP(t)]]-tblData[[#This Row],[UK]])^2,"")</f>
        <v/>
      </c>
      <c r="AX95" s="85">
        <f>IF(ISNUMBER(tblData[Days'# UK]),tblData[[#This Row],[UK LogiP(t)]]/$AV$9,"")</f>
        <v>35448963.089552611</v>
      </c>
      <c r="AY95" s="11">
        <f>IF(ISNUMBER(tblData[Days'# China]),betaChina/(deltaChina+betaPodeltaChina*EXP(-betaChina*tblData[Days'# China])),"")</f>
        <v>80951.84696400426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562.42972091363731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6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Y95"/>
      <c r="BZ95"/>
      <c r="CJ95" s="26"/>
      <c r="CK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</row>
    <row r="96" spans="2:173" x14ac:dyDescent="0.25">
      <c r="B96" s="27">
        <f t="shared" si="12"/>
        <v>44033</v>
      </c>
      <c r="D96" s="26"/>
      <c r="L96" s="12" t="str">
        <f>IF(ISNUMBER(tblData[[#This Row],[NSW]]),tblData[[#This Row],[New South Wales]]/$L$9,"")</f>
        <v/>
      </c>
      <c r="M96" s="26"/>
      <c r="N96" s="49" t="str">
        <f>IF(ISNUMBER(tblData[Italy]),tblData[Italy]/$N$9,"")</f>
        <v/>
      </c>
      <c r="O96" s="26"/>
      <c r="P96" s="49" t="str">
        <f>IF(ISNUMBER(tblData[US]),tblData[US]/$P$9,"")</f>
        <v/>
      </c>
      <c r="Q96" s="49"/>
      <c r="R96" s="19" t="str">
        <f>IF(ISNUMBER(tblData[SKorea]),tblData[SKorea]/$R$9,"")</f>
        <v/>
      </c>
      <c r="S96" s="49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3"/>
        <v>163</v>
      </c>
      <c r="Y96" s="26">
        <f t="shared" si="11"/>
        <v>85</v>
      </c>
      <c r="Z96" s="26">
        <f>IF(tblData[[#This Row],[Date]]&lt;StartDt2Korea,"",tblData[[#This Row],[Date]]-StartDt2Korea)</f>
        <v>153</v>
      </c>
      <c r="AA96" s="26">
        <f>IF(tblData[[#This Row],[Date]]&lt;UKStart,"",tblData[[#This Row],[Date]]-UKStart)</f>
        <v>173</v>
      </c>
      <c r="AB96">
        <f>IF(tblData[Date]&gt;=StartDt2Au,tblData[Date]-StartDt2Au,"")</f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IF(ISNUMBER(tblData[Au]),tblData[Au]/$AA$9,"")</f>
        <v/>
      </c>
      <c r="AE96" s="44">
        <f>IF(ISNUMBER(tblData[[#This Row],[Day'# Aust]]),betaAu/(deltaAu+betaPodeltaAu*EXP(-betaAu*tblData[[#This Row],[Day'# Aust]])),"")</f>
        <v>207001259.73982537</v>
      </c>
      <c r="AF96" s="73">
        <f>IF(ISNUMBER(tblData[Day'# Aust]),tblData[Au LogiP(t)]/$AD$9,"")</f>
        <v>81612229.829611018</v>
      </c>
      <c r="AG96" s="11" t="str">
        <f>IF(AND(tblData[Date]&gt;=StartDt2Au,ISNUMBER(tblData[NSW])),(tblData[[#This Row],[Au LogiP(t)]]-tblData[[#This Row],[Au]])^2,"")</f>
        <v/>
      </c>
      <c r="AH96">
        <f>IF(tblData[Date]&gt;StartDt2NSW,tblData[Date]-StartDt2NSW,"")</f>
        <v>178</v>
      </c>
      <c r="AI96" t="str">
        <f t="shared" ref="AI96:AI117" si="14">IF(E96&gt;0,E96,"")</f>
        <v/>
      </c>
      <c r="AJ96" s="11">
        <f>IF(tblData[Date]&gt;StartDt2NSW,betaNSW/(deltaNSW+betaPodeltaNSW*EXP(-betaNSW*tblData[[#This Row],[Day '# NSW]])),"")</f>
        <v>2724.7105762714036</v>
      </c>
      <c r="AK96" s="12" t="str">
        <f>IF(AND(ISNUMBER(tblData[NSW]),tblData[Date]&gt;StartDt2NSW),(tblData[[#This Row],[NSW LogiP(t)]]-tblData[[#This Row],[NSW]])^2,"")</f>
        <v/>
      </c>
      <c r="AL96" s="44">
        <f>IF(AND(tblData[Date]&gt;StartDt2NSW,ISNUMBER(tblData[Day'# Aust])),tblData[NSW LogiP(t)]/$AG$9,"")</f>
        <v>3372.1665547913408</v>
      </c>
      <c r="AM96" s="11">
        <f>IF(AND(tblData[Date]&gt;StartDt2Italy,ISNUMBER(tblData[Days'# Italy])),betaItaly/(deltaItaly+betaPodeltaItaly*EXP(-betaItaly*tblData[Days'# Italy])),"")</f>
        <v>60634.520713483704</v>
      </c>
      <c r="AN96" s="11" t="str">
        <f>IF(AND(tblData[Date]&gt;StartDt2Italy,ISNUMBER(tblData[Italy])),(tblData[[#This Row],[Italy LogiP(t)]]-tblData[[#This Row],[Italy]])^2,"")</f>
        <v/>
      </c>
      <c r="AO96" s="44">
        <f>IF(AND(tblData[Date]&gt;StartDt2Italy,ISNUMBER(tblData[Days'# Italy])),tblData[[#This Row],[Italy LogiP(t)]]/$AM$9,"")</f>
        <v>10030.524518359587</v>
      </c>
      <c r="AP96" s="21">
        <f>IF(ISNUMBER(tblData[[#This Row],[Days'# US]]),betaUS/(deltaUS+betaPodeltaUS*EXP(-betaUS*tblData[Days'# US])),"")</f>
        <v>384575.00192734954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11681.123678055663</v>
      </c>
      <c r="AS96" s="21">
        <f>IF(tblData[Date]&gt;=StartDt2Korea,betaSKorea/(deltaSKorea+betaPodeltaSKorea*EXP(-betaSKorea*(tblData[Date]-StartDt2Korea))),"")</f>
        <v>8378.0382923360467</v>
      </c>
      <c r="AT96" s="21" t="str">
        <f>IF(AND(tblData[Date]&gt;=StartDt2Korea,ISNUMBER(tblData[SKorea])),(tblData[[#This Row],[SKorea LogiP(t)]]-tblData[[#This Row],[SKorea]])^2,"")</f>
        <v/>
      </c>
      <c r="AU96" s="21">
        <f>IF(tblData[Date]&gt;=StartDt2Korea,tblData[[#This Row],[SKorea LogiP(t)]]/$AS$9,"")</f>
        <v>1629.9685393649897</v>
      </c>
      <c r="AV96" s="85">
        <f>IF(ISNUMBER(tblData[Days'# UK]),betaUK/(deltaUK+betaPodeltaUK*EXP(-betaUK*tblData[Days'# UK])),"")</f>
        <v>235522926.29104295</v>
      </c>
      <c r="AW96" s="85" t="str">
        <f>IF(ISNUMBER(tblData[UK]),(tblData[[#This Row],[UK LogiP(t)]]-tblData[[#This Row],[UK]])^2,"")</f>
        <v/>
      </c>
      <c r="AX96" s="85">
        <f>IF(ISNUMBER(tblData[Days'# UK]),tblData[[#This Row],[UK LogiP(t)]]/$AV$9,"")</f>
        <v>35448965.426105201</v>
      </c>
      <c r="AY96" s="11">
        <f>IF(ISNUMBER(tblData[Days'# China]),betaChina/(deltaChina+betaPodeltaChina*EXP(-betaChina*tblData[Days'# China])),"")</f>
        <v>80951.85351964258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562.42976646029217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6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Y96"/>
      <c r="BZ96"/>
      <c r="CJ96" s="26"/>
      <c r="CK96" s="26"/>
    </row>
    <row r="97" spans="2:173" x14ac:dyDescent="0.25">
      <c r="B97" s="27">
        <f t="shared" si="12"/>
        <v>44040</v>
      </c>
      <c r="D97" s="26"/>
      <c r="L97" s="12" t="str">
        <f>IF(ISNUMBER(tblData[[#This Row],[NSW]]),tblData[[#This Row],[New South Wales]]/$L$9,"")</f>
        <v/>
      </c>
      <c r="M97" s="26"/>
      <c r="N97" s="49" t="str">
        <f>IF(ISNUMBER(tblData[Italy]),tblData[Italy]/$N$9,"")</f>
        <v/>
      </c>
      <c r="O97" s="26"/>
      <c r="P97" s="49" t="str">
        <f>IF(ISNUMBER(tblData[US]),tblData[US]/$P$9,"")</f>
        <v/>
      </c>
      <c r="Q97" s="49"/>
      <c r="R97" s="19" t="str">
        <f>IF(ISNUMBER(tblData[SKorea]),tblData[SKorea]/$R$9,"")</f>
        <v/>
      </c>
      <c r="S97" s="49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3"/>
        <v>170</v>
      </c>
      <c r="Y97" s="26">
        <f t="shared" si="11"/>
        <v>86</v>
      </c>
      <c r="Z97" s="26">
        <f>IF(tblData[[#This Row],[Date]]&lt;StartDt2Korea,"",tblData[[#This Row],[Date]]-StartDt2Korea)</f>
        <v>160</v>
      </c>
      <c r="AA97" s="26">
        <f>IF(tblData[[#This Row],[Date]]&lt;UKStart,"",tblData[[#This Row],[Date]]-UKStart)</f>
        <v>180</v>
      </c>
      <c r="AB97">
        <f>IF(tblData[Date]&gt;=StartDt2Au,tblData[Date]-StartDt2Au,"")</f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IF(ISNUMBER(tblData[Au]),tblData[Au]/$AA$9,"")</f>
        <v/>
      </c>
      <c r="AE97" s="44">
        <f>IF(ISNUMBER(tblData[[#This Row],[Day'# Aust]]),betaAu/(deltaAu+betaPodeltaAu*EXP(-betaAu*tblData[[#This Row],[Day'# Aust]])),"")</f>
        <v>207001589.67983186</v>
      </c>
      <c r="AF97" s="73">
        <f>IF(ISNUMBER(tblData[Day'# Aust]),tblData[Au LogiP(t)]/$AD$9,"")</f>
        <v>81612359.911619559</v>
      </c>
      <c r="AG97" s="11" t="str">
        <f>IF(AND(tblData[Date]&gt;=StartDt2Au,ISNUMBER(tblData[NSW])),(tblData[[#This Row],[Au LogiP(t)]]-tblData[[#This Row],[Au]])^2,"")</f>
        <v/>
      </c>
      <c r="AH97">
        <f>IF(tblData[Date]&gt;StartDt2NSW,tblData[Date]-StartDt2NSW,"")</f>
        <v>185</v>
      </c>
      <c r="AI97" t="str">
        <f t="shared" si="14"/>
        <v/>
      </c>
      <c r="AJ97" s="11">
        <f>IF(tblData[Date]&gt;StartDt2NSW,betaNSW/(deltaNSW+betaPodeltaNSW*EXP(-betaNSW*tblData[[#This Row],[Day '# NSW]])),"")</f>
        <v>2724.7105763589811</v>
      </c>
      <c r="AK97" s="12" t="str">
        <f>IF(AND(ISNUMBER(tblData[NSW]),tblData[Date]&gt;StartDt2NSW),(tblData[[#This Row],[NSW LogiP(t)]]-tblData[[#This Row],[NSW]])^2,"")</f>
        <v/>
      </c>
      <c r="AL97" s="44">
        <f>IF(AND(tblData[Date]&gt;StartDt2NSW,ISNUMBER(tblData[Day'# Aust])),tblData[NSW LogiP(t)]/$AG$9,"")</f>
        <v>3372.1665548997289</v>
      </c>
      <c r="AM97" s="11">
        <f>IF(AND(tblData[Date]&gt;StartDt2Italy,ISNUMBER(tblData[Days'# Italy])),betaItaly/(deltaItaly+betaPodeltaItaly*EXP(-betaItaly*tblData[Days'# Italy])),"")</f>
        <v>60634.520713483915</v>
      </c>
      <c r="AN97" s="11" t="str">
        <f>IF(AND(tblData[Date]&gt;StartDt2Italy,ISNUMBER(tblData[Italy])),(tblData[[#This Row],[Italy LogiP(t)]]-tblData[[#This Row],[Italy]])^2,"")</f>
        <v/>
      </c>
      <c r="AO97" s="44">
        <f>IF(AND(tblData[Date]&gt;StartDt2Italy,ISNUMBER(tblData[Days'# Italy])),tblData[[#This Row],[Italy LogiP(t)]]/$AM$9,"")</f>
        <v>10030.524518359622</v>
      </c>
      <c r="AP97" s="21">
        <f>IF(ISNUMBER(tblData[[#This Row],[Days'# US]]),betaUS/(deltaUS+betaPodeltaUS*EXP(-betaUS*tblData[Days'# US])),"")</f>
        <v>384575.00192734954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11681.123678055663</v>
      </c>
      <c r="AS97" s="21">
        <f>IF(tblData[Date]&gt;=StartDt2Korea,betaSKorea/(deltaSKorea+betaPodeltaSKorea*EXP(-betaSKorea*(tblData[Date]-StartDt2Korea))),"")</f>
        <v>8378.0382923360467</v>
      </c>
      <c r="AT97" s="21" t="str">
        <f>IF(AND(tblData[Date]&gt;=StartDt2Korea,ISNUMBER(tblData[SKorea])),(tblData[[#This Row],[SKorea LogiP(t)]]-tblData[[#This Row],[SKorea]])^2,"")</f>
        <v/>
      </c>
      <c r="AU97" s="21">
        <f>IF(tblData[Date]&gt;=StartDt2Korea,tblData[[#This Row],[SKorea LogiP(t)]]/$AS$9,"")</f>
        <v>1629.9685393649897</v>
      </c>
      <c r="AV97" s="85">
        <f>IF(ISNUMBER(tblData[Days'# UK]),betaUK/(deltaUK+betaPodeltaUK*EXP(-betaUK*tblData[Days'# UK])),"")</f>
        <v>235522929.27643284</v>
      </c>
      <c r="AW97" s="85" t="str">
        <f>IF(ISNUMBER(tblData[UK]),(tblData[[#This Row],[UK LogiP(t)]]-tblData[[#This Row],[UK]])^2,"")</f>
        <v/>
      </c>
      <c r="AX97" s="85">
        <f>IF(ISNUMBER(tblData[Days'# UK]),tblData[[#This Row],[UK LogiP(t)]]/$AV$9,"")</f>
        <v>35448965.875441425</v>
      </c>
      <c r="AY97" s="11">
        <f>IF(ISNUMBER(tblData[Days'# China]),betaChina/(deltaChina+betaPodeltaChina*EXP(-betaChina*tblData[Days'# China])),"")</f>
        <v>80951.858769404047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562.4298029340971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Y97"/>
      <c r="BZ97"/>
      <c r="CJ97" s="26"/>
      <c r="CK97" s="26"/>
    </row>
    <row r="98" spans="2:173" x14ac:dyDescent="0.25">
      <c r="B98" s="27">
        <f t="shared" si="12"/>
        <v>44047</v>
      </c>
      <c r="D98" s="26"/>
      <c r="L98" s="12" t="str">
        <f>IF(ISNUMBER(tblData[[#This Row],[NSW]]),tblData[[#This Row],[New South Wales]]/$L$9,"")</f>
        <v/>
      </c>
      <c r="M98" s="26"/>
      <c r="N98" s="49" t="str">
        <f>IF(ISNUMBER(tblData[Italy]),tblData[Italy]/$N$9,"")</f>
        <v/>
      </c>
      <c r="O98" s="26"/>
      <c r="P98" s="49" t="str">
        <f>IF(ISNUMBER(tblData[US]),tblData[US]/$P$9,"")</f>
        <v/>
      </c>
      <c r="Q98" s="49"/>
      <c r="R98" s="19" t="str">
        <f>IF(ISNUMBER(tblData[SKorea]),tblData[SKorea]/$R$9,"")</f>
        <v/>
      </c>
      <c r="S98" s="49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3"/>
        <v>177</v>
      </c>
      <c r="Y98" s="26">
        <f t="shared" si="11"/>
        <v>87</v>
      </c>
      <c r="Z98" s="26">
        <f>IF(tblData[[#This Row],[Date]]&lt;StartDt2Korea,"",tblData[[#This Row],[Date]]-StartDt2Korea)</f>
        <v>167</v>
      </c>
      <c r="AA98" s="26">
        <f>IF(tblData[[#This Row],[Date]]&lt;UKStart,"",tblData[[#This Row],[Date]]-UKStart)</f>
        <v>187</v>
      </c>
      <c r="AB98">
        <f>IF(tblData[Date]&gt;=StartDt2Au,tblData[Date]-StartDt2Au,"")</f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IF(ISNUMBER(tblData[Au]),tblData[Au]/$AA$9,"")</f>
        <v/>
      </c>
      <c r="AE98" s="44">
        <f>IF(ISNUMBER(tblData[[#This Row],[Day'# Aust]]),betaAu/(deltaAu+betaPodeltaAu*EXP(-betaAu*tblData[[#This Row],[Day'# Aust]])),"")</f>
        <v>207001667.15062258</v>
      </c>
      <c r="AF98" s="73">
        <f>IF(ISNUMBER(tblData[Day'# Aust]),tblData[Au LogiP(t)]/$AD$9,"")</f>
        <v>81612390.455221012</v>
      </c>
      <c r="AG98" s="11" t="str">
        <f>IF(AND(tblData[Date]&gt;=StartDt2Au,ISNUMBER(tblData[NSW])),(tblData[[#This Row],[Au LogiP(t)]]-tblData[[#This Row],[Au]])^2,"")</f>
        <v/>
      </c>
      <c r="AH98">
        <f>IF(tblData[Date]&gt;StartDt2NSW,tblData[Date]-StartDt2NSW,"")</f>
        <v>192</v>
      </c>
      <c r="AI98" t="str">
        <f t="shared" si="14"/>
        <v/>
      </c>
      <c r="AJ98" s="11">
        <f>IF(tblData[Date]&gt;StartDt2NSW,betaNSW/(deltaNSW+betaPodeltaNSW*EXP(-betaNSW*tblData[[#This Row],[Day '# NSW]])),"")</f>
        <v>2724.7105763792151</v>
      </c>
      <c r="AK98" s="12" t="str">
        <f>IF(AND(ISNUMBER(tblData[NSW]),tblData[Date]&gt;StartDt2NSW),(tblData[[#This Row],[NSW LogiP(t)]]-tblData[[#This Row],[NSW]])^2,"")</f>
        <v/>
      </c>
      <c r="AL98" s="44">
        <f>IF(AND(tblData[Date]&gt;StartDt2NSW,ISNUMBER(tblData[Day'# Aust])),tblData[NSW LogiP(t)]/$AG$9,"")</f>
        <v>3372.1665549247709</v>
      </c>
      <c r="AM98" s="11">
        <f>IF(AND(tblData[Date]&gt;StartDt2Italy,ISNUMBER(tblData[Days'# Italy])),betaItaly/(deltaItaly+betaPodeltaItaly*EXP(-betaItaly*tblData[Days'# Italy])),"")</f>
        <v>60634.520713483951</v>
      </c>
      <c r="AN98" s="11" t="str">
        <f>IF(AND(tblData[Date]&gt;StartDt2Italy,ISNUMBER(tblData[Italy])),(tblData[[#This Row],[Italy LogiP(t)]]-tblData[[#This Row],[Italy]])^2,"")</f>
        <v/>
      </c>
      <c r="AO98" s="44">
        <f>IF(AND(tblData[Date]&gt;StartDt2Italy,ISNUMBER(tblData[Days'# Italy])),tblData[[#This Row],[Italy LogiP(t)]]/$AM$9,"")</f>
        <v>10030.524518359629</v>
      </c>
      <c r="AP98" s="21">
        <f>IF(ISNUMBER(tblData[[#This Row],[Days'# US]]),betaUS/(deltaUS+betaPodeltaUS*EXP(-betaUS*tblData[Days'# US])),"")</f>
        <v>384575.00192734954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11681.123678055663</v>
      </c>
      <c r="AS98" s="21">
        <f>IF(tblData[Date]&gt;=StartDt2Korea,betaSKorea/(deltaSKorea+betaPodeltaSKorea*EXP(-betaSKorea*(tblData[Date]-StartDt2Korea))),"")</f>
        <v>8378.0382923360467</v>
      </c>
      <c r="AT98" s="21" t="str">
        <f>IF(AND(tblData[Date]&gt;=StartDt2Korea,ISNUMBER(tblData[SKorea])),(tblData[[#This Row],[SKorea LogiP(t)]]-tblData[[#This Row],[SKorea]])^2,"")</f>
        <v/>
      </c>
      <c r="AU98" s="21">
        <f>IF(tblData[Date]&gt;=StartDt2Korea,tblData[[#This Row],[SKorea LogiP(t)]]/$AS$9,"")</f>
        <v>1629.9685393649897</v>
      </c>
      <c r="AV98" s="85">
        <f>IF(ISNUMBER(tblData[Days'# UK]),betaUK/(deltaUK+betaPodeltaUK*EXP(-betaUK*tblData[Days'# UK])),"")</f>
        <v>235522929.85054517</v>
      </c>
      <c r="AW98" s="85" t="str">
        <f>IF(ISNUMBER(tblData[UK]),(tblData[[#This Row],[UK LogiP(t)]]-tblData[[#This Row],[UK]])^2,"")</f>
        <v/>
      </c>
      <c r="AX98" s="85">
        <f>IF(ISNUMBER(tblData[Days'# UK]),tblData[[#This Row],[UK LogiP(t)]]/$AV$9,"")</f>
        <v>35448965.961852074</v>
      </c>
      <c r="AY98" s="11">
        <f>IF(ISNUMBER(tblData[Days'# China]),betaChina/(deltaChina+betaPodeltaChina*EXP(-betaChina*tblData[Days'# China])),"")</f>
        <v>80951.862973417927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562.42983214235414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Y98"/>
      <c r="BZ98"/>
      <c r="CJ98" s="26"/>
      <c r="CK98" s="26"/>
      <c r="DE98" s="26"/>
      <c r="DI98" s="26"/>
      <c r="DJ98" s="26"/>
      <c r="DK98" s="26"/>
      <c r="DL98" s="26"/>
      <c r="DM98" s="26"/>
      <c r="DN98" s="26"/>
      <c r="DO98" s="26"/>
      <c r="DP98" s="26"/>
      <c r="DQ98" s="26"/>
      <c r="DS98" s="26"/>
      <c r="DT98" s="26"/>
      <c r="DU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</row>
    <row r="99" spans="2:173" x14ac:dyDescent="0.25">
      <c r="B99" s="27">
        <f t="shared" si="12"/>
        <v>44054</v>
      </c>
      <c r="D99" s="26"/>
      <c r="L99" s="12" t="str">
        <f>IF(ISNUMBER(tblData[[#This Row],[NSW]]),tblData[[#This Row],[New South Wales]]/$L$9,"")</f>
        <v/>
      </c>
      <c r="M99" s="26"/>
      <c r="N99" s="49" t="str">
        <f>IF(ISNUMBER(tblData[Italy]),tblData[Italy]/$N$9,"")</f>
        <v/>
      </c>
      <c r="O99" s="26"/>
      <c r="P99" s="49" t="str">
        <f>IF(ISNUMBER(tblData[US]),tblData[US]/$P$9,"")</f>
        <v/>
      </c>
      <c r="Q99" s="49"/>
      <c r="R99" s="19" t="str">
        <f>IF(ISNUMBER(tblData[SKorea]),tblData[SKorea]/$R$9,"")</f>
        <v/>
      </c>
      <c r="S99" s="49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3"/>
        <v>184</v>
      </c>
      <c r="Y99" s="26">
        <f t="shared" si="11"/>
        <v>88</v>
      </c>
      <c r="Z99" s="26">
        <f>IF(tblData[[#This Row],[Date]]&lt;StartDt2Korea,"",tblData[[#This Row],[Date]]-StartDt2Korea)</f>
        <v>174</v>
      </c>
      <c r="AA99" s="26">
        <f>IF(tblData[[#This Row],[Date]]&lt;UKStart,"",tblData[[#This Row],[Date]]-UKStart)</f>
        <v>194</v>
      </c>
      <c r="AB99">
        <f>IF(tblData[Date]&gt;=StartDt2Au,tblData[Date]-StartDt2Au,"")</f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IF(ISNUMBER(tblData[Au]),tblData[Au]/$AA$9,"")</f>
        <v/>
      </c>
      <c r="AE99" s="44">
        <f>IF(ISNUMBER(tblData[[#This Row],[Day'# Aust]]),betaAu/(deltaAu+betaPodeltaAu*EXP(-betaAu*tblData[[#This Row],[Day'# Aust]])),"")</f>
        <v>207001685.34094283</v>
      </c>
      <c r="AF99" s="73">
        <f>IF(ISNUMBER(tblData[Day'# Aust]),tblData[Au LogiP(t)]/$AD$9,"")</f>
        <v>81612397.626929045</v>
      </c>
      <c r="AG99" s="11" t="str">
        <f>IF(AND(tblData[Date]&gt;=StartDt2Au,ISNUMBER(tblData[NSW])),(tblData[[#This Row],[Au LogiP(t)]]-tblData[[#This Row],[Au]])^2,"")</f>
        <v/>
      </c>
      <c r="AH99">
        <f>IF(tblData[Date]&gt;StartDt2NSW,tblData[Date]-StartDt2NSW,"")</f>
        <v>199</v>
      </c>
      <c r="AI99" t="str">
        <f t="shared" si="14"/>
        <v/>
      </c>
      <c r="AJ99" s="11">
        <f>IF(tblData[Date]&gt;StartDt2NSW,betaNSW/(deltaNSW+betaPodeltaNSW*EXP(-betaNSW*tblData[[#This Row],[Day '# NSW]])),"")</f>
        <v>2724.7105763838908</v>
      </c>
      <c r="AK99" s="12" t="str">
        <f>IF(AND(ISNUMBER(tblData[NSW]),tblData[Date]&gt;StartDt2NSW),(tblData[[#This Row],[NSW LogiP(t)]]-tblData[[#This Row],[NSW]])^2,"")</f>
        <v/>
      </c>
      <c r="AL99" s="44">
        <f>IF(AND(tblData[Date]&gt;StartDt2NSW,ISNUMBER(tblData[Day'# Aust])),tblData[NSW LogiP(t)]/$AG$9,"")</f>
        <v>3372.1665549305576</v>
      </c>
      <c r="AM99" s="11">
        <f>IF(AND(tblData[Date]&gt;StartDt2Italy,ISNUMBER(tblData[Days'# Italy])),betaItaly/(deltaItaly+betaPodeltaItaly*EXP(-betaItaly*tblData[Days'# Italy])),"")</f>
        <v>60634.520713483966</v>
      </c>
      <c r="AN99" s="11" t="str">
        <f>IF(AND(tblData[Date]&gt;StartDt2Italy,ISNUMBER(tblData[Italy])),(tblData[[#This Row],[Italy LogiP(t)]]-tblData[[#This Row],[Italy]])^2,"")</f>
        <v/>
      </c>
      <c r="AO99" s="44">
        <f>IF(AND(tblData[Date]&gt;StartDt2Italy,ISNUMBER(tblData[Days'# Italy])),tblData[[#This Row],[Italy LogiP(t)]]/$AM$9,"")</f>
        <v>10030.524518359631</v>
      </c>
      <c r="AP99" s="21">
        <f>IF(ISNUMBER(tblData[[#This Row],[Days'# US]]),betaUS/(deltaUS+betaPodeltaUS*EXP(-betaUS*tblData[Days'# US])),"")</f>
        <v>384575.00192734954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11681.123678055663</v>
      </c>
      <c r="AS99" s="21">
        <f>IF(tblData[Date]&gt;=StartDt2Korea,betaSKorea/(deltaSKorea+betaPodeltaSKorea*EXP(-betaSKorea*(tblData[Date]-StartDt2Korea))),"")</f>
        <v>8378.0382923360467</v>
      </c>
      <c r="AT99" s="21" t="str">
        <f>IF(AND(tblData[Date]&gt;=StartDt2Korea,ISNUMBER(tblData[SKorea])),(tblData[[#This Row],[SKorea LogiP(t)]]-tblData[[#This Row],[SKorea]])^2,"")</f>
        <v/>
      </c>
      <c r="AU99" s="21">
        <f>IF(tblData[Date]&gt;=StartDt2Korea,tblData[[#This Row],[SKorea LogiP(t)]]/$AS$9,"")</f>
        <v>1629.9685393649897</v>
      </c>
      <c r="AV99" s="85">
        <f>IF(ISNUMBER(tblData[Days'# UK]),betaUK/(deltaUK+betaPodeltaUK*EXP(-betaUK*tblData[Days'# UK])),"")</f>
        <v>235522929.96095124</v>
      </c>
      <c r="AW99" s="85" t="str">
        <f>IF(ISNUMBER(tblData[UK]),(tblData[[#This Row],[UK LogiP(t)]]-tblData[[#This Row],[UK]])^2,"")</f>
        <v/>
      </c>
      <c r="AX99" s="85">
        <f>IF(ISNUMBER(tblData[Days'# UK]),tblData[[#This Row],[UK LogiP(t)]]/$AV$9,"")</f>
        <v>35448965.978469484</v>
      </c>
      <c r="AY99" s="11">
        <f>IF(ISNUMBER(tblData[Days'# China]),betaChina/(deltaChina+betaPodeltaChina*EXP(-betaChina*tblData[Days'# China])),"")</f>
        <v>80951.866339996122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562.42985553235326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Y99"/>
      <c r="BZ99"/>
      <c r="CJ99" s="26"/>
      <c r="CK99" s="26"/>
      <c r="DE99" s="26"/>
      <c r="DI99" s="26"/>
      <c r="DJ99" s="26"/>
      <c r="DK99" s="26"/>
      <c r="DL99" s="26"/>
      <c r="DM99" s="26"/>
      <c r="DN99" s="26"/>
      <c r="DO99" s="26"/>
      <c r="DP99" s="26"/>
      <c r="DQ99" s="26"/>
      <c r="DS99" s="26"/>
      <c r="DT99" s="26"/>
      <c r="DU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</row>
    <row r="100" spans="2:173" x14ac:dyDescent="0.25">
      <c r="B100" s="27">
        <f t="shared" si="12"/>
        <v>44061</v>
      </c>
      <c r="D100" s="26"/>
      <c r="L100" s="12" t="str">
        <f>IF(ISNUMBER(tblData[[#This Row],[NSW]]),tblData[[#This Row],[New South Wales]]/$L$9,"")</f>
        <v/>
      </c>
      <c r="M100" s="26"/>
      <c r="N100" s="49" t="str">
        <f>IF(ISNUMBER(tblData[Italy]),tblData[Italy]/$N$9,"")</f>
        <v/>
      </c>
      <c r="O100" s="26"/>
      <c r="P100" s="49" t="str">
        <f>IF(ISNUMBER(tblData[US]),tblData[US]/$P$9,"")</f>
        <v/>
      </c>
      <c r="Q100" s="49"/>
      <c r="R100" s="19" t="str">
        <f>IF(ISNUMBER(tblData[SKorea]),tblData[SKorea]/$R$9,"")</f>
        <v/>
      </c>
      <c r="S100" s="49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3"/>
        <v>191</v>
      </c>
      <c r="Y100" s="26">
        <f t="shared" si="11"/>
        <v>89</v>
      </c>
      <c r="Z100" s="26">
        <f>IF(tblData[[#This Row],[Date]]&lt;StartDt2Korea,"",tblData[[#This Row],[Date]]-StartDt2Korea)</f>
        <v>181</v>
      </c>
      <c r="AA100" s="26">
        <f>IF(tblData[[#This Row],[Date]]&lt;UKStart,"",tblData[[#This Row],[Date]]-UKStart)</f>
        <v>201</v>
      </c>
      <c r="AB100">
        <f>IF(tblData[Date]&gt;=StartDt2Au,tblData[Date]-StartDt2Au,"")</f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IF(ISNUMBER(tblData[Au]),tblData[Au]/$AA$9,"")</f>
        <v/>
      </c>
      <c r="AE100" s="44">
        <f>IF(ISNUMBER(tblData[[#This Row],[Day'# Aust]]),betaAu/(deltaAu+betaPodeltaAu*EXP(-betaAu*tblData[[#This Row],[Day'# Aust]])),"")</f>
        <v>207001689.61207044</v>
      </c>
      <c r="AF100" s="73">
        <f>IF(ISNUMBER(tblData[Day'# Aust]),tblData[Au LogiP(t)]/$AD$9,"")</f>
        <v>81612399.31086202</v>
      </c>
      <c r="AG100" s="11" t="str">
        <f>IF(AND(tblData[Date]&gt;=StartDt2Au,ISNUMBER(tblData[NSW])),(tblData[[#This Row],[Au LogiP(t)]]-tblData[[#This Row],[Au]])^2,"")</f>
        <v/>
      </c>
      <c r="AH100">
        <f>IF(tblData[Date]&gt;StartDt2NSW,tblData[Date]-StartDt2NSW,"")</f>
        <v>206</v>
      </c>
      <c r="AI100" t="str">
        <f t="shared" si="14"/>
        <v/>
      </c>
      <c r="AJ100" s="11">
        <f>IF(tblData[Date]&gt;StartDt2NSW,betaNSW/(deltaNSW+betaPodeltaNSW*EXP(-betaNSW*tblData[[#This Row],[Day '# NSW]])),"")</f>
        <v>2724.7105763849709</v>
      </c>
      <c r="AK100" s="12" t="str">
        <f>IF(AND(ISNUMBER(tblData[NSW]),tblData[Date]&gt;StartDt2NSW),(tblData[[#This Row],[NSW LogiP(t)]]-tblData[[#This Row],[NSW]])^2,"")</f>
        <v/>
      </c>
      <c r="AL100" s="44">
        <f>IF(AND(tblData[Date]&gt;StartDt2NSW,ISNUMBER(tblData[Day'# Aust])),tblData[NSW LogiP(t)]/$AG$9,"")</f>
        <v>3372.1665549318946</v>
      </c>
      <c r="AM100" s="11">
        <f>IF(AND(tblData[Date]&gt;StartDt2Italy,ISNUMBER(tblData[Days'# Italy])),betaItaly/(deltaItaly+betaPodeltaItaly*EXP(-betaItaly*tblData[Days'# Italy])),"")</f>
        <v>60634.520713483966</v>
      </c>
      <c r="AN100" s="11" t="str">
        <f>IF(AND(tblData[Date]&gt;StartDt2Italy,ISNUMBER(tblData[Italy])),(tblData[[#This Row],[Italy LogiP(t)]]-tblData[[#This Row],[Italy]])^2,"")</f>
        <v/>
      </c>
      <c r="AO100" s="44">
        <f>IF(AND(tblData[Date]&gt;StartDt2Italy,ISNUMBER(tblData[Days'# Italy])),tblData[[#This Row],[Italy LogiP(t)]]/$AM$9,"")</f>
        <v>10030.524518359631</v>
      </c>
      <c r="AP100" s="21">
        <f>IF(ISNUMBER(tblData[[#This Row],[Days'# US]]),betaUS/(deltaUS+betaPodeltaUS*EXP(-betaUS*tblData[Days'# US])),"")</f>
        <v>384575.00192734954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11681.123678055663</v>
      </c>
      <c r="AS100" s="21">
        <f>IF(tblData[Date]&gt;=StartDt2Korea,betaSKorea/(deltaSKorea+betaPodeltaSKorea*EXP(-betaSKorea*(tblData[Date]-StartDt2Korea))),"")</f>
        <v>8378.0382923360467</v>
      </c>
      <c r="AT100" s="21" t="str">
        <f>IF(AND(tblData[Date]&gt;=StartDt2Korea,ISNUMBER(tblData[SKorea])),(tblData[[#This Row],[SKorea LogiP(t)]]-tblData[[#This Row],[SKorea]])^2,"")</f>
        <v/>
      </c>
      <c r="AU100" s="21">
        <f>IF(tblData[Date]&gt;=StartDt2Korea,tblData[[#This Row],[SKorea LogiP(t)]]/$AS$9,"")</f>
        <v>1629.9685393649897</v>
      </c>
      <c r="AV100" s="85">
        <f>IF(ISNUMBER(tblData[Days'# UK]),betaUK/(deltaUK+betaPodeltaUK*EXP(-betaUK*tblData[Days'# UK])),"")</f>
        <v>235522929.9821831</v>
      </c>
      <c r="AW100" s="85" t="str">
        <f>IF(ISNUMBER(tblData[UK]),(tblData[[#This Row],[UK LogiP(t)]]-tblData[[#This Row],[UK]])^2,"")</f>
        <v/>
      </c>
      <c r="AX100" s="85">
        <f>IF(ISNUMBER(tblData[Days'# UK]),tblData[[#This Row],[UK LogiP(t)]]/$AV$9,"")</f>
        <v>35448965.981665127</v>
      </c>
      <c r="AY100" s="11">
        <f>IF(ISNUMBER(tblData[Days'# China]),betaChina/(deltaChina+betaPodeltaChina*EXP(-betaChina*tblData[Days'# China])),"")</f>
        <v>80951.869035954966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562.42987426308571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Y100"/>
      <c r="BZ100"/>
      <c r="CJ100" s="26"/>
      <c r="CK100" s="26"/>
      <c r="DE100" s="26"/>
      <c r="DI100" s="26"/>
      <c r="DJ100" s="26"/>
      <c r="DK100" s="26"/>
      <c r="DL100" s="26"/>
      <c r="DM100" s="26"/>
      <c r="DN100" s="26"/>
      <c r="DO100" s="26"/>
      <c r="DP100" s="26"/>
      <c r="DQ100" s="26"/>
      <c r="DS100" s="26"/>
      <c r="DT100" s="26"/>
      <c r="DU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</row>
    <row r="101" spans="2:173" x14ac:dyDescent="0.25">
      <c r="B101" s="27">
        <f t="shared" si="12"/>
        <v>44068</v>
      </c>
      <c r="D101" s="26"/>
      <c r="L101" s="12" t="str">
        <f>IF(ISNUMBER(tblData[[#This Row],[NSW]]),tblData[[#This Row],[New South Wales]]/$L$9,"")</f>
        <v/>
      </c>
      <c r="M101" s="26"/>
      <c r="N101" s="49" t="str">
        <f>IF(ISNUMBER(tblData[Italy]),tblData[Italy]/$N$9,"")</f>
        <v/>
      </c>
      <c r="O101" s="26"/>
      <c r="P101" s="49" t="str">
        <f>IF(ISNUMBER(tblData[US]),tblData[US]/$P$9,"")</f>
        <v/>
      </c>
      <c r="Q101" s="49"/>
      <c r="R101" s="19" t="str">
        <f>IF(ISNUMBER(tblData[SKorea]),tblData[SKorea]/$R$9,"")</f>
        <v/>
      </c>
      <c r="S101" s="49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3"/>
        <v>198</v>
      </c>
      <c r="Y101" s="26">
        <f t="shared" si="11"/>
        <v>90</v>
      </c>
      <c r="Z101" s="26">
        <f>IF(tblData[[#This Row],[Date]]&lt;StartDt2Korea,"",tblData[[#This Row],[Date]]-StartDt2Korea)</f>
        <v>188</v>
      </c>
      <c r="AA101" s="26">
        <f>IF(tblData[[#This Row],[Date]]&lt;UKStart,"",tblData[[#This Row],[Date]]-UKStart)</f>
        <v>208</v>
      </c>
      <c r="AB101">
        <f>IF(tblData[Date]&gt;=StartDt2Au,tblData[Date]-StartDt2Au,"")</f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IF(ISNUMBER(tblData[Au]),tblData[Au]/$AA$9,"")</f>
        <v/>
      </c>
      <c r="AE101" s="44">
        <f>IF(ISNUMBER(tblData[[#This Row],[Day'# Aust]]),betaAu/(deltaAu+betaPodeltaAu*EXP(-betaAu*tblData[[#This Row],[Day'# Aust]])),"")</f>
        <v>207001690.61494055</v>
      </c>
      <c r="AF101" s="73">
        <f>IF(ISNUMBER(tblData[Day'# Aust]),tblData[Au LogiP(t)]/$AD$9,"")</f>
        <v>81612399.706253171</v>
      </c>
      <c r="AG101" s="11" t="str">
        <f>IF(AND(tblData[Date]&gt;=StartDt2Au,ISNUMBER(tblData[NSW])),(tblData[[#This Row],[Au LogiP(t)]]-tblData[[#This Row],[Au]])^2,"")</f>
        <v/>
      </c>
      <c r="AH101">
        <f>IF(tblData[Date]&gt;StartDt2NSW,tblData[Date]-StartDt2NSW,"")</f>
        <v>213</v>
      </c>
      <c r="AI101" t="str">
        <f t="shared" si="14"/>
        <v/>
      </c>
      <c r="AJ101" s="11">
        <f>IF(tblData[Date]&gt;StartDt2NSW,betaNSW/(deltaNSW+betaPodeltaNSW*EXP(-betaNSW*tblData[[#This Row],[Day '# NSW]])),"")</f>
        <v>2724.7105763852201</v>
      </c>
      <c r="AK101" s="12" t="str">
        <f>IF(AND(ISNUMBER(tblData[NSW]),tblData[Date]&gt;StartDt2NSW),(tblData[[#This Row],[NSW LogiP(t)]]-tblData[[#This Row],[NSW]])^2,"")</f>
        <v/>
      </c>
      <c r="AL101" s="44">
        <f>IF(AND(tblData[Date]&gt;StartDt2NSW,ISNUMBER(tblData[Day'# Aust])),tblData[NSW LogiP(t)]/$AG$9,"")</f>
        <v>3372.1665549322029</v>
      </c>
      <c r="AM101" s="11">
        <f>IF(AND(tblData[Date]&gt;StartDt2Italy,ISNUMBER(tblData[Days'# Italy])),betaItaly/(deltaItaly+betaPodeltaItaly*EXP(-betaItaly*tblData[Days'# Italy])),"")</f>
        <v>60634.520713483966</v>
      </c>
      <c r="AN101" s="11" t="str">
        <f>IF(AND(tblData[Date]&gt;StartDt2Italy,ISNUMBER(tblData[Italy])),(tblData[[#This Row],[Italy LogiP(t)]]-tblData[[#This Row],[Italy]])^2,"")</f>
        <v/>
      </c>
      <c r="AO101" s="44">
        <f>IF(AND(tblData[Date]&gt;StartDt2Italy,ISNUMBER(tblData[Days'# Italy])),tblData[[#This Row],[Italy LogiP(t)]]/$AM$9,"")</f>
        <v>10030.524518359631</v>
      </c>
      <c r="AP101" s="21">
        <f>IF(ISNUMBER(tblData[[#This Row],[Days'# US]]),betaUS/(deltaUS+betaPodeltaUS*EXP(-betaUS*tblData[Days'# US])),"")</f>
        <v>384575.00192734954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11681.123678055663</v>
      </c>
      <c r="AS101" s="21">
        <f>IF(tblData[Date]&gt;=StartDt2Korea,betaSKorea/(deltaSKorea+betaPodeltaSKorea*EXP(-betaSKorea*(tblData[Date]-StartDt2Korea))),"")</f>
        <v>8378.0382923360467</v>
      </c>
      <c r="AT101" s="21" t="str">
        <f>IF(AND(tblData[Date]&gt;=StartDt2Korea,ISNUMBER(tblData[SKorea])),(tblData[[#This Row],[SKorea LogiP(t)]]-tblData[[#This Row],[SKorea]])^2,"")</f>
        <v/>
      </c>
      <c r="AU101" s="21">
        <f>IF(tblData[Date]&gt;=StartDt2Korea,tblData[[#This Row],[SKorea LogiP(t)]]/$AS$9,"")</f>
        <v>1629.9685393649897</v>
      </c>
      <c r="AV101" s="85">
        <f>IF(ISNUMBER(tblData[Days'# UK]),betaUK/(deltaUK+betaPodeltaUK*EXP(-betaUK*tblData[Days'# UK])),"")</f>
        <v>235522929.98626614</v>
      </c>
      <c r="AW101" s="85" t="str">
        <f>IF(ISNUMBER(tblData[UK]),(tblData[[#This Row],[UK LogiP(t)]]-tblData[[#This Row],[UK]])^2,"")</f>
        <v/>
      </c>
      <c r="AX101" s="85">
        <f>IF(ISNUMBER(tblData[Days'# UK]),tblData[[#This Row],[UK LogiP(t)]]/$AV$9,"")</f>
        <v>35448965.982279673</v>
      </c>
      <c r="AY101" s="11">
        <f>IF(ISNUMBER(tblData[Days'# China]),betaChina/(deltaChina+betaPodeltaChina*EXP(-betaChina*tblData[Days'# China])),"")</f>
        <v>80951.871194881212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562.42988926267287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Y101"/>
      <c r="BZ101"/>
      <c r="CJ101" s="26"/>
      <c r="CK101" s="26"/>
      <c r="DE101" s="26"/>
      <c r="DI101" s="26"/>
      <c r="DJ101" s="26"/>
      <c r="DK101" s="26"/>
      <c r="DL101" s="26"/>
      <c r="DM101" s="26"/>
      <c r="DN101" s="26"/>
      <c r="DO101" s="26"/>
      <c r="DP101" s="26"/>
      <c r="DQ101" s="26"/>
      <c r="DS101" s="26"/>
      <c r="DT101" s="26"/>
      <c r="DU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</row>
    <row r="102" spans="2:173" x14ac:dyDescent="0.25">
      <c r="B102" s="27">
        <f t="shared" si="12"/>
        <v>44075</v>
      </c>
      <c r="D102" s="26"/>
      <c r="L102" s="12" t="str">
        <f>IF(ISNUMBER(tblData[[#This Row],[NSW]]),tblData[[#This Row],[New South Wales]]/$L$9,"")</f>
        <v/>
      </c>
      <c r="M102" s="26"/>
      <c r="N102" s="49" t="str">
        <f>IF(ISNUMBER(tblData[Italy]),tblData[Italy]/$N$9,"")</f>
        <v/>
      </c>
      <c r="O102" s="26"/>
      <c r="P102" s="49" t="str">
        <f>IF(ISNUMBER(tblData[US]),tblData[US]/$P$9,"")</f>
        <v/>
      </c>
      <c r="Q102" s="49"/>
      <c r="R102" s="19" t="str">
        <f>IF(ISNUMBER(tblData[SKorea]),tblData[SKorea]/$R$9,"")</f>
        <v/>
      </c>
      <c r="S102" s="49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3"/>
        <v>205</v>
      </c>
      <c r="Y102" s="26">
        <f t="shared" si="11"/>
        <v>91</v>
      </c>
      <c r="Z102" s="26">
        <f>IF(tblData[[#This Row],[Date]]&lt;StartDt2Korea,"",tblData[[#This Row],[Date]]-StartDt2Korea)</f>
        <v>195</v>
      </c>
      <c r="AA102" s="26">
        <f>IF(tblData[[#This Row],[Date]]&lt;UKStart,"",tblData[[#This Row],[Date]]-UKStart)</f>
        <v>215</v>
      </c>
      <c r="AB102">
        <f>IF(tblData[Date]&gt;=StartDt2Au,tblData[Date]-StartDt2Au,"")</f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IF(ISNUMBER(tblData[Au]),tblData[Au]/$AA$9,"")</f>
        <v/>
      </c>
      <c r="AE102" s="44">
        <f>IF(ISNUMBER(tblData[[#This Row],[Day'# Aust]]),betaAu/(deltaAu+betaPodeltaAu*EXP(-betaAu*tblData[[#This Row],[Day'# Aust]])),"")</f>
        <v>207001690.85041669</v>
      </c>
      <c r="AF102" s="73">
        <f>IF(ISNUMBER(tblData[Day'# Aust]),tblData[Au LogiP(t)]/$AD$9,"")</f>
        <v>81612399.799091905</v>
      </c>
      <c r="AG102" s="11" t="str">
        <f>IF(AND(tblData[Date]&gt;=StartDt2Au,ISNUMBER(tblData[NSW])),(tblData[[#This Row],[Au LogiP(t)]]-tblData[[#This Row],[Au]])^2,"")</f>
        <v/>
      </c>
      <c r="AH102">
        <f>IF(tblData[Date]&gt;StartDt2NSW,tblData[Date]-StartDt2NSW,"")</f>
        <v>220</v>
      </c>
      <c r="AI102" t="str">
        <f t="shared" si="14"/>
        <v/>
      </c>
      <c r="AJ102" s="11">
        <f>IF(tblData[Date]&gt;StartDt2NSW,betaNSW/(deltaNSW+betaPodeltaNSW*EXP(-betaNSW*tblData[[#This Row],[Day '# NSW]])),"")</f>
        <v>2724.7105763852778</v>
      </c>
      <c r="AK102" s="12" t="str">
        <f>IF(AND(ISNUMBER(tblData[NSW]),tblData[Date]&gt;StartDt2NSW),(tblData[[#This Row],[NSW LogiP(t)]]-tblData[[#This Row],[NSW]])^2,"")</f>
        <v/>
      </c>
      <c r="AL102" s="44">
        <f>IF(AND(tblData[Date]&gt;StartDt2NSW,ISNUMBER(tblData[Day'# Aust])),tblData[NSW LogiP(t)]/$AG$9,"")</f>
        <v>3372.1665549322743</v>
      </c>
      <c r="AM102" s="11">
        <f>IF(AND(tblData[Date]&gt;StartDt2Italy,ISNUMBER(tblData[Days'# Italy])),betaItaly/(deltaItaly+betaPodeltaItaly*EXP(-betaItaly*tblData[Days'# Italy])),"")</f>
        <v>60634.520713483966</v>
      </c>
      <c r="AN102" s="11" t="str">
        <f>IF(AND(tblData[Date]&gt;StartDt2Italy,ISNUMBER(tblData[Italy])),(tblData[[#This Row],[Italy LogiP(t)]]-tblData[[#This Row],[Italy]])^2,"")</f>
        <v/>
      </c>
      <c r="AO102" s="44">
        <f>IF(AND(tblData[Date]&gt;StartDt2Italy,ISNUMBER(tblData[Days'# Italy])),tblData[[#This Row],[Italy LogiP(t)]]/$AM$9,"")</f>
        <v>10030.524518359631</v>
      </c>
      <c r="AP102" s="21">
        <f>IF(ISNUMBER(tblData[[#This Row],[Days'# US]]),betaUS/(deltaUS+betaPodeltaUS*EXP(-betaUS*tblData[Days'# US])),"")</f>
        <v>384575.00192734954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11681.123678055663</v>
      </c>
      <c r="AS102" s="21">
        <f>IF(tblData[Date]&gt;=StartDt2Korea,betaSKorea/(deltaSKorea+betaPodeltaSKorea*EXP(-betaSKorea*(tblData[Date]-StartDt2Korea))),"")</f>
        <v>8378.0382923360467</v>
      </c>
      <c r="AT102" s="21" t="str">
        <f>IF(AND(tblData[Date]&gt;=StartDt2Korea,ISNUMBER(tblData[SKorea])),(tblData[[#This Row],[SKorea LogiP(t)]]-tblData[[#This Row],[SKorea]])^2,"")</f>
        <v/>
      </c>
      <c r="AU102" s="21">
        <f>IF(tblData[Date]&gt;=StartDt2Korea,tblData[[#This Row],[SKorea LogiP(t)]]/$AS$9,"")</f>
        <v>1629.9685393649897</v>
      </c>
      <c r="AV102" s="85">
        <f>IF(ISNUMBER(tblData[Days'# UK]),betaUK/(deltaUK+betaPodeltaUK*EXP(-betaUK*tblData[Days'# UK])),"")</f>
        <v>235522929.98705137</v>
      </c>
      <c r="AW102" s="85" t="str">
        <f>IF(ISNUMBER(tblData[UK]),(tblData[[#This Row],[UK LogiP(t)]]-tblData[[#This Row],[UK]])^2,"")</f>
        <v/>
      </c>
      <c r="AX102" s="85">
        <f>IF(ISNUMBER(tblData[Days'# UK]),tblData[[#This Row],[UK LogiP(t)]]/$AV$9,"")</f>
        <v>35448965.982397854</v>
      </c>
      <c r="AY102" s="11">
        <f>IF(ISNUMBER(tblData[Days'# China]),betaChina/(deltaChina+betaPodeltaChina*EXP(-betaChina*tblData[Days'# China])),"")</f>
        <v>80951.87292375126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562.42990127435553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Y102"/>
      <c r="BZ102"/>
      <c r="CJ102" s="26"/>
      <c r="CK102" s="26"/>
      <c r="DE102" s="26"/>
      <c r="DI102" s="26"/>
      <c r="DJ102" s="26"/>
      <c r="DK102" s="26"/>
      <c r="DL102" s="26"/>
      <c r="DM102" s="26"/>
      <c r="DN102" s="26"/>
      <c r="DO102" s="26"/>
      <c r="DP102" s="26"/>
      <c r="DQ102" s="26"/>
      <c r="DS102" s="26"/>
      <c r="DT102" s="26"/>
      <c r="DU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</row>
    <row r="103" spans="2:173" x14ac:dyDescent="0.25">
      <c r="B103" s="27">
        <f t="shared" si="12"/>
        <v>44082</v>
      </c>
      <c r="D103" s="26"/>
      <c r="L103" s="12" t="str">
        <f>IF(ISNUMBER(tblData[[#This Row],[NSW]]),tblData[[#This Row],[New South Wales]]/$L$9,"")</f>
        <v/>
      </c>
      <c r="M103" s="26"/>
      <c r="N103" s="49" t="str">
        <f>IF(ISNUMBER(tblData[Italy]),tblData[Italy]/$N$9,"")</f>
        <v/>
      </c>
      <c r="O103" s="26"/>
      <c r="P103" s="49" t="str">
        <f>IF(ISNUMBER(tblData[US]),tblData[US]/$P$9,"")</f>
        <v/>
      </c>
      <c r="Q103" s="49"/>
      <c r="R103" s="19" t="str">
        <f>IF(ISNUMBER(tblData[SKorea]),tblData[SKorea]/$R$9,"")</f>
        <v/>
      </c>
      <c r="S103" s="49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3"/>
        <v>212</v>
      </c>
      <c r="Y103" s="26">
        <f t="shared" si="11"/>
        <v>92</v>
      </c>
      <c r="Z103" s="26">
        <f>IF(tblData[[#This Row],[Date]]&lt;StartDt2Korea,"",tblData[[#This Row],[Date]]-StartDt2Korea)</f>
        <v>202</v>
      </c>
      <c r="AA103" s="26">
        <f>IF(tblData[[#This Row],[Date]]&lt;UKStart,"",tblData[[#This Row],[Date]]-UKStart)</f>
        <v>222</v>
      </c>
      <c r="AB103">
        <f>IF(tblData[Date]&gt;=StartDt2Au,tblData[Date]-StartDt2Au,"")</f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IF(ISNUMBER(tblData[Au]),tblData[Au]/$AA$9,"")</f>
        <v/>
      </c>
      <c r="AE103" s="44">
        <f>IF(ISNUMBER(tblData[[#This Row],[Day'# Aust]]),betaAu/(deltaAu+betaPodeltaAu*EXP(-betaAu*tblData[[#This Row],[Day'# Aust]])),"")</f>
        <v>207001690.905707</v>
      </c>
      <c r="AF103" s="73">
        <f>IF(ISNUMBER(tblData[Day'# Aust]),tblData[Au LogiP(t)]/$AD$9,"")</f>
        <v>81612399.820890635</v>
      </c>
      <c r="AG103" s="11" t="str">
        <f>IF(AND(tblData[Date]&gt;=StartDt2Au,ISNUMBER(tblData[NSW])),(tblData[[#This Row],[Au LogiP(t)]]-tblData[[#This Row],[Au]])^2,"")</f>
        <v/>
      </c>
      <c r="AH103">
        <f>IF(tblData[Date]&gt;StartDt2NSW,tblData[Date]-StartDt2NSW,"")</f>
        <v>227</v>
      </c>
      <c r="AI103" t="str">
        <f t="shared" si="14"/>
        <v/>
      </c>
      <c r="AJ103" s="11">
        <f>IF(tblData[Date]&gt;StartDt2NSW,betaNSW/(deltaNSW+betaPodeltaNSW*EXP(-betaNSW*tblData[[#This Row],[Day '# NSW]])),"")</f>
        <v>2724.7105763852915</v>
      </c>
      <c r="AK103" s="12" t="str">
        <f>IF(AND(ISNUMBER(tblData[NSW]),tblData[Date]&gt;StartDt2NSW),(tblData[[#This Row],[NSW LogiP(t)]]-tblData[[#This Row],[NSW]])^2,"")</f>
        <v/>
      </c>
      <c r="AL103" s="44">
        <f>IF(AND(tblData[Date]&gt;StartDt2NSW,ISNUMBER(tblData[Day'# Aust])),tblData[NSW LogiP(t)]/$AG$9,"")</f>
        <v>3372.1665549322911</v>
      </c>
      <c r="AM103" s="11">
        <f>IF(AND(tblData[Date]&gt;StartDt2Italy,ISNUMBER(tblData[Days'# Italy])),betaItaly/(deltaItaly+betaPodeltaItaly*EXP(-betaItaly*tblData[Days'# Italy])),"")</f>
        <v>60634.520713483966</v>
      </c>
      <c r="AN103" s="11" t="str">
        <f>IF(AND(tblData[Date]&gt;StartDt2Italy,ISNUMBER(tblData[Italy])),(tblData[[#This Row],[Italy LogiP(t)]]-tblData[[#This Row],[Italy]])^2,"")</f>
        <v/>
      </c>
      <c r="AO103" s="44">
        <f>IF(AND(tblData[Date]&gt;StartDt2Italy,ISNUMBER(tblData[Days'# Italy])),tblData[[#This Row],[Italy LogiP(t)]]/$AM$9,"")</f>
        <v>10030.524518359631</v>
      </c>
      <c r="AP103" s="21">
        <f>IF(ISNUMBER(tblData[[#This Row],[Days'# US]]),betaUS/(deltaUS+betaPodeltaUS*EXP(-betaUS*tblData[Days'# US])),"")</f>
        <v>384575.00192734954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11681.123678055663</v>
      </c>
      <c r="AS103" s="21">
        <f>IF(tblData[Date]&gt;=StartDt2Korea,betaSKorea/(deltaSKorea+betaPodeltaSKorea*EXP(-betaSKorea*(tblData[Date]-StartDt2Korea))),"")</f>
        <v>8378.0382923360467</v>
      </c>
      <c r="AT103" s="21" t="str">
        <f>IF(AND(tblData[Date]&gt;=StartDt2Korea,ISNUMBER(tblData[SKorea])),(tblData[[#This Row],[SKorea LogiP(t)]]-tblData[[#This Row],[SKorea]])^2,"")</f>
        <v/>
      </c>
      <c r="AU103" s="21">
        <f>IF(tblData[Date]&gt;=StartDt2Korea,tblData[[#This Row],[SKorea LogiP(t)]]/$AS$9,"")</f>
        <v>1629.9685393649897</v>
      </c>
      <c r="AV103" s="85">
        <f>IF(ISNUMBER(tblData[Days'# UK]),betaUK/(deltaUK+betaPodeltaUK*EXP(-betaUK*tblData[Days'# UK])),"")</f>
        <v>235522929.98720235</v>
      </c>
      <c r="AW103" s="85" t="str">
        <f>IF(ISNUMBER(tblData[UK]),(tblData[[#This Row],[UK LogiP(t)]]-tblData[[#This Row],[UK]])^2,"")</f>
        <v/>
      </c>
      <c r="AX103" s="85">
        <f>IF(ISNUMBER(tblData[Days'# UK]),tblData[[#This Row],[UK LogiP(t)]]/$AV$9,"")</f>
        <v>35448965.982420579</v>
      </c>
      <c r="AY103" s="11">
        <f>IF(ISNUMBER(tblData[Days'# China]),betaChina/(deltaChina+betaPodeltaChina*EXP(-betaChina*tblData[Days'# China])),"")</f>
        <v>80951.874308231912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562.42991089332156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Y103"/>
      <c r="BZ103"/>
      <c r="CJ103" s="26"/>
      <c r="CK103" s="26"/>
      <c r="DE103" s="26"/>
      <c r="DI103" s="26"/>
      <c r="DJ103" s="26"/>
      <c r="DK103" s="26"/>
      <c r="DL103" s="26"/>
      <c r="DM103" s="26"/>
      <c r="DN103" s="26"/>
      <c r="DO103" s="26"/>
      <c r="DP103" s="26"/>
      <c r="DQ103" s="26"/>
      <c r="DS103" s="26"/>
      <c r="DT103" s="26"/>
      <c r="DU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</row>
    <row r="104" spans="2:173" x14ac:dyDescent="0.25">
      <c r="B104" s="27">
        <f t="shared" si="12"/>
        <v>44089</v>
      </c>
      <c r="D104" s="26"/>
      <c r="L104" s="12" t="str">
        <f>IF(ISNUMBER(tblData[[#This Row],[NSW]]),tblData[[#This Row],[New South Wales]]/$L$9,"")</f>
        <v/>
      </c>
      <c r="M104" s="26"/>
      <c r="N104" s="49" t="str">
        <f>IF(ISNUMBER(tblData[Italy]),tblData[Italy]/$N$9,"")</f>
        <v/>
      </c>
      <c r="O104" s="26"/>
      <c r="P104" s="49" t="str">
        <f>IF(ISNUMBER(tblData[US]),tblData[US]/$P$9,"")</f>
        <v/>
      </c>
      <c r="Q104" s="49"/>
      <c r="R104" s="19" t="str">
        <f>IF(ISNUMBER(tblData[SKorea]),tblData[SKorea]/$R$9,"")</f>
        <v/>
      </c>
      <c r="S104" s="49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3"/>
        <v>219</v>
      </c>
      <c r="Y104" s="26">
        <f t="shared" si="11"/>
        <v>93</v>
      </c>
      <c r="Z104" s="26">
        <f>IF(tblData[[#This Row],[Date]]&lt;StartDt2Korea,"",tblData[[#This Row],[Date]]-StartDt2Korea)</f>
        <v>209</v>
      </c>
      <c r="AA104" s="26">
        <f>IF(tblData[[#This Row],[Date]]&lt;UKStart,"",tblData[[#This Row],[Date]]-UKStart)</f>
        <v>229</v>
      </c>
      <c r="AB104">
        <f>IF(tblData[Date]&gt;=StartDt2Au,tblData[Date]-StartDt2Au,"")</f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IF(ISNUMBER(tblData[Au]),tblData[Au]/$AA$9,"")</f>
        <v/>
      </c>
      <c r="AE104" s="44">
        <f>IF(ISNUMBER(tblData[[#This Row],[Day'# Aust]]),betaAu/(deltaAu+betaPodeltaAu*EXP(-betaAu*tblData[[#This Row],[Day'# Aust]])),"")</f>
        <v>207001690.91868931</v>
      </c>
      <c r="AF104" s="73">
        <f>IF(ISNUMBER(tblData[Day'# Aust]),tblData[Au LogiP(t)]/$AD$9,"")</f>
        <v>81612399.826009035</v>
      </c>
      <c r="AG104" s="11" t="str">
        <f>IF(AND(tblData[Date]&gt;=StartDt2Au,ISNUMBER(tblData[NSW])),(tblData[[#This Row],[Au LogiP(t)]]-tblData[[#This Row],[Au]])^2,"")</f>
        <v/>
      </c>
      <c r="AH104">
        <f>IF(tblData[Date]&gt;StartDt2NSW,tblData[Date]-StartDt2NSW,"")</f>
        <v>234</v>
      </c>
      <c r="AI104" t="str">
        <f t="shared" si="14"/>
        <v/>
      </c>
      <c r="AJ104" s="11">
        <f>IF(tblData[Date]&gt;StartDt2NSW,betaNSW/(deltaNSW+betaPodeltaNSW*EXP(-betaNSW*tblData[[#This Row],[Day '# NSW]])),"")</f>
        <v>2724.7105763852942</v>
      </c>
      <c r="AK104" s="12" t="str">
        <f>IF(AND(ISNUMBER(tblData[NSW]),tblData[Date]&gt;StartDt2NSW),(tblData[[#This Row],[NSW LogiP(t)]]-tblData[[#This Row],[NSW]])^2,"")</f>
        <v/>
      </c>
      <c r="AL104" s="44">
        <f>IF(AND(tblData[Date]&gt;StartDt2NSW,ISNUMBER(tblData[Day'# Aust])),tblData[NSW LogiP(t)]/$AG$9,"")</f>
        <v>3372.1665549322947</v>
      </c>
      <c r="AM104" s="11">
        <f>IF(AND(tblData[Date]&gt;StartDt2Italy,ISNUMBER(tblData[Days'# Italy])),betaItaly/(deltaItaly+betaPodeltaItaly*EXP(-betaItaly*tblData[Days'# Italy])),"")</f>
        <v>60634.520713483966</v>
      </c>
      <c r="AN104" s="11" t="str">
        <f>IF(AND(tblData[Date]&gt;StartDt2Italy,ISNUMBER(tblData[Italy])),(tblData[[#This Row],[Italy LogiP(t)]]-tblData[[#This Row],[Italy]])^2,"")</f>
        <v/>
      </c>
      <c r="AO104" s="44">
        <f>IF(AND(tblData[Date]&gt;StartDt2Italy,ISNUMBER(tblData[Days'# Italy])),tblData[[#This Row],[Italy LogiP(t)]]/$AM$9,"")</f>
        <v>10030.524518359631</v>
      </c>
      <c r="AP104" s="21">
        <f>IF(ISNUMBER(tblData[[#This Row],[Days'# US]]),betaUS/(deltaUS+betaPodeltaUS*EXP(-betaUS*tblData[Days'# US])),"")</f>
        <v>384575.00192734954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11681.123678055663</v>
      </c>
      <c r="AS104" s="21">
        <f>IF(tblData[Date]&gt;=StartDt2Korea,betaSKorea/(deltaSKorea+betaPodeltaSKorea*EXP(-betaSKorea*(tblData[Date]-StartDt2Korea))),"")</f>
        <v>8378.0382923360467</v>
      </c>
      <c r="AT104" s="21" t="str">
        <f>IF(AND(tblData[Date]&gt;=StartDt2Korea,ISNUMBER(tblData[SKorea])),(tblData[[#This Row],[SKorea LogiP(t)]]-tblData[[#This Row],[SKorea]])^2,"")</f>
        <v/>
      </c>
      <c r="AU104" s="21">
        <f>IF(tblData[Date]&gt;=StartDt2Korea,tblData[[#This Row],[SKorea LogiP(t)]]/$AS$9,"")</f>
        <v>1629.9685393649897</v>
      </c>
      <c r="AV104" s="85">
        <f>IF(ISNUMBER(tblData[Days'# UK]),betaUK/(deltaUK+betaPodeltaUK*EXP(-betaUK*tblData[Days'# UK])),"")</f>
        <v>235522929.98723137</v>
      </c>
      <c r="AW104" s="85" t="str">
        <f>IF(ISNUMBER(tblData[UK]),(tblData[[#This Row],[UK LogiP(t)]]-tblData[[#This Row],[UK]])^2,"")</f>
        <v/>
      </c>
      <c r="AX104" s="85">
        <f>IF(ISNUMBER(tblData[Days'# UK]),tblData[[#This Row],[UK LogiP(t)]]/$AV$9,"")</f>
        <v>35448965.982424952</v>
      </c>
      <c r="AY104" s="11">
        <f>IF(ISNUMBER(tblData[Days'# China]),betaChina/(deltaChina+betaPodeltaChina*EXP(-betaChina*tblData[Days'# China])),"")</f>
        <v>80951.875416925206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562.42991859619781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Y104"/>
      <c r="BZ104"/>
      <c r="CJ104" s="26"/>
      <c r="CK104" s="26"/>
      <c r="DE104" s="26"/>
      <c r="DI104" s="26"/>
      <c r="DJ104" s="26"/>
      <c r="DK104" s="26"/>
      <c r="DL104" s="26"/>
      <c r="DM104" s="26"/>
      <c r="DN104" s="26"/>
      <c r="DO104" s="26"/>
      <c r="DP104" s="26"/>
      <c r="DQ104" s="26"/>
      <c r="DS104" s="26"/>
      <c r="DT104" s="26"/>
      <c r="DU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</row>
    <row r="105" spans="2:173" x14ac:dyDescent="0.25">
      <c r="B105" s="27">
        <f t="shared" si="12"/>
        <v>44096</v>
      </c>
      <c r="D105" s="26"/>
      <c r="L105" s="12" t="str">
        <f>IF(ISNUMBER(tblData[[#This Row],[NSW]]),tblData[[#This Row],[New South Wales]]/$L$9,"")</f>
        <v/>
      </c>
      <c r="M105" s="26"/>
      <c r="N105" s="49" t="str">
        <f>IF(ISNUMBER(tblData[Italy]),tblData[Italy]/$N$9,"")</f>
        <v/>
      </c>
      <c r="O105" s="26"/>
      <c r="P105" s="49" t="str">
        <f>IF(ISNUMBER(tblData[US]),tblData[US]/$P$9,"")</f>
        <v/>
      </c>
      <c r="Q105" s="49"/>
      <c r="R105" s="19" t="str">
        <f>IF(ISNUMBER(tblData[SKorea]),tblData[SKorea]/$R$9,"")</f>
        <v/>
      </c>
      <c r="S105" s="49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3"/>
        <v>226</v>
      </c>
      <c r="Y105" s="26">
        <f t="shared" si="11"/>
        <v>94</v>
      </c>
      <c r="Z105" s="26">
        <f>IF(tblData[[#This Row],[Date]]&lt;StartDt2Korea,"",tblData[[#This Row],[Date]]-StartDt2Korea)</f>
        <v>216</v>
      </c>
      <c r="AA105" s="26">
        <f>IF(tblData[[#This Row],[Date]]&lt;UKStart,"",tblData[[#This Row],[Date]]-UKStart)</f>
        <v>236</v>
      </c>
      <c r="AB105">
        <f>IF(tblData[Date]&gt;=StartDt2Au,tblData[Date]-StartDt2Au,"")</f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IF(ISNUMBER(tblData[Au]),tblData[Au]/$AA$9,"")</f>
        <v/>
      </c>
      <c r="AE105" s="44">
        <f>IF(ISNUMBER(tblData[[#This Row],[Day'# Aust]]),betaAu/(deltaAu+betaPodeltaAu*EXP(-betaAu*tblData[[#This Row],[Day'# Aust]])),"")</f>
        <v>207001690.92173755</v>
      </c>
      <c r="AF105" s="73">
        <f>IF(ISNUMBER(tblData[Day'# Aust]),tblData[Au LogiP(t)]/$AD$9,"")</f>
        <v>81612399.827210829</v>
      </c>
      <c r="AG105" s="11" t="str">
        <f>IF(AND(tblData[Date]&gt;=StartDt2Au,ISNUMBER(tblData[NSW])),(tblData[[#This Row],[Au LogiP(t)]]-tblData[[#This Row],[Au]])^2,"")</f>
        <v/>
      </c>
      <c r="AH105">
        <f>IF(tblData[Date]&gt;StartDt2NSW,tblData[Date]-StartDt2NSW,"")</f>
        <v>241</v>
      </c>
      <c r="AI105" t="str">
        <f t="shared" si="14"/>
        <v/>
      </c>
      <c r="AJ105" s="11">
        <f>IF(tblData[Date]&gt;StartDt2NSW,betaNSW/(deltaNSW+betaPodeltaNSW*EXP(-betaNSW*tblData[[#This Row],[Day '# NSW]])),"")</f>
        <v>2724.7105763852951</v>
      </c>
      <c r="AK105" s="12" t="str">
        <f>IF(AND(ISNUMBER(tblData[NSW]),tblData[Date]&gt;StartDt2NSW),(tblData[[#This Row],[NSW LogiP(t)]]-tblData[[#This Row],[NSW]])^2,"")</f>
        <v/>
      </c>
      <c r="AL105" s="44">
        <f>IF(AND(tblData[Date]&gt;StartDt2NSW,ISNUMBER(tblData[Day'# Aust])),tblData[NSW LogiP(t)]/$AG$9,"")</f>
        <v>3372.1665549322956</v>
      </c>
      <c r="AM105" s="11">
        <f>IF(AND(tblData[Date]&gt;StartDt2Italy,ISNUMBER(tblData[Days'# Italy])),betaItaly/(deltaItaly+betaPodeltaItaly*EXP(-betaItaly*tblData[Days'# Italy])),"")</f>
        <v>60634.520713483966</v>
      </c>
      <c r="AN105" s="11" t="str">
        <f>IF(AND(tblData[Date]&gt;StartDt2Italy,ISNUMBER(tblData[Italy])),(tblData[[#This Row],[Italy LogiP(t)]]-tblData[[#This Row],[Italy]])^2,"")</f>
        <v/>
      </c>
      <c r="AO105" s="44">
        <f>IF(AND(tblData[Date]&gt;StartDt2Italy,ISNUMBER(tblData[Days'# Italy])),tblData[[#This Row],[Italy LogiP(t)]]/$AM$9,"")</f>
        <v>10030.524518359631</v>
      </c>
      <c r="AP105" s="21">
        <f>IF(ISNUMBER(tblData[[#This Row],[Days'# US]]),betaUS/(deltaUS+betaPodeltaUS*EXP(-betaUS*tblData[Days'# US])),"")</f>
        <v>384575.00192734954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11681.123678055663</v>
      </c>
      <c r="AS105" s="21">
        <f>IF(tblData[Date]&gt;=StartDt2Korea,betaSKorea/(deltaSKorea+betaPodeltaSKorea*EXP(-betaSKorea*(tblData[Date]-StartDt2Korea))),"")</f>
        <v>8378.0382923360467</v>
      </c>
      <c r="AT105" s="21" t="str">
        <f>IF(AND(tblData[Date]&gt;=StartDt2Korea,ISNUMBER(tblData[SKorea])),(tblData[[#This Row],[SKorea LogiP(t)]]-tblData[[#This Row],[SKorea]])^2,"")</f>
        <v/>
      </c>
      <c r="AU105" s="21">
        <f>IF(tblData[Date]&gt;=StartDt2Korea,tblData[[#This Row],[SKorea LogiP(t)]]/$AS$9,"")</f>
        <v>1629.9685393649897</v>
      </c>
      <c r="AV105" s="85">
        <f>IF(ISNUMBER(tblData[Days'# UK]),betaUK/(deltaUK+betaPodeltaUK*EXP(-betaUK*tblData[Days'# UK])),"")</f>
        <v>235522929.98723698</v>
      </c>
      <c r="AW105" s="85" t="str">
        <f>IF(ISNUMBER(tblData[UK]),(tblData[[#This Row],[UK LogiP(t)]]-tblData[[#This Row],[UK]])^2,"")</f>
        <v/>
      </c>
      <c r="AX105" s="85">
        <f>IF(ISNUMBER(tblData[Days'# UK]),tblData[[#This Row],[UK LogiP(t)]]/$AV$9,"")</f>
        <v>35448965.982425794</v>
      </c>
      <c r="AY105" s="11">
        <f>IF(ISNUMBER(tblData[Days'# China]),betaChina/(deltaChina+betaPodeltaChina*EXP(-betaChina*tblData[Days'# China])),"")</f>
        <v>80951.876304767749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562.42992476466782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Y105"/>
      <c r="BZ105"/>
      <c r="CJ105" s="26"/>
      <c r="CK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</row>
    <row r="106" spans="2:173" x14ac:dyDescent="0.25">
      <c r="B106" s="27">
        <f t="shared" si="12"/>
        <v>44103</v>
      </c>
      <c r="D106" s="26"/>
      <c r="L106" s="12" t="str">
        <f>IF(ISNUMBER(tblData[[#This Row],[NSW]]),tblData[[#This Row],[New South Wales]]/$L$9,"")</f>
        <v/>
      </c>
      <c r="M106" s="26"/>
      <c r="N106" s="49" t="str">
        <f>IF(ISNUMBER(tblData[Italy]),tblData[Italy]/$N$9,"")</f>
        <v/>
      </c>
      <c r="O106" s="26"/>
      <c r="P106" s="49" t="str">
        <f>IF(ISNUMBER(tblData[US]),tblData[US]/$P$9,"")</f>
        <v/>
      </c>
      <c r="Q106" s="49"/>
      <c r="R106" s="19" t="str">
        <f>IF(ISNUMBER(tblData[SKorea]),tblData[SKorea]/$R$9,"")</f>
        <v/>
      </c>
      <c r="S106" s="49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3"/>
        <v>233</v>
      </c>
      <c r="Y106" s="26">
        <f t="shared" si="11"/>
        <v>95</v>
      </c>
      <c r="Z106" s="26">
        <f>IF(tblData[[#This Row],[Date]]&lt;StartDt2Korea,"",tblData[[#This Row],[Date]]-StartDt2Korea)</f>
        <v>223</v>
      </c>
      <c r="AA106" s="26">
        <f>IF(tblData[[#This Row],[Date]]&lt;UKStart,"",tblData[[#This Row],[Date]]-UKStart)</f>
        <v>243</v>
      </c>
      <c r="AB106">
        <f>IF(tblData[Date]&gt;=StartDt2Au,tblData[Date]-StartDt2Au,"")</f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IF(ISNUMBER(tblData[Au]),tblData[Au]/$AA$9,"")</f>
        <v/>
      </c>
      <c r="AE106" s="44">
        <f>IF(ISNUMBER(tblData[[#This Row],[Day'# Aust]]),betaAu/(deltaAu+betaPodeltaAu*EXP(-betaAu*tblData[[#This Row],[Day'# Aust]])),"")</f>
        <v>207001690.92245328</v>
      </c>
      <c r="AF106" s="73">
        <f>IF(ISNUMBER(tblData[Day'# Aust]),tblData[Au LogiP(t)]/$AD$9,"")</f>
        <v>81612399.827493012</v>
      </c>
      <c r="AG106" s="11" t="str">
        <f>IF(AND(tblData[Date]&gt;=StartDt2Au,ISNUMBER(tblData[NSW])),(tblData[[#This Row],[Au LogiP(t)]]-tblData[[#This Row],[Au]])^2,"")</f>
        <v/>
      </c>
      <c r="AH106">
        <f>IF(tblData[Date]&gt;StartDt2NSW,tblData[Date]-StartDt2NSW,"")</f>
        <v>248</v>
      </c>
      <c r="AI106" t="str">
        <f t="shared" si="14"/>
        <v/>
      </c>
      <c r="AJ106" s="11">
        <f>IF(tblData[Date]&gt;StartDt2NSW,betaNSW/(deltaNSW+betaPodeltaNSW*EXP(-betaNSW*tblData[[#This Row],[Day '# NSW]])),"")</f>
        <v>2724.7105763852951</v>
      </c>
      <c r="AK106" s="12" t="str">
        <f>IF(AND(ISNUMBER(tblData[NSW]),tblData[Date]&gt;StartDt2NSW),(tblData[[#This Row],[NSW LogiP(t)]]-tblData[[#This Row],[NSW]])^2,"")</f>
        <v/>
      </c>
      <c r="AL106" s="44">
        <f>IF(AND(tblData[Date]&gt;StartDt2NSW,ISNUMBER(tblData[Day'# Aust])),tblData[NSW LogiP(t)]/$AG$9,"")</f>
        <v>3372.1665549322956</v>
      </c>
      <c r="AM106" s="11">
        <f>IF(AND(tblData[Date]&gt;StartDt2Italy,ISNUMBER(tblData[Days'# Italy])),betaItaly/(deltaItaly+betaPodeltaItaly*EXP(-betaItaly*tblData[Days'# Italy])),"")</f>
        <v>60634.520713483966</v>
      </c>
      <c r="AN106" s="11" t="str">
        <f>IF(AND(tblData[Date]&gt;StartDt2Italy,ISNUMBER(tblData[Italy])),(tblData[[#This Row],[Italy LogiP(t)]]-tblData[[#This Row],[Italy]])^2,"")</f>
        <v/>
      </c>
      <c r="AO106" s="44">
        <f>IF(AND(tblData[Date]&gt;StartDt2Italy,ISNUMBER(tblData[Days'# Italy])),tblData[[#This Row],[Italy LogiP(t)]]/$AM$9,"")</f>
        <v>10030.524518359631</v>
      </c>
      <c r="AP106" s="21">
        <f>IF(ISNUMBER(tblData[[#This Row],[Days'# US]]),betaUS/(deltaUS+betaPodeltaUS*EXP(-betaUS*tblData[Days'# US])),"")</f>
        <v>384575.00192734954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11681.123678055663</v>
      </c>
      <c r="AS106" s="21">
        <f>IF(tblData[Date]&gt;=StartDt2Korea,betaSKorea/(deltaSKorea+betaPodeltaSKorea*EXP(-betaSKorea*(tblData[Date]-StartDt2Korea))),"")</f>
        <v>8378.0382923360467</v>
      </c>
      <c r="AT106" s="21" t="str">
        <f>IF(AND(tblData[Date]&gt;=StartDt2Korea,ISNUMBER(tblData[SKorea])),(tblData[[#This Row],[SKorea LogiP(t)]]-tblData[[#This Row],[SKorea]])^2,"")</f>
        <v/>
      </c>
      <c r="AU106" s="21">
        <f>IF(tblData[Date]&gt;=StartDt2Korea,tblData[[#This Row],[SKorea LogiP(t)]]/$AS$9,"")</f>
        <v>1629.9685393649897</v>
      </c>
      <c r="AV106" s="85">
        <f>IF(ISNUMBER(tblData[Days'# UK]),betaUK/(deltaUK+betaPodeltaUK*EXP(-betaUK*tblData[Days'# UK])),"")</f>
        <v>235522929.98723805</v>
      </c>
      <c r="AW106" s="85" t="str">
        <f>IF(ISNUMBER(tblData[UK]),(tblData[[#This Row],[UK LogiP(t)]]-tblData[[#This Row],[UK]])^2,"")</f>
        <v/>
      </c>
      <c r="AX106" s="85">
        <f>IF(ISNUMBER(tblData[Days'# UK]),tblData[[#This Row],[UK LogiP(t)]]/$AV$9,"")</f>
        <v>35448965.982425958</v>
      </c>
      <c r="AY106" s="11">
        <f>IF(ISNUMBER(tblData[Days'# China]),betaChina/(deltaChina+betaPodeltaChina*EXP(-betaChina*tblData[Days'# China])),"")</f>
        <v>80951.877015752834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562.42992970438388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Y106"/>
      <c r="BZ106"/>
      <c r="CJ106" s="26"/>
      <c r="CK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</row>
    <row r="107" spans="2:173" x14ac:dyDescent="0.25">
      <c r="B107" s="27">
        <f t="shared" si="12"/>
        <v>44110</v>
      </c>
      <c r="D107" s="26"/>
      <c r="L107" s="12" t="str">
        <f>IF(ISNUMBER(tblData[[#This Row],[NSW]]),tblData[[#This Row],[New South Wales]]/$L$9,"")</f>
        <v/>
      </c>
      <c r="M107" s="26"/>
      <c r="N107" s="49" t="str">
        <f>IF(ISNUMBER(tblData[Italy]),tblData[Italy]/$N$9,"")</f>
        <v/>
      </c>
      <c r="O107" s="26"/>
      <c r="P107" s="49" t="str">
        <f>IF(ISNUMBER(tblData[US]),tblData[US]/$P$9,"")</f>
        <v/>
      </c>
      <c r="Q107" s="49"/>
      <c r="R107" s="19" t="str">
        <f>IF(ISNUMBER(tblData[SKorea]),tblData[SKorea]/$R$9,"")</f>
        <v/>
      </c>
      <c r="S107" s="49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3"/>
        <v>240</v>
      </c>
      <c r="Y107" s="26">
        <f t="shared" si="11"/>
        <v>96</v>
      </c>
      <c r="Z107" s="26">
        <f>IF(tblData[[#This Row],[Date]]&lt;StartDt2Korea,"",tblData[[#This Row],[Date]]-StartDt2Korea)</f>
        <v>230</v>
      </c>
      <c r="AA107" s="26">
        <f>IF(tblData[[#This Row],[Date]]&lt;UKStart,"",tblData[[#This Row],[Date]]-UKStart)</f>
        <v>250</v>
      </c>
      <c r="AB107">
        <f>IF(tblData[Date]&gt;=StartDt2Au,tblData[Date]-StartDt2Au,"")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IF(ISNUMBER(tblData[Au]),tblData[Au]/$AA$9,"")</f>
        <v/>
      </c>
      <c r="AE107" s="44">
        <f>IF(ISNUMBER(tblData[[#This Row],[Day'# Aust]]),betaAu/(deltaAu+betaPodeltaAu*EXP(-betaAu*tblData[[#This Row],[Day'# Aust]])),"")</f>
        <v>207001690.92262134</v>
      </c>
      <c r="AF107" s="73">
        <f>IF(ISNUMBER(tblData[Day'# Aust]),tblData[Au LogiP(t)]/$AD$9,"")</f>
        <v>81612399.827559277</v>
      </c>
      <c r="AG107" s="11" t="str">
        <f>IF(AND(tblData[Date]&gt;=StartDt2Au,ISNUMBER(tblData[NSW])),(tblData[[#This Row],[Au LogiP(t)]]-tblData[[#This Row],[Au]])^2,"")</f>
        <v/>
      </c>
      <c r="AH107">
        <f>IF(tblData[Date]&gt;StartDt2NSW,tblData[Date]-StartDt2NSW,"")</f>
        <v>255</v>
      </c>
      <c r="AI107" s="26" t="str">
        <f t="shared" si="14"/>
        <v/>
      </c>
      <c r="AJ107" s="11">
        <f>IF(tblData[Date]&gt;StartDt2NSW,betaNSW/(deltaNSW+betaPodeltaNSW*EXP(-betaNSW*tblData[[#This Row],[Day '# NSW]])),"")</f>
        <v>2724.7105763852951</v>
      </c>
      <c r="AK107" s="12" t="str">
        <f>IF(AND(ISNUMBER(tblData[NSW]),tblData[Date]&gt;StartDt2NSW),(tblData[[#This Row],[NSW LogiP(t)]]-tblData[[#This Row],[NSW]])^2,"")</f>
        <v/>
      </c>
      <c r="AL107" s="44">
        <f>IF(AND(tblData[Date]&gt;StartDt2NSW,ISNUMBER(tblData[Day'# Aust])),tblData[NSW LogiP(t)]/$AG$9,"")</f>
        <v>3372.1665549322956</v>
      </c>
      <c r="AM107" s="11">
        <f>IF(AND(tblData[Date]&gt;StartDt2Italy,ISNUMBER(tblData[Days'# Italy])),betaItaly/(deltaItaly+betaPodeltaItaly*EXP(-betaItaly*tblData[Days'# Italy])),"")</f>
        <v>60634.520713483966</v>
      </c>
      <c r="AN107" s="11" t="str">
        <f>IF(AND(tblData[Date]&gt;StartDt2Italy,ISNUMBER(tblData[Italy])),(tblData[[#This Row],[Italy LogiP(t)]]-tblData[[#This Row],[Italy]])^2,"")</f>
        <v/>
      </c>
      <c r="AO107" s="44">
        <f>IF(AND(tblData[Date]&gt;StartDt2Italy,ISNUMBER(tblData[Days'# Italy])),tblData[[#This Row],[Italy LogiP(t)]]/$AM$9,"")</f>
        <v>10030.524518359631</v>
      </c>
      <c r="AP107" s="21">
        <f>IF(ISNUMBER(tblData[[#This Row],[Days'# US]]),betaUS/(deltaUS+betaPodeltaUS*EXP(-betaUS*tblData[Days'# US])),"")</f>
        <v>384575.00192734954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11681.123678055663</v>
      </c>
      <c r="AS107" s="21">
        <f>IF(tblData[Date]&gt;=StartDt2Korea,betaSKorea/(deltaSKorea+betaPodeltaSKorea*EXP(-betaSKorea*(tblData[Date]-StartDt2Korea))),"")</f>
        <v>8378.0382923360467</v>
      </c>
      <c r="AT107" s="21" t="str">
        <f>IF(AND(tblData[Date]&gt;=StartDt2Korea,ISNUMBER(tblData[SKorea])),(tblData[[#This Row],[SKorea LogiP(t)]]-tblData[[#This Row],[SKorea]])^2,"")</f>
        <v/>
      </c>
      <c r="AU107" s="21">
        <f>IF(tblData[Date]&gt;=StartDt2Korea,tblData[[#This Row],[SKorea LogiP(t)]]/$AS$9,"")</f>
        <v>1629.9685393649897</v>
      </c>
      <c r="AV107" s="85">
        <f>IF(ISNUMBER(tblData[Days'# UK]),betaUK/(deltaUK+betaPodeltaUK*EXP(-betaUK*tblData[Days'# UK])),"")</f>
        <v>235522929.98723823</v>
      </c>
      <c r="AW107" s="85" t="str">
        <f>IF(ISNUMBER(tblData[UK]),(tblData[[#This Row],[UK LogiP(t)]]-tblData[[#This Row],[UK]])^2,"")</f>
        <v/>
      </c>
      <c r="AX107" s="85">
        <f>IF(ISNUMBER(tblData[Days'# UK]),tblData[[#This Row],[UK LogiP(t)]]/$AV$9,"")</f>
        <v>35448965.98242598</v>
      </c>
      <c r="AY107" s="11">
        <f>IF(ISNUMBER(tblData[Days'# China]),betaChina/(deltaChina+betaPodeltaChina*EXP(-betaChina*tblData[Days'# China])),"")</f>
        <v>80951.877585110298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562.42993366011274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Y107"/>
      <c r="BZ107"/>
      <c r="CJ107" s="26"/>
      <c r="CK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</row>
    <row r="108" spans="2:173" s="26" customFormat="1" x14ac:dyDescent="0.25">
      <c r="B108" s="27">
        <f t="shared" si="12"/>
        <v>44117</v>
      </c>
      <c r="L108" s="12" t="str">
        <f>IF(ISNUMBER(tblData[[#This Row],[NSW]]),tblData[[#This Row],[New South Wales]]/$L$9,"")</f>
        <v/>
      </c>
      <c r="N108" s="49" t="str">
        <f>IF(ISNUMBER(tblData[Italy]),tblData[Italy]/$N$9,"")</f>
        <v/>
      </c>
      <c r="P108" s="49" t="str">
        <f>IF(ISNUMBER(tblData[US]),tblData[US]/$P$9,"")</f>
        <v/>
      </c>
      <c r="Q108" s="49"/>
      <c r="R108" s="19" t="str">
        <f>IF(ISNUMBER(tblData[SKorea]),tblData[SKorea]/$R$9,"")</f>
        <v/>
      </c>
      <c r="S108" s="49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3"/>
        <v>247</v>
      </c>
      <c r="Y108" s="26">
        <f t="shared" ref="Y108" si="15">Y107+1</f>
        <v>97</v>
      </c>
      <c r="Z108" s="26">
        <f>IF(tblData[[#This Row],[Date]]&lt;StartDt2Korea,"",tblData[[#This Row],[Date]]-StartDt2Korea)</f>
        <v>237</v>
      </c>
      <c r="AA108" s="26">
        <f>IF(tblData[[#This Row],[Date]]&lt;UKStart,"",tblData[[#This Row],[Date]]-UKStart)</f>
        <v>257</v>
      </c>
      <c r="AB108" s="26">
        <f>IF(tblData[Date]&gt;=StartDt2Au,tblData[Date]-StartDt2Au,"")</f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IF(ISNUMBER(tblData[Au]),tblData[Au]/$AA$9,"")</f>
        <v/>
      </c>
      <c r="AE108" s="44">
        <f>IF(ISNUMBER(tblData[[#This Row],[Day'# Aust]]),betaAu/(deltaAu+betaPodeltaAu*EXP(-betaAu*tblData[[#This Row],[Day'# Aust]])),"")</f>
        <v>207001690.92266083</v>
      </c>
      <c r="AF108" s="73">
        <f>IF(ISNUMBER(tblData[Day'# Aust]),tblData[Au LogiP(t)]/$AD$9,"")</f>
        <v>81612399.827574849</v>
      </c>
      <c r="AG108" s="11" t="str">
        <f>IF(AND(tblData[Date]&gt;=StartDt2Au,ISNUMBER(tblData[NSW])),(tblData[[#This Row],[Au LogiP(t)]]-tblData[[#This Row],[Au]])^2,"")</f>
        <v/>
      </c>
      <c r="AH108" s="26">
        <f>IF(tblData[Date]&gt;StartDt2NSW,tblData[Date]-StartDt2NSW,"")</f>
        <v>262</v>
      </c>
      <c r="AI108" s="26" t="str">
        <f t="shared" si="14"/>
        <v/>
      </c>
      <c r="AJ108" s="11">
        <f>IF(tblData[Date]&gt;StartDt2NSW,betaNSW/(deltaNSW+betaPodeltaNSW*EXP(-betaNSW*tblData[[#This Row],[Day '# NSW]])),"")</f>
        <v>2724.7105763852951</v>
      </c>
      <c r="AK108" s="12" t="str">
        <f>IF(AND(ISNUMBER(tblData[NSW]),tblData[Date]&gt;StartDt2NSW),(tblData[[#This Row],[NSW LogiP(t)]]-tblData[[#This Row],[NSW]])^2,"")</f>
        <v/>
      </c>
      <c r="AL108" s="44">
        <f>IF(AND(tblData[Date]&gt;StartDt2NSW,ISNUMBER(tblData[Day'# Aust])),tblData[NSW LogiP(t)]/$AG$9,"")</f>
        <v>3372.1665549322956</v>
      </c>
      <c r="AM108" s="11">
        <f>IF(AND(tblData[Date]&gt;StartDt2Italy,ISNUMBER(tblData[Days'# Italy])),betaItaly/(deltaItaly+betaPodeltaItaly*EXP(-betaItaly*tblData[Days'# Italy])),"")</f>
        <v>60634.520713483966</v>
      </c>
      <c r="AN108" s="11" t="str">
        <f>IF(AND(tblData[Date]&gt;StartDt2Italy,ISNUMBER(tblData[Italy])),(tblData[[#This Row],[Italy LogiP(t)]]-tblData[[#This Row],[Italy]])^2,"")</f>
        <v/>
      </c>
      <c r="AO108" s="44">
        <f>IF(AND(tblData[Date]&gt;StartDt2Italy,ISNUMBER(tblData[Days'# Italy])),tblData[[#This Row],[Italy LogiP(t)]]/$AM$9,"")</f>
        <v>10030.524518359631</v>
      </c>
      <c r="AP108" s="21">
        <f>IF(ISNUMBER(tblData[[#This Row],[Days'# US]]),betaUS/(deltaUS+betaPodeltaUS*EXP(-betaUS*tblData[Days'# US])),"")</f>
        <v>384575.00192734954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11681.123678055663</v>
      </c>
      <c r="AS108" s="21">
        <f>IF(tblData[Date]&gt;=StartDt2Korea,betaSKorea/(deltaSKorea+betaPodeltaSKorea*EXP(-betaSKorea*(tblData[Date]-StartDt2Korea))),"")</f>
        <v>8378.0382923360467</v>
      </c>
      <c r="AT108" s="21" t="str">
        <f>IF(AND(tblData[Date]&gt;=StartDt2Korea,ISNUMBER(tblData[SKorea])),(tblData[[#This Row],[SKorea LogiP(t)]]-tblData[[#This Row],[SKorea]])^2,"")</f>
        <v/>
      </c>
      <c r="AU108" s="21">
        <f>IF(tblData[Date]&gt;=StartDt2Korea,tblData[[#This Row],[SKorea LogiP(t)]]/$AS$9,"")</f>
        <v>1629.9685393649897</v>
      </c>
      <c r="AV108" s="85">
        <f>IF(ISNUMBER(tblData[Days'# UK]),betaUK/(deltaUK+betaPodeltaUK*EXP(-betaUK*tblData[Days'# UK])),"")</f>
        <v>235522929.98723829</v>
      </c>
      <c r="AW108" s="85" t="str">
        <f>IF(ISNUMBER(tblData[UK]),(tblData[[#This Row],[UK LogiP(t)]]-tblData[[#This Row],[UK]])^2,"")</f>
        <v/>
      </c>
      <c r="AX108" s="85">
        <f>IF(ISNUMBER(tblData[Days'# UK]),tblData[[#This Row],[UK LogiP(t)]]/$AV$9,"")</f>
        <v>35448965.982425988</v>
      </c>
      <c r="AY108" s="11">
        <f>IF(ISNUMBER(tblData[Days'# China]),betaChina/(deltaChina+betaPodeltaChina*EXP(-betaChina*tblData[Days'# China])),"")</f>
        <v>80951.878041052245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562.42993682786391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M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L108"/>
      <c r="CM108"/>
      <c r="CN108"/>
      <c r="CO108"/>
      <c r="CP108"/>
      <c r="CQ108"/>
      <c r="CR108"/>
      <c r="CS108"/>
      <c r="CT108"/>
      <c r="CU108"/>
      <c r="CV108"/>
      <c r="DE108"/>
      <c r="DF108" s="82"/>
      <c r="DG108" s="27"/>
      <c r="DH108" s="27"/>
      <c r="DI108"/>
      <c r="DJ108"/>
      <c r="DK108"/>
      <c r="DL108"/>
      <c r="DM108"/>
      <c r="DN108"/>
      <c r="DO108"/>
      <c r="DP108"/>
      <c r="DQ108"/>
      <c r="DR108" s="27"/>
      <c r="DS108"/>
      <c r="DT108"/>
      <c r="DU108"/>
      <c r="DV108" s="27"/>
      <c r="DW108"/>
      <c r="DX108"/>
      <c r="DY108"/>
      <c r="DZ108"/>
      <c r="EA108"/>
      <c r="EB108"/>
      <c r="EC108"/>
      <c r="ED108"/>
      <c r="EE108"/>
      <c r="EF108"/>
      <c r="EG108"/>
    </row>
    <row r="109" spans="2:173" s="26" customFormat="1" x14ac:dyDescent="0.25">
      <c r="B109" s="27">
        <f t="shared" si="12"/>
        <v>44124</v>
      </c>
      <c r="L109" s="12" t="str">
        <f>IF(ISNUMBER(tblData[[#This Row],[NSW]]),tblData[[#This Row],[New South Wales]]/$L$9,"")</f>
        <v/>
      </c>
      <c r="N109" s="49" t="str">
        <f>IF(ISNUMBER(tblData[Italy]),tblData[Italy]/$N$9,"")</f>
        <v/>
      </c>
      <c r="P109" s="49" t="str">
        <f>IF(ISNUMBER(tblData[US]),tblData[US]/$P$9,"")</f>
        <v/>
      </c>
      <c r="Q109" s="49"/>
      <c r="R109" s="19" t="str">
        <f>IF(ISNUMBER(tblData[SKorea]),tblData[SKorea]/$R$9,"")</f>
        <v/>
      </c>
      <c r="S109" s="49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3"/>
        <v>254</v>
      </c>
      <c r="Y109" s="26">
        <f t="shared" ref="Y109" si="16">Y108+1</f>
        <v>98</v>
      </c>
      <c r="Z109" s="26">
        <f>IF(tblData[[#This Row],[Date]]&lt;StartDt2Korea,"",tblData[[#This Row],[Date]]-StartDt2Korea)</f>
        <v>244</v>
      </c>
      <c r="AA109" s="26">
        <f>IF(tblData[[#This Row],[Date]]&lt;UKStart,"",tblData[[#This Row],[Date]]-UKStart)</f>
        <v>264</v>
      </c>
      <c r="AB109" s="26">
        <f>IF(tblData[Date]&gt;=StartDt2Au,tblData[Date]-StartDt2Au,"")</f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IF(ISNUMBER(tblData[Au]),tblData[Au]/$AA$9,"")</f>
        <v/>
      </c>
      <c r="AE109" s="44">
        <f>IF(ISNUMBER(tblData[[#This Row],[Day'# Aust]]),betaAu/(deltaAu+betaPodeltaAu*EXP(-betaAu*tblData[[#This Row],[Day'# Aust]])),"")</f>
        <v>207001690.9226701</v>
      </c>
      <c r="AF109" s="73">
        <f>IF(ISNUMBER(tblData[Day'# Aust]),tblData[Au LogiP(t)]/$AD$9,"")</f>
        <v>81612399.8275785</v>
      </c>
      <c r="AG109" s="11" t="str">
        <f>IF(AND(tblData[Date]&gt;=StartDt2Au,ISNUMBER(tblData[NSW])),(tblData[[#This Row],[Au LogiP(t)]]-tblData[[#This Row],[Au]])^2,"")</f>
        <v/>
      </c>
      <c r="AH109" s="26">
        <f>IF(tblData[Date]&gt;StartDt2NSW,tblData[Date]-StartDt2NSW,"")</f>
        <v>269</v>
      </c>
      <c r="AI109" s="26" t="str">
        <f t="shared" si="14"/>
        <v/>
      </c>
      <c r="AJ109" s="11">
        <f>IF(tblData[Date]&gt;StartDt2NSW,betaNSW/(deltaNSW+betaPodeltaNSW*EXP(-betaNSW*tblData[[#This Row],[Day '# NSW]])),"")</f>
        <v>2724.7105763852951</v>
      </c>
      <c r="AK109" s="12" t="str">
        <f>IF(AND(ISNUMBER(tblData[NSW]),tblData[Date]&gt;StartDt2NSW),(tblData[[#This Row],[NSW LogiP(t)]]-tblData[[#This Row],[NSW]])^2,"")</f>
        <v/>
      </c>
      <c r="AL109" s="44">
        <f>IF(AND(tblData[Date]&gt;StartDt2NSW,ISNUMBER(tblData[Day'# Aust])),tblData[NSW LogiP(t)]/$AG$9,"")</f>
        <v>3372.1665549322956</v>
      </c>
      <c r="AM109" s="11">
        <f>IF(AND(tblData[Date]&gt;StartDt2Italy,ISNUMBER(tblData[Days'# Italy])),betaItaly/(deltaItaly+betaPodeltaItaly*EXP(-betaItaly*tblData[Days'# Italy])),"")</f>
        <v>60634.520713483966</v>
      </c>
      <c r="AN109" s="11" t="str">
        <f>IF(AND(tblData[Date]&gt;StartDt2Italy,ISNUMBER(tblData[Italy])),(tblData[[#This Row],[Italy LogiP(t)]]-tblData[[#This Row],[Italy]])^2,"")</f>
        <v/>
      </c>
      <c r="AO109" s="44">
        <f>IF(AND(tblData[Date]&gt;StartDt2Italy,ISNUMBER(tblData[Days'# Italy])),tblData[[#This Row],[Italy LogiP(t)]]/$AM$9,"")</f>
        <v>10030.524518359631</v>
      </c>
      <c r="AP109" s="21">
        <f>IF(ISNUMBER(tblData[[#This Row],[Days'# US]]),betaUS/(deltaUS+betaPodeltaUS*EXP(-betaUS*tblData[Days'# US])),"")</f>
        <v>384575.00192734954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11681.123678055663</v>
      </c>
      <c r="AS109" s="21">
        <f>IF(tblData[Date]&gt;=StartDt2Korea,betaSKorea/(deltaSKorea+betaPodeltaSKorea*EXP(-betaSKorea*(tblData[Date]-StartDt2Korea))),"")</f>
        <v>8378.0382923360467</v>
      </c>
      <c r="AT109" s="21" t="str">
        <f>IF(AND(tblData[Date]&gt;=StartDt2Korea,ISNUMBER(tblData[SKorea])),(tblData[[#This Row],[SKorea LogiP(t)]]-tblData[[#This Row],[SKorea]])^2,"")</f>
        <v/>
      </c>
      <c r="AU109" s="21">
        <f>IF(tblData[Date]&gt;=StartDt2Korea,tblData[[#This Row],[SKorea LogiP(t)]]/$AS$9,"")</f>
        <v>1629.9685393649897</v>
      </c>
      <c r="AV109" s="85">
        <f>IF(ISNUMBER(tblData[Days'# UK]),betaUK/(deltaUK+betaPodeltaUK*EXP(-betaUK*tblData[Days'# UK])),"")</f>
        <v>235522929.98723829</v>
      </c>
      <c r="AW109" s="85" t="str">
        <f>IF(ISNUMBER(tblData[UK]),(tblData[[#This Row],[UK LogiP(t)]]-tblData[[#This Row],[UK]])^2,"")</f>
        <v/>
      </c>
      <c r="AX109" s="85">
        <f>IF(ISNUMBER(tblData[Days'# UK]),tblData[[#This Row],[UK LogiP(t)]]/$AV$9,"")</f>
        <v>35448965.982425988</v>
      </c>
      <c r="AY109" s="11">
        <f>IF(ISNUMBER(tblData[Days'# China]),betaChina/(deltaChina+betaPodeltaChina*EXP(-betaChina*tblData[Days'# China])),"")</f>
        <v>80951.87840617093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562.42993936460152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M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L109"/>
      <c r="CM109"/>
      <c r="CN109"/>
      <c r="CO109"/>
      <c r="CP109"/>
      <c r="CQ109"/>
      <c r="CR109"/>
      <c r="CS109"/>
      <c r="CT109"/>
      <c r="CU109"/>
      <c r="CV109"/>
      <c r="DE109"/>
      <c r="DF109" s="82"/>
      <c r="DG109" s="27"/>
      <c r="DH109" s="27"/>
      <c r="DI109"/>
      <c r="DJ109"/>
      <c r="DK109"/>
      <c r="DL109"/>
      <c r="DM109"/>
      <c r="DN109"/>
      <c r="DO109"/>
      <c r="DP109"/>
      <c r="DQ109"/>
      <c r="DR109" s="27"/>
      <c r="DS109"/>
      <c r="DT109"/>
      <c r="DU109"/>
      <c r="DV109" s="27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</row>
    <row r="110" spans="2:173" s="26" customFormat="1" x14ac:dyDescent="0.25">
      <c r="B110" s="27">
        <f t="shared" si="12"/>
        <v>44131</v>
      </c>
      <c r="L110" s="12" t="str">
        <f>IF(ISNUMBER(tblData[[#This Row],[NSW]]),tblData[[#This Row],[New South Wales]]/$L$9,"")</f>
        <v/>
      </c>
      <c r="N110" s="49" t="str">
        <f>IF(ISNUMBER(tblData[Italy]),tblData[Italy]/$N$9,"")</f>
        <v/>
      </c>
      <c r="P110" s="49" t="str">
        <f>IF(ISNUMBER(tblData[US]),tblData[US]/$P$9,"")</f>
        <v/>
      </c>
      <c r="Q110" s="49"/>
      <c r="R110" s="19" t="str">
        <f>IF(ISNUMBER(tblData[SKorea]),tblData[SKorea]/$R$9,"")</f>
        <v/>
      </c>
      <c r="S110" s="49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3"/>
        <v>261</v>
      </c>
      <c r="Y110" s="26">
        <f t="shared" ref="Y110" si="17">Y109+1</f>
        <v>99</v>
      </c>
      <c r="Z110" s="26">
        <f>IF(tblData[[#This Row],[Date]]&lt;StartDt2Korea,"",tblData[[#This Row],[Date]]-StartDt2Korea)</f>
        <v>251</v>
      </c>
      <c r="AA110" s="26">
        <f>IF(tblData[[#This Row],[Date]]&lt;UKStart,"",tblData[[#This Row],[Date]]-UKStart)</f>
        <v>271</v>
      </c>
      <c r="AB110" s="26">
        <f>IF(tblData[Date]&gt;=StartDt2Au,tblData[Date]-StartDt2Au,"")</f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IF(ISNUMBER(tblData[Au]),tblData[Au]/$AA$9,"")</f>
        <v/>
      </c>
      <c r="AE110" s="44">
        <f>IF(ISNUMBER(tblData[[#This Row],[Day'# Aust]]),betaAu/(deltaAu+betaPodeltaAu*EXP(-betaAu*tblData[[#This Row],[Day'# Aust]])),"")</f>
        <v>207001690.92267224</v>
      </c>
      <c r="AF110" s="73">
        <f>IF(ISNUMBER(tblData[Day'# Aust]),tblData[Au LogiP(t)]/$AD$9,"")</f>
        <v>81612399.827579349</v>
      </c>
      <c r="AG110" s="11" t="str">
        <f>IF(AND(tblData[Date]&gt;=StartDt2Au,ISNUMBER(tblData[NSW])),(tblData[[#This Row],[Au LogiP(t)]]-tblData[[#This Row],[Au]])^2,"")</f>
        <v/>
      </c>
      <c r="AH110" s="26">
        <f>IF(tblData[Date]&gt;StartDt2NSW,tblData[Date]-StartDt2NSW,"")</f>
        <v>276</v>
      </c>
      <c r="AI110" s="26" t="str">
        <f t="shared" si="14"/>
        <v/>
      </c>
      <c r="AJ110" s="11">
        <f>IF(tblData[Date]&gt;StartDt2NSW,betaNSW/(deltaNSW+betaPodeltaNSW*EXP(-betaNSW*tblData[[#This Row],[Day '# NSW]])),"")</f>
        <v>2724.7105763852951</v>
      </c>
      <c r="AK110" s="12" t="str">
        <f>IF(AND(ISNUMBER(tblData[NSW]),tblData[Date]&gt;StartDt2NSW),(tblData[[#This Row],[NSW LogiP(t)]]-tblData[[#This Row],[NSW]])^2,"")</f>
        <v/>
      </c>
      <c r="AL110" s="44">
        <f>IF(AND(tblData[Date]&gt;StartDt2NSW,ISNUMBER(tblData[Day'# Aust])),tblData[NSW LogiP(t)]/$AG$9,"")</f>
        <v>3372.1665549322956</v>
      </c>
      <c r="AM110" s="11">
        <f>IF(AND(tblData[Date]&gt;StartDt2Italy,ISNUMBER(tblData[Days'# Italy])),betaItaly/(deltaItaly+betaPodeltaItaly*EXP(-betaItaly*tblData[Days'# Italy])),"")</f>
        <v>60634.520713483966</v>
      </c>
      <c r="AN110" s="11" t="str">
        <f>IF(AND(tblData[Date]&gt;StartDt2Italy,ISNUMBER(tblData[Italy])),(tblData[[#This Row],[Italy LogiP(t)]]-tblData[[#This Row],[Italy]])^2,"")</f>
        <v/>
      </c>
      <c r="AO110" s="44">
        <f>IF(AND(tblData[Date]&gt;StartDt2Italy,ISNUMBER(tblData[Days'# Italy])),tblData[[#This Row],[Italy LogiP(t)]]/$AM$9,"")</f>
        <v>10030.524518359631</v>
      </c>
      <c r="AP110" s="21">
        <f>IF(ISNUMBER(tblData[[#This Row],[Days'# US]]),betaUS/(deltaUS+betaPodeltaUS*EXP(-betaUS*tblData[Days'# US])),"")</f>
        <v>384575.00192734954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11681.123678055663</v>
      </c>
      <c r="AS110" s="21">
        <f>IF(tblData[Date]&gt;=StartDt2Korea,betaSKorea/(deltaSKorea+betaPodeltaSKorea*EXP(-betaSKorea*(tblData[Date]-StartDt2Korea))),"")</f>
        <v>8378.0382923360467</v>
      </c>
      <c r="AT110" s="21" t="str">
        <f>IF(AND(tblData[Date]&gt;=StartDt2Korea,ISNUMBER(tblData[SKorea])),(tblData[[#This Row],[SKorea LogiP(t)]]-tblData[[#This Row],[SKorea]])^2,"")</f>
        <v/>
      </c>
      <c r="AU110" s="21">
        <f>IF(tblData[Date]&gt;=StartDt2Korea,tblData[[#This Row],[SKorea LogiP(t)]]/$AS$9,"")</f>
        <v>1629.9685393649897</v>
      </c>
      <c r="AV110" s="85">
        <f>IF(ISNUMBER(tblData[Days'# UK]),betaUK/(deltaUK+betaPodeltaUK*EXP(-betaUK*tblData[Days'# UK])),"")</f>
        <v>235522929.98723829</v>
      </c>
      <c r="AW110" s="85" t="str">
        <f>IF(ISNUMBER(tblData[UK]),(tblData[[#This Row],[UK LogiP(t)]]-tblData[[#This Row],[UK]])^2,"")</f>
        <v/>
      </c>
      <c r="AX110" s="85">
        <f>IF(ISNUMBER(tblData[Days'# UK]),tblData[[#This Row],[UK LogiP(t)]]/$AV$9,"")</f>
        <v>35448965.982425988</v>
      </c>
      <c r="AY110" s="11">
        <f>IF(ISNUMBER(tblData[Days'# China]),betaChina/(deltaChina+betaPodeltaChina*EXP(-betaChina*tblData[Days'# China])),"")</f>
        <v>80951.878698558299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562.42994139602331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  <c r="DE110"/>
      <c r="DF110" s="82"/>
      <c r="DG110" s="27"/>
      <c r="DH110" s="27"/>
      <c r="DI110"/>
      <c r="DJ110"/>
      <c r="DK110"/>
      <c r="DL110"/>
      <c r="DM110"/>
      <c r="DN110"/>
      <c r="DO110"/>
      <c r="DP110"/>
      <c r="DQ110"/>
      <c r="DR110" s="27"/>
      <c r="DS110"/>
      <c r="DT110"/>
      <c r="DU110"/>
      <c r="DV110" s="27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</row>
    <row r="111" spans="2:173" s="26" customFormat="1" x14ac:dyDescent="0.25">
      <c r="B111" s="27">
        <f t="shared" si="12"/>
        <v>44138</v>
      </c>
      <c r="L111" s="12" t="str">
        <f>IF(ISNUMBER(tblData[[#This Row],[NSW]]),tblData[[#This Row],[New South Wales]]/$L$9,"")</f>
        <v/>
      </c>
      <c r="N111" s="49" t="str">
        <f>IF(ISNUMBER(tblData[Italy]),tblData[Italy]/$N$9,"")</f>
        <v/>
      </c>
      <c r="P111" s="49" t="str">
        <f>IF(ISNUMBER(tblData[US]),tblData[US]/$P$9,"")</f>
        <v/>
      </c>
      <c r="Q111" s="49"/>
      <c r="R111" s="19" t="str">
        <f>IF(ISNUMBER(tblData[SKorea]),tblData[SKorea]/$R$9,"")</f>
        <v/>
      </c>
      <c r="S111" s="49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3"/>
        <v>268</v>
      </c>
      <c r="Y111" s="26">
        <f t="shared" ref="Y111" si="18">Y110+1</f>
        <v>100</v>
      </c>
      <c r="Z111" s="26">
        <f>IF(tblData[[#This Row],[Date]]&lt;StartDt2Korea,"",tblData[[#This Row],[Date]]-StartDt2Korea)</f>
        <v>258</v>
      </c>
      <c r="AA111" s="26">
        <f>IF(tblData[[#This Row],[Date]]&lt;UKStart,"",tblData[[#This Row],[Date]]-UKStart)</f>
        <v>278</v>
      </c>
      <c r="AB111" s="26">
        <f>IF(tblData[Date]&gt;=StartDt2Au,tblData[Date]-StartDt2Au,"")</f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IF(ISNUMBER(tblData[Au]),tblData[Au]/$AA$9,"")</f>
        <v/>
      </c>
      <c r="AE111" s="44">
        <f>IF(ISNUMBER(tblData[[#This Row],[Day'# Aust]]),betaAu/(deltaAu+betaPodeltaAu*EXP(-betaAu*tblData[[#This Row],[Day'# Aust]])),"")</f>
        <v>207001690.92267278</v>
      </c>
      <c r="AF111" s="73">
        <f>IF(ISNUMBER(tblData[Day'# Aust]),tblData[Au LogiP(t)]/$AD$9,"")</f>
        <v>81612399.827579558</v>
      </c>
      <c r="AG111" s="11" t="str">
        <f>IF(AND(tblData[Date]&gt;=StartDt2Au,ISNUMBER(tblData[NSW])),(tblData[[#This Row],[Au LogiP(t)]]-tblData[[#This Row],[Au]])^2,"")</f>
        <v/>
      </c>
      <c r="AH111" s="26">
        <f>IF(tblData[Date]&gt;StartDt2NSW,tblData[Date]-StartDt2NSW,"")</f>
        <v>283</v>
      </c>
      <c r="AI111" s="26" t="str">
        <f t="shared" si="14"/>
        <v/>
      </c>
      <c r="AJ111" s="11">
        <f>IF(tblData[Date]&gt;StartDt2NSW,betaNSW/(deltaNSW+betaPodeltaNSW*EXP(-betaNSW*tblData[[#This Row],[Day '# NSW]])),"")</f>
        <v>2724.7105763852951</v>
      </c>
      <c r="AK111" s="12" t="str">
        <f>IF(AND(ISNUMBER(tblData[NSW]),tblData[Date]&gt;StartDt2NSW),(tblData[[#This Row],[NSW LogiP(t)]]-tblData[[#This Row],[NSW]])^2,"")</f>
        <v/>
      </c>
      <c r="AL111" s="44">
        <f>IF(AND(tblData[Date]&gt;StartDt2NSW,ISNUMBER(tblData[Day'# Aust])),tblData[NSW LogiP(t)]/$AG$9,"")</f>
        <v>3372.1665549322956</v>
      </c>
      <c r="AM111" s="11">
        <f>IF(AND(tblData[Date]&gt;StartDt2Italy,ISNUMBER(tblData[Days'# Italy])),betaItaly/(deltaItaly+betaPodeltaItaly*EXP(-betaItaly*tblData[Days'# Italy])),"")</f>
        <v>60634.520713483966</v>
      </c>
      <c r="AN111" s="11" t="str">
        <f>IF(AND(tblData[Date]&gt;StartDt2Italy,ISNUMBER(tblData[Italy])),(tblData[[#This Row],[Italy LogiP(t)]]-tblData[[#This Row],[Italy]])^2,"")</f>
        <v/>
      </c>
      <c r="AO111" s="44">
        <f>IF(AND(tblData[Date]&gt;StartDt2Italy,ISNUMBER(tblData[Days'# Italy])),tblData[[#This Row],[Italy LogiP(t)]]/$AM$9,"")</f>
        <v>10030.524518359631</v>
      </c>
      <c r="AP111" s="21">
        <f>IF(ISNUMBER(tblData[[#This Row],[Days'# US]]),betaUS/(deltaUS+betaPodeltaUS*EXP(-betaUS*tblData[Days'# US])),"")</f>
        <v>384575.00192734954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11681.123678055663</v>
      </c>
      <c r="AS111" s="21">
        <f>IF(tblData[Date]&gt;=StartDt2Korea,betaSKorea/(deltaSKorea+betaPodeltaSKorea*EXP(-betaSKorea*(tblData[Date]-StartDt2Korea))),"")</f>
        <v>8378.0382923360467</v>
      </c>
      <c r="AT111" s="21" t="str">
        <f>IF(AND(tblData[Date]&gt;=StartDt2Korea,ISNUMBER(tblData[SKorea])),(tblData[[#This Row],[SKorea LogiP(t)]]-tblData[[#This Row],[SKorea]])^2,"")</f>
        <v/>
      </c>
      <c r="AU111" s="21">
        <f>IF(tblData[Date]&gt;=StartDt2Korea,tblData[[#This Row],[SKorea LogiP(t)]]/$AS$9,"")</f>
        <v>1629.9685393649897</v>
      </c>
      <c r="AV111" s="85">
        <f>IF(ISNUMBER(tblData[Days'# UK]),betaUK/(deltaUK+betaPodeltaUK*EXP(-betaUK*tblData[Days'# UK])),"")</f>
        <v>235522929.98723829</v>
      </c>
      <c r="AW111" s="85" t="str">
        <f>IF(ISNUMBER(tblData[UK]),(tblData[[#This Row],[UK LogiP(t)]]-tblData[[#This Row],[UK]])^2,"")</f>
        <v/>
      </c>
      <c r="AX111" s="85">
        <f>IF(ISNUMBER(tblData[Days'# UK]),tblData[[#This Row],[UK LogiP(t)]]/$AV$9,"")</f>
        <v>35448965.982425988</v>
      </c>
      <c r="AY111" s="11">
        <f>IF(ISNUMBER(tblData[Days'# China]),betaChina/(deltaChina+betaPodeltaChina*EXP(-betaChina*tblData[Days'# China])),"")</f>
        <v>80951.878932702341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562.4299430227876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  <c r="DE111"/>
      <c r="DF111" s="82"/>
      <c r="DG111" s="27"/>
      <c r="DH111" s="27"/>
      <c r="DI111"/>
      <c r="DJ111"/>
      <c r="DK111"/>
      <c r="DL111"/>
      <c r="DM111"/>
      <c r="DN111"/>
      <c r="DO111"/>
      <c r="DP111"/>
      <c r="DQ111"/>
      <c r="DR111" s="27"/>
      <c r="DS111"/>
      <c r="DT111"/>
      <c r="DU111"/>
      <c r="DV111" s="27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</row>
    <row r="112" spans="2:173" x14ac:dyDescent="0.25">
      <c r="B112" s="27">
        <f t="shared" si="12"/>
        <v>44145</v>
      </c>
      <c r="L112" s="12" t="str">
        <f>IF(ISNUMBER(tblData[[#This Row],[NSW]]),tblData[[#This Row],[New South Wales]]/$L$9,"")</f>
        <v/>
      </c>
      <c r="N112" s="49" t="str">
        <f>IF(ISNUMBER(tblData[Italy]),tblData[Italy]/$N$9,"")</f>
        <v/>
      </c>
      <c r="P112" s="49" t="str">
        <f>IF(ISNUMBER(tblData[US]),tblData[US]/$P$9,"")</f>
        <v/>
      </c>
      <c r="Q112" s="49"/>
      <c r="R112" s="19" t="str">
        <f>IF(ISNUMBER(tblData[SKorea]),tblData[SKorea]/$R$9,"")</f>
        <v/>
      </c>
      <c r="S112" s="49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3"/>
        <v>275</v>
      </c>
      <c r="Y112" s="26">
        <f t="shared" ref="Y112" si="19">Y111+1</f>
        <v>101</v>
      </c>
      <c r="Z112" s="26">
        <f>IF(tblData[[#This Row],[Date]]&lt;StartDt2Korea,"",tblData[[#This Row],[Date]]-StartDt2Korea)</f>
        <v>265</v>
      </c>
      <c r="AA112" s="26">
        <f>IF(tblData[[#This Row],[Date]]&lt;UKStart,"",tblData[[#This Row],[Date]]-UKStart)</f>
        <v>285</v>
      </c>
      <c r="AB112">
        <f>IF(tblData[Date]&gt;=StartDt2Au,tblData[Date]-StartDt2Au,"")</f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IF(ISNUMBER(tblData[Au]),tblData[Au]/$AA$9,"")</f>
        <v/>
      </c>
      <c r="AE112" s="44">
        <f>IF(ISNUMBER(tblData[[#This Row],[Day'# Aust]]),betaAu/(deltaAu+betaPodeltaAu*EXP(-betaAu*tblData[[#This Row],[Day'# Aust]])),"")</f>
        <v>207001690.9226729</v>
      </c>
      <c r="AF112" s="73">
        <f>IF(ISNUMBER(tblData[Day'# Aust]),tblData[Au LogiP(t)]/$AD$9,"")</f>
        <v>81612399.827579603</v>
      </c>
      <c r="AG112" s="11" t="str">
        <f>IF(AND(tblData[Date]&gt;=StartDt2Au,ISNUMBER(tblData[NSW])),(tblData[[#This Row],[Au LogiP(t)]]-tblData[[#This Row],[Au]])^2,"")</f>
        <v/>
      </c>
      <c r="AH112">
        <f>IF(tblData[Date]&gt;StartDt2NSW,tblData[Date]-StartDt2NSW,"")</f>
        <v>290</v>
      </c>
      <c r="AI112" s="26" t="str">
        <f t="shared" si="14"/>
        <v/>
      </c>
      <c r="AJ112" s="11">
        <f>IF(tblData[Date]&gt;StartDt2NSW,betaNSW/(deltaNSW+betaPodeltaNSW*EXP(-betaNSW*tblData[[#This Row],[Day '# NSW]])),"")</f>
        <v>2724.7105763852951</v>
      </c>
      <c r="AK112" s="12" t="str">
        <f>IF(AND(ISNUMBER(tblData[NSW]),tblData[Date]&gt;StartDt2NSW),(tblData[[#This Row],[NSW LogiP(t)]]-tblData[[#This Row],[NSW]])^2,"")</f>
        <v/>
      </c>
      <c r="AL112" s="44">
        <f>IF(AND(tblData[Date]&gt;StartDt2NSW,ISNUMBER(tblData[Day'# Aust])),tblData[NSW LogiP(t)]/$AG$9,"")</f>
        <v>3372.1665549322956</v>
      </c>
      <c r="AM112" s="11">
        <f>IF(AND(tblData[Date]&gt;StartDt2Italy,ISNUMBER(tblData[Days'# Italy])),betaItaly/(deltaItaly+betaPodeltaItaly*EXP(-betaItaly*tblData[Days'# Italy])),"")</f>
        <v>60634.520713483966</v>
      </c>
      <c r="AN112" s="11" t="str">
        <f>IF(AND(tblData[Date]&gt;StartDt2Italy,ISNUMBER(tblData[Italy])),(tblData[[#This Row],[Italy LogiP(t)]]-tblData[[#This Row],[Italy]])^2,"")</f>
        <v/>
      </c>
      <c r="AO112" s="44">
        <f>IF(AND(tblData[Date]&gt;StartDt2Italy,ISNUMBER(tblData[Days'# Italy])),tblData[[#This Row],[Italy LogiP(t)]]/$AM$9,"")</f>
        <v>10030.524518359631</v>
      </c>
      <c r="AP112" s="21">
        <f>IF(ISNUMBER(tblData[[#This Row],[Days'# US]]),betaUS/(deltaUS+betaPodeltaUS*EXP(-betaUS*tblData[Days'# US])),"")</f>
        <v>384575.00192734954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11681.123678055663</v>
      </c>
      <c r="AS112" s="21">
        <f>IF(tblData[Date]&gt;=StartDt2Korea,betaSKorea/(deltaSKorea+betaPodeltaSKorea*EXP(-betaSKorea*(tblData[Date]-StartDt2Korea))),"")</f>
        <v>8378.0382923360467</v>
      </c>
      <c r="AT112" s="21" t="str">
        <f>IF(AND(tblData[Date]&gt;=StartDt2Korea,ISNUMBER(tblData[SKorea])),(tblData[[#This Row],[SKorea LogiP(t)]]-tblData[[#This Row],[SKorea]])^2,"")</f>
        <v/>
      </c>
      <c r="AU112" s="21">
        <f>IF(tblData[Date]&gt;=StartDt2Korea,tblData[[#This Row],[SKorea LogiP(t)]]/$AS$9,"")</f>
        <v>1629.9685393649897</v>
      </c>
      <c r="AV112" s="85">
        <f>IF(ISNUMBER(tblData[Days'# UK]),betaUK/(deltaUK+betaPodeltaUK*EXP(-betaUK*tblData[Days'# UK])),"")</f>
        <v>235522929.98723829</v>
      </c>
      <c r="AW112" s="85" t="str">
        <f>IF(ISNUMBER(tblData[UK]),(tblData[[#This Row],[UK LogiP(t)]]-tblData[[#This Row],[UK]])^2,"")</f>
        <v/>
      </c>
      <c r="AX112" s="85">
        <f>IF(ISNUMBER(tblData[Days'# UK]),tblData[[#This Row],[UK LogiP(t)]]/$AV$9,"")</f>
        <v>35448965.982425988</v>
      </c>
      <c r="AY112" s="11">
        <f>IF(ISNUMBER(tblData[Days'# China]),betaChina/(deltaChina+betaPodeltaChina*EXP(-betaChina*tblData[Days'# China])),"")</f>
        <v>80951.879120205092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562.42994432550176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M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</row>
    <row r="113" spans="2:173" x14ac:dyDescent="0.25">
      <c r="B113" s="27">
        <f t="shared" si="12"/>
        <v>44152</v>
      </c>
      <c r="L113" s="12" t="str">
        <f>IF(ISNUMBER(tblData[[#This Row],[NSW]]),tblData[[#This Row],[New South Wales]]/$L$9,"")</f>
        <v/>
      </c>
      <c r="N113" s="49" t="str">
        <f>IF(ISNUMBER(tblData[Italy]),tblData[Italy]/$N$9,"")</f>
        <v/>
      </c>
      <c r="P113" s="49" t="str">
        <f>IF(ISNUMBER(tblData[US]),tblData[US]/$P$9,"")</f>
        <v/>
      </c>
      <c r="Q113" s="49"/>
      <c r="R113" s="19" t="str">
        <f>IF(ISNUMBER(tblData[SKorea]),tblData[SKorea]/$R$9,"")</f>
        <v/>
      </c>
      <c r="S113" s="49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3"/>
        <v>282</v>
      </c>
      <c r="Y113" s="26">
        <f t="shared" ref="Y113" si="20">Y112+1</f>
        <v>102</v>
      </c>
      <c r="Z113" s="26">
        <f>IF(tblData[[#This Row],[Date]]&lt;StartDt2Korea,"",tblData[[#This Row],[Date]]-StartDt2Korea)</f>
        <v>272</v>
      </c>
      <c r="AA113" s="26">
        <f>IF(tblData[[#This Row],[Date]]&lt;UKStart,"",tblData[[#This Row],[Date]]-UKStart)</f>
        <v>292</v>
      </c>
      <c r="AB113">
        <f>IF(tblData[Date]&gt;=StartDt2Au,tblData[Date]-StartDt2Au,"")</f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IF(ISNUMBER(tblData[Au]),tblData[Au]/$AA$9,"")</f>
        <v/>
      </c>
      <c r="AE113" s="44">
        <f>IF(ISNUMBER(tblData[[#This Row],[Day'# Aust]]),betaAu/(deltaAu+betaPodeltaAu*EXP(-betaAu*tblData[[#This Row],[Day'# Aust]])),"")</f>
        <v>207001690.92267293</v>
      </c>
      <c r="AF113" s="73">
        <f>IF(ISNUMBER(tblData[Day'# Aust]),tblData[Au LogiP(t)]/$AD$9,"")</f>
        <v>81612399.827579618</v>
      </c>
      <c r="AG113" s="11" t="str">
        <f>IF(AND(tblData[Date]&gt;=StartDt2Au,ISNUMBER(tblData[NSW])),(tblData[[#This Row],[Au LogiP(t)]]-tblData[[#This Row],[Au]])^2,"")</f>
        <v/>
      </c>
      <c r="AH113">
        <f>IF(tblData[Date]&gt;StartDt2NSW,tblData[Date]-StartDt2NSW,"")</f>
        <v>297</v>
      </c>
      <c r="AI113" s="26" t="str">
        <f t="shared" si="14"/>
        <v/>
      </c>
      <c r="AJ113" s="11">
        <f>IF(tblData[Date]&gt;StartDt2NSW,betaNSW/(deltaNSW+betaPodeltaNSW*EXP(-betaNSW*tblData[[#This Row],[Day '# NSW]])),"")</f>
        <v>2724.7105763852951</v>
      </c>
      <c r="AK113" s="12" t="str">
        <f>IF(AND(ISNUMBER(tblData[NSW]),tblData[Date]&gt;StartDt2NSW),(tblData[[#This Row],[NSW LogiP(t)]]-tblData[[#This Row],[NSW]])^2,"")</f>
        <v/>
      </c>
      <c r="AL113" s="44">
        <f>IF(AND(tblData[Date]&gt;StartDt2NSW,ISNUMBER(tblData[Day'# Aust])),tblData[NSW LogiP(t)]/$AG$9,"")</f>
        <v>3372.1665549322956</v>
      </c>
      <c r="AM113" s="11">
        <f>IF(AND(tblData[Date]&gt;StartDt2Italy,ISNUMBER(tblData[Days'# Italy])),betaItaly/(deltaItaly+betaPodeltaItaly*EXP(-betaItaly*tblData[Days'# Italy])),"")</f>
        <v>60634.520713483966</v>
      </c>
      <c r="AN113" s="11" t="str">
        <f>IF(AND(tblData[Date]&gt;StartDt2Italy,ISNUMBER(tblData[Italy])),(tblData[[#This Row],[Italy LogiP(t)]]-tblData[[#This Row],[Italy]])^2,"")</f>
        <v/>
      </c>
      <c r="AO113" s="44">
        <f>IF(AND(tblData[Date]&gt;StartDt2Italy,ISNUMBER(tblData[Days'# Italy])),tblData[[#This Row],[Italy LogiP(t)]]/$AM$9,"")</f>
        <v>10030.524518359631</v>
      </c>
      <c r="AP113" s="21">
        <f>IF(ISNUMBER(tblData[[#This Row],[Days'# US]]),betaUS/(deltaUS+betaPodeltaUS*EXP(-betaUS*tblData[Days'# US])),"")</f>
        <v>384575.00192734954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11681.123678055663</v>
      </c>
      <c r="AS113" s="21">
        <f>IF(tblData[Date]&gt;=StartDt2Korea,betaSKorea/(deltaSKorea+betaPodeltaSKorea*EXP(-betaSKorea*(tblData[Date]-StartDt2Korea))),"")</f>
        <v>8378.0382923360467</v>
      </c>
      <c r="AT113" s="21" t="str">
        <f>IF(AND(tblData[Date]&gt;=StartDt2Korea,ISNUMBER(tblData[SKorea])),(tblData[[#This Row],[SKorea LogiP(t)]]-tblData[[#This Row],[SKorea]])^2,"")</f>
        <v/>
      </c>
      <c r="AU113" s="21">
        <f>IF(tblData[Date]&gt;=StartDt2Korea,tblData[[#This Row],[SKorea LogiP(t)]]/$AS$9,"")</f>
        <v>1629.9685393649897</v>
      </c>
      <c r="AV113" s="85">
        <f>IF(ISNUMBER(tblData[Days'# UK]),betaUK/(deltaUK+betaPodeltaUK*EXP(-betaUK*tblData[Days'# UK])),"")</f>
        <v>235522929.98723829</v>
      </c>
      <c r="AW113" s="85" t="str">
        <f>IF(ISNUMBER(tblData[UK]),(tblData[[#This Row],[UK LogiP(t)]]-tblData[[#This Row],[UK]])^2,"")</f>
        <v/>
      </c>
      <c r="AX113" s="85">
        <f>IF(ISNUMBER(tblData[Days'# UK]),tblData[[#This Row],[UK LogiP(t)]]/$AV$9,"")</f>
        <v>35448965.982425988</v>
      </c>
      <c r="AY113" s="11">
        <f>IF(ISNUMBER(tblData[Days'# China]),betaChina/(deltaChina+betaPodeltaChina*EXP(-betaChina*tblData[Days'# China])),"")</f>
        <v>80951.879270357458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562.4299453687164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M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</row>
    <row r="114" spans="2:173" x14ac:dyDescent="0.25">
      <c r="B114" s="27">
        <f t="shared" si="12"/>
        <v>44159</v>
      </c>
      <c r="L114" s="12" t="str">
        <f>IF(ISNUMBER(tblData[[#This Row],[NSW]]),tblData[[#This Row],[New South Wales]]/$L$9,"")</f>
        <v/>
      </c>
      <c r="N114" s="49" t="str">
        <f>IF(ISNUMBER(tblData[Italy]),tblData[Italy]/$N$9,"")</f>
        <v/>
      </c>
      <c r="P114" s="49" t="str">
        <f>IF(ISNUMBER(tblData[US]),tblData[US]/$P$9,"")</f>
        <v/>
      </c>
      <c r="Q114" s="49"/>
      <c r="R114" s="19" t="str">
        <f>IF(ISNUMBER(tblData[SKorea]),tblData[SKorea]/$R$9,"")</f>
        <v/>
      </c>
      <c r="S114" s="49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3"/>
        <v>289</v>
      </c>
      <c r="Y114" s="26">
        <f t="shared" ref="Y114" si="21">Y113+1</f>
        <v>103</v>
      </c>
      <c r="Z114" s="26">
        <f>IF(tblData[[#This Row],[Date]]&lt;StartDt2Korea,"",tblData[[#This Row],[Date]]-StartDt2Korea)</f>
        <v>279</v>
      </c>
      <c r="AA114" s="26">
        <f>IF(tblData[[#This Row],[Date]]&lt;UKStart,"",tblData[[#This Row],[Date]]-UKStart)</f>
        <v>299</v>
      </c>
      <c r="AB114">
        <f>IF(tblData[Date]&gt;=StartDt2Au,tblData[Date]-StartDt2Au,"")</f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IF(ISNUMBER(tblData[Au]),tblData[Au]/$AA$9,"")</f>
        <v/>
      </c>
      <c r="AE114" s="44">
        <f>IF(ISNUMBER(tblData[[#This Row],[Day'# Aust]]),betaAu/(deltaAu+betaPodeltaAu*EXP(-betaAu*tblData[[#This Row],[Day'# Aust]])),"")</f>
        <v>207001690.92267293</v>
      </c>
      <c r="AF114" s="73">
        <f>IF(ISNUMBER(tblData[Day'# Aust]),tblData[Au LogiP(t)]/$AD$9,"")</f>
        <v>81612399.827579618</v>
      </c>
      <c r="AG114" s="11" t="str">
        <f>IF(AND(tblData[Date]&gt;=StartDt2Au,ISNUMBER(tblData[NSW])),(tblData[[#This Row],[Au LogiP(t)]]-tblData[[#This Row],[Au]])^2,"")</f>
        <v/>
      </c>
      <c r="AH114">
        <f>IF(tblData[Date]&gt;StartDt2NSW,tblData[Date]-StartDt2NSW,"")</f>
        <v>304</v>
      </c>
      <c r="AI114" s="26" t="str">
        <f t="shared" si="14"/>
        <v/>
      </c>
      <c r="AJ114" s="11">
        <f>IF(tblData[Date]&gt;StartDt2NSW,betaNSW/(deltaNSW+betaPodeltaNSW*EXP(-betaNSW*tblData[[#This Row],[Day '# NSW]])),"")</f>
        <v>2724.7105763852951</v>
      </c>
      <c r="AK114" s="12" t="str">
        <f>IF(AND(ISNUMBER(tblData[NSW]),tblData[Date]&gt;StartDt2NSW),(tblData[[#This Row],[NSW LogiP(t)]]-tblData[[#This Row],[NSW]])^2,"")</f>
        <v/>
      </c>
      <c r="AL114" s="44">
        <f>IF(AND(tblData[Date]&gt;StartDt2NSW,ISNUMBER(tblData[Day'# Aust])),tblData[NSW LogiP(t)]/$AG$9,"")</f>
        <v>3372.1665549322956</v>
      </c>
      <c r="AM114" s="11">
        <f>IF(AND(tblData[Date]&gt;StartDt2Italy,ISNUMBER(tblData[Days'# Italy])),betaItaly/(deltaItaly+betaPodeltaItaly*EXP(-betaItaly*tblData[Days'# Italy])),"")</f>
        <v>60634.520713483966</v>
      </c>
      <c r="AN114" s="11" t="str">
        <f>IF(AND(tblData[Date]&gt;StartDt2Italy,ISNUMBER(tblData[Italy])),(tblData[[#This Row],[Italy LogiP(t)]]-tblData[[#This Row],[Italy]])^2,"")</f>
        <v/>
      </c>
      <c r="AO114" s="44">
        <f>IF(AND(tblData[Date]&gt;StartDt2Italy,ISNUMBER(tblData[Days'# Italy])),tblData[[#This Row],[Italy LogiP(t)]]/$AM$9,"")</f>
        <v>10030.524518359631</v>
      </c>
      <c r="AP114" s="21">
        <f>IF(ISNUMBER(tblData[[#This Row],[Days'# US]]),betaUS/(deltaUS+betaPodeltaUS*EXP(-betaUS*tblData[Days'# US])),"")</f>
        <v>384575.00192734954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11681.123678055663</v>
      </c>
      <c r="AS114" s="21">
        <f>IF(tblData[Date]&gt;=StartDt2Korea,betaSKorea/(deltaSKorea+betaPodeltaSKorea*EXP(-betaSKorea*(tblData[Date]-StartDt2Korea))),"")</f>
        <v>8378.0382923360467</v>
      </c>
      <c r="AT114" s="21" t="str">
        <f>IF(AND(tblData[Date]&gt;=StartDt2Korea,ISNUMBER(tblData[SKorea])),(tblData[[#This Row],[SKorea LogiP(t)]]-tblData[[#This Row],[SKorea]])^2,"")</f>
        <v/>
      </c>
      <c r="AU114" s="21">
        <f>IF(tblData[Date]&gt;=StartDt2Korea,tblData[[#This Row],[SKorea LogiP(t)]]/$AS$9,"")</f>
        <v>1629.9685393649897</v>
      </c>
      <c r="AV114" s="85">
        <f>IF(ISNUMBER(tblData[Days'# UK]),betaUK/(deltaUK+betaPodeltaUK*EXP(-betaUK*tblData[Days'# UK])),"")</f>
        <v>235522929.98723829</v>
      </c>
      <c r="AW114" s="85" t="str">
        <f>IF(ISNUMBER(tblData[UK]),(tblData[[#This Row],[UK LogiP(t)]]-tblData[[#This Row],[UK]])^2,"")</f>
        <v/>
      </c>
      <c r="AX114" s="85">
        <f>IF(ISNUMBER(tblData[Days'# UK]),tblData[[#This Row],[UK LogiP(t)]]/$AV$9,"")</f>
        <v>35448965.982425988</v>
      </c>
      <c r="AY114" s="11">
        <f>IF(ISNUMBER(tblData[Days'# China]),betaChina/(deltaChina+betaPodeltaChina*EXP(-betaChina*tblData[Days'# China])),"")</f>
        <v>80951.879390599584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562.42994620412344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Y114"/>
      <c r="BZ114"/>
      <c r="CJ114" s="26"/>
      <c r="CK114" s="26"/>
    </row>
    <row r="115" spans="2:173" x14ac:dyDescent="0.25">
      <c r="B115" s="27">
        <f t="shared" si="12"/>
        <v>44166</v>
      </c>
      <c r="L115" s="12" t="str">
        <f>IF(ISNUMBER(tblData[[#This Row],[NSW]]),tblData[[#This Row],[New South Wales]]/$L$9,"")</f>
        <v/>
      </c>
      <c r="N115" s="49" t="str">
        <f>IF(ISNUMBER(tblData[Italy]),tblData[Italy]/$N$9,"")</f>
        <v/>
      </c>
      <c r="P115" s="49" t="str">
        <f>IF(ISNUMBER(tblData[US]),tblData[US]/$P$9,"")</f>
        <v/>
      </c>
      <c r="Q115" s="49"/>
      <c r="R115" s="19" t="str">
        <f>IF(ISNUMBER(tblData[SKorea]),tblData[SKorea]/$R$9,"")</f>
        <v/>
      </c>
      <c r="S115" s="49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3"/>
        <v>296</v>
      </c>
      <c r="Y115" s="26">
        <f t="shared" ref="Y115" si="22">Y114+1</f>
        <v>104</v>
      </c>
      <c r="Z115" s="26">
        <f>IF(tblData[[#This Row],[Date]]&lt;StartDt2Korea,"",tblData[[#This Row],[Date]]-StartDt2Korea)</f>
        <v>286</v>
      </c>
      <c r="AA115" s="26">
        <f>IF(tblData[[#This Row],[Date]]&lt;UKStart,"",tblData[[#This Row],[Date]]-UKStart)</f>
        <v>306</v>
      </c>
      <c r="AB115" s="26">
        <f>IF(tblData[Date]&gt;=StartDt2Au,tblData[Date]-StartDt2Au,"")</f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IF(ISNUMBER(tblData[Au]),tblData[Au]/$AA$9,"")</f>
        <v/>
      </c>
      <c r="AE115" s="44">
        <f>IF(ISNUMBER(tblData[[#This Row],[Day'# Aust]]),betaAu/(deltaAu+betaPodeltaAu*EXP(-betaAu*tblData[[#This Row],[Day'# Aust]])),"")</f>
        <v>207001690.92267293</v>
      </c>
      <c r="AF115" s="73">
        <f>IF(ISNUMBER(tblData[Day'# Aust]),tblData[Au LogiP(t)]/$AD$9,"")</f>
        <v>81612399.827579618</v>
      </c>
      <c r="AG115" s="11" t="str">
        <f>IF(AND(tblData[Date]&gt;=StartDt2Au,ISNUMBER(tblData[NSW])),(tblData[[#This Row],[Au LogiP(t)]]-tblData[[#This Row],[Au]])^2,"")</f>
        <v/>
      </c>
      <c r="AH115" s="26">
        <f>IF(tblData[Date]&gt;StartDt2NSW,tblData[Date]-StartDt2NSW,"")</f>
        <v>311</v>
      </c>
      <c r="AI115" s="26" t="str">
        <f t="shared" si="14"/>
        <v/>
      </c>
      <c r="AJ115" s="11">
        <f>IF(tblData[Date]&gt;StartDt2NSW,betaNSW/(deltaNSW+betaPodeltaNSW*EXP(-betaNSW*tblData[[#This Row],[Day '# NSW]])),"")</f>
        <v>2724.7105763852951</v>
      </c>
      <c r="AK115" s="12" t="str">
        <f>IF(AND(ISNUMBER(tblData[NSW]),tblData[Date]&gt;StartDt2NSW),(tblData[[#This Row],[NSW LogiP(t)]]-tblData[[#This Row],[NSW]])^2,"")</f>
        <v/>
      </c>
      <c r="AL115" s="44">
        <f>IF(AND(tblData[Date]&gt;StartDt2NSW,ISNUMBER(tblData[Day'# Aust])),tblData[NSW LogiP(t)]/$AG$9,"")</f>
        <v>3372.1665549322956</v>
      </c>
      <c r="AM115" s="11">
        <f>IF(AND(tblData[Date]&gt;StartDt2Italy,ISNUMBER(tblData[Days'# Italy])),betaItaly/(deltaItaly+betaPodeltaItaly*EXP(-betaItaly*tblData[Days'# Italy])),"")</f>
        <v>60634.520713483966</v>
      </c>
      <c r="AN115" s="11" t="str">
        <f>IF(AND(tblData[Date]&gt;StartDt2Italy,ISNUMBER(tblData[Italy])),(tblData[[#This Row],[Italy LogiP(t)]]-tblData[[#This Row],[Italy]])^2,"")</f>
        <v/>
      </c>
      <c r="AO115" s="44">
        <f>IF(AND(tblData[Date]&gt;StartDt2Italy,ISNUMBER(tblData[Days'# Italy])),tblData[[#This Row],[Italy LogiP(t)]]/$AM$9,"")</f>
        <v>10030.524518359631</v>
      </c>
      <c r="AP115" s="21">
        <f>IF(ISNUMBER(tblData[[#This Row],[Days'# US]]),betaUS/(deltaUS+betaPodeltaUS*EXP(-betaUS*tblData[Days'# US])),"")</f>
        <v>384575.00192734954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11681.123678055663</v>
      </c>
      <c r="AS115" s="21">
        <f>IF(tblData[Date]&gt;=StartDt2Korea,betaSKorea/(deltaSKorea+betaPodeltaSKorea*EXP(-betaSKorea*(tblData[Date]-StartDt2Korea))),"")</f>
        <v>8378.0382923360467</v>
      </c>
      <c r="AT115" s="21" t="str">
        <f>IF(AND(tblData[Date]&gt;=StartDt2Korea,ISNUMBER(tblData[SKorea])),(tblData[[#This Row],[SKorea LogiP(t)]]-tblData[[#This Row],[SKorea]])^2,"")</f>
        <v/>
      </c>
      <c r="AU115" s="21">
        <f>IF(tblData[Date]&gt;=StartDt2Korea,tblData[[#This Row],[SKorea LogiP(t)]]/$AS$9,"")</f>
        <v>1629.9685393649897</v>
      </c>
      <c r="AV115" s="85">
        <f>IF(ISNUMBER(tblData[Days'# UK]),betaUK/(deltaUK+betaPodeltaUK*EXP(-betaUK*tblData[Days'# UK])),"")</f>
        <v>235522929.98723829</v>
      </c>
      <c r="AW115" s="85" t="str">
        <f>IF(ISNUMBER(tblData[UK]),(tblData[[#This Row],[UK LogiP(t)]]-tblData[[#This Row],[UK]])^2,"")</f>
        <v/>
      </c>
      <c r="AX115" s="85">
        <f>IF(ISNUMBER(tblData[Days'# UK]),tblData[[#This Row],[UK LogiP(t)]]/$AV$9,"")</f>
        <v>35448965.982425988</v>
      </c>
      <c r="AY115" s="11">
        <f>IF(ISNUMBER(tblData[Days'# China]),betaChina/(deltaChina+betaPodeltaChina*EXP(-betaChina*tblData[Days'# China])),"")</f>
        <v>80951.879486889593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562.4299468731183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Y115"/>
      <c r="BZ115"/>
      <c r="CJ115" s="26"/>
      <c r="CK115" s="26"/>
    </row>
    <row r="116" spans="2:173" x14ac:dyDescent="0.25">
      <c r="B116" s="27">
        <f t="shared" si="12"/>
        <v>44173</v>
      </c>
      <c r="L116" s="12" t="str">
        <f>IF(ISNUMBER(tblData[[#This Row],[NSW]]),tblData[[#This Row],[New South Wales]]/$L$9,"")</f>
        <v/>
      </c>
      <c r="N116" s="49" t="str">
        <f>IF(ISNUMBER(tblData[Italy]),tblData[Italy]/$N$9,"")</f>
        <v/>
      </c>
      <c r="P116" s="49" t="str">
        <f>IF(ISNUMBER(tblData[US]),tblData[US]/$P$9,"")</f>
        <v/>
      </c>
      <c r="Q116" s="49"/>
      <c r="R116" s="19" t="str">
        <f>IF(ISNUMBER(tblData[SKorea]),tblData[SKorea]/$R$9,"")</f>
        <v/>
      </c>
      <c r="S116" s="49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3"/>
        <v>303</v>
      </c>
      <c r="Y116" s="26">
        <f t="shared" ref="Y116" si="23">Y115+1</f>
        <v>105</v>
      </c>
      <c r="Z116" s="26">
        <f>IF(tblData[[#This Row],[Date]]&lt;StartDt2Korea,"",tblData[[#This Row],[Date]]-StartDt2Korea)</f>
        <v>293</v>
      </c>
      <c r="AA116" s="26">
        <f>IF(tblData[[#This Row],[Date]]&lt;UKStart,"",tblData[[#This Row],[Date]]-UKStart)</f>
        <v>313</v>
      </c>
      <c r="AB116" s="26">
        <f>IF(tblData[Date]&gt;=StartDt2Au,tblData[Date]-StartDt2Au,"")</f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IF(ISNUMBER(tblData[Au]),tblData[Au]/$AA$9,"")</f>
        <v/>
      </c>
      <c r="AE116" s="44">
        <f>IF(ISNUMBER(tblData[[#This Row],[Day'# Aust]]),betaAu/(deltaAu+betaPodeltaAu*EXP(-betaAu*tblData[[#This Row],[Day'# Aust]])),"")</f>
        <v>207001690.92267293</v>
      </c>
      <c r="AF116" s="73">
        <f>IF(ISNUMBER(tblData[Day'# Aust]),tblData[Au LogiP(t)]/$AD$9,"")</f>
        <v>81612399.827579618</v>
      </c>
      <c r="AG116" s="11" t="str">
        <f>IF(AND(tblData[Date]&gt;=StartDt2Au,ISNUMBER(tblData[NSW])),(tblData[[#This Row],[Au LogiP(t)]]-tblData[[#This Row],[Au]])^2,"")</f>
        <v/>
      </c>
      <c r="AH116" s="26">
        <f>IF(tblData[Date]&gt;StartDt2NSW,tblData[Date]-StartDt2NSW,"")</f>
        <v>318</v>
      </c>
      <c r="AI116" s="26" t="str">
        <f t="shared" si="14"/>
        <v/>
      </c>
      <c r="AJ116" s="11">
        <f>IF(tblData[Date]&gt;StartDt2NSW,betaNSW/(deltaNSW+betaPodeltaNSW*EXP(-betaNSW*tblData[[#This Row],[Day '# NSW]])),"")</f>
        <v>2724.7105763852951</v>
      </c>
      <c r="AK116" s="12" t="str">
        <f>IF(AND(ISNUMBER(tblData[NSW]),tblData[Date]&gt;StartDt2NSW),(tblData[[#This Row],[NSW LogiP(t)]]-tblData[[#This Row],[NSW]])^2,"")</f>
        <v/>
      </c>
      <c r="AL116" s="44">
        <f>IF(AND(tblData[Date]&gt;StartDt2NSW,ISNUMBER(tblData[Day'# Aust])),tblData[NSW LogiP(t)]/$AG$9,"")</f>
        <v>3372.1665549322956</v>
      </c>
      <c r="AM116" s="11">
        <f>IF(AND(tblData[Date]&gt;StartDt2Italy,ISNUMBER(tblData[Days'# Italy])),betaItaly/(deltaItaly+betaPodeltaItaly*EXP(-betaItaly*tblData[Days'# Italy])),"")</f>
        <v>60634.520713483966</v>
      </c>
      <c r="AN116" s="11" t="str">
        <f>IF(AND(tblData[Date]&gt;StartDt2Italy,ISNUMBER(tblData[Italy])),(tblData[[#This Row],[Italy LogiP(t)]]-tblData[[#This Row],[Italy]])^2,"")</f>
        <v/>
      </c>
      <c r="AO116" s="44">
        <f>IF(AND(tblData[Date]&gt;StartDt2Italy,ISNUMBER(tblData[Days'# Italy])),tblData[[#This Row],[Italy LogiP(t)]]/$AM$9,"")</f>
        <v>10030.524518359631</v>
      </c>
      <c r="AP116" s="21">
        <f>IF(ISNUMBER(tblData[[#This Row],[Days'# US]]),betaUS/(deltaUS+betaPodeltaUS*EXP(-betaUS*tblData[Days'# US])),"")</f>
        <v>384575.00192734954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11681.123678055663</v>
      </c>
      <c r="AS116" s="21">
        <f>IF(tblData[Date]&gt;=StartDt2Korea,betaSKorea/(deltaSKorea+betaPodeltaSKorea*EXP(-betaSKorea*(tblData[Date]-StartDt2Korea))),"")</f>
        <v>8378.0382923360467</v>
      </c>
      <c r="AT116" s="21" t="str">
        <f>IF(AND(tblData[Date]&gt;=StartDt2Korea,ISNUMBER(tblData[SKorea])),(tblData[[#This Row],[SKorea LogiP(t)]]-tblData[[#This Row],[SKorea]])^2,"")</f>
        <v/>
      </c>
      <c r="AU116" s="21">
        <f>IF(tblData[Date]&gt;=StartDt2Korea,tblData[[#This Row],[SKorea LogiP(t)]]/$AS$9,"")</f>
        <v>1629.9685393649897</v>
      </c>
      <c r="AV116" s="85">
        <f>IF(ISNUMBER(tblData[Days'# UK]),betaUK/(deltaUK+betaPodeltaUK*EXP(-betaUK*tblData[Days'# UK])),"")</f>
        <v>235522929.98723829</v>
      </c>
      <c r="AW116" s="85" t="str">
        <f>IF(ISNUMBER(tblData[UK]),(tblData[[#This Row],[UK LogiP(t)]]-tblData[[#This Row],[UK]])^2,"")</f>
        <v/>
      </c>
      <c r="AX116" s="85">
        <f>IF(ISNUMBER(tblData[Days'# UK]),tblData[[#This Row],[UK LogiP(t)]]/$AV$9,"")</f>
        <v>35448965.982425988</v>
      </c>
      <c r="AY116" s="11">
        <f>IF(ISNUMBER(tblData[Days'# China]),betaChina/(deltaChina+betaPodeltaChina*EXP(-betaChina*tblData[Days'# China])),"")</f>
        <v>80951.879563998707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562.42994740884978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Y116"/>
      <c r="BZ116"/>
      <c r="CJ116" s="26"/>
      <c r="CK116" s="26"/>
    </row>
    <row r="117" spans="2:173" x14ac:dyDescent="0.25">
      <c r="B117" s="27">
        <f t="shared" si="12"/>
        <v>44180</v>
      </c>
      <c r="L117" s="12" t="str">
        <f>IF(ISNUMBER(tblData[[#This Row],[NSW]]),tblData[[#This Row],[New South Wales]]/$L$9,"")</f>
        <v/>
      </c>
      <c r="N117" s="49" t="str">
        <f>IF(ISNUMBER(tblData[Italy]),tblData[Italy]/$N$9,"")</f>
        <v/>
      </c>
      <c r="P117" s="49" t="str">
        <f>IF(ISNUMBER(tblData[US]),tblData[US]/$P$9,"")</f>
        <v/>
      </c>
      <c r="Q117" s="49"/>
      <c r="R117" s="19" t="str">
        <f>IF(ISNUMBER(tblData[SKorea]),tblData[SKorea]/$R$9,"")</f>
        <v/>
      </c>
      <c r="S117" s="49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3"/>
        <v>310</v>
      </c>
      <c r="Y117" s="26">
        <f t="shared" ref="Y117" si="24">Y116+1</f>
        <v>106</v>
      </c>
      <c r="Z117" s="26">
        <f>IF(tblData[[#This Row],[Date]]&lt;StartDt2Korea,"",tblData[[#This Row],[Date]]-StartDt2Korea)</f>
        <v>300</v>
      </c>
      <c r="AA117" s="26">
        <f>IF(tblData[[#This Row],[Date]]&lt;UKStart,"",tblData[[#This Row],[Date]]-UKStart)</f>
        <v>320</v>
      </c>
      <c r="AB117" s="26">
        <f>IF(tblData[Date]&gt;=StartDt2Au,tblData[Date]-StartDt2Au,"")</f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IF(ISNUMBER(tblData[Au]),tblData[Au]/$AA$9,"")</f>
        <v/>
      </c>
      <c r="AE117" s="44">
        <f>IF(ISNUMBER(tblData[[#This Row],[Day'# Aust]]),betaAu/(deltaAu+betaPodeltaAu*EXP(-betaAu*tblData[[#This Row],[Day'# Aust]])),"")</f>
        <v>207001690.92267293</v>
      </c>
      <c r="AF117" s="73">
        <f>IF(ISNUMBER(tblData[Day'# Aust]),tblData[Au LogiP(t)]/$AD$9,"")</f>
        <v>81612399.827579618</v>
      </c>
      <c r="AG117" s="11" t="str">
        <f>IF(AND(tblData[Date]&gt;=StartDt2Au,ISNUMBER(tblData[NSW])),(tblData[[#This Row],[Au LogiP(t)]]-tblData[[#This Row],[Au]])^2,"")</f>
        <v/>
      </c>
      <c r="AH117" s="26">
        <f>IF(tblData[Date]&gt;StartDt2NSW,tblData[Date]-StartDt2NSW,"")</f>
        <v>325</v>
      </c>
      <c r="AI117" s="26" t="str">
        <f t="shared" si="14"/>
        <v/>
      </c>
      <c r="AJ117" s="11">
        <f>IF(tblData[Date]&gt;StartDt2NSW,betaNSW/(deltaNSW+betaPodeltaNSW*EXP(-betaNSW*tblData[[#This Row],[Day '# NSW]])),"")</f>
        <v>2724.7105763852951</v>
      </c>
      <c r="AK117" s="12" t="str">
        <f>IF(AND(ISNUMBER(tblData[NSW]),tblData[Date]&gt;StartDt2NSW),(tblData[[#This Row],[NSW LogiP(t)]]-tblData[[#This Row],[NSW]])^2,"")</f>
        <v/>
      </c>
      <c r="AL117" s="44">
        <f>IF(AND(tblData[Date]&gt;StartDt2NSW,ISNUMBER(tblData[Day'# Aust])),tblData[NSW LogiP(t)]/$AG$9,"")</f>
        <v>3372.1665549322956</v>
      </c>
      <c r="AM117" s="11">
        <f>IF(AND(tblData[Date]&gt;StartDt2Italy,ISNUMBER(tblData[Days'# Italy])),betaItaly/(deltaItaly+betaPodeltaItaly*EXP(-betaItaly*tblData[Days'# Italy])),"")</f>
        <v>60634.520713483966</v>
      </c>
      <c r="AN117" s="11" t="str">
        <f>IF(AND(tblData[Date]&gt;StartDt2Italy,ISNUMBER(tblData[Italy])),(tblData[[#This Row],[Italy LogiP(t)]]-tblData[[#This Row],[Italy]])^2,"")</f>
        <v/>
      </c>
      <c r="AO117" s="44">
        <f>IF(AND(tblData[Date]&gt;StartDt2Italy,ISNUMBER(tblData[Days'# Italy])),tblData[[#This Row],[Italy LogiP(t)]]/$AM$9,"")</f>
        <v>10030.524518359631</v>
      </c>
      <c r="AP117" s="21">
        <f>IF(ISNUMBER(tblData[[#This Row],[Days'# US]]),betaUS/(deltaUS+betaPodeltaUS*EXP(-betaUS*tblData[Days'# US])),"")</f>
        <v>384575.00192734954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11681.123678055663</v>
      </c>
      <c r="AS117" s="21">
        <f>IF(tblData[Date]&gt;=StartDt2Korea,betaSKorea/(deltaSKorea+betaPodeltaSKorea*EXP(-betaSKorea*(tblData[Date]-StartDt2Korea))),"")</f>
        <v>8378.0382923360467</v>
      </c>
      <c r="AT117" s="21" t="str">
        <f>IF(AND(tblData[Date]&gt;=StartDt2Korea,ISNUMBER(tblData[SKorea])),(tblData[[#This Row],[SKorea LogiP(t)]]-tblData[[#This Row],[SKorea]])^2,"")</f>
        <v/>
      </c>
      <c r="AU117" s="21">
        <f>IF(tblData[Date]&gt;=StartDt2Korea,tblData[[#This Row],[SKorea LogiP(t)]]/$AS$9,"")</f>
        <v>1629.9685393649897</v>
      </c>
      <c r="AV117" s="85">
        <f>IF(ISNUMBER(tblData[Days'# UK]),betaUK/(deltaUK+betaPodeltaUK*EXP(-betaUK*tblData[Days'# UK])),"")</f>
        <v>235522929.98723829</v>
      </c>
      <c r="AW117" s="85" t="str">
        <f>IF(ISNUMBER(tblData[UK]),(tblData[[#This Row],[UK LogiP(t)]]-tblData[[#This Row],[UK]])^2,"")</f>
        <v/>
      </c>
      <c r="AX117" s="85">
        <f>IF(ISNUMBER(tblData[Days'# UK]),tblData[[#This Row],[UK LogiP(t)]]/$AV$9,"")</f>
        <v>35448965.982425988</v>
      </c>
      <c r="AY117" s="11">
        <f>IF(ISNUMBER(tblData[Days'# China]),betaChina/(deltaChina+betaPodeltaChina*EXP(-betaChina*tblData[Days'# China])),"")</f>
        <v>80951.879625747766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562.42994783786412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Y117"/>
      <c r="BZ117"/>
      <c r="CJ117" s="26"/>
      <c r="CK117" s="26"/>
    </row>
    <row r="118" spans="2:173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M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F118"/>
      <c r="CG118"/>
      <c r="CH118"/>
      <c r="CI118"/>
      <c r="CJ118"/>
      <c r="CK118"/>
      <c r="CL118"/>
      <c r="CM118"/>
      <c r="CN118"/>
      <c r="CO118"/>
      <c r="CP118"/>
      <c r="DE118"/>
      <c r="DF118" s="82"/>
      <c r="DG118" s="27"/>
      <c r="DH118" s="27"/>
      <c r="DI118"/>
      <c r="DJ118"/>
      <c r="DK118"/>
      <c r="DL118"/>
      <c r="DM118"/>
      <c r="DN118"/>
      <c r="DO118"/>
      <c r="DP118"/>
      <c r="DQ118"/>
      <c r="DR118" s="27"/>
      <c r="DS118"/>
      <c r="DT118"/>
      <c r="DU118"/>
      <c r="DV118" s="27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</row>
    <row r="119" spans="2:173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385 k</v>
      </c>
      <c r="AH119" s="11"/>
      <c r="BE119"/>
      <c r="BF119"/>
      <c r="BG119"/>
      <c r="BH119"/>
      <c r="BI119"/>
      <c r="BJ119"/>
      <c r="BK119"/>
      <c r="BM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F119"/>
      <c r="CG119"/>
      <c r="CH119"/>
      <c r="CI119"/>
      <c r="CJ119"/>
      <c r="CK119"/>
      <c r="CL119"/>
      <c r="CM119"/>
      <c r="CN119"/>
      <c r="CO119"/>
      <c r="CP119"/>
      <c r="DE119"/>
      <c r="DF119" s="82"/>
      <c r="DG119" s="27"/>
      <c r="DH119" s="27"/>
      <c r="DI119"/>
      <c r="DJ119"/>
      <c r="DK119"/>
      <c r="DL119"/>
      <c r="DM119"/>
      <c r="DN119"/>
      <c r="DO119"/>
      <c r="DP119"/>
      <c r="DQ119"/>
      <c r="DR119" s="27"/>
      <c r="DS119"/>
      <c r="DT119"/>
      <c r="DU119"/>
      <c r="DV119" s="27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</row>
    <row r="120" spans="2:173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  <c r="DE120"/>
      <c r="DF120" s="82"/>
      <c r="DG120" s="27"/>
      <c r="DH120" s="27"/>
      <c r="DI120"/>
      <c r="DJ120"/>
      <c r="DK120"/>
      <c r="DL120"/>
      <c r="DM120"/>
      <c r="DN120"/>
      <c r="DO120"/>
      <c r="DP120"/>
      <c r="DQ120"/>
      <c r="DR120" s="27"/>
      <c r="DS120"/>
      <c r="DT120"/>
      <c r="DU120"/>
      <c r="DV120" s="27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</row>
    <row r="121" spans="2:173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  <c r="DE121"/>
      <c r="DF121" s="82"/>
      <c r="DG121" s="27"/>
      <c r="DH121" s="27"/>
      <c r="DI121"/>
      <c r="DJ121"/>
      <c r="DK121"/>
      <c r="DL121"/>
      <c r="DM121"/>
      <c r="DN121"/>
      <c r="DO121"/>
      <c r="DP121"/>
      <c r="DQ121"/>
      <c r="DR121" s="27"/>
      <c r="DS121"/>
      <c r="DT121"/>
      <c r="DU121"/>
      <c r="DV121" s="27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</row>
    <row r="122" spans="2:173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  <c r="DE122"/>
      <c r="DF122" s="82"/>
      <c r="DG122" s="27"/>
      <c r="DH122" s="27"/>
      <c r="DI122"/>
      <c r="DJ122"/>
      <c r="DK122"/>
      <c r="DL122"/>
      <c r="DM122"/>
      <c r="DN122"/>
      <c r="DO122"/>
      <c r="DP122"/>
      <c r="DQ122"/>
      <c r="DR122" s="27"/>
      <c r="DS122"/>
      <c r="DT122"/>
      <c r="DU122"/>
      <c r="DV122" s="27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</row>
    <row r="123" spans="2:173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  <c r="DE123"/>
      <c r="DF123" s="82"/>
      <c r="DG123" s="27"/>
      <c r="DH123" s="27"/>
      <c r="DI123"/>
      <c r="DJ123"/>
      <c r="DK123"/>
      <c r="DL123"/>
      <c r="DM123"/>
      <c r="DN123"/>
      <c r="DO123"/>
      <c r="DP123"/>
      <c r="DQ123"/>
      <c r="DR123" s="27"/>
      <c r="DS123"/>
      <c r="DT123"/>
      <c r="DU123"/>
      <c r="DV123" s="27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</row>
    <row r="124" spans="2:173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  <c r="DE124"/>
      <c r="DF124" s="82"/>
      <c r="DG124" s="27"/>
      <c r="DH124" s="27"/>
      <c r="DI124"/>
      <c r="DJ124"/>
      <c r="DK124"/>
      <c r="DL124"/>
      <c r="DM124"/>
      <c r="DN124"/>
      <c r="DO124"/>
      <c r="DP124"/>
      <c r="DQ124"/>
      <c r="DR124" s="27"/>
      <c r="DS124"/>
      <c r="DT124"/>
      <c r="DU124"/>
      <c r="DV124" s="27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</row>
    <row r="125" spans="2:173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M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</row>
    <row r="126" spans="2:173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M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</row>
    <row r="129" spans="2:4" x14ac:dyDescent="0.25">
      <c r="B129" s="13" t="s">
        <v>218</v>
      </c>
      <c r="C129" s="16" t="s">
        <v>219</v>
      </c>
      <c r="D129" s="36"/>
    </row>
  </sheetData>
  <sortState ref="DE11:EH51">
    <sortCondition ref="DI11:DI51"/>
    <sortCondition ref="DR11:DR51"/>
    <sortCondition ref="DF11:DF51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494</v>
      </c>
      <c r="B7" s="32" t="s">
        <v>495</v>
      </c>
      <c r="C7" s="32" t="s">
        <v>496</v>
      </c>
      <c r="D7" s="32" t="s">
        <v>497</v>
      </c>
    </row>
    <row r="8" spans="1:7" ht="30" x14ac:dyDescent="0.25">
      <c r="C8" t="s">
        <v>831</v>
      </c>
      <c r="D8" t="s">
        <v>832</v>
      </c>
      <c r="E8" s="14" t="s">
        <v>817</v>
      </c>
      <c r="F8" t="s">
        <v>499</v>
      </c>
      <c r="G8" s="33" t="s">
        <v>818</v>
      </c>
    </row>
    <row r="9" spans="1:7" ht="30" x14ac:dyDescent="0.25">
      <c r="E9" s="14" t="s">
        <v>817</v>
      </c>
      <c r="F9" t="s">
        <v>819</v>
      </c>
      <c r="G9" s="33" t="s">
        <v>820</v>
      </c>
    </row>
    <row r="10" spans="1:7" ht="30" x14ac:dyDescent="0.25">
      <c r="E10" s="14" t="s">
        <v>817</v>
      </c>
      <c r="F10" t="s">
        <v>504</v>
      </c>
      <c r="G10" s="33" t="s">
        <v>821</v>
      </c>
    </row>
    <row r="11" spans="1:7" ht="30" x14ac:dyDescent="0.25">
      <c r="E11" s="14" t="s">
        <v>817</v>
      </c>
      <c r="F11" t="s">
        <v>822</v>
      </c>
      <c r="G11" s="33" t="s">
        <v>823</v>
      </c>
    </row>
    <row r="12" spans="1:7" ht="30" x14ac:dyDescent="0.25">
      <c r="E12" s="14" t="s">
        <v>817</v>
      </c>
      <c r="F12" t="s">
        <v>502</v>
      </c>
      <c r="G12" s="33" t="s">
        <v>824</v>
      </c>
    </row>
    <row r="13" spans="1:7" ht="30" x14ac:dyDescent="0.25">
      <c r="E13" s="14" t="s">
        <v>817</v>
      </c>
      <c r="F13" t="s">
        <v>825</v>
      </c>
      <c r="G13" s="33" t="s">
        <v>826</v>
      </c>
    </row>
    <row r="14" spans="1:7" ht="30" x14ac:dyDescent="0.25">
      <c r="E14" s="14" t="s">
        <v>817</v>
      </c>
      <c r="F14" t="s">
        <v>827</v>
      </c>
      <c r="G14" s="33" t="s">
        <v>828</v>
      </c>
    </row>
    <row r="15" spans="1:7" ht="30" x14ac:dyDescent="0.25">
      <c r="E15" s="14" t="s">
        <v>817</v>
      </c>
      <c r="F15" t="s">
        <v>829</v>
      </c>
      <c r="G15" s="33" t="s">
        <v>830</v>
      </c>
    </row>
    <row r="17" spans="3:7" ht="75" x14ac:dyDescent="0.25">
      <c r="C17" s="14" t="s">
        <v>835</v>
      </c>
      <c r="D17" t="s">
        <v>506</v>
      </c>
      <c r="E17" s="14" t="s">
        <v>512</v>
      </c>
      <c r="F17" t="s">
        <v>504</v>
      </c>
      <c r="G17" s="33" t="s">
        <v>833</v>
      </c>
    </row>
    <row r="18" spans="3:7" ht="45" x14ac:dyDescent="0.25">
      <c r="E18" s="14" t="s">
        <v>512</v>
      </c>
      <c r="F18" t="s">
        <v>505</v>
      </c>
      <c r="G18" s="33" t="s">
        <v>834</v>
      </c>
    </row>
    <row r="20" spans="3:7" ht="75" x14ac:dyDescent="0.25">
      <c r="C20" s="14" t="s">
        <v>835</v>
      </c>
      <c r="D20" t="s">
        <v>508</v>
      </c>
      <c r="E20" s="14" t="s">
        <v>513</v>
      </c>
      <c r="F20" t="s">
        <v>504</v>
      </c>
      <c r="G20" s="33" t="s">
        <v>833</v>
      </c>
    </row>
    <row r="21" spans="3:7" ht="30" x14ac:dyDescent="0.25">
      <c r="E21" s="14" t="s">
        <v>513</v>
      </c>
      <c r="F21" t="s">
        <v>507</v>
      </c>
      <c r="G21" s="33" t="s">
        <v>836</v>
      </c>
    </row>
    <row r="23" spans="3:7" ht="75" x14ac:dyDescent="0.25">
      <c r="C23" s="14" t="s">
        <v>839</v>
      </c>
      <c r="D23" t="s">
        <v>498</v>
      </c>
      <c r="E23" s="14" t="s">
        <v>514</v>
      </c>
      <c r="F23" t="s">
        <v>502</v>
      </c>
      <c r="G23" s="33" t="s">
        <v>837</v>
      </c>
    </row>
    <row r="24" spans="3:7" ht="30" x14ac:dyDescent="0.25">
      <c r="E24" s="14" t="s">
        <v>514</v>
      </c>
      <c r="F24" t="s">
        <v>503</v>
      </c>
      <c r="G24" s="33" t="s">
        <v>838</v>
      </c>
    </row>
    <row r="26" spans="3:7" ht="75" x14ac:dyDescent="0.25">
      <c r="C26" s="14" t="s">
        <v>839</v>
      </c>
      <c r="D26" t="s">
        <v>498</v>
      </c>
      <c r="E26" s="14" t="s">
        <v>515</v>
      </c>
      <c r="F26" t="s">
        <v>502</v>
      </c>
      <c r="G26" s="33" t="s">
        <v>837</v>
      </c>
    </row>
    <row r="27" spans="3:7" ht="30" x14ac:dyDescent="0.25">
      <c r="E27" s="14" t="s">
        <v>515</v>
      </c>
      <c r="F27" t="s">
        <v>503</v>
      </c>
      <c r="G27" s="33" t="s">
        <v>838</v>
      </c>
    </row>
    <row r="29" spans="3:7" ht="75" x14ac:dyDescent="0.25">
      <c r="C29" s="14" t="s">
        <v>841</v>
      </c>
      <c r="D29" t="s">
        <v>501</v>
      </c>
      <c r="E29" s="14" t="s">
        <v>516</v>
      </c>
      <c r="F29" t="s">
        <v>499</v>
      </c>
      <c r="G29" s="33" t="s">
        <v>818</v>
      </c>
    </row>
    <row r="30" spans="3:7" ht="45" x14ac:dyDescent="0.25">
      <c r="E30" s="14" t="s">
        <v>516</v>
      </c>
      <c r="F30" t="s">
        <v>500</v>
      </c>
      <c r="G30" s="33" t="s">
        <v>840</v>
      </c>
    </row>
    <row r="32" spans="3:7" ht="75" x14ac:dyDescent="0.25">
      <c r="C32" s="14" t="s">
        <v>841</v>
      </c>
      <c r="D32" t="s">
        <v>501</v>
      </c>
      <c r="E32" s="14" t="s">
        <v>517</v>
      </c>
      <c r="F32" t="s">
        <v>499</v>
      </c>
      <c r="G32" s="33" t="s">
        <v>818</v>
      </c>
    </row>
    <row r="33" spans="3:7" ht="30" x14ac:dyDescent="0.25">
      <c r="E33" s="14" t="s">
        <v>517</v>
      </c>
      <c r="F33" t="s">
        <v>500</v>
      </c>
      <c r="G33" s="33" t="s">
        <v>840</v>
      </c>
    </row>
    <row r="35" spans="3:7" ht="75" x14ac:dyDescent="0.25">
      <c r="C35" s="14" t="s">
        <v>847</v>
      </c>
      <c r="D35" t="s">
        <v>848</v>
      </c>
      <c r="E35" s="14" t="s">
        <v>842</v>
      </c>
      <c r="F35" t="s">
        <v>843</v>
      </c>
      <c r="G35" s="33" t="s">
        <v>844</v>
      </c>
    </row>
    <row r="36" spans="3:7" ht="30" x14ac:dyDescent="0.25">
      <c r="E36" s="14" t="s">
        <v>842</v>
      </c>
      <c r="F36" t="s">
        <v>845</v>
      </c>
      <c r="G36" s="33" t="s">
        <v>846</v>
      </c>
    </row>
    <row r="38" spans="3:7" ht="45" x14ac:dyDescent="0.25">
      <c r="C38" t="s">
        <v>510</v>
      </c>
      <c r="D38" t="s">
        <v>511</v>
      </c>
      <c r="E38" s="14" t="s">
        <v>518</v>
      </c>
      <c r="F38" t="s">
        <v>499</v>
      </c>
      <c r="G38" s="33" t="s">
        <v>818</v>
      </c>
    </row>
    <row r="39" spans="3:7" ht="45" x14ac:dyDescent="0.25">
      <c r="E39" s="14" t="s">
        <v>518</v>
      </c>
      <c r="F39" t="s">
        <v>509</v>
      </c>
      <c r="G39" s="33" t="s">
        <v>849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519</v>
      </c>
      <c r="B1" s="26" t="s">
        <v>520</v>
      </c>
      <c r="C1" s="26" t="s">
        <v>521</v>
      </c>
      <c r="D1" s="26" t="s">
        <v>522</v>
      </c>
      <c r="E1" s="26" t="s">
        <v>523</v>
      </c>
      <c r="F1" s="26" t="s">
        <v>524</v>
      </c>
      <c r="G1" s="26"/>
      <c r="H1" s="26"/>
      <c r="I1" s="26"/>
      <c r="J1" s="26"/>
      <c r="K1" s="26"/>
      <c r="L1" s="26"/>
    </row>
    <row r="2" spans="1:12" x14ac:dyDescent="0.25">
      <c r="A2" s="26" t="s">
        <v>525</v>
      </c>
      <c r="B2" s="26" t="s">
        <v>526</v>
      </c>
      <c r="C2" s="26" t="s">
        <v>527</v>
      </c>
      <c r="D2" s="26" t="s">
        <v>528</v>
      </c>
      <c r="E2" s="26" t="s">
        <v>529</v>
      </c>
      <c r="F2" s="26" t="s">
        <v>530</v>
      </c>
      <c r="G2" s="26"/>
      <c r="H2" s="26"/>
      <c r="I2" s="26"/>
      <c r="J2" s="26"/>
      <c r="K2" s="26"/>
      <c r="L2" s="26"/>
    </row>
    <row r="3" spans="1:12" x14ac:dyDescent="0.25">
      <c r="A3" s="26" t="s">
        <v>531</v>
      </c>
      <c r="B3" s="26" t="s">
        <v>532</v>
      </c>
      <c r="C3" s="26" t="s">
        <v>527</v>
      </c>
      <c r="D3" s="26" t="s">
        <v>533</v>
      </c>
      <c r="E3" s="26" t="s">
        <v>534</v>
      </c>
      <c r="F3" s="26" t="s">
        <v>535</v>
      </c>
      <c r="G3" s="26" t="s">
        <v>536</v>
      </c>
      <c r="H3" s="26"/>
      <c r="I3" s="26"/>
      <c r="J3" s="26"/>
      <c r="K3" s="26"/>
      <c r="L3" s="26"/>
    </row>
    <row r="4" spans="1:12" x14ac:dyDescent="0.25">
      <c r="A4" s="26" t="s">
        <v>537</v>
      </c>
      <c r="B4" s="26" t="s">
        <v>538</v>
      </c>
      <c r="C4" s="26" t="s">
        <v>539</v>
      </c>
      <c r="D4" s="26" t="s">
        <v>540</v>
      </c>
      <c r="E4" s="26" t="s">
        <v>541</v>
      </c>
      <c r="F4" s="26" t="s">
        <v>538</v>
      </c>
      <c r="G4" s="26"/>
      <c r="H4" s="26"/>
      <c r="I4" s="26"/>
      <c r="J4" s="26"/>
      <c r="K4" s="26"/>
      <c r="L4" s="26"/>
    </row>
    <row r="5" spans="1:12" x14ac:dyDescent="0.25">
      <c r="A5" s="26" t="s">
        <v>542</v>
      </c>
      <c r="B5" s="26" t="s">
        <v>543</v>
      </c>
      <c r="C5" s="26" t="s">
        <v>544</v>
      </c>
      <c r="D5" s="26" t="s">
        <v>545</v>
      </c>
      <c r="E5" s="26" t="s">
        <v>546</v>
      </c>
      <c r="F5" s="26" t="s">
        <v>547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548</v>
      </c>
      <c r="B6" s="26" t="s">
        <v>549</v>
      </c>
      <c r="C6" s="26" t="s">
        <v>550</v>
      </c>
      <c r="D6" s="26" t="s">
        <v>551</v>
      </c>
      <c r="E6" s="26" t="s">
        <v>552</v>
      </c>
      <c r="F6" s="26" t="s">
        <v>553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554</v>
      </c>
      <c r="B7" s="26" t="s">
        <v>555</v>
      </c>
      <c r="C7" s="26" t="s">
        <v>556</v>
      </c>
      <c r="D7" s="26" t="s">
        <v>557</v>
      </c>
      <c r="E7" s="26" t="s">
        <v>558</v>
      </c>
      <c r="F7" s="26" t="s">
        <v>559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560</v>
      </c>
      <c r="B8" s="26" t="s">
        <v>561</v>
      </c>
      <c r="C8" s="26" t="s">
        <v>562</v>
      </c>
      <c r="D8" s="26" t="s">
        <v>563</v>
      </c>
      <c r="E8" s="26" t="s">
        <v>564</v>
      </c>
      <c r="F8" s="26" t="s">
        <v>565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566</v>
      </c>
      <c r="B9" s="26" t="s">
        <v>567</v>
      </c>
      <c r="C9" s="26" t="s">
        <v>568</v>
      </c>
      <c r="D9" s="26" t="s">
        <v>569</v>
      </c>
      <c r="E9" s="26" t="s">
        <v>570</v>
      </c>
      <c r="F9" s="26" t="s">
        <v>571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572</v>
      </c>
      <c r="B10" s="26" t="s">
        <v>573</v>
      </c>
      <c r="C10" s="26" t="s">
        <v>574</v>
      </c>
      <c r="D10" s="26" t="s">
        <v>575</v>
      </c>
      <c r="E10" s="26" t="s">
        <v>576</v>
      </c>
      <c r="F10" s="26" t="s">
        <v>577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578</v>
      </c>
      <c r="B11" s="26" t="s">
        <v>579</v>
      </c>
      <c r="C11" s="26" t="s">
        <v>580</v>
      </c>
      <c r="D11" s="26" t="s">
        <v>581</v>
      </c>
      <c r="E11" s="26" t="s">
        <v>582</v>
      </c>
      <c r="F11" s="26" t="s">
        <v>583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584</v>
      </c>
      <c r="B12" s="26" t="s">
        <v>585</v>
      </c>
      <c r="C12" s="26" t="s">
        <v>586</v>
      </c>
      <c r="D12" s="26" t="s">
        <v>587</v>
      </c>
      <c r="E12" s="26" t="s">
        <v>588</v>
      </c>
      <c r="F12" s="26" t="s">
        <v>589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590</v>
      </c>
      <c r="B13" s="26" t="s">
        <v>591</v>
      </c>
      <c r="C13" s="26" t="s">
        <v>592</v>
      </c>
      <c r="D13" s="26" t="s">
        <v>593</v>
      </c>
      <c r="E13" s="26" t="s">
        <v>594</v>
      </c>
      <c r="F13" s="26" t="s">
        <v>595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596</v>
      </c>
      <c r="B16" s="26" t="s">
        <v>597</v>
      </c>
      <c r="C16" s="26" t="s">
        <v>598</v>
      </c>
      <c r="D16" s="26" t="s">
        <v>599</v>
      </c>
      <c r="E16" s="26" t="s">
        <v>600</v>
      </c>
      <c r="F16" s="26" t="s">
        <v>601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602</v>
      </c>
      <c r="B17" s="26" t="s">
        <v>603</v>
      </c>
      <c r="C17" s="26" t="s">
        <v>604</v>
      </c>
      <c r="D17" s="26" t="s">
        <v>605</v>
      </c>
      <c r="E17" s="26" t="s">
        <v>606</v>
      </c>
      <c r="F17" s="26" t="s">
        <v>607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608</v>
      </c>
      <c r="B18" s="26" t="s">
        <v>591</v>
      </c>
      <c r="C18" s="26" t="s">
        <v>609</v>
      </c>
      <c r="D18" s="26" t="s">
        <v>610</v>
      </c>
      <c r="E18" s="26" t="s">
        <v>611</v>
      </c>
      <c r="F18" s="26" t="s">
        <v>612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613</v>
      </c>
      <c r="B19" s="26" t="s">
        <v>614</v>
      </c>
      <c r="C19" s="26" t="s">
        <v>615</v>
      </c>
      <c r="D19" s="26" t="s">
        <v>616</v>
      </c>
      <c r="E19" s="26" t="s">
        <v>617</v>
      </c>
      <c r="F19" s="26" t="s">
        <v>618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619</v>
      </c>
      <c r="B20" s="26" t="s">
        <v>620</v>
      </c>
      <c r="C20" s="26" t="s">
        <v>621</v>
      </c>
      <c r="D20" s="26" t="s">
        <v>622</v>
      </c>
      <c r="E20" s="26" t="s">
        <v>623</v>
      </c>
      <c r="F20" s="26" t="s">
        <v>624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625</v>
      </c>
      <c r="B21" s="26" t="s">
        <v>626</v>
      </c>
      <c r="C21" s="26" t="s">
        <v>627</v>
      </c>
      <c r="D21" s="26" t="s">
        <v>628</v>
      </c>
      <c r="E21" s="26" t="s">
        <v>629</v>
      </c>
      <c r="F21" s="26" t="s">
        <v>630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631</v>
      </c>
      <c r="B22" s="26" t="s">
        <v>632</v>
      </c>
      <c r="C22" s="26" t="s">
        <v>633</v>
      </c>
      <c r="D22" s="26" t="s">
        <v>634</v>
      </c>
      <c r="E22" s="26" t="s">
        <v>635</v>
      </c>
      <c r="F22" s="26" t="s">
        <v>636</v>
      </c>
      <c r="G22" s="26"/>
      <c r="H22" s="26"/>
      <c r="I22" s="26"/>
      <c r="J22" s="26" t="s">
        <v>637</v>
      </c>
      <c r="K22" s="26">
        <v>13500</v>
      </c>
      <c r="L22" s="26"/>
    </row>
    <row r="23" spans="1:12" x14ac:dyDescent="0.25">
      <c r="A23" s="26" t="s">
        <v>638</v>
      </c>
      <c r="B23" s="26" t="s">
        <v>639</v>
      </c>
      <c r="C23" s="26" t="s">
        <v>640</v>
      </c>
      <c r="D23" s="26" t="s">
        <v>641</v>
      </c>
      <c r="E23" s="26" t="s">
        <v>642</v>
      </c>
      <c r="F23" s="26" t="s">
        <v>643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644</v>
      </c>
      <c r="B24" s="26" t="s">
        <v>645</v>
      </c>
      <c r="C24" s="26" t="s">
        <v>646</v>
      </c>
      <c r="D24" s="26" t="s">
        <v>647</v>
      </c>
      <c r="E24" s="26" t="s">
        <v>648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6" customFormat="1" x14ac:dyDescent="0.25">
      <c r="A1" s="78" t="s">
        <v>925</v>
      </c>
      <c r="B1" s="76" t="s">
        <v>926</v>
      </c>
      <c r="C1" s="76" t="s">
        <v>927</v>
      </c>
      <c r="D1" s="78" t="s">
        <v>928</v>
      </c>
      <c r="E1" s="79" t="s">
        <v>929</v>
      </c>
      <c r="F1" s="76" t="s">
        <v>861</v>
      </c>
      <c r="G1" s="76" t="s">
        <v>923</v>
      </c>
      <c r="H1" s="76" t="s">
        <v>924</v>
      </c>
      <c r="I1" s="78"/>
      <c r="M1" s="78"/>
      <c r="P1" s="78"/>
    </row>
    <row r="2" spans="1:16" x14ac:dyDescent="0.25">
      <c r="A2" s="33" t="s">
        <v>722</v>
      </c>
      <c r="B2" t="s">
        <v>491</v>
      </c>
      <c r="C2" t="s">
        <v>862</v>
      </c>
      <c r="D2" s="33" t="s">
        <v>863</v>
      </c>
      <c r="E2" s="50" t="s">
        <v>863</v>
      </c>
      <c r="I2" s="33"/>
      <c r="M2" s="33"/>
      <c r="P2" s="33"/>
    </row>
    <row r="3" spans="1:16" x14ac:dyDescent="0.25">
      <c r="A3" s="33" t="s">
        <v>722</v>
      </c>
      <c r="B3" t="s">
        <v>671</v>
      </c>
      <c r="C3" t="s">
        <v>723</v>
      </c>
      <c r="D3" s="33" t="s">
        <v>724</v>
      </c>
      <c r="E3" s="50" t="s">
        <v>724</v>
      </c>
      <c r="I3" s="33"/>
      <c r="M3" s="33"/>
      <c r="P3" s="33"/>
    </row>
    <row r="4" spans="1:16" x14ac:dyDescent="0.25">
      <c r="A4" s="33" t="s">
        <v>722</v>
      </c>
      <c r="B4" t="s">
        <v>672</v>
      </c>
      <c r="C4" t="s">
        <v>725</v>
      </c>
      <c r="D4" s="33" t="s">
        <v>864</v>
      </c>
      <c r="E4" s="50" t="s">
        <v>864</v>
      </c>
      <c r="I4" s="33"/>
      <c r="M4" s="33"/>
      <c r="P4" s="33"/>
    </row>
    <row r="5" spans="1:16" x14ac:dyDescent="0.25">
      <c r="A5" s="33" t="s">
        <v>722</v>
      </c>
      <c r="B5" t="s">
        <v>673</v>
      </c>
      <c r="C5" t="s">
        <v>726</v>
      </c>
      <c r="D5" s="33" t="s">
        <v>865</v>
      </c>
      <c r="E5" s="50" t="s">
        <v>865</v>
      </c>
      <c r="I5" s="33"/>
      <c r="M5" s="33"/>
      <c r="P5" s="33"/>
    </row>
    <row r="6" spans="1:16" x14ac:dyDescent="0.25">
      <c r="A6" s="33" t="s">
        <v>722</v>
      </c>
      <c r="B6" t="s">
        <v>674</v>
      </c>
      <c r="C6" t="s">
        <v>727</v>
      </c>
      <c r="D6" s="33" t="s">
        <v>866</v>
      </c>
      <c r="E6" s="50" t="s">
        <v>866</v>
      </c>
      <c r="I6" s="33"/>
      <c r="M6" s="33"/>
      <c r="P6" s="33"/>
    </row>
    <row r="7" spans="1:16" x14ac:dyDescent="0.25">
      <c r="A7" s="33" t="s">
        <v>722</v>
      </c>
      <c r="B7" t="s">
        <v>675</v>
      </c>
      <c r="C7" t="s">
        <v>728</v>
      </c>
      <c r="D7" s="33" t="s">
        <v>729</v>
      </c>
      <c r="E7" s="50" t="s">
        <v>729</v>
      </c>
      <c r="I7" s="33"/>
      <c r="M7" s="33"/>
      <c r="P7" s="33"/>
    </row>
    <row r="8" spans="1:16" x14ac:dyDescent="0.25">
      <c r="A8" s="33" t="s">
        <v>722</v>
      </c>
      <c r="B8" t="s">
        <v>676</v>
      </c>
      <c r="C8" t="s">
        <v>730</v>
      </c>
      <c r="D8" s="33" t="s">
        <v>867</v>
      </c>
      <c r="E8" s="50" t="s">
        <v>867</v>
      </c>
      <c r="I8" s="33"/>
      <c r="M8" s="33"/>
      <c r="P8" s="33"/>
    </row>
    <row r="9" spans="1:16" x14ac:dyDescent="0.25">
      <c r="A9" s="33" t="s">
        <v>722</v>
      </c>
      <c r="B9" t="s">
        <v>677</v>
      </c>
      <c r="C9" t="s">
        <v>731</v>
      </c>
      <c r="D9" s="33" t="s">
        <v>868</v>
      </c>
      <c r="E9" s="50" t="s">
        <v>868</v>
      </c>
      <c r="I9" s="33"/>
      <c r="M9" s="33"/>
      <c r="P9" s="33"/>
    </row>
    <row r="10" spans="1:16" x14ac:dyDescent="0.25">
      <c r="A10" s="33" t="s">
        <v>722</v>
      </c>
      <c r="B10" t="s">
        <v>678</v>
      </c>
      <c r="C10" t="s">
        <v>732</v>
      </c>
      <c r="D10" s="33" t="s">
        <v>869</v>
      </c>
      <c r="E10" s="50" t="s">
        <v>869</v>
      </c>
      <c r="I10" s="33"/>
      <c r="M10" s="33"/>
      <c r="P10" s="33"/>
    </row>
    <row r="11" spans="1:16" x14ac:dyDescent="0.25">
      <c r="A11" s="33" t="s">
        <v>722</v>
      </c>
      <c r="B11" t="s">
        <v>870</v>
      </c>
      <c r="C11" t="s">
        <v>871</v>
      </c>
      <c r="D11" s="33" t="s">
        <v>872</v>
      </c>
      <c r="E11" s="50" t="s">
        <v>872</v>
      </c>
      <c r="I11" s="33"/>
      <c r="M11" s="33"/>
      <c r="P11" s="33"/>
    </row>
    <row r="12" spans="1:16" x14ac:dyDescent="0.25">
      <c r="A12" s="33" t="s">
        <v>722</v>
      </c>
      <c r="B12" t="s">
        <v>679</v>
      </c>
      <c r="C12" t="s">
        <v>733</v>
      </c>
      <c r="D12" s="33" t="s">
        <v>873</v>
      </c>
      <c r="E12" s="50" t="s">
        <v>873</v>
      </c>
      <c r="I12" s="33"/>
      <c r="M12" s="33"/>
      <c r="P12" s="33"/>
    </row>
    <row r="13" spans="1:16" x14ac:dyDescent="0.25">
      <c r="A13" s="33" t="s">
        <v>722</v>
      </c>
      <c r="B13" t="s">
        <v>874</v>
      </c>
      <c r="C13" t="s">
        <v>875</v>
      </c>
      <c r="D13" s="33" t="s">
        <v>876</v>
      </c>
      <c r="E13" s="50" t="s">
        <v>876</v>
      </c>
      <c r="I13" s="33"/>
      <c r="M13" s="33"/>
      <c r="P13" s="33"/>
    </row>
    <row r="14" spans="1:16" x14ac:dyDescent="0.25">
      <c r="A14" s="33" t="s">
        <v>722</v>
      </c>
      <c r="B14" t="s">
        <v>680</v>
      </c>
      <c r="C14" t="s">
        <v>734</v>
      </c>
      <c r="D14" s="33" t="s">
        <v>877</v>
      </c>
      <c r="E14" s="50" t="s">
        <v>877</v>
      </c>
      <c r="I14" s="33"/>
      <c r="M14" s="33"/>
      <c r="P14" s="33"/>
    </row>
    <row r="15" spans="1:16" x14ac:dyDescent="0.25">
      <c r="A15" s="33" t="s">
        <v>722</v>
      </c>
      <c r="B15" t="s">
        <v>681</v>
      </c>
      <c r="C15" t="s">
        <v>735</v>
      </c>
      <c r="D15" s="33" t="s">
        <v>682</v>
      </c>
      <c r="E15" s="50" t="s">
        <v>682</v>
      </c>
      <c r="G15" s="33" t="s">
        <v>950</v>
      </c>
      <c r="H15" s="33" t="s">
        <v>930</v>
      </c>
      <c r="I15" s="33" t="s">
        <v>682</v>
      </c>
      <c r="J15" s="33" t="s">
        <v>951</v>
      </c>
      <c r="M15" s="33"/>
      <c r="P15" s="33"/>
    </row>
    <row r="16" spans="1:16" x14ac:dyDescent="0.25">
      <c r="A16" s="33" t="s">
        <v>722</v>
      </c>
      <c r="B16" t="s">
        <v>683</v>
      </c>
      <c r="C16" t="s">
        <v>736</v>
      </c>
      <c r="D16" s="33" t="s">
        <v>684</v>
      </c>
      <c r="E16" s="50" t="s">
        <v>684</v>
      </c>
      <c r="I16" s="33"/>
      <c r="M16" s="33"/>
      <c r="P16" s="33"/>
    </row>
    <row r="17" spans="1:16" x14ac:dyDescent="0.25">
      <c r="A17" s="33" t="s">
        <v>722</v>
      </c>
      <c r="B17" t="s">
        <v>685</v>
      </c>
      <c r="C17" t="s">
        <v>737</v>
      </c>
      <c r="D17" s="33" t="s">
        <v>686</v>
      </c>
      <c r="E17" s="50" t="s">
        <v>686</v>
      </c>
      <c r="G17" s="33" t="s">
        <v>932</v>
      </c>
      <c r="H17" s="33" t="s">
        <v>931</v>
      </c>
      <c r="I17" s="33" t="s">
        <v>686</v>
      </c>
      <c r="J17" s="33" t="s">
        <v>955</v>
      </c>
      <c r="M17" s="33"/>
      <c r="P17" s="33"/>
    </row>
    <row r="18" spans="1:16" x14ac:dyDescent="0.25">
      <c r="A18" s="33" t="s">
        <v>722</v>
      </c>
      <c r="B18" t="s">
        <v>878</v>
      </c>
      <c r="C18" t="s">
        <v>879</v>
      </c>
      <c r="D18" s="33" t="s">
        <v>687</v>
      </c>
      <c r="E18" s="50" t="s">
        <v>687</v>
      </c>
      <c r="I18" s="33"/>
      <c r="M18" s="33"/>
      <c r="P18" s="33"/>
    </row>
    <row r="19" spans="1:16" x14ac:dyDescent="0.25">
      <c r="A19" s="33" t="s">
        <v>722</v>
      </c>
      <c r="B19" t="s">
        <v>880</v>
      </c>
      <c r="C19" t="s">
        <v>881</v>
      </c>
      <c r="D19" s="33" t="s">
        <v>882</v>
      </c>
      <c r="E19" s="50" t="s">
        <v>882</v>
      </c>
      <c r="I19" s="33"/>
      <c r="M19" s="33"/>
      <c r="P19" s="33"/>
    </row>
    <row r="20" spans="1:16" x14ac:dyDescent="0.25">
      <c r="A20" s="33"/>
      <c r="B20" t="s">
        <v>883</v>
      </c>
      <c r="C20" t="s">
        <v>883</v>
      </c>
      <c r="D20" s="33" t="s">
        <v>884</v>
      </c>
      <c r="E20" s="50" t="s">
        <v>884</v>
      </c>
      <c r="I20" s="33"/>
      <c r="M20" s="33"/>
      <c r="P20" s="33"/>
    </row>
    <row r="21" spans="1:16" x14ac:dyDescent="0.25">
      <c r="A21" s="33" t="s">
        <v>722</v>
      </c>
      <c r="B21" t="s">
        <v>688</v>
      </c>
      <c r="C21" t="s">
        <v>738</v>
      </c>
      <c r="D21" s="33" t="s">
        <v>739</v>
      </c>
      <c r="E21" s="50" t="s">
        <v>739</v>
      </c>
      <c r="I21" s="33"/>
      <c r="M21" s="33"/>
      <c r="P21" s="33"/>
    </row>
    <row r="22" spans="1:16" x14ac:dyDescent="0.25">
      <c r="A22" s="33" t="s">
        <v>722</v>
      </c>
      <c r="B22" t="s">
        <v>689</v>
      </c>
      <c r="C22" t="s">
        <v>740</v>
      </c>
      <c r="D22" s="33" t="s">
        <v>885</v>
      </c>
      <c r="E22" s="50" t="s">
        <v>885</v>
      </c>
      <c r="I22" s="33"/>
      <c r="M22" s="33"/>
      <c r="P22" s="33"/>
    </row>
    <row r="23" spans="1:16" x14ac:dyDescent="0.25">
      <c r="A23" s="33" t="s">
        <v>722</v>
      </c>
      <c r="B23" t="s">
        <v>690</v>
      </c>
      <c r="C23" t="s">
        <v>741</v>
      </c>
      <c r="D23" s="33" t="s">
        <v>886</v>
      </c>
      <c r="E23" s="50" t="s">
        <v>886</v>
      </c>
      <c r="I23" s="33"/>
      <c r="M23" s="33"/>
      <c r="P23" s="33"/>
    </row>
    <row r="24" spans="1:16" x14ac:dyDescent="0.25">
      <c r="A24" s="33" t="s">
        <v>722</v>
      </c>
      <c r="B24" t="s">
        <v>691</v>
      </c>
      <c r="C24" t="s">
        <v>742</v>
      </c>
      <c r="D24" s="33" t="s">
        <v>887</v>
      </c>
      <c r="E24" s="50" t="s">
        <v>887</v>
      </c>
      <c r="I24" s="33"/>
      <c r="M24" s="33"/>
      <c r="P24" s="33"/>
    </row>
    <row r="25" spans="1:16" x14ac:dyDescent="0.25">
      <c r="A25" s="33" t="s">
        <v>722</v>
      </c>
      <c r="B25" t="s">
        <v>888</v>
      </c>
      <c r="C25" t="s">
        <v>889</v>
      </c>
      <c r="D25" s="33" t="s">
        <v>890</v>
      </c>
      <c r="E25" s="50" t="s">
        <v>890</v>
      </c>
      <c r="I25" s="33"/>
      <c r="M25" s="33"/>
      <c r="P25" s="33"/>
    </row>
    <row r="26" spans="1:16" x14ac:dyDescent="0.25">
      <c r="A26" s="33" t="s">
        <v>722</v>
      </c>
      <c r="B26" t="s">
        <v>692</v>
      </c>
      <c r="C26" t="s">
        <v>743</v>
      </c>
      <c r="D26" s="33" t="s">
        <v>891</v>
      </c>
      <c r="E26" s="50" t="s">
        <v>891</v>
      </c>
      <c r="I26" s="33"/>
      <c r="M26" s="33"/>
      <c r="P26" s="33"/>
    </row>
    <row r="27" spans="1:16" x14ac:dyDescent="0.25">
      <c r="A27" s="33" t="s">
        <v>722</v>
      </c>
      <c r="B27" t="s">
        <v>693</v>
      </c>
      <c r="C27" t="s">
        <v>744</v>
      </c>
      <c r="D27" s="33" t="s">
        <v>694</v>
      </c>
      <c r="E27" s="50" t="s">
        <v>694</v>
      </c>
      <c r="G27" s="33" t="s">
        <v>956</v>
      </c>
      <c r="H27" s="33" t="s">
        <v>944</v>
      </c>
      <c r="I27" s="33" t="s">
        <v>694</v>
      </c>
      <c r="J27" s="33" t="s">
        <v>958</v>
      </c>
      <c r="M27" s="33"/>
      <c r="P27" s="33"/>
    </row>
    <row r="28" spans="1:16" x14ac:dyDescent="0.25">
      <c r="A28" s="33" t="s">
        <v>722</v>
      </c>
      <c r="B28" t="s">
        <v>695</v>
      </c>
      <c r="C28" t="s">
        <v>745</v>
      </c>
      <c r="D28" s="33" t="s">
        <v>696</v>
      </c>
      <c r="E28" s="50" t="s">
        <v>696</v>
      </c>
      <c r="I28" s="33"/>
      <c r="M28" s="33"/>
      <c r="P28" s="33"/>
    </row>
    <row r="29" spans="1:16" x14ac:dyDescent="0.25">
      <c r="A29" s="33" t="s">
        <v>722</v>
      </c>
      <c r="B29" t="s">
        <v>697</v>
      </c>
      <c r="C29" t="s">
        <v>746</v>
      </c>
      <c r="D29" s="33" t="s">
        <v>698</v>
      </c>
      <c r="E29" s="50" t="s">
        <v>698</v>
      </c>
      <c r="G29" t="s">
        <v>945</v>
      </c>
      <c r="H29" t="s">
        <v>946</v>
      </c>
      <c r="I29" s="33"/>
      <c r="M29" s="33"/>
      <c r="P29" s="33"/>
    </row>
    <row r="30" spans="1:16" x14ac:dyDescent="0.25">
      <c r="A30" s="33" t="s">
        <v>722</v>
      </c>
      <c r="B30" t="s">
        <v>699</v>
      </c>
      <c r="C30" t="s">
        <v>747</v>
      </c>
      <c r="D30" s="33" t="s">
        <v>700</v>
      </c>
      <c r="E30" s="50" t="s">
        <v>700</v>
      </c>
      <c r="I30" s="33"/>
      <c r="M30" s="33"/>
      <c r="P30" s="33"/>
    </row>
    <row r="31" spans="1:16" x14ac:dyDescent="0.25">
      <c r="A31" s="33" t="s">
        <v>722</v>
      </c>
      <c r="B31" t="s">
        <v>892</v>
      </c>
      <c r="C31" t="s">
        <v>893</v>
      </c>
      <c r="D31" s="33" t="s">
        <v>894</v>
      </c>
      <c r="E31" s="50" t="s">
        <v>894</v>
      </c>
      <c r="I31" s="33"/>
      <c r="M31" s="33"/>
      <c r="P31" s="33"/>
    </row>
    <row r="32" spans="1:16" x14ac:dyDescent="0.25">
      <c r="A32" s="33" t="s">
        <v>722</v>
      </c>
      <c r="B32" t="s">
        <v>701</v>
      </c>
      <c r="C32" t="s">
        <v>748</v>
      </c>
      <c r="D32" s="33" t="s">
        <v>895</v>
      </c>
      <c r="E32" s="50" t="s">
        <v>895</v>
      </c>
      <c r="I32" s="33"/>
      <c r="M32" s="33"/>
      <c r="P32" s="33"/>
    </row>
    <row r="33" spans="1:16" x14ac:dyDescent="0.25">
      <c r="A33" s="33" t="s">
        <v>722</v>
      </c>
      <c r="B33" t="s">
        <v>702</v>
      </c>
      <c r="C33" t="s">
        <v>749</v>
      </c>
      <c r="D33" s="33" t="s">
        <v>896</v>
      </c>
      <c r="E33" s="50" t="s">
        <v>896</v>
      </c>
      <c r="I33" s="33"/>
      <c r="M33" s="33"/>
      <c r="P33" s="33"/>
    </row>
    <row r="34" spans="1:16" x14ac:dyDescent="0.25">
      <c r="A34" s="33" t="s">
        <v>722</v>
      </c>
      <c r="B34" t="s">
        <v>703</v>
      </c>
      <c r="C34" t="s">
        <v>750</v>
      </c>
      <c r="D34" s="33" t="s">
        <v>897</v>
      </c>
      <c r="E34" s="50" t="s">
        <v>897</v>
      </c>
      <c r="I34" s="33"/>
      <c r="M34" s="33"/>
      <c r="P34" s="33"/>
    </row>
    <row r="35" spans="1:16" x14ac:dyDescent="0.25">
      <c r="A35" s="33" t="s">
        <v>722</v>
      </c>
      <c r="B35" t="s">
        <v>898</v>
      </c>
      <c r="C35" t="s">
        <v>899</v>
      </c>
      <c r="D35" s="33" t="s">
        <v>900</v>
      </c>
      <c r="E35" s="50" t="s">
        <v>900</v>
      </c>
      <c r="I35" s="33"/>
      <c r="M35" s="33"/>
      <c r="P35" s="33"/>
    </row>
    <row r="36" spans="1:16" x14ac:dyDescent="0.25">
      <c r="A36" s="33" t="s">
        <v>722</v>
      </c>
      <c r="B36" t="s">
        <v>704</v>
      </c>
      <c r="C36" t="s">
        <v>751</v>
      </c>
      <c r="D36" s="33" t="s">
        <v>901</v>
      </c>
      <c r="E36" s="50" t="s">
        <v>901</v>
      </c>
      <c r="I36" s="33"/>
      <c r="M36" s="33"/>
      <c r="P36" s="33"/>
    </row>
    <row r="37" spans="1:16" x14ac:dyDescent="0.25">
      <c r="A37" s="33" t="s">
        <v>722</v>
      </c>
      <c r="B37" t="s">
        <v>902</v>
      </c>
      <c r="C37" t="s">
        <v>903</v>
      </c>
      <c r="D37" s="33" t="s">
        <v>904</v>
      </c>
      <c r="E37" s="50" t="s">
        <v>904</v>
      </c>
      <c r="I37" s="33"/>
      <c r="M37" s="33"/>
      <c r="P37" s="33"/>
    </row>
    <row r="38" spans="1:16" x14ac:dyDescent="0.25">
      <c r="A38" s="33" t="s">
        <v>722</v>
      </c>
      <c r="B38" t="s">
        <v>705</v>
      </c>
      <c r="C38" t="s">
        <v>752</v>
      </c>
      <c r="D38" s="33" t="s">
        <v>706</v>
      </c>
      <c r="E38" s="50" t="s">
        <v>706</v>
      </c>
      <c r="G38" s="33" t="s">
        <v>957</v>
      </c>
      <c r="H38" s="33" t="s">
        <v>947</v>
      </c>
      <c r="I38" s="33" t="s">
        <v>706</v>
      </c>
      <c r="J38" s="33" t="s">
        <v>959</v>
      </c>
      <c r="M38" s="33"/>
      <c r="P38" s="33"/>
    </row>
    <row r="39" spans="1:16" x14ac:dyDescent="0.25">
      <c r="A39" s="33" t="s">
        <v>722</v>
      </c>
      <c r="B39" t="s">
        <v>707</v>
      </c>
      <c r="C39" t="s">
        <v>753</v>
      </c>
      <c r="D39" s="33" t="s">
        <v>708</v>
      </c>
      <c r="E39" s="50" t="s">
        <v>708</v>
      </c>
      <c r="I39" s="33"/>
      <c r="M39" s="33"/>
      <c r="P39" s="33"/>
    </row>
    <row r="40" spans="1:16" x14ac:dyDescent="0.25">
      <c r="A40" s="33" t="s">
        <v>722</v>
      </c>
      <c r="B40" t="s">
        <v>709</v>
      </c>
      <c r="C40" t="s">
        <v>754</v>
      </c>
      <c r="D40" s="33" t="s">
        <v>710</v>
      </c>
      <c r="E40" s="50" t="s">
        <v>710</v>
      </c>
      <c r="G40" t="s">
        <v>948</v>
      </c>
      <c r="H40" t="s">
        <v>949</v>
      </c>
      <c r="I40" s="33"/>
      <c r="M40" s="33"/>
      <c r="P40" s="33"/>
    </row>
    <row r="41" spans="1:16" x14ac:dyDescent="0.25">
      <c r="A41" s="33" t="s">
        <v>722</v>
      </c>
      <c r="B41" t="s">
        <v>711</v>
      </c>
      <c r="C41" t="s">
        <v>755</v>
      </c>
      <c r="D41" s="33" t="s">
        <v>712</v>
      </c>
      <c r="E41" s="50" t="s">
        <v>712</v>
      </c>
      <c r="I41" s="33"/>
      <c r="M41" s="33"/>
      <c r="P41" s="33"/>
    </row>
    <row r="42" spans="1:16" x14ac:dyDescent="0.25">
      <c r="A42" s="33" t="s">
        <v>722</v>
      </c>
      <c r="B42" t="s">
        <v>905</v>
      </c>
      <c r="C42" t="s">
        <v>906</v>
      </c>
      <c r="D42" s="33" t="s">
        <v>907</v>
      </c>
      <c r="E42" s="50" t="s">
        <v>907</v>
      </c>
      <c r="I42" s="33"/>
      <c r="M42" s="33"/>
      <c r="P42" s="33"/>
    </row>
    <row r="43" spans="1:16" x14ac:dyDescent="0.25">
      <c r="A43" s="33" t="s">
        <v>722</v>
      </c>
      <c r="B43" t="s">
        <v>207</v>
      </c>
      <c r="C43" t="s">
        <v>756</v>
      </c>
      <c r="D43" s="33" t="s">
        <v>757</v>
      </c>
      <c r="E43" s="50" t="s">
        <v>757</v>
      </c>
      <c r="I43" s="33"/>
      <c r="M43" s="33"/>
      <c r="P43" s="33"/>
    </row>
    <row r="44" spans="1:16" x14ac:dyDescent="0.25">
      <c r="A44" s="33" t="s">
        <v>722</v>
      </c>
      <c r="B44" t="s">
        <v>713</v>
      </c>
      <c r="C44" t="s">
        <v>758</v>
      </c>
      <c r="D44" s="33" t="s">
        <v>908</v>
      </c>
      <c r="E44" s="50" t="s">
        <v>908</v>
      </c>
      <c r="I44" s="33"/>
      <c r="M44" s="33"/>
      <c r="P44" s="33"/>
    </row>
    <row r="45" spans="1:16" x14ac:dyDescent="0.25">
      <c r="A45" s="33" t="s">
        <v>722</v>
      </c>
      <c r="B45" t="s">
        <v>714</v>
      </c>
      <c r="C45" t="s">
        <v>759</v>
      </c>
      <c r="D45" s="33" t="s">
        <v>909</v>
      </c>
      <c r="E45" s="50" t="s">
        <v>909</v>
      </c>
      <c r="I45" s="33"/>
      <c r="M45" s="33"/>
      <c r="P45" s="33"/>
    </row>
    <row r="46" spans="1:16" x14ac:dyDescent="0.25">
      <c r="A46" s="33" t="s">
        <v>722</v>
      </c>
      <c r="B46" t="s">
        <v>715</v>
      </c>
      <c r="C46" t="s">
        <v>760</v>
      </c>
      <c r="D46" s="33" t="s">
        <v>910</v>
      </c>
      <c r="E46" s="50" t="s">
        <v>910</v>
      </c>
      <c r="I46" s="33"/>
      <c r="M46" s="33"/>
      <c r="P46" s="33"/>
    </row>
    <row r="47" spans="1:16" x14ac:dyDescent="0.25">
      <c r="A47" s="33" t="s">
        <v>722</v>
      </c>
      <c r="B47" t="s">
        <v>911</v>
      </c>
      <c r="C47" t="s">
        <v>912</v>
      </c>
      <c r="D47" s="33" t="s">
        <v>913</v>
      </c>
      <c r="E47" s="50" t="s">
        <v>913</v>
      </c>
      <c r="I47" s="33"/>
      <c r="M47" s="33"/>
      <c r="P47" s="33"/>
    </row>
    <row r="48" spans="1:16" x14ac:dyDescent="0.25">
      <c r="A48" s="33" t="s">
        <v>722</v>
      </c>
      <c r="B48" t="s">
        <v>914</v>
      </c>
      <c r="C48" t="s">
        <v>915</v>
      </c>
      <c r="D48" s="33" t="s">
        <v>916</v>
      </c>
      <c r="E48" s="50" t="s">
        <v>916</v>
      </c>
      <c r="I48" s="33"/>
      <c r="M48" s="33"/>
      <c r="P48" s="33"/>
    </row>
    <row r="49" spans="1:16" x14ac:dyDescent="0.25">
      <c r="A49" s="33" t="s">
        <v>722</v>
      </c>
      <c r="B49" t="s">
        <v>716</v>
      </c>
      <c r="C49" t="s">
        <v>761</v>
      </c>
      <c r="D49" s="33" t="s">
        <v>917</v>
      </c>
      <c r="E49" s="50" t="s">
        <v>917</v>
      </c>
      <c r="I49" s="33"/>
      <c r="M49" s="33"/>
      <c r="P49" s="33"/>
    </row>
    <row r="50" spans="1:16" x14ac:dyDescent="0.25">
      <c r="B50" t="s">
        <v>918</v>
      </c>
      <c r="C50" t="s">
        <v>918</v>
      </c>
      <c r="D50" s="33" t="s">
        <v>919</v>
      </c>
      <c r="E50" s="50" t="s">
        <v>919</v>
      </c>
      <c r="I50" s="33"/>
      <c r="M50" s="33"/>
      <c r="P50" s="33"/>
    </row>
    <row r="51" spans="1:16" x14ac:dyDescent="0.25">
      <c r="A51" s="33" t="s">
        <v>722</v>
      </c>
      <c r="B51" t="s">
        <v>717</v>
      </c>
      <c r="C51" t="s">
        <v>762</v>
      </c>
      <c r="D51" s="33" t="s">
        <v>935</v>
      </c>
      <c r="E51" s="50" t="s">
        <v>935</v>
      </c>
      <c r="G51" s="33" t="s">
        <v>941</v>
      </c>
      <c r="H51" s="33" t="s">
        <v>940</v>
      </c>
      <c r="I51" s="33" t="s">
        <v>935</v>
      </c>
      <c r="J51" s="33" t="s">
        <v>960</v>
      </c>
      <c r="M51" s="33"/>
      <c r="P51" s="33"/>
    </row>
    <row r="52" spans="1:16" x14ac:dyDescent="0.25">
      <c r="A52" s="33" t="s">
        <v>722</v>
      </c>
      <c r="B52" t="s">
        <v>718</v>
      </c>
      <c r="C52" t="s">
        <v>763</v>
      </c>
      <c r="D52" s="33" t="s">
        <v>936</v>
      </c>
      <c r="E52" s="50" t="s">
        <v>936</v>
      </c>
      <c r="G52" s="26"/>
      <c r="H52" s="26"/>
      <c r="I52" s="33"/>
      <c r="M52" s="33"/>
      <c r="P52" s="33"/>
    </row>
    <row r="53" spans="1:16" x14ac:dyDescent="0.25">
      <c r="A53" s="33" t="s">
        <v>722</v>
      </c>
      <c r="B53" t="s">
        <v>719</v>
      </c>
      <c r="C53" t="s">
        <v>764</v>
      </c>
      <c r="D53" s="33" t="s">
        <v>937</v>
      </c>
      <c r="E53" s="50" t="s">
        <v>937</v>
      </c>
      <c r="G53" s="26"/>
      <c r="H53" s="26"/>
      <c r="I53" s="33"/>
      <c r="M53" s="33"/>
      <c r="P53" s="33"/>
    </row>
    <row r="54" spans="1:16" s="26" customFormat="1" x14ac:dyDescent="0.25">
      <c r="A54" s="33" t="s">
        <v>722</v>
      </c>
      <c r="B54" s="26" t="s">
        <v>720</v>
      </c>
      <c r="C54" s="26" t="s">
        <v>765</v>
      </c>
      <c r="D54" s="33" t="s">
        <v>938</v>
      </c>
      <c r="E54" s="50"/>
      <c r="G54" s="26" t="s">
        <v>942</v>
      </c>
      <c r="H54" s="26" t="s">
        <v>943</v>
      </c>
      <c r="I54" s="33"/>
      <c r="M54" s="33"/>
      <c r="P54" s="33"/>
    </row>
    <row r="55" spans="1:16" x14ac:dyDescent="0.25">
      <c r="A55" s="33" t="s">
        <v>722</v>
      </c>
      <c r="B55" t="s">
        <v>721</v>
      </c>
      <c r="C55" t="s">
        <v>766</v>
      </c>
      <c r="D55" s="33" t="s">
        <v>939</v>
      </c>
      <c r="E55" s="50" t="s">
        <v>939</v>
      </c>
      <c r="G55" s="26"/>
      <c r="H55" s="26"/>
      <c r="I55" s="33"/>
      <c r="M55" s="33"/>
      <c r="P55" s="33"/>
    </row>
    <row r="56" spans="1:16" x14ac:dyDescent="0.25">
      <c r="A56" s="33" t="s">
        <v>722</v>
      </c>
      <c r="B56" t="s">
        <v>920</v>
      </c>
      <c r="C56" t="s">
        <v>921</v>
      </c>
      <c r="D56" s="33" t="s">
        <v>922</v>
      </c>
      <c r="E56" s="50" t="s">
        <v>922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6" customFormat="1" x14ac:dyDescent="0.25">
      <c r="A59" s="76" t="s">
        <v>1042</v>
      </c>
      <c r="B59" s="76" t="s">
        <v>1041</v>
      </c>
      <c r="C59" s="77" t="s">
        <v>927</v>
      </c>
      <c r="D59" s="78" t="s">
        <v>928</v>
      </c>
      <c r="E59" s="78" t="s">
        <v>929</v>
      </c>
      <c r="H59" s="78"/>
    </row>
    <row r="60" spans="1:16" x14ac:dyDescent="0.25">
      <c r="A60" s="33" t="s">
        <v>1045</v>
      </c>
      <c r="B60" t="s">
        <v>1041</v>
      </c>
      <c r="C60" s="28" t="s">
        <v>1043</v>
      </c>
      <c r="D60" s="33" t="s">
        <v>1044</v>
      </c>
      <c r="E60" s="33" t="s">
        <v>1044</v>
      </c>
      <c r="H60" s="33"/>
    </row>
    <row r="61" spans="1:16" x14ac:dyDescent="0.25">
      <c r="A61" t="s">
        <v>722</v>
      </c>
      <c r="B61" t="s">
        <v>491</v>
      </c>
      <c r="C61" s="50" t="s">
        <v>1046</v>
      </c>
      <c r="D61" s="33" t="s">
        <v>1047</v>
      </c>
      <c r="E61" s="33" t="s">
        <v>1047</v>
      </c>
      <c r="H61" s="33"/>
    </row>
    <row r="62" spans="1:16" x14ac:dyDescent="0.25">
      <c r="A62" t="s">
        <v>722</v>
      </c>
      <c r="B62" t="s">
        <v>1048</v>
      </c>
      <c r="C62" s="28" t="s">
        <v>862</v>
      </c>
      <c r="D62" s="33" t="s">
        <v>863</v>
      </c>
      <c r="E62" s="33" t="s">
        <v>863</v>
      </c>
      <c r="H62" s="33"/>
    </row>
    <row r="63" spans="1:16" x14ac:dyDescent="0.25">
      <c r="A63" t="s">
        <v>722</v>
      </c>
      <c r="B63" t="s">
        <v>1051</v>
      </c>
      <c r="C63" s="28" t="s">
        <v>1049</v>
      </c>
      <c r="D63" s="33" t="s">
        <v>1050</v>
      </c>
      <c r="E63" s="33" t="s">
        <v>1050</v>
      </c>
      <c r="H63" s="33"/>
    </row>
    <row r="64" spans="1:16" x14ac:dyDescent="0.25">
      <c r="A64" t="s">
        <v>722</v>
      </c>
      <c r="B64" t="s">
        <v>1054</v>
      </c>
      <c r="C64" s="28" t="s">
        <v>1052</v>
      </c>
      <c r="D64" s="33" t="s">
        <v>1053</v>
      </c>
      <c r="E64" s="33" t="s">
        <v>1053</v>
      </c>
      <c r="H64" s="33"/>
    </row>
    <row r="65" spans="1:8" x14ac:dyDescent="0.25">
      <c r="A65" t="s">
        <v>722</v>
      </c>
      <c r="B65" t="s">
        <v>1057</v>
      </c>
      <c r="C65" s="28" t="s">
        <v>1055</v>
      </c>
      <c r="D65" s="33" t="s">
        <v>1056</v>
      </c>
      <c r="E65" s="33" t="s">
        <v>1056</v>
      </c>
      <c r="H65" s="33"/>
    </row>
    <row r="66" spans="1:8" x14ac:dyDescent="0.25">
      <c r="A66" t="s">
        <v>722</v>
      </c>
      <c r="B66" t="s">
        <v>1059</v>
      </c>
      <c r="C66" s="28" t="s">
        <v>1058</v>
      </c>
      <c r="D66" s="33" t="s">
        <v>712</v>
      </c>
      <c r="E66" s="33" t="s">
        <v>712</v>
      </c>
      <c r="H66" s="33"/>
    </row>
    <row r="67" spans="1:8" x14ac:dyDescent="0.25">
      <c r="A67" t="s">
        <v>722</v>
      </c>
      <c r="B67" t="s">
        <v>1062</v>
      </c>
      <c r="C67" s="28" t="s">
        <v>1060</v>
      </c>
      <c r="D67" s="33" t="s">
        <v>1061</v>
      </c>
      <c r="E67" s="33" t="s">
        <v>1061</v>
      </c>
    </row>
    <row r="68" spans="1:8" x14ac:dyDescent="0.25">
      <c r="A68" t="s">
        <v>722</v>
      </c>
      <c r="B68" t="s">
        <v>1065</v>
      </c>
      <c r="C68" s="28" t="s">
        <v>1063</v>
      </c>
      <c r="D68" s="33" t="s">
        <v>1064</v>
      </c>
      <c r="E68" s="33" t="s">
        <v>1064</v>
      </c>
    </row>
    <row r="69" spans="1:8" x14ac:dyDescent="0.25">
      <c r="A69" t="s">
        <v>722</v>
      </c>
      <c r="B69" t="s">
        <v>671</v>
      </c>
      <c r="C69" s="28" t="s">
        <v>1066</v>
      </c>
      <c r="D69" s="33" t="s">
        <v>1067</v>
      </c>
      <c r="E69" s="33" t="s">
        <v>1067</v>
      </c>
    </row>
    <row r="70" spans="1:8" x14ac:dyDescent="0.25">
      <c r="A70" t="s">
        <v>722</v>
      </c>
      <c r="B70" t="s">
        <v>1068</v>
      </c>
      <c r="C70" s="28" t="s">
        <v>723</v>
      </c>
      <c r="D70" s="33" t="s">
        <v>724</v>
      </c>
      <c r="E70" s="33" t="s">
        <v>724</v>
      </c>
    </row>
    <row r="71" spans="1:8" x14ac:dyDescent="0.25">
      <c r="A71" t="s">
        <v>722</v>
      </c>
      <c r="B71" t="s">
        <v>672</v>
      </c>
      <c r="C71" s="28" t="s">
        <v>1069</v>
      </c>
      <c r="D71" s="33" t="s">
        <v>1070</v>
      </c>
      <c r="E71" s="33" t="s">
        <v>1070</v>
      </c>
    </row>
    <row r="72" spans="1:8" x14ac:dyDescent="0.25">
      <c r="A72" t="s">
        <v>722</v>
      </c>
      <c r="B72" t="s">
        <v>673</v>
      </c>
      <c r="C72" s="28" t="s">
        <v>725</v>
      </c>
      <c r="D72" s="33" t="s">
        <v>1071</v>
      </c>
      <c r="E72" s="33" t="s">
        <v>1071</v>
      </c>
    </row>
    <row r="73" spans="1:8" x14ac:dyDescent="0.25">
      <c r="A73" t="s">
        <v>722</v>
      </c>
      <c r="B73" t="s">
        <v>674</v>
      </c>
      <c r="C73" s="28" t="s">
        <v>726</v>
      </c>
      <c r="D73" s="33" t="s">
        <v>1072</v>
      </c>
      <c r="E73" s="33" t="s">
        <v>1072</v>
      </c>
    </row>
    <row r="74" spans="1:8" x14ac:dyDescent="0.25">
      <c r="A74" t="s">
        <v>722</v>
      </c>
      <c r="B74" t="s">
        <v>675</v>
      </c>
      <c r="C74" s="28" t="s">
        <v>727</v>
      </c>
      <c r="D74" s="33" t="s">
        <v>1073</v>
      </c>
      <c r="E74" s="33" t="s">
        <v>1073</v>
      </c>
    </row>
    <row r="75" spans="1:8" x14ac:dyDescent="0.25">
      <c r="A75" t="s">
        <v>722</v>
      </c>
      <c r="B75" t="s">
        <v>1074</v>
      </c>
      <c r="C75" s="50" t="s">
        <v>728</v>
      </c>
      <c r="D75" s="33" t="s">
        <v>729</v>
      </c>
      <c r="E75" s="33" t="s">
        <v>729</v>
      </c>
    </row>
    <row r="76" spans="1:8" x14ac:dyDescent="0.25">
      <c r="A76" s="33" t="s">
        <v>722</v>
      </c>
      <c r="B76" t="s">
        <v>676</v>
      </c>
      <c r="C76" s="50" t="s">
        <v>1075</v>
      </c>
      <c r="D76" s="33" t="s">
        <v>1076</v>
      </c>
      <c r="E76" s="33" t="s">
        <v>1076</v>
      </c>
    </row>
    <row r="77" spans="1:8" x14ac:dyDescent="0.25">
      <c r="A77" s="33" t="s">
        <v>722</v>
      </c>
      <c r="B77" t="s">
        <v>677</v>
      </c>
      <c r="C77" s="50" t="s">
        <v>730</v>
      </c>
      <c r="D77" s="33" t="s">
        <v>1077</v>
      </c>
      <c r="E77" s="33" t="s">
        <v>1077</v>
      </c>
    </row>
    <row r="78" spans="1:8" x14ac:dyDescent="0.25">
      <c r="A78" s="33" t="s">
        <v>722</v>
      </c>
      <c r="B78" t="s">
        <v>678</v>
      </c>
      <c r="C78" s="50" t="s">
        <v>731</v>
      </c>
      <c r="D78" s="33" t="s">
        <v>1078</v>
      </c>
      <c r="E78" s="33" t="s">
        <v>1078</v>
      </c>
    </row>
    <row r="79" spans="1:8" x14ac:dyDescent="0.25">
      <c r="A79" s="33" t="s">
        <v>722</v>
      </c>
      <c r="B79" t="s">
        <v>870</v>
      </c>
      <c r="C79" s="50" t="s">
        <v>732</v>
      </c>
      <c r="D79" s="33" t="s">
        <v>1079</v>
      </c>
      <c r="E79" s="33" t="s">
        <v>1079</v>
      </c>
    </row>
    <row r="80" spans="1:8" x14ac:dyDescent="0.25">
      <c r="A80" s="33" t="s">
        <v>722</v>
      </c>
      <c r="B80" t="s">
        <v>679</v>
      </c>
      <c r="C80" s="50" t="s">
        <v>871</v>
      </c>
      <c r="D80" s="33" t="s">
        <v>872</v>
      </c>
      <c r="E80" s="33" t="s">
        <v>872</v>
      </c>
    </row>
    <row r="81" spans="1:5" x14ac:dyDescent="0.25">
      <c r="A81" s="33" t="s">
        <v>722</v>
      </c>
      <c r="B81" t="s">
        <v>874</v>
      </c>
      <c r="C81" s="50" t="s">
        <v>733</v>
      </c>
      <c r="D81" s="33" t="s">
        <v>1080</v>
      </c>
      <c r="E81" s="33" t="s">
        <v>1080</v>
      </c>
    </row>
    <row r="82" spans="1:5" x14ac:dyDescent="0.25">
      <c r="A82" s="33" t="s">
        <v>722</v>
      </c>
      <c r="B82" t="s">
        <v>1081</v>
      </c>
      <c r="C82" s="50" t="s">
        <v>875</v>
      </c>
      <c r="D82" s="33" t="s">
        <v>876</v>
      </c>
      <c r="E82" s="33" t="s">
        <v>876</v>
      </c>
    </row>
    <row r="83" spans="1:5" x14ac:dyDescent="0.25">
      <c r="A83" t="s">
        <v>722</v>
      </c>
      <c r="B83" t="s">
        <v>680</v>
      </c>
      <c r="C83" s="28" t="s">
        <v>1082</v>
      </c>
      <c r="D83" s="33" t="s">
        <v>1083</v>
      </c>
      <c r="E83" s="33" t="s">
        <v>1083</v>
      </c>
    </row>
    <row r="84" spans="1:5" x14ac:dyDescent="0.25">
      <c r="A84" t="s">
        <v>722</v>
      </c>
      <c r="B84" t="s">
        <v>681</v>
      </c>
      <c r="C84" s="28" t="s">
        <v>734</v>
      </c>
      <c r="D84" s="33" t="s">
        <v>1084</v>
      </c>
      <c r="E84" s="33" t="s">
        <v>1084</v>
      </c>
    </row>
    <row r="85" spans="1:5" x14ac:dyDescent="0.25">
      <c r="A85" t="s">
        <v>722</v>
      </c>
      <c r="B85" t="s">
        <v>683</v>
      </c>
      <c r="C85" s="28" t="s">
        <v>735</v>
      </c>
      <c r="D85" s="33" t="s">
        <v>951</v>
      </c>
      <c r="E85" s="33" t="s">
        <v>951</v>
      </c>
    </row>
    <row r="86" spans="1:5" x14ac:dyDescent="0.25">
      <c r="A86" t="s">
        <v>722</v>
      </c>
      <c r="B86" t="s">
        <v>685</v>
      </c>
      <c r="C86" s="28" t="s">
        <v>736</v>
      </c>
      <c r="D86" s="33" t="s">
        <v>684</v>
      </c>
      <c r="E86" s="33" t="s">
        <v>684</v>
      </c>
    </row>
    <row r="87" spans="1:5" x14ac:dyDescent="0.25">
      <c r="A87" t="s">
        <v>722</v>
      </c>
      <c r="B87" t="s">
        <v>878</v>
      </c>
      <c r="C87" s="28" t="s">
        <v>737</v>
      </c>
      <c r="D87" s="33" t="s">
        <v>955</v>
      </c>
      <c r="E87" s="33" t="s">
        <v>955</v>
      </c>
    </row>
    <row r="88" spans="1:5" x14ac:dyDescent="0.25">
      <c r="A88" t="s">
        <v>722</v>
      </c>
      <c r="B88" t="s">
        <v>1085</v>
      </c>
      <c r="C88" s="28" t="s">
        <v>879</v>
      </c>
      <c r="D88" s="33" t="s">
        <v>687</v>
      </c>
      <c r="E88" s="33" t="s">
        <v>687</v>
      </c>
    </row>
    <row r="89" spans="1:5" x14ac:dyDescent="0.25">
      <c r="A89" t="s">
        <v>722</v>
      </c>
      <c r="B89" t="s">
        <v>880</v>
      </c>
      <c r="C89" s="28" t="s">
        <v>1086</v>
      </c>
      <c r="D89" s="33" t="s">
        <v>1087</v>
      </c>
      <c r="E89" s="33" t="s">
        <v>1087</v>
      </c>
    </row>
    <row r="90" spans="1:5" x14ac:dyDescent="0.25">
      <c r="B90" t="s">
        <v>883</v>
      </c>
      <c r="C90" s="28" t="s">
        <v>881</v>
      </c>
      <c r="D90" s="33" t="s">
        <v>1088</v>
      </c>
      <c r="E90" s="33" t="s">
        <v>1088</v>
      </c>
    </row>
    <row r="91" spans="1:5" x14ac:dyDescent="0.25">
      <c r="A91" t="s">
        <v>722</v>
      </c>
      <c r="B91" t="s">
        <v>688</v>
      </c>
      <c r="C91" s="28" t="s">
        <v>883</v>
      </c>
      <c r="D91" s="33" t="s">
        <v>1089</v>
      </c>
      <c r="E91" s="33" t="s">
        <v>1089</v>
      </c>
    </row>
    <row r="92" spans="1:5" x14ac:dyDescent="0.25">
      <c r="A92" t="s">
        <v>722</v>
      </c>
      <c r="B92" t="s">
        <v>1090</v>
      </c>
      <c r="C92" s="28" t="s">
        <v>738</v>
      </c>
      <c r="D92" s="33" t="s">
        <v>739</v>
      </c>
      <c r="E92" s="33" t="s">
        <v>739</v>
      </c>
    </row>
    <row r="93" spans="1:5" x14ac:dyDescent="0.25">
      <c r="A93" t="s">
        <v>722</v>
      </c>
      <c r="B93" t="s">
        <v>689</v>
      </c>
      <c r="C93" s="28" t="s">
        <v>1091</v>
      </c>
      <c r="D93" s="33" t="s">
        <v>1092</v>
      </c>
      <c r="E93" s="33" t="s">
        <v>1092</v>
      </c>
    </row>
    <row r="94" spans="1:5" x14ac:dyDescent="0.25">
      <c r="A94" t="s">
        <v>722</v>
      </c>
      <c r="B94" t="s">
        <v>690</v>
      </c>
      <c r="C94" s="28" t="s">
        <v>740</v>
      </c>
      <c r="D94" s="33" t="s">
        <v>1093</v>
      </c>
      <c r="E94" s="33" t="s">
        <v>1093</v>
      </c>
    </row>
    <row r="95" spans="1:5" x14ac:dyDescent="0.25">
      <c r="A95" t="s">
        <v>722</v>
      </c>
      <c r="B95" t="s">
        <v>691</v>
      </c>
      <c r="C95" s="28" t="s">
        <v>741</v>
      </c>
      <c r="D95" s="33" t="s">
        <v>1094</v>
      </c>
      <c r="E95" s="33" t="s">
        <v>1094</v>
      </c>
    </row>
    <row r="96" spans="1:5" x14ac:dyDescent="0.25">
      <c r="A96" t="s">
        <v>722</v>
      </c>
      <c r="B96" t="s">
        <v>888</v>
      </c>
      <c r="C96" s="28" t="s">
        <v>742</v>
      </c>
      <c r="D96" s="33" t="s">
        <v>1095</v>
      </c>
      <c r="E96" s="33" t="s">
        <v>1095</v>
      </c>
    </row>
    <row r="97" spans="1:5" x14ac:dyDescent="0.25">
      <c r="A97" t="s">
        <v>722</v>
      </c>
      <c r="B97" t="s">
        <v>1096</v>
      </c>
      <c r="C97" s="28" t="s">
        <v>889</v>
      </c>
      <c r="D97" s="33" t="s">
        <v>890</v>
      </c>
      <c r="E97" s="33" t="s">
        <v>890</v>
      </c>
    </row>
    <row r="98" spans="1:5" x14ac:dyDescent="0.25">
      <c r="A98" t="s">
        <v>722</v>
      </c>
      <c r="B98" t="s">
        <v>692</v>
      </c>
      <c r="C98" s="28" t="s">
        <v>1097</v>
      </c>
      <c r="D98" s="33" t="s">
        <v>1098</v>
      </c>
      <c r="E98" s="33" t="s">
        <v>1098</v>
      </c>
    </row>
    <row r="99" spans="1:5" x14ac:dyDescent="0.25">
      <c r="A99" t="s">
        <v>722</v>
      </c>
      <c r="B99" t="s">
        <v>693</v>
      </c>
      <c r="C99" s="28" t="s">
        <v>743</v>
      </c>
      <c r="D99" s="33" t="s">
        <v>1099</v>
      </c>
      <c r="E99" s="33" t="s">
        <v>1099</v>
      </c>
    </row>
    <row r="100" spans="1:5" x14ac:dyDescent="0.25">
      <c r="A100" t="s">
        <v>722</v>
      </c>
      <c r="B100" t="s">
        <v>695</v>
      </c>
      <c r="C100" s="28" t="s">
        <v>744</v>
      </c>
      <c r="D100" s="33" t="s">
        <v>1100</v>
      </c>
      <c r="E100" s="33" t="s">
        <v>1100</v>
      </c>
    </row>
    <row r="101" spans="1:5" x14ac:dyDescent="0.25">
      <c r="A101" t="s">
        <v>722</v>
      </c>
      <c r="B101" t="s">
        <v>697</v>
      </c>
      <c r="C101" s="28" t="s">
        <v>745</v>
      </c>
      <c r="D101" s="33" t="s">
        <v>696</v>
      </c>
      <c r="E101" s="33" t="s">
        <v>696</v>
      </c>
    </row>
    <row r="102" spans="1:5" x14ac:dyDescent="0.25">
      <c r="A102" t="s">
        <v>722</v>
      </c>
      <c r="B102" t="s">
        <v>699</v>
      </c>
      <c r="C102" s="28" t="s">
        <v>746</v>
      </c>
      <c r="D102" s="33" t="s">
        <v>1101</v>
      </c>
      <c r="E102" s="33" t="s">
        <v>1101</v>
      </c>
    </row>
    <row r="103" spans="1:5" x14ac:dyDescent="0.25">
      <c r="A103" t="s">
        <v>722</v>
      </c>
      <c r="B103" t="s">
        <v>1102</v>
      </c>
      <c r="C103" s="28" t="s">
        <v>747</v>
      </c>
      <c r="D103" s="33" t="s">
        <v>700</v>
      </c>
      <c r="E103" s="33" t="s">
        <v>700</v>
      </c>
    </row>
    <row r="104" spans="1:5" x14ac:dyDescent="0.25">
      <c r="A104" t="s">
        <v>722</v>
      </c>
      <c r="B104" t="s">
        <v>892</v>
      </c>
      <c r="C104" s="28" t="s">
        <v>1103</v>
      </c>
      <c r="D104" s="33" t="s">
        <v>1104</v>
      </c>
      <c r="E104" s="33" t="s">
        <v>1104</v>
      </c>
    </row>
    <row r="105" spans="1:5" x14ac:dyDescent="0.25">
      <c r="A105" t="s">
        <v>722</v>
      </c>
      <c r="B105" t="s">
        <v>1106</v>
      </c>
      <c r="C105" s="28" t="s">
        <v>893</v>
      </c>
      <c r="D105" s="33" t="s">
        <v>1105</v>
      </c>
      <c r="E105" s="33" t="s">
        <v>1105</v>
      </c>
    </row>
    <row r="106" spans="1:5" x14ac:dyDescent="0.25">
      <c r="A106" t="s">
        <v>722</v>
      </c>
      <c r="B106" t="s">
        <v>1109</v>
      </c>
      <c r="C106" s="28" t="s">
        <v>1107</v>
      </c>
      <c r="D106" s="33" t="s">
        <v>1108</v>
      </c>
      <c r="E106" s="33" t="s">
        <v>1108</v>
      </c>
    </row>
    <row r="107" spans="1:5" x14ac:dyDescent="0.25">
      <c r="A107" t="s">
        <v>722</v>
      </c>
      <c r="B107" t="s">
        <v>1112</v>
      </c>
      <c r="C107" s="28" t="s">
        <v>1110</v>
      </c>
      <c r="D107" s="33" t="s">
        <v>1111</v>
      </c>
      <c r="E107" s="33" t="s">
        <v>1111</v>
      </c>
    </row>
    <row r="108" spans="1:5" x14ac:dyDescent="0.25">
      <c r="A108" t="s">
        <v>722</v>
      </c>
      <c r="B108" t="s">
        <v>701</v>
      </c>
      <c r="C108" s="28" t="s">
        <v>1113</v>
      </c>
      <c r="D108" s="33" t="s">
        <v>1114</v>
      </c>
      <c r="E108" s="33" t="s">
        <v>1114</v>
      </c>
    </row>
    <row r="109" spans="1:5" x14ac:dyDescent="0.25">
      <c r="A109" t="s">
        <v>722</v>
      </c>
      <c r="B109" t="s">
        <v>702</v>
      </c>
      <c r="C109" s="28" t="s">
        <v>748</v>
      </c>
      <c r="D109" s="33" t="s">
        <v>1115</v>
      </c>
      <c r="E109" s="33" t="s">
        <v>1115</v>
      </c>
    </row>
    <row r="110" spans="1:5" x14ac:dyDescent="0.25">
      <c r="A110" t="s">
        <v>722</v>
      </c>
      <c r="B110" t="s">
        <v>703</v>
      </c>
      <c r="C110" s="28" t="s">
        <v>749</v>
      </c>
      <c r="D110" s="33" t="s">
        <v>1116</v>
      </c>
      <c r="E110" s="33" t="s">
        <v>1116</v>
      </c>
    </row>
    <row r="111" spans="1:5" x14ac:dyDescent="0.25">
      <c r="A111" t="s">
        <v>722</v>
      </c>
      <c r="B111" t="s">
        <v>898</v>
      </c>
      <c r="C111" s="28" t="s">
        <v>750</v>
      </c>
      <c r="D111" s="33" t="s">
        <v>1117</v>
      </c>
      <c r="E111" s="33" t="s">
        <v>1117</v>
      </c>
    </row>
    <row r="112" spans="1:5" x14ac:dyDescent="0.25">
      <c r="A112" t="s">
        <v>722</v>
      </c>
      <c r="B112" t="s">
        <v>1118</v>
      </c>
      <c r="C112" s="28" t="s">
        <v>899</v>
      </c>
      <c r="D112" s="33" t="s">
        <v>900</v>
      </c>
      <c r="E112" s="33" t="s">
        <v>900</v>
      </c>
    </row>
    <row r="113" spans="1:5" x14ac:dyDescent="0.25">
      <c r="A113" t="s">
        <v>722</v>
      </c>
      <c r="B113" t="s">
        <v>704</v>
      </c>
      <c r="C113" s="28" t="s">
        <v>1119</v>
      </c>
      <c r="D113" s="33" t="s">
        <v>1120</v>
      </c>
      <c r="E113" s="33" t="s">
        <v>1120</v>
      </c>
    </row>
    <row r="114" spans="1:5" x14ac:dyDescent="0.25">
      <c r="A114" t="s">
        <v>722</v>
      </c>
      <c r="B114" t="s">
        <v>902</v>
      </c>
      <c r="C114" s="28" t="s">
        <v>751</v>
      </c>
      <c r="D114" s="33" t="s">
        <v>1121</v>
      </c>
      <c r="E114" s="33" t="s">
        <v>1121</v>
      </c>
    </row>
    <row r="115" spans="1:5" x14ac:dyDescent="0.25">
      <c r="A115" t="s">
        <v>722</v>
      </c>
      <c r="B115" t="s">
        <v>705</v>
      </c>
      <c r="C115" s="28" t="s">
        <v>903</v>
      </c>
      <c r="D115" s="33" t="s">
        <v>904</v>
      </c>
      <c r="E115" s="33" t="s">
        <v>904</v>
      </c>
    </row>
    <row r="116" spans="1:5" x14ac:dyDescent="0.25">
      <c r="A116" t="s">
        <v>722</v>
      </c>
      <c r="B116" t="s">
        <v>707</v>
      </c>
      <c r="C116" s="28" t="s">
        <v>752</v>
      </c>
      <c r="D116" s="33" t="s">
        <v>1122</v>
      </c>
      <c r="E116" s="33" t="s">
        <v>1122</v>
      </c>
    </row>
    <row r="117" spans="1:5" x14ac:dyDescent="0.25">
      <c r="A117" t="s">
        <v>722</v>
      </c>
      <c r="B117" t="s">
        <v>709</v>
      </c>
      <c r="C117" s="28" t="s">
        <v>753</v>
      </c>
      <c r="D117" s="33" t="s">
        <v>708</v>
      </c>
      <c r="E117" s="33" t="s">
        <v>708</v>
      </c>
    </row>
    <row r="118" spans="1:5" x14ac:dyDescent="0.25">
      <c r="A118" t="s">
        <v>722</v>
      </c>
      <c r="B118" t="s">
        <v>711</v>
      </c>
      <c r="C118" s="28" t="s">
        <v>754</v>
      </c>
      <c r="D118" s="33" t="s">
        <v>1123</v>
      </c>
      <c r="E118" s="33" t="s">
        <v>1123</v>
      </c>
    </row>
    <row r="119" spans="1:5" x14ac:dyDescent="0.25">
      <c r="A119" t="s">
        <v>722</v>
      </c>
      <c r="B119" t="s">
        <v>1124</v>
      </c>
      <c r="C119" s="28" t="s">
        <v>755</v>
      </c>
      <c r="D119" s="33" t="s">
        <v>712</v>
      </c>
      <c r="E119" s="33" t="s">
        <v>712</v>
      </c>
    </row>
    <row r="120" spans="1:5" x14ac:dyDescent="0.25">
      <c r="A120" t="s">
        <v>722</v>
      </c>
      <c r="B120" t="s">
        <v>1127</v>
      </c>
      <c r="C120" s="28" t="s">
        <v>1125</v>
      </c>
      <c r="D120" s="33" t="s">
        <v>1126</v>
      </c>
      <c r="E120" s="33" t="s">
        <v>1126</v>
      </c>
    </row>
    <row r="121" spans="1:5" x14ac:dyDescent="0.25">
      <c r="A121" t="s">
        <v>722</v>
      </c>
      <c r="B121" t="s">
        <v>905</v>
      </c>
      <c r="C121" s="28" t="s">
        <v>1128</v>
      </c>
      <c r="D121" s="33" t="s">
        <v>1129</v>
      </c>
      <c r="E121" s="33" t="s">
        <v>1129</v>
      </c>
    </row>
    <row r="122" spans="1:5" x14ac:dyDescent="0.25">
      <c r="A122" t="s">
        <v>722</v>
      </c>
      <c r="B122" t="s">
        <v>962</v>
      </c>
      <c r="C122" s="28" t="s">
        <v>906</v>
      </c>
      <c r="D122" s="33" t="s">
        <v>1130</v>
      </c>
      <c r="E122" s="33" t="s">
        <v>1130</v>
      </c>
    </row>
    <row r="123" spans="1:5" x14ac:dyDescent="0.25">
      <c r="B123" t="s">
        <v>1133</v>
      </c>
      <c r="C123" s="28" t="s">
        <v>1131</v>
      </c>
      <c r="D123" s="33" t="s">
        <v>1132</v>
      </c>
      <c r="E123" s="33" t="s">
        <v>1132</v>
      </c>
    </row>
    <row r="124" spans="1:5" x14ac:dyDescent="0.25">
      <c r="A124" t="s">
        <v>722</v>
      </c>
      <c r="B124" t="s">
        <v>207</v>
      </c>
      <c r="C124" s="28" t="s">
        <v>1133</v>
      </c>
      <c r="D124" s="33" t="s">
        <v>1134</v>
      </c>
      <c r="E124" s="33" t="s">
        <v>1134</v>
      </c>
    </row>
    <row r="125" spans="1:5" x14ac:dyDescent="0.25">
      <c r="A125" t="s">
        <v>722</v>
      </c>
      <c r="B125" t="s">
        <v>1135</v>
      </c>
      <c r="C125" s="28" t="s">
        <v>756</v>
      </c>
      <c r="D125" s="33" t="s">
        <v>757</v>
      </c>
      <c r="E125" s="33" t="s">
        <v>757</v>
      </c>
    </row>
    <row r="126" spans="1:5" x14ac:dyDescent="0.25">
      <c r="A126" t="s">
        <v>722</v>
      </c>
      <c r="B126" t="s">
        <v>713</v>
      </c>
      <c r="C126" s="28" t="s">
        <v>1136</v>
      </c>
      <c r="D126" s="33" t="s">
        <v>1137</v>
      </c>
      <c r="E126" s="33" t="s">
        <v>1137</v>
      </c>
    </row>
    <row r="127" spans="1:5" x14ac:dyDescent="0.25">
      <c r="A127" t="s">
        <v>722</v>
      </c>
      <c r="B127" t="s">
        <v>714</v>
      </c>
      <c r="C127" s="28" t="s">
        <v>758</v>
      </c>
      <c r="D127" s="33" t="s">
        <v>1138</v>
      </c>
      <c r="E127" s="33" t="s">
        <v>1138</v>
      </c>
    </row>
    <row r="128" spans="1:5" x14ac:dyDescent="0.25">
      <c r="A128" t="s">
        <v>722</v>
      </c>
      <c r="B128" t="s">
        <v>715</v>
      </c>
      <c r="C128" s="28" t="s">
        <v>759</v>
      </c>
      <c r="D128" s="33" t="s">
        <v>1139</v>
      </c>
      <c r="E128" s="33" t="s">
        <v>1139</v>
      </c>
    </row>
    <row r="129" spans="1:5" x14ac:dyDescent="0.25">
      <c r="A129" t="s">
        <v>722</v>
      </c>
      <c r="B129" t="s">
        <v>911</v>
      </c>
      <c r="C129" s="28" t="s">
        <v>760</v>
      </c>
      <c r="D129" s="33" t="s">
        <v>1140</v>
      </c>
      <c r="E129" s="33" t="s">
        <v>1140</v>
      </c>
    </row>
    <row r="130" spans="1:5" x14ac:dyDescent="0.25">
      <c r="A130" t="s">
        <v>722</v>
      </c>
      <c r="B130" t="s">
        <v>914</v>
      </c>
      <c r="C130" s="28" t="s">
        <v>912</v>
      </c>
      <c r="D130" s="33" t="s">
        <v>913</v>
      </c>
      <c r="E130" s="33" t="s">
        <v>913</v>
      </c>
    </row>
    <row r="131" spans="1:5" x14ac:dyDescent="0.25">
      <c r="A131" t="s">
        <v>722</v>
      </c>
      <c r="B131" t="s">
        <v>1141</v>
      </c>
      <c r="C131" s="28" t="s">
        <v>915</v>
      </c>
      <c r="D131" s="33" t="s">
        <v>916</v>
      </c>
      <c r="E131" s="33" t="s">
        <v>916</v>
      </c>
    </row>
    <row r="132" spans="1:5" x14ac:dyDescent="0.25">
      <c r="A132" t="s">
        <v>722</v>
      </c>
      <c r="B132" t="s">
        <v>716</v>
      </c>
      <c r="C132" s="28" t="s">
        <v>1142</v>
      </c>
      <c r="D132" s="33" t="s">
        <v>1143</v>
      </c>
      <c r="E132" s="33" t="s">
        <v>1143</v>
      </c>
    </row>
    <row r="133" spans="1:5" x14ac:dyDescent="0.25">
      <c r="A133" t="s">
        <v>722</v>
      </c>
      <c r="B133" t="s">
        <v>1145</v>
      </c>
      <c r="C133" s="28" t="s">
        <v>761</v>
      </c>
      <c r="D133" s="33" t="s">
        <v>1144</v>
      </c>
      <c r="E133" s="33" t="s">
        <v>1144</v>
      </c>
    </row>
    <row r="134" spans="1:5" x14ac:dyDescent="0.25">
      <c r="A134" t="s">
        <v>722</v>
      </c>
      <c r="B134" t="s">
        <v>1148</v>
      </c>
      <c r="C134" s="28" t="s">
        <v>1146</v>
      </c>
      <c r="D134" s="33" t="s">
        <v>1147</v>
      </c>
      <c r="E134" s="33" t="s">
        <v>1147</v>
      </c>
    </row>
    <row r="135" spans="1:5" x14ac:dyDescent="0.25">
      <c r="A135" t="s">
        <v>722</v>
      </c>
      <c r="B135" t="s">
        <v>1151</v>
      </c>
      <c r="C135" s="28" t="s">
        <v>1149</v>
      </c>
      <c r="D135" s="33" t="s">
        <v>1150</v>
      </c>
      <c r="E135" s="33" t="s">
        <v>1150</v>
      </c>
    </row>
    <row r="136" spans="1:5" x14ac:dyDescent="0.25">
      <c r="A136" t="s">
        <v>722</v>
      </c>
      <c r="B136" t="s">
        <v>1154</v>
      </c>
      <c r="C136" s="28" t="s">
        <v>1152</v>
      </c>
      <c r="D136" s="33" t="s">
        <v>1153</v>
      </c>
      <c r="E136" s="33" t="s">
        <v>1153</v>
      </c>
    </row>
    <row r="137" spans="1:5" x14ac:dyDescent="0.25">
      <c r="A137" t="s">
        <v>722</v>
      </c>
      <c r="B137" t="s">
        <v>1156</v>
      </c>
      <c r="C137" s="28" t="s">
        <v>1155</v>
      </c>
      <c r="D137" s="33" t="s">
        <v>1153</v>
      </c>
      <c r="E137" s="33" t="s">
        <v>1153</v>
      </c>
    </row>
    <row r="138" spans="1:5" x14ac:dyDescent="0.25">
      <c r="A138" t="s">
        <v>722</v>
      </c>
      <c r="B138" t="s">
        <v>1158</v>
      </c>
      <c r="C138" s="28" t="s">
        <v>1157</v>
      </c>
      <c r="D138" s="33" t="s">
        <v>1153</v>
      </c>
      <c r="E138" s="33" t="s">
        <v>1153</v>
      </c>
    </row>
    <row r="139" spans="1:5" x14ac:dyDescent="0.25">
      <c r="A139" t="s">
        <v>722</v>
      </c>
      <c r="B139" t="s">
        <v>1161</v>
      </c>
      <c r="C139" s="28" t="s">
        <v>1159</v>
      </c>
      <c r="D139" s="33" t="s">
        <v>1160</v>
      </c>
      <c r="E139" s="33" t="s">
        <v>1160</v>
      </c>
    </row>
    <row r="140" spans="1:5" x14ac:dyDescent="0.25">
      <c r="A140" t="s">
        <v>722</v>
      </c>
      <c r="B140" t="s">
        <v>1163</v>
      </c>
      <c r="C140" s="28" t="s">
        <v>1162</v>
      </c>
      <c r="D140" s="33" t="s">
        <v>724</v>
      </c>
      <c r="E140" s="33" t="s">
        <v>724</v>
      </c>
    </row>
    <row r="141" spans="1:5" x14ac:dyDescent="0.25">
      <c r="A141" t="s">
        <v>722</v>
      </c>
      <c r="B141" t="s">
        <v>1165</v>
      </c>
      <c r="C141" s="28" t="s">
        <v>1164</v>
      </c>
      <c r="D141" s="33" t="s">
        <v>729</v>
      </c>
      <c r="E141" s="33" t="s">
        <v>729</v>
      </c>
    </row>
    <row r="142" spans="1:5" x14ac:dyDescent="0.25">
      <c r="A142" t="s">
        <v>722</v>
      </c>
      <c r="B142" t="s">
        <v>1167</v>
      </c>
      <c r="C142" s="28" t="s">
        <v>1166</v>
      </c>
      <c r="D142" s="33" t="s">
        <v>739</v>
      </c>
      <c r="E142" s="33" t="s">
        <v>739</v>
      </c>
    </row>
    <row r="143" spans="1:5" x14ac:dyDescent="0.25">
      <c r="A143" t="s">
        <v>722</v>
      </c>
      <c r="B143" t="s">
        <v>1169</v>
      </c>
      <c r="C143" s="28" t="s">
        <v>1168</v>
      </c>
      <c r="D143" s="33" t="s">
        <v>739</v>
      </c>
      <c r="E143" s="33" t="s">
        <v>739</v>
      </c>
    </row>
    <row r="144" spans="1:5" x14ac:dyDescent="0.25">
      <c r="A144" t="s">
        <v>722</v>
      </c>
      <c r="B144" t="s">
        <v>1171</v>
      </c>
      <c r="C144" s="28" t="s">
        <v>1170</v>
      </c>
      <c r="D144" s="33" t="s">
        <v>890</v>
      </c>
      <c r="E144" s="33" t="s">
        <v>890</v>
      </c>
    </row>
    <row r="145" spans="1:5" x14ac:dyDescent="0.25">
      <c r="A145" t="s">
        <v>722</v>
      </c>
      <c r="B145" t="s">
        <v>1173</v>
      </c>
      <c r="C145" s="28" t="s">
        <v>1172</v>
      </c>
      <c r="D145" s="33" t="s">
        <v>1160</v>
      </c>
      <c r="E145" s="33" t="s">
        <v>1160</v>
      </c>
    </row>
    <row r="146" spans="1:5" x14ac:dyDescent="0.25">
      <c r="A146" t="s">
        <v>722</v>
      </c>
      <c r="B146" t="s">
        <v>1176</v>
      </c>
      <c r="C146" s="28" t="s">
        <v>1174</v>
      </c>
      <c r="D146" s="33" t="s">
        <v>1175</v>
      </c>
      <c r="E146" s="33" t="s">
        <v>1175</v>
      </c>
    </row>
    <row r="147" spans="1:5" x14ac:dyDescent="0.25">
      <c r="A147" t="s">
        <v>722</v>
      </c>
      <c r="B147" t="s">
        <v>1179</v>
      </c>
      <c r="C147" s="28" t="s">
        <v>1177</v>
      </c>
      <c r="D147" s="33" t="s">
        <v>1178</v>
      </c>
      <c r="E147" s="33" t="s">
        <v>1178</v>
      </c>
    </row>
    <row r="148" spans="1:5" x14ac:dyDescent="0.25">
      <c r="A148" t="s">
        <v>722</v>
      </c>
      <c r="B148" t="s">
        <v>1182</v>
      </c>
      <c r="C148" s="28" t="s">
        <v>1180</v>
      </c>
      <c r="D148" s="33" t="s">
        <v>1181</v>
      </c>
      <c r="E148" s="33" t="s">
        <v>1181</v>
      </c>
    </row>
    <row r="149" spans="1:5" x14ac:dyDescent="0.25">
      <c r="A149" t="s">
        <v>722</v>
      </c>
      <c r="B149" t="s">
        <v>1184</v>
      </c>
      <c r="C149" s="28" t="s">
        <v>1183</v>
      </c>
      <c r="D149" s="33" t="s">
        <v>1153</v>
      </c>
      <c r="E149" s="33" t="s">
        <v>1153</v>
      </c>
    </row>
    <row r="150" spans="1:5" x14ac:dyDescent="0.25">
      <c r="A150" t="s">
        <v>722</v>
      </c>
      <c r="B150" t="s">
        <v>1186</v>
      </c>
      <c r="C150" s="28" t="s">
        <v>1185</v>
      </c>
      <c r="D150" s="33" t="s">
        <v>1160</v>
      </c>
      <c r="E150" s="33" t="s">
        <v>1160</v>
      </c>
    </row>
    <row r="151" spans="1:5" x14ac:dyDescent="0.25">
      <c r="A151" t="s">
        <v>722</v>
      </c>
      <c r="B151" t="s">
        <v>1189</v>
      </c>
      <c r="C151" s="28" t="s">
        <v>1187</v>
      </c>
      <c r="D151" s="33" t="s">
        <v>1188</v>
      </c>
      <c r="E151" s="33" t="s">
        <v>1188</v>
      </c>
    </row>
    <row r="152" spans="1:5" x14ac:dyDescent="0.25">
      <c r="A152" t="s">
        <v>722</v>
      </c>
      <c r="B152" t="s">
        <v>1191</v>
      </c>
      <c r="C152" s="28" t="s">
        <v>1190</v>
      </c>
      <c r="D152" s="33" t="s">
        <v>1153</v>
      </c>
      <c r="E152" s="33" t="s">
        <v>1153</v>
      </c>
    </row>
    <row r="153" spans="1:5" x14ac:dyDescent="0.25">
      <c r="A153" t="s">
        <v>722</v>
      </c>
      <c r="B153" t="s">
        <v>1193</v>
      </c>
      <c r="C153" s="28" t="s">
        <v>1192</v>
      </c>
      <c r="D153" s="33" t="s">
        <v>900</v>
      </c>
      <c r="E153" s="33" t="s">
        <v>900</v>
      </c>
    </row>
    <row r="154" spans="1:5" x14ac:dyDescent="0.25">
      <c r="A154" t="s">
        <v>722</v>
      </c>
      <c r="B154" t="s">
        <v>1196</v>
      </c>
      <c r="C154" s="28" t="s">
        <v>1194</v>
      </c>
      <c r="D154" s="33" t="s">
        <v>1195</v>
      </c>
      <c r="E154" s="33" t="s">
        <v>1195</v>
      </c>
    </row>
    <row r="155" spans="1:5" x14ac:dyDescent="0.25">
      <c r="A155" t="s">
        <v>722</v>
      </c>
      <c r="B155" t="s">
        <v>1198</v>
      </c>
      <c r="C155" s="28" t="s">
        <v>1197</v>
      </c>
      <c r="D155" s="33" t="s">
        <v>1153</v>
      </c>
      <c r="E155" s="33" t="s">
        <v>1153</v>
      </c>
    </row>
    <row r="156" spans="1:5" x14ac:dyDescent="0.25">
      <c r="A156" t="s">
        <v>722</v>
      </c>
      <c r="B156" t="s">
        <v>1200</v>
      </c>
      <c r="C156" s="28" t="s">
        <v>1199</v>
      </c>
      <c r="D156" s="33" t="s">
        <v>1188</v>
      </c>
      <c r="E156" s="33" t="s">
        <v>1188</v>
      </c>
    </row>
    <row r="157" spans="1:5" x14ac:dyDescent="0.25">
      <c r="A157" t="s">
        <v>722</v>
      </c>
      <c r="B157" t="s">
        <v>1202</v>
      </c>
      <c r="C157" s="28" t="s">
        <v>1201</v>
      </c>
      <c r="D157" s="33" t="s">
        <v>1188</v>
      </c>
      <c r="E157" s="33" t="s">
        <v>1188</v>
      </c>
    </row>
    <row r="158" spans="1:5" x14ac:dyDescent="0.25">
      <c r="A158" t="s">
        <v>722</v>
      </c>
      <c r="B158" t="s">
        <v>1204</v>
      </c>
      <c r="C158" s="28" t="s">
        <v>1203</v>
      </c>
      <c r="D158" s="33" t="s">
        <v>1188</v>
      </c>
      <c r="E158" s="33" t="s">
        <v>1188</v>
      </c>
    </row>
    <row r="159" spans="1:5" x14ac:dyDescent="0.25">
      <c r="A159" t="s">
        <v>722</v>
      </c>
      <c r="B159" t="s">
        <v>1206</v>
      </c>
      <c r="C159" s="28" t="s">
        <v>1205</v>
      </c>
      <c r="D159" s="33" t="s">
        <v>1188</v>
      </c>
      <c r="E159" s="33" t="s">
        <v>1188</v>
      </c>
    </row>
    <row r="160" spans="1:5" x14ac:dyDescent="0.25">
      <c r="A160" t="s">
        <v>722</v>
      </c>
      <c r="B160" t="s">
        <v>1208</v>
      </c>
      <c r="C160" s="28" t="s">
        <v>1207</v>
      </c>
      <c r="D160" s="33" t="s">
        <v>1188</v>
      </c>
      <c r="E160" s="33" t="s">
        <v>1188</v>
      </c>
    </row>
    <row r="161" spans="1:5" x14ac:dyDescent="0.25">
      <c r="A161" t="s">
        <v>722</v>
      </c>
      <c r="B161" t="s">
        <v>1211</v>
      </c>
      <c r="C161" s="28" t="s">
        <v>1209</v>
      </c>
      <c r="D161" s="33" t="s">
        <v>1210</v>
      </c>
      <c r="E161" s="33" t="s">
        <v>1210</v>
      </c>
    </row>
    <row r="162" spans="1:5" x14ac:dyDescent="0.25">
      <c r="A162" t="s">
        <v>722</v>
      </c>
      <c r="B162" t="s">
        <v>1214</v>
      </c>
      <c r="C162" s="28" t="s">
        <v>1212</v>
      </c>
      <c r="D162" s="33" t="s">
        <v>1213</v>
      </c>
      <c r="E162" s="33" t="s">
        <v>1213</v>
      </c>
    </row>
    <row r="163" spans="1:5" x14ac:dyDescent="0.25">
      <c r="A163" t="s">
        <v>722</v>
      </c>
      <c r="B163" t="s">
        <v>1216</v>
      </c>
      <c r="C163" s="28" t="s">
        <v>1215</v>
      </c>
      <c r="D163" s="33" t="s">
        <v>1210</v>
      </c>
      <c r="E163" s="33" t="s">
        <v>1210</v>
      </c>
    </row>
    <row r="164" spans="1:5" x14ac:dyDescent="0.25">
      <c r="A164" t="s">
        <v>722</v>
      </c>
      <c r="B164" t="s">
        <v>1219</v>
      </c>
      <c r="C164" s="28" t="s">
        <v>1217</v>
      </c>
      <c r="D164" s="33" t="s">
        <v>1218</v>
      </c>
      <c r="E164" s="33" t="s">
        <v>1218</v>
      </c>
    </row>
    <row r="165" spans="1:5" x14ac:dyDescent="0.25">
      <c r="A165" t="s">
        <v>722</v>
      </c>
      <c r="B165" t="s">
        <v>1221</v>
      </c>
      <c r="C165" s="28" t="s">
        <v>1220</v>
      </c>
      <c r="D165" s="33" t="s">
        <v>1213</v>
      </c>
      <c r="E165" s="33" t="s">
        <v>1213</v>
      </c>
    </row>
    <row r="166" spans="1:5" x14ac:dyDescent="0.25">
      <c r="A166" t="s">
        <v>722</v>
      </c>
      <c r="B166" t="s">
        <v>1223</v>
      </c>
      <c r="C166" s="28" t="s">
        <v>1222</v>
      </c>
      <c r="D166" s="33" t="s">
        <v>1181</v>
      </c>
      <c r="E166" s="33" t="s">
        <v>1181</v>
      </c>
    </row>
    <row r="167" spans="1:5" x14ac:dyDescent="0.25">
      <c r="A167" t="s">
        <v>722</v>
      </c>
      <c r="B167" t="s">
        <v>1225</v>
      </c>
      <c r="C167" s="28" t="s">
        <v>1224</v>
      </c>
      <c r="D167" s="33" t="s">
        <v>1213</v>
      </c>
      <c r="E167" s="33" t="s">
        <v>1213</v>
      </c>
    </row>
    <row r="168" spans="1:5" x14ac:dyDescent="0.25">
      <c r="A168" t="s">
        <v>722</v>
      </c>
      <c r="B168" t="s">
        <v>1227</v>
      </c>
      <c r="C168" s="28" t="s">
        <v>1226</v>
      </c>
      <c r="D168" s="33" t="s">
        <v>1153</v>
      </c>
      <c r="E168" s="33" t="s">
        <v>1153</v>
      </c>
    </row>
    <row r="169" spans="1:5" x14ac:dyDescent="0.25">
      <c r="A169" t="s">
        <v>722</v>
      </c>
      <c r="B169" t="s">
        <v>1229</v>
      </c>
      <c r="C169" s="28" t="s">
        <v>1228</v>
      </c>
      <c r="D169" s="33" t="s">
        <v>1181</v>
      </c>
      <c r="E169" s="33" t="s">
        <v>1181</v>
      </c>
    </row>
    <row r="170" spans="1:5" x14ac:dyDescent="0.25">
      <c r="A170" t="s">
        <v>722</v>
      </c>
      <c r="B170" t="s">
        <v>1232</v>
      </c>
      <c r="C170" s="28" t="s">
        <v>1230</v>
      </c>
      <c r="D170" s="33" t="s">
        <v>1231</v>
      </c>
      <c r="E170" s="33" t="s">
        <v>1231</v>
      </c>
    </row>
    <row r="171" spans="1:5" x14ac:dyDescent="0.25">
      <c r="A171" t="s">
        <v>722</v>
      </c>
      <c r="B171" t="s">
        <v>1234</v>
      </c>
      <c r="C171" s="28" t="s">
        <v>1233</v>
      </c>
      <c r="D171" s="33" t="s">
        <v>1160</v>
      </c>
      <c r="E171" s="33" t="s">
        <v>1160</v>
      </c>
    </row>
    <row r="172" spans="1:5" x14ac:dyDescent="0.25">
      <c r="A172" t="s">
        <v>722</v>
      </c>
      <c r="B172" t="s">
        <v>1237</v>
      </c>
      <c r="C172" s="28" t="s">
        <v>1235</v>
      </c>
      <c r="D172" s="33" t="s">
        <v>1236</v>
      </c>
      <c r="E172" s="33" t="s">
        <v>1236</v>
      </c>
    </row>
    <row r="173" spans="1:5" x14ac:dyDescent="0.25">
      <c r="A173" t="s">
        <v>722</v>
      </c>
      <c r="B173" t="s">
        <v>1239</v>
      </c>
      <c r="C173" s="28" t="s">
        <v>1238</v>
      </c>
      <c r="D173" s="33" t="s">
        <v>1181</v>
      </c>
      <c r="E173" s="33" t="s">
        <v>1181</v>
      </c>
    </row>
    <row r="174" spans="1:5" x14ac:dyDescent="0.25">
      <c r="A174" t="s">
        <v>722</v>
      </c>
      <c r="B174" t="s">
        <v>1241</v>
      </c>
      <c r="C174" s="28" t="s">
        <v>1240</v>
      </c>
      <c r="D174" s="33" t="s">
        <v>1213</v>
      </c>
      <c r="E174" s="33" t="s">
        <v>1213</v>
      </c>
    </row>
    <row r="175" spans="1:5" x14ac:dyDescent="0.25">
      <c r="B175" t="s">
        <v>918</v>
      </c>
      <c r="C175" s="28" t="s">
        <v>1242</v>
      </c>
      <c r="D175" s="33" t="s">
        <v>1188</v>
      </c>
      <c r="E175" s="33" t="s">
        <v>1188</v>
      </c>
    </row>
    <row r="176" spans="1:5" x14ac:dyDescent="0.25">
      <c r="A176" t="s">
        <v>722</v>
      </c>
      <c r="B176" t="s">
        <v>717</v>
      </c>
      <c r="C176" s="28" t="s">
        <v>918</v>
      </c>
      <c r="D176" s="33" t="s">
        <v>919</v>
      </c>
      <c r="E176" s="33" t="s">
        <v>919</v>
      </c>
    </row>
    <row r="177" spans="1:5" x14ac:dyDescent="0.25">
      <c r="A177" t="s">
        <v>722</v>
      </c>
      <c r="B177" t="s">
        <v>718</v>
      </c>
      <c r="C177" s="28" t="s">
        <v>762</v>
      </c>
      <c r="D177" s="33" t="s">
        <v>1243</v>
      </c>
      <c r="E177" s="33" t="s">
        <v>1243</v>
      </c>
    </row>
    <row r="178" spans="1:5" x14ac:dyDescent="0.25">
      <c r="A178" t="s">
        <v>722</v>
      </c>
      <c r="B178" t="s">
        <v>719</v>
      </c>
      <c r="C178" s="28" t="s">
        <v>763</v>
      </c>
      <c r="D178" s="33" t="s">
        <v>1244</v>
      </c>
      <c r="E178" s="33" t="s">
        <v>1244</v>
      </c>
    </row>
    <row r="179" spans="1:5" x14ac:dyDescent="0.25">
      <c r="A179" t="s">
        <v>722</v>
      </c>
      <c r="B179" t="s">
        <v>720</v>
      </c>
      <c r="C179" s="28" t="s">
        <v>764</v>
      </c>
      <c r="D179" s="33" t="s">
        <v>1245</v>
      </c>
      <c r="E179" s="33" t="s">
        <v>1245</v>
      </c>
    </row>
    <row r="180" spans="1:5" x14ac:dyDescent="0.25">
      <c r="A180" t="s">
        <v>722</v>
      </c>
      <c r="B180" t="s">
        <v>721</v>
      </c>
      <c r="C180" s="28" t="s">
        <v>765</v>
      </c>
      <c r="D180" s="33" t="s">
        <v>1246</v>
      </c>
      <c r="E180" s="33" t="s">
        <v>1246</v>
      </c>
    </row>
    <row r="181" spans="1:5" x14ac:dyDescent="0.25">
      <c r="A181" t="s">
        <v>722</v>
      </c>
      <c r="B181" t="s">
        <v>1248</v>
      </c>
      <c r="C181" s="28" t="s">
        <v>766</v>
      </c>
      <c r="D181" s="33" t="s">
        <v>1247</v>
      </c>
      <c r="E181" s="33" t="s">
        <v>1247</v>
      </c>
    </row>
    <row r="182" spans="1:5" x14ac:dyDescent="0.25">
      <c r="A182" t="s">
        <v>722</v>
      </c>
      <c r="B182" t="s">
        <v>920</v>
      </c>
      <c r="C182" s="28" t="s">
        <v>1249</v>
      </c>
      <c r="D182" s="33" t="s">
        <v>1250</v>
      </c>
      <c r="E182" s="33" t="s">
        <v>1250</v>
      </c>
    </row>
    <row r="183" spans="1:5" x14ac:dyDescent="0.25">
      <c r="C183" s="28" t="s">
        <v>921</v>
      </c>
      <c r="D183" s="33" t="s">
        <v>1251</v>
      </c>
      <c r="E183" s="33" t="s">
        <v>1251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478"/>
  <sheetViews>
    <sheetView topLeftCell="A28" workbookViewId="0">
      <selection activeCell="A204" sqref="A204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>
        <v>43910</v>
      </c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 t="s">
        <v>1347</v>
      </c>
      <c r="BM2" s="1"/>
    </row>
    <row r="3" spans="1:120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 t="s">
        <v>1348</v>
      </c>
      <c r="BM3" s="1"/>
    </row>
    <row r="4" spans="1:120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 t="s">
        <v>1349</v>
      </c>
      <c r="BM4" s="1"/>
    </row>
    <row r="5" spans="1:120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>
        <v>1</v>
      </c>
      <c r="BJ5">
        <v>1</v>
      </c>
      <c r="BK5" t="s">
        <v>441</v>
      </c>
    </row>
    <row r="6" spans="1:120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 t="s">
        <v>1350</v>
      </c>
    </row>
    <row r="7" spans="1:120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 t="s">
        <v>1351</v>
      </c>
      <c r="BM7" s="1"/>
      <c r="BN7" s="1"/>
      <c r="BO7" s="1"/>
    </row>
    <row r="8" spans="1:120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 t="s">
        <v>1352</v>
      </c>
      <c r="BL8" s="1"/>
    </row>
    <row r="9" spans="1:120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 t="s">
        <v>1039</v>
      </c>
      <c r="BL9" s="1"/>
      <c r="BM9" s="26"/>
    </row>
    <row r="10" spans="1:120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 t="s">
        <v>1264</v>
      </c>
      <c r="BL10" s="1"/>
    </row>
    <row r="11" spans="1:120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 t="s">
        <v>650</v>
      </c>
      <c r="BL11" s="1"/>
    </row>
    <row r="12" spans="1:120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 t="s">
        <v>1353</v>
      </c>
      <c r="BL12" s="1"/>
    </row>
    <row r="13" spans="1:120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 t="s">
        <v>1354</v>
      </c>
      <c r="BL13" s="1"/>
    </row>
    <row r="14" spans="1:120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 t="s">
        <v>1355</v>
      </c>
      <c r="BL14" s="1"/>
    </row>
    <row r="15" spans="1:120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 t="s">
        <v>1356</v>
      </c>
      <c r="BL15" s="1"/>
    </row>
    <row r="16" spans="1:120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 t="s">
        <v>1357</v>
      </c>
      <c r="BL16" s="1"/>
    </row>
    <row r="17" spans="1:64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 t="s">
        <v>1358</v>
      </c>
      <c r="BL17" s="1"/>
    </row>
    <row r="18" spans="1:64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 t="s">
        <v>1359</v>
      </c>
      <c r="BL18" s="1"/>
    </row>
    <row r="19" spans="1:64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 t="s">
        <v>1360</v>
      </c>
      <c r="BL19" s="1"/>
    </row>
    <row r="20" spans="1:64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 t="s">
        <v>1361</v>
      </c>
      <c r="BL20" s="1"/>
    </row>
    <row r="21" spans="1:64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 t="s">
        <v>812</v>
      </c>
      <c r="BL21" s="1"/>
    </row>
    <row r="22" spans="1:64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 t="s">
        <v>1362</v>
      </c>
      <c r="BL22" s="1"/>
    </row>
    <row r="23" spans="1:64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 t="s">
        <v>1363</v>
      </c>
      <c r="BL23" s="1"/>
    </row>
    <row r="24" spans="1:64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 t="s">
        <v>445</v>
      </c>
      <c r="BL24" s="1"/>
    </row>
    <row r="25" spans="1:64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 t="s">
        <v>1364</v>
      </c>
      <c r="BL25" s="1"/>
    </row>
    <row r="26" spans="1:64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 t="s">
        <v>1365</v>
      </c>
      <c r="BL26" s="1"/>
    </row>
    <row r="27" spans="1:64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 t="s">
        <v>1366</v>
      </c>
      <c r="BL27" s="1"/>
    </row>
    <row r="28" spans="1:64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 t="s">
        <v>448</v>
      </c>
      <c r="BL28" s="1"/>
    </row>
    <row r="29" spans="1:64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 t="s">
        <v>1363</v>
      </c>
      <c r="BL29" s="1"/>
    </row>
    <row r="30" spans="1:64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 t="s">
        <v>1367</v>
      </c>
      <c r="BL30" s="1"/>
    </row>
    <row r="31" spans="1:64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 t="s">
        <v>1368</v>
      </c>
      <c r="BL31" s="1"/>
    </row>
    <row r="32" spans="1:64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 t="s">
        <v>1369</v>
      </c>
      <c r="BL32" s="1"/>
    </row>
    <row r="33" spans="1:64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 t="s">
        <v>1370</v>
      </c>
      <c r="BL33" s="1"/>
    </row>
    <row r="34" spans="1:64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 t="s">
        <v>1371</v>
      </c>
      <c r="BL34" s="1"/>
    </row>
    <row r="35" spans="1:64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 t="s">
        <v>1372</v>
      </c>
      <c r="BL35" s="1"/>
    </row>
    <row r="36" spans="1:64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 t="s">
        <v>1373</v>
      </c>
      <c r="BL36" s="1"/>
    </row>
    <row r="37" spans="1:64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 t="s">
        <v>1374</v>
      </c>
      <c r="BL37" s="1"/>
    </row>
    <row r="38" spans="1:64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 t="s">
        <v>1375</v>
      </c>
      <c r="BL38" s="1"/>
    </row>
    <row r="39" spans="1:64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 t="s">
        <v>1376</v>
      </c>
      <c r="BL39" s="1"/>
    </row>
    <row r="40" spans="1:64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 t="s">
        <v>1377</v>
      </c>
      <c r="BL40" s="1"/>
    </row>
    <row r="41" spans="1:64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 t="s">
        <v>1378</v>
      </c>
      <c r="BL41" s="1"/>
    </row>
    <row r="42" spans="1:64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 t="s">
        <v>1379</v>
      </c>
      <c r="BL42" s="1"/>
    </row>
    <row r="43" spans="1:64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 t="s">
        <v>1380</v>
      </c>
      <c r="BL43" s="1"/>
    </row>
    <row r="44" spans="1:64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 t="s">
        <v>1381</v>
      </c>
      <c r="BL44" s="1"/>
    </row>
    <row r="45" spans="1:64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 t="s">
        <v>1382</v>
      </c>
      <c r="BL45" s="1"/>
    </row>
    <row r="46" spans="1:64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 t="s">
        <v>1383</v>
      </c>
      <c r="BL46" s="1"/>
    </row>
    <row r="47" spans="1:64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 t="s">
        <v>449</v>
      </c>
      <c r="BL47" s="1"/>
    </row>
    <row r="48" spans="1:64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 t="s">
        <v>854</v>
      </c>
      <c r="BL48" s="1"/>
    </row>
    <row r="49" spans="1:64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 t="s">
        <v>810</v>
      </c>
      <c r="BL49" s="1"/>
    </row>
    <row r="50" spans="1:64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 t="s">
        <v>450</v>
      </c>
      <c r="BL50" s="1"/>
    </row>
    <row r="51" spans="1:64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 t="s">
        <v>1384</v>
      </c>
      <c r="BL51" s="1"/>
    </row>
    <row r="52" spans="1:64" x14ac:dyDescent="0.25">
      <c r="A52" s="26"/>
      <c r="B52" s="26" t="s">
        <v>1257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 t="s">
        <v>1385</v>
      </c>
      <c r="BL52" s="1"/>
    </row>
    <row r="53" spans="1:64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 t="s">
        <v>1386</v>
      </c>
      <c r="BL53" s="1"/>
    </row>
    <row r="54" spans="1:64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 t="s">
        <v>452</v>
      </c>
      <c r="BL54" s="1"/>
    </row>
    <row r="55" spans="1:64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 t="s">
        <v>1387</v>
      </c>
      <c r="BL55" s="1"/>
    </row>
    <row r="56" spans="1:64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 t="s">
        <v>1388</v>
      </c>
      <c r="BL56" s="1"/>
    </row>
    <row r="57" spans="1:64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 t="s">
        <v>1389</v>
      </c>
    </row>
    <row r="58" spans="1:64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 t="s">
        <v>466</v>
      </c>
    </row>
    <row r="59" spans="1:64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 t="s">
        <v>1390</v>
      </c>
    </row>
    <row r="60" spans="1:64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 t="s">
        <v>1391</v>
      </c>
    </row>
    <row r="61" spans="1:64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 t="s">
        <v>1392</v>
      </c>
    </row>
    <row r="62" spans="1:64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 t="s">
        <v>470</v>
      </c>
    </row>
    <row r="63" spans="1:64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 t="s">
        <v>454</v>
      </c>
    </row>
    <row r="64" spans="1:64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 t="s">
        <v>1258</v>
      </c>
    </row>
    <row r="65" spans="1:66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 t="s">
        <v>1268</v>
      </c>
    </row>
    <row r="66" spans="1:66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 t="s">
        <v>1393</v>
      </c>
    </row>
    <row r="67" spans="1:66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 t="s">
        <v>1256</v>
      </c>
    </row>
    <row r="68" spans="1:66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 t="s">
        <v>1369</v>
      </c>
    </row>
    <row r="69" spans="1:66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 t="s">
        <v>1394</v>
      </c>
    </row>
    <row r="70" spans="1:66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 t="s">
        <v>1266</v>
      </c>
    </row>
    <row r="71" spans="1:66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 t="s">
        <v>1260</v>
      </c>
    </row>
    <row r="72" spans="1:66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 t="s">
        <v>1266</v>
      </c>
    </row>
    <row r="73" spans="1:66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 t="s">
        <v>442</v>
      </c>
    </row>
    <row r="74" spans="1:66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 t="s">
        <v>471</v>
      </c>
    </row>
    <row r="75" spans="1:66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 t="s">
        <v>1395</v>
      </c>
      <c r="BN75" s="1"/>
    </row>
    <row r="76" spans="1:66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 t="s">
        <v>1396</v>
      </c>
      <c r="BN76" s="1"/>
    </row>
    <row r="77" spans="1:66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 t="s">
        <v>1397</v>
      </c>
      <c r="BN77" s="1"/>
    </row>
    <row r="78" spans="1:66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 t="s">
        <v>1398</v>
      </c>
      <c r="BN78" s="1"/>
    </row>
    <row r="79" spans="1:66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 t="s">
        <v>1253</v>
      </c>
      <c r="BN79" s="1"/>
    </row>
    <row r="80" spans="1:66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 t="s">
        <v>443</v>
      </c>
      <c r="BN80" s="1"/>
    </row>
    <row r="81" spans="1:66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 t="s">
        <v>651</v>
      </c>
      <c r="BN81" s="1"/>
    </row>
    <row r="82" spans="1:66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 t="s">
        <v>1369</v>
      </c>
      <c r="BN82" s="1"/>
    </row>
    <row r="83" spans="1:66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 t="s">
        <v>1397</v>
      </c>
      <c r="BN83" s="1"/>
    </row>
    <row r="84" spans="1:66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 t="s">
        <v>1399</v>
      </c>
      <c r="BN84" s="1"/>
    </row>
    <row r="85" spans="1:66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 t="s">
        <v>1400</v>
      </c>
      <c r="BN85" s="1"/>
    </row>
    <row r="86" spans="1:66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 t="s">
        <v>1401</v>
      </c>
      <c r="BN86" s="1"/>
    </row>
    <row r="87" spans="1:66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 t="s">
        <v>444</v>
      </c>
      <c r="BN87" s="1"/>
    </row>
    <row r="88" spans="1:66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 t="s">
        <v>1384</v>
      </c>
      <c r="BN88" s="1"/>
    </row>
    <row r="89" spans="1:66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 t="s">
        <v>1402</v>
      </c>
      <c r="BN89" s="1"/>
    </row>
    <row r="90" spans="1:66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 t="s">
        <v>1403</v>
      </c>
      <c r="BN90" s="1"/>
    </row>
    <row r="91" spans="1:66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 t="s">
        <v>809</v>
      </c>
      <c r="BN91" s="1"/>
    </row>
    <row r="92" spans="1:66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 t="s">
        <v>651</v>
      </c>
      <c r="BN92" s="1"/>
    </row>
    <row r="93" spans="1:66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 t="s">
        <v>809</v>
      </c>
      <c r="BN93" s="1"/>
    </row>
    <row r="94" spans="1:66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 t="s">
        <v>1379</v>
      </c>
      <c r="BN94" s="1"/>
    </row>
    <row r="95" spans="1:66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 t="s">
        <v>465</v>
      </c>
      <c r="BN95" s="1"/>
    </row>
    <row r="96" spans="1:66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 t="s">
        <v>1404</v>
      </c>
      <c r="BN96" s="1"/>
    </row>
    <row r="97" spans="1:66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 t="s">
        <v>1267</v>
      </c>
      <c r="BN97" s="1"/>
    </row>
    <row r="98" spans="1:66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 t="s">
        <v>1377</v>
      </c>
      <c r="BN98" s="1"/>
    </row>
    <row r="99" spans="1:66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 t="s">
        <v>1405</v>
      </c>
      <c r="BN99" s="1"/>
    </row>
    <row r="100" spans="1:66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 t="s">
        <v>1406</v>
      </c>
      <c r="BN100" s="1"/>
    </row>
    <row r="101" spans="1:66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 t="s">
        <v>1407</v>
      </c>
      <c r="BN101" s="1"/>
    </row>
    <row r="102" spans="1:66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 t="s">
        <v>1408</v>
      </c>
      <c r="BN102" s="1"/>
    </row>
    <row r="103" spans="1:66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 t="s">
        <v>1409</v>
      </c>
      <c r="BN103" s="1"/>
    </row>
    <row r="104" spans="1:66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 t="s">
        <v>449</v>
      </c>
      <c r="BN104" s="1"/>
    </row>
    <row r="105" spans="1:66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 t="s">
        <v>808</v>
      </c>
      <c r="BN105" s="1"/>
    </row>
    <row r="106" spans="1:66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 t="s">
        <v>1410</v>
      </c>
      <c r="BN106" s="1"/>
    </row>
    <row r="107" spans="1:66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 t="s">
        <v>1411</v>
      </c>
      <c r="BN107" s="1"/>
    </row>
    <row r="108" spans="1:66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 t="s">
        <v>1412</v>
      </c>
      <c r="BN108" s="1"/>
    </row>
    <row r="109" spans="1:66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 t="s">
        <v>1413</v>
      </c>
      <c r="BN109" s="1"/>
    </row>
    <row r="110" spans="1:66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 t="s">
        <v>1414</v>
      </c>
      <c r="BN110" s="1"/>
    </row>
    <row r="111" spans="1:66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 t="s">
        <v>1415</v>
      </c>
      <c r="BN111" s="1"/>
    </row>
    <row r="112" spans="1:66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 t="s">
        <v>1416</v>
      </c>
      <c r="BN112" s="1"/>
    </row>
    <row r="113" spans="1:66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 t="s">
        <v>1417</v>
      </c>
      <c r="BN113" s="1"/>
    </row>
    <row r="114" spans="1:66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 t="s">
        <v>1418</v>
      </c>
      <c r="BN114" s="1"/>
    </row>
    <row r="115" spans="1:66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 t="s">
        <v>1419</v>
      </c>
      <c r="BN115" s="1"/>
    </row>
    <row r="116" spans="1:66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 t="s">
        <v>1420</v>
      </c>
      <c r="BN116" s="1"/>
    </row>
    <row r="117" spans="1:66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 t="s">
        <v>1421</v>
      </c>
      <c r="BN117" s="1"/>
    </row>
    <row r="118" spans="1:66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 t="s">
        <v>1422</v>
      </c>
      <c r="BN118" s="1"/>
    </row>
    <row r="119" spans="1:66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 t="s">
        <v>1423</v>
      </c>
      <c r="BN119" s="1"/>
    </row>
    <row r="120" spans="1:66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 t="s">
        <v>1405</v>
      </c>
      <c r="BN120" s="1"/>
    </row>
    <row r="121" spans="1:66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 t="s">
        <v>1269</v>
      </c>
      <c r="BN121" s="1"/>
    </row>
    <row r="122" spans="1:66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 t="s">
        <v>1263</v>
      </c>
      <c r="BN122" s="1"/>
    </row>
    <row r="123" spans="1:66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 t="s">
        <v>1259</v>
      </c>
      <c r="BN123" s="1"/>
    </row>
    <row r="124" spans="1:66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 t="s">
        <v>1414</v>
      </c>
    </row>
    <row r="125" spans="1:66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 t="s">
        <v>1389</v>
      </c>
    </row>
    <row r="126" spans="1:66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 t="s">
        <v>1424</v>
      </c>
    </row>
    <row r="127" spans="1:66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 t="s">
        <v>855</v>
      </c>
    </row>
    <row r="128" spans="1:66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 t="s">
        <v>1265</v>
      </c>
    </row>
    <row r="129" spans="1:63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 t="s">
        <v>1396</v>
      </c>
    </row>
    <row r="130" spans="1:63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 t="s">
        <v>1425</v>
      </c>
    </row>
    <row r="131" spans="1:63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 t="s">
        <v>1426</v>
      </c>
    </row>
    <row r="132" spans="1:63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 t="s">
        <v>472</v>
      </c>
    </row>
    <row r="133" spans="1:63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 t="s">
        <v>449</v>
      </c>
    </row>
    <row r="134" spans="1:63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 t="s">
        <v>1405</v>
      </c>
    </row>
    <row r="135" spans="1:63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 t="s">
        <v>1427</v>
      </c>
    </row>
    <row r="136" spans="1:63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 t="s">
        <v>441</v>
      </c>
    </row>
    <row r="137" spans="1:63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 t="s">
        <v>455</v>
      </c>
    </row>
    <row r="138" spans="1:63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 t="s">
        <v>1401</v>
      </c>
    </row>
    <row r="139" spans="1:63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 t="s">
        <v>1389</v>
      </c>
    </row>
    <row r="140" spans="1:63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 t="s">
        <v>1428</v>
      </c>
    </row>
    <row r="141" spans="1:63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 t="s">
        <v>1429</v>
      </c>
    </row>
    <row r="142" spans="1:63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 t="s">
        <v>1260</v>
      </c>
    </row>
    <row r="143" spans="1:63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 t="s">
        <v>450</v>
      </c>
    </row>
    <row r="144" spans="1:63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 t="s">
        <v>1430</v>
      </c>
    </row>
    <row r="145" spans="1:63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 t="s">
        <v>1256</v>
      </c>
    </row>
    <row r="146" spans="1:63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 t="s">
        <v>808</v>
      </c>
    </row>
    <row r="147" spans="1:63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 t="s">
        <v>1431</v>
      </c>
    </row>
    <row r="148" spans="1:63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 t="s">
        <v>1432</v>
      </c>
    </row>
    <row r="149" spans="1:63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 t="s">
        <v>1433</v>
      </c>
    </row>
    <row r="150" spans="1:63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 t="s">
        <v>1270</v>
      </c>
    </row>
    <row r="151" spans="1:63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 t="s">
        <v>1375</v>
      </c>
    </row>
    <row r="152" spans="1:63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 t="s">
        <v>1262</v>
      </c>
    </row>
    <row r="153" spans="1:63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 t="s">
        <v>456</v>
      </c>
    </row>
    <row r="154" spans="1:63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 t="s">
        <v>447</v>
      </c>
    </row>
    <row r="155" spans="1:63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 t="s">
        <v>1262</v>
      </c>
    </row>
    <row r="156" spans="1:63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 t="s">
        <v>1271</v>
      </c>
    </row>
    <row r="157" spans="1:63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 t="s">
        <v>1434</v>
      </c>
    </row>
    <row r="158" spans="1:63" x14ac:dyDescent="0.25">
      <c r="A158" s="26"/>
      <c r="B158" s="26" t="s">
        <v>246</v>
      </c>
      <c r="C158" s="26">
        <v>36</v>
      </c>
      <c r="D158" s="26">
        <v>128</v>
      </c>
      <c r="E158" s="26">
        <v>1</v>
      </c>
      <c r="F158" s="26">
        <v>1</v>
      </c>
      <c r="G158" s="26">
        <v>2</v>
      </c>
      <c r="H158" s="26">
        <v>2</v>
      </c>
      <c r="I158" s="26">
        <v>3</v>
      </c>
      <c r="J158" s="26">
        <v>4</v>
      </c>
      <c r="K158" s="26">
        <v>4</v>
      </c>
      <c r="L158" s="26">
        <v>4</v>
      </c>
      <c r="M158" s="26">
        <v>4</v>
      </c>
      <c r="N158" s="26">
        <v>11</v>
      </c>
      <c r="O158" s="26">
        <v>12</v>
      </c>
      <c r="P158" s="26">
        <v>15</v>
      </c>
      <c r="Q158" s="26">
        <v>15</v>
      </c>
      <c r="R158" s="26">
        <v>16</v>
      </c>
      <c r="S158" s="26">
        <v>19</v>
      </c>
      <c r="T158" s="26">
        <v>23</v>
      </c>
      <c r="U158" s="26">
        <v>24</v>
      </c>
      <c r="V158" s="26">
        <v>24</v>
      </c>
      <c r="W158" s="26">
        <v>25</v>
      </c>
      <c r="X158" s="26">
        <v>27</v>
      </c>
      <c r="Y158" s="26">
        <v>28</v>
      </c>
      <c r="Z158" s="26">
        <v>28</v>
      </c>
      <c r="AA158" s="26">
        <v>28</v>
      </c>
      <c r="AB158" s="26">
        <v>28</v>
      </c>
      <c r="AC158" s="26">
        <v>28</v>
      </c>
      <c r="AD158" s="26">
        <v>29</v>
      </c>
      <c r="AE158" s="26">
        <v>30</v>
      </c>
      <c r="AF158" s="26">
        <v>31</v>
      </c>
      <c r="AG158" s="26">
        <v>31</v>
      </c>
      <c r="AH158" s="26">
        <v>104</v>
      </c>
      <c r="AI158" s="26">
        <v>204</v>
      </c>
      <c r="AJ158" s="26">
        <v>433</v>
      </c>
      <c r="AK158" s="26">
        <v>602</v>
      </c>
      <c r="AL158" s="26">
        <v>833</v>
      </c>
      <c r="AM158" s="26">
        <v>977</v>
      </c>
      <c r="AN158" s="26">
        <v>1261</v>
      </c>
      <c r="AO158" s="26">
        <v>1766</v>
      </c>
      <c r="AP158" s="26">
        <v>2337</v>
      </c>
      <c r="AQ158" s="26">
        <v>3150</v>
      </c>
      <c r="AR158" s="26">
        <v>3736</v>
      </c>
      <c r="AS158" s="26">
        <v>4335</v>
      </c>
      <c r="AT158" s="26">
        <v>5186</v>
      </c>
      <c r="AU158" s="26">
        <v>5621</v>
      </c>
      <c r="AV158" s="26">
        <v>6088</v>
      </c>
      <c r="AW158" s="26">
        <v>6593</v>
      </c>
      <c r="AX158" s="26">
        <v>7041</v>
      </c>
      <c r="AY158" s="26">
        <v>7314</v>
      </c>
      <c r="AZ158" s="26">
        <v>7478</v>
      </c>
      <c r="BA158" s="26">
        <v>7513</v>
      </c>
      <c r="BB158" s="26">
        <v>7755</v>
      </c>
      <c r="BC158" s="26">
        <v>7869</v>
      </c>
      <c r="BD158" s="26">
        <v>7979</v>
      </c>
      <c r="BE158" s="26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 t="s">
        <v>1435</v>
      </c>
    </row>
    <row r="159" spans="1:63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 t="s">
        <v>1436</v>
      </c>
    </row>
    <row r="160" spans="1:63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 t="s">
        <v>1437</v>
      </c>
    </row>
    <row r="161" spans="1:63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 t="s">
        <v>457</v>
      </c>
    </row>
    <row r="162" spans="1:63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 t="s">
        <v>1438</v>
      </c>
    </row>
    <row r="163" spans="1:63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 t="s">
        <v>458</v>
      </c>
    </row>
    <row r="164" spans="1:63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 t="s">
        <v>459</v>
      </c>
    </row>
    <row r="165" spans="1:63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 t="s">
        <v>460</v>
      </c>
    </row>
    <row r="166" spans="1:63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 t="s">
        <v>1439</v>
      </c>
    </row>
    <row r="167" spans="1:63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 t="s">
        <v>1272</v>
      </c>
    </row>
    <row r="168" spans="1:63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 t="s">
        <v>461</v>
      </c>
    </row>
    <row r="169" spans="1:63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 t="s">
        <v>462</v>
      </c>
    </row>
    <row r="170" spans="1:63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 t="s">
        <v>1440</v>
      </c>
    </row>
    <row r="171" spans="1:63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 t="s">
        <v>1386</v>
      </c>
    </row>
    <row r="172" spans="1:63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 t="s">
        <v>1441</v>
      </c>
    </row>
    <row r="173" spans="1:63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 t="s">
        <v>1442</v>
      </c>
    </row>
    <row r="174" spans="1:63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 t="s">
        <v>1443</v>
      </c>
    </row>
    <row r="175" spans="1:63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 t="s">
        <v>463</v>
      </c>
    </row>
    <row r="176" spans="1:63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 t="s">
        <v>1255</v>
      </c>
    </row>
    <row r="177" spans="1:63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 t="s">
        <v>1444</v>
      </c>
    </row>
    <row r="178" spans="1:63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 t="s">
        <v>1445</v>
      </c>
    </row>
    <row r="179" spans="1:63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 t="s">
        <v>1273</v>
      </c>
    </row>
    <row r="180" spans="1:63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 t="s">
        <v>464</v>
      </c>
    </row>
    <row r="181" spans="1:63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 t="s">
        <v>465</v>
      </c>
    </row>
    <row r="182" spans="1:63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 t="s">
        <v>1401</v>
      </c>
    </row>
    <row r="183" spans="1:63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 t="s">
        <v>467</v>
      </c>
    </row>
    <row r="184" spans="1:63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 t="s">
        <v>1446</v>
      </c>
    </row>
    <row r="185" spans="1:63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 t="s">
        <v>1254</v>
      </c>
    </row>
    <row r="186" spans="1:63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 t="s">
        <v>1421</v>
      </c>
    </row>
    <row r="187" spans="1:63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 t="s">
        <v>468</v>
      </c>
    </row>
    <row r="188" spans="1:63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 t="s">
        <v>1447</v>
      </c>
    </row>
    <row r="189" spans="1:63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 t="s">
        <v>469</v>
      </c>
    </row>
    <row r="190" spans="1:63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 t="s">
        <v>470</v>
      </c>
    </row>
    <row r="191" spans="1:63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 t="s">
        <v>470</v>
      </c>
    </row>
    <row r="192" spans="1:63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 t="s">
        <v>1400</v>
      </c>
    </row>
    <row r="193" spans="1:63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 t="s">
        <v>1448</v>
      </c>
    </row>
    <row r="194" spans="1:63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 t="s">
        <v>856</v>
      </c>
    </row>
    <row r="195" spans="1:63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 t="s">
        <v>446</v>
      </c>
    </row>
    <row r="196" spans="1:63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 t="s">
        <v>1449</v>
      </c>
    </row>
    <row r="197" spans="1:63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 t="s">
        <v>1450</v>
      </c>
    </row>
    <row r="198" spans="1:63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 t="s">
        <v>1270</v>
      </c>
    </row>
    <row r="199" spans="1:63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 t="s">
        <v>1433</v>
      </c>
    </row>
    <row r="200" spans="1:63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 t="s">
        <v>453</v>
      </c>
    </row>
    <row r="201" spans="1:63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 t="s">
        <v>448</v>
      </c>
    </row>
    <row r="202" spans="1:63" x14ac:dyDescent="0.25">
      <c r="A202" s="26" t="s">
        <v>1451</v>
      </c>
      <c r="B202" s="26" t="s">
        <v>1038</v>
      </c>
      <c r="C202" s="26">
        <v>49.372300000000003</v>
      </c>
      <c r="D202" s="26">
        <v>-2.3643999999999998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7">
        <v>0</v>
      </c>
      <c r="L202" s="27">
        <v>0</v>
      </c>
      <c r="M202" s="27">
        <v>0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0</v>
      </c>
      <c r="AW202" s="27">
        <v>0</v>
      </c>
      <c r="AX202" s="27">
        <v>0</v>
      </c>
      <c r="AY202" s="27">
        <v>0</v>
      </c>
      <c r="AZ202" s="27">
        <v>0</v>
      </c>
      <c r="BA202" s="27">
        <v>1</v>
      </c>
      <c r="BB202" s="27">
        <v>2</v>
      </c>
      <c r="BC202" s="27">
        <v>2</v>
      </c>
      <c r="BD202" s="27">
        <v>2</v>
      </c>
      <c r="BE202" s="27">
        <v>2</v>
      </c>
      <c r="BF202" s="27">
        <v>3</v>
      </c>
      <c r="BG202" s="27">
        <v>6</v>
      </c>
      <c r="BH202" s="27">
        <v>6</v>
      </c>
      <c r="BI202" s="27">
        <v>6</v>
      </c>
      <c r="BJ202" s="27">
        <v>11</v>
      </c>
      <c r="BK202" t="s">
        <v>456</v>
      </c>
    </row>
    <row r="203" spans="1:63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 t="s">
        <v>452</v>
      </c>
    </row>
    <row r="204" spans="1:63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 t="s">
        <v>441</v>
      </c>
    </row>
    <row r="205" spans="1:63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 t="s">
        <v>446</v>
      </c>
    </row>
    <row r="206" spans="1:63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 t="s">
        <v>444</v>
      </c>
    </row>
    <row r="207" spans="1:63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 t="s">
        <v>442</v>
      </c>
    </row>
    <row r="208" spans="1:63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 t="s">
        <v>1452</v>
      </c>
    </row>
    <row r="209" spans="1:63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 t="s">
        <v>1453</v>
      </c>
    </row>
    <row r="210" spans="1:63" x14ac:dyDescent="0.25">
      <c r="A210" s="26" t="s">
        <v>1454</v>
      </c>
      <c r="B210" s="26" t="s">
        <v>1038</v>
      </c>
      <c r="C210" s="26">
        <v>36.140799999999999</v>
      </c>
      <c r="D210" s="26">
        <v>-5.3536000000000001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1</v>
      </c>
      <c r="AV210" s="26">
        <v>1</v>
      </c>
      <c r="AW210" s="26">
        <v>1</v>
      </c>
      <c r="AX210" s="26">
        <v>1</v>
      </c>
      <c r="AY210" s="26">
        <v>1</v>
      </c>
      <c r="AZ210" s="26">
        <v>1</v>
      </c>
      <c r="BA210" s="26">
        <v>1</v>
      </c>
      <c r="BB210" s="26">
        <v>1</v>
      </c>
      <c r="BC210" s="26">
        <v>1</v>
      </c>
      <c r="BD210" s="26">
        <v>1</v>
      </c>
      <c r="BE210" s="26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 t="s">
        <v>454</v>
      </c>
    </row>
    <row r="211" spans="1:63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 t="s">
        <v>445</v>
      </c>
    </row>
    <row r="212" spans="1:63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>
        <v>0</v>
      </c>
      <c r="BJ212">
        <v>0</v>
      </c>
      <c r="BK212" t="s">
        <v>445</v>
      </c>
    </row>
    <row r="213" spans="1:63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 t="s">
        <v>445</v>
      </c>
    </row>
    <row r="214" spans="1:63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 t="s">
        <v>445</v>
      </c>
    </row>
    <row r="215" spans="1:63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 t="s">
        <v>445</v>
      </c>
    </row>
    <row r="216" spans="1:63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 t="s">
        <v>445</v>
      </c>
    </row>
    <row r="217" spans="1:63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 t="s">
        <v>445</v>
      </c>
    </row>
    <row r="218" spans="1:63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 t="s">
        <v>445</v>
      </c>
    </row>
    <row r="219" spans="1:63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 t="s">
        <v>445</v>
      </c>
    </row>
    <row r="220" spans="1:63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 t="s">
        <v>445</v>
      </c>
    </row>
    <row r="221" spans="1:63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 t="s">
        <v>445</v>
      </c>
    </row>
    <row r="222" spans="1:63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 t="s">
        <v>445</v>
      </c>
    </row>
    <row r="223" spans="1:63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 t="s">
        <v>445</v>
      </c>
    </row>
    <row r="224" spans="1:63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 t="s">
        <v>445</v>
      </c>
    </row>
    <row r="225" spans="1:63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 t="s">
        <v>445</v>
      </c>
    </row>
    <row r="226" spans="1:63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 t="s">
        <v>445</v>
      </c>
    </row>
    <row r="227" spans="1:63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 t="s">
        <v>445</v>
      </c>
    </row>
    <row r="228" spans="1:63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 t="s">
        <v>445</v>
      </c>
    </row>
    <row r="229" spans="1:63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 t="s">
        <v>445</v>
      </c>
    </row>
    <row r="230" spans="1:63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 t="s">
        <v>445</v>
      </c>
    </row>
    <row r="231" spans="1:63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 t="s">
        <v>445</v>
      </c>
    </row>
    <row r="232" spans="1:63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 t="s">
        <v>445</v>
      </c>
    </row>
    <row r="233" spans="1:63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 t="s">
        <v>445</v>
      </c>
    </row>
    <row r="234" spans="1:63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 t="s">
        <v>445</v>
      </c>
    </row>
    <row r="235" spans="1:63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 t="s">
        <v>445</v>
      </c>
    </row>
    <row r="236" spans="1:63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 t="s">
        <v>445</v>
      </c>
    </row>
    <row r="237" spans="1:63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 t="s">
        <v>445</v>
      </c>
    </row>
    <row r="238" spans="1:63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 t="s">
        <v>445</v>
      </c>
    </row>
    <row r="239" spans="1:63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 t="s">
        <v>445</v>
      </c>
    </row>
    <row r="240" spans="1:63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 t="s">
        <v>445</v>
      </c>
    </row>
    <row r="241" spans="1:63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 t="s">
        <v>445</v>
      </c>
    </row>
    <row r="242" spans="1:63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 t="s">
        <v>445</v>
      </c>
    </row>
    <row r="243" spans="1:63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 t="s">
        <v>445</v>
      </c>
    </row>
    <row r="244" spans="1:63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 t="s">
        <v>445</v>
      </c>
    </row>
    <row r="245" spans="1:63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 t="s">
        <v>445</v>
      </c>
    </row>
    <row r="246" spans="1:63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 t="s">
        <v>445</v>
      </c>
    </row>
    <row r="247" spans="1:63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 t="s">
        <v>445</v>
      </c>
    </row>
    <row r="248" spans="1:63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 t="s">
        <v>445</v>
      </c>
    </row>
    <row r="249" spans="1:63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 t="s">
        <v>445</v>
      </c>
    </row>
    <row r="250" spans="1:63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 t="s">
        <v>445</v>
      </c>
    </row>
    <row r="251" spans="1:63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 t="s">
        <v>445</v>
      </c>
    </row>
    <row r="252" spans="1:63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 t="s">
        <v>445</v>
      </c>
    </row>
    <row r="253" spans="1:63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 t="s">
        <v>445</v>
      </c>
    </row>
    <row r="254" spans="1:63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 t="s">
        <v>445</v>
      </c>
    </row>
    <row r="255" spans="1:63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 t="s">
        <v>445</v>
      </c>
    </row>
    <row r="256" spans="1:63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 t="s">
        <v>445</v>
      </c>
    </row>
    <row r="257" spans="1:63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 t="s">
        <v>445</v>
      </c>
    </row>
    <row r="258" spans="1:63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 t="s">
        <v>445</v>
      </c>
    </row>
    <row r="259" spans="1:63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 t="s">
        <v>445</v>
      </c>
    </row>
    <row r="260" spans="1:63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 t="s">
        <v>445</v>
      </c>
    </row>
    <row r="261" spans="1:63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 t="s">
        <v>445</v>
      </c>
    </row>
    <row r="262" spans="1:63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 t="s">
        <v>445</v>
      </c>
    </row>
    <row r="263" spans="1:63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 t="s">
        <v>445</v>
      </c>
    </row>
    <row r="264" spans="1:63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 t="s">
        <v>445</v>
      </c>
    </row>
    <row r="265" spans="1:63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 t="s">
        <v>445</v>
      </c>
    </row>
    <row r="266" spans="1:63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 t="s">
        <v>445</v>
      </c>
    </row>
    <row r="267" spans="1:63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 t="s">
        <v>445</v>
      </c>
    </row>
    <row r="268" spans="1:63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 t="s">
        <v>445</v>
      </c>
    </row>
    <row r="269" spans="1:63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 t="s">
        <v>445</v>
      </c>
    </row>
    <row r="270" spans="1:63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 t="s">
        <v>445</v>
      </c>
    </row>
    <row r="271" spans="1:63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 t="s">
        <v>445</v>
      </c>
    </row>
    <row r="272" spans="1:63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 t="s">
        <v>445</v>
      </c>
    </row>
    <row r="273" spans="1:63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 t="s">
        <v>445</v>
      </c>
    </row>
    <row r="274" spans="1:63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 t="s">
        <v>445</v>
      </c>
    </row>
    <row r="275" spans="1:63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 t="s">
        <v>445</v>
      </c>
    </row>
    <row r="276" spans="1:63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 t="s">
        <v>445</v>
      </c>
    </row>
    <row r="277" spans="1:63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 t="s">
        <v>445</v>
      </c>
    </row>
    <row r="278" spans="1:63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 t="s">
        <v>445</v>
      </c>
    </row>
    <row r="279" spans="1:63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 t="s">
        <v>445</v>
      </c>
    </row>
    <row r="280" spans="1:63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 t="s">
        <v>445</v>
      </c>
    </row>
    <row r="281" spans="1:63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 t="s">
        <v>445</v>
      </c>
    </row>
    <row r="283" spans="1:63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 t="s">
        <v>445</v>
      </c>
    </row>
    <row r="284" spans="1:63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 t="s">
        <v>445</v>
      </c>
    </row>
    <row r="285" spans="1:63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 t="s">
        <v>445</v>
      </c>
    </row>
    <row r="286" spans="1:63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 t="s">
        <v>445</v>
      </c>
    </row>
    <row r="287" spans="1:63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 t="s">
        <v>445</v>
      </c>
    </row>
    <row r="288" spans="1:63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 t="s">
        <v>445</v>
      </c>
    </row>
    <row r="289" spans="1:63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 t="s">
        <v>445</v>
      </c>
    </row>
    <row r="290" spans="1:63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 t="s">
        <v>445</v>
      </c>
    </row>
    <row r="291" spans="1:63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 t="s">
        <v>445</v>
      </c>
    </row>
    <row r="292" spans="1:63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 t="s">
        <v>445</v>
      </c>
    </row>
    <row r="293" spans="1:63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 t="s">
        <v>445</v>
      </c>
    </row>
    <row r="294" spans="1:63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 t="s">
        <v>445</v>
      </c>
    </row>
    <row r="295" spans="1:63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 t="s">
        <v>445</v>
      </c>
    </row>
    <row r="297" spans="1:63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 t="s">
        <v>445</v>
      </c>
    </row>
    <row r="298" spans="1:63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 t="s">
        <v>445</v>
      </c>
    </row>
    <row r="299" spans="1:63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 t="s">
        <v>445</v>
      </c>
    </row>
    <row r="300" spans="1:63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 t="s">
        <v>445</v>
      </c>
    </row>
    <row r="301" spans="1:63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 t="s">
        <v>445</v>
      </c>
    </row>
    <row r="302" spans="1:63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 t="s">
        <v>445</v>
      </c>
    </row>
    <row r="303" spans="1:63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 t="s">
        <v>445</v>
      </c>
    </row>
    <row r="304" spans="1:63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 t="s">
        <v>445</v>
      </c>
    </row>
    <row r="305" spans="1:63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 t="s">
        <v>445</v>
      </c>
    </row>
    <row r="306" spans="1:63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 t="s">
        <v>445</v>
      </c>
    </row>
    <row r="307" spans="1:63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 t="s">
        <v>445</v>
      </c>
    </row>
    <row r="308" spans="1:63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 t="s">
        <v>445</v>
      </c>
    </row>
    <row r="309" spans="1:63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 t="s">
        <v>445</v>
      </c>
    </row>
    <row r="310" spans="1:63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 t="s">
        <v>445</v>
      </c>
    </row>
    <row r="311" spans="1:63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 t="s">
        <v>445</v>
      </c>
    </row>
    <row r="312" spans="1:63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 t="s">
        <v>445</v>
      </c>
    </row>
    <row r="313" spans="1:63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 t="s">
        <v>445</v>
      </c>
    </row>
    <row r="314" spans="1:63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 t="s">
        <v>445</v>
      </c>
    </row>
    <row r="315" spans="1:63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 t="s">
        <v>445</v>
      </c>
    </row>
    <row r="316" spans="1:63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 t="s">
        <v>445</v>
      </c>
    </row>
    <row r="317" spans="1:63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 t="s">
        <v>445</v>
      </c>
    </row>
    <row r="318" spans="1:63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 t="s">
        <v>445</v>
      </c>
    </row>
    <row r="319" spans="1:63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 t="s">
        <v>445</v>
      </c>
    </row>
    <row r="320" spans="1:63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 t="s">
        <v>445</v>
      </c>
    </row>
    <row r="321" spans="1:63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 t="s">
        <v>445</v>
      </c>
    </row>
    <row r="322" spans="1:63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 t="s">
        <v>445</v>
      </c>
    </row>
    <row r="323" spans="1:63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 t="s">
        <v>445</v>
      </c>
    </row>
    <row r="324" spans="1:63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 t="s">
        <v>445</v>
      </c>
    </row>
    <row r="325" spans="1:63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 t="s">
        <v>445</v>
      </c>
    </row>
    <row r="326" spans="1:63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 t="s">
        <v>445</v>
      </c>
    </row>
    <row r="327" spans="1:63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 t="s">
        <v>445</v>
      </c>
    </row>
    <row r="328" spans="1:63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 t="s">
        <v>445</v>
      </c>
    </row>
    <row r="329" spans="1:63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 t="s">
        <v>445</v>
      </c>
    </row>
    <row r="330" spans="1:63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 t="s">
        <v>445</v>
      </c>
    </row>
    <row r="331" spans="1:63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 t="s">
        <v>445</v>
      </c>
    </row>
    <row r="332" spans="1:63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 t="s">
        <v>445</v>
      </c>
    </row>
    <row r="333" spans="1:63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 t="s">
        <v>445</v>
      </c>
    </row>
    <row r="334" spans="1:63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 t="s">
        <v>445</v>
      </c>
    </row>
    <row r="335" spans="1:63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 t="s">
        <v>445</v>
      </c>
    </row>
    <row r="336" spans="1:63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 t="s">
        <v>445</v>
      </c>
    </row>
    <row r="337" spans="1:63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 t="s">
        <v>445</v>
      </c>
    </row>
    <row r="338" spans="1:63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 t="s">
        <v>445</v>
      </c>
    </row>
    <row r="339" spans="1:63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 t="s">
        <v>445</v>
      </c>
    </row>
    <row r="340" spans="1:63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 t="s">
        <v>445</v>
      </c>
    </row>
    <row r="341" spans="1:63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 t="s">
        <v>445</v>
      </c>
    </row>
    <row r="342" spans="1:63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 t="s">
        <v>445</v>
      </c>
    </row>
    <row r="343" spans="1:63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 t="s">
        <v>445</v>
      </c>
    </row>
    <row r="344" spans="1:63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 t="s">
        <v>445</v>
      </c>
    </row>
    <row r="345" spans="1:63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 t="s">
        <v>445</v>
      </c>
    </row>
    <row r="346" spans="1:63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 t="s">
        <v>445</v>
      </c>
    </row>
    <row r="347" spans="1:63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 t="s">
        <v>445</v>
      </c>
    </row>
    <row r="348" spans="1:63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 t="s">
        <v>445</v>
      </c>
    </row>
    <row r="349" spans="1:63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 t="s">
        <v>445</v>
      </c>
    </row>
    <row r="350" spans="1:63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 t="s">
        <v>445</v>
      </c>
    </row>
    <row r="351" spans="1:63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 t="s">
        <v>445</v>
      </c>
    </row>
    <row r="352" spans="1:63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 t="s">
        <v>445</v>
      </c>
    </row>
    <row r="353" spans="1:63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 t="s">
        <v>445</v>
      </c>
    </row>
    <row r="354" spans="1:63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 t="s">
        <v>445</v>
      </c>
    </row>
    <row r="355" spans="1:63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 t="s">
        <v>445</v>
      </c>
    </row>
    <row r="356" spans="1:63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 t="s">
        <v>445</v>
      </c>
    </row>
    <row r="357" spans="1:63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 t="s">
        <v>445</v>
      </c>
    </row>
    <row r="358" spans="1:63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 t="s">
        <v>445</v>
      </c>
    </row>
    <row r="359" spans="1:63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 t="s">
        <v>445</v>
      </c>
    </row>
    <row r="360" spans="1:63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 t="s">
        <v>445</v>
      </c>
    </row>
    <row r="361" spans="1:63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 t="s">
        <v>445</v>
      </c>
    </row>
    <row r="362" spans="1:63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 t="s">
        <v>445</v>
      </c>
    </row>
    <row r="363" spans="1:63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 t="s">
        <v>445</v>
      </c>
    </row>
    <row r="364" spans="1:63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 t="s">
        <v>445</v>
      </c>
    </row>
    <row r="365" spans="1:63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 t="s">
        <v>445</v>
      </c>
    </row>
    <row r="366" spans="1:63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 t="s">
        <v>445</v>
      </c>
    </row>
    <row r="367" spans="1:63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 t="s">
        <v>445</v>
      </c>
    </row>
    <row r="368" spans="1:63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 t="s">
        <v>445</v>
      </c>
    </row>
    <row r="369" spans="1:63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 t="s">
        <v>445</v>
      </c>
    </row>
    <row r="370" spans="1:63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 t="s">
        <v>445</v>
      </c>
    </row>
    <row r="371" spans="1:63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 t="s">
        <v>445</v>
      </c>
    </row>
    <row r="372" spans="1:63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 t="s">
        <v>445</v>
      </c>
    </row>
    <row r="373" spans="1:63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 t="s">
        <v>445</v>
      </c>
    </row>
    <row r="374" spans="1:63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 t="s">
        <v>445</v>
      </c>
    </row>
    <row r="375" spans="1:63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 t="s">
        <v>445</v>
      </c>
    </row>
    <row r="376" spans="1:63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 t="s">
        <v>445</v>
      </c>
    </row>
    <row r="377" spans="1:63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 t="s">
        <v>445</v>
      </c>
    </row>
    <row r="378" spans="1:63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 t="s">
        <v>445</v>
      </c>
    </row>
    <row r="379" spans="1:63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 t="s">
        <v>445</v>
      </c>
    </row>
    <row r="380" spans="1:63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 t="s">
        <v>445</v>
      </c>
    </row>
    <row r="381" spans="1:63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 t="s">
        <v>445</v>
      </c>
    </row>
    <row r="382" spans="1:63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 t="s">
        <v>445</v>
      </c>
    </row>
    <row r="383" spans="1:63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 t="s">
        <v>445</v>
      </c>
    </row>
    <row r="384" spans="1:63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 t="s">
        <v>445</v>
      </c>
    </row>
    <row r="385" spans="1:63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 t="s">
        <v>445</v>
      </c>
    </row>
    <row r="386" spans="1:63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 t="s">
        <v>445</v>
      </c>
    </row>
    <row r="387" spans="1:63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 t="s">
        <v>445</v>
      </c>
    </row>
    <row r="388" spans="1:63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 t="s">
        <v>445</v>
      </c>
    </row>
    <row r="389" spans="1:63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 t="s">
        <v>445</v>
      </c>
    </row>
    <row r="390" spans="1:63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 t="s">
        <v>445</v>
      </c>
    </row>
    <row r="391" spans="1:63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 t="s">
        <v>445</v>
      </c>
    </row>
    <row r="392" spans="1:63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 t="s">
        <v>445</v>
      </c>
    </row>
    <row r="393" spans="1:63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 t="s">
        <v>445</v>
      </c>
    </row>
    <row r="394" spans="1:63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 t="s">
        <v>445</v>
      </c>
    </row>
    <row r="395" spans="1:63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 t="s">
        <v>445</v>
      </c>
    </row>
    <row r="396" spans="1:63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 t="s">
        <v>445</v>
      </c>
    </row>
    <row r="397" spans="1:63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 t="s">
        <v>445</v>
      </c>
    </row>
    <row r="398" spans="1:63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 t="s">
        <v>445</v>
      </c>
    </row>
    <row r="399" spans="1:63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 t="s">
        <v>445</v>
      </c>
    </row>
    <row r="400" spans="1:63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 t="s">
        <v>445</v>
      </c>
    </row>
    <row r="401" spans="1:63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 t="s">
        <v>445</v>
      </c>
    </row>
    <row r="402" spans="1:63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 t="s">
        <v>1452</v>
      </c>
    </row>
    <row r="403" spans="1:63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 t="s">
        <v>447</v>
      </c>
    </row>
    <row r="404" spans="1:63" x14ac:dyDescent="0.25">
      <c r="A404" s="26" t="s">
        <v>473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 t="s">
        <v>455</v>
      </c>
    </row>
    <row r="405" spans="1:63" x14ac:dyDescent="0.25">
      <c r="A405" s="26" t="s">
        <v>1038</v>
      </c>
      <c r="B405" s="26" t="s">
        <v>1038</v>
      </c>
      <c r="C405" s="26">
        <v>55.378100000000003</v>
      </c>
      <c r="D405" s="26">
        <v>-3.4359999999999999</v>
      </c>
      <c r="E405" s="27">
        <v>0</v>
      </c>
      <c r="F405" s="27">
        <v>0</v>
      </c>
      <c r="G405" s="27">
        <v>0</v>
      </c>
      <c r="H405" s="27">
        <v>0</v>
      </c>
      <c r="I405" s="27">
        <v>0</v>
      </c>
      <c r="J405" s="27">
        <v>0</v>
      </c>
      <c r="K405" s="27">
        <v>0</v>
      </c>
      <c r="L405" s="27">
        <v>0</v>
      </c>
      <c r="M405" s="27">
        <v>0</v>
      </c>
      <c r="N405" s="27">
        <v>2</v>
      </c>
      <c r="O405" s="27">
        <v>2</v>
      </c>
      <c r="P405" s="27">
        <v>2</v>
      </c>
      <c r="Q405" s="27">
        <v>2</v>
      </c>
      <c r="R405" s="27">
        <v>2</v>
      </c>
      <c r="S405" s="27">
        <v>2</v>
      </c>
      <c r="T405" s="27">
        <v>2</v>
      </c>
      <c r="U405" s="27">
        <v>3</v>
      </c>
      <c r="V405" s="27">
        <v>3</v>
      </c>
      <c r="W405" s="27">
        <v>3</v>
      </c>
      <c r="X405" s="27">
        <v>8</v>
      </c>
      <c r="Y405" s="27">
        <v>8</v>
      </c>
      <c r="Z405" s="27">
        <v>9</v>
      </c>
      <c r="AA405" s="27">
        <v>9</v>
      </c>
      <c r="AB405" s="27">
        <v>9</v>
      </c>
      <c r="AC405" s="27">
        <v>9</v>
      </c>
      <c r="AD405" s="27">
        <v>9</v>
      </c>
      <c r="AE405" s="27">
        <v>9</v>
      </c>
      <c r="AF405" s="27">
        <v>9</v>
      </c>
      <c r="AG405" s="27">
        <v>9</v>
      </c>
      <c r="AH405" s="27">
        <v>9</v>
      </c>
      <c r="AI405" s="27">
        <v>9</v>
      </c>
      <c r="AJ405" s="27">
        <v>9</v>
      </c>
      <c r="AK405" s="27">
        <v>9</v>
      </c>
      <c r="AL405" s="27">
        <v>13</v>
      </c>
      <c r="AM405" s="27">
        <v>13</v>
      </c>
      <c r="AN405" s="27">
        <v>13</v>
      </c>
      <c r="AO405" s="27">
        <v>15</v>
      </c>
      <c r="AP405" s="27">
        <v>20</v>
      </c>
      <c r="AQ405" s="27">
        <v>23</v>
      </c>
      <c r="AR405" s="27">
        <v>36</v>
      </c>
      <c r="AS405" s="27">
        <v>40</v>
      </c>
      <c r="AT405" s="27">
        <v>51</v>
      </c>
      <c r="AU405" s="27">
        <v>85</v>
      </c>
      <c r="AV405" s="27">
        <v>115</v>
      </c>
      <c r="AW405" s="27">
        <v>163</v>
      </c>
      <c r="AX405" s="27">
        <v>206</v>
      </c>
      <c r="AY405" s="27">
        <v>273</v>
      </c>
      <c r="AZ405" s="27">
        <v>321</v>
      </c>
      <c r="BA405" s="27">
        <v>382</v>
      </c>
      <c r="BB405" s="27">
        <v>456</v>
      </c>
      <c r="BC405" s="27">
        <v>456</v>
      </c>
      <c r="BD405" s="27">
        <v>798</v>
      </c>
      <c r="BE405" s="27">
        <v>1140</v>
      </c>
      <c r="BF405" s="27">
        <v>1140</v>
      </c>
      <c r="BG405" s="27">
        <v>1543</v>
      </c>
      <c r="BH405" s="27">
        <v>1950</v>
      </c>
      <c r="BI405" s="27">
        <v>2626</v>
      </c>
      <c r="BJ405" s="27">
        <v>2689</v>
      </c>
      <c r="BK405" t="s">
        <v>1455</v>
      </c>
    </row>
    <row r="406" spans="1:63" x14ac:dyDescent="0.25">
      <c r="A406" s="26"/>
      <c r="B406" s="26" t="s">
        <v>474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 t="s">
        <v>449</v>
      </c>
    </row>
    <row r="407" spans="1:63" x14ac:dyDescent="0.25">
      <c r="A407" s="26" t="s">
        <v>475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 t="s">
        <v>452</v>
      </c>
    </row>
    <row r="408" spans="1:63" x14ac:dyDescent="0.25">
      <c r="A408" s="26" t="s">
        <v>477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 t="s">
        <v>1449</v>
      </c>
    </row>
    <row r="409" spans="1:63" x14ac:dyDescent="0.25">
      <c r="A409" s="26" t="s">
        <v>478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 t="s">
        <v>651</v>
      </c>
    </row>
    <row r="410" spans="1:63" x14ac:dyDescent="0.25">
      <c r="A410" s="26"/>
      <c r="B410" s="26" t="s">
        <v>479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 t="s">
        <v>444</v>
      </c>
    </row>
    <row r="411" spans="1:63" x14ac:dyDescent="0.25">
      <c r="A411" s="26"/>
      <c r="B411" s="26" t="s">
        <v>480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 t="s">
        <v>443</v>
      </c>
    </row>
    <row r="412" spans="1:63" x14ac:dyDescent="0.25">
      <c r="A412" s="26"/>
      <c r="B412" s="26" t="s">
        <v>481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 t="s">
        <v>441</v>
      </c>
    </row>
    <row r="413" spans="1:63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 t="s">
        <v>454</v>
      </c>
    </row>
    <row r="414" spans="1:63" x14ac:dyDescent="0.25">
      <c r="A414" s="26"/>
      <c r="B414" s="26" t="s">
        <v>483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 t="s">
        <v>447</v>
      </c>
    </row>
    <row r="415" spans="1:63" x14ac:dyDescent="0.25">
      <c r="A415" s="26"/>
      <c r="B415" s="26" t="s">
        <v>484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 t="s">
        <v>441</v>
      </c>
    </row>
    <row r="416" spans="1:63" x14ac:dyDescent="0.25">
      <c r="A416" s="26" t="s">
        <v>485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 t="s">
        <v>1261</v>
      </c>
    </row>
    <row r="417" spans="1:63" x14ac:dyDescent="0.25">
      <c r="A417" s="26"/>
      <c r="B417" s="26" t="s">
        <v>652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 t="s">
        <v>1040</v>
      </c>
    </row>
    <row r="418" spans="1:63" x14ac:dyDescent="0.25">
      <c r="A418" s="26"/>
      <c r="B418" s="26" t="s">
        <v>653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 t="s">
        <v>1452</v>
      </c>
    </row>
    <row r="419" spans="1:63" x14ac:dyDescent="0.25">
      <c r="A419" s="26" t="s">
        <v>654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 t="s">
        <v>456</v>
      </c>
    </row>
    <row r="420" spans="1:63" x14ac:dyDescent="0.25">
      <c r="A420" s="26"/>
      <c r="B420" s="26" t="s">
        <v>655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 t="s">
        <v>442</v>
      </c>
    </row>
    <row r="421" spans="1:63" x14ac:dyDescent="0.25">
      <c r="A421" s="26"/>
      <c r="B421" s="26" t="s">
        <v>656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 t="s">
        <v>447</v>
      </c>
    </row>
    <row r="422" spans="1:63" x14ac:dyDescent="0.25">
      <c r="A422" s="26"/>
      <c r="B422" s="26" t="s">
        <v>657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 t="s">
        <v>444</v>
      </c>
    </row>
    <row r="423" spans="1:63" x14ac:dyDescent="0.25">
      <c r="B423" t="s">
        <v>658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 t="s">
        <v>811</v>
      </c>
    </row>
    <row r="424" spans="1:63" x14ac:dyDescent="0.25">
      <c r="B424" t="s">
        <v>660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 t="s">
        <v>441</v>
      </c>
    </row>
    <row r="425" spans="1:63" x14ac:dyDescent="0.25">
      <c r="B425" t="s">
        <v>661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 t="s">
        <v>442</v>
      </c>
    </row>
    <row r="426" spans="1:63" x14ac:dyDescent="0.25">
      <c r="B426" t="s">
        <v>662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 t="s">
        <v>450</v>
      </c>
    </row>
    <row r="427" spans="1:63" x14ac:dyDescent="0.25">
      <c r="B427" t="s">
        <v>663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 t="s">
        <v>443</v>
      </c>
    </row>
    <row r="428" spans="1:63" x14ac:dyDescent="0.25">
      <c r="B428" t="s">
        <v>664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 t="s">
        <v>1449</v>
      </c>
    </row>
    <row r="429" spans="1:63" x14ac:dyDescent="0.25">
      <c r="B429" t="s">
        <v>665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 t="s">
        <v>443</v>
      </c>
    </row>
    <row r="430" spans="1:63" x14ac:dyDescent="0.25">
      <c r="B430" t="s">
        <v>666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 t="s">
        <v>441</v>
      </c>
    </row>
    <row r="431" spans="1:63" x14ac:dyDescent="0.25">
      <c r="B431" t="s">
        <v>667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 t="s">
        <v>453</v>
      </c>
    </row>
    <row r="432" spans="1:63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 t="s">
        <v>1270</v>
      </c>
    </row>
    <row r="433" spans="1:63" x14ac:dyDescent="0.25">
      <c r="A433" t="s">
        <v>799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 t="s">
        <v>456</v>
      </c>
    </row>
    <row r="434" spans="1:63" x14ac:dyDescent="0.25">
      <c r="B434" t="s">
        <v>800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 t="s">
        <v>443</v>
      </c>
    </row>
    <row r="435" spans="1:63" x14ac:dyDescent="0.25">
      <c r="A435" t="s">
        <v>801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 t="s">
        <v>453</v>
      </c>
    </row>
    <row r="436" spans="1:63" x14ac:dyDescent="0.25">
      <c r="A436" t="s">
        <v>802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 t="s">
        <v>443</v>
      </c>
    </row>
    <row r="437" spans="1:63" x14ac:dyDescent="0.25">
      <c r="B437" t="s">
        <v>803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 t="s">
        <v>442</v>
      </c>
    </row>
    <row r="438" spans="1:63" x14ac:dyDescent="0.25">
      <c r="B438" t="s">
        <v>804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 t="s">
        <v>442</v>
      </c>
    </row>
    <row r="439" spans="1:63" x14ac:dyDescent="0.25">
      <c r="B439" t="s">
        <v>805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 t="s">
        <v>455</v>
      </c>
    </row>
    <row r="440" spans="1:63" x14ac:dyDescent="0.25">
      <c r="A440" t="s">
        <v>806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 t="s">
        <v>455</v>
      </c>
    </row>
    <row r="441" spans="1:63" x14ac:dyDescent="0.25">
      <c r="B441" t="s">
        <v>807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 t="s">
        <v>813</v>
      </c>
    </row>
    <row r="442" spans="1:63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 t="s">
        <v>1456</v>
      </c>
    </row>
    <row r="443" spans="1:63" x14ac:dyDescent="0.25">
      <c r="A443" t="s">
        <v>1274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 t="s">
        <v>1270</v>
      </c>
    </row>
    <row r="444" spans="1:63" x14ac:dyDescent="0.25">
      <c r="A444" t="s">
        <v>476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 t="s">
        <v>1418</v>
      </c>
    </row>
    <row r="445" spans="1:63" x14ac:dyDescent="0.25">
      <c r="B445" t="s">
        <v>1275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 t="s">
        <v>443</v>
      </c>
    </row>
    <row r="446" spans="1:63" x14ac:dyDescent="0.25">
      <c r="B446" t="s">
        <v>1277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 t="s">
        <v>443</v>
      </c>
    </row>
    <row r="447" spans="1:63" x14ac:dyDescent="0.25">
      <c r="A447" t="s">
        <v>659</v>
      </c>
      <c r="B447" t="s">
        <v>87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 t="s">
        <v>442</v>
      </c>
    </row>
    <row r="448" spans="1:63" x14ac:dyDescent="0.25">
      <c r="B448" t="s">
        <v>1278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 t="s">
        <v>441</v>
      </c>
    </row>
    <row r="449" spans="1:63" x14ac:dyDescent="0.25">
      <c r="B449" t="s">
        <v>1279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 t="s">
        <v>455</v>
      </c>
    </row>
    <row r="450" spans="1:63" x14ac:dyDescent="0.25">
      <c r="A450" t="s">
        <v>668</v>
      </c>
      <c r="B450" t="s">
        <v>37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 t="s">
        <v>442</v>
      </c>
    </row>
    <row r="451" spans="1:63" x14ac:dyDescent="0.25">
      <c r="A451" t="s">
        <v>1457</v>
      </c>
      <c r="B451" t="s">
        <v>1038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 t="s">
        <v>442</v>
      </c>
    </row>
    <row r="452" spans="1:63" x14ac:dyDescent="0.25">
      <c r="A452" t="s">
        <v>236</v>
      </c>
      <c r="B452" t="s">
        <v>42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 t="s">
        <v>471</v>
      </c>
    </row>
    <row r="453" spans="1:63" x14ac:dyDescent="0.25">
      <c r="B453" t="s">
        <v>1280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 t="s">
        <v>451</v>
      </c>
    </row>
    <row r="454" spans="1:63" x14ac:dyDescent="0.25">
      <c r="B454" t="s">
        <v>1281</v>
      </c>
      <c r="C454">
        <v>42.5</v>
      </c>
      <c r="D454">
        <v>19.3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0</v>
      </c>
      <c r="BC454" s="27">
        <v>0</v>
      </c>
      <c r="BD454" s="27">
        <v>0</v>
      </c>
      <c r="BE454" s="27">
        <v>0</v>
      </c>
      <c r="BF454" s="27">
        <v>0</v>
      </c>
      <c r="BG454" s="27">
        <v>0</v>
      </c>
      <c r="BH454" s="27">
        <v>2</v>
      </c>
      <c r="BI454" s="27">
        <v>1</v>
      </c>
      <c r="BJ454">
        <v>3</v>
      </c>
      <c r="BK454" t="s">
        <v>456</v>
      </c>
    </row>
    <row r="455" spans="1:63" x14ac:dyDescent="0.25">
      <c r="B455" t="s">
        <v>1282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 t="s">
        <v>455</v>
      </c>
    </row>
    <row r="456" spans="1:63" x14ac:dyDescent="0.25">
      <c r="B456" t="s">
        <v>1283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 t="s">
        <v>450</v>
      </c>
    </row>
    <row r="457" spans="1:63" x14ac:dyDescent="0.25">
      <c r="A457" t="s">
        <v>482</v>
      </c>
      <c r="B457" t="s">
        <v>87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 t="s">
        <v>451</v>
      </c>
    </row>
    <row r="458" spans="1:63" x14ac:dyDescent="0.25">
      <c r="B458" t="s">
        <v>1284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 t="s">
        <v>443</v>
      </c>
    </row>
    <row r="459" spans="1:63" x14ac:dyDescent="0.25">
      <c r="B459" t="s">
        <v>1285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 t="s">
        <v>441</v>
      </c>
    </row>
    <row r="460" spans="1:63" x14ac:dyDescent="0.25">
      <c r="B460" t="s">
        <v>1286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 t="s">
        <v>441</v>
      </c>
    </row>
    <row r="461" spans="1:63" x14ac:dyDescent="0.25">
      <c r="A461" t="s">
        <v>1458</v>
      </c>
      <c r="B461" t="s">
        <v>1038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 t="s">
        <v>441</v>
      </c>
    </row>
    <row r="462" spans="1:63" x14ac:dyDescent="0.25">
      <c r="B462" t="s">
        <v>1459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 t="s">
        <v>442</v>
      </c>
    </row>
    <row r="463" spans="1:63" x14ac:dyDescent="0.25">
      <c r="A463" t="s">
        <v>1276</v>
      </c>
      <c r="B463" t="s">
        <v>85</v>
      </c>
      <c r="C463">
        <v>71.706900000000005</v>
      </c>
      <c r="D463">
        <v>-42.604300000000002</v>
      </c>
      <c r="E463" s="27">
        <v>0</v>
      </c>
      <c r="F463" s="27">
        <v>0</v>
      </c>
      <c r="G463" s="27">
        <v>0</v>
      </c>
      <c r="H463" s="27">
        <v>0</v>
      </c>
      <c r="I463" s="27">
        <v>0</v>
      </c>
      <c r="J463" s="27">
        <v>0</v>
      </c>
      <c r="K463" s="27">
        <v>0</v>
      </c>
      <c r="L463" s="27">
        <v>0</v>
      </c>
      <c r="M463" s="27">
        <v>0</v>
      </c>
      <c r="N463" s="27">
        <v>0</v>
      </c>
      <c r="O463" s="27">
        <v>0</v>
      </c>
      <c r="P463" s="27">
        <v>0</v>
      </c>
      <c r="Q463" s="27">
        <v>0</v>
      </c>
      <c r="R463" s="27">
        <v>0</v>
      </c>
      <c r="S463" s="27">
        <v>0</v>
      </c>
      <c r="T463" s="27">
        <v>0</v>
      </c>
      <c r="U463" s="27">
        <v>0</v>
      </c>
      <c r="V463" s="27">
        <v>0</v>
      </c>
      <c r="W463" s="27">
        <v>0</v>
      </c>
      <c r="X463" s="27">
        <v>0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AK463" s="27">
        <v>0</v>
      </c>
      <c r="AL463" s="27">
        <v>0</v>
      </c>
      <c r="AM463" s="27">
        <v>0</v>
      </c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27">
        <v>0</v>
      </c>
      <c r="AW463" s="27">
        <v>0</v>
      </c>
      <c r="AX463" s="27">
        <v>0</v>
      </c>
      <c r="AY463" s="27">
        <v>0</v>
      </c>
      <c r="AZ463" s="27">
        <v>0</v>
      </c>
      <c r="BA463" s="27">
        <v>0</v>
      </c>
      <c r="BB463" s="27">
        <v>0</v>
      </c>
      <c r="BC463" s="27">
        <v>0</v>
      </c>
      <c r="BD463" s="27">
        <v>0</v>
      </c>
      <c r="BE463" s="27">
        <v>0</v>
      </c>
      <c r="BF463" s="27">
        <v>0</v>
      </c>
      <c r="BG463" s="27">
        <v>1</v>
      </c>
      <c r="BH463" s="27">
        <v>1</v>
      </c>
      <c r="BI463" s="27">
        <v>1</v>
      </c>
      <c r="BJ463" s="27">
        <v>2</v>
      </c>
      <c r="BK463" t="s">
        <v>443</v>
      </c>
    </row>
    <row r="464" spans="1:63" x14ac:dyDescent="0.25">
      <c r="A464" t="s">
        <v>1460</v>
      </c>
      <c r="B464" t="s">
        <v>42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 t="s">
        <v>443</v>
      </c>
    </row>
    <row r="465" spans="1:63" x14ac:dyDescent="0.25">
      <c r="A465" t="s">
        <v>1461</v>
      </c>
      <c r="B465" t="s">
        <v>1038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 t="s">
        <v>443</v>
      </c>
    </row>
    <row r="466" spans="1:63" x14ac:dyDescent="0.25">
      <c r="B466" t="s">
        <v>1462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 t="s">
        <v>441</v>
      </c>
    </row>
    <row r="467" spans="1:63" x14ac:dyDescent="0.25">
      <c r="B467" t="s">
        <v>1463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 t="s">
        <v>441</v>
      </c>
    </row>
    <row r="468" spans="1:63" x14ac:dyDescent="0.25">
      <c r="B468" t="s">
        <v>1464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 t="s">
        <v>441</v>
      </c>
    </row>
    <row r="469" spans="1:63" x14ac:dyDescent="0.25">
      <c r="B469" t="s">
        <v>1465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 t="s">
        <v>441</v>
      </c>
    </row>
    <row r="470" spans="1:63" x14ac:dyDescent="0.25">
      <c r="B470" t="s">
        <v>1466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 t="s">
        <v>442</v>
      </c>
    </row>
    <row r="471" spans="1:63" x14ac:dyDescent="0.25">
      <c r="B471" t="s">
        <v>1467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 t="s">
        <v>443</v>
      </c>
    </row>
    <row r="472" spans="1:63" x14ac:dyDescent="0.25">
      <c r="B472" t="s">
        <v>1468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 t="s">
        <v>441</v>
      </c>
    </row>
    <row r="473" spans="1:63" x14ac:dyDescent="0.25">
      <c r="B473" t="s">
        <v>1469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 t="s">
        <v>441</v>
      </c>
    </row>
    <row r="474" spans="1:63" x14ac:dyDescent="0.25">
      <c r="A474" t="s">
        <v>1470</v>
      </c>
      <c r="B474" t="s">
        <v>87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 t="s">
        <v>441</v>
      </c>
    </row>
    <row r="475" spans="1:63" x14ac:dyDescent="0.25">
      <c r="B475" t="s">
        <v>1471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 t="s">
        <v>441</v>
      </c>
    </row>
    <row r="476" spans="1:63" x14ac:dyDescent="0.25">
      <c r="B476" t="s">
        <v>1472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 t="s">
        <v>441</v>
      </c>
    </row>
    <row r="477" spans="1:63" x14ac:dyDescent="0.25">
      <c r="A477" t="s">
        <v>1473</v>
      </c>
      <c r="B477" t="s">
        <v>1038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 t="s">
        <v>441</v>
      </c>
    </row>
    <row r="478" spans="1:63" x14ac:dyDescent="0.25">
      <c r="B478" t="s">
        <v>1474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 t="s">
        <v>441</v>
      </c>
    </row>
  </sheetData>
  <autoFilter ref="A1:DP476"/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797</v>
      </c>
      <c r="B1" s="40" t="s">
        <v>776</v>
      </c>
      <c r="E1" t="s">
        <v>798</v>
      </c>
      <c r="F1" t="s">
        <v>1288</v>
      </c>
      <c r="G1" t="s">
        <v>1287</v>
      </c>
      <c r="H1" t="s">
        <v>1289</v>
      </c>
    </row>
    <row r="2" spans="1:8" ht="33.75" thickBot="1" x14ac:dyDescent="0.3">
      <c r="A2" s="41">
        <v>0</v>
      </c>
      <c r="B2" s="41" t="s">
        <v>777</v>
      </c>
      <c r="E2" s="26" t="s">
        <v>992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778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779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780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781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782</v>
      </c>
      <c r="E7" s="26" t="s">
        <v>1294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783</v>
      </c>
      <c r="E8" s="26" t="s">
        <v>1252</v>
      </c>
      <c r="F8" t="s">
        <v>1038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784</v>
      </c>
      <c r="E9" t="s">
        <v>997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785</v>
      </c>
    </row>
    <row r="11" spans="1:8" ht="17.25" thickBot="1" x14ac:dyDescent="0.3">
      <c r="A11" s="41">
        <v>9</v>
      </c>
      <c r="B11" s="41" t="s">
        <v>786</v>
      </c>
    </row>
    <row r="12" spans="1:8" ht="17.25" thickBot="1" x14ac:dyDescent="0.3">
      <c r="A12" s="41">
        <v>10</v>
      </c>
      <c r="B12" s="41" t="s">
        <v>787</v>
      </c>
    </row>
    <row r="13" spans="1:8" ht="17.25" thickBot="1" x14ac:dyDescent="0.3">
      <c r="A13" s="41">
        <v>11</v>
      </c>
      <c r="B13" s="41" t="s">
        <v>788</v>
      </c>
    </row>
    <row r="14" spans="1:8" ht="17.25" thickBot="1" x14ac:dyDescent="0.3">
      <c r="A14" s="41">
        <v>13</v>
      </c>
      <c r="B14" s="41" t="s">
        <v>789</v>
      </c>
    </row>
    <row r="15" spans="1:8" ht="33.75" thickBot="1" x14ac:dyDescent="0.3">
      <c r="A15" s="41">
        <v>14</v>
      </c>
      <c r="B15" s="41" t="s">
        <v>790</v>
      </c>
    </row>
    <row r="16" spans="1:8" ht="33.75" thickBot="1" x14ac:dyDescent="0.3">
      <c r="A16" s="41">
        <v>15</v>
      </c>
      <c r="B16" s="41" t="s">
        <v>791</v>
      </c>
    </row>
    <row r="17" spans="1:2" ht="33.75" thickBot="1" x14ac:dyDescent="0.3">
      <c r="A17" s="41">
        <v>16</v>
      </c>
      <c r="B17" s="41" t="s">
        <v>792</v>
      </c>
    </row>
    <row r="18" spans="1:2" ht="17.25" thickBot="1" x14ac:dyDescent="0.3">
      <c r="A18" s="41">
        <v>17</v>
      </c>
      <c r="B18" s="41" t="s">
        <v>793</v>
      </c>
    </row>
    <row r="19" spans="1:2" ht="17.25" thickBot="1" x14ac:dyDescent="0.3">
      <c r="A19" s="41">
        <v>18</v>
      </c>
      <c r="B19" s="41" t="s">
        <v>794</v>
      </c>
    </row>
    <row r="20" spans="1:2" ht="17.25" thickBot="1" x14ac:dyDescent="0.3">
      <c r="A20" s="41">
        <v>19</v>
      </c>
      <c r="B20" s="41" t="s">
        <v>795</v>
      </c>
    </row>
    <row r="21" spans="1:2" ht="16.5" x14ac:dyDescent="0.25">
      <c r="A21" s="41">
        <v>20</v>
      </c>
      <c r="B21" s="41" t="s">
        <v>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16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myData</vt:lpstr>
      <vt:lpstr>Chart Index</vt:lpstr>
      <vt:lpstr>BedOccupancy</vt:lpstr>
      <vt:lpstr>Names</vt:lpstr>
      <vt:lpstr>time_series_19-covid-Confirmed</vt:lpstr>
      <vt:lpstr>solvMsgs</vt:lpstr>
      <vt:lpstr>chtAsymptoteNSW</vt:lpstr>
      <vt:lpstr>chtFutureAllSK2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myData!deltaconstraint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myData!LogFormula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myData!StartDt2Italy</vt:lpstr>
      <vt:lpstr>myData!StartDt2Korea</vt:lpstr>
      <vt:lpstr>myData!StartDt2NSW</vt:lpstr>
      <vt:lpstr>myData!StartDt2Tests</vt:lpstr>
      <vt:lpstr>myData!StartDt2UK</vt:lpstr>
      <vt:lpstr>myData!StartDt2US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2020-03-21T21:15:59Z</dcterms:modified>
</cp:coreProperties>
</file>